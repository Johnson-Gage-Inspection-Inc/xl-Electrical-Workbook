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43" documentId="8_{BD9A5C46-1869-4CE1-AF1F-4F771C386204}" xr6:coauthVersionLast="47" xr6:coauthVersionMax="47" xr10:uidLastSave="{14CC3F41-B3C1-4516-9B0F-FA64C15133AD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3" l="1" a="1"/>
  <c r="W10" i="3" a="1"/>
  <c r="W7" i="3" a="1"/>
  <c r="W9" i="3" a="1"/>
  <c r="W6" i="3" a="1"/>
  <c r="W11" i="3" a="1"/>
  <c r="W9" i="3" l="1"/>
  <c r="W7" i="3"/>
  <c r="W10" i="3"/>
  <c r="W8" i="3"/>
  <c r="W6" i="3"/>
  <c r="W11" i="3"/>
  <c r="D29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7" i="3"/>
  <c r="D6" i="3"/>
  <c r="G8" i="3" a="1"/>
  <c r="G10" i="3" a="1"/>
  <c r="G12" i="3" a="1"/>
  <c r="G14" i="3" a="1"/>
  <c r="G16" i="3" a="1"/>
  <c r="G18" i="3" a="1"/>
  <c r="G20" i="3" a="1"/>
  <c r="G22" i="3" a="1"/>
  <c r="G24" i="3" a="1"/>
  <c r="G26" i="3" a="1"/>
  <c r="G28" i="3" a="1"/>
  <c r="G30" i="3" a="1"/>
  <c r="G32" i="3" a="1"/>
  <c r="G34" i="3" a="1"/>
  <c r="G36" i="3" a="1"/>
  <c r="G38" i="3" a="1"/>
  <c r="G40" i="3" a="1"/>
  <c r="G42" i="3" a="1"/>
  <c r="G44" i="3" a="1"/>
  <c r="G46" i="3" a="1"/>
  <c r="G48" i="3" a="1"/>
  <c r="G50" i="3" a="1"/>
  <c r="G52" i="3" a="1"/>
  <c r="G54" i="3" a="1"/>
  <c r="G56" i="3" a="1"/>
  <c r="G58" i="3" a="1"/>
  <c r="G60" i="3" a="1"/>
  <c r="G62" i="3" a="1"/>
  <c r="G64" i="3" a="1"/>
  <c r="G66" i="3" a="1"/>
  <c r="G68" i="3" a="1"/>
  <c r="G70" i="3" a="1"/>
  <c r="G72" i="3" a="1"/>
  <c r="G74" i="3" a="1"/>
  <c r="G76" i="3" a="1"/>
  <c r="G78" i="3" a="1"/>
  <c r="G80" i="3" a="1"/>
  <c r="G82" i="3" a="1"/>
  <c r="G84" i="3" a="1"/>
  <c r="G86" i="3" a="1"/>
  <c r="G88" i="3" a="1"/>
  <c r="G90" i="3" a="1"/>
  <c r="G92" i="3" a="1"/>
  <c r="G94" i="3" a="1"/>
  <c r="G96" i="3" a="1"/>
  <c r="G98" i="3" a="1"/>
  <c r="G100" i="3" a="1"/>
  <c r="G102" i="3" a="1"/>
  <c r="G104" i="3" a="1"/>
  <c r="G106" i="3" a="1"/>
  <c r="G108" i="3" a="1"/>
  <c r="G110" i="3" a="1"/>
  <c r="G79" i="3" a="1"/>
  <c r="G91" i="3" a="1"/>
  <c r="G97" i="3" a="1"/>
  <c r="G101" i="3" a="1"/>
  <c r="G105" i="3" a="1"/>
  <c r="G109" i="3" a="1"/>
  <c r="G9" i="3" a="1"/>
  <c r="G11" i="3" a="1"/>
  <c r="G13" i="3" a="1"/>
  <c r="G15" i="3" a="1"/>
  <c r="G17" i="3" a="1"/>
  <c r="G19" i="3" a="1"/>
  <c r="G21" i="3" a="1"/>
  <c r="G23" i="3" a="1"/>
  <c r="G25" i="3" a="1"/>
  <c r="G27" i="3" a="1"/>
  <c r="G29" i="3" a="1"/>
  <c r="G31" i="3" a="1"/>
  <c r="G33" i="3" a="1"/>
  <c r="G35" i="3" a="1"/>
  <c r="G37" i="3" a="1"/>
  <c r="G39" i="3" a="1"/>
  <c r="G41" i="3" a="1"/>
  <c r="G43" i="3" a="1"/>
  <c r="G45" i="3" a="1"/>
  <c r="G47" i="3" a="1"/>
  <c r="G49" i="3" a="1"/>
  <c r="G51" i="3" a="1"/>
  <c r="G53" i="3" a="1"/>
  <c r="G55" i="3" a="1"/>
  <c r="G57" i="3" a="1"/>
  <c r="G59" i="3" a="1"/>
  <c r="G61" i="3" a="1"/>
  <c r="G63" i="3" a="1"/>
  <c r="G65" i="3" a="1"/>
  <c r="G67" i="3" a="1"/>
  <c r="G69" i="3" a="1"/>
  <c r="G71" i="3" a="1"/>
  <c r="G73" i="3" a="1"/>
  <c r="G75" i="3" a="1"/>
  <c r="G77" i="3" a="1"/>
  <c r="G81" i="3" a="1"/>
  <c r="G83" i="3" a="1"/>
  <c r="G85" i="3" a="1"/>
  <c r="G87" i="3" a="1"/>
  <c r="G89" i="3" a="1"/>
  <c r="G93" i="3" a="1"/>
  <c r="G95" i="3" a="1"/>
  <c r="G99" i="3" a="1"/>
  <c r="G103" i="3" a="1"/>
  <c r="G107" i="3" a="1"/>
  <c r="G7" i="3" a="1"/>
  <c r="G6" i="3" a="1"/>
  <c r="G107" i="3" l="1"/>
  <c r="G103" i="3"/>
  <c r="G99" i="3"/>
  <c r="G95" i="3"/>
  <c r="G93" i="3"/>
  <c r="G89" i="3"/>
  <c r="G87" i="3"/>
  <c r="G85" i="3"/>
  <c r="G83" i="3"/>
  <c r="G81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3" i="3"/>
  <c r="G41" i="3"/>
  <c r="G39" i="3"/>
  <c r="G37" i="3"/>
  <c r="G35" i="3"/>
  <c r="G33" i="3"/>
  <c r="G31" i="3"/>
  <c r="G29" i="3"/>
  <c r="G27" i="3"/>
  <c r="G25" i="3"/>
  <c r="G23" i="3"/>
  <c r="G21" i="3"/>
  <c r="G19" i="3"/>
  <c r="G17" i="3"/>
  <c r="G15" i="3"/>
  <c r="G13" i="3"/>
  <c r="G11" i="3"/>
  <c r="G9" i="3"/>
  <c r="G109" i="3"/>
  <c r="G105" i="3"/>
  <c r="G101" i="3"/>
  <c r="G97" i="3"/>
  <c r="G91" i="3"/>
  <c r="G79" i="3"/>
  <c r="G110" i="3"/>
  <c r="G108" i="3"/>
  <c r="G106" i="3"/>
  <c r="G104" i="3"/>
  <c r="G102" i="3"/>
  <c r="G100" i="3"/>
  <c r="G98" i="3"/>
  <c r="G96" i="3"/>
  <c r="G94" i="3"/>
  <c r="G92" i="3"/>
  <c r="G90" i="3"/>
  <c r="G88" i="3"/>
  <c r="G86" i="3"/>
  <c r="G84" i="3"/>
  <c r="G82" i="3"/>
  <c r="G80" i="3"/>
  <c r="G78" i="3"/>
  <c r="G76" i="3"/>
  <c r="G74" i="3"/>
  <c r="G72" i="3"/>
  <c r="G70" i="3"/>
  <c r="G68" i="3"/>
  <c r="G66" i="3"/>
  <c r="G64" i="3"/>
  <c r="G62" i="3"/>
  <c r="G60" i="3"/>
  <c r="G58" i="3"/>
  <c r="G56" i="3"/>
  <c r="G54" i="3"/>
  <c r="G52" i="3"/>
  <c r="G50" i="3"/>
  <c r="G48" i="3"/>
  <c r="G46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8" i="3"/>
  <c r="G16" i="3"/>
  <c r="G14" i="3"/>
  <c r="G12" i="3"/>
  <c r="G10" i="3"/>
  <c r="G8" i="3"/>
  <c r="G7" i="3"/>
  <c r="G6" i="3"/>
  <c r="AG2653" i="12"/>
  <c r="AF2653" i="12"/>
  <c r="Z2653" i="12"/>
  <c r="AG2652" i="12"/>
  <c r="AF2652" i="12"/>
  <c r="Z2652" i="12"/>
  <c r="AG2651" i="12"/>
  <c r="AF2651" i="12"/>
  <c r="Z2651" i="12"/>
  <c r="AG2650" i="12"/>
  <c r="AF2650" i="12"/>
  <c r="Z2650" i="12"/>
  <c r="AG2649" i="12"/>
  <c r="AF2649" i="12"/>
  <c r="Z2649" i="12"/>
  <c r="AG2648" i="12"/>
  <c r="AF2648" i="12"/>
  <c r="Z2648" i="12"/>
  <c r="AG2647" i="12"/>
  <c r="AF2647" i="12"/>
  <c r="Z2647" i="12"/>
  <c r="AG2646" i="12"/>
  <c r="AF2646" i="12"/>
  <c r="Z2646" i="12"/>
  <c r="AG2645" i="12"/>
  <c r="AF2645" i="12"/>
  <c r="Z2645" i="12"/>
  <c r="AG2644" i="12"/>
  <c r="AF2644" i="12"/>
  <c r="Z2644" i="12"/>
  <c r="AG2643" i="12"/>
  <c r="AF2643" i="12"/>
  <c r="Z2643" i="12"/>
  <c r="AG2642" i="12"/>
  <c r="AF2642" i="12"/>
  <c r="Z2642" i="12"/>
  <c r="AG2641" i="12"/>
  <c r="AF2641" i="12"/>
  <c r="Z2641" i="12"/>
  <c r="AG2640" i="12"/>
  <c r="AF2640" i="12"/>
  <c r="Z2640" i="12"/>
  <c r="AG2639" i="12"/>
  <c r="AF2639" i="12"/>
  <c r="Z2639" i="12"/>
  <c r="AG2638" i="12"/>
  <c r="AF2638" i="12"/>
  <c r="Z2638" i="12"/>
  <c r="AG2637" i="12"/>
  <c r="AF2637" i="12"/>
  <c r="Z2637" i="12"/>
  <c r="AG2636" i="12"/>
  <c r="AF2636" i="12"/>
  <c r="Z2636" i="12"/>
  <c r="AG2635" i="12"/>
  <c r="AF2635" i="12"/>
  <c r="Z2635" i="12"/>
  <c r="AG2634" i="12"/>
  <c r="AF2634" i="12"/>
  <c r="Z2634" i="12"/>
  <c r="AG2633" i="12"/>
  <c r="AF2633" i="12"/>
  <c r="Z2633" i="12"/>
  <c r="AG2632" i="12"/>
  <c r="AF2632" i="12"/>
  <c r="Z2632" i="12"/>
  <c r="AG2631" i="12"/>
  <c r="AF2631" i="12"/>
  <c r="Z2631" i="12"/>
  <c r="AG2630" i="12"/>
  <c r="AF2630" i="12"/>
  <c r="Z2630" i="12"/>
  <c r="AG2629" i="12"/>
  <c r="AF2629" i="12"/>
  <c r="Z2629" i="12"/>
  <c r="AG2628" i="12"/>
  <c r="AF2628" i="12"/>
  <c r="Z2628" i="12"/>
  <c r="AG2627" i="12"/>
  <c r="AF2627" i="12"/>
  <c r="Z2627" i="12"/>
  <c r="AG2626" i="12"/>
  <c r="AF2626" i="12"/>
  <c r="Z2626" i="12"/>
  <c r="AG2625" i="12"/>
  <c r="AF2625" i="12"/>
  <c r="Z2625" i="12"/>
  <c r="AG2624" i="12"/>
  <c r="AF2624" i="12"/>
  <c r="Z2624" i="12"/>
  <c r="AG2623" i="12"/>
  <c r="AF2623" i="12"/>
  <c r="Z2623" i="12"/>
  <c r="AG2622" i="12"/>
  <c r="AF2622" i="12"/>
  <c r="Z2622" i="12"/>
  <c r="AG2621" i="12"/>
  <c r="AF2621" i="12"/>
  <c r="Z2621" i="12"/>
  <c r="AG2620" i="12"/>
  <c r="AF2620" i="12"/>
  <c r="Z2620" i="12"/>
  <c r="AG2619" i="12"/>
  <c r="AF2619" i="12"/>
  <c r="Z2619" i="12"/>
  <c r="AG2618" i="12"/>
  <c r="AF2618" i="12"/>
  <c r="Z2618" i="12"/>
  <c r="AG2617" i="12"/>
  <c r="AF2617" i="12"/>
  <c r="Z2617" i="12"/>
  <c r="AG2616" i="12"/>
  <c r="AF2616" i="12"/>
  <c r="Z2616" i="12"/>
  <c r="AG2615" i="12"/>
  <c r="AF2615" i="12"/>
  <c r="Z2615" i="12"/>
  <c r="AG2614" i="12"/>
  <c r="AF2614" i="12"/>
  <c r="Z2614" i="12"/>
  <c r="AG2613" i="12"/>
  <c r="AF2613" i="12"/>
  <c r="Z2613" i="12"/>
  <c r="AG2612" i="12"/>
  <c r="AF2612" i="12"/>
  <c r="Z2612" i="12"/>
  <c r="AG2611" i="12"/>
  <c r="AF2611" i="12"/>
  <c r="Z2611" i="12"/>
  <c r="AG2610" i="12"/>
  <c r="AF2610" i="12"/>
  <c r="Z2610" i="12"/>
  <c r="AG2609" i="12"/>
  <c r="AF2609" i="12"/>
  <c r="Z2609" i="12"/>
  <c r="AG2608" i="12"/>
  <c r="AF2608" i="12"/>
  <c r="Z2608" i="12"/>
  <c r="AG2607" i="12"/>
  <c r="AF2607" i="12"/>
  <c r="Z2607" i="12"/>
  <c r="AG2606" i="12"/>
  <c r="AF2606" i="12"/>
  <c r="Z2606" i="12"/>
  <c r="AG2605" i="12"/>
  <c r="AF2605" i="12"/>
  <c r="Z2605" i="12"/>
  <c r="AG2604" i="12"/>
  <c r="AF2604" i="12"/>
  <c r="Z2604" i="12"/>
  <c r="AG2603" i="12"/>
  <c r="AF2603" i="12"/>
  <c r="Z2603" i="12"/>
  <c r="AG2602" i="12"/>
  <c r="AF2602" i="12"/>
  <c r="Z2602" i="12"/>
  <c r="AG2601" i="12"/>
  <c r="AF2601" i="12"/>
  <c r="Z2601" i="12"/>
  <c r="AG2600" i="12"/>
  <c r="AF2600" i="12"/>
  <c r="Z2600" i="12"/>
  <c r="AG2599" i="12"/>
  <c r="AF2599" i="12"/>
  <c r="Z2599" i="12"/>
  <c r="AG2598" i="12"/>
  <c r="AF2598" i="12"/>
  <c r="Z2598" i="12"/>
  <c r="AG2597" i="12"/>
  <c r="AF2597" i="12"/>
  <c r="Z2597" i="12"/>
  <c r="AG2596" i="12"/>
  <c r="AF2596" i="12"/>
  <c r="Z2596" i="12"/>
  <c r="AG2595" i="12"/>
  <c r="AF2595" i="12"/>
  <c r="Z2595" i="12"/>
  <c r="AG2594" i="12"/>
  <c r="AF2594" i="12"/>
  <c r="Z2594" i="12"/>
  <c r="AG2593" i="12"/>
  <c r="AF2593" i="12"/>
  <c r="Z2593" i="12"/>
  <c r="AG2592" i="12"/>
  <c r="AF2592" i="12"/>
  <c r="Z2592" i="12"/>
  <c r="AG2591" i="12"/>
  <c r="AF2591" i="12"/>
  <c r="Z2591" i="12"/>
  <c r="AG2590" i="12"/>
  <c r="AF2590" i="12"/>
  <c r="Z2590" i="12"/>
  <c r="AG2589" i="12"/>
  <c r="AF2589" i="12"/>
  <c r="Z2589" i="12"/>
  <c r="AG2588" i="12"/>
  <c r="AF2588" i="12"/>
  <c r="Z2588" i="12"/>
  <c r="AG2587" i="12"/>
  <c r="AF2587" i="12"/>
  <c r="Z2587" i="12"/>
  <c r="AG2586" i="12"/>
  <c r="AF2586" i="12"/>
  <c r="Z2586" i="12"/>
  <c r="AG2585" i="12"/>
  <c r="AF2585" i="12"/>
  <c r="Z2585" i="12"/>
  <c r="AG2584" i="12"/>
  <c r="AF2584" i="12"/>
  <c r="Z2584" i="12"/>
  <c r="AG2583" i="12"/>
  <c r="AF2583" i="12"/>
  <c r="Z2583" i="12"/>
  <c r="AG2582" i="12"/>
  <c r="AF2582" i="12"/>
  <c r="Z2582" i="12"/>
  <c r="AG2581" i="12"/>
  <c r="AF2581" i="12"/>
  <c r="Z2581" i="12"/>
  <c r="AG2580" i="12"/>
  <c r="AF2580" i="12"/>
  <c r="Z2580" i="12"/>
  <c r="AG2579" i="12"/>
  <c r="AF2579" i="12"/>
  <c r="Z2579" i="12"/>
  <c r="AG2578" i="12"/>
  <c r="AF2578" i="12"/>
  <c r="Z2578" i="12"/>
  <c r="AG2577" i="12"/>
  <c r="AF2577" i="12"/>
  <c r="Z2577" i="12"/>
  <c r="AG2576" i="12"/>
  <c r="AF2576" i="12"/>
  <c r="Z2576" i="12"/>
  <c r="AG2575" i="12"/>
  <c r="AF2575" i="12"/>
  <c r="Z2575" i="12"/>
  <c r="AG2574" i="12"/>
  <c r="AF2574" i="12"/>
  <c r="Z2574" i="12"/>
  <c r="AG2573" i="12"/>
  <c r="AF2573" i="12"/>
  <c r="Z2573" i="12"/>
  <c r="AG2572" i="12"/>
  <c r="AF2572" i="12"/>
  <c r="Z2572" i="12"/>
  <c r="AG2571" i="12"/>
  <c r="AF2571" i="12"/>
  <c r="Z2571" i="12"/>
  <c r="AG2570" i="12"/>
  <c r="AF2570" i="12"/>
  <c r="Z2570" i="12"/>
  <c r="AG2569" i="12"/>
  <c r="AF2569" i="12"/>
  <c r="Z2569" i="12"/>
  <c r="AG2568" i="12"/>
  <c r="AF2568" i="12"/>
  <c r="Z2568" i="12"/>
  <c r="AG2567" i="12"/>
  <c r="AF2567" i="12"/>
  <c r="Z2567" i="12"/>
  <c r="AG2566" i="12"/>
  <c r="AF2566" i="12"/>
  <c r="Z2566" i="12"/>
  <c r="AG2565" i="12"/>
  <c r="AF2565" i="12"/>
  <c r="Z2565" i="12"/>
  <c r="AG2564" i="12"/>
  <c r="AF2564" i="12"/>
  <c r="Z2564" i="12"/>
  <c r="AG2563" i="12"/>
  <c r="AF2563" i="12"/>
  <c r="Z2563" i="12"/>
  <c r="AG2562" i="12"/>
  <c r="AF2562" i="12"/>
  <c r="Z2562" i="12"/>
  <c r="AG2561" i="12"/>
  <c r="AF2561" i="12"/>
  <c r="Z2561" i="12"/>
  <c r="AG2560" i="12"/>
  <c r="AF2560" i="12"/>
  <c r="Z2560" i="12"/>
  <c r="AG2559" i="12"/>
  <c r="AF2559" i="12"/>
  <c r="Z2559" i="12"/>
  <c r="AG2558" i="12"/>
  <c r="AF2558" i="12"/>
  <c r="Z2558" i="12"/>
  <c r="AG2557" i="12"/>
  <c r="AF2557" i="12"/>
  <c r="Z2557" i="12"/>
  <c r="AG2556" i="12"/>
  <c r="AF2556" i="12"/>
  <c r="Z2556" i="12"/>
  <c r="AG2555" i="12"/>
  <c r="AF2555" i="12"/>
  <c r="Z2555" i="12"/>
  <c r="AG2554" i="12"/>
  <c r="AF2554" i="12"/>
  <c r="Z2554" i="12"/>
  <c r="AG2553" i="12"/>
  <c r="AF2553" i="12"/>
  <c r="Z2553" i="12"/>
  <c r="AG2552" i="12"/>
  <c r="AF2552" i="12"/>
  <c r="Z2552" i="12"/>
  <c r="AG2551" i="12"/>
  <c r="AF2551" i="12"/>
  <c r="Z2551" i="12"/>
  <c r="AG2550" i="12"/>
  <c r="AF2550" i="12"/>
  <c r="Z2550" i="12"/>
  <c r="AG2549" i="12"/>
  <c r="AF2549" i="12"/>
  <c r="Z2549" i="12"/>
  <c r="AG2548" i="12"/>
  <c r="AF2548" i="12"/>
  <c r="Z2548" i="12"/>
  <c r="AG2547" i="12"/>
  <c r="AF2547" i="12"/>
  <c r="Z2547" i="12"/>
  <c r="AG2546" i="12"/>
  <c r="AF2546" i="12"/>
  <c r="Z2546" i="12"/>
  <c r="AG2545" i="12"/>
  <c r="AF2545" i="12"/>
  <c r="Z2545" i="12"/>
  <c r="AG2544" i="12"/>
  <c r="AF2544" i="12"/>
  <c r="Z2544" i="12"/>
  <c r="AG2543" i="12"/>
  <c r="AF2543" i="12"/>
  <c r="Z2543" i="12"/>
  <c r="AG2542" i="12"/>
  <c r="AF2542" i="12"/>
  <c r="Z2542" i="12"/>
  <c r="AG2541" i="12"/>
  <c r="AF2541" i="12"/>
  <c r="Z2541" i="12"/>
  <c r="AG2540" i="12"/>
  <c r="AF2540" i="12"/>
  <c r="Z2540" i="12"/>
  <c r="AG2539" i="12"/>
  <c r="AF2539" i="12"/>
  <c r="Z2539" i="12"/>
  <c r="AG2538" i="12"/>
  <c r="AF2538" i="12"/>
  <c r="Z2538" i="12"/>
  <c r="AG2537" i="12"/>
  <c r="AF2537" i="12"/>
  <c r="Z2537" i="12"/>
  <c r="AG2536" i="12"/>
  <c r="AF2536" i="12"/>
  <c r="Z2536" i="12"/>
  <c r="AG2535" i="12"/>
  <c r="AF2535" i="12"/>
  <c r="Z2535" i="12"/>
  <c r="AG2534" i="12"/>
  <c r="AF2534" i="12"/>
  <c r="Z2534" i="12"/>
  <c r="AG2533" i="12"/>
  <c r="AF2533" i="12"/>
  <c r="Z2533" i="12"/>
  <c r="AG2532" i="12"/>
  <c r="AF2532" i="12"/>
  <c r="Z2532" i="12"/>
  <c r="AG2531" i="12"/>
  <c r="AF2531" i="12"/>
  <c r="Z2531" i="12"/>
  <c r="AG2530" i="12"/>
  <c r="AF2530" i="12"/>
  <c r="Z2530" i="12"/>
  <c r="AG2529" i="12"/>
  <c r="AF2529" i="12"/>
  <c r="Z2529" i="12"/>
  <c r="AG2528" i="12"/>
  <c r="AF2528" i="12"/>
  <c r="Z2528" i="12"/>
  <c r="AG2527" i="12"/>
  <c r="AF2527" i="12"/>
  <c r="Z2527" i="12"/>
  <c r="AG2526" i="12"/>
  <c r="AF2526" i="12"/>
  <c r="Z2526" i="12"/>
  <c r="AG2525" i="12"/>
  <c r="AF2525" i="12"/>
  <c r="Z2525" i="12"/>
  <c r="AG2524" i="12"/>
  <c r="AF2524" i="12"/>
  <c r="Z2524" i="12"/>
  <c r="AG2523" i="12"/>
  <c r="AF2523" i="12"/>
  <c r="Z2523" i="12"/>
  <c r="AG2522" i="12"/>
  <c r="AF2522" i="12"/>
  <c r="Z2522" i="12"/>
  <c r="AG2521" i="12"/>
  <c r="AF2521" i="12"/>
  <c r="Z2521" i="12"/>
  <c r="AG2520" i="12"/>
  <c r="AF2520" i="12"/>
  <c r="Z2520" i="12"/>
  <c r="AG2519" i="12"/>
  <c r="AF2519" i="12"/>
  <c r="Z2519" i="12"/>
  <c r="AG2518" i="12"/>
  <c r="AF2518" i="12"/>
  <c r="Z2518" i="12"/>
  <c r="AG2517" i="12"/>
  <c r="AF2517" i="12"/>
  <c r="Z2517" i="12"/>
  <c r="AG2516" i="12"/>
  <c r="AF2516" i="12"/>
  <c r="Z2516" i="12"/>
  <c r="AG2515" i="12"/>
  <c r="AF2515" i="12"/>
  <c r="Z2515" i="12"/>
  <c r="AG2514" i="12"/>
  <c r="AF2514" i="12"/>
  <c r="Z2514" i="12"/>
  <c r="AG2513" i="12"/>
  <c r="AF2513" i="12"/>
  <c r="Z2513" i="12"/>
  <c r="AG2512" i="12"/>
  <c r="AF2512" i="12"/>
  <c r="Z2512" i="12"/>
  <c r="AG2511" i="12"/>
  <c r="AF2511" i="12"/>
  <c r="Z2511" i="12"/>
  <c r="AG2510" i="12"/>
  <c r="AF2510" i="12"/>
  <c r="Z2510" i="12"/>
  <c r="AG2509" i="12"/>
  <c r="AF2509" i="12"/>
  <c r="Z2509" i="12"/>
  <c r="AG2508" i="12"/>
  <c r="AF2508" i="12"/>
  <c r="Z2508" i="12"/>
  <c r="AG2507" i="12"/>
  <c r="AF2507" i="12"/>
  <c r="Z2507" i="12"/>
  <c r="AG2506" i="12"/>
  <c r="AF2506" i="12"/>
  <c r="Z2506" i="12"/>
  <c r="AG2505" i="12"/>
  <c r="AF2505" i="12"/>
  <c r="Z2505" i="12"/>
  <c r="AG2504" i="12"/>
  <c r="AF2504" i="12"/>
  <c r="Z2504" i="12"/>
  <c r="AG2503" i="12"/>
  <c r="AF2503" i="12"/>
  <c r="Z2503" i="12"/>
  <c r="AG2502" i="12"/>
  <c r="AF2502" i="12"/>
  <c r="Z2502" i="12"/>
  <c r="AG2501" i="12"/>
  <c r="AF2501" i="12"/>
  <c r="Z2501" i="12"/>
  <c r="AG2500" i="12"/>
  <c r="AF2500" i="12"/>
  <c r="Z2500" i="12"/>
  <c r="AG2499" i="12"/>
  <c r="AF2499" i="12"/>
  <c r="Z2499" i="12"/>
  <c r="AG2498" i="12"/>
  <c r="AF2498" i="12"/>
  <c r="Z2498" i="12"/>
  <c r="AG2497" i="12"/>
  <c r="AF2497" i="12"/>
  <c r="Z2497" i="12"/>
  <c r="AG2496" i="12"/>
  <c r="AF2496" i="12"/>
  <c r="Z2496" i="12"/>
  <c r="AG2495" i="12"/>
  <c r="AF2495" i="12"/>
  <c r="Z2495" i="12"/>
  <c r="AG2494" i="12"/>
  <c r="AF2494" i="12"/>
  <c r="Z2494" i="12"/>
  <c r="AG2493" i="12"/>
  <c r="AF2493" i="12"/>
  <c r="Z2493" i="12"/>
  <c r="AG2492" i="12"/>
  <c r="AF2492" i="12"/>
  <c r="Z2492" i="12"/>
  <c r="AG2491" i="12"/>
  <c r="AF2491" i="12"/>
  <c r="Z2491" i="12"/>
  <c r="AG2490" i="12"/>
  <c r="AF2490" i="12"/>
  <c r="Z2490" i="12"/>
  <c r="AG2489" i="12"/>
  <c r="AF2489" i="12"/>
  <c r="Z2489" i="12"/>
  <c r="AG2488" i="12"/>
  <c r="AF2488" i="12"/>
  <c r="Z2488" i="12"/>
  <c r="AG2487" i="12"/>
  <c r="AF2487" i="12"/>
  <c r="Z2487" i="12"/>
  <c r="AG2486" i="12"/>
  <c r="AF2486" i="12"/>
  <c r="Z2486" i="12"/>
  <c r="AG2485" i="12"/>
  <c r="AF2485" i="12"/>
  <c r="Z2485" i="12"/>
  <c r="AG2484" i="12"/>
  <c r="AF2484" i="12"/>
  <c r="Z2484" i="12"/>
  <c r="AG2483" i="12"/>
  <c r="AF2483" i="12"/>
  <c r="Z2483" i="12"/>
  <c r="AG2482" i="12"/>
  <c r="AF2482" i="12"/>
  <c r="Z2482" i="12"/>
  <c r="AG2481" i="12"/>
  <c r="AF2481" i="12"/>
  <c r="Z2481" i="12"/>
  <c r="AG2480" i="12"/>
  <c r="AF2480" i="12"/>
  <c r="Z2480" i="12"/>
  <c r="AG2479" i="12"/>
  <c r="AF2479" i="12"/>
  <c r="Z2479" i="12"/>
  <c r="AG2478" i="12"/>
  <c r="AF2478" i="12"/>
  <c r="Z2478" i="12"/>
  <c r="AG2477" i="12"/>
  <c r="AF2477" i="12"/>
  <c r="Z2477" i="12"/>
  <c r="AG2476" i="12"/>
  <c r="AF2476" i="12"/>
  <c r="Z2476" i="12"/>
  <c r="AG2475" i="12"/>
  <c r="AF2475" i="12"/>
  <c r="Z2475" i="12"/>
  <c r="AG2474" i="12"/>
  <c r="AF2474" i="12"/>
  <c r="Z2474" i="12"/>
  <c r="AG2473" i="12"/>
  <c r="AF2473" i="12"/>
  <c r="Z2473" i="12"/>
  <c r="AG2472" i="12"/>
  <c r="AF2472" i="12"/>
  <c r="Z2472" i="12"/>
  <c r="AG2471" i="12"/>
  <c r="AF2471" i="12"/>
  <c r="Z2471" i="12"/>
  <c r="AG2470" i="12"/>
  <c r="AF2470" i="12"/>
  <c r="Z2470" i="12"/>
  <c r="AG2469" i="12"/>
  <c r="AF2469" i="12"/>
  <c r="Z2469" i="12"/>
  <c r="AG2468" i="12"/>
  <c r="AF2468" i="12"/>
  <c r="Z2468" i="12"/>
  <c r="AG2467" i="12"/>
  <c r="AF2467" i="12"/>
  <c r="Z2467" i="12"/>
  <c r="AG2466" i="12"/>
  <c r="AF2466" i="12"/>
  <c r="Z2466" i="12"/>
  <c r="AG2465" i="12"/>
  <c r="AF2465" i="12"/>
  <c r="Z2465" i="12"/>
  <c r="AG2464" i="12"/>
  <c r="AF2464" i="12"/>
  <c r="Z2464" i="12"/>
  <c r="AG2463" i="12"/>
  <c r="AF2463" i="12"/>
  <c r="Z2463" i="12"/>
  <c r="AG2462" i="12"/>
  <c r="AF2462" i="12"/>
  <c r="Z2462" i="12"/>
  <c r="AG2461" i="12"/>
  <c r="AF2461" i="12"/>
  <c r="Z2461" i="12"/>
  <c r="AG2460" i="12"/>
  <c r="AF2460" i="12"/>
  <c r="Z2460" i="12"/>
  <c r="AG2459" i="12"/>
  <c r="AF2459" i="12"/>
  <c r="Z2459" i="12"/>
  <c r="AG2458" i="12"/>
  <c r="AF2458" i="12"/>
  <c r="Z2458" i="12"/>
  <c r="AG2457" i="12"/>
  <c r="AF2457" i="12"/>
  <c r="Z2457" i="12"/>
  <c r="AG2456" i="12"/>
  <c r="AF2456" i="12"/>
  <c r="Z2456" i="12"/>
  <c r="AG2455" i="12"/>
  <c r="AF2455" i="12"/>
  <c r="Z2455" i="12"/>
  <c r="AG2454" i="12"/>
  <c r="AF2454" i="12"/>
  <c r="Z2454" i="12"/>
  <c r="AG2453" i="12"/>
  <c r="AF2453" i="12"/>
  <c r="Z2453" i="12"/>
  <c r="AG2452" i="12"/>
  <c r="AF2452" i="12"/>
  <c r="Z2452" i="12"/>
  <c r="AG2451" i="12"/>
  <c r="AF2451" i="12"/>
  <c r="Z2451" i="12"/>
  <c r="AG2450" i="12"/>
  <c r="AF2450" i="12"/>
  <c r="Z2450" i="12"/>
  <c r="AG2449" i="12"/>
  <c r="AF2449" i="12"/>
  <c r="Z2449" i="12"/>
  <c r="AG2448" i="12"/>
  <c r="AF2448" i="12"/>
  <c r="Z2448" i="12"/>
  <c r="AG2447" i="12"/>
  <c r="AF2447" i="12"/>
  <c r="Z2447" i="12"/>
  <c r="AG2446" i="12"/>
  <c r="AF2446" i="12"/>
  <c r="Z2446" i="12"/>
  <c r="AG2445" i="12"/>
  <c r="AF2445" i="12"/>
  <c r="Z2445" i="12"/>
  <c r="AG2444" i="12"/>
  <c r="AF2444" i="12"/>
  <c r="Z2444" i="12"/>
  <c r="AG2443" i="12"/>
  <c r="AF2443" i="12"/>
  <c r="Z2443" i="12"/>
  <c r="AG2442" i="12"/>
  <c r="AF2442" i="12"/>
  <c r="Z2442" i="12"/>
  <c r="AG2441" i="12"/>
  <c r="AF2441" i="12"/>
  <c r="Z2441" i="12"/>
  <c r="AG2440" i="12"/>
  <c r="AF2440" i="12"/>
  <c r="Z2440" i="12"/>
  <c r="AG2439" i="12"/>
  <c r="AF2439" i="12"/>
  <c r="Z2439" i="12"/>
  <c r="AG2438" i="12"/>
  <c r="AF2438" i="12"/>
  <c r="Z2438" i="12"/>
  <c r="AG2437" i="12"/>
  <c r="AF2437" i="12"/>
  <c r="Z2437" i="12"/>
  <c r="AG2436" i="12"/>
  <c r="AF2436" i="12"/>
  <c r="Z2436" i="12"/>
  <c r="AG2435" i="12"/>
  <c r="AF2435" i="12"/>
  <c r="Z2435" i="12"/>
  <c r="AG2434" i="12"/>
  <c r="AF2434" i="12"/>
  <c r="Z2434" i="12"/>
  <c r="AG2433" i="12"/>
  <c r="AF2433" i="12"/>
  <c r="Z2433" i="12"/>
  <c r="AG2432" i="12"/>
  <c r="AF2432" i="12"/>
  <c r="Z2432" i="12"/>
  <c r="AG2431" i="12"/>
  <c r="AF2431" i="12"/>
  <c r="Z2431" i="12"/>
  <c r="AG2430" i="12"/>
  <c r="AF2430" i="12"/>
  <c r="Z2430" i="12"/>
  <c r="AG2429" i="12"/>
  <c r="AF2429" i="12"/>
  <c r="Z2429" i="12"/>
  <c r="AG2428" i="12"/>
  <c r="AF2428" i="12"/>
  <c r="Z2428" i="12"/>
  <c r="AG2427" i="12"/>
  <c r="AF2427" i="12"/>
  <c r="Z2427" i="12"/>
  <c r="AG2426" i="12"/>
  <c r="AF2426" i="12"/>
  <c r="Z2426" i="12"/>
  <c r="AG2425" i="12"/>
  <c r="AF2425" i="12"/>
  <c r="Z2425" i="12"/>
  <c r="AG2424" i="12"/>
  <c r="AF2424" i="12"/>
  <c r="Z2424" i="12"/>
  <c r="AG2423" i="12"/>
  <c r="AF2423" i="12"/>
  <c r="Z2423" i="12"/>
  <c r="AG2422" i="12"/>
  <c r="AF2422" i="12"/>
  <c r="Z2422" i="12"/>
  <c r="AG2421" i="12"/>
  <c r="AF2421" i="12"/>
  <c r="Z2421" i="12"/>
  <c r="AG2420" i="12"/>
  <c r="AF2420" i="12"/>
  <c r="Z2420" i="12"/>
  <c r="AG2419" i="12"/>
  <c r="AF2419" i="12"/>
  <c r="Z2419" i="12"/>
  <c r="AG2418" i="12"/>
  <c r="AF2418" i="12"/>
  <c r="Z2418" i="12"/>
  <c r="AG2417" i="12"/>
  <c r="AF2417" i="12"/>
  <c r="Z2417" i="12"/>
  <c r="AG2416" i="12"/>
  <c r="AF2416" i="12"/>
  <c r="Z2416" i="12"/>
  <c r="AG2415" i="12"/>
  <c r="AF2415" i="12"/>
  <c r="Z2415" i="12"/>
  <c r="AG2414" i="12"/>
  <c r="AF2414" i="12"/>
  <c r="Z2414" i="12"/>
  <c r="AG2413" i="12"/>
  <c r="AF2413" i="12"/>
  <c r="Z2413" i="12"/>
  <c r="AG2412" i="12"/>
  <c r="AF2412" i="12"/>
  <c r="Z2412" i="12"/>
  <c r="AG2411" i="12"/>
  <c r="AF2411" i="12"/>
  <c r="Z2411" i="12"/>
  <c r="AG2410" i="12"/>
  <c r="AF2410" i="12"/>
  <c r="Z2410" i="12"/>
  <c r="AG2409" i="12"/>
  <c r="AF2409" i="12"/>
  <c r="Z2409" i="12"/>
  <c r="AG2408" i="12"/>
  <c r="AF2408" i="12"/>
  <c r="Z2408" i="12"/>
  <c r="AG2407" i="12"/>
  <c r="AF2407" i="12"/>
  <c r="Z2407" i="12"/>
  <c r="AG2406" i="12"/>
  <c r="AF2406" i="12"/>
  <c r="Z2406" i="12"/>
  <c r="AG2405" i="12"/>
  <c r="AF2405" i="12"/>
  <c r="Z2405" i="12"/>
  <c r="AG2404" i="12"/>
  <c r="AF2404" i="12"/>
  <c r="Z2404" i="12"/>
  <c r="AG2403" i="12"/>
  <c r="AF2403" i="12"/>
  <c r="Z2403" i="12"/>
  <c r="AG2402" i="12"/>
  <c r="AF2402" i="12"/>
  <c r="Z2402" i="12"/>
  <c r="AG2401" i="12"/>
  <c r="AF2401" i="12"/>
  <c r="Z2401" i="12"/>
  <c r="AG2400" i="12"/>
  <c r="AF2400" i="12"/>
  <c r="Z2400" i="12"/>
  <c r="AG2399" i="12"/>
  <c r="AF2399" i="12"/>
  <c r="Z2399" i="12"/>
  <c r="AG2398" i="12"/>
  <c r="AF2398" i="12"/>
  <c r="Z2398" i="12"/>
  <c r="AG2397" i="12"/>
  <c r="AF2397" i="12"/>
  <c r="Z2397" i="12"/>
  <c r="AG2396" i="12"/>
  <c r="AF2396" i="12"/>
  <c r="Z2396" i="12"/>
  <c r="AG2395" i="12"/>
  <c r="AF2395" i="12"/>
  <c r="Z2395" i="12"/>
  <c r="AG2394" i="12"/>
  <c r="AF2394" i="12"/>
  <c r="Z2394" i="12"/>
  <c r="AG2393" i="12"/>
  <c r="AF2393" i="12"/>
  <c r="Z2393" i="12"/>
  <c r="AG2392" i="12"/>
  <c r="AF2392" i="12"/>
  <c r="Z2392" i="12"/>
  <c r="AG2391" i="12"/>
  <c r="AF2391" i="12"/>
  <c r="Z2391" i="12"/>
  <c r="AG2390" i="12"/>
  <c r="AF2390" i="12"/>
  <c r="Z2390" i="12"/>
  <c r="AG2389" i="12"/>
  <c r="AF2389" i="12"/>
  <c r="Z2389" i="12"/>
  <c r="AG2388" i="12"/>
  <c r="AF2388" i="12"/>
  <c r="Z2388" i="12"/>
  <c r="AG2387" i="12"/>
  <c r="AF2387" i="12"/>
  <c r="Z2387" i="12"/>
  <c r="AG2386" i="12"/>
  <c r="AF2386" i="12"/>
  <c r="Z2386" i="12"/>
  <c r="AG2385" i="12"/>
  <c r="AF2385" i="12"/>
  <c r="Z2385" i="12"/>
  <c r="AG2384" i="12"/>
  <c r="AF2384" i="12"/>
  <c r="Z2384" i="12"/>
  <c r="AG2383" i="12"/>
  <c r="AF2383" i="12"/>
  <c r="Z2383" i="12"/>
  <c r="AG2382" i="12"/>
  <c r="AF2382" i="12"/>
  <c r="Z2382" i="12"/>
  <c r="AG2381" i="12"/>
  <c r="AF2381" i="12"/>
  <c r="Z2381" i="12"/>
  <c r="AG2380" i="12"/>
  <c r="AF2380" i="12"/>
  <c r="Z2380" i="12"/>
  <c r="AG2379" i="12"/>
  <c r="AF2379" i="12"/>
  <c r="Z2379" i="12"/>
  <c r="AG2378" i="12"/>
  <c r="AF2378" i="12"/>
  <c r="Z2378" i="12"/>
  <c r="AG2377" i="12"/>
  <c r="AF2377" i="12"/>
  <c r="Z2377" i="12"/>
  <c r="AG2376" i="12"/>
  <c r="AF2376" i="12"/>
  <c r="Z2376" i="12"/>
  <c r="AG2375" i="12"/>
  <c r="AF2375" i="12"/>
  <c r="Z2375" i="12"/>
  <c r="AG2374" i="12"/>
  <c r="AF2374" i="12"/>
  <c r="Z2374" i="12"/>
  <c r="AG2373" i="12"/>
  <c r="AF2373" i="12"/>
  <c r="Z2373" i="12"/>
  <c r="AG2372" i="12"/>
  <c r="AF2372" i="12"/>
  <c r="Z2372" i="12"/>
  <c r="AG2371" i="12"/>
  <c r="AF2371" i="12"/>
  <c r="Z2371" i="12"/>
  <c r="AG2370" i="12"/>
  <c r="AF2370" i="12"/>
  <c r="Z2370" i="12"/>
  <c r="AG2369" i="12"/>
  <c r="AF2369" i="12"/>
  <c r="Z2369" i="12"/>
  <c r="AG2368" i="12"/>
  <c r="AF2368" i="12"/>
  <c r="Z2368" i="12"/>
  <c r="AG2367" i="12"/>
  <c r="AF2367" i="12"/>
  <c r="Z2367" i="12"/>
  <c r="AG2366" i="12"/>
  <c r="AF2366" i="12"/>
  <c r="Z2366" i="12"/>
  <c r="AG2365" i="12"/>
  <c r="AF2365" i="12"/>
  <c r="Z2365" i="12"/>
  <c r="AG2364" i="12"/>
  <c r="AF2364" i="12"/>
  <c r="Z2364" i="12"/>
  <c r="AG2363" i="12"/>
  <c r="AF2363" i="12"/>
  <c r="Z2363" i="12"/>
  <c r="AG2362" i="12"/>
  <c r="AF2362" i="12"/>
  <c r="Z2362" i="12"/>
  <c r="AG2361" i="12"/>
  <c r="AF2361" i="12"/>
  <c r="Z2361" i="12"/>
  <c r="AG2360" i="12"/>
  <c r="AF2360" i="12"/>
  <c r="Z2360" i="12"/>
  <c r="AG2359" i="12"/>
  <c r="AF2359" i="12"/>
  <c r="Z2359" i="12"/>
  <c r="AG2358" i="12"/>
  <c r="AF2358" i="12"/>
  <c r="Z2358" i="12"/>
  <c r="AG2357" i="12"/>
  <c r="AF2357" i="12"/>
  <c r="Z2357" i="12"/>
  <c r="AG2356" i="12"/>
  <c r="AF2356" i="12"/>
  <c r="Z2356" i="12"/>
  <c r="AG2355" i="12"/>
  <c r="AF2355" i="12"/>
  <c r="Z2355" i="12"/>
  <c r="AG2354" i="12"/>
  <c r="AF2354" i="12"/>
  <c r="Z2354" i="12"/>
  <c r="AG2353" i="12"/>
  <c r="AF2353" i="12"/>
  <c r="Z2353" i="12"/>
  <c r="AG2352" i="12"/>
  <c r="AF2352" i="12"/>
  <c r="Z2352" i="12"/>
  <c r="AG2351" i="12"/>
  <c r="AF2351" i="12"/>
  <c r="Z2351" i="12"/>
  <c r="AG2350" i="12"/>
  <c r="AF2350" i="12"/>
  <c r="Z2350" i="12"/>
  <c r="AG2349" i="12"/>
  <c r="AF2349" i="12"/>
  <c r="Z2349" i="12"/>
  <c r="AG2348" i="12"/>
  <c r="AF2348" i="12"/>
  <c r="Z2348" i="12"/>
  <c r="AG2347" i="12"/>
  <c r="AF2347" i="12"/>
  <c r="Z2347" i="12"/>
  <c r="AG2346" i="12"/>
  <c r="AF2346" i="12"/>
  <c r="Z2346" i="12"/>
  <c r="AG2345" i="12"/>
  <c r="AF2345" i="12"/>
  <c r="Z2345" i="12"/>
  <c r="AG2344" i="12"/>
  <c r="AF2344" i="12"/>
  <c r="Z2344" i="12"/>
  <c r="AG2343" i="12"/>
  <c r="AF2343" i="12"/>
  <c r="Z2343" i="12"/>
  <c r="AG2342" i="12"/>
  <c r="AF2342" i="12"/>
  <c r="Z2342" i="12"/>
  <c r="AG2341" i="12"/>
  <c r="AF2341" i="12"/>
  <c r="Z2341" i="12"/>
  <c r="AG2340" i="12"/>
  <c r="AF2340" i="12"/>
  <c r="Z2340" i="12"/>
  <c r="AG2339" i="12"/>
  <c r="AF2339" i="12"/>
  <c r="Z2339" i="12"/>
  <c r="AG2338" i="12"/>
  <c r="AF2338" i="12"/>
  <c r="Z2338" i="12"/>
  <c r="AG2337" i="12"/>
  <c r="AF2337" i="12"/>
  <c r="Z2337" i="12"/>
  <c r="AG2336" i="12"/>
  <c r="AF2336" i="12"/>
  <c r="Z2336" i="12"/>
  <c r="AG2335" i="12"/>
  <c r="AF2335" i="12"/>
  <c r="Z2335" i="12"/>
  <c r="AG2334" i="12"/>
  <c r="AF2334" i="12"/>
  <c r="Z2334" i="12"/>
  <c r="AG2333" i="12"/>
  <c r="AF2333" i="12"/>
  <c r="Z2333" i="12"/>
  <c r="AG2332" i="12"/>
  <c r="AF2332" i="12"/>
  <c r="Z2332" i="12"/>
  <c r="AG2331" i="12"/>
  <c r="AF2331" i="12"/>
  <c r="Z2331" i="12"/>
  <c r="AG2330" i="12"/>
  <c r="AF2330" i="12"/>
  <c r="Z2330" i="12"/>
  <c r="AG2329" i="12"/>
  <c r="AF2329" i="12"/>
  <c r="Z2329" i="12"/>
  <c r="AG2328" i="12"/>
  <c r="AF2328" i="12"/>
  <c r="Z2328" i="12"/>
  <c r="AG2327" i="12"/>
  <c r="AF2327" i="12"/>
  <c r="Z2327" i="12"/>
  <c r="AG2326" i="12"/>
  <c r="AF2326" i="12"/>
  <c r="Z2326" i="12"/>
  <c r="AG2325" i="12"/>
  <c r="AF2325" i="12"/>
  <c r="Z2325" i="12"/>
  <c r="AG2324" i="12"/>
  <c r="AF2324" i="12"/>
  <c r="Z2324" i="12"/>
  <c r="AG2323" i="12"/>
  <c r="AF2323" i="12"/>
  <c r="Z2323" i="12"/>
  <c r="AG2322" i="12"/>
  <c r="AF2322" i="12"/>
  <c r="Z2322" i="12"/>
  <c r="AG2321" i="12"/>
  <c r="AF2321" i="12"/>
  <c r="Z2321" i="12"/>
  <c r="AG2320" i="12"/>
  <c r="AF2320" i="12"/>
  <c r="Z2320" i="12"/>
  <c r="AG2319" i="12"/>
  <c r="AF2319" i="12"/>
  <c r="Z2319" i="12"/>
  <c r="AG2318" i="12"/>
  <c r="AF2318" i="12"/>
  <c r="Z2318" i="12"/>
  <c r="AG2317" i="12"/>
  <c r="AF2317" i="12"/>
  <c r="Z2317" i="12"/>
  <c r="AG2316" i="12"/>
  <c r="AF2316" i="12"/>
  <c r="Z2316" i="12"/>
  <c r="AG2315" i="12"/>
  <c r="AF2315" i="12"/>
  <c r="Z2315" i="12"/>
  <c r="AG2314" i="12"/>
  <c r="AF2314" i="12"/>
  <c r="Z2314" i="12"/>
  <c r="AG2313" i="12"/>
  <c r="AF2313" i="12"/>
  <c r="Z2313" i="12"/>
  <c r="AG2312" i="12"/>
  <c r="AF2312" i="12"/>
  <c r="Z2312" i="12"/>
  <c r="AG2311" i="12"/>
  <c r="AF2311" i="12"/>
  <c r="Z2311" i="12"/>
  <c r="AG2310" i="12"/>
  <c r="AF2310" i="12"/>
  <c r="Z2310" i="12"/>
  <c r="AG2309" i="12"/>
  <c r="AF2309" i="12"/>
  <c r="Z2309" i="12"/>
  <c r="AG2308" i="12"/>
  <c r="AF2308" i="12"/>
  <c r="Z2308" i="12"/>
  <c r="AG2307" i="12"/>
  <c r="AF2307" i="12"/>
  <c r="Z2307" i="12"/>
  <c r="AG2306" i="12"/>
  <c r="AF2306" i="12"/>
  <c r="Z2306" i="12"/>
  <c r="AG2305" i="12"/>
  <c r="AF2305" i="12"/>
  <c r="Z2305" i="12"/>
  <c r="AG2304" i="12"/>
  <c r="AF2304" i="12"/>
  <c r="Z2304" i="12"/>
  <c r="AG2303" i="12"/>
  <c r="AF2303" i="12"/>
  <c r="Z2303" i="12"/>
  <c r="AG2302" i="12"/>
  <c r="AF2302" i="12"/>
  <c r="Z2302" i="12"/>
  <c r="AG2301" i="12"/>
  <c r="AF2301" i="12"/>
  <c r="Z2301" i="12"/>
  <c r="AG2300" i="12"/>
  <c r="AF2300" i="12"/>
  <c r="Z2300" i="12"/>
  <c r="AG2299" i="12"/>
  <c r="AF2299" i="12"/>
  <c r="Z2299" i="12"/>
  <c r="AG2298" i="12"/>
  <c r="AF2298" i="12"/>
  <c r="Z2298" i="12"/>
  <c r="AG2297" i="12"/>
  <c r="AF2297" i="12"/>
  <c r="Z2297" i="12"/>
  <c r="AG2296" i="12"/>
  <c r="AF2296" i="12"/>
  <c r="Z2296" i="12"/>
  <c r="AG2295" i="12"/>
  <c r="AF2295" i="12"/>
  <c r="Z2295" i="12"/>
  <c r="AG2294" i="12"/>
  <c r="AF2294" i="12"/>
  <c r="Z2294" i="12"/>
  <c r="AG2293" i="12"/>
  <c r="AF2293" i="12"/>
  <c r="Z2293" i="12"/>
  <c r="AG2292" i="12"/>
  <c r="AF2292" i="12"/>
  <c r="Z2292" i="12"/>
  <c r="AG2291" i="12"/>
  <c r="AF2291" i="12"/>
  <c r="Z2291" i="12"/>
  <c r="AG2290" i="12"/>
  <c r="AF2290" i="12"/>
  <c r="Z2290" i="12"/>
  <c r="AG2289" i="12"/>
  <c r="AF2289" i="12"/>
  <c r="Z2289" i="12"/>
  <c r="AG2288" i="12"/>
  <c r="AF2288" i="12"/>
  <c r="Z2288" i="12"/>
  <c r="AG2287" i="12"/>
  <c r="AF2287" i="12"/>
  <c r="Z2287" i="12"/>
  <c r="AG2286" i="12"/>
  <c r="AF2286" i="12"/>
  <c r="Z2286" i="12"/>
  <c r="AG2285" i="12"/>
  <c r="AF2285" i="12"/>
  <c r="Z2285" i="12"/>
  <c r="AG2284" i="12"/>
  <c r="AF2284" i="12"/>
  <c r="Z2284" i="12"/>
  <c r="AG2283" i="12"/>
  <c r="AF2283" i="12"/>
  <c r="Z2283" i="12"/>
  <c r="AG2282" i="12"/>
  <c r="AF2282" i="12"/>
  <c r="Z2282" i="12"/>
  <c r="AG2281" i="12"/>
  <c r="AF2281" i="12"/>
  <c r="Z2281" i="12"/>
  <c r="AG2280" i="12"/>
  <c r="AF2280" i="12"/>
  <c r="Z2280" i="12"/>
  <c r="AG2279" i="12"/>
  <c r="AF2279" i="12"/>
  <c r="Z2279" i="12"/>
  <c r="AG2278" i="12"/>
  <c r="AF2278" i="12"/>
  <c r="Z2278" i="12"/>
  <c r="AG2277" i="12"/>
  <c r="AF2277" i="12"/>
  <c r="Z2277" i="12"/>
  <c r="AG2276" i="12"/>
  <c r="AF2276" i="12"/>
  <c r="Z2276" i="12"/>
  <c r="AG2275" i="12"/>
  <c r="AF2275" i="12"/>
  <c r="Z2275" i="12"/>
  <c r="AG2274" i="12"/>
  <c r="AF2274" i="12"/>
  <c r="Z2274" i="12"/>
  <c r="AG2273" i="12"/>
  <c r="AF2273" i="12"/>
  <c r="Z2273" i="12"/>
  <c r="AG2272" i="12"/>
  <c r="AF2272" i="12"/>
  <c r="Z2272" i="12"/>
  <c r="AG2271" i="12"/>
  <c r="AF2271" i="12"/>
  <c r="Z2271" i="12"/>
  <c r="AG2270" i="12"/>
  <c r="AF2270" i="12"/>
  <c r="Z2270" i="12"/>
  <c r="AG2269" i="12"/>
  <c r="AF2269" i="12"/>
  <c r="Z2269" i="12"/>
  <c r="AG2268" i="12"/>
  <c r="AF2268" i="12"/>
  <c r="Z2268" i="12"/>
  <c r="AG2267" i="12"/>
  <c r="AF2267" i="12"/>
  <c r="Z2267" i="12"/>
  <c r="AG2266" i="12"/>
  <c r="AF2266" i="12"/>
  <c r="Z2266" i="12"/>
  <c r="AG2265" i="12"/>
  <c r="AF2265" i="12"/>
  <c r="Z2265" i="12"/>
  <c r="AG2264" i="12"/>
  <c r="AF2264" i="12"/>
  <c r="Z2264" i="12"/>
  <c r="AG2263" i="12"/>
  <c r="AF2263" i="12"/>
  <c r="Z2263" i="12"/>
  <c r="AG2262" i="12"/>
  <c r="AF2262" i="12"/>
  <c r="Z2262" i="12"/>
  <c r="AG2261" i="12"/>
  <c r="AF2261" i="12"/>
  <c r="Z2261" i="12"/>
  <c r="AG2260" i="12"/>
  <c r="AF2260" i="12"/>
  <c r="Z2260" i="12"/>
  <c r="AG2259" i="12"/>
  <c r="AF2259" i="12"/>
  <c r="Z2259" i="12"/>
  <c r="AG2258" i="12"/>
  <c r="AF2258" i="12"/>
  <c r="Z2258" i="12"/>
  <c r="AG2257" i="12"/>
  <c r="AF2257" i="12"/>
  <c r="Z2257" i="12"/>
  <c r="AG2256" i="12"/>
  <c r="AF2256" i="12"/>
  <c r="Z2256" i="12"/>
  <c r="AG2255" i="12"/>
  <c r="AF2255" i="12"/>
  <c r="Z2255" i="12"/>
  <c r="AG2254" i="12"/>
  <c r="AF2254" i="12"/>
  <c r="Z2254" i="12"/>
  <c r="AG2253" i="12"/>
  <c r="AF2253" i="12"/>
  <c r="Z2253" i="12"/>
  <c r="AG2252" i="12"/>
  <c r="AF2252" i="12"/>
  <c r="Z2252" i="12"/>
  <c r="AG2251" i="12"/>
  <c r="AF2251" i="12"/>
  <c r="Z2251" i="12"/>
  <c r="AG2250" i="12"/>
  <c r="AF2250" i="12"/>
  <c r="Z2250" i="12"/>
  <c r="AG2249" i="12"/>
  <c r="AF2249" i="12"/>
  <c r="Z2249" i="12"/>
  <c r="AG2248" i="12"/>
  <c r="AF2248" i="12"/>
  <c r="Z2248" i="12"/>
  <c r="AG2247" i="12"/>
  <c r="AF2247" i="12"/>
  <c r="Z2247" i="12"/>
  <c r="AG2246" i="12"/>
  <c r="AF2246" i="12"/>
  <c r="Z2246" i="12"/>
  <c r="AG2245" i="12"/>
  <c r="AF2245" i="12"/>
  <c r="Z2245" i="12"/>
  <c r="AG2244" i="12"/>
  <c r="AF2244" i="12"/>
  <c r="Z2244" i="12"/>
  <c r="AG2243" i="12"/>
  <c r="AF2243" i="12"/>
  <c r="Z2243" i="12"/>
  <c r="AG2242" i="12"/>
  <c r="AF2242" i="12"/>
  <c r="Z2242" i="12"/>
  <c r="AG2241" i="12"/>
  <c r="AF2241" i="12"/>
  <c r="Z2241" i="12"/>
  <c r="AG2240" i="12"/>
  <c r="AF2240" i="12"/>
  <c r="Z2240" i="12"/>
  <c r="AG2239" i="12"/>
  <c r="AF2239" i="12"/>
  <c r="Z2239" i="12"/>
  <c r="AG2238" i="12"/>
  <c r="AF2238" i="12"/>
  <c r="Z2238" i="12"/>
  <c r="AG2237" i="12"/>
  <c r="AF2237" i="12"/>
  <c r="Z2237" i="12"/>
  <c r="AG2236" i="12"/>
  <c r="AF2236" i="12"/>
  <c r="Z2236" i="12"/>
  <c r="AG2235" i="12"/>
  <c r="AF2235" i="12"/>
  <c r="Z2235" i="12"/>
  <c r="AG2234" i="12"/>
  <c r="AF2234" i="12"/>
  <c r="Z2234" i="12"/>
  <c r="AG2233" i="12"/>
  <c r="AF2233" i="12"/>
  <c r="Z2233" i="12"/>
  <c r="AG2232" i="12"/>
  <c r="AF2232" i="12"/>
  <c r="Z2232" i="12"/>
  <c r="AG2231" i="12"/>
  <c r="AF2231" i="12"/>
  <c r="Z2231" i="12"/>
  <c r="AG2230" i="12"/>
  <c r="AF2230" i="12"/>
  <c r="Z2230" i="12"/>
  <c r="AG2229" i="12"/>
  <c r="AF2229" i="12"/>
  <c r="Z2229" i="12"/>
  <c r="AG2228" i="12"/>
  <c r="AF2228" i="12"/>
  <c r="Z2228" i="12"/>
  <c r="AG2227" i="12"/>
  <c r="AF2227" i="12"/>
  <c r="Z2227" i="12"/>
  <c r="AG2226" i="12"/>
  <c r="AF2226" i="12"/>
  <c r="Z2226" i="12"/>
  <c r="AG2225" i="12"/>
  <c r="AF2225" i="12"/>
  <c r="Z2225" i="12"/>
  <c r="AG2224" i="12"/>
  <c r="AF2224" i="12"/>
  <c r="Z2224" i="12"/>
  <c r="AG2223" i="12"/>
  <c r="AF2223" i="12"/>
  <c r="Z2223" i="12"/>
  <c r="AG2222" i="12"/>
  <c r="AF2222" i="12"/>
  <c r="Z2222" i="12"/>
  <c r="AG2221" i="12"/>
  <c r="AF2221" i="12"/>
  <c r="Z2221" i="12"/>
  <c r="AG2220" i="12"/>
  <c r="AF2220" i="12"/>
  <c r="Z2220" i="12"/>
  <c r="AG2219" i="12"/>
  <c r="AF2219" i="12"/>
  <c r="Z2219" i="12"/>
  <c r="AG2218" i="12"/>
  <c r="AF2218" i="12"/>
  <c r="Z2218" i="12"/>
  <c r="AG2217" i="12"/>
  <c r="AF2217" i="12"/>
  <c r="Z2217" i="12"/>
  <c r="AG2216" i="12"/>
  <c r="AF2216" i="12"/>
  <c r="Z2216" i="12"/>
  <c r="AG2215" i="12"/>
  <c r="AF2215" i="12"/>
  <c r="Z2215" i="12"/>
  <c r="AG2214" i="12"/>
  <c r="AF2214" i="12"/>
  <c r="Z2214" i="12"/>
  <c r="AG2213" i="12"/>
  <c r="AF2213" i="12"/>
  <c r="Z2213" i="12"/>
  <c r="AG2212" i="12"/>
  <c r="AF2212" i="12"/>
  <c r="Z2212" i="12"/>
  <c r="AG2211" i="12"/>
  <c r="AF2211" i="12"/>
  <c r="Z2211" i="12"/>
  <c r="AG2210" i="12"/>
  <c r="AF2210" i="12"/>
  <c r="Z2210" i="12"/>
  <c r="AG2209" i="12"/>
  <c r="AF2209" i="12"/>
  <c r="Z2209" i="12"/>
  <c r="AG2208" i="12"/>
  <c r="AF2208" i="12"/>
  <c r="Z2208" i="12"/>
  <c r="AG2207" i="12"/>
  <c r="AF2207" i="12"/>
  <c r="Z2207" i="12"/>
  <c r="AG2206" i="12"/>
  <c r="AF2206" i="12"/>
  <c r="Z2206" i="12"/>
  <c r="AG2205" i="12"/>
  <c r="AF2205" i="12"/>
  <c r="Z2205" i="12"/>
  <c r="AG2204" i="12"/>
  <c r="AF2204" i="12"/>
  <c r="Z2204" i="12"/>
  <c r="AG2203" i="12"/>
  <c r="AF2203" i="12"/>
  <c r="Z2203" i="12"/>
  <c r="AG2202" i="12"/>
  <c r="AF2202" i="12"/>
  <c r="Z2202" i="12"/>
  <c r="AG2201" i="12"/>
  <c r="AF2201" i="12"/>
  <c r="Z2201" i="12"/>
  <c r="AG2200" i="12"/>
  <c r="AF2200" i="12"/>
  <c r="Z2200" i="12"/>
  <c r="AG2199" i="12"/>
  <c r="AF2199" i="12"/>
  <c r="Z2199" i="12"/>
  <c r="AG2198" i="12"/>
  <c r="AF2198" i="12"/>
  <c r="Z2198" i="12"/>
  <c r="AG2197" i="12"/>
  <c r="AF2197" i="12"/>
  <c r="Z2197" i="12"/>
  <c r="AG2196" i="12"/>
  <c r="AF2196" i="12"/>
  <c r="Z2196" i="12"/>
  <c r="AG2195" i="12"/>
  <c r="AF2195" i="12"/>
  <c r="Z2195" i="12"/>
  <c r="AG2194" i="12"/>
  <c r="AF2194" i="12"/>
  <c r="Z2194" i="12"/>
  <c r="AG2193" i="12"/>
  <c r="AF2193" i="12"/>
  <c r="Z2193" i="12"/>
  <c r="AG2192" i="12"/>
  <c r="AF2192" i="12"/>
  <c r="Z2192" i="12"/>
  <c r="AG2191" i="12"/>
  <c r="AF2191" i="12"/>
  <c r="Z2191" i="12"/>
  <c r="AG2190" i="12"/>
  <c r="AF2190" i="12"/>
  <c r="Z2190" i="12"/>
  <c r="AG2189" i="12"/>
  <c r="AF2189" i="12"/>
  <c r="Z2189" i="12"/>
  <c r="AG2188" i="12"/>
  <c r="AF2188" i="12"/>
  <c r="Z2188" i="12"/>
  <c r="AG2187" i="12"/>
  <c r="AF2187" i="12"/>
  <c r="Z2187" i="12"/>
  <c r="AG2186" i="12"/>
  <c r="AF2186" i="12"/>
  <c r="Z2186" i="12"/>
  <c r="AG2185" i="12"/>
  <c r="AF2185" i="12"/>
  <c r="Z2185" i="12"/>
  <c r="AG2184" i="12"/>
  <c r="AF2184" i="12"/>
  <c r="Z2184" i="12"/>
  <c r="AG2183" i="12"/>
  <c r="AF2183" i="12"/>
  <c r="Z2183" i="12"/>
  <c r="AG2182" i="12"/>
  <c r="AF2182" i="12"/>
  <c r="Z2182" i="12"/>
  <c r="AG2181" i="12"/>
  <c r="AF2181" i="12"/>
  <c r="Z2181" i="12"/>
  <c r="AG2180" i="12"/>
  <c r="AF2180" i="12"/>
  <c r="Z2180" i="12"/>
  <c r="AG2179" i="12"/>
  <c r="AF2179" i="12"/>
  <c r="Z2179" i="12"/>
  <c r="AG2178" i="12"/>
  <c r="AF2178" i="12"/>
  <c r="Z2178" i="12"/>
  <c r="AG2177" i="12"/>
  <c r="AF2177" i="12"/>
  <c r="Z2177" i="12"/>
  <c r="AG2176" i="12"/>
  <c r="AF2176" i="12"/>
  <c r="Z2176" i="12"/>
  <c r="AG2175" i="12"/>
  <c r="AF2175" i="12"/>
  <c r="Z2175" i="12"/>
  <c r="AG2174" i="12"/>
  <c r="AF2174" i="12"/>
  <c r="Z2174" i="12"/>
  <c r="AG2173" i="12"/>
  <c r="AF2173" i="12"/>
  <c r="Z2173" i="12"/>
  <c r="AG2172" i="12"/>
  <c r="AF2172" i="12"/>
  <c r="Z2172" i="12"/>
  <c r="AG2171" i="12"/>
  <c r="AF2171" i="12"/>
  <c r="Z2171" i="12"/>
  <c r="AG2170" i="12"/>
  <c r="AF2170" i="12"/>
  <c r="Z2170" i="12"/>
  <c r="AG2169" i="12"/>
  <c r="AF2169" i="12"/>
  <c r="Z2169" i="12"/>
  <c r="AG2168" i="12"/>
  <c r="AF2168" i="12"/>
  <c r="Z2168" i="12"/>
  <c r="AG2167" i="12"/>
  <c r="AF2167" i="12"/>
  <c r="Z2167" i="12"/>
  <c r="AG2166" i="12"/>
  <c r="AF2166" i="12"/>
  <c r="Z2166" i="12"/>
  <c r="AG2165" i="12"/>
  <c r="AF2165" i="12"/>
  <c r="Z2165" i="12"/>
  <c r="AG2164" i="12"/>
  <c r="AF2164" i="12"/>
  <c r="Z2164" i="12"/>
  <c r="AG2163" i="12"/>
  <c r="AF2163" i="12"/>
  <c r="Z2163" i="12"/>
  <c r="AG2162" i="12"/>
  <c r="AF2162" i="12"/>
  <c r="Z2162" i="12"/>
  <c r="AG2161" i="12"/>
  <c r="AF2161" i="12"/>
  <c r="Z2161" i="12"/>
  <c r="AG2160" i="12"/>
  <c r="AF2160" i="12"/>
  <c r="Z2160" i="12"/>
  <c r="AG2159" i="12"/>
  <c r="AF2159" i="12"/>
  <c r="Z2159" i="12"/>
  <c r="AG2158" i="12"/>
  <c r="AF2158" i="12"/>
  <c r="Z2158" i="12"/>
  <c r="AG2157" i="12"/>
  <c r="AF2157" i="12"/>
  <c r="Z2157" i="12"/>
  <c r="AG2156" i="12"/>
  <c r="AF2156" i="12"/>
  <c r="Z2156" i="12"/>
  <c r="AG2155" i="12"/>
  <c r="AF2155" i="12"/>
  <c r="Z2155" i="12"/>
  <c r="AG2154" i="12"/>
  <c r="AF2154" i="12"/>
  <c r="Z2154" i="12"/>
  <c r="AG2153" i="12"/>
  <c r="AF2153" i="12"/>
  <c r="Z2153" i="12"/>
  <c r="AG2152" i="12"/>
  <c r="AF2152" i="12"/>
  <c r="Z2152" i="12"/>
  <c r="AG2151" i="12"/>
  <c r="AF2151" i="12"/>
  <c r="Z2151" i="12"/>
  <c r="AG2150" i="12"/>
  <c r="AF2150" i="12"/>
  <c r="Z2150" i="12"/>
  <c r="AG2149" i="12"/>
  <c r="AF2149" i="12"/>
  <c r="Z2149" i="12"/>
  <c r="AG2148" i="12"/>
  <c r="AF2148" i="12"/>
  <c r="Z2148" i="12"/>
  <c r="AG2147" i="12"/>
  <c r="AF2147" i="12"/>
  <c r="Z2147" i="12"/>
  <c r="AG2146" i="12"/>
  <c r="AF2146" i="12"/>
  <c r="Z2146" i="12"/>
  <c r="AG2145" i="12"/>
  <c r="AF2145" i="12"/>
  <c r="Z2145" i="12"/>
  <c r="AG2144" i="12"/>
  <c r="AF2144" i="12"/>
  <c r="Z2144" i="12"/>
  <c r="AG2143" i="12"/>
  <c r="AF2143" i="12"/>
  <c r="Z2143" i="12"/>
  <c r="AG2142" i="12"/>
  <c r="AF2142" i="12"/>
  <c r="Z2142" i="12"/>
  <c r="AG2141" i="12"/>
  <c r="AF2141" i="12"/>
  <c r="Z2141" i="12"/>
  <c r="AG2140" i="12"/>
  <c r="AF2140" i="12"/>
  <c r="Z2140" i="12"/>
  <c r="AG2139" i="12"/>
  <c r="AF2139" i="12"/>
  <c r="Z2139" i="12"/>
  <c r="AG2138" i="12"/>
  <c r="AF2138" i="12"/>
  <c r="Z2138" i="12"/>
  <c r="AG2137" i="12"/>
  <c r="AF2137" i="12"/>
  <c r="Z2137" i="12"/>
  <c r="AG2136" i="12"/>
  <c r="AF2136" i="12"/>
  <c r="Z2136" i="12"/>
  <c r="AG2135" i="12"/>
  <c r="AF2135" i="12"/>
  <c r="Z2135" i="12"/>
  <c r="AG2134" i="12"/>
  <c r="AF2134" i="12"/>
  <c r="Z2134" i="12"/>
  <c r="AG2133" i="12"/>
  <c r="AF2133" i="12"/>
  <c r="Z2133" i="12"/>
  <c r="AG2132" i="12"/>
  <c r="AF2132" i="12"/>
  <c r="Z2132" i="12"/>
  <c r="AG2131" i="12"/>
  <c r="AF2131" i="12"/>
  <c r="Z2131" i="12"/>
  <c r="AG2130" i="12"/>
  <c r="AF2130" i="12"/>
  <c r="Z2130" i="12"/>
  <c r="AG2129" i="12"/>
  <c r="AF2129" i="12"/>
  <c r="Z2129" i="12"/>
  <c r="AG2128" i="12"/>
  <c r="AF2128" i="12"/>
  <c r="Z2128" i="12"/>
  <c r="AG2127" i="12"/>
  <c r="AF2127" i="12"/>
  <c r="Z2127" i="12"/>
  <c r="AG2126" i="12"/>
  <c r="AF2126" i="12"/>
  <c r="Z2126" i="12"/>
  <c r="AG2125" i="12"/>
  <c r="AF2125" i="12"/>
  <c r="Z2125" i="12"/>
  <c r="AG2124" i="12"/>
  <c r="AF2124" i="12"/>
  <c r="Z2124" i="12"/>
  <c r="AG2123" i="12"/>
  <c r="AF2123" i="12"/>
  <c r="Z2123" i="12"/>
  <c r="AG2122" i="12"/>
  <c r="AF2122" i="12"/>
  <c r="Z2122" i="12"/>
  <c r="AG2121" i="12"/>
  <c r="AF2121" i="12"/>
  <c r="Z2121" i="12"/>
  <c r="AG2120" i="12"/>
  <c r="AF2120" i="12"/>
  <c r="Z2120" i="12"/>
  <c r="AG2119" i="12"/>
  <c r="AF2119" i="12"/>
  <c r="Z2119" i="12"/>
  <c r="AG2118" i="12"/>
  <c r="AF2118" i="12"/>
  <c r="Z2118" i="12"/>
  <c r="AG2117" i="12"/>
  <c r="AF2117" i="12"/>
  <c r="Z2117" i="12"/>
  <c r="AG2116" i="12"/>
  <c r="AF2116" i="12"/>
  <c r="Z2116" i="12"/>
  <c r="AG2115" i="12"/>
  <c r="AF2115" i="12"/>
  <c r="Z2115" i="12"/>
  <c r="AG2114" i="12"/>
  <c r="AF2114" i="12"/>
  <c r="Z2114" i="12"/>
  <c r="AG2113" i="12"/>
  <c r="AF2113" i="12"/>
  <c r="Z2113" i="12"/>
  <c r="AG2112" i="12"/>
  <c r="AF2112" i="12"/>
  <c r="Z2112" i="12"/>
  <c r="AG2111" i="12"/>
  <c r="AF2111" i="12"/>
  <c r="Z2111" i="12"/>
  <c r="AG2110" i="12"/>
  <c r="AF2110" i="12"/>
  <c r="Z2110" i="12"/>
  <c r="AG2109" i="12"/>
  <c r="AF2109" i="12"/>
  <c r="Z2109" i="12"/>
  <c r="AG2108" i="12"/>
  <c r="AF2108" i="12"/>
  <c r="Z2108" i="12"/>
  <c r="AG2107" i="12"/>
  <c r="AF2107" i="12"/>
  <c r="Z2107" i="12"/>
  <c r="AG2106" i="12"/>
  <c r="AF2106" i="12"/>
  <c r="Z2106" i="12"/>
  <c r="AG2105" i="12"/>
  <c r="AF2105" i="12"/>
  <c r="Z2105" i="12"/>
  <c r="AG2104" i="12"/>
  <c r="AF2104" i="12"/>
  <c r="Z2104" i="12"/>
  <c r="AG2103" i="12"/>
  <c r="AF2103" i="12"/>
  <c r="Z2103" i="12"/>
  <c r="AG2102" i="12"/>
  <c r="AF2102" i="12"/>
  <c r="Z2102" i="12"/>
  <c r="AG2101" i="12"/>
  <c r="AF2101" i="12"/>
  <c r="Z2101" i="12"/>
  <c r="AG2100" i="12"/>
  <c r="AF2100" i="12"/>
  <c r="Z2100" i="12"/>
  <c r="AG2099" i="12"/>
  <c r="AF2099" i="12"/>
  <c r="Z2099" i="12"/>
  <c r="AG2098" i="12"/>
  <c r="AF2098" i="12"/>
  <c r="Z2098" i="12"/>
  <c r="AG2097" i="12"/>
  <c r="AF2097" i="12"/>
  <c r="Z2097" i="12"/>
  <c r="AG2096" i="12"/>
  <c r="AF2096" i="12"/>
  <c r="Z2096" i="12"/>
  <c r="AG2095" i="12"/>
  <c r="AF2095" i="12"/>
  <c r="Z2095" i="12"/>
  <c r="AG2094" i="12"/>
  <c r="AF2094" i="12"/>
  <c r="Z2094" i="12"/>
  <c r="AG2093" i="12"/>
  <c r="AF2093" i="12"/>
  <c r="Z2093" i="12"/>
  <c r="AG2092" i="12"/>
  <c r="AF2092" i="12"/>
  <c r="Z2092" i="12"/>
  <c r="AG2091" i="12"/>
  <c r="AF2091" i="12"/>
  <c r="Z2091" i="12"/>
  <c r="AG2090" i="12"/>
  <c r="AF2090" i="12"/>
  <c r="Z2090" i="12"/>
  <c r="AG2089" i="12"/>
  <c r="AF2089" i="12"/>
  <c r="Z2089" i="12"/>
  <c r="AG2088" i="12"/>
  <c r="AF2088" i="12"/>
  <c r="Z2088" i="12"/>
  <c r="AG2087" i="12"/>
  <c r="AF2087" i="12"/>
  <c r="Z2087" i="12"/>
  <c r="AG2086" i="12"/>
  <c r="AF2086" i="12"/>
  <c r="Z2086" i="12"/>
  <c r="AG2085" i="12"/>
  <c r="AF2085" i="12"/>
  <c r="Z2085" i="12"/>
  <c r="AG2084" i="12"/>
  <c r="AF2084" i="12"/>
  <c r="Z2084" i="12"/>
  <c r="AG2083" i="12"/>
  <c r="AF2083" i="12"/>
  <c r="Z2083" i="12"/>
  <c r="AG2082" i="12"/>
  <c r="AF2082" i="12"/>
  <c r="Z2082" i="12"/>
  <c r="AG2081" i="12"/>
  <c r="AF2081" i="12"/>
  <c r="Z2081" i="12"/>
  <c r="AG2080" i="12"/>
  <c r="AF2080" i="12"/>
  <c r="Z2080" i="12"/>
  <c r="AG2079" i="12"/>
  <c r="AF2079" i="12"/>
  <c r="Z2079" i="12"/>
  <c r="AG2078" i="12"/>
  <c r="AF2078" i="12"/>
  <c r="Z2078" i="12"/>
  <c r="AG2077" i="12"/>
  <c r="AF2077" i="12"/>
  <c r="Z2077" i="12"/>
  <c r="AG2076" i="12"/>
  <c r="AF2076" i="12"/>
  <c r="Z2076" i="12"/>
  <c r="AG2075" i="12"/>
  <c r="AF2075" i="12"/>
  <c r="Z2075" i="12"/>
  <c r="AG2074" i="12"/>
  <c r="AF2074" i="12"/>
  <c r="Z2074" i="12"/>
  <c r="AG2073" i="12"/>
  <c r="AF2073" i="12"/>
  <c r="Z2073" i="12"/>
  <c r="AG2072" i="12"/>
  <c r="AF2072" i="12"/>
  <c r="Z2072" i="12"/>
  <c r="AG2071" i="12"/>
  <c r="AF2071" i="12"/>
  <c r="Z2071" i="12"/>
  <c r="AG2070" i="12"/>
  <c r="AF2070" i="12"/>
  <c r="Z2070" i="12"/>
  <c r="AG2069" i="12"/>
  <c r="AF2069" i="12"/>
  <c r="Z2069" i="12"/>
  <c r="AG2068" i="12"/>
  <c r="AF2068" i="12"/>
  <c r="Z2068" i="12"/>
  <c r="AG2067" i="12"/>
  <c r="AF2067" i="12"/>
  <c r="Z2067" i="12"/>
  <c r="AG2066" i="12"/>
  <c r="AF2066" i="12"/>
  <c r="Z2066" i="12"/>
  <c r="AG2065" i="12"/>
  <c r="AF2065" i="12"/>
  <c r="Z2065" i="12"/>
  <c r="AG2064" i="12"/>
  <c r="AF2064" i="12"/>
  <c r="Z2064" i="12"/>
  <c r="AG2063" i="12"/>
  <c r="AF2063" i="12"/>
  <c r="Z2063" i="12"/>
  <c r="AG2062" i="12"/>
  <c r="AF2062" i="12"/>
  <c r="Z2062" i="12"/>
  <c r="AG2061" i="12"/>
  <c r="AF2061" i="12"/>
  <c r="Z2061" i="12"/>
  <c r="AG2060" i="12"/>
  <c r="AF2060" i="12"/>
  <c r="Z2060" i="12"/>
  <c r="AG2059" i="12"/>
  <c r="AF2059" i="12"/>
  <c r="Z2059" i="12"/>
  <c r="AG2058" i="12"/>
  <c r="AF2058" i="12"/>
  <c r="Z2058" i="12"/>
  <c r="AG2057" i="12"/>
  <c r="AF2057" i="12"/>
  <c r="Z2057" i="12"/>
  <c r="AG2056" i="12"/>
  <c r="AF2056" i="12"/>
  <c r="Z2056" i="12"/>
  <c r="AG2055" i="12"/>
  <c r="AF2055" i="12"/>
  <c r="Z2055" i="12"/>
  <c r="AG2054" i="12"/>
  <c r="AF2054" i="12"/>
  <c r="Z2054" i="12"/>
  <c r="AG2053" i="12"/>
  <c r="AF2053" i="12"/>
  <c r="Z2053" i="12"/>
  <c r="AG2052" i="12"/>
  <c r="AF2052" i="12"/>
  <c r="Z2052" i="12"/>
  <c r="AG2051" i="12"/>
  <c r="AF2051" i="12"/>
  <c r="Z2051" i="12"/>
  <c r="AG2050" i="12"/>
  <c r="AF2050" i="12"/>
  <c r="Z2050" i="12"/>
  <c r="AG2049" i="12"/>
  <c r="AF2049" i="12"/>
  <c r="Z2049" i="12"/>
  <c r="AG2048" i="12"/>
  <c r="AF2048" i="12"/>
  <c r="Z2048" i="12"/>
  <c r="AG2047" i="12"/>
  <c r="AF2047" i="12"/>
  <c r="Z2047" i="12"/>
  <c r="AG2046" i="12"/>
  <c r="AF2046" i="12"/>
  <c r="Z2046" i="12"/>
  <c r="AG2045" i="12"/>
  <c r="AF2045" i="12"/>
  <c r="Z2045" i="12"/>
  <c r="AG2044" i="12"/>
  <c r="AF2044" i="12"/>
  <c r="Z2044" i="12"/>
  <c r="AG2043" i="12"/>
  <c r="AF2043" i="12"/>
  <c r="Z2043" i="12"/>
  <c r="AG2042" i="12"/>
  <c r="AF2042" i="12"/>
  <c r="Z2042" i="12"/>
  <c r="AG2041" i="12"/>
  <c r="AF2041" i="12"/>
  <c r="Z2041" i="12"/>
  <c r="AG2040" i="12"/>
  <c r="AF2040" i="12"/>
  <c r="Z2040" i="12"/>
  <c r="AG2039" i="12"/>
  <c r="AF2039" i="12"/>
  <c r="Z2039" i="12"/>
  <c r="AG2038" i="12"/>
  <c r="AF2038" i="12"/>
  <c r="Z2038" i="12"/>
  <c r="AG2037" i="12"/>
  <c r="AF2037" i="12"/>
  <c r="Z2037" i="12"/>
  <c r="AG2036" i="12"/>
  <c r="AF2036" i="12"/>
  <c r="Z2036" i="12"/>
  <c r="AG2035" i="12"/>
  <c r="AF2035" i="12"/>
  <c r="Z2035" i="12"/>
  <c r="AG2034" i="12"/>
  <c r="AF2034" i="12"/>
  <c r="Z2034" i="12"/>
  <c r="AG2033" i="12"/>
  <c r="AF2033" i="12"/>
  <c r="Z2033" i="12"/>
  <c r="AG2032" i="12"/>
  <c r="AF2032" i="12"/>
  <c r="Z2032" i="12"/>
  <c r="AG2031" i="12"/>
  <c r="AF2031" i="12"/>
  <c r="Z2031" i="12"/>
  <c r="AG2030" i="12"/>
  <c r="AF2030" i="12"/>
  <c r="Z2030" i="12"/>
  <c r="AG2029" i="12"/>
  <c r="AF2029" i="12"/>
  <c r="Z2029" i="12"/>
  <c r="AG2028" i="12"/>
  <c r="AF2028" i="12"/>
  <c r="Z2028" i="12"/>
  <c r="AG2027" i="12"/>
  <c r="AF2027" i="12"/>
  <c r="Z2027" i="12"/>
  <c r="AG2026" i="12"/>
  <c r="AF2026" i="12"/>
  <c r="Z2026" i="12"/>
  <c r="AG2025" i="12"/>
  <c r="AF2025" i="12"/>
  <c r="Z2025" i="12"/>
  <c r="AG2024" i="12"/>
  <c r="AF2024" i="12"/>
  <c r="Z2024" i="12"/>
  <c r="AG2023" i="12"/>
  <c r="AF2023" i="12"/>
  <c r="Z2023" i="12"/>
  <c r="AG2022" i="12"/>
  <c r="AF2022" i="12"/>
  <c r="Z2022" i="12"/>
  <c r="AG2021" i="12"/>
  <c r="AF2021" i="12"/>
  <c r="Z2021" i="12"/>
  <c r="AG2020" i="12"/>
  <c r="AF2020" i="12"/>
  <c r="Z2020" i="12"/>
  <c r="AG2019" i="12"/>
  <c r="AF2019" i="12"/>
  <c r="Z2019" i="12"/>
  <c r="AG2018" i="12"/>
  <c r="AF2018" i="12"/>
  <c r="Z2018" i="12"/>
  <c r="AG2017" i="12"/>
  <c r="AF2017" i="12"/>
  <c r="Z2017" i="12"/>
  <c r="AG2016" i="12"/>
  <c r="AF2016" i="12"/>
  <c r="Z2016" i="12"/>
  <c r="AG2015" i="12"/>
  <c r="AF2015" i="12"/>
  <c r="Z2015" i="12"/>
  <c r="AG2014" i="12"/>
  <c r="AF2014" i="12"/>
  <c r="Z2014" i="12"/>
  <c r="AG2013" i="12"/>
  <c r="AF2013" i="12"/>
  <c r="Z2013" i="12"/>
  <c r="AG2012" i="12"/>
  <c r="AF2012" i="12"/>
  <c r="Z2012" i="12"/>
  <c r="AG2011" i="12"/>
  <c r="AF2011" i="12"/>
  <c r="Z2011" i="12"/>
  <c r="AG2010" i="12"/>
  <c r="AF2010" i="12"/>
  <c r="Z2010" i="12"/>
  <c r="AG2009" i="12"/>
  <c r="AF2009" i="12"/>
  <c r="Z2009" i="12"/>
  <c r="AG2008" i="12"/>
  <c r="AF2008" i="12"/>
  <c r="Z2008" i="12"/>
  <c r="AG2007" i="12"/>
  <c r="AF2007" i="12"/>
  <c r="Z2007" i="12"/>
  <c r="AG2006" i="12"/>
  <c r="AF2006" i="12"/>
  <c r="Z2006" i="12"/>
  <c r="AG2005" i="12"/>
  <c r="AF2005" i="12"/>
  <c r="Z2005" i="12"/>
  <c r="AG2004" i="12"/>
  <c r="AF2004" i="12"/>
  <c r="Z2004" i="12"/>
  <c r="AG2003" i="12"/>
  <c r="AF2003" i="12"/>
  <c r="Z2003" i="12"/>
  <c r="AG2002" i="12"/>
  <c r="AF2002" i="12"/>
  <c r="Z2002" i="12"/>
  <c r="AG2001" i="12"/>
  <c r="AF2001" i="12"/>
  <c r="Z2001" i="12"/>
  <c r="AG2000" i="12"/>
  <c r="AF2000" i="12"/>
  <c r="Z2000" i="12"/>
  <c r="AG1999" i="12"/>
  <c r="AF1999" i="12"/>
  <c r="Z1999" i="12"/>
  <c r="AG1998" i="12"/>
  <c r="AF1998" i="12"/>
  <c r="Z1998" i="12"/>
  <c r="AG1997" i="12"/>
  <c r="AF1997" i="12"/>
  <c r="Z1997" i="12"/>
  <c r="AG1996" i="12"/>
  <c r="AF1996" i="12"/>
  <c r="Z1996" i="12"/>
  <c r="AG1995" i="12"/>
  <c r="AF1995" i="12"/>
  <c r="Z1995" i="12"/>
  <c r="AG1994" i="12"/>
  <c r="AF1994" i="12"/>
  <c r="Z1994" i="12"/>
  <c r="AG1993" i="12"/>
  <c r="AF1993" i="12"/>
  <c r="Z1993" i="12"/>
  <c r="AG1992" i="12"/>
  <c r="AF1992" i="12"/>
  <c r="Z1992" i="12"/>
  <c r="AG1991" i="12"/>
  <c r="AF1991" i="12"/>
  <c r="Z1991" i="12"/>
  <c r="AG1990" i="12"/>
  <c r="AF1990" i="12"/>
  <c r="Z1990" i="12"/>
  <c r="AG1989" i="12"/>
  <c r="AF1989" i="12"/>
  <c r="Z1989" i="12"/>
  <c r="AG1988" i="12"/>
  <c r="AF1988" i="12"/>
  <c r="Z1988" i="12"/>
  <c r="AG1987" i="12"/>
  <c r="AF1987" i="12"/>
  <c r="Z1987" i="12"/>
  <c r="AG1986" i="12"/>
  <c r="AF1986" i="12"/>
  <c r="Z1986" i="12"/>
  <c r="AG1985" i="12"/>
  <c r="AF1985" i="12"/>
  <c r="Z1985" i="12"/>
  <c r="AG1984" i="12"/>
  <c r="AF1984" i="12"/>
  <c r="Z1984" i="12"/>
  <c r="AG1983" i="12"/>
  <c r="AF1983" i="12"/>
  <c r="Z1983" i="12"/>
  <c r="AG1982" i="12"/>
  <c r="AF1982" i="12"/>
  <c r="Z1982" i="12"/>
  <c r="AG1981" i="12"/>
  <c r="AF1981" i="12"/>
  <c r="Z1981" i="12"/>
  <c r="AG1980" i="12"/>
  <c r="AF1980" i="12"/>
  <c r="Z1980" i="12"/>
  <c r="AG1979" i="12"/>
  <c r="AF1979" i="12"/>
  <c r="Z1979" i="12"/>
  <c r="AG1978" i="12"/>
  <c r="AF1978" i="12"/>
  <c r="Z1978" i="12"/>
  <c r="AG1977" i="12"/>
  <c r="AF1977" i="12"/>
  <c r="Z1977" i="12"/>
  <c r="AG1976" i="12"/>
  <c r="AF1976" i="12"/>
  <c r="Z1976" i="12"/>
  <c r="AG1975" i="12"/>
  <c r="AF1975" i="12"/>
  <c r="Z1975" i="12"/>
  <c r="AG1974" i="12"/>
  <c r="AF1974" i="12"/>
  <c r="Z1974" i="12"/>
  <c r="AG1973" i="12"/>
  <c r="AF1973" i="12"/>
  <c r="Z1973" i="12"/>
  <c r="AG1972" i="12"/>
  <c r="AF1972" i="12"/>
  <c r="Z1972" i="12"/>
  <c r="AG1971" i="12"/>
  <c r="AF1971" i="12"/>
  <c r="Z1971" i="12"/>
  <c r="AG1970" i="12"/>
  <c r="AF1970" i="12"/>
  <c r="Z1970" i="12"/>
  <c r="AG1969" i="12"/>
  <c r="AF1969" i="12"/>
  <c r="Z1969" i="12"/>
  <c r="AG1968" i="12"/>
  <c r="AF1968" i="12"/>
  <c r="Z1968" i="12"/>
  <c r="AG1967" i="12"/>
  <c r="AF1967" i="12"/>
  <c r="Z1967" i="12"/>
  <c r="AG1966" i="12"/>
  <c r="AF1966" i="12"/>
  <c r="Z1966" i="12"/>
  <c r="AG1965" i="12"/>
  <c r="AF1965" i="12"/>
  <c r="Z1965" i="12"/>
  <c r="AG1964" i="12"/>
  <c r="AF1964" i="12"/>
  <c r="Z1964" i="12"/>
  <c r="AG1963" i="12"/>
  <c r="AF1963" i="12"/>
  <c r="Z1963" i="12"/>
  <c r="AG1962" i="12"/>
  <c r="AF1962" i="12"/>
  <c r="Z1962" i="12"/>
  <c r="AG1961" i="12"/>
  <c r="AF1961" i="12"/>
  <c r="Z1961" i="12"/>
  <c r="AG1960" i="12"/>
  <c r="AF1960" i="12"/>
  <c r="Z1960" i="12"/>
  <c r="AG1959" i="12"/>
  <c r="AF1959" i="12"/>
  <c r="Z1959" i="12"/>
  <c r="AG1958" i="12"/>
  <c r="AF1958" i="12"/>
  <c r="Z1958" i="12"/>
  <c r="AG1957" i="12"/>
  <c r="AF1957" i="12"/>
  <c r="Z1957" i="12"/>
  <c r="AG1956" i="12"/>
  <c r="AF1956" i="12"/>
  <c r="Z1956" i="12"/>
  <c r="AG1955" i="12"/>
  <c r="AF1955" i="12"/>
  <c r="Z1955" i="12"/>
  <c r="AG1954" i="12"/>
  <c r="AF1954" i="12"/>
  <c r="Z1954" i="12"/>
  <c r="AG1953" i="12"/>
  <c r="AF1953" i="12"/>
  <c r="Z1953" i="12"/>
  <c r="AG1952" i="12"/>
  <c r="AF1952" i="12"/>
  <c r="Z1952" i="12"/>
  <c r="AG1951" i="12"/>
  <c r="AF1951" i="12"/>
  <c r="Z1951" i="12"/>
  <c r="AG1950" i="12"/>
  <c r="AF1950" i="12"/>
  <c r="Z1950" i="12"/>
  <c r="AG1949" i="12"/>
  <c r="AF1949" i="12"/>
  <c r="Z1949" i="12"/>
  <c r="AG1948" i="12"/>
  <c r="AF1948" i="12"/>
  <c r="Z1948" i="12"/>
  <c r="AG1947" i="12"/>
  <c r="AF1947" i="12"/>
  <c r="Z1947" i="12"/>
  <c r="AG1946" i="12"/>
  <c r="AF1946" i="12"/>
  <c r="Z1946" i="12"/>
  <c r="AG1945" i="12"/>
  <c r="AF1945" i="12"/>
  <c r="Z1945" i="12"/>
  <c r="AG1944" i="12"/>
  <c r="AF1944" i="12"/>
  <c r="Z1944" i="12"/>
  <c r="AG1943" i="12"/>
  <c r="AF1943" i="12"/>
  <c r="Z1943" i="12"/>
  <c r="AG1942" i="12"/>
  <c r="AF1942" i="12"/>
  <c r="Z1942" i="12"/>
  <c r="AG1941" i="12"/>
  <c r="AF1941" i="12"/>
  <c r="Z1941" i="12"/>
  <c r="AG1940" i="12"/>
  <c r="AF1940" i="12"/>
  <c r="Z1940" i="12"/>
  <c r="AG1939" i="12"/>
  <c r="AF1939" i="12"/>
  <c r="Z1939" i="12"/>
  <c r="AG1938" i="12"/>
  <c r="AF1938" i="12"/>
  <c r="Z1938" i="12"/>
  <c r="AG1937" i="12"/>
  <c r="AF1937" i="12"/>
  <c r="Z1937" i="12"/>
  <c r="AG1936" i="12"/>
  <c r="AF1936" i="12"/>
  <c r="Z1936" i="12"/>
  <c r="AG1935" i="12"/>
  <c r="AF1935" i="12"/>
  <c r="Z1935" i="12"/>
  <c r="AG1934" i="12"/>
  <c r="AF1934" i="12"/>
  <c r="Z1934" i="12"/>
  <c r="AG1933" i="12"/>
  <c r="AF1933" i="12"/>
  <c r="Z1933" i="12"/>
  <c r="AG1932" i="12"/>
  <c r="AF1932" i="12"/>
  <c r="Z1932" i="12"/>
  <c r="AG1931" i="12"/>
  <c r="AF1931" i="12"/>
  <c r="Z1931" i="12"/>
  <c r="AG1930" i="12"/>
  <c r="AF1930" i="12"/>
  <c r="Z1930" i="12"/>
  <c r="AG1929" i="12"/>
  <c r="AF1929" i="12"/>
  <c r="Z1929" i="12"/>
  <c r="AG1928" i="12"/>
  <c r="AF1928" i="12"/>
  <c r="Z1928" i="12"/>
  <c r="AG1927" i="12"/>
  <c r="AF1927" i="12"/>
  <c r="Z1927" i="12"/>
  <c r="AG1926" i="12"/>
  <c r="AF1926" i="12"/>
  <c r="Z1926" i="12"/>
  <c r="AG1925" i="12"/>
  <c r="AF1925" i="12"/>
  <c r="Z1925" i="12"/>
  <c r="AG1924" i="12"/>
  <c r="AF1924" i="12"/>
  <c r="Z1924" i="12"/>
  <c r="AG1923" i="12"/>
  <c r="AF1923" i="12"/>
  <c r="Z1923" i="12"/>
  <c r="AG1922" i="12"/>
  <c r="AF1922" i="12"/>
  <c r="Z1922" i="12"/>
  <c r="AG1921" i="12"/>
  <c r="AF1921" i="12"/>
  <c r="Z1921" i="12"/>
  <c r="AG1920" i="12"/>
  <c r="AF1920" i="12"/>
  <c r="Z1920" i="12"/>
  <c r="AG1919" i="12"/>
  <c r="AF1919" i="12"/>
  <c r="Z1919" i="12"/>
  <c r="AG1918" i="12"/>
  <c r="AF1918" i="12"/>
  <c r="Z1918" i="12"/>
  <c r="AG1917" i="12"/>
  <c r="AF1917" i="12"/>
  <c r="Z1917" i="12"/>
  <c r="AG1916" i="12"/>
  <c r="AF1916" i="12"/>
  <c r="Z1916" i="12"/>
  <c r="AG1915" i="12"/>
  <c r="AF1915" i="12"/>
  <c r="Z1915" i="12"/>
  <c r="AG1914" i="12"/>
  <c r="AF1914" i="12"/>
  <c r="Z1914" i="12"/>
  <c r="AG1913" i="12"/>
  <c r="AF1913" i="12"/>
  <c r="Z1913" i="12"/>
  <c r="AG1912" i="12"/>
  <c r="AF1912" i="12"/>
  <c r="Z1912" i="12"/>
  <c r="AG1911" i="12"/>
  <c r="AF1911" i="12"/>
  <c r="Z1911" i="12"/>
  <c r="AG1910" i="12"/>
  <c r="AF1910" i="12"/>
  <c r="Z1910" i="12"/>
  <c r="AG1909" i="12"/>
  <c r="AF1909" i="12"/>
  <c r="Z1909" i="12"/>
  <c r="AG1908" i="12"/>
  <c r="AF1908" i="12"/>
  <c r="Z1908" i="12"/>
  <c r="AG1907" i="12"/>
  <c r="AF1907" i="12"/>
  <c r="Z1907" i="12"/>
  <c r="AG1906" i="12"/>
  <c r="AF1906" i="12"/>
  <c r="Z1906" i="12"/>
  <c r="AG1905" i="12"/>
  <c r="AF1905" i="12"/>
  <c r="Z1905" i="12"/>
  <c r="AG1904" i="12"/>
  <c r="AF1904" i="12"/>
  <c r="Z1904" i="12"/>
  <c r="AG1903" i="12"/>
  <c r="AF1903" i="12"/>
  <c r="Z1903" i="12"/>
  <c r="AG1902" i="12"/>
  <c r="AF1902" i="12"/>
  <c r="Z1902" i="12"/>
  <c r="AG1901" i="12"/>
  <c r="AF1901" i="12"/>
  <c r="Z1901" i="12"/>
  <c r="AG1900" i="12"/>
  <c r="AF1900" i="12"/>
  <c r="Z1900" i="12"/>
  <c r="AG1899" i="12"/>
  <c r="AF1899" i="12"/>
  <c r="Z1899" i="12"/>
  <c r="AG1898" i="12"/>
  <c r="AF1898" i="12"/>
  <c r="Z1898" i="12"/>
  <c r="AG1897" i="12"/>
  <c r="AF1897" i="12"/>
  <c r="Z1897" i="12"/>
  <c r="AG1896" i="12"/>
  <c r="AF1896" i="12"/>
  <c r="Z1896" i="12"/>
  <c r="AG1895" i="12"/>
  <c r="AF1895" i="12"/>
  <c r="Z1895" i="12"/>
  <c r="AG1894" i="12"/>
  <c r="AF1894" i="12"/>
  <c r="Z1894" i="12"/>
  <c r="AG1893" i="12"/>
  <c r="AF1893" i="12"/>
  <c r="Z1893" i="12"/>
  <c r="AG1892" i="12"/>
  <c r="AF1892" i="12"/>
  <c r="Z1892" i="12"/>
  <c r="AG1891" i="12"/>
  <c r="AF1891" i="12"/>
  <c r="Z1891" i="12"/>
  <c r="AG1890" i="12"/>
  <c r="AF1890" i="12"/>
  <c r="Z1890" i="12"/>
  <c r="AG1889" i="12"/>
  <c r="AF1889" i="12"/>
  <c r="Z1889" i="12"/>
  <c r="AG1888" i="12"/>
  <c r="AF1888" i="12"/>
  <c r="Z1888" i="12"/>
  <c r="AG1887" i="12"/>
  <c r="AF1887" i="12"/>
  <c r="Z1887" i="12"/>
  <c r="AG1886" i="12"/>
  <c r="AF1886" i="12"/>
  <c r="Z1886" i="12"/>
  <c r="AG1885" i="12"/>
  <c r="AF1885" i="12"/>
  <c r="Z1885" i="12"/>
  <c r="AG1884" i="12"/>
  <c r="AF1884" i="12"/>
  <c r="Z1884" i="12"/>
  <c r="AG1883" i="12"/>
  <c r="AF1883" i="12"/>
  <c r="Z1883" i="12"/>
  <c r="AG1882" i="12"/>
  <c r="AF1882" i="12"/>
  <c r="Z1882" i="12"/>
  <c r="AG1881" i="12"/>
  <c r="AF1881" i="12"/>
  <c r="Z1881" i="12"/>
  <c r="AG1880" i="12"/>
  <c r="AF1880" i="12"/>
  <c r="Z1880" i="12"/>
  <c r="AG1879" i="12"/>
  <c r="AF1879" i="12"/>
  <c r="Z1879" i="12"/>
  <c r="AG1878" i="12"/>
  <c r="AF1878" i="12"/>
  <c r="Z1878" i="12"/>
  <c r="AG1877" i="12"/>
  <c r="AF1877" i="12"/>
  <c r="Z1877" i="12"/>
  <c r="AG1876" i="12"/>
  <c r="AF1876" i="12"/>
  <c r="Z1876" i="12"/>
  <c r="AG1875" i="12"/>
  <c r="AF1875" i="12"/>
  <c r="Z1875" i="12"/>
  <c r="AG1874" i="12"/>
  <c r="AF1874" i="12"/>
  <c r="Z1874" i="12"/>
  <c r="AG1873" i="12"/>
  <c r="AF1873" i="12"/>
  <c r="Z1873" i="12"/>
  <c r="AG1872" i="12"/>
  <c r="AF1872" i="12"/>
  <c r="Z1872" i="12"/>
  <c r="AG1871" i="12"/>
  <c r="AF1871" i="12"/>
  <c r="Z1871" i="12"/>
  <c r="AG1870" i="12"/>
  <c r="AF1870" i="12"/>
  <c r="Z1870" i="12"/>
  <c r="AG1869" i="12"/>
  <c r="AF1869" i="12"/>
  <c r="Z1869" i="12"/>
  <c r="AG1868" i="12"/>
  <c r="AF1868" i="12"/>
  <c r="Z1868" i="12"/>
  <c r="AG1867" i="12"/>
  <c r="AF1867" i="12"/>
  <c r="Z1867" i="12"/>
  <c r="AG1866" i="12"/>
  <c r="AF1866" i="12"/>
  <c r="Z1866" i="12"/>
  <c r="AG1865" i="12"/>
  <c r="AF1865" i="12"/>
  <c r="Z1865" i="12"/>
  <c r="AG1864" i="12"/>
  <c r="AF1864" i="12"/>
  <c r="Z1864" i="12"/>
  <c r="AG1863" i="12"/>
  <c r="AF1863" i="12"/>
  <c r="Z1863" i="12"/>
  <c r="AG1862" i="12"/>
  <c r="AF1862" i="12"/>
  <c r="Z1862" i="12"/>
  <c r="AG1861" i="12"/>
  <c r="AF1861" i="12"/>
  <c r="Z1861" i="12"/>
  <c r="AG1860" i="12"/>
  <c r="AF1860" i="12"/>
  <c r="Z1860" i="12"/>
  <c r="AG1859" i="12"/>
  <c r="AF1859" i="12"/>
  <c r="Z1859" i="12"/>
  <c r="AG1858" i="12"/>
  <c r="AF1858" i="12"/>
  <c r="Z1858" i="12"/>
  <c r="AG1857" i="12"/>
  <c r="AF1857" i="12"/>
  <c r="Z1857" i="12"/>
  <c r="AG1856" i="12"/>
  <c r="AF1856" i="12"/>
  <c r="Z1856" i="12"/>
  <c r="AG1855" i="12"/>
  <c r="AF1855" i="12"/>
  <c r="Z1855" i="12"/>
  <c r="AG1854" i="12"/>
  <c r="AF1854" i="12"/>
  <c r="Z1854" i="12"/>
  <c r="AG1853" i="12"/>
  <c r="AF1853" i="12"/>
  <c r="Z1853" i="12"/>
  <c r="AG1852" i="12"/>
  <c r="AF1852" i="12"/>
  <c r="Z1852" i="12"/>
  <c r="AG1851" i="12"/>
  <c r="AF1851" i="12"/>
  <c r="Z1851" i="12"/>
  <c r="AG1850" i="12"/>
  <c r="AF1850" i="12"/>
  <c r="Z1850" i="12"/>
  <c r="AG1849" i="12"/>
  <c r="AF1849" i="12"/>
  <c r="Z1849" i="12"/>
  <c r="AG1848" i="12"/>
  <c r="AF1848" i="12"/>
  <c r="Z1848" i="12"/>
  <c r="AG1847" i="12"/>
  <c r="AF1847" i="12"/>
  <c r="Z1847" i="12"/>
  <c r="AG1846" i="12"/>
  <c r="AF1846" i="12"/>
  <c r="Z1846" i="12"/>
  <c r="AG1845" i="12"/>
  <c r="AF1845" i="12"/>
  <c r="Z1845" i="12"/>
  <c r="AG1844" i="12"/>
  <c r="AF1844" i="12"/>
  <c r="Z1844" i="12"/>
  <c r="AG1843" i="12"/>
  <c r="AF1843" i="12"/>
  <c r="Z1843" i="12"/>
  <c r="AG1842" i="12"/>
  <c r="AF1842" i="12"/>
  <c r="Z1842" i="12"/>
  <c r="AG1841" i="12"/>
  <c r="AF1841" i="12"/>
  <c r="Z1841" i="12"/>
  <c r="AG1840" i="12"/>
  <c r="AF1840" i="12"/>
  <c r="Z1840" i="12"/>
  <c r="AG1839" i="12"/>
  <c r="AF1839" i="12"/>
  <c r="Z1839" i="12"/>
  <c r="AG1838" i="12"/>
  <c r="AF1838" i="12"/>
  <c r="Z1838" i="12"/>
  <c r="AG1837" i="12"/>
  <c r="AF1837" i="12"/>
  <c r="Z1837" i="12"/>
  <c r="AG1836" i="12"/>
  <c r="AF1836" i="12"/>
  <c r="Z1836" i="12"/>
  <c r="AG1835" i="12"/>
  <c r="AF1835" i="12"/>
  <c r="Z1835" i="12"/>
  <c r="AG1834" i="12"/>
  <c r="AF1834" i="12"/>
  <c r="Z1834" i="12"/>
  <c r="AG1833" i="12"/>
  <c r="AF1833" i="12"/>
  <c r="Z1833" i="12"/>
  <c r="AG1832" i="12"/>
  <c r="AF1832" i="12"/>
  <c r="Z1832" i="12"/>
  <c r="AG1831" i="12"/>
  <c r="AF1831" i="12"/>
  <c r="Z1831" i="12"/>
  <c r="AG1830" i="12"/>
  <c r="AF1830" i="12"/>
  <c r="Z1830" i="12"/>
  <c r="AG1829" i="12"/>
  <c r="AF1829" i="12"/>
  <c r="Z1829" i="12"/>
  <c r="AG1828" i="12"/>
  <c r="AF1828" i="12"/>
  <c r="Z1828" i="12"/>
  <c r="AG1827" i="12"/>
  <c r="AF1827" i="12"/>
  <c r="Z1827" i="12"/>
  <c r="AG1826" i="12"/>
  <c r="AF1826" i="12"/>
  <c r="Z1826" i="12"/>
  <c r="AG1825" i="12"/>
  <c r="AF1825" i="12"/>
  <c r="Z1825" i="12"/>
  <c r="AG1824" i="12"/>
  <c r="AF1824" i="12"/>
  <c r="Z1824" i="12"/>
  <c r="AG1823" i="12"/>
  <c r="AF1823" i="12"/>
  <c r="Z1823" i="12"/>
  <c r="AG1822" i="12"/>
  <c r="AF1822" i="12"/>
  <c r="Z1822" i="12"/>
  <c r="AG1821" i="12"/>
  <c r="AF1821" i="12"/>
  <c r="Z1821" i="12"/>
  <c r="AG1820" i="12"/>
  <c r="AF1820" i="12"/>
  <c r="Z1820" i="12"/>
  <c r="AG1819" i="12"/>
  <c r="AF1819" i="12"/>
  <c r="Z1819" i="12"/>
  <c r="AG1818" i="12"/>
  <c r="AF1818" i="12"/>
  <c r="Z1818" i="12"/>
  <c r="AG1817" i="12"/>
  <c r="AF1817" i="12"/>
  <c r="Z1817" i="12"/>
  <c r="AG1816" i="12"/>
  <c r="AF1816" i="12"/>
  <c r="Z1816" i="12"/>
  <c r="AG1815" i="12"/>
  <c r="AF1815" i="12"/>
  <c r="Z1815" i="12"/>
  <c r="AG1814" i="12"/>
  <c r="AF1814" i="12"/>
  <c r="Z1814" i="12"/>
  <c r="AG1813" i="12"/>
  <c r="AF1813" i="12"/>
  <c r="Z1813" i="12"/>
  <c r="AG1812" i="12"/>
  <c r="AF1812" i="12"/>
  <c r="Z1812" i="12"/>
  <c r="AG1811" i="12"/>
  <c r="AF1811" i="12"/>
  <c r="Z1811" i="12"/>
  <c r="AG1810" i="12"/>
  <c r="AF1810" i="12"/>
  <c r="Z1810" i="12"/>
  <c r="AG1809" i="12"/>
  <c r="AF1809" i="12"/>
  <c r="Z1809" i="12"/>
  <c r="AG1808" i="12"/>
  <c r="AF1808" i="12"/>
  <c r="Z1808" i="12"/>
  <c r="AG1807" i="12"/>
  <c r="AF1807" i="12"/>
  <c r="Z1807" i="12"/>
  <c r="AG1806" i="12"/>
  <c r="AF1806" i="12"/>
  <c r="Z1806" i="12"/>
  <c r="AG1805" i="12"/>
  <c r="AF1805" i="12"/>
  <c r="Z1805" i="12"/>
  <c r="AG1804" i="12"/>
  <c r="AF1804" i="12"/>
  <c r="Z1804" i="12"/>
  <c r="AG1803" i="12"/>
  <c r="AF1803" i="12"/>
  <c r="Z1803" i="12"/>
  <c r="AG1802" i="12"/>
  <c r="AF1802" i="12"/>
  <c r="Z1802" i="12"/>
  <c r="AG1801" i="12"/>
  <c r="AF1801" i="12"/>
  <c r="Z1801" i="12"/>
  <c r="AG1800" i="12"/>
  <c r="AF1800" i="12"/>
  <c r="Z1800" i="12"/>
  <c r="AG1799" i="12"/>
  <c r="AF1799" i="12"/>
  <c r="Z1799" i="12"/>
  <c r="AG1798" i="12"/>
  <c r="AF1798" i="12"/>
  <c r="Z1798" i="12"/>
  <c r="AG1797" i="12"/>
  <c r="AF1797" i="12"/>
  <c r="Z1797" i="12"/>
  <c r="AG1796" i="12"/>
  <c r="AF1796" i="12"/>
  <c r="Z1796" i="12"/>
  <c r="AG1795" i="12"/>
  <c r="AF1795" i="12"/>
  <c r="Z1795" i="12"/>
  <c r="AG1794" i="12"/>
  <c r="AF1794" i="12"/>
  <c r="Z1794" i="12"/>
  <c r="AG1793" i="12"/>
  <c r="AF1793" i="12"/>
  <c r="Z1793" i="12"/>
  <c r="AG1792" i="12"/>
  <c r="AF1792" i="12"/>
  <c r="Z1792" i="12"/>
  <c r="AG1791" i="12"/>
  <c r="AF1791" i="12"/>
  <c r="Z1791" i="12"/>
  <c r="AG1790" i="12"/>
  <c r="AF1790" i="12"/>
  <c r="Z1790" i="12"/>
  <c r="AG1789" i="12"/>
  <c r="AF1789" i="12"/>
  <c r="Z1789" i="12"/>
  <c r="AG1788" i="12"/>
  <c r="AF1788" i="12"/>
  <c r="Z1788" i="12"/>
  <c r="AG1787" i="12"/>
  <c r="AF1787" i="12"/>
  <c r="Z1787" i="12"/>
  <c r="AG1786" i="12"/>
  <c r="AF1786" i="12"/>
  <c r="Z1786" i="12"/>
  <c r="AG1785" i="12"/>
  <c r="AF1785" i="12"/>
  <c r="Z1785" i="12"/>
  <c r="AG1784" i="12"/>
  <c r="AF1784" i="12"/>
  <c r="Z1784" i="12"/>
  <c r="AG1783" i="12"/>
  <c r="AF1783" i="12"/>
  <c r="Z1783" i="12"/>
  <c r="AG1782" i="12"/>
  <c r="AF1782" i="12"/>
  <c r="Z1782" i="12"/>
  <c r="AG1781" i="12"/>
  <c r="AF1781" i="12"/>
  <c r="Z1781" i="12"/>
  <c r="AG1780" i="12"/>
  <c r="AF1780" i="12"/>
  <c r="Z1780" i="12"/>
  <c r="AG1779" i="12"/>
  <c r="AF1779" i="12"/>
  <c r="Z1779" i="12"/>
  <c r="AG1778" i="12"/>
  <c r="AF1778" i="12"/>
  <c r="Z1778" i="12"/>
  <c r="AG1777" i="12"/>
  <c r="AF1777" i="12"/>
  <c r="Z1777" i="12"/>
  <c r="AG1776" i="12"/>
  <c r="AF1776" i="12"/>
  <c r="Z1776" i="12"/>
  <c r="AG1775" i="12"/>
  <c r="AF1775" i="12"/>
  <c r="Z1775" i="12"/>
  <c r="AG1774" i="12"/>
  <c r="AF1774" i="12"/>
  <c r="Z1774" i="12"/>
  <c r="AG1773" i="12"/>
  <c r="AF1773" i="12"/>
  <c r="Z1773" i="12"/>
  <c r="AG1772" i="12"/>
  <c r="AF1772" i="12"/>
  <c r="Z1772" i="12"/>
  <c r="AG1771" i="12"/>
  <c r="AF1771" i="12"/>
  <c r="Z1771" i="12"/>
  <c r="AG1770" i="12"/>
  <c r="AF1770" i="12"/>
  <c r="Z1770" i="12"/>
  <c r="AG1769" i="12"/>
  <c r="AF1769" i="12"/>
  <c r="Z1769" i="12"/>
  <c r="AG1768" i="12"/>
  <c r="AF1768" i="12"/>
  <c r="Z1768" i="12"/>
  <c r="AG1767" i="12"/>
  <c r="AF1767" i="12"/>
  <c r="Z1767" i="12"/>
  <c r="AG1766" i="12"/>
  <c r="AF1766" i="12"/>
  <c r="Z1766" i="12"/>
  <c r="AG1765" i="12"/>
  <c r="AF1765" i="12"/>
  <c r="Z1765" i="12"/>
  <c r="AG1764" i="12"/>
  <c r="AF1764" i="12"/>
  <c r="Z1764" i="12"/>
  <c r="AG1763" i="12"/>
  <c r="AF1763" i="12"/>
  <c r="Z1763" i="12"/>
  <c r="AG1762" i="12"/>
  <c r="AF1762" i="12"/>
  <c r="Z1762" i="12"/>
  <c r="AG1761" i="12"/>
  <c r="AF1761" i="12"/>
  <c r="Z1761" i="12"/>
  <c r="AG1760" i="12"/>
  <c r="AF1760" i="12"/>
  <c r="Z1760" i="12"/>
  <c r="AG1759" i="12"/>
  <c r="AF1759" i="12"/>
  <c r="Z1759" i="12"/>
  <c r="AG1758" i="12"/>
  <c r="AF1758" i="12"/>
  <c r="Z1758" i="12"/>
  <c r="AG1757" i="12"/>
  <c r="AF1757" i="12"/>
  <c r="Z1757" i="12"/>
  <c r="AG1756" i="12"/>
  <c r="AF1756" i="12"/>
  <c r="Z1756" i="12"/>
  <c r="AG1755" i="12"/>
  <c r="AF1755" i="12"/>
  <c r="Z1755" i="12"/>
  <c r="AG1754" i="12"/>
  <c r="AF1754" i="12"/>
  <c r="Z1754" i="12"/>
  <c r="AG1753" i="12"/>
  <c r="AF1753" i="12"/>
  <c r="Z1753" i="12"/>
  <c r="AG1752" i="12"/>
  <c r="AF1752" i="12"/>
  <c r="Z1752" i="12"/>
  <c r="AG1751" i="12"/>
  <c r="AF1751" i="12"/>
  <c r="Z1751" i="12"/>
  <c r="AG1750" i="12"/>
  <c r="AF1750" i="12"/>
  <c r="Z1750" i="12"/>
  <c r="AG1749" i="12"/>
  <c r="AF1749" i="12"/>
  <c r="Z1749" i="12"/>
  <c r="AG1748" i="12"/>
  <c r="AF1748" i="12"/>
  <c r="Z1748" i="12"/>
  <c r="AG1747" i="12"/>
  <c r="AF1747" i="12"/>
  <c r="Z1747" i="12"/>
  <c r="AG1746" i="12"/>
  <c r="AF1746" i="12"/>
  <c r="Z1746" i="12"/>
  <c r="AG1745" i="12"/>
  <c r="AF1745" i="12"/>
  <c r="Z1745" i="12"/>
  <c r="AG1744" i="12"/>
  <c r="AF1744" i="12"/>
  <c r="Z1744" i="12"/>
  <c r="AG1743" i="12"/>
  <c r="AF1743" i="12"/>
  <c r="Z1743" i="12"/>
  <c r="AG1742" i="12"/>
  <c r="AF1742" i="12"/>
  <c r="Z1742" i="12"/>
  <c r="AG1741" i="12"/>
  <c r="AF1741" i="12"/>
  <c r="Z1741" i="12"/>
  <c r="AG1740" i="12"/>
  <c r="AF1740" i="12"/>
  <c r="Z1740" i="12"/>
  <c r="AG1739" i="12"/>
  <c r="AF1739" i="12"/>
  <c r="Z1739" i="12"/>
  <c r="AG1738" i="12"/>
  <c r="AF1738" i="12"/>
  <c r="Z1738" i="12"/>
  <c r="AG1737" i="12"/>
  <c r="AF1737" i="12"/>
  <c r="Z1737" i="12"/>
  <c r="AG1736" i="12"/>
  <c r="AF1736" i="12"/>
  <c r="Z1736" i="12"/>
  <c r="AG1735" i="12"/>
  <c r="AF1735" i="12"/>
  <c r="Z1735" i="12"/>
  <c r="AG1734" i="12"/>
  <c r="AF1734" i="12"/>
  <c r="Z1734" i="12"/>
  <c r="AG1733" i="12"/>
  <c r="AF1733" i="12"/>
  <c r="Z1733" i="12"/>
  <c r="AG1732" i="12"/>
  <c r="AF1732" i="12"/>
  <c r="Z1732" i="12"/>
  <c r="AG1731" i="12"/>
  <c r="AF1731" i="12"/>
  <c r="Z1731" i="12"/>
  <c r="AG1730" i="12"/>
  <c r="AF1730" i="12"/>
  <c r="Z1730" i="12"/>
  <c r="AG1729" i="12"/>
  <c r="AF1729" i="12"/>
  <c r="Z1729" i="12"/>
  <c r="AG1728" i="12"/>
  <c r="AF1728" i="12"/>
  <c r="Z1728" i="12"/>
  <c r="AG1727" i="12"/>
  <c r="AF1727" i="12"/>
  <c r="Z1727" i="12"/>
  <c r="AG1726" i="12"/>
  <c r="AF1726" i="12"/>
  <c r="Z1726" i="12"/>
  <c r="AG1725" i="12"/>
  <c r="AF1725" i="12"/>
  <c r="Z1725" i="12"/>
  <c r="AG1724" i="12"/>
  <c r="AF1724" i="12"/>
  <c r="Z1724" i="12"/>
  <c r="AG1723" i="12"/>
  <c r="AF1723" i="12"/>
  <c r="Z1723" i="12"/>
  <c r="AG1722" i="12"/>
  <c r="AF1722" i="12"/>
  <c r="Z1722" i="12"/>
  <c r="AG1721" i="12"/>
  <c r="AF1721" i="12"/>
  <c r="Z1721" i="12"/>
  <c r="AG1720" i="12"/>
  <c r="AF1720" i="12"/>
  <c r="Z1720" i="12"/>
  <c r="AG1719" i="12"/>
  <c r="AF1719" i="12"/>
  <c r="Z1719" i="12"/>
  <c r="AG1718" i="12"/>
  <c r="AF1718" i="12"/>
  <c r="Z1718" i="12"/>
  <c r="AG1717" i="12"/>
  <c r="AF1717" i="12"/>
  <c r="Z1717" i="12"/>
  <c r="AG1716" i="12"/>
  <c r="AF1716" i="12"/>
  <c r="Z1716" i="12"/>
  <c r="AG1715" i="12"/>
  <c r="AF1715" i="12"/>
  <c r="Z1715" i="12"/>
  <c r="AG1714" i="12"/>
  <c r="AF1714" i="12"/>
  <c r="Z1714" i="12"/>
  <c r="AG1713" i="12"/>
  <c r="AF1713" i="12"/>
  <c r="Z1713" i="12"/>
  <c r="AG1712" i="12"/>
  <c r="AF1712" i="12"/>
  <c r="Z1712" i="12"/>
  <c r="AG1711" i="12"/>
  <c r="AF1711" i="12"/>
  <c r="Z1711" i="12"/>
  <c r="AG1710" i="12"/>
  <c r="AF1710" i="12"/>
  <c r="Z1710" i="12"/>
  <c r="AG1709" i="12"/>
  <c r="AF1709" i="12"/>
  <c r="Z1709" i="12"/>
  <c r="AG1708" i="12"/>
  <c r="AF1708" i="12"/>
  <c r="Z1708" i="12"/>
  <c r="AG1707" i="12"/>
  <c r="AF1707" i="12"/>
  <c r="Z1707" i="12"/>
  <c r="AG1706" i="12"/>
  <c r="AF1706" i="12"/>
  <c r="Z1706" i="12"/>
  <c r="AG1705" i="12"/>
  <c r="AF1705" i="12"/>
  <c r="Z1705" i="12"/>
  <c r="AG1704" i="12"/>
  <c r="AF1704" i="12"/>
  <c r="Z1704" i="12"/>
  <c r="AG1703" i="12"/>
  <c r="AF1703" i="12"/>
  <c r="Z1703" i="12"/>
  <c r="AG1702" i="12"/>
  <c r="AF1702" i="12"/>
  <c r="Z1702" i="12"/>
  <c r="AG1701" i="12"/>
  <c r="AF1701" i="12"/>
  <c r="Z1701" i="12"/>
  <c r="AG1700" i="12"/>
  <c r="AF1700" i="12"/>
  <c r="Z1700" i="12"/>
  <c r="AG1699" i="12"/>
  <c r="AF1699" i="12"/>
  <c r="Z1699" i="12"/>
  <c r="AG1698" i="12"/>
  <c r="AF1698" i="12"/>
  <c r="Z1698" i="12"/>
  <c r="AG1697" i="12"/>
  <c r="AF1697" i="12"/>
  <c r="Z1697" i="12"/>
  <c r="AG1696" i="12"/>
  <c r="AF1696" i="12"/>
  <c r="Z1696" i="12"/>
  <c r="AG1695" i="12"/>
  <c r="AF1695" i="12"/>
  <c r="Z1695" i="12"/>
  <c r="AG1694" i="12"/>
  <c r="AF1694" i="12"/>
  <c r="Z1694" i="12"/>
  <c r="AG1693" i="12"/>
  <c r="AF1693" i="12"/>
  <c r="Z1693" i="12"/>
  <c r="AG1692" i="12"/>
  <c r="AF1692" i="12"/>
  <c r="Z1692" i="12"/>
  <c r="AG1691" i="12"/>
  <c r="AF1691" i="12"/>
  <c r="Z1691" i="12"/>
  <c r="AG1690" i="12"/>
  <c r="AF1690" i="12"/>
  <c r="Z1690" i="12"/>
  <c r="AG1689" i="12"/>
  <c r="AF1689" i="12"/>
  <c r="Z1689" i="12"/>
  <c r="AG1688" i="12"/>
  <c r="AF1688" i="12"/>
  <c r="Z1688" i="12"/>
  <c r="AG1687" i="12"/>
  <c r="AF1687" i="12"/>
  <c r="Z1687" i="12"/>
  <c r="AG1686" i="12"/>
  <c r="AF1686" i="12"/>
  <c r="Z1686" i="12"/>
  <c r="AG1685" i="12"/>
  <c r="AF1685" i="12"/>
  <c r="Z1685" i="12"/>
  <c r="AG1684" i="12"/>
  <c r="AF1684" i="12"/>
  <c r="Z1684" i="12"/>
  <c r="AG1683" i="12"/>
  <c r="AF1683" i="12"/>
  <c r="Z1683" i="12"/>
  <c r="AG1682" i="12"/>
  <c r="AF1682" i="12"/>
  <c r="Z1682" i="12"/>
  <c r="AG1681" i="12"/>
  <c r="AF1681" i="12"/>
  <c r="Z1681" i="12"/>
  <c r="AG1680" i="12"/>
  <c r="AF1680" i="12"/>
  <c r="Z1680" i="12"/>
  <c r="AG1679" i="12"/>
  <c r="AF1679" i="12"/>
  <c r="Z1679" i="12"/>
  <c r="AG1678" i="12"/>
  <c r="AF1678" i="12"/>
  <c r="Z1678" i="12"/>
  <c r="AG1677" i="12"/>
  <c r="AF1677" i="12"/>
  <c r="Z1677" i="12"/>
  <c r="AG1676" i="12"/>
  <c r="AF1676" i="12"/>
  <c r="Z1676" i="12"/>
  <c r="AG1675" i="12"/>
  <c r="AF1675" i="12"/>
  <c r="Z1675" i="12"/>
  <c r="AG1674" i="12"/>
  <c r="AF1674" i="12"/>
  <c r="Z1674" i="12"/>
  <c r="AG1673" i="12"/>
  <c r="AF1673" i="12"/>
  <c r="Z1673" i="12"/>
  <c r="AG1672" i="12"/>
  <c r="AF1672" i="12"/>
  <c r="Z1672" i="12"/>
  <c r="AG1671" i="12"/>
  <c r="AF1671" i="12"/>
  <c r="Z1671" i="12"/>
  <c r="AG1670" i="12"/>
  <c r="AF1670" i="12"/>
  <c r="Z1670" i="12"/>
  <c r="AG1669" i="12"/>
  <c r="AF1669" i="12"/>
  <c r="Z1669" i="12"/>
  <c r="AG1668" i="12"/>
  <c r="AF1668" i="12"/>
  <c r="Z1668" i="12"/>
  <c r="AG1667" i="12"/>
  <c r="AF1667" i="12"/>
  <c r="Z1667" i="12"/>
  <c r="AG1666" i="12"/>
  <c r="AF1666" i="12"/>
  <c r="Z1666" i="12"/>
  <c r="AG1665" i="12"/>
  <c r="AF1665" i="12"/>
  <c r="Z1665" i="12"/>
  <c r="AG1664" i="12"/>
  <c r="AF1664" i="12"/>
  <c r="Z1664" i="12"/>
  <c r="AG1663" i="12"/>
  <c r="AF1663" i="12"/>
  <c r="Z1663" i="12"/>
  <c r="AG1662" i="12"/>
  <c r="AF1662" i="12"/>
  <c r="Z1662" i="12"/>
  <c r="AG1661" i="12"/>
  <c r="AF1661" i="12"/>
  <c r="Z1661" i="12"/>
  <c r="AG1660" i="12"/>
  <c r="AF1660" i="12"/>
  <c r="Z1660" i="12"/>
  <c r="AG1659" i="12"/>
  <c r="AF1659" i="12"/>
  <c r="Z1659" i="12"/>
  <c r="AG1658" i="12"/>
  <c r="AF1658" i="12"/>
  <c r="Z1658" i="12"/>
  <c r="AG1657" i="12"/>
  <c r="AF1657" i="12"/>
  <c r="Z1657" i="12"/>
  <c r="AG1656" i="12"/>
  <c r="AF1656" i="12"/>
  <c r="Z1656" i="12"/>
  <c r="AG1655" i="12"/>
  <c r="AF1655" i="12"/>
  <c r="Z1655" i="12"/>
  <c r="AG1654" i="12"/>
  <c r="AF1654" i="12"/>
  <c r="Z1654" i="12"/>
  <c r="AG1653" i="12"/>
  <c r="AF1653" i="12"/>
  <c r="Z1653" i="12"/>
  <c r="AG1652" i="12"/>
  <c r="AF1652" i="12"/>
  <c r="Z1652" i="12"/>
  <c r="AG1651" i="12"/>
  <c r="AF1651" i="12"/>
  <c r="Z1651" i="12"/>
  <c r="AG1650" i="12"/>
  <c r="AF1650" i="12"/>
  <c r="Z1650" i="12"/>
  <c r="AG1649" i="12"/>
  <c r="AF1649" i="12"/>
  <c r="Z1649" i="12"/>
  <c r="AG1648" i="12"/>
  <c r="AF1648" i="12"/>
  <c r="Z1648" i="12"/>
  <c r="AG1647" i="12"/>
  <c r="AF1647" i="12"/>
  <c r="Z1647" i="12"/>
  <c r="AG1646" i="12"/>
  <c r="AF1646" i="12"/>
  <c r="Z1646" i="12"/>
  <c r="AG1645" i="12"/>
  <c r="AF1645" i="12"/>
  <c r="Z1645" i="12"/>
  <c r="AG1644" i="12"/>
  <c r="AF1644" i="12"/>
  <c r="Z1644" i="12"/>
  <c r="AG1643" i="12"/>
  <c r="AF1643" i="12"/>
  <c r="Z1643" i="12"/>
  <c r="AG1642" i="12"/>
  <c r="AF1642" i="12"/>
  <c r="Z1642" i="12"/>
  <c r="AG1641" i="12"/>
  <c r="AF1641" i="12"/>
  <c r="Z1641" i="12"/>
  <c r="AG1640" i="12"/>
  <c r="AF1640" i="12"/>
  <c r="Z1640" i="12"/>
  <c r="AG1639" i="12"/>
  <c r="AF1639" i="12"/>
  <c r="Z1639" i="12"/>
  <c r="AG1638" i="12"/>
  <c r="AF1638" i="12"/>
  <c r="Z1638" i="12"/>
  <c r="AG1637" i="12"/>
  <c r="AF1637" i="12"/>
  <c r="Z1637" i="12"/>
  <c r="AG1636" i="12"/>
  <c r="AF1636" i="12"/>
  <c r="Z1636" i="12"/>
  <c r="AG1635" i="12"/>
  <c r="AF1635" i="12"/>
  <c r="Z1635" i="12"/>
  <c r="AG1634" i="12"/>
  <c r="AF1634" i="12"/>
  <c r="Z1634" i="12"/>
  <c r="AG1633" i="12"/>
  <c r="AF1633" i="12"/>
  <c r="Z1633" i="12"/>
  <c r="AG1632" i="12"/>
  <c r="AF1632" i="12"/>
  <c r="Z1632" i="12"/>
  <c r="AG1631" i="12"/>
  <c r="AF1631" i="12"/>
  <c r="Z1631" i="12"/>
  <c r="AG1630" i="12"/>
  <c r="AF1630" i="12"/>
  <c r="Z1630" i="12"/>
  <c r="AG1629" i="12"/>
  <c r="AF1629" i="12"/>
  <c r="Z1629" i="12"/>
  <c r="AG1628" i="12"/>
  <c r="AF1628" i="12"/>
  <c r="Z1628" i="12"/>
  <c r="AG1627" i="12"/>
  <c r="AF1627" i="12"/>
  <c r="Z1627" i="12"/>
  <c r="AG1626" i="12"/>
  <c r="AF1626" i="12"/>
  <c r="Z1626" i="12"/>
  <c r="AG1625" i="12"/>
  <c r="AF1625" i="12"/>
  <c r="Z1625" i="12"/>
  <c r="AG1624" i="12"/>
  <c r="AF1624" i="12"/>
  <c r="Z1624" i="12"/>
  <c r="AG1623" i="12"/>
  <c r="AF1623" i="12"/>
  <c r="Z1623" i="12"/>
  <c r="AG1622" i="12"/>
  <c r="AF1622" i="12"/>
  <c r="Z1622" i="12"/>
  <c r="AG1621" i="12"/>
  <c r="AF1621" i="12"/>
  <c r="Z1621" i="12"/>
  <c r="AG1620" i="12"/>
  <c r="AF1620" i="12"/>
  <c r="Z1620" i="12"/>
  <c r="AG1619" i="12"/>
  <c r="AF1619" i="12"/>
  <c r="Z1619" i="12"/>
  <c r="AG1618" i="12"/>
  <c r="AF1618" i="12"/>
  <c r="Z1618" i="12"/>
  <c r="AG1617" i="12"/>
  <c r="AF1617" i="12"/>
  <c r="Z1617" i="12"/>
  <c r="AG1616" i="12"/>
  <c r="AF1616" i="12"/>
  <c r="Z1616" i="12"/>
  <c r="AG1615" i="12"/>
  <c r="AF1615" i="12"/>
  <c r="Z1615" i="12"/>
  <c r="AG1614" i="12"/>
  <c r="AF1614" i="12"/>
  <c r="Z1614" i="12"/>
  <c r="AG1613" i="12"/>
  <c r="AF1613" i="12"/>
  <c r="Z1613" i="12"/>
  <c r="AG1612" i="12"/>
  <c r="AF1612" i="12"/>
  <c r="Z1612" i="12"/>
  <c r="AG1611" i="12"/>
  <c r="AF1611" i="12"/>
  <c r="Z1611" i="12"/>
  <c r="AG1610" i="12"/>
  <c r="AF1610" i="12"/>
  <c r="Z1610" i="12"/>
  <c r="AG1609" i="12"/>
  <c r="AF1609" i="12"/>
  <c r="Z1609" i="12"/>
  <c r="AG1608" i="12"/>
  <c r="AF1608" i="12"/>
  <c r="Z1608" i="12"/>
  <c r="AG1607" i="12"/>
  <c r="AF1607" i="12"/>
  <c r="Z1607" i="12"/>
  <c r="AG1606" i="12"/>
  <c r="AF1606" i="12"/>
  <c r="Z1606" i="12"/>
  <c r="AG1605" i="12"/>
  <c r="AF1605" i="12"/>
  <c r="Z1605" i="12"/>
  <c r="AG1604" i="12"/>
  <c r="AF1604" i="12"/>
  <c r="Z1604" i="12"/>
  <c r="AG1603" i="12"/>
  <c r="AF1603" i="12"/>
  <c r="Z1603" i="12"/>
  <c r="AG1602" i="12"/>
  <c r="AF1602" i="12"/>
  <c r="Z1602" i="12"/>
  <c r="AG1601" i="12"/>
  <c r="AF1601" i="12"/>
  <c r="Z1601" i="12"/>
  <c r="AG1600" i="12"/>
  <c r="AF1600" i="12"/>
  <c r="Z1600" i="12"/>
  <c r="AG1599" i="12"/>
  <c r="AF1599" i="12"/>
  <c r="Z1599" i="12"/>
  <c r="AG1598" i="12"/>
  <c r="AF1598" i="12"/>
  <c r="Z1598" i="12"/>
  <c r="AG1597" i="12"/>
  <c r="AF1597" i="12"/>
  <c r="Z1597" i="12"/>
  <c r="AG1596" i="12"/>
  <c r="AF1596" i="12"/>
  <c r="Z1596" i="12"/>
  <c r="AG1595" i="12"/>
  <c r="AF1595" i="12"/>
  <c r="Z1595" i="12"/>
  <c r="AG1594" i="12"/>
  <c r="AF1594" i="12"/>
  <c r="Z1594" i="12"/>
  <c r="AG1593" i="12"/>
  <c r="AF1593" i="12"/>
  <c r="Z1593" i="12"/>
  <c r="AG1592" i="12"/>
  <c r="AF1592" i="12"/>
  <c r="Z1592" i="12"/>
  <c r="AG1591" i="12"/>
  <c r="AF1591" i="12"/>
  <c r="Z1591" i="12"/>
  <c r="AG1590" i="12"/>
  <c r="AF1590" i="12"/>
  <c r="Z1590" i="12"/>
  <c r="AG1589" i="12"/>
  <c r="AF1589" i="12"/>
  <c r="Z1589" i="12"/>
  <c r="AG1588" i="12"/>
  <c r="AF1588" i="12"/>
  <c r="Z1588" i="12"/>
  <c r="AG1587" i="12"/>
  <c r="AF1587" i="12"/>
  <c r="Z1587" i="12"/>
  <c r="AG1586" i="12"/>
  <c r="AF1586" i="12"/>
  <c r="Z1586" i="12"/>
  <c r="AG1585" i="12"/>
  <c r="AF1585" i="12"/>
  <c r="Z1585" i="12"/>
  <c r="AG1584" i="12"/>
  <c r="AF1584" i="12"/>
  <c r="Z1584" i="12"/>
  <c r="AG1583" i="12"/>
  <c r="AF1583" i="12"/>
  <c r="Z1583" i="12"/>
  <c r="AG1582" i="12"/>
  <c r="AF1582" i="12"/>
  <c r="Z1582" i="12"/>
  <c r="AG1581" i="12"/>
  <c r="AF1581" i="12"/>
  <c r="Z1581" i="12"/>
  <c r="AG1580" i="12"/>
  <c r="AF1580" i="12"/>
  <c r="Z1580" i="12"/>
  <c r="AG1579" i="12"/>
  <c r="AF1579" i="12"/>
  <c r="Z1579" i="12"/>
  <c r="AG1578" i="12"/>
  <c r="AF1578" i="12"/>
  <c r="Z1578" i="12"/>
  <c r="AG1577" i="12"/>
  <c r="AF1577" i="12"/>
  <c r="Z1577" i="12"/>
  <c r="AG1576" i="12"/>
  <c r="AF1576" i="12"/>
  <c r="Z1576" i="12"/>
  <c r="AG1575" i="12"/>
  <c r="AF1575" i="12"/>
  <c r="Z1575" i="12"/>
  <c r="AG1574" i="12"/>
  <c r="AF1574" i="12"/>
  <c r="Z1574" i="12"/>
  <c r="AG1573" i="12"/>
  <c r="AF1573" i="12"/>
  <c r="Z1573" i="12"/>
  <c r="AG1572" i="12"/>
  <c r="AF1572" i="12"/>
  <c r="Z1572" i="12"/>
  <c r="AG1571" i="12"/>
  <c r="AF1571" i="12"/>
  <c r="Z1571" i="12"/>
  <c r="AG1570" i="12"/>
  <c r="AF1570" i="12"/>
  <c r="Z1570" i="12"/>
  <c r="AG1569" i="12"/>
  <c r="AF1569" i="12"/>
  <c r="Z1569" i="12"/>
  <c r="AG1568" i="12"/>
  <c r="AF1568" i="12"/>
  <c r="Z1568" i="12"/>
  <c r="AG1567" i="12"/>
  <c r="AF1567" i="12"/>
  <c r="Z1567" i="12"/>
  <c r="AG1566" i="12"/>
  <c r="AF1566" i="12"/>
  <c r="Z1566" i="12"/>
  <c r="AG1565" i="12"/>
  <c r="AF1565" i="12"/>
  <c r="Z1565" i="12"/>
  <c r="AG1564" i="12"/>
  <c r="AF1564" i="12"/>
  <c r="Z1564" i="12"/>
  <c r="AG1563" i="12"/>
  <c r="AF1563" i="12"/>
  <c r="Z1563" i="12"/>
  <c r="AG1562" i="12"/>
  <c r="AF1562" i="12"/>
  <c r="Z1562" i="12"/>
  <c r="AG1561" i="12"/>
  <c r="AF1561" i="12"/>
  <c r="Z1561" i="12"/>
  <c r="AG1560" i="12"/>
  <c r="AF1560" i="12"/>
  <c r="Z1560" i="12"/>
  <c r="AG1559" i="12"/>
  <c r="AF1559" i="12"/>
  <c r="Z1559" i="12"/>
  <c r="AG1558" i="12"/>
  <c r="AF1558" i="12"/>
  <c r="Z1558" i="12"/>
  <c r="AG1557" i="12"/>
  <c r="AF1557" i="12"/>
  <c r="Z1557" i="12"/>
  <c r="AG1556" i="12"/>
  <c r="AF1556" i="12"/>
  <c r="Z1556" i="12"/>
  <c r="AG1555" i="12"/>
  <c r="AF1555" i="12"/>
  <c r="Z1555" i="12"/>
  <c r="AG1554" i="12"/>
  <c r="AF1554" i="12"/>
  <c r="Z1554" i="12"/>
  <c r="AG1553" i="12"/>
  <c r="AF1553" i="12"/>
  <c r="Z1553" i="12"/>
  <c r="AG1552" i="12"/>
  <c r="AF1552" i="12"/>
  <c r="Z1552" i="12"/>
  <c r="AG1551" i="12"/>
  <c r="AF1551" i="12"/>
  <c r="Z1551" i="12"/>
  <c r="AG1550" i="12"/>
  <c r="AF1550" i="12"/>
  <c r="Z1550" i="12"/>
  <c r="AG1549" i="12"/>
  <c r="AF1549" i="12"/>
  <c r="Z1549" i="12"/>
  <c r="AG1548" i="12"/>
  <c r="AF1548" i="12"/>
  <c r="Z1548" i="12"/>
  <c r="AG1547" i="12"/>
  <c r="AF1547" i="12"/>
  <c r="Z1547" i="12"/>
  <c r="AG1546" i="12"/>
  <c r="AF1546" i="12"/>
  <c r="Z1546" i="12"/>
  <c r="AG1545" i="12"/>
  <c r="AF1545" i="12"/>
  <c r="Z1545" i="12"/>
  <c r="AG1544" i="12"/>
  <c r="AF1544" i="12"/>
  <c r="Z1544" i="12"/>
  <c r="AG1543" i="12"/>
  <c r="AF1543" i="12"/>
  <c r="Z1543" i="12"/>
  <c r="AG1542" i="12"/>
  <c r="AF1542" i="12"/>
  <c r="Z1542" i="12"/>
  <c r="AG1541" i="12"/>
  <c r="AF1541" i="12"/>
  <c r="Z1541" i="12"/>
  <c r="AG1540" i="12"/>
  <c r="AF1540" i="12"/>
  <c r="Z1540" i="12"/>
  <c r="AG1539" i="12"/>
  <c r="AF1539" i="12"/>
  <c r="Z1539" i="12"/>
  <c r="AG1538" i="12"/>
  <c r="AF1538" i="12"/>
  <c r="Z1538" i="12"/>
  <c r="AG1537" i="12"/>
  <c r="AF1537" i="12"/>
  <c r="Z1537" i="12"/>
  <c r="AG1536" i="12"/>
  <c r="AF1536" i="12"/>
  <c r="Z1536" i="12"/>
  <c r="AG1535" i="12"/>
  <c r="AF1535" i="12"/>
  <c r="Z1535" i="12"/>
  <c r="AG1534" i="12"/>
  <c r="AF1534" i="12"/>
  <c r="Z1534" i="12"/>
  <c r="AG1533" i="12"/>
  <c r="AF1533" i="12"/>
  <c r="Z1533" i="12"/>
  <c r="AG1532" i="12"/>
  <c r="AF1532" i="12"/>
  <c r="Z1532" i="12"/>
  <c r="AG1531" i="12"/>
  <c r="AF1531" i="12"/>
  <c r="Z1531" i="12"/>
  <c r="AG1530" i="12"/>
  <c r="AF1530" i="12"/>
  <c r="Z1530" i="12"/>
  <c r="AG1529" i="12"/>
  <c r="AF1529" i="12"/>
  <c r="Z1529" i="12"/>
  <c r="AG1528" i="12"/>
  <c r="AF1528" i="12"/>
  <c r="Z1528" i="12"/>
  <c r="AG1527" i="12"/>
  <c r="AF1527" i="12"/>
  <c r="Z1527" i="12"/>
  <c r="AG1526" i="12"/>
  <c r="AF1526" i="12"/>
  <c r="Z1526" i="12"/>
  <c r="AG1525" i="12"/>
  <c r="AF1525" i="12"/>
  <c r="Z1525" i="12"/>
  <c r="AG1524" i="12"/>
  <c r="AF1524" i="12"/>
  <c r="Z1524" i="12"/>
  <c r="AG1523" i="12"/>
  <c r="AF1523" i="12"/>
  <c r="Z1523" i="12"/>
  <c r="AG1522" i="12"/>
  <c r="AF1522" i="12"/>
  <c r="Z1522" i="12"/>
  <c r="AG1521" i="12"/>
  <c r="AF1521" i="12"/>
  <c r="Z1521" i="12"/>
  <c r="AG1520" i="12"/>
  <c r="AF1520" i="12"/>
  <c r="Z1520" i="12"/>
  <c r="AG1519" i="12"/>
  <c r="AF1519" i="12"/>
  <c r="Z1519" i="12"/>
  <c r="AG1518" i="12"/>
  <c r="AF1518" i="12"/>
  <c r="Z1518" i="12"/>
  <c r="AG1517" i="12"/>
  <c r="AF1517" i="12"/>
  <c r="Z1517" i="12"/>
  <c r="AG1516" i="12"/>
  <c r="AF1516" i="12"/>
  <c r="Z1516" i="12"/>
  <c r="AG1515" i="12"/>
  <c r="AF1515" i="12"/>
  <c r="Z1515" i="12"/>
  <c r="AG1514" i="12"/>
  <c r="AF1514" i="12"/>
  <c r="Z1514" i="12"/>
  <c r="AG1513" i="12"/>
  <c r="AF1513" i="12"/>
  <c r="Z1513" i="12"/>
  <c r="AG1512" i="12"/>
  <c r="AF1512" i="12"/>
  <c r="Z1512" i="12"/>
  <c r="AG1511" i="12"/>
  <c r="AF1511" i="12"/>
  <c r="Z1511" i="12"/>
  <c r="AG1510" i="12"/>
  <c r="AF1510" i="12"/>
  <c r="Z1510" i="12"/>
  <c r="AG1509" i="12"/>
  <c r="AF1509" i="12"/>
  <c r="Z1509" i="12"/>
  <c r="AG1508" i="12"/>
  <c r="AF1508" i="12"/>
  <c r="Z1508" i="12"/>
  <c r="AG1507" i="12"/>
  <c r="AF1507" i="12"/>
  <c r="Z1507" i="12"/>
  <c r="AG1506" i="12"/>
  <c r="AF1506" i="12"/>
  <c r="Z1506" i="12"/>
  <c r="AG1505" i="12"/>
  <c r="AF1505" i="12"/>
  <c r="Z1505" i="12"/>
  <c r="AG1504" i="12"/>
  <c r="AF1504" i="12"/>
  <c r="Z1504" i="12"/>
  <c r="AG1503" i="12"/>
  <c r="AF1503" i="12"/>
  <c r="Z1503" i="12"/>
  <c r="AG1502" i="12"/>
  <c r="AF1502" i="12"/>
  <c r="Z1502" i="12"/>
  <c r="AG1501" i="12"/>
  <c r="AF1501" i="12"/>
  <c r="Z1501" i="12"/>
  <c r="AG1500" i="12"/>
  <c r="AF1500" i="12"/>
  <c r="Z1500" i="12"/>
  <c r="AG1499" i="12"/>
  <c r="AF1499" i="12"/>
  <c r="Z1499" i="12"/>
  <c r="AG1498" i="12"/>
  <c r="AF1498" i="12"/>
  <c r="Z1498" i="12"/>
  <c r="AG1497" i="12"/>
  <c r="AF1497" i="12"/>
  <c r="Z1497" i="12"/>
  <c r="AG1496" i="12"/>
  <c r="AF1496" i="12"/>
  <c r="Z1496" i="12"/>
  <c r="AG1495" i="12"/>
  <c r="AF1495" i="12"/>
  <c r="Z1495" i="12"/>
  <c r="AG1494" i="12"/>
  <c r="AF1494" i="12"/>
  <c r="Z1494" i="12"/>
  <c r="AG1493" i="12"/>
  <c r="AF1493" i="12"/>
  <c r="Z1493" i="12"/>
  <c r="AG1492" i="12"/>
  <c r="AF1492" i="12"/>
  <c r="Z1492" i="12"/>
  <c r="AG1491" i="12"/>
  <c r="AF1491" i="12"/>
  <c r="Z1491" i="12"/>
  <c r="AG1490" i="12"/>
  <c r="AF1490" i="12"/>
  <c r="Z1490" i="12"/>
  <c r="AG1489" i="12"/>
  <c r="AF1489" i="12"/>
  <c r="Z1489" i="12"/>
  <c r="AG1488" i="12"/>
  <c r="AF1488" i="12"/>
  <c r="Z1488" i="12"/>
  <c r="AG1487" i="12"/>
  <c r="AF1487" i="12"/>
  <c r="Z1487" i="12"/>
  <c r="AG1486" i="12"/>
  <c r="AF1486" i="12"/>
  <c r="Z1486" i="12"/>
  <c r="AG1485" i="12"/>
  <c r="AF1485" i="12"/>
  <c r="Z1485" i="12"/>
  <c r="AG1484" i="12"/>
  <c r="AF1484" i="12"/>
  <c r="Z1484" i="12"/>
  <c r="AG1483" i="12"/>
  <c r="AF1483" i="12"/>
  <c r="Z1483" i="12"/>
  <c r="AG1482" i="12"/>
  <c r="AF1482" i="12"/>
  <c r="Z1482" i="12"/>
  <c r="AG1481" i="12"/>
  <c r="AF1481" i="12"/>
  <c r="Z1481" i="12"/>
  <c r="AG1480" i="12"/>
  <c r="AF1480" i="12"/>
  <c r="Z1480" i="12"/>
  <c r="AG1479" i="12"/>
  <c r="AF1479" i="12"/>
  <c r="Z1479" i="12"/>
  <c r="AG1478" i="12"/>
  <c r="AF1478" i="12"/>
  <c r="Z1478" i="12"/>
  <c r="AG1477" i="12"/>
  <c r="AF1477" i="12"/>
  <c r="Z1477" i="12"/>
  <c r="AG1476" i="12"/>
  <c r="AF1476" i="12"/>
  <c r="Z1476" i="12"/>
  <c r="AG1475" i="12"/>
  <c r="AF1475" i="12"/>
  <c r="Z1475" i="12"/>
  <c r="AG1474" i="12"/>
  <c r="AF1474" i="12"/>
  <c r="Z1474" i="12"/>
  <c r="AG1473" i="12"/>
  <c r="AF1473" i="12"/>
  <c r="Z1473" i="12"/>
  <c r="AG1472" i="12"/>
  <c r="AF1472" i="12"/>
  <c r="Z1472" i="12"/>
  <c r="AG1471" i="12"/>
  <c r="AF1471" i="12"/>
  <c r="Z1471" i="12"/>
  <c r="AG1470" i="12"/>
  <c r="AF1470" i="12"/>
  <c r="Z1470" i="12"/>
  <c r="AG1469" i="12"/>
  <c r="AF1469" i="12"/>
  <c r="Z1469" i="12"/>
  <c r="AG1468" i="12"/>
  <c r="AF1468" i="12"/>
  <c r="Z1468" i="12"/>
  <c r="AG1467" i="12"/>
  <c r="AF1467" i="12"/>
  <c r="Z1467" i="12"/>
  <c r="AG1466" i="12"/>
  <c r="AF1466" i="12"/>
  <c r="Z1466" i="12"/>
  <c r="AG1465" i="12"/>
  <c r="AF1465" i="12"/>
  <c r="Z1465" i="12"/>
  <c r="AG1464" i="12"/>
  <c r="AF1464" i="12"/>
  <c r="Z1464" i="12"/>
  <c r="AG1463" i="12"/>
  <c r="AF1463" i="12"/>
  <c r="Z1463" i="12"/>
  <c r="AG1462" i="12"/>
  <c r="AF1462" i="12"/>
  <c r="Z1462" i="12"/>
  <c r="AG1461" i="12"/>
  <c r="AF1461" i="12"/>
  <c r="Z1461" i="12"/>
  <c r="AG1460" i="12"/>
  <c r="AF1460" i="12"/>
  <c r="Z1460" i="12"/>
  <c r="AG1459" i="12"/>
  <c r="AF1459" i="12"/>
  <c r="Z1459" i="12"/>
  <c r="AG1458" i="12"/>
  <c r="AF1458" i="12"/>
  <c r="Z1458" i="12"/>
  <c r="AG1457" i="12"/>
  <c r="AF1457" i="12"/>
  <c r="Z1457" i="12"/>
  <c r="AG1456" i="12"/>
  <c r="AF1456" i="12"/>
  <c r="Z1456" i="12"/>
  <c r="AG1455" i="12"/>
  <c r="AF1455" i="12"/>
  <c r="Z1455" i="12"/>
  <c r="AG1454" i="12"/>
  <c r="AF1454" i="12"/>
  <c r="Z1454" i="12"/>
  <c r="AG1453" i="12"/>
  <c r="AF1453" i="12"/>
  <c r="Z1453" i="12"/>
  <c r="AG1452" i="12"/>
  <c r="AF1452" i="12"/>
  <c r="Z1452" i="12"/>
  <c r="AG1451" i="12"/>
  <c r="AF1451" i="12"/>
  <c r="Z1451" i="12"/>
  <c r="AG1450" i="12"/>
  <c r="AF1450" i="12"/>
  <c r="Z1450" i="12"/>
  <c r="AG1449" i="12"/>
  <c r="AF1449" i="12"/>
  <c r="Z1449" i="12"/>
  <c r="AG1448" i="12"/>
  <c r="AF1448" i="12"/>
  <c r="Z1448" i="12"/>
  <c r="AG1447" i="12"/>
  <c r="AF1447" i="12"/>
  <c r="Z1447" i="12"/>
  <c r="AG1446" i="12"/>
  <c r="AF1446" i="12"/>
  <c r="Z1446" i="12"/>
  <c r="AG1445" i="12"/>
  <c r="AF1445" i="12"/>
  <c r="Z1445" i="12"/>
  <c r="AG1444" i="12"/>
  <c r="AF1444" i="12"/>
  <c r="Z1444" i="12"/>
  <c r="AG1443" i="12"/>
  <c r="AF1443" i="12"/>
  <c r="Z1443" i="12"/>
  <c r="AG1442" i="12"/>
  <c r="AF1442" i="12"/>
  <c r="Z1442" i="12"/>
  <c r="AG1441" i="12"/>
  <c r="AF1441" i="12"/>
  <c r="Z1441" i="12"/>
  <c r="AG1440" i="12"/>
  <c r="AF1440" i="12"/>
  <c r="Z1440" i="12"/>
  <c r="AG1439" i="12"/>
  <c r="AF1439" i="12"/>
  <c r="Z1439" i="12"/>
  <c r="AG1438" i="12"/>
  <c r="AF1438" i="12"/>
  <c r="Z1438" i="12"/>
  <c r="AG1437" i="12"/>
  <c r="AF1437" i="12"/>
  <c r="Z1437" i="12"/>
  <c r="AG1436" i="12"/>
  <c r="AF1436" i="12"/>
  <c r="Z1436" i="12"/>
  <c r="AG1435" i="12"/>
  <c r="AF1435" i="12"/>
  <c r="Z1435" i="12"/>
  <c r="AG1434" i="12"/>
  <c r="AF1434" i="12"/>
  <c r="Z1434" i="12"/>
  <c r="AG1433" i="12"/>
  <c r="AF1433" i="12"/>
  <c r="Z1433" i="12"/>
  <c r="AG1432" i="12"/>
  <c r="AF1432" i="12"/>
  <c r="Z1432" i="12"/>
  <c r="AG1431" i="12"/>
  <c r="AF1431" i="12"/>
  <c r="Z1431" i="12"/>
  <c r="AG1430" i="12"/>
  <c r="AF1430" i="12"/>
  <c r="Z1430" i="12"/>
  <c r="AG1429" i="12"/>
  <c r="AF1429" i="12"/>
  <c r="Z1429" i="12"/>
  <c r="AG1428" i="12"/>
  <c r="AF1428" i="12"/>
  <c r="Z1428" i="12"/>
  <c r="AG1427" i="12"/>
  <c r="AF1427" i="12"/>
  <c r="Z1427" i="12"/>
  <c r="AG1426" i="12"/>
  <c r="AF1426" i="12"/>
  <c r="Z1426" i="12"/>
  <c r="AG1425" i="12"/>
  <c r="AF1425" i="12"/>
  <c r="Z1425" i="12"/>
  <c r="AG1424" i="12"/>
  <c r="AF1424" i="12"/>
  <c r="Z1424" i="12"/>
  <c r="AG1423" i="12"/>
  <c r="AF1423" i="12"/>
  <c r="Z1423" i="12"/>
  <c r="AG1422" i="12"/>
  <c r="AF1422" i="12"/>
  <c r="Z1422" i="12"/>
  <c r="AG1421" i="12"/>
  <c r="AF1421" i="12"/>
  <c r="Z1421" i="12"/>
  <c r="AG1420" i="12"/>
  <c r="AF1420" i="12"/>
  <c r="Z1420" i="12"/>
  <c r="AG1419" i="12"/>
  <c r="AF1419" i="12"/>
  <c r="Z1419" i="12"/>
  <c r="AG1418" i="12"/>
  <c r="AF1418" i="12"/>
  <c r="Z1418" i="12"/>
  <c r="AG1417" i="12"/>
  <c r="AF1417" i="12"/>
  <c r="Z1417" i="12"/>
  <c r="AG1416" i="12"/>
  <c r="AF1416" i="12"/>
  <c r="Z1416" i="12"/>
  <c r="AG1415" i="12"/>
  <c r="AF1415" i="12"/>
  <c r="Z1415" i="12"/>
  <c r="AG1414" i="12"/>
  <c r="AF1414" i="12"/>
  <c r="Z1414" i="12"/>
  <c r="AG1413" i="12"/>
  <c r="AF1413" i="12"/>
  <c r="Z1413" i="12"/>
  <c r="AG1412" i="12"/>
  <c r="AF1412" i="12"/>
  <c r="Z1412" i="12"/>
  <c r="AG1411" i="12"/>
  <c r="AF1411" i="12"/>
  <c r="Z1411" i="12"/>
  <c r="AG1410" i="12"/>
  <c r="AF1410" i="12"/>
  <c r="Z1410" i="12"/>
  <c r="AG1409" i="12"/>
  <c r="AF1409" i="12"/>
  <c r="Z1409" i="12"/>
  <c r="AG1408" i="12"/>
  <c r="AF1408" i="12"/>
  <c r="Z1408" i="12"/>
  <c r="AG1407" i="12"/>
  <c r="AF1407" i="12"/>
  <c r="Z1407" i="12"/>
  <c r="AG1406" i="12"/>
  <c r="AF1406" i="12"/>
  <c r="Z1406" i="12"/>
  <c r="AG1405" i="12"/>
  <c r="AF1405" i="12"/>
  <c r="Z1405" i="12"/>
  <c r="AG1404" i="12"/>
  <c r="AF1404" i="12"/>
  <c r="Z1404" i="12"/>
  <c r="AG1403" i="12"/>
  <c r="AF1403" i="12"/>
  <c r="Z1403" i="12"/>
  <c r="AG1402" i="12"/>
  <c r="AF1402" i="12"/>
  <c r="Z1402" i="12"/>
  <c r="AG1401" i="12"/>
  <c r="AF1401" i="12"/>
  <c r="Z1401" i="12"/>
  <c r="AG1400" i="12"/>
  <c r="AF1400" i="12"/>
  <c r="Z1400" i="12"/>
  <c r="AG1399" i="12"/>
  <c r="AF1399" i="12"/>
  <c r="Z1399" i="12"/>
  <c r="AG1398" i="12"/>
  <c r="AF1398" i="12"/>
  <c r="Z1398" i="12"/>
  <c r="AG1397" i="12"/>
  <c r="AF1397" i="12"/>
  <c r="Z1397" i="12"/>
  <c r="AG1396" i="12"/>
  <c r="AF1396" i="12"/>
  <c r="Z1396" i="12"/>
  <c r="AG1395" i="12"/>
  <c r="AF1395" i="12"/>
  <c r="Z1395" i="12"/>
  <c r="AG1394" i="12"/>
  <c r="AF1394" i="12"/>
  <c r="Z1394" i="12"/>
  <c r="AG1393" i="12"/>
  <c r="AF1393" i="12"/>
  <c r="Z1393" i="12"/>
  <c r="AG1392" i="12"/>
  <c r="AF1392" i="12"/>
  <c r="Z1392" i="12"/>
  <c r="AG1391" i="12"/>
  <c r="AF1391" i="12"/>
  <c r="Z1391" i="12"/>
  <c r="AG1390" i="12"/>
  <c r="AF1390" i="12"/>
  <c r="Z1390" i="12"/>
  <c r="AG1389" i="12"/>
  <c r="AF1389" i="12"/>
  <c r="Z1389" i="12"/>
  <c r="AG1388" i="12"/>
  <c r="AF1388" i="12"/>
  <c r="Z1388" i="12"/>
  <c r="AG1387" i="12"/>
  <c r="AF1387" i="12"/>
  <c r="Z1387" i="12"/>
  <c r="AG1386" i="12"/>
  <c r="AF1386" i="12"/>
  <c r="Z1386" i="12"/>
  <c r="AG1385" i="12"/>
  <c r="AF1385" i="12"/>
  <c r="Z1385" i="12"/>
  <c r="AG1384" i="12"/>
  <c r="AF1384" i="12"/>
  <c r="Z1384" i="12"/>
  <c r="AG1383" i="12"/>
  <c r="AF1383" i="12"/>
  <c r="Z1383" i="12"/>
  <c r="AG1382" i="12"/>
  <c r="AF1382" i="12"/>
  <c r="Z1382" i="12"/>
  <c r="AG1381" i="12"/>
  <c r="AF1381" i="12"/>
  <c r="Z1381" i="12"/>
  <c r="AG1380" i="12"/>
  <c r="AF1380" i="12"/>
  <c r="Z1380" i="12"/>
  <c r="AG1379" i="12"/>
  <c r="AF1379" i="12"/>
  <c r="Z1379" i="12"/>
  <c r="AG1378" i="12"/>
  <c r="AF1378" i="12"/>
  <c r="Z1378" i="12"/>
  <c r="AG1377" i="12"/>
  <c r="AF1377" i="12"/>
  <c r="Z1377" i="12"/>
  <c r="AG1376" i="12"/>
  <c r="AF1376" i="12"/>
  <c r="Z1376" i="12"/>
  <c r="AG1375" i="12"/>
  <c r="AF1375" i="12"/>
  <c r="Z1375" i="12"/>
  <c r="AG1374" i="12"/>
  <c r="AF1374" i="12"/>
  <c r="Z1374" i="12"/>
  <c r="AG1373" i="12"/>
  <c r="AF1373" i="12"/>
  <c r="Z1373" i="12"/>
  <c r="AG1372" i="12"/>
  <c r="AF1372" i="12"/>
  <c r="Z1372" i="12"/>
  <c r="AG1371" i="12"/>
  <c r="AF1371" i="12"/>
  <c r="Z1371" i="12"/>
  <c r="AG1370" i="12"/>
  <c r="AF1370" i="12"/>
  <c r="Z1370" i="12"/>
  <c r="AG1369" i="12"/>
  <c r="AF1369" i="12"/>
  <c r="Z1369" i="12"/>
  <c r="AG1368" i="12"/>
  <c r="AF1368" i="12"/>
  <c r="Z1368" i="12"/>
  <c r="AG1367" i="12"/>
  <c r="AF1367" i="12"/>
  <c r="Z1367" i="12"/>
  <c r="AG1366" i="12"/>
  <c r="AF1366" i="12"/>
  <c r="Z1366" i="12"/>
  <c r="AG1365" i="12"/>
  <c r="AF1365" i="12"/>
  <c r="Z1365" i="12"/>
  <c r="AG1364" i="12"/>
  <c r="AF1364" i="12"/>
  <c r="Z1364" i="12"/>
  <c r="AG1363" i="12"/>
  <c r="AF1363" i="12"/>
  <c r="Z1363" i="12"/>
  <c r="AG1362" i="12"/>
  <c r="AF1362" i="12"/>
  <c r="Z1362" i="12"/>
  <c r="AG1361" i="12"/>
  <c r="AF1361" i="12"/>
  <c r="Z1361" i="12"/>
  <c r="AG1360" i="12"/>
  <c r="AF1360" i="12"/>
  <c r="Z1360" i="12"/>
  <c r="AG1359" i="12"/>
  <c r="AF1359" i="12"/>
  <c r="Z1359" i="12"/>
  <c r="AG1358" i="12"/>
  <c r="AF1358" i="12"/>
  <c r="Z1358" i="12"/>
  <c r="AG1357" i="12"/>
  <c r="AF1357" i="12"/>
  <c r="Z1357" i="12"/>
  <c r="AG1356" i="12"/>
  <c r="AF1356" i="12"/>
  <c r="Z1356" i="12"/>
  <c r="AG1355" i="12"/>
  <c r="AF1355" i="12"/>
  <c r="Z1355" i="12"/>
  <c r="AG1354" i="12"/>
  <c r="AF1354" i="12"/>
  <c r="Z1354" i="12"/>
  <c r="AG1353" i="12"/>
  <c r="AF1353" i="12"/>
  <c r="Z1353" i="12"/>
  <c r="AG1352" i="12"/>
  <c r="AF1352" i="12"/>
  <c r="Z1352" i="12"/>
  <c r="AG1351" i="12"/>
  <c r="AF1351" i="12"/>
  <c r="Z1351" i="12"/>
  <c r="AG1350" i="12"/>
  <c r="AF1350" i="12"/>
  <c r="Z1350" i="12"/>
  <c r="AG1349" i="12"/>
  <c r="AF1349" i="12"/>
  <c r="Z1349" i="12"/>
  <c r="AG1348" i="12"/>
  <c r="AF1348" i="12"/>
  <c r="Z1348" i="12"/>
  <c r="AG1347" i="12"/>
  <c r="AF1347" i="12"/>
  <c r="Z1347" i="12"/>
  <c r="AG1346" i="12"/>
  <c r="AF1346" i="12"/>
  <c r="Z1346" i="12"/>
  <c r="AG1345" i="12"/>
  <c r="AF1345" i="12"/>
  <c r="Z1345" i="12"/>
  <c r="AG1344" i="12"/>
  <c r="AF1344" i="12"/>
  <c r="Z1344" i="12"/>
  <c r="AG1343" i="12"/>
  <c r="AF1343" i="12"/>
  <c r="Z1343" i="12"/>
  <c r="AG1342" i="12"/>
  <c r="AF1342" i="12"/>
  <c r="Z1342" i="12"/>
  <c r="AG1341" i="12"/>
  <c r="AF1341" i="12"/>
  <c r="Z1341" i="12"/>
  <c r="AG1340" i="12"/>
  <c r="AF1340" i="12"/>
  <c r="Z1340" i="12"/>
  <c r="AG1339" i="12"/>
  <c r="AF1339" i="12"/>
  <c r="Z1339" i="12"/>
  <c r="AG1338" i="12"/>
  <c r="AF1338" i="12"/>
  <c r="Z1338" i="12"/>
  <c r="AG1337" i="12"/>
  <c r="AF1337" i="12"/>
  <c r="Z1337" i="12"/>
  <c r="AG1336" i="12"/>
  <c r="AF1336" i="12"/>
  <c r="Z1336" i="12"/>
  <c r="AG1335" i="12"/>
  <c r="AF1335" i="12"/>
  <c r="Z1335" i="12"/>
  <c r="AG1334" i="12"/>
  <c r="AF1334" i="12"/>
  <c r="Z1334" i="12"/>
  <c r="AG1333" i="12"/>
  <c r="AF1333" i="12"/>
  <c r="Z1333" i="12"/>
  <c r="AG1332" i="12"/>
  <c r="AF1332" i="12"/>
  <c r="Z1332" i="12"/>
  <c r="AG1331" i="12"/>
  <c r="AF1331" i="12"/>
  <c r="Z1331" i="12"/>
  <c r="AG1330" i="12"/>
  <c r="AF1330" i="12"/>
  <c r="Z1330" i="12"/>
  <c r="AG1329" i="12"/>
  <c r="AF1329" i="12"/>
  <c r="Z1329" i="12"/>
  <c r="AG1328" i="12"/>
  <c r="AF1328" i="12"/>
  <c r="Z1328" i="12"/>
  <c r="AG1327" i="12"/>
  <c r="AF1327" i="12"/>
  <c r="Z1327" i="12"/>
  <c r="AG1326" i="12"/>
  <c r="AF1326" i="12"/>
  <c r="Z1326" i="12"/>
  <c r="AG1325" i="12"/>
  <c r="AF1325" i="12"/>
  <c r="Z1325" i="12"/>
  <c r="AG1324" i="12"/>
  <c r="AF1324" i="12"/>
  <c r="Z1324" i="12"/>
  <c r="AG1323" i="12"/>
  <c r="AF1323" i="12"/>
  <c r="Z1323" i="12"/>
  <c r="AG1322" i="12"/>
  <c r="AF1322" i="12"/>
  <c r="Z1322" i="12"/>
  <c r="AG1321" i="12"/>
  <c r="AF1321" i="12"/>
  <c r="Z1321" i="12"/>
  <c r="AG1320" i="12"/>
  <c r="AF1320" i="12"/>
  <c r="Z1320" i="12"/>
  <c r="AG1319" i="12"/>
  <c r="AF1319" i="12"/>
  <c r="Z1319" i="12"/>
  <c r="AG1318" i="12"/>
  <c r="AF1318" i="12"/>
  <c r="Z1318" i="12"/>
  <c r="AG1317" i="12"/>
  <c r="AF1317" i="12"/>
  <c r="Z1317" i="12"/>
  <c r="AG1316" i="12"/>
  <c r="AF1316" i="12"/>
  <c r="Z1316" i="12"/>
  <c r="AG1315" i="12"/>
  <c r="AF1315" i="12"/>
  <c r="Z1315" i="12"/>
  <c r="AG1314" i="12"/>
  <c r="AF1314" i="12"/>
  <c r="Z1314" i="12"/>
  <c r="AG1313" i="12"/>
  <c r="AF1313" i="12"/>
  <c r="Z1313" i="12"/>
  <c r="AG1312" i="12"/>
  <c r="AF1312" i="12"/>
  <c r="Z1312" i="12"/>
  <c r="AG1311" i="12"/>
  <c r="AF1311" i="12"/>
  <c r="Z1311" i="12"/>
  <c r="AG1310" i="12"/>
  <c r="AF1310" i="12"/>
  <c r="Z1310" i="12"/>
  <c r="AG1309" i="12"/>
  <c r="AF1309" i="12"/>
  <c r="Z1309" i="12"/>
  <c r="AG1308" i="12"/>
  <c r="AF1308" i="12"/>
  <c r="Z1308" i="12"/>
  <c r="AG1307" i="12"/>
  <c r="AF1307" i="12"/>
  <c r="Z1307" i="12"/>
  <c r="AG1306" i="12"/>
  <c r="AF1306" i="12"/>
  <c r="Z1306" i="12"/>
  <c r="AG1305" i="12"/>
  <c r="AF1305" i="12"/>
  <c r="Z1305" i="12"/>
  <c r="AG1304" i="12"/>
  <c r="AF1304" i="12"/>
  <c r="Z1304" i="12"/>
  <c r="AG1303" i="12"/>
  <c r="AF1303" i="12"/>
  <c r="Z1303" i="12"/>
  <c r="AG1302" i="12"/>
  <c r="AF1302" i="12"/>
  <c r="Z1302" i="12"/>
  <c r="AG1301" i="12"/>
  <c r="AF1301" i="12"/>
  <c r="Z1301" i="12"/>
  <c r="AG1300" i="12"/>
  <c r="AF1300" i="12"/>
  <c r="Z1300" i="12"/>
  <c r="AG1299" i="12"/>
  <c r="AF1299" i="12"/>
  <c r="Z1299" i="12"/>
  <c r="AG1298" i="12"/>
  <c r="AF1298" i="12"/>
  <c r="Z1298" i="12"/>
  <c r="AG1297" i="12"/>
  <c r="AF1297" i="12"/>
  <c r="Z1297" i="12"/>
  <c r="AG1296" i="12"/>
  <c r="AF1296" i="12"/>
  <c r="Z1296" i="12"/>
  <c r="AG1295" i="12"/>
  <c r="AF1295" i="12"/>
  <c r="Z1295" i="12"/>
  <c r="AG1294" i="12"/>
  <c r="AF1294" i="12"/>
  <c r="Z1294" i="12"/>
  <c r="AG1293" i="12"/>
  <c r="AF1293" i="12"/>
  <c r="Z1293" i="12"/>
  <c r="AG1292" i="12"/>
  <c r="AF1292" i="12"/>
  <c r="Z1292" i="12"/>
  <c r="AG1291" i="12"/>
  <c r="AF1291" i="12"/>
  <c r="Z1291" i="12"/>
  <c r="AG1290" i="12"/>
  <c r="AF1290" i="12"/>
  <c r="Z1290" i="12"/>
  <c r="AG1289" i="12"/>
  <c r="AF1289" i="12"/>
  <c r="Z1289" i="12"/>
  <c r="AG1288" i="12"/>
  <c r="AF1288" i="12"/>
  <c r="Z1288" i="12"/>
  <c r="AG1287" i="12"/>
  <c r="AF1287" i="12"/>
  <c r="Z1287" i="12"/>
  <c r="AG1286" i="12"/>
  <c r="AF1286" i="12"/>
  <c r="Z1286" i="12"/>
  <c r="AG1285" i="12"/>
  <c r="AF1285" i="12"/>
  <c r="Z1285" i="12"/>
  <c r="AG1284" i="12"/>
  <c r="AF1284" i="12"/>
  <c r="Z1284" i="12"/>
  <c r="AG1283" i="12"/>
  <c r="AF1283" i="12"/>
  <c r="Z1283" i="12"/>
  <c r="AG1282" i="12"/>
  <c r="AF1282" i="12"/>
  <c r="Z1282" i="12"/>
  <c r="AG1281" i="12"/>
  <c r="AF1281" i="12"/>
  <c r="Z1281" i="12"/>
  <c r="AG1280" i="12"/>
  <c r="AF1280" i="12"/>
  <c r="Z1280" i="12"/>
  <c r="AG1279" i="12"/>
  <c r="AF1279" i="12"/>
  <c r="Z1279" i="12"/>
  <c r="AG1278" i="12"/>
  <c r="AF1278" i="12"/>
  <c r="Z1278" i="12"/>
  <c r="AG1277" i="12"/>
  <c r="AF1277" i="12"/>
  <c r="Z1277" i="12"/>
  <c r="AG1276" i="12"/>
  <c r="AF1276" i="12"/>
  <c r="Z1276" i="12"/>
  <c r="AG1275" i="12"/>
  <c r="AF1275" i="12"/>
  <c r="Z1275" i="12"/>
  <c r="AG1274" i="12"/>
  <c r="AF1274" i="12"/>
  <c r="Z1274" i="12"/>
  <c r="AG1273" i="12"/>
  <c r="AF1273" i="12"/>
  <c r="Z1273" i="12"/>
  <c r="AG1272" i="12"/>
  <c r="AF1272" i="12"/>
  <c r="Z1272" i="12"/>
  <c r="AG1271" i="12"/>
  <c r="AF1271" i="12"/>
  <c r="Z1271" i="12"/>
  <c r="AG1270" i="12"/>
  <c r="AF1270" i="12"/>
  <c r="Z1270" i="12"/>
  <c r="AG1269" i="12"/>
  <c r="AF1269" i="12"/>
  <c r="Z1269" i="12"/>
  <c r="AG1268" i="12"/>
  <c r="AF1268" i="12"/>
  <c r="Z1268" i="12"/>
  <c r="AG1267" i="12"/>
  <c r="AF1267" i="12"/>
  <c r="Z1267" i="12"/>
  <c r="AG1266" i="12"/>
  <c r="AF1266" i="12"/>
  <c r="Z1266" i="12"/>
  <c r="AG1265" i="12"/>
  <c r="AF1265" i="12"/>
  <c r="Z1265" i="12"/>
  <c r="AG1264" i="12"/>
  <c r="AF1264" i="12"/>
  <c r="Z1264" i="12"/>
  <c r="AG1263" i="12"/>
  <c r="AF1263" i="12"/>
  <c r="Z1263" i="12"/>
  <c r="AG1262" i="12"/>
  <c r="AF1262" i="12"/>
  <c r="Z1262" i="12"/>
  <c r="AG1261" i="12"/>
  <c r="AF1261" i="12"/>
  <c r="Z1261" i="12"/>
  <c r="AG1260" i="12"/>
  <c r="AF1260" i="12"/>
  <c r="Z1260" i="12"/>
  <c r="AG1259" i="12"/>
  <c r="AF1259" i="12"/>
  <c r="Z1259" i="12"/>
  <c r="AG1258" i="12"/>
  <c r="AF1258" i="12"/>
  <c r="Z1258" i="12"/>
  <c r="AG1257" i="12"/>
  <c r="AF1257" i="12"/>
  <c r="Z1257" i="12"/>
  <c r="AG1256" i="12"/>
  <c r="AF1256" i="12"/>
  <c r="Z1256" i="12"/>
  <c r="AG1255" i="12"/>
  <c r="AF1255" i="12"/>
  <c r="Z1255" i="12"/>
  <c r="AG1254" i="12"/>
  <c r="AF1254" i="12"/>
  <c r="Z1254" i="12"/>
  <c r="AG1253" i="12"/>
  <c r="AF1253" i="12"/>
  <c r="Z1253" i="12"/>
  <c r="AG1252" i="12"/>
  <c r="AF1252" i="12"/>
  <c r="Z1252" i="12"/>
  <c r="AG1251" i="12"/>
  <c r="AF1251" i="12"/>
  <c r="Z1251" i="12"/>
  <c r="AG1250" i="12"/>
  <c r="AF1250" i="12"/>
  <c r="Z1250" i="12"/>
  <c r="AG1249" i="12"/>
  <c r="AF1249" i="12"/>
  <c r="Z1249" i="12"/>
  <c r="AG1248" i="12"/>
  <c r="AF1248" i="12"/>
  <c r="Z1248" i="12"/>
  <c r="AG1247" i="12"/>
  <c r="AF1247" i="12"/>
  <c r="Z1247" i="12"/>
  <c r="AG1246" i="12"/>
  <c r="AF1246" i="12"/>
  <c r="Z1246" i="12"/>
  <c r="AG1245" i="12"/>
  <c r="AF1245" i="12"/>
  <c r="Z1245" i="12"/>
  <c r="AG1244" i="12"/>
  <c r="AF1244" i="12"/>
  <c r="Z1244" i="12"/>
  <c r="AG1243" i="12"/>
  <c r="AF1243" i="12"/>
  <c r="Z1243" i="12"/>
  <c r="AG1242" i="12"/>
  <c r="AF1242" i="12"/>
  <c r="Z1242" i="12"/>
  <c r="AG1241" i="12"/>
  <c r="AF1241" i="12"/>
  <c r="Z1241" i="12"/>
  <c r="AG1240" i="12"/>
  <c r="AF1240" i="12"/>
  <c r="Z1240" i="12"/>
  <c r="AG1239" i="12"/>
  <c r="AF1239" i="12"/>
  <c r="Z1239" i="12"/>
  <c r="AG1238" i="12"/>
  <c r="AF1238" i="12"/>
  <c r="Z1238" i="12"/>
  <c r="AG1237" i="12"/>
  <c r="AF1237" i="12"/>
  <c r="Z1237" i="12"/>
  <c r="AG1236" i="12"/>
  <c r="AF1236" i="12"/>
  <c r="Z1236" i="12"/>
  <c r="AG1235" i="12"/>
  <c r="AF1235" i="12"/>
  <c r="Z1235" i="12"/>
  <c r="AG1234" i="12"/>
  <c r="AF1234" i="12"/>
  <c r="Z1234" i="12"/>
  <c r="AG1233" i="12"/>
  <c r="AF1233" i="12"/>
  <c r="Z1233" i="12"/>
  <c r="AG1232" i="12"/>
  <c r="AF1232" i="12"/>
  <c r="Z1232" i="12"/>
  <c r="AG1231" i="12"/>
  <c r="AF1231" i="12"/>
  <c r="Z1231" i="12"/>
  <c r="AG1230" i="12"/>
  <c r="AF1230" i="12"/>
  <c r="Z1230" i="12"/>
  <c r="AG1229" i="12"/>
  <c r="AF1229" i="12"/>
  <c r="Z1229" i="12"/>
  <c r="AG1228" i="12"/>
  <c r="AF1228" i="12"/>
  <c r="Z1228" i="12"/>
  <c r="AG1227" i="12"/>
  <c r="AF1227" i="12"/>
  <c r="Z1227" i="12"/>
  <c r="AG1226" i="12"/>
  <c r="AF1226" i="12"/>
  <c r="Z1226" i="12"/>
  <c r="AG1225" i="12"/>
  <c r="AF1225" i="12"/>
  <c r="Z1225" i="12"/>
  <c r="AG1224" i="12"/>
  <c r="AF1224" i="12"/>
  <c r="Z1224" i="12"/>
  <c r="AG1223" i="12"/>
  <c r="AF1223" i="12"/>
  <c r="Z1223" i="12"/>
  <c r="AG1222" i="12"/>
  <c r="AF1222" i="12"/>
  <c r="Z1222" i="12"/>
  <c r="AG1221" i="12"/>
  <c r="AF1221" i="12"/>
  <c r="Z1221" i="12"/>
  <c r="AG1220" i="12"/>
  <c r="AF1220" i="12"/>
  <c r="Z1220" i="12"/>
  <c r="AG1219" i="12"/>
  <c r="AF1219" i="12"/>
  <c r="Z1219" i="12"/>
  <c r="AG1218" i="12"/>
  <c r="AF1218" i="12"/>
  <c r="Z1218" i="12"/>
  <c r="AG1217" i="12"/>
  <c r="AF1217" i="12"/>
  <c r="Z1217" i="12"/>
  <c r="AG1216" i="12"/>
  <c r="AF1216" i="12"/>
  <c r="Z1216" i="12"/>
  <c r="AG1215" i="12"/>
  <c r="AF1215" i="12"/>
  <c r="Z1215" i="12"/>
  <c r="AG1214" i="12"/>
  <c r="AF1214" i="12"/>
  <c r="Z1214" i="12"/>
  <c r="AG1213" i="12"/>
  <c r="AF1213" i="12"/>
  <c r="Z1213" i="12"/>
  <c r="AG1212" i="12"/>
  <c r="AF1212" i="12"/>
  <c r="Z1212" i="12"/>
  <c r="AG1211" i="12"/>
  <c r="AF1211" i="12"/>
  <c r="Z1211" i="12"/>
  <c r="AG1210" i="12"/>
  <c r="AF1210" i="12"/>
  <c r="Z1210" i="12"/>
  <c r="AG1209" i="12"/>
  <c r="AF1209" i="12"/>
  <c r="Z1209" i="12"/>
  <c r="AG1208" i="12"/>
  <c r="AF1208" i="12"/>
  <c r="Z1208" i="12"/>
  <c r="AG1207" i="12"/>
  <c r="AF1207" i="12"/>
  <c r="Z1207" i="12"/>
  <c r="AG1206" i="12"/>
  <c r="AF1206" i="12"/>
  <c r="Z1206" i="12"/>
  <c r="AG1205" i="12"/>
  <c r="AF1205" i="12"/>
  <c r="Z1205" i="12"/>
  <c r="AG1204" i="12"/>
  <c r="AF1204" i="12"/>
  <c r="Z1204" i="12"/>
  <c r="AG1203" i="12"/>
  <c r="AF1203" i="12"/>
  <c r="Z1203" i="12"/>
  <c r="AG1202" i="12"/>
  <c r="AF1202" i="12"/>
  <c r="Z1202" i="12"/>
  <c r="AG1201" i="12"/>
  <c r="AF1201" i="12"/>
  <c r="Z1201" i="12"/>
  <c r="AG1200" i="12"/>
  <c r="AF1200" i="12"/>
  <c r="Z1200" i="12"/>
  <c r="AG1199" i="12"/>
  <c r="AF1199" i="12"/>
  <c r="Z1199" i="12"/>
  <c r="AG1198" i="12"/>
  <c r="AF1198" i="12"/>
  <c r="Z1198" i="12"/>
  <c r="AG1197" i="12"/>
  <c r="AF1197" i="12"/>
  <c r="Z1197" i="12"/>
  <c r="AG1196" i="12"/>
  <c r="AF1196" i="12"/>
  <c r="Z1196" i="12"/>
  <c r="AG1195" i="12"/>
  <c r="AF1195" i="12"/>
  <c r="Z1195" i="12"/>
  <c r="AG1194" i="12"/>
  <c r="AF1194" i="12"/>
  <c r="Z1194" i="12"/>
  <c r="AG1193" i="12"/>
  <c r="AF1193" i="12"/>
  <c r="Z1193" i="12"/>
  <c r="AG1192" i="12"/>
  <c r="AF1192" i="12"/>
  <c r="Z1192" i="12"/>
  <c r="AG1191" i="12"/>
  <c r="AF1191" i="12"/>
  <c r="Z1191" i="12"/>
  <c r="AG1190" i="12"/>
  <c r="AF1190" i="12"/>
  <c r="Z1190" i="12"/>
  <c r="AG1189" i="12"/>
  <c r="AF1189" i="12"/>
  <c r="Z1189" i="12"/>
  <c r="AG1188" i="12"/>
  <c r="AF1188" i="12"/>
  <c r="Z1188" i="12"/>
  <c r="AG1187" i="12"/>
  <c r="AF1187" i="12"/>
  <c r="Z1187" i="12"/>
  <c r="AG1186" i="12"/>
  <c r="AF1186" i="12"/>
  <c r="Z1186" i="12"/>
  <c r="AG1185" i="12"/>
  <c r="AF1185" i="12"/>
  <c r="Z1185" i="12"/>
  <c r="AG1184" i="12"/>
  <c r="AF1184" i="12"/>
  <c r="Z1184" i="12"/>
  <c r="AG1183" i="12"/>
  <c r="AF1183" i="12"/>
  <c r="Z1183" i="12"/>
  <c r="AG1182" i="12"/>
  <c r="AF1182" i="12"/>
  <c r="Z1182" i="12"/>
  <c r="AG1181" i="12"/>
  <c r="AF1181" i="12"/>
  <c r="Z1181" i="12"/>
  <c r="AG1180" i="12"/>
  <c r="AF1180" i="12"/>
  <c r="Z1180" i="12"/>
  <c r="AG1179" i="12"/>
  <c r="AF1179" i="12"/>
  <c r="Z1179" i="12"/>
  <c r="AG1178" i="12"/>
  <c r="AF1178" i="12"/>
  <c r="Z1178" i="12"/>
  <c r="AG1177" i="12"/>
  <c r="AF1177" i="12"/>
  <c r="Z1177" i="12"/>
  <c r="AG1176" i="12"/>
  <c r="AF1176" i="12"/>
  <c r="Z1176" i="12"/>
  <c r="AG1175" i="12"/>
  <c r="AF1175" i="12"/>
  <c r="Z1175" i="12"/>
  <c r="AG1174" i="12"/>
  <c r="AF1174" i="12"/>
  <c r="Z1174" i="12"/>
  <c r="AG1173" i="12"/>
  <c r="AF1173" i="12"/>
  <c r="Z1173" i="12"/>
  <c r="AG1172" i="12"/>
  <c r="AF1172" i="12"/>
  <c r="Z1172" i="12"/>
  <c r="AG1171" i="12"/>
  <c r="AF1171" i="12"/>
  <c r="Z1171" i="12"/>
  <c r="AG1170" i="12"/>
  <c r="AF1170" i="12"/>
  <c r="Z1170" i="12"/>
  <c r="AG1169" i="12"/>
  <c r="AF1169" i="12"/>
  <c r="Z1169" i="12"/>
  <c r="AG1168" i="12"/>
  <c r="AF1168" i="12"/>
  <c r="Z1168" i="12"/>
  <c r="AG1167" i="12"/>
  <c r="AF1167" i="12"/>
  <c r="Z1167" i="12"/>
  <c r="AG1166" i="12"/>
  <c r="AF1166" i="12"/>
  <c r="Z1166" i="12"/>
  <c r="AG1165" i="12"/>
  <c r="AF1165" i="12"/>
  <c r="Z1165" i="12"/>
  <c r="AG1164" i="12"/>
  <c r="AF1164" i="12"/>
  <c r="Z1164" i="12"/>
  <c r="AG1163" i="12"/>
  <c r="AF1163" i="12"/>
  <c r="Z1163" i="12"/>
  <c r="AG1162" i="12"/>
  <c r="AF1162" i="12"/>
  <c r="Z1162" i="12"/>
  <c r="AG1161" i="12"/>
  <c r="AF1161" i="12"/>
  <c r="Z1161" i="12"/>
  <c r="AG1160" i="12"/>
  <c r="AF1160" i="12"/>
  <c r="Z1160" i="12"/>
  <c r="AG1159" i="12"/>
  <c r="AF1159" i="12"/>
  <c r="Z1159" i="12"/>
  <c r="AG1158" i="12"/>
  <c r="AF1158" i="12"/>
  <c r="Z1158" i="12"/>
  <c r="AG1157" i="12"/>
  <c r="AF1157" i="12"/>
  <c r="Z1157" i="12"/>
  <c r="AG1156" i="12"/>
  <c r="AF1156" i="12"/>
  <c r="Z1156" i="12"/>
  <c r="AG1155" i="12"/>
  <c r="AF1155" i="12"/>
  <c r="Z1155" i="12"/>
  <c r="AG1154" i="12"/>
  <c r="AF1154" i="12"/>
  <c r="Z1154" i="12"/>
  <c r="AG1153" i="12"/>
  <c r="AF1153" i="12"/>
  <c r="Z1153" i="12"/>
  <c r="AG1152" i="12"/>
  <c r="AF1152" i="12"/>
  <c r="Z1152" i="12"/>
  <c r="AG1151" i="12"/>
  <c r="AF1151" i="12"/>
  <c r="Z1151" i="12"/>
  <c r="AG1150" i="12"/>
  <c r="AF1150" i="12"/>
  <c r="Z1150" i="12"/>
  <c r="AG1149" i="12"/>
  <c r="AF1149" i="12"/>
  <c r="Z1149" i="12"/>
  <c r="AG1148" i="12"/>
  <c r="AF1148" i="12"/>
  <c r="Z1148" i="12"/>
  <c r="AG1147" i="12"/>
  <c r="AF1147" i="12"/>
  <c r="Z1147" i="12"/>
  <c r="AG1146" i="12"/>
  <c r="AF1146" i="12"/>
  <c r="Z1146" i="12"/>
  <c r="AG1145" i="12"/>
  <c r="AF1145" i="12"/>
  <c r="Z1145" i="12"/>
  <c r="AG1144" i="12"/>
  <c r="AF1144" i="12"/>
  <c r="Z1144" i="12"/>
  <c r="AG1143" i="12"/>
  <c r="AF1143" i="12"/>
  <c r="Z1143" i="12"/>
  <c r="AG1142" i="12"/>
  <c r="AF1142" i="12"/>
  <c r="Z1142" i="12"/>
  <c r="AG1141" i="12"/>
  <c r="AF1141" i="12"/>
  <c r="Z1141" i="12"/>
  <c r="AG1140" i="12"/>
  <c r="AF1140" i="12"/>
  <c r="Z1140" i="12"/>
  <c r="AG1139" i="12"/>
  <c r="AF1139" i="12"/>
  <c r="Z1139" i="12"/>
  <c r="AG1138" i="12"/>
  <c r="AF1138" i="12"/>
  <c r="Z1138" i="12"/>
  <c r="AG1137" i="12"/>
  <c r="AF1137" i="12"/>
  <c r="Z1137" i="12"/>
  <c r="AG1136" i="12"/>
  <c r="AF1136" i="12"/>
  <c r="Z1136" i="12"/>
  <c r="AG1135" i="12"/>
  <c r="AF1135" i="12"/>
  <c r="Z1135" i="12"/>
  <c r="AG1134" i="12"/>
  <c r="AF1134" i="12"/>
  <c r="Z1134" i="12"/>
  <c r="AG1133" i="12"/>
  <c r="AF1133" i="12"/>
  <c r="Z1133" i="12"/>
  <c r="AG1132" i="12"/>
  <c r="AF1132" i="12"/>
  <c r="Z1132" i="12"/>
  <c r="AG1131" i="12"/>
  <c r="AF1131" i="12"/>
  <c r="Z1131" i="12"/>
  <c r="AG1130" i="12"/>
  <c r="AF1130" i="12"/>
  <c r="Z1130" i="12"/>
  <c r="AG1129" i="12"/>
  <c r="AF1129" i="12"/>
  <c r="Z1129" i="12"/>
  <c r="AG1128" i="12"/>
  <c r="AF1128" i="12"/>
  <c r="Z1128" i="12"/>
  <c r="AG1127" i="12"/>
  <c r="AF1127" i="12"/>
  <c r="Z1127" i="12"/>
  <c r="AG1126" i="12"/>
  <c r="AF1126" i="12"/>
  <c r="Z1126" i="12"/>
  <c r="AG1125" i="12"/>
  <c r="AF1125" i="12"/>
  <c r="Z1125" i="12"/>
  <c r="AG1124" i="12"/>
  <c r="AF1124" i="12"/>
  <c r="Z1124" i="12"/>
  <c r="AG1123" i="12"/>
  <c r="AF1123" i="12"/>
  <c r="Z1123" i="12"/>
  <c r="AG1122" i="12"/>
  <c r="AF1122" i="12"/>
  <c r="Z1122" i="12"/>
  <c r="AG1121" i="12"/>
  <c r="AF1121" i="12"/>
  <c r="Z1121" i="12"/>
  <c r="AG1120" i="12"/>
  <c r="AF1120" i="12"/>
  <c r="Z1120" i="12"/>
  <c r="AG1119" i="12"/>
  <c r="AF1119" i="12"/>
  <c r="Z1119" i="12"/>
  <c r="AG1118" i="12"/>
  <c r="AF1118" i="12"/>
  <c r="Z1118" i="12"/>
  <c r="AG1117" i="12"/>
  <c r="AF1117" i="12"/>
  <c r="Z1117" i="12"/>
  <c r="AG1116" i="12"/>
  <c r="AF1116" i="12"/>
  <c r="Z1116" i="12"/>
  <c r="AG1115" i="12"/>
  <c r="AF1115" i="12"/>
  <c r="Z1115" i="12"/>
  <c r="AG1114" i="12"/>
  <c r="AF1114" i="12"/>
  <c r="Z1114" i="12"/>
  <c r="AG1113" i="12"/>
  <c r="AF1113" i="12"/>
  <c r="Z1113" i="12"/>
  <c r="AG1112" i="12"/>
  <c r="AF1112" i="12"/>
  <c r="Z1112" i="12"/>
  <c r="AG1111" i="12"/>
  <c r="AF1111" i="12"/>
  <c r="Z1111" i="12"/>
  <c r="AG1110" i="12"/>
  <c r="AF1110" i="12"/>
  <c r="Z1110" i="12"/>
  <c r="AG1109" i="12"/>
  <c r="AF1109" i="12"/>
  <c r="Z1109" i="12"/>
  <c r="AG1108" i="12"/>
  <c r="AF1108" i="12"/>
  <c r="Z1108" i="12"/>
  <c r="AG1107" i="12"/>
  <c r="AF1107" i="12"/>
  <c r="Z1107" i="12"/>
  <c r="AG1106" i="12"/>
  <c r="AF1106" i="12"/>
  <c r="Z1106" i="12"/>
  <c r="AG1105" i="12"/>
  <c r="AF1105" i="12"/>
  <c r="Z1105" i="12"/>
  <c r="AG1104" i="12"/>
  <c r="AF1104" i="12"/>
  <c r="Z1104" i="12"/>
  <c r="AG1103" i="12"/>
  <c r="AF1103" i="12"/>
  <c r="Z1103" i="12"/>
  <c r="AG1102" i="12"/>
  <c r="AF1102" i="12"/>
  <c r="Z1102" i="12"/>
  <c r="AG1101" i="12"/>
  <c r="AF1101" i="12"/>
  <c r="Z1101" i="12"/>
  <c r="AG1100" i="12"/>
  <c r="AF1100" i="12"/>
  <c r="Z1100" i="12"/>
  <c r="AG1099" i="12"/>
  <c r="AF1099" i="12"/>
  <c r="Z1099" i="12"/>
  <c r="AG1098" i="12"/>
  <c r="AF1098" i="12"/>
  <c r="Z1098" i="12"/>
  <c r="AG1097" i="12"/>
  <c r="AF1097" i="12"/>
  <c r="Z1097" i="12"/>
  <c r="AG1096" i="12"/>
  <c r="AF1096" i="12"/>
  <c r="Z1096" i="12"/>
  <c r="AG1095" i="12"/>
  <c r="AF1095" i="12"/>
  <c r="Z1095" i="12"/>
  <c r="AG1094" i="12"/>
  <c r="AF1094" i="12"/>
  <c r="Z1094" i="12"/>
  <c r="AG1093" i="12"/>
  <c r="AF1093" i="12"/>
  <c r="Z1093" i="12"/>
  <c r="AG1092" i="12"/>
  <c r="AF1092" i="12"/>
  <c r="Z1092" i="12"/>
  <c r="AG1091" i="12"/>
  <c r="AF1091" i="12"/>
  <c r="Z1091" i="12"/>
  <c r="AG1090" i="12"/>
  <c r="AF1090" i="12"/>
  <c r="Z1090" i="12"/>
  <c r="AG1089" i="12"/>
  <c r="AF1089" i="12"/>
  <c r="Z1089" i="12"/>
  <c r="AG1088" i="12"/>
  <c r="AF1088" i="12"/>
  <c r="Z1088" i="12"/>
  <c r="AG1087" i="12"/>
  <c r="AF1087" i="12"/>
  <c r="Z1087" i="12"/>
  <c r="AG1086" i="12"/>
  <c r="AF1086" i="12"/>
  <c r="Z1086" i="12"/>
  <c r="AG1085" i="12"/>
  <c r="AF1085" i="12"/>
  <c r="Z1085" i="12"/>
  <c r="AG1084" i="12"/>
  <c r="AF1084" i="12"/>
  <c r="Z1084" i="12"/>
  <c r="AG1083" i="12"/>
  <c r="AF1083" i="12"/>
  <c r="Z1083" i="12"/>
  <c r="AG1082" i="12"/>
  <c r="AF1082" i="12"/>
  <c r="Z1082" i="12"/>
  <c r="AG1081" i="12"/>
  <c r="AF1081" i="12"/>
  <c r="Z1081" i="12"/>
  <c r="AG1080" i="12"/>
  <c r="AF1080" i="12"/>
  <c r="Z1080" i="12"/>
  <c r="AG1079" i="12"/>
  <c r="AF1079" i="12"/>
  <c r="Z1079" i="12"/>
  <c r="AG1078" i="12"/>
  <c r="AF1078" i="12"/>
  <c r="Z1078" i="12"/>
  <c r="AG1077" i="12"/>
  <c r="AF1077" i="12"/>
  <c r="Z1077" i="12"/>
  <c r="AG1076" i="12"/>
  <c r="AF1076" i="12"/>
  <c r="Z1076" i="12"/>
  <c r="AG1075" i="12"/>
  <c r="AF1075" i="12"/>
  <c r="Z1075" i="12"/>
  <c r="AG1074" i="12"/>
  <c r="AF1074" i="12"/>
  <c r="Z1074" i="12"/>
  <c r="AG1073" i="12"/>
  <c r="AF1073" i="12"/>
  <c r="Z1073" i="12"/>
  <c r="AG1072" i="12"/>
  <c r="AF1072" i="12"/>
  <c r="Z1072" i="12"/>
  <c r="AG1071" i="12"/>
  <c r="AF1071" i="12"/>
  <c r="Z1071" i="12"/>
  <c r="AG1070" i="12"/>
  <c r="AF1070" i="12"/>
  <c r="Z1070" i="12"/>
  <c r="AG1069" i="12"/>
  <c r="AF1069" i="12"/>
  <c r="Z1069" i="12"/>
  <c r="AG1068" i="12"/>
  <c r="AF1068" i="12"/>
  <c r="Z1068" i="12"/>
  <c r="AG1067" i="12"/>
  <c r="AF1067" i="12"/>
  <c r="Z1067" i="12"/>
  <c r="AG1066" i="12"/>
  <c r="AF1066" i="12"/>
  <c r="Z1066" i="12"/>
  <c r="AG1065" i="12"/>
  <c r="AF1065" i="12"/>
  <c r="Z1065" i="12"/>
  <c r="AG1064" i="12"/>
  <c r="AF1064" i="12"/>
  <c r="Z1064" i="12"/>
  <c r="AG1063" i="12"/>
  <c r="AF1063" i="12"/>
  <c r="Z1063" i="12"/>
  <c r="AG1062" i="12"/>
  <c r="AF1062" i="12"/>
  <c r="Z1062" i="12"/>
  <c r="AG1061" i="12"/>
  <c r="AF1061" i="12"/>
  <c r="Z1061" i="12"/>
  <c r="AG1060" i="12"/>
  <c r="AF1060" i="12"/>
  <c r="Z1060" i="12"/>
  <c r="AG1059" i="12"/>
  <c r="AF1059" i="12"/>
  <c r="Z1059" i="12"/>
  <c r="AG1058" i="12"/>
  <c r="AF1058" i="12"/>
  <c r="Z1058" i="12"/>
  <c r="AG1057" i="12"/>
  <c r="AF1057" i="12"/>
  <c r="Z1057" i="12"/>
  <c r="AG1056" i="12"/>
  <c r="AF1056" i="12"/>
  <c r="Z1056" i="12"/>
  <c r="AG1055" i="12"/>
  <c r="AF1055" i="12"/>
  <c r="Z1055" i="12"/>
  <c r="AG1054" i="12"/>
  <c r="AF1054" i="12"/>
  <c r="Z1054" i="12"/>
  <c r="AG1053" i="12"/>
  <c r="AF1053" i="12"/>
  <c r="Z1053" i="12"/>
  <c r="AG1052" i="12"/>
  <c r="AF1052" i="12"/>
  <c r="Z1052" i="12"/>
  <c r="AG1051" i="12"/>
  <c r="AF1051" i="12"/>
  <c r="Z1051" i="12"/>
  <c r="AG1050" i="12"/>
  <c r="AF1050" i="12"/>
  <c r="Z1050" i="12"/>
  <c r="AG1049" i="12"/>
  <c r="AF1049" i="12"/>
  <c r="Z1049" i="12"/>
  <c r="AG1048" i="12"/>
  <c r="AF1048" i="12"/>
  <c r="Z1048" i="12"/>
  <c r="AG1047" i="12"/>
  <c r="AF1047" i="12"/>
  <c r="Z1047" i="12"/>
  <c r="AG1046" i="12"/>
  <c r="AF1046" i="12"/>
  <c r="Z1046" i="12"/>
  <c r="AG1045" i="12"/>
  <c r="AF1045" i="12"/>
  <c r="Z1045" i="12"/>
  <c r="AG1044" i="12"/>
  <c r="AF1044" i="12"/>
  <c r="Z1044" i="12"/>
  <c r="AG1043" i="12"/>
  <c r="AF1043" i="12"/>
  <c r="Z1043" i="12"/>
  <c r="AG1042" i="12"/>
  <c r="AF1042" i="12"/>
  <c r="Z1042" i="12"/>
  <c r="AG1041" i="12"/>
  <c r="AF1041" i="12"/>
  <c r="Z1041" i="12"/>
  <c r="AG1040" i="12"/>
  <c r="AF1040" i="12"/>
  <c r="Z1040" i="12"/>
  <c r="AG1039" i="12"/>
  <c r="AF1039" i="12"/>
  <c r="Z1039" i="12"/>
  <c r="AG1038" i="12"/>
  <c r="AF1038" i="12"/>
  <c r="Z1038" i="12"/>
  <c r="AG1037" i="12"/>
  <c r="AF1037" i="12"/>
  <c r="Z1037" i="12"/>
  <c r="AG1036" i="12"/>
  <c r="AF1036" i="12"/>
  <c r="Z1036" i="12"/>
  <c r="AG1035" i="12"/>
  <c r="AF1035" i="12"/>
  <c r="Z1035" i="12"/>
  <c r="AG1034" i="12"/>
  <c r="AF1034" i="12"/>
  <c r="Z1034" i="12"/>
  <c r="AG1033" i="12"/>
  <c r="AF1033" i="12"/>
  <c r="Z1033" i="12"/>
  <c r="AG1032" i="12"/>
  <c r="AF1032" i="12"/>
  <c r="Z1032" i="12"/>
  <c r="AG1031" i="12"/>
  <c r="AF1031" i="12"/>
  <c r="Z1031" i="12"/>
  <c r="AG1030" i="12"/>
  <c r="AF1030" i="12"/>
  <c r="Z1030" i="12"/>
  <c r="AG1029" i="12"/>
  <c r="AF1029" i="12"/>
  <c r="Z1029" i="12"/>
  <c r="AG1028" i="12"/>
  <c r="AF1028" i="12"/>
  <c r="Z1028" i="12"/>
  <c r="AG1027" i="12"/>
  <c r="AF1027" i="12"/>
  <c r="Z1027" i="12"/>
  <c r="AG1026" i="12"/>
  <c r="AF1026" i="12"/>
  <c r="Z1026" i="12"/>
  <c r="AG1025" i="12"/>
  <c r="AF1025" i="12"/>
  <c r="Z1025" i="12"/>
  <c r="AG1024" i="12"/>
  <c r="AF1024" i="12"/>
  <c r="Z1024" i="12"/>
  <c r="AG1023" i="12"/>
  <c r="AF1023" i="12"/>
  <c r="Z1023" i="12"/>
  <c r="AG1022" i="12"/>
  <c r="AF1022" i="12"/>
  <c r="Z1022" i="12"/>
  <c r="AG1021" i="12"/>
  <c r="AF1021" i="12"/>
  <c r="Z1021" i="12"/>
  <c r="AG1020" i="12"/>
  <c r="AF1020" i="12"/>
  <c r="Z1020" i="12"/>
  <c r="AG1019" i="12"/>
  <c r="AF1019" i="12"/>
  <c r="Z1019" i="12"/>
  <c r="AG1018" i="12"/>
  <c r="AF1018" i="12"/>
  <c r="Z1018" i="12"/>
  <c r="AG1017" i="12"/>
  <c r="AF1017" i="12"/>
  <c r="Z1017" i="12"/>
  <c r="AG1016" i="12"/>
  <c r="AF1016" i="12"/>
  <c r="Z1016" i="12"/>
  <c r="AG1015" i="12"/>
  <c r="AF1015" i="12"/>
  <c r="Z1015" i="12"/>
  <c r="AG1014" i="12"/>
  <c r="AF1014" i="12"/>
  <c r="Z1014" i="12"/>
  <c r="AG1013" i="12"/>
  <c r="AF1013" i="12"/>
  <c r="Z1013" i="12"/>
  <c r="AG1012" i="12"/>
  <c r="AF1012" i="12"/>
  <c r="Z1012" i="12"/>
  <c r="AG1011" i="12"/>
  <c r="AF1011" i="12"/>
  <c r="Z1011" i="12"/>
  <c r="AG1010" i="12"/>
  <c r="AF1010" i="12"/>
  <c r="Z1010" i="12"/>
  <c r="AG1009" i="12"/>
  <c r="AF1009" i="12"/>
  <c r="Z1009" i="12"/>
  <c r="AG1008" i="12"/>
  <c r="AF1008" i="12"/>
  <c r="Z1008" i="12"/>
  <c r="AG1007" i="12"/>
  <c r="AF1007" i="12"/>
  <c r="Z1007" i="12"/>
  <c r="AG1006" i="12"/>
  <c r="AF1006" i="12"/>
  <c r="Z1006" i="12"/>
  <c r="AG1005" i="12"/>
  <c r="AF1005" i="12"/>
  <c r="Z1005" i="12"/>
  <c r="AG1004" i="12"/>
  <c r="AF1004" i="12"/>
  <c r="Z1004" i="12"/>
  <c r="AG1003" i="12"/>
  <c r="AF1003" i="12"/>
  <c r="Z1003" i="12"/>
  <c r="AG1002" i="12"/>
  <c r="AF1002" i="12"/>
  <c r="Z1002" i="12"/>
  <c r="AG1001" i="12"/>
  <c r="AF1001" i="12"/>
  <c r="Z1001" i="12"/>
  <c r="AG1000" i="12"/>
  <c r="AF1000" i="12"/>
  <c r="Z1000" i="12"/>
  <c r="AG999" i="12"/>
  <c r="AF999" i="12"/>
  <c r="Z999" i="12"/>
  <c r="AG998" i="12"/>
  <c r="AF998" i="12"/>
  <c r="Z998" i="12"/>
  <c r="AG997" i="12"/>
  <c r="AF997" i="12"/>
  <c r="Z997" i="12"/>
  <c r="AG996" i="12"/>
  <c r="AF996" i="12"/>
  <c r="Z996" i="12"/>
  <c r="AG995" i="12"/>
  <c r="AF995" i="12"/>
  <c r="Z995" i="12"/>
  <c r="AG994" i="12"/>
  <c r="AF994" i="12"/>
  <c r="Z994" i="12"/>
  <c r="AG993" i="12"/>
  <c r="AF993" i="12"/>
  <c r="Z993" i="12"/>
  <c r="AG992" i="12"/>
  <c r="AF992" i="12"/>
  <c r="Z992" i="12"/>
  <c r="AG991" i="12"/>
  <c r="AF991" i="12"/>
  <c r="Z991" i="12"/>
  <c r="AG990" i="12"/>
  <c r="AF990" i="12"/>
  <c r="Z990" i="12"/>
  <c r="AG989" i="12"/>
  <c r="AF989" i="12"/>
  <c r="Z989" i="12"/>
  <c r="AG988" i="12"/>
  <c r="AF988" i="12"/>
  <c r="Z988" i="12"/>
  <c r="AG987" i="12"/>
  <c r="AF987" i="12"/>
  <c r="Z987" i="12"/>
  <c r="AG986" i="12"/>
  <c r="AF986" i="12"/>
  <c r="Z986" i="12"/>
  <c r="AG985" i="12"/>
  <c r="AF985" i="12"/>
  <c r="Z985" i="12"/>
  <c r="AG984" i="12"/>
  <c r="AF984" i="12"/>
  <c r="Z984" i="12"/>
  <c r="AG983" i="12"/>
  <c r="AF983" i="12"/>
  <c r="Z983" i="12"/>
  <c r="AG982" i="12"/>
  <c r="AF982" i="12"/>
  <c r="Z982" i="12"/>
  <c r="AG981" i="12"/>
  <c r="AF981" i="12"/>
  <c r="Z981" i="12"/>
  <c r="AG980" i="12"/>
  <c r="AF980" i="12"/>
  <c r="Z980" i="12"/>
  <c r="AG979" i="12"/>
  <c r="AF979" i="12"/>
  <c r="Z979" i="12"/>
  <c r="AG978" i="12"/>
  <c r="AF978" i="12"/>
  <c r="Z978" i="12"/>
  <c r="AG977" i="12"/>
  <c r="AF977" i="12"/>
  <c r="Z977" i="12"/>
  <c r="AG976" i="12"/>
  <c r="AF976" i="12"/>
  <c r="Z976" i="12"/>
  <c r="AG975" i="12"/>
  <c r="AF975" i="12"/>
  <c r="Z975" i="12"/>
  <c r="AG974" i="12"/>
  <c r="AF974" i="12"/>
  <c r="Z974" i="12"/>
  <c r="AG973" i="12"/>
  <c r="AF973" i="12"/>
  <c r="Z973" i="12"/>
  <c r="AG972" i="12"/>
  <c r="AF972" i="12"/>
  <c r="Z972" i="12"/>
  <c r="AG971" i="12"/>
  <c r="AF971" i="12"/>
  <c r="Z971" i="12"/>
  <c r="AG970" i="12"/>
  <c r="AF970" i="12"/>
  <c r="Z970" i="12"/>
  <c r="AG969" i="12"/>
  <c r="AF969" i="12"/>
  <c r="Z969" i="12"/>
  <c r="AG968" i="12"/>
  <c r="AF968" i="12"/>
  <c r="Z968" i="12"/>
  <c r="AG967" i="12"/>
  <c r="AF967" i="12"/>
  <c r="Z967" i="12"/>
  <c r="AG966" i="12"/>
  <c r="AF966" i="12"/>
  <c r="Z966" i="12"/>
  <c r="AG965" i="12"/>
  <c r="AF965" i="12"/>
  <c r="Z965" i="12"/>
  <c r="AG964" i="12"/>
  <c r="AF964" i="12"/>
  <c r="Z964" i="12"/>
  <c r="AG963" i="12"/>
  <c r="AF963" i="12"/>
  <c r="Z963" i="12"/>
  <c r="AG962" i="12"/>
  <c r="AF962" i="12"/>
  <c r="Z962" i="12"/>
  <c r="AG961" i="12"/>
  <c r="AF961" i="12"/>
  <c r="Z961" i="12"/>
  <c r="AG960" i="12"/>
  <c r="AF960" i="12"/>
  <c r="Z960" i="12"/>
  <c r="AG959" i="12"/>
  <c r="AF959" i="12"/>
  <c r="Z959" i="12"/>
  <c r="AG958" i="12"/>
  <c r="AF958" i="12"/>
  <c r="Z958" i="12"/>
  <c r="AG957" i="12"/>
  <c r="AF957" i="12"/>
  <c r="Z957" i="12"/>
  <c r="AG956" i="12"/>
  <c r="AF956" i="12"/>
  <c r="Z956" i="12"/>
  <c r="AG955" i="12"/>
  <c r="AF955" i="12"/>
  <c r="Z955" i="12"/>
  <c r="AG954" i="12"/>
  <c r="AF954" i="12"/>
  <c r="Z954" i="12"/>
  <c r="AG953" i="12"/>
  <c r="AF953" i="12"/>
  <c r="Z953" i="12"/>
  <c r="AG952" i="12"/>
  <c r="AF952" i="12"/>
  <c r="Z952" i="12"/>
  <c r="AG951" i="12"/>
  <c r="AF951" i="12"/>
  <c r="Z951" i="12"/>
  <c r="AG950" i="12"/>
  <c r="AF950" i="12"/>
  <c r="Z950" i="12"/>
  <c r="AG949" i="12"/>
  <c r="AF949" i="12"/>
  <c r="Z949" i="12"/>
  <c r="AG948" i="12"/>
  <c r="AF948" i="12"/>
  <c r="Z948" i="12"/>
  <c r="AG947" i="12"/>
  <c r="AF947" i="12"/>
  <c r="Z947" i="12"/>
  <c r="AG946" i="12"/>
  <c r="AF946" i="12"/>
  <c r="Z946" i="12"/>
  <c r="AG945" i="12"/>
  <c r="AF945" i="12"/>
  <c r="Z945" i="12"/>
  <c r="AG944" i="12"/>
  <c r="AF944" i="12"/>
  <c r="Z944" i="12"/>
  <c r="AG943" i="12"/>
  <c r="AF943" i="12"/>
  <c r="Z943" i="12"/>
  <c r="AG942" i="12"/>
  <c r="AF942" i="12"/>
  <c r="Z942" i="12"/>
  <c r="AG941" i="12"/>
  <c r="AF941" i="12"/>
  <c r="Z941" i="12"/>
  <c r="AG940" i="12"/>
  <c r="AF940" i="12"/>
  <c r="Z940" i="12"/>
  <c r="AG939" i="12"/>
  <c r="AF939" i="12"/>
  <c r="Z939" i="12"/>
  <c r="AG938" i="12"/>
  <c r="AF938" i="12"/>
  <c r="Z938" i="12"/>
  <c r="AG937" i="12"/>
  <c r="AF937" i="12"/>
  <c r="Z937" i="12"/>
  <c r="AG936" i="12"/>
  <c r="AF936" i="12"/>
  <c r="Z936" i="12"/>
  <c r="AG935" i="12"/>
  <c r="AF935" i="12"/>
  <c r="Z935" i="12"/>
  <c r="AG934" i="12"/>
  <c r="AF934" i="12"/>
  <c r="Z934" i="12"/>
  <c r="AG933" i="12"/>
  <c r="AF933" i="12"/>
  <c r="Z933" i="12"/>
  <c r="AG932" i="12"/>
  <c r="AF932" i="12"/>
  <c r="Z932" i="12"/>
  <c r="AG931" i="12"/>
  <c r="AF931" i="12"/>
  <c r="Z931" i="12"/>
  <c r="AG930" i="12"/>
  <c r="AF930" i="12"/>
  <c r="Z930" i="12"/>
  <c r="AG929" i="12"/>
  <c r="AF929" i="12"/>
  <c r="Z929" i="12"/>
  <c r="AG928" i="12"/>
  <c r="AF928" i="12"/>
  <c r="Z928" i="12"/>
  <c r="AG927" i="12"/>
  <c r="AF927" i="12"/>
  <c r="Z927" i="12"/>
  <c r="AG926" i="12"/>
  <c r="AF926" i="12"/>
  <c r="Z926" i="12"/>
  <c r="AG925" i="12"/>
  <c r="AF925" i="12"/>
  <c r="Z925" i="12"/>
  <c r="AG924" i="12"/>
  <c r="AF924" i="12"/>
  <c r="Z924" i="12"/>
  <c r="AG923" i="12"/>
  <c r="AF923" i="12"/>
  <c r="Z923" i="12"/>
  <c r="AG922" i="12"/>
  <c r="AF922" i="12"/>
  <c r="Z922" i="12"/>
  <c r="AG921" i="12"/>
  <c r="AF921" i="12"/>
  <c r="Z921" i="12"/>
  <c r="AG920" i="12"/>
  <c r="AF920" i="12"/>
  <c r="Z920" i="12"/>
  <c r="AG919" i="12"/>
  <c r="AF919" i="12"/>
  <c r="Z919" i="12"/>
  <c r="AG918" i="12"/>
  <c r="AF918" i="12"/>
  <c r="Z918" i="12"/>
  <c r="AG917" i="12"/>
  <c r="AF917" i="12"/>
  <c r="Z917" i="12"/>
  <c r="AG916" i="12"/>
  <c r="AF916" i="12"/>
  <c r="Z916" i="12"/>
  <c r="AG915" i="12"/>
  <c r="AF915" i="12"/>
  <c r="Z915" i="12"/>
  <c r="AG914" i="12"/>
  <c r="AF914" i="12"/>
  <c r="Z914" i="12"/>
  <c r="AG913" i="12"/>
  <c r="AF913" i="12"/>
  <c r="Z913" i="12"/>
  <c r="AG912" i="12"/>
  <c r="AF912" i="12"/>
  <c r="Z912" i="12"/>
  <c r="AG911" i="12"/>
  <c r="AF911" i="12"/>
  <c r="Z911" i="12"/>
  <c r="AG910" i="12"/>
  <c r="AF910" i="12"/>
  <c r="Z910" i="12"/>
  <c r="AG909" i="12"/>
  <c r="AF909" i="12"/>
  <c r="Z909" i="12"/>
  <c r="AG908" i="12"/>
  <c r="AF908" i="12"/>
  <c r="Z908" i="12"/>
  <c r="AG907" i="12"/>
  <c r="AF907" i="12"/>
  <c r="Z907" i="12"/>
  <c r="AG906" i="12"/>
  <c r="AF906" i="12"/>
  <c r="Z906" i="12"/>
  <c r="AG905" i="12"/>
  <c r="AF905" i="12"/>
  <c r="Z905" i="12"/>
  <c r="AG904" i="12"/>
  <c r="AF904" i="12"/>
  <c r="Z904" i="12"/>
  <c r="AG903" i="12"/>
  <c r="AF903" i="12"/>
  <c r="Z903" i="12"/>
  <c r="AG902" i="12"/>
  <c r="AF902" i="12"/>
  <c r="Z902" i="12"/>
  <c r="AG901" i="12"/>
  <c r="AF901" i="12"/>
  <c r="Z901" i="12"/>
  <c r="AG900" i="12"/>
  <c r="AF900" i="12"/>
  <c r="Z900" i="12"/>
  <c r="AG899" i="12"/>
  <c r="AF899" i="12"/>
  <c r="Z899" i="12"/>
  <c r="AG898" i="12"/>
  <c r="AF898" i="12"/>
  <c r="Z898" i="12"/>
  <c r="AG897" i="12"/>
  <c r="AF897" i="12"/>
  <c r="Z897" i="12"/>
  <c r="AG896" i="12"/>
  <c r="AF896" i="12"/>
  <c r="Z896" i="12"/>
  <c r="AG895" i="12"/>
  <c r="AF895" i="12"/>
  <c r="Z895" i="12"/>
  <c r="AG894" i="12"/>
  <c r="AF894" i="12"/>
  <c r="Z894" i="12"/>
  <c r="AG893" i="12"/>
  <c r="AF893" i="12"/>
  <c r="Z893" i="12"/>
  <c r="AG892" i="12"/>
  <c r="AF892" i="12"/>
  <c r="Z892" i="12"/>
  <c r="AG891" i="12"/>
  <c r="AF891" i="12"/>
  <c r="Z891" i="12"/>
  <c r="AG890" i="12"/>
  <c r="AF890" i="12"/>
  <c r="Z890" i="12"/>
  <c r="AG889" i="12"/>
  <c r="AF889" i="12"/>
  <c r="Z889" i="12"/>
  <c r="AG888" i="12"/>
  <c r="AF888" i="12"/>
  <c r="Z888" i="12"/>
  <c r="AG887" i="12"/>
  <c r="AF887" i="12"/>
  <c r="Z887" i="12"/>
  <c r="AG886" i="12"/>
  <c r="AF886" i="12"/>
  <c r="Z886" i="12"/>
  <c r="AG885" i="12"/>
  <c r="AF885" i="12"/>
  <c r="Z885" i="12"/>
  <c r="AG884" i="12"/>
  <c r="AF884" i="12"/>
  <c r="Z884" i="12"/>
  <c r="AG883" i="12"/>
  <c r="AF883" i="12"/>
  <c r="Z883" i="12"/>
  <c r="AG882" i="12"/>
  <c r="AF882" i="12"/>
  <c r="Z882" i="12"/>
  <c r="AG881" i="12"/>
  <c r="AF881" i="12"/>
  <c r="Z881" i="12"/>
  <c r="AG880" i="12"/>
  <c r="AF880" i="12"/>
  <c r="Z880" i="12"/>
  <c r="AG879" i="12"/>
  <c r="AF879" i="12"/>
  <c r="Z879" i="12"/>
  <c r="AG878" i="12"/>
  <c r="AF878" i="12"/>
  <c r="Z878" i="12"/>
  <c r="AG877" i="12"/>
  <c r="AF877" i="12"/>
  <c r="Z877" i="12"/>
  <c r="AG876" i="12"/>
  <c r="AF876" i="12"/>
  <c r="Z876" i="12"/>
  <c r="AG875" i="12"/>
  <c r="AF875" i="12"/>
  <c r="Z875" i="12"/>
  <c r="AG874" i="12"/>
  <c r="AF874" i="12"/>
  <c r="Z874" i="12"/>
  <c r="AG873" i="12"/>
  <c r="AF873" i="12"/>
  <c r="Z873" i="12"/>
  <c r="AG872" i="12"/>
  <c r="AF872" i="12"/>
  <c r="Z872" i="12"/>
  <c r="AG871" i="12"/>
  <c r="AF871" i="12"/>
  <c r="Z871" i="12"/>
  <c r="AG870" i="12"/>
  <c r="AF870" i="12"/>
  <c r="Z870" i="12"/>
  <c r="AG869" i="12"/>
  <c r="AF869" i="12"/>
  <c r="Z869" i="12"/>
  <c r="AG868" i="12"/>
  <c r="AF868" i="12"/>
  <c r="Z868" i="12"/>
  <c r="AG867" i="12"/>
  <c r="AF867" i="12"/>
  <c r="Z867" i="12"/>
  <c r="AG866" i="12"/>
  <c r="AF866" i="12"/>
  <c r="Z866" i="12"/>
  <c r="AG865" i="12"/>
  <c r="AF865" i="12"/>
  <c r="Z865" i="12"/>
  <c r="AG864" i="12"/>
  <c r="AF864" i="12"/>
  <c r="Z864" i="12"/>
  <c r="AG863" i="12"/>
  <c r="AF863" i="12"/>
  <c r="Z863" i="12"/>
  <c r="AG862" i="12"/>
  <c r="AF862" i="12"/>
  <c r="Z862" i="12"/>
  <c r="AG861" i="12"/>
  <c r="AF861" i="12"/>
  <c r="Z861" i="12"/>
  <c r="AG860" i="12"/>
  <c r="AF860" i="12"/>
  <c r="Z860" i="12"/>
  <c r="AG859" i="12"/>
  <c r="AF859" i="12"/>
  <c r="Z859" i="12"/>
  <c r="AG858" i="12"/>
  <c r="AF858" i="12"/>
  <c r="Z858" i="12"/>
  <c r="AG857" i="12"/>
  <c r="AF857" i="12"/>
  <c r="Z857" i="12"/>
  <c r="AG856" i="12"/>
  <c r="AF856" i="12"/>
  <c r="Z856" i="12"/>
  <c r="AG855" i="12"/>
  <c r="AF855" i="12"/>
  <c r="Z855" i="12"/>
  <c r="AG854" i="12"/>
  <c r="AF854" i="12"/>
  <c r="Z854" i="12"/>
  <c r="AG853" i="12"/>
  <c r="AF853" i="12"/>
  <c r="Z853" i="12"/>
  <c r="AG852" i="12"/>
  <c r="AF852" i="12"/>
  <c r="Z852" i="12"/>
  <c r="AG851" i="12"/>
  <c r="AF851" i="12"/>
  <c r="Z851" i="12"/>
  <c r="AG850" i="12"/>
  <c r="AF850" i="12"/>
  <c r="Z850" i="12"/>
  <c r="AG849" i="12"/>
  <c r="AF849" i="12"/>
  <c r="Z849" i="12"/>
  <c r="AG848" i="12"/>
  <c r="AF848" i="12"/>
  <c r="Z848" i="12"/>
  <c r="AG847" i="12"/>
  <c r="AF847" i="12"/>
  <c r="Z847" i="12"/>
  <c r="AG846" i="12"/>
  <c r="AF846" i="12"/>
  <c r="Z846" i="12"/>
  <c r="AG845" i="12"/>
  <c r="AF845" i="12"/>
  <c r="Z845" i="12"/>
  <c r="AG844" i="12"/>
  <c r="AF844" i="12"/>
  <c r="Z844" i="12"/>
  <c r="AG843" i="12"/>
  <c r="AF843" i="12"/>
  <c r="Z843" i="12"/>
  <c r="AG842" i="12"/>
  <c r="AF842" i="12"/>
  <c r="Z842" i="12"/>
  <c r="AG841" i="12"/>
  <c r="AF841" i="12"/>
  <c r="Z841" i="12"/>
  <c r="AG840" i="12"/>
  <c r="AF840" i="12"/>
  <c r="Z840" i="12"/>
  <c r="AG839" i="12"/>
  <c r="AF839" i="12"/>
  <c r="Z839" i="12"/>
  <c r="AG838" i="12"/>
  <c r="AF838" i="12"/>
  <c r="Z838" i="12"/>
  <c r="AG837" i="12"/>
  <c r="AF837" i="12"/>
  <c r="Z837" i="12"/>
  <c r="AG836" i="12"/>
  <c r="AF836" i="12"/>
  <c r="Z836" i="12"/>
  <c r="AG835" i="12"/>
  <c r="AF835" i="12"/>
  <c r="Z835" i="12"/>
  <c r="AG834" i="12"/>
  <c r="AF834" i="12"/>
  <c r="Z834" i="12"/>
  <c r="AG833" i="12"/>
  <c r="AF833" i="12"/>
  <c r="Z833" i="12"/>
  <c r="AG832" i="12"/>
  <c r="AF832" i="12"/>
  <c r="Z832" i="12"/>
  <c r="AG831" i="12"/>
  <c r="AF831" i="12"/>
  <c r="Z831" i="12"/>
  <c r="AG830" i="12"/>
  <c r="AF830" i="12"/>
  <c r="Z830" i="12"/>
  <c r="AG829" i="12"/>
  <c r="AF829" i="12"/>
  <c r="Z829" i="12"/>
  <c r="AG828" i="12"/>
  <c r="AF828" i="12"/>
  <c r="Z828" i="12"/>
  <c r="AG827" i="12"/>
  <c r="AF827" i="12"/>
  <c r="Z827" i="12"/>
  <c r="AG826" i="12"/>
  <c r="AF826" i="12"/>
  <c r="Z826" i="12"/>
  <c r="AG825" i="12"/>
  <c r="AF825" i="12"/>
  <c r="Z825" i="12"/>
  <c r="AG824" i="12"/>
  <c r="AF824" i="12"/>
  <c r="Z824" i="12"/>
  <c r="AG823" i="12"/>
  <c r="AF823" i="12"/>
  <c r="Z823" i="12"/>
  <c r="AG822" i="12"/>
  <c r="AF822" i="12"/>
  <c r="Z822" i="12"/>
  <c r="AG821" i="12"/>
  <c r="AF821" i="12"/>
  <c r="Z821" i="12"/>
  <c r="AG820" i="12"/>
  <c r="AF820" i="12"/>
  <c r="Z820" i="12"/>
  <c r="AG819" i="12"/>
  <c r="AF819" i="12"/>
  <c r="Z819" i="12"/>
  <c r="AG818" i="12"/>
  <c r="AF818" i="12"/>
  <c r="Z818" i="12"/>
  <c r="AG817" i="12"/>
  <c r="AF817" i="12"/>
  <c r="Z817" i="12"/>
  <c r="AG816" i="12"/>
  <c r="AF816" i="12"/>
  <c r="Z816" i="12"/>
  <c r="AG815" i="12"/>
  <c r="AF815" i="12"/>
  <c r="Z815" i="12"/>
  <c r="AG814" i="12"/>
  <c r="AF814" i="12"/>
  <c r="Z814" i="12"/>
  <c r="AG813" i="12"/>
  <c r="AF813" i="12"/>
  <c r="Z813" i="12"/>
  <c r="AG812" i="12"/>
  <c r="AF812" i="12"/>
  <c r="Z812" i="12"/>
  <c r="AG811" i="12"/>
  <c r="AF811" i="12"/>
  <c r="Z811" i="12"/>
  <c r="AG810" i="12"/>
  <c r="AF810" i="12"/>
  <c r="Z810" i="12"/>
  <c r="AG809" i="12"/>
  <c r="AF809" i="12"/>
  <c r="Z809" i="12"/>
  <c r="AG808" i="12"/>
  <c r="AF808" i="12"/>
  <c r="Z808" i="12"/>
  <c r="AG807" i="12"/>
  <c r="AF807" i="12"/>
  <c r="Z807" i="12"/>
  <c r="AG806" i="12"/>
  <c r="AF806" i="12"/>
  <c r="Z806" i="12"/>
  <c r="AG805" i="12"/>
  <c r="AF805" i="12"/>
  <c r="Z805" i="12"/>
  <c r="AG804" i="12"/>
  <c r="AF804" i="12"/>
  <c r="Z804" i="12"/>
  <c r="AG803" i="12"/>
  <c r="AF803" i="12"/>
  <c r="Z803" i="12"/>
  <c r="AG802" i="12"/>
  <c r="AF802" i="12"/>
  <c r="Z802" i="12"/>
  <c r="AG801" i="12"/>
  <c r="AF801" i="12"/>
  <c r="Z801" i="12"/>
  <c r="AG800" i="12"/>
  <c r="AF800" i="12"/>
  <c r="Z800" i="12"/>
  <c r="AG799" i="12"/>
  <c r="AF799" i="12"/>
  <c r="Z799" i="12"/>
  <c r="AG798" i="12"/>
  <c r="AF798" i="12"/>
  <c r="Z798" i="12"/>
  <c r="AG797" i="12"/>
  <c r="AF797" i="12"/>
  <c r="Z797" i="12"/>
  <c r="AG796" i="12"/>
  <c r="AF796" i="12"/>
  <c r="Z796" i="12"/>
  <c r="AG795" i="12"/>
  <c r="AF795" i="12"/>
  <c r="Z795" i="12"/>
  <c r="AG794" i="12"/>
  <c r="AF794" i="12"/>
  <c r="Z794" i="12"/>
  <c r="AG793" i="12"/>
  <c r="AF793" i="12"/>
  <c r="Z793" i="12"/>
  <c r="AG792" i="12"/>
  <c r="AF792" i="12"/>
  <c r="Z792" i="12"/>
  <c r="AG791" i="12"/>
  <c r="AF791" i="12"/>
  <c r="Z791" i="12"/>
  <c r="AG790" i="12"/>
  <c r="AF790" i="12"/>
  <c r="Z790" i="12"/>
  <c r="AG789" i="12"/>
  <c r="AF789" i="12"/>
  <c r="Z789" i="12"/>
  <c r="AG788" i="12"/>
  <c r="AF788" i="12"/>
  <c r="Z788" i="12"/>
  <c r="AG787" i="12"/>
  <c r="AF787" i="12"/>
  <c r="Z787" i="12"/>
  <c r="AG786" i="12"/>
  <c r="AF786" i="12"/>
  <c r="Z786" i="12"/>
  <c r="AG785" i="12"/>
  <c r="AF785" i="12"/>
  <c r="Z785" i="12"/>
  <c r="AG784" i="12"/>
  <c r="AF784" i="12"/>
  <c r="Z784" i="12"/>
  <c r="AG783" i="12"/>
  <c r="AF783" i="12"/>
  <c r="Z783" i="12"/>
  <c r="AG782" i="12"/>
  <c r="AF782" i="12"/>
  <c r="Z782" i="12"/>
  <c r="AG781" i="12"/>
  <c r="AF781" i="12"/>
  <c r="Z781" i="12"/>
  <c r="AG780" i="12"/>
  <c r="AF780" i="12"/>
  <c r="Z780" i="12"/>
  <c r="AG779" i="12"/>
  <c r="AF779" i="12"/>
  <c r="Z779" i="12"/>
  <c r="AG778" i="12"/>
  <c r="AF778" i="12"/>
  <c r="Z778" i="12"/>
  <c r="AG777" i="12"/>
  <c r="AF777" i="12"/>
  <c r="Z777" i="12"/>
  <c r="AG776" i="12"/>
  <c r="AF776" i="12"/>
  <c r="Z776" i="12"/>
  <c r="AG775" i="12"/>
  <c r="AF775" i="12"/>
  <c r="Z775" i="12"/>
  <c r="AG774" i="12"/>
  <c r="AF774" i="12"/>
  <c r="Z774" i="12"/>
  <c r="AG773" i="12"/>
  <c r="AF773" i="12"/>
  <c r="Z773" i="12"/>
  <c r="AG772" i="12"/>
  <c r="AF772" i="12"/>
  <c r="Z772" i="12"/>
  <c r="AG771" i="12"/>
  <c r="AF771" i="12"/>
  <c r="Z771" i="12"/>
  <c r="AG770" i="12"/>
  <c r="AF770" i="12"/>
  <c r="Z770" i="12"/>
  <c r="AG769" i="12"/>
  <c r="AF769" i="12"/>
  <c r="Z769" i="12"/>
  <c r="AG768" i="12"/>
  <c r="AF768" i="12"/>
  <c r="Z768" i="12"/>
  <c r="AG767" i="12"/>
  <c r="AF767" i="12"/>
  <c r="Z767" i="12"/>
  <c r="AG766" i="12"/>
  <c r="AF766" i="12"/>
  <c r="Z766" i="12"/>
  <c r="AG765" i="12"/>
  <c r="AF765" i="12"/>
  <c r="Z765" i="12"/>
  <c r="AG764" i="12"/>
  <c r="AF764" i="12"/>
  <c r="Z764" i="12"/>
  <c r="AG763" i="12"/>
  <c r="AF763" i="12"/>
  <c r="Z763" i="12"/>
  <c r="AG762" i="12"/>
  <c r="AF762" i="12"/>
  <c r="Z762" i="12"/>
  <c r="AG761" i="12"/>
  <c r="AF761" i="12"/>
  <c r="Z761" i="12"/>
  <c r="AG760" i="12"/>
  <c r="AF760" i="12"/>
  <c r="Z760" i="12"/>
  <c r="AG759" i="12"/>
  <c r="AF759" i="12"/>
  <c r="Z759" i="12"/>
  <c r="AG758" i="12"/>
  <c r="AF758" i="12"/>
  <c r="Z758" i="12"/>
  <c r="AG757" i="12"/>
  <c r="AF757" i="12"/>
  <c r="Z757" i="12"/>
  <c r="AG756" i="12"/>
  <c r="AF756" i="12"/>
  <c r="Z756" i="12"/>
  <c r="AG755" i="12"/>
  <c r="AF755" i="12"/>
  <c r="Z755" i="12"/>
  <c r="AG754" i="12"/>
  <c r="AF754" i="12"/>
  <c r="Z754" i="12"/>
  <c r="AG753" i="12"/>
  <c r="AF753" i="12"/>
  <c r="Z753" i="12"/>
  <c r="AG752" i="12"/>
  <c r="AF752" i="12"/>
  <c r="Z752" i="12"/>
  <c r="AG751" i="12"/>
  <c r="AF751" i="12"/>
  <c r="Z751" i="12"/>
  <c r="AG750" i="12"/>
  <c r="AF750" i="12"/>
  <c r="Z750" i="12"/>
  <c r="AG749" i="12"/>
  <c r="AF749" i="12"/>
  <c r="Z749" i="12"/>
  <c r="AG748" i="12"/>
  <c r="AF748" i="12"/>
  <c r="Z748" i="12"/>
  <c r="AG747" i="12"/>
  <c r="AF747" i="12"/>
  <c r="Z747" i="12"/>
  <c r="AG746" i="12"/>
  <c r="AF746" i="12"/>
  <c r="Z746" i="12"/>
  <c r="AG745" i="12"/>
  <c r="AF745" i="12"/>
  <c r="Z745" i="12"/>
  <c r="AG744" i="12"/>
  <c r="AF744" i="12"/>
  <c r="Z744" i="12"/>
  <c r="AG743" i="12"/>
  <c r="AF743" i="12"/>
  <c r="Z743" i="12"/>
  <c r="AG742" i="12"/>
  <c r="AF742" i="12"/>
  <c r="Z742" i="12"/>
  <c r="AG741" i="12"/>
  <c r="AF741" i="12"/>
  <c r="Z741" i="12"/>
  <c r="AG740" i="12"/>
  <c r="AF740" i="12"/>
  <c r="Z740" i="12"/>
  <c r="AG739" i="12"/>
  <c r="AF739" i="12"/>
  <c r="Z739" i="12"/>
  <c r="AG738" i="12"/>
  <c r="AF738" i="12"/>
  <c r="Z738" i="12"/>
  <c r="AG737" i="12"/>
  <c r="AF737" i="12"/>
  <c r="Z737" i="12"/>
  <c r="AG736" i="12"/>
  <c r="AF736" i="12"/>
  <c r="Z736" i="12"/>
  <c r="AG735" i="12"/>
  <c r="AF735" i="12"/>
  <c r="Z735" i="12"/>
  <c r="AG734" i="12"/>
  <c r="AF734" i="12"/>
  <c r="Z734" i="12"/>
  <c r="AG733" i="12"/>
  <c r="AF733" i="12"/>
  <c r="Z733" i="12"/>
  <c r="AG732" i="12"/>
  <c r="AF732" i="12"/>
  <c r="Z732" i="12"/>
  <c r="AG731" i="12"/>
  <c r="AF731" i="12"/>
  <c r="Z731" i="12"/>
  <c r="AG730" i="12"/>
  <c r="AF730" i="12"/>
  <c r="Z730" i="12"/>
  <c r="AG729" i="12"/>
  <c r="AF729" i="12"/>
  <c r="Z729" i="12"/>
  <c r="AG728" i="12"/>
  <c r="AF728" i="12"/>
  <c r="Z728" i="12"/>
  <c r="AG727" i="12"/>
  <c r="AF727" i="12"/>
  <c r="Z727" i="12"/>
  <c r="AG726" i="12"/>
  <c r="AF726" i="12"/>
  <c r="Z726" i="12"/>
  <c r="AG725" i="12"/>
  <c r="AF725" i="12"/>
  <c r="Z725" i="12"/>
  <c r="AG724" i="12"/>
  <c r="AF724" i="12"/>
  <c r="Z724" i="12"/>
  <c r="AG723" i="12"/>
  <c r="AF723" i="12"/>
  <c r="Z723" i="12"/>
  <c r="AG722" i="12"/>
  <c r="AF722" i="12"/>
  <c r="Z722" i="12"/>
  <c r="AG721" i="12"/>
  <c r="AF721" i="12"/>
  <c r="Z721" i="12"/>
  <c r="AG720" i="12"/>
  <c r="AF720" i="12"/>
  <c r="Z720" i="12"/>
  <c r="AG719" i="12"/>
  <c r="AF719" i="12"/>
  <c r="Z719" i="12"/>
  <c r="AG718" i="12"/>
  <c r="AF718" i="12"/>
  <c r="Z718" i="12"/>
  <c r="AG717" i="12"/>
  <c r="AF717" i="12"/>
  <c r="Z717" i="12"/>
  <c r="AG716" i="12"/>
  <c r="AF716" i="12"/>
  <c r="Z716" i="12"/>
  <c r="AG715" i="12"/>
  <c r="AF715" i="12"/>
  <c r="Z715" i="12"/>
  <c r="AG714" i="12"/>
  <c r="AF714" i="12"/>
  <c r="Z714" i="12"/>
  <c r="AG713" i="12"/>
  <c r="AF713" i="12"/>
  <c r="Z713" i="12"/>
  <c r="AG712" i="12"/>
  <c r="AF712" i="12"/>
  <c r="Z712" i="12"/>
  <c r="AG711" i="12"/>
  <c r="AF711" i="12"/>
  <c r="Z711" i="12"/>
  <c r="AG710" i="12"/>
  <c r="AF710" i="12"/>
  <c r="Z710" i="12"/>
  <c r="AG709" i="12"/>
  <c r="AF709" i="12"/>
  <c r="Z709" i="12"/>
  <c r="AG708" i="12"/>
  <c r="AF708" i="12"/>
  <c r="Z708" i="12"/>
  <c r="AG707" i="12"/>
  <c r="AF707" i="12"/>
  <c r="Z707" i="12"/>
  <c r="AG706" i="12"/>
  <c r="AF706" i="12"/>
  <c r="Z706" i="12"/>
  <c r="AG705" i="12"/>
  <c r="AF705" i="12"/>
  <c r="Z705" i="12"/>
  <c r="AG704" i="12"/>
  <c r="AF704" i="12"/>
  <c r="Z704" i="12"/>
  <c r="AG703" i="12"/>
  <c r="AF703" i="12"/>
  <c r="Z703" i="12"/>
  <c r="AG702" i="12"/>
  <c r="AF702" i="12"/>
  <c r="Z702" i="12"/>
  <c r="AG701" i="12"/>
  <c r="AF701" i="12"/>
  <c r="Z701" i="12"/>
  <c r="AG700" i="12"/>
  <c r="AF700" i="12"/>
  <c r="Z700" i="12"/>
  <c r="AG699" i="12"/>
  <c r="AF699" i="12"/>
  <c r="Z699" i="12"/>
  <c r="AG698" i="12"/>
  <c r="AF698" i="12"/>
  <c r="Z698" i="12"/>
  <c r="AG697" i="12"/>
  <c r="AF697" i="12"/>
  <c r="Z697" i="12"/>
  <c r="AG696" i="12"/>
  <c r="AF696" i="12"/>
  <c r="Z696" i="12"/>
  <c r="AG695" i="12"/>
  <c r="AF695" i="12"/>
  <c r="Z695" i="12"/>
  <c r="AG694" i="12"/>
  <c r="AF694" i="12"/>
  <c r="Z694" i="12"/>
  <c r="AG693" i="12"/>
  <c r="AF693" i="12"/>
  <c r="Z693" i="12"/>
  <c r="AG692" i="12"/>
  <c r="AF692" i="12"/>
  <c r="Z692" i="12"/>
  <c r="AG691" i="12"/>
  <c r="AF691" i="12"/>
  <c r="Z691" i="12"/>
  <c r="AG690" i="12"/>
  <c r="AF690" i="12"/>
  <c r="Z690" i="12"/>
  <c r="AG689" i="12"/>
  <c r="AF689" i="12"/>
  <c r="Z689" i="12"/>
  <c r="AG688" i="12"/>
  <c r="AF688" i="12"/>
  <c r="Z688" i="12"/>
  <c r="AG687" i="12"/>
  <c r="AF687" i="12"/>
  <c r="Z687" i="12"/>
  <c r="AG686" i="12"/>
  <c r="AF686" i="12"/>
  <c r="Z686" i="12"/>
  <c r="AG685" i="12"/>
  <c r="AF685" i="12"/>
  <c r="Z685" i="12"/>
  <c r="AG684" i="12"/>
  <c r="AF684" i="12"/>
  <c r="Z684" i="12"/>
  <c r="AG683" i="12"/>
  <c r="AF683" i="12"/>
  <c r="Z683" i="12"/>
  <c r="AG682" i="12"/>
  <c r="AF682" i="12"/>
  <c r="Z682" i="12"/>
  <c r="AG681" i="12"/>
  <c r="AF681" i="12"/>
  <c r="Z681" i="12"/>
  <c r="AG680" i="12"/>
  <c r="AF680" i="12"/>
  <c r="Z680" i="12"/>
  <c r="AG679" i="12"/>
  <c r="AF679" i="12"/>
  <c r="Z679" i="12"/>
  <c r="AG678" i="12"/>
  <c r="AF678" i="12"/>
  <c r="Z678" i="12"/>
  <c r="AG677" i="12"/>
  <c r="AF677" i="12"/>
  <c r="Z677" i="12"/>
  <c r="AG676" i="12"/>
  <c r="AF676" i="12"/>
  <c r="Z676" i="12"/>
  <c r="AG675" i="12"/>
  <c r="AF675" i="12"/>
  <c r="Z675" i="12"/>
  <c r="AG674" i="12"/>
  <c r="AF674" i="12"/>
  <c r="Z674" i="12"/>
  <c r="AG673" i="12"/>
  <c r="AF673" i="12"/>
  <c r="Z673" i="12"/>
  <c r="AG672" i="12"/>
  <c r="AF672" i="12"/>
  <c r="Z672" i="12"/>
  <c r="AG671" i="12"/>
  <c r="AF671" i="12"/>
  <c r="Z671" i="12"/>
  <c r="AG670" i="12"/>
  <c r="AF670" i="12"/>
  <c r="Z670" i="12"/>
  <c r="AG669" i="12"/>
  <c r="AF669" i="12"/>
  <c r="Z669" i="12"/>
  <c r="AG668" i="12"/>
  <c r="AF668" i="12"/>
  <c r="Z668" i="12"/>
  <c r="AG667" i="12"/>
  <c r="AF667" i="12"/>
  <c r="Z667" i="12"/>
  <c r="AG666" i="12"/>
  <c r="AF666" i="12"/>
  <c r="Z666" i="12"/>
  <c r="AG665" i="12"/>
  <c r="AF665" i="12"/>
  <c r="Z665" i="12"/>
  <c r="AG664" i="12"/>
  <c r="AF664" i="12"/>
  <c r="Z664" i="12"/>
  <c r="AG663" i="12"/>
  <c r="AF663" i="12"/>
  <c r="Z663" i="12"/>
  <c r="AG662" i="12"/>
  <c r="AF662" i="12"/>
  <c r="Z662" i="12"/>
  <c r="AG661" i="12"/>
  <c r="AF661" i="12"/>
  <c r="Z661" i="12"/>
  <c r="AG660" i="12"/>
  <c r="AF660" i="12"/>
  <c r="Z660" i="12"/>
  <c r="AG659" i="12"/>
  <c r="AF659" i="12"/>
  <c r="Z659" i="12"/>
  <c r="AG658" i="12"/>
  <c r="AF658" i="12"/>
  <c r="Z658" i="12"/>
  <c r="AG657" i="12"/>
  <c r="AF657" i="12"/>
  <c r="Z657" i="12"/>
  <c r="AG656" i="12"/>
  <c r="AF656" i="12"/>
  <c r="Z656" i="12"/>
  <c r="AG655" i="12"/>
  <c r="AF655" i="12"/>
  <c r="Z655" i="12"/>
  <c r="AG654" i="12"/>
  <c r="AF654" i="12"/>
  <c r="Z654" i="12"/>
  <c r="AG653" i="12"/>
  <c r="AF653" i="12"/>
  <c r="Z653" i="12"/>
  <c r="AG652" i="12"/>
  <c r="AF652" i="12"/>
  <c r="Z652" i="12"/>
  <c r="AG651" i="12"/>
  <c r="AF651" i="12"/>
  <c r="Z651" i="12"/>
  <c r="AG650" i="12"/>
  <c r="AF650" i="12"/>
  <c r="Z650" i="12"/>
  <c r="AG649" i="12"/>
  <c r="AF649" i="12"/>
  <c r="Z649" i="12"/>
  <c r="AG648" i="12"/>
  <c r="AF648" i="12"/>
  <c r="Z648" i="12"/>
  <c r="AG647" i="12"/>
  <c r="AF647" i="12"/>
  <c r="Z647" i="12"/>
  <c r="AG646" i="12"/>
  <c r="AF646" i="12"/>
  <c r="Z646" i="12"/>
  <c r="AG645" i="12"/>
  <c r="AF645" i="12"/>
  <c r="Z645" i="12"/>
  <c r="AG644" i="12"/>
  <c r="AF644" i="12"/>
  <c r="Z644" i="12"/>
  <c r="AG643" i="12"/>
  <c r="AF643" i="12"/>
  <c r="Z643" i="12"/>
  <c r="AG642" i="12"/>
  <c r="AF642" i="12"/>
  <c r="Z642" i="12"/>
  <c r="AG641" i="12"/>
  <c r="AF641" i="12"/>
  <c r="Z641" i="12"/>
  <c r="AG640" i="12"/>
  <c r="AF640" i="12"/>
  <c r="Z640" i="12"/>
  <c r="AG639" i="12"/>
  <c r="AF639" i="12"/>
  <c r="Z639" i="12"/>
  <c r="AG638" i="12"/>
  <c r="AF638" i="12"/>
  <c r="Z638" i="12"/>
  <c r="AG637" i="12"/>
  <c r="AF637" i="12"/>
  <c r="Z637" i="12"/>
  <c r="AG636" i="12"/>
  <c r="AF636" i="12"/>
  <c r="Z636" i="12"/>
  <c r="AG635" i="12"/>
  <c r="AF635" i="12"/>
  <c r="Z635" i="12"/>
  <c r="AG634" i="12"/>
  <c r="AF634" i="12"/>
  <c r="Z634" i="12"/>
  <c r="AG633" i="12"/>
  <c r="AF633" i="12"/>
  <c r="Z633" i="12"/>
  <c r="AG632" i="12"/>
  <c r="AF632" i="12"/>
  <c r="Z632" i="12"/>
  <c r="AG631" i="12"/>
  <c r="AF631" i="12"/>
  <c r="Z631" i="12"/>
  <c r="AG630" i="12"/>
  <c r="AF630" i="12"/>
  <c r="Z630" i="12"/>
  <c r="AG629" i="12"/>
  <c r="AF629" i="12"/>
  <c r="Z629" i="12"/>
  <c r="AG628" i="12"/>
  <c r="AF628" i="12"/>
  <c r="Z628" i="12"/>
  <c r="AG627" i="12"/>
  <c r="AF627" i="12"/>
  <c r="Z627" i="12"/>
  <c r="AG626" i="12"/>
  <c r="AF626" i="12"/>
  <c r="Z626" i="12"/>
  <c r="AG625" i="12"/>
  <c r="AF625" i="12"/>
  <c r="Z625" i="12"/>
  <c r="AG624" i="12"/>
  <c r="AF624" i="12"/>
  <c r="Z624" i="12"/>
  <c r="AG623" i="12"/>
  <c r="AF623" i="12"/>
  <c r="Z623" i="12"/>
  <c r="AG622" i="12"/>
  <c r="AF622" i="12"/>
  <c r="Z622" i="12"/>
  <c r="AG621" i="12"/>
  <c r="AF621" i="12"/>
  <c r="Z621" i="12"/>
  <c r="AG620" i="12"/>
  <c r="AF620" i="12"/>
  <c r="Z620" i="12"/>
  <c r="AG619" i="12"/>
  <c r="AF619" i="12"/>
  <c r="Z619" i="12"/>
  <c r="AG618" i="12"/>
  <c r="AF618" i="12"/>
  <c r="Z618" i="12"/>
  <c r="AG617" i="12"/>
  <c r="AF617" i="12"/>
  <c r="Z617" i="12"/>
  <c r="AG616" i="12"/>
  <c r="AF616" i="12"/>
  <c r="Z616" i="12"/>
  <c r="AG615" i="12"/>
  <c r="AF615" i="12"/>
  <c r="Z615" i="12"/>
  <c r="AG614" i="12"/>
  <c r="AF614" i="12"/>
  <c r="Z614" i="12"/>
  <c r="AG613" i="12"/>
  <c r="AF613" i="12"/>
  <c r="Z613" i="12"/>
  <c r="AG612" i="12"/>
  <c r="AF612" i="12"/>
  <c r="Z612" i="12"/>
  <c r="AG611" i="12"/>
  <c r="AF611" i="12"/>
  <c r="Z611" i="12"/>
  <c r="AG610" i="12"/>
  <c r="AF610" i="12"/>
  <c r="Z610" i="12"/>
  <c r="AG609" i="12"/>
  <c r="AF609" i="12"/>
  <c r="Z609" i="12"/>
  <c r="AG608" i="12"/>
  <c r="AF608" i="12"/>
  <c r="Z608" i="12"/>
  <c r="AG607" i="12"/>
  <c r="AF607" i="12"/>
  <c r="Z607" i="12"/>
  <c r="AG606" i="12"/>
  <c r="AF606" i="12"/>
  <c r="Z606" i="12"/>
  <c r="AG605" i="12"/>
  <c r="AF605" i="12"/>
  <c r="Z605" i="12"/>
  <c r="AG604" i="12"/>
  <c r="AF604" i="12"/>
  <c r="Z604" i="12"/>
  <c r="AG603" i="12"/>
  <c r="AF603" i="12"/>
  <c r="Z603" i="12"/>
  <c r="AG602" i="12"/>
  <c r="AF602" i="12"/>
  <c r="Z602" i="12"/>
  <c r="AG601" i="12"/>
  <c r="AF601" i="12"/>
  <c r="Z601" i="12"/>
  <c r="AG600" i="12"/>
  <c r="AF600" i="12"/>
  <c r="Z600" i="12"/>
  <c r="AG599" i="12"/>
  <c r="AF599" i="12"/>
  <c r="Z599" i="12"/>
  <c r="AG598" i="12"/>
  <c r="AF598" i="12"/>
  <c r="Z598" i="12"/>
  <c r="AG597" i="12"/>
  <c r="AF597" i="12"/>
  <c r="Z597" i="12"/>
  <c r="AG596" i="12"/>
  <c r="AF596" i="12"/>
  <c r="Z596" i="12"/>
  <c r="AG595" i="12"/>
  <c r="AF595" i="12"/>
  <c r="Z595" i="12"/>
  <c r="AG594" i="12"/>
  <c r="AF594" i="12"/>
  <c r="Z594" i="12"/>
  <c r="AG593" i="12"/>
  <c r="AF593" i="12"/>
  <c r="Z593" i="12"/>
  <c r="AG592" i="12"/>
  <c r="AF592" i="12"/>
  <c r="Z592" i="12"/>
  <c r="AG591" i="12"/>
  <c r="AF591" i="12"/>
  <c r="Z591" i="12"/>
  <c r="AG590" i="12"/>
  <c r="AF590" i="12"/>
  <c r="Z590" i="12"/>
  <c r="AG589" i="12"/>
  <c r="AF589" i="12"/>
  <c r="Z589" i="12"/>
  <c r="AG588" i="12"/>
  <c r="AF588" i="12"/>
  <c r="Z588" i="12"/>
  <c r="AG587" i="12"/>
  <c r="AF587" i="12"/>
  <c r="Z587" i="12"/>
  <c r="AG586" i="12"/>
  <c r="AF586" i="12"/>
  <c r="Z586" i="12"/>
  <c r="AG585" i="12"/>
  <c r="AF585" i="12"/>
  <c r="Z585" i="12"/>
  <c r="AG584" i="12"/>
  <c r="AF584" i="12"/>
  <c r="Z584" i="12"/>
  <c r="AG583" i="12"/>
  <c r="AF583" i="12"/>
  <c r="Z583" i="12"/>
  <c r="AG582" i="12"/>
  <c r="AF582" i="12"/>
  <c r="Z582" i="12"/>
  <c r="AG581" i="12"/>
  <c r="AF581" i="12"/>
  <c r="Z581" i="12"/>
  <c r="AG580" i="12"/>
  <c r="AF580" i="12"/>
  <c r="Z580" i="12"/>
  <c r="AG579" i="12"/>
  <c r="AF579" i="12"/>
  <c r="Z579" i="12"/>
  <c r="AG578" i="12"/>
  <c r="AF578" i="12"/>
  <c r="Z578" i="12"/>
  <c r="AG577" i="12"/>
  <c r="AF577" i="12"/>
  <c r="Z577" i="12"/>
  <c r="AG576" i="12"/>
  <c r="AF576" i="12"/>
  <c r="Z576" i="12"/>
  <c r="AG575" i="12"/>
  <c r="AF575" i="12"/>
  <c r="Z575" i="12"/>
  <c r="AG574" i="12"/>
  <c r="AF574" i="12"/>
  <c r="Z574" i="12"/>
  <c r="AG573" i="12"/>
  <c r="AF573" i="12"/>
  <c r="Z573" i="12"/>
  <c r="AG572" i="12"/>
  <c r="AF572" i="12"/>
  <c r="Z572" i="12"/>
  <c r="AG571" i="12"/>
  <c r="AF571" i="12"/>
  <c r="Z571" i="12"/>
  <c r="AG570" i="12"/>
  <c r="AF570" i="12"/>
  <c r="Z570" i="12"/>
  <c r="AG569" i="12"/>
  <c r="AF569" i="12"/>
  <c r="Z569" i="12"/>
  <c r="AG568" i="12"/>
  <c r="AF568" i="12"/>
  <c r="Z568" i="12"/>
  <c r="AG567" i="12"/>
  <c r="AF567" i="12"/>
  <c r="Z567" i="12"/>
  <c r="AG566" i="12"/>
  <c r="AF566" i="12"/>
  <c r="Z566" i="12"/>
  <c r="AG565" i="12"/>
  <c r="AF565" i="12"/>
  <c r="Z565" i="12"/>
  <c r="AG564" i="12"/>
  <c r="AF564" i="12"/>
  <c r="Z564" i="12"/>
  <c r="AG563" i="12"/>
  <c r="AF563" i="12"/>
  <c r="Z563" i="12"/>
  <c r="AG562" i="12"/>
  <c r="AF562" i="12"/>
  <c r="Z562" i="12"/>
  <c r="AG561" i="12"/>
  <c r="AF561" i="12"/>
  <c r="Z561" i="12"/>
  <c r="AG560" i="12"/>
  <c r="AF560" i="12"/>
  <c r="Z560" i="12"/>
  <c r="AG559" i="12"/>
  <c r="AF559" i="12"/>
  <c r="Z559" i="12"/>
  <c r="AG558" i="12"/>
  <c r="AF558" i="12"/>
  <c r="Z558" i="12"/>
  <c r="AG557" i="12"/>
  <c r="AF557" i="12"/>
  <c r="Z557" i="12"/>
  <c r="AG556" i="12"/>
  <c r="AF556" i="12"/>
  <c r="Z556" i="12"/>
  <c r="AG555" i="12"/>
  <c r="AF555" i="12"/>
  <c r="Z555" i="12"/>
  <c r="AG554" i="12"/>
  <c r="AF554" i="12"/>
  <c r="Z554" i="12"/>
  <c r="AG553" i="12"/>
  <c r="AF553" i="12"/>
  <c r="Z553" i="12"/>
  <c r="AG552" i="12"/>
  <c r="AF552" i="12"/>
  <c r="Z552" i="12"/>
  <c r="AG551" i="12"/>
  <c r="AF551" i="12"/>
  <c r="Z551" i="12"/>
  <c r="AG550" i="12"/>
  <c r="AF550" i="12"/>
  <c r="Z550" i="12"/>
  <c r="AG549" i="12"/>
  <c r="AF549" i="12"/>
  <c r="Z549" i="12"/>
  <c r="AG548" i="12"/>
  <c r="AF548" i="12"/>
  <c r="Z548" i="12"/>
  <c r="AG547" i="12"/>
  <c r="AF547" i="12"/>
  <c r="Z547" i="12"/>
  <c r="AG546" i="12"/>
  <c r="AF546" i="12"/>
  <c r="Z546" i="12"/>
  <c r="AG545" i="12"/>
  <c r="AF545" i="12"/>
  <c r="Z545" i="12"/>
  <c r="AG544" i="12"/>
  <c r="AF544" i="12"/>
  <c r="Z544" i="12"/>
  <c r="AG543" i="12"/>
  <c r="AF543" i="12"/>
  <c r="Z543" i="12"/>
  <c r="AG542" i="12"/>
  <c r="AF542" i="12"/>
  <c r="Z542" i="12"/>
  <c r="AG541" i="12"/>
  <c r="AF541" i="12"/>
  <c r="Z541" i="12"/>
  <c r="AG540" i="12"/>
  <c r="AF540" i="12"/>
  <c r="Z540" i="12"/>
  <c r="AG539" i="12"/>
  <c r="AF539" i="12"/>
  <c r="Z539" i="12"/>
  <c r="AG538" i="12"/>
  <c r="AF538" i="12"/>
  <c r="Z538" i="12"/>
  <c r="AG537" i="12"/>
  <c r="AF537" i="12"/>
  <c r="Z537" i="12"/>
  <c r="AG536" i="12"/>
  <c r="AF536" i="12"/>
  <c r="Z536" i="12"/>
  <c r="AG535" i="12"/>
  <c r="AF535" i="12"/>
  <c r="Z535" i="12"/>
  <c r="AG534" i="12"/>
  <c r="AF534" i="12"/>
  <c r="Z534" i="12"/>
  <c r="AG533" i="12"/>
  <c r="AF533" i="12"/>
  <c r="Z533" i="12"/>
  <c r="AG532" i="12"/>
  <c r="AF532" i="12"/>
  <c r="Z532" i="12"/>
  <c r="AG531" i="12"/>
  <c r="AF531" i="12"/>
  <c r="Z531" i="12"/>
  <c r="AG530" i="12"/>
  <c r="AF530" i="12"/>
  <c r="Z530" i="12"/>
  <c r="AG529" i="12"/>
  <c r="AF529" i="12"/>
  <c r="Z529" i="12"/>
  <c r="AG528" i="12"/>
  <c r="AF528" i="12"/>
  <c r="Z528" i="12"/>
  <c r="AG527" i="12"/>
  <c r="AF527" i="12"/>
  <c r="Z527" i="12"/>
  <c r="AG526" i="12"/>
  <c r="AF526" i="12"/>
  <c r="Z526" i="12"/>
  <c r="AG525" i="12"/>
  <c r="AF525" i="12"/>
  <c r="Z525" i="12"/>
  <c r="AG524" i="12"/>
  <c r="AF524" i="12"/>
  <c r="Z524" i="12"/>
  <c r="AG523" i="12"/>
  <c r="AF523" i="12"/>
  <c r="Z523" i="12"/>
  <c r="AG522" i="12"/>
  <c r="AF522" i="12"/>
  <c r="Z522" i="12"/>
  <c r="AG521" i="12"/>
  <c r="AF521" i="12"/>
  <c r="Z521" i="12"/>
  <c r="AG520" i="12"/>
  <c r="AF520" i="12"/>
  <c r="Z520" i="12"/>
  <c r="AG519" i="12"/>
  <c r="AF519" i="12"/>
  <c r="Z519" i="12"/>
  <c r="AG518" i="12"/>
  <c r="AF518" i="12"/>
  <c r="Z518" i="12"/>
  <c r="AG517" i="12"/>
  <c r="AF517" i="12"/>
  <c r="Z517" i="12"/>
  <c r="AG516" i="12"/>
  <c r="AF516" i="12"/>
  <c r="Z516" i="12"/>
  <c r="AG515" i="12"/>
  <c r="AF515" i="12"/>
  <c r="Z515" i="12"/>
  <c r="AG514" i="12"/>
  <c r="AF514" i="12"/>
  <c r="Z514" i="12"/>
  <c r="AG513" i="12"/>
  <c r="AF513" i="12"/>
  <c r="Z513" i="12"/>
  <c r="AG512" i="12"/>
  <c r="AF512" i="12"/>
  <c r="Z512" i="12"/>
  <c r="AG511" i="12"/>
  <c r="AF511" i="12"/>
  <c r="Z511" i="12"/>
  <c r="AG510" i="12"/>
  <c r="AF510" i="12"/>
  <c r="Z510" i="12"/>
  <c r="AG509" i="12"/>
  <c r="AF509" i="12"/>
  <c r="Z509" i="12"/>
  <c r="AG508" i="12"/>
  <c r="AF508" i="12"/>
  <c r="Z508" i="12"/>
  <c r="AG507" i="12"/>
  <c r="AF507" i="12"/>
  <c r="Z507" i="12"/>
  <c r="AG506" i="12"/>
  <c r="AF506" i="12"/>
  <c r="Z506" i="12"/>
  <c r="AG505" i="12"/>
  <c r="AF505" i="12"/>
  <c r="Z505" i="12"/>
  <c r="AG504" i="12"/>
  <c r="AF504" i="12"/>
  <c r="Z504" i="12"/>
  <c r="AG503" i="12"/>
  <c r="AF503" i="12"/>
  <c r="Z503" i="12"/>
  <c r="AG502" i="12"/>
  <c r="AF502" i="12"/>
  <c r="Z502" i="12"/>
  <c r="AG501" i="12"/>
  <c r="AF501" i="12"/>
  <c r="Z501" i="12"/>
  <c r="AG500" i="12"/>
  <c r="AF500" i="12"/>
  <c r="Z500" i="12"/>
  <c r="AG499" i="12"/>
  <c r="AF499" i="12"/>
  <c r="Z499" i="12"/>
  <c r="AG498" i="12"/>
  <c r="AF498" i="12"/>
  <c r="Z498" i="12"/>
  <c r="AG497" i="12"/>
  <c r="AF497" i="12"/>
  <c r="Z497" i="12"/>
  <c r="AG496" i="12"/>
  <c r="AF496" i="12"/>
  <c r="Z496" i="12"/>
  <c r="AG495" i="12"/>
  <c r="AF495" i="12"/>
  <c r="Z495" i="12"/>
  <c r="AG494" i="12"/>
  <c r="AF494" i="12"/>
  <c r="Z494" i="12"/>
  <c r="AG493" i="12"/>
  <c r="AF493" i="12"/>
  <c r="Z493" i="12"/>
  <c r="AG492" i="12"/>
  <c r="AF492" i="12"/>
  <c r="Z492" i="12"/>
  <c r="AG491" i="12"/>
  <c r="AF491" i="12"/>
  <c r="Z491" i="12"/>
  <c r="AG490" i="12"/>
  <c r="AF490" i="12"/>
  <c r="Z490" i="12"/>
  <c r="AG489" i="12"/>
  <c r="AF489" i="12"/>
  <c r="Z489" i="12"/>
  <c r="AG488" i="12"/>
  <c r="AF488" i="12"/>
  <c r="Z488" i="12"/>
  <c r="AG487" i="12"/>
  <c r="AF487" i="12"/>
  <c r="Z487" i="12"/>
  <c r="AG486" i="12"/>
  <c r="AF486" i="12"/>
  <c r="Z486" i="12"/>
  <c r="AG485" i="12"/>
  <c r="AF485" i="12"/>
  <c r="Z485" i="12"/>
  <c r="AG484" i="12"/>
  <c r="AF484" i="12"/>
  <c r="Z484" i="12"/>
  <c r="AG483" i="12"/>
  <c r="AF483" i="12"/>
  <c r="Z483" i="12"/>
  <c r="AG482" i="12"/>
  <c r="AF482" i="12"/>
  <c r="Z482" i="12"/>
  <c r="AG481" i="12"/>
  <c r="AF481" i="12"/>
  <c r="Z481" i="12"/>
  <c r="AG480" i="12"/>
  <c r="AF480" i="12"/>
  <c r="Z480" i="12"/>
  <c r="AG479" i="12"/>
  <c r="AF479" i="12"/>
  <c r="Z479" i="12"/>
  <c r="AG478" i="12"/>
  <c r="AF478" i="12"/>
  <c r="Z478" i="12"/>
  <c r="AG477" i="12"/>
  <c r="AF477" i="12"/>
  <c r="Z477" i="12"/>
  <c r="AG476" i="12"/>
  <c r="AF476" i="12"/>
  <c r="Z476" i="12"/>
  <c r="AG475" i="12"/>
  <c r="AF475" i="12"/>
  <c r="Z475" i="12"/>
  <c r="AG474" i="12"/>
  <c r="AF474" i="12"/>
  <c r="Z474" i="12"/>
  <c r="AG473" i="12"/>
  <c r="AF473" i="12"/>
  <c r="Z473" i="12"/>
  <c r="AG472" i="12"/>
  <c r="AF472" i="12"/>
  <c r="Z472" i="12"/>
  <c r="AG471" i="12"/>
  <c r="AF471" i="12"/>
  <c r="Z471" i="12"/>
  <c r="AG470" i="12"/>
  <c r="AF470" i="12"/>
  <c r="Z470" i="12"/>
  <c r="AG469" i="12"/>
  <c r="AF469" i="12"/>
  <c r="Z469" i="12"/>
  <c r="AG468" i="12"/>
  <c r="AF468" i="12"/>
  <c r="Z468" i="12"/>
  <c r="AG467" i="12"/>
  <c r="AF467" i="12"/>
  <c r="Z467" i="12"/>
  <c r="AG466" i="12"/>
  <c r="AF466" i="12"/>
  <c r="Z466" i="12"/>
  <c r="AG465" i="12"/>
  <c r="AF465" i="12"/>
  <c r="Z465" i="12"/>
  <c r="AG464" i="12"/>
  <c r="AF464" i="12"/>
  <c r="Z464" i="12"/>
  <c r="AG463" i="12"/>
  <c r="AF463" i="12"/>
  <c r="Z463" i="12"/>
  <c r="AG462" i="12"/>
  <c r="AF462" i="12"/>
  <c r="Z462" i="12"/>
  <c r="AG461" i="12"/>
  <c r="AF461" i="12"/>
  <c r="Z461" i="12"/>
  <c r="AG460" i="12"/>
  <c r="AF460" i="12"/>
  <c r="Z460" i="12"/>
  <c r="AG459" i="12"/>
  <c r="AF459" i="12"/>
  <c r="Z459" i="12"/>
  <c r="AG458" i="12"/>
  <c r="AF458" i="12"/>
  <c r="Z458" i="12"/>
  <c r="AG457" i="12"/>
  <c r="AF457" i="12"/>
  <c r="Z457" i="12"/>
  <c r="AG456" i="12"/>
  <c r="AF456" i="12"/>
  <c r="Z456" i="12"/>
  <c r="AG455" i="12"/>
  <c r="AF455" i="12"/>
  <c r="Z455" i="12"/>
  <c r="AG454" i="12"/>
  <c r="AF454" i="12"/>
  <c r="Z454" i="12"/>
  <c r="AG453" i="12"/>
  <c r="AF453" i="12"/>
  <c r="Z453" i="12"/>
  <c r="AG452" i="12"/>
  <c r="AF452" i="12"/>
  <c r="Z452" i="12"/>
  <c r="AG451" i="12"/>
  <c r="AF451" i="12"/>
  <c r="Z451" i="12"/>
  <c r="AG450" i="12"/>
  <c r="AF450" i="12"/>
  <c r="Z450" i="12"/>
  <c r="AG449" i="12"/>
  <c r="AF449" i="12"/>
  <c r="Z449" i="12"/>
  <c r="AG448" i="12"/>
  <c r="AF448" i="12"/>
  <c r="Z448" i="12"/>
  <c r="AG447" i="12"/>
  <c r="AF447" i="12"/>
  <c r="Z447" i="12"/>
  <c r="AG446" i="12"/>
  <c r="AF446" i="12"/>
  <c r="Z446" i="12"/>
  <c r="AG445" i="12"/>
  <c r="AF445" i="12"/>
  <c r="Z445" i="12"/>
  <c r="AG444" i="12"/>
  <c r="AF444" i="12"/>
  <c r="Z444" i="12"/>
  <c r="AG443" i="12"/>
  <c r="AF443" i="12"/>
  <c r="Z443" i="12"/>
  <c r="AG442" i="12"/>
  <c r="AF442" i="12"/>
  <c r="Z442" i="12"/>
  <c r="AG441" i="12"/>
  <c r="AF441" i="12"/>
  <c r="Z441" i="12"/>
  <c r="AG440" i="12"/>
  <c r="AF440" i="12"/>
  <c r="Z440" i="12"/>
  <c r="AG439" i="12"/>
  <c r="AF439" i="12"/>
  <c r="Z439" i="12"/>
  <c r="AG438" i="12"/>
  <c r="AF438" i="12"/>
  <c r="Z438" i="12"/>
  <c r="AG437" i="12"/>
  <c r="AF437" i="12"/>
  <c r="Z437" i="12"/>
  <c r="AG436" i="12"/>
  <c r="AF436" i="12"/>
  <c r="Z436" i="12"/>
  <c r="AG435" i="12"/>
  <c r="AF435" i="12"/>
  <c r="Z435" i="12"/>
  <c r="AG434" i="12"/>
  <c r="AF434" i="12"/>
  <c r="Z434" i="12"/>
  <c r="AG433" i="12"/>
  <c r="AF433" i="12"/>
  <c r="Z433" i="12"/>
  <c r="AG432" i="12"/>
  <c r="AF432" i="12"/>
  <c r="Z432" i="12"/>
  <c r="AG431" i="12"/>
  <c r="AF431" i="12"/>
  <c r="Z431" i="12"/>
  <c r="AG430" i="12"/>
  <c r="AF430" i="12"/>
  <c r="Z430" i="12"/>
  <c r="AG429" i="12"/>
  <c r="AF429" i="12"/>
  <c r="Z429" i="12"/>
  <c r="AG428" i="12"/>
  <c r="AF428" i="12"/>
  <c r="Z428" i="12"/>
  <c r="AG427" i="12"/>
  <c r="AF427" i="12"/>
  <c r="Z427" i="12"/>
  <c r="AG426" i="12"/>
  <c r="AF426" i="12"/>
  <c r="Z426" i="12"/>
  <c r="AG425" i="12"/>
  <c r="AF425" i="12"/>
  <c r="Z425" i="12"/>
  <c r="AG424" i="12"/>
  <c r="AF424" i="12"/>
  <c r="Z424" i="12"/>
  <c r="AG423" i="12"/>
  <c r="AF423" i="12"/>
  <c r="Z423" i="12"/>
  <c r="AG422" i="12"/>
  <c r="AF422" i="12"/>
  <c r="Z422" i="12"/>
  <c r="AG421" i="12"/>
  <c r="AF421" i="12"/>
  <c r="Z421" i="12"/>
  <c r="AG420" i="12"/>
  <c r="AF420" i="12"/>
  <c r="Z420" i="12"/>
  <c r="AG419" i="12"/>
  <c r="AF419" i="12"/>
  <c r="Z419" i="12"/>
  <c r="AG418" i="12"/>
  <c r="AF418" i="12"/>
  <c r="Z418" i="12"/>
  <c r="AG417" i="12"/>
  <c r="AF417" i="12"/>
  <c r="Z417" i="12"/>
  <c r="AG416" i="12"/>
  <c r="AF416" i="12"/>
  <c r="Z416" i="12"/>
  <c r="AG415" i="12"/>
  <c r="AF415" i="12"/>
  <c r="Z415" i="12"/>
  <c r="AG414" i="12"/>
  <c r="AF414" i="12"/>
  <c r="Z414" i="12"/>
  <c r="AG413" i="12"/>
  <c r="AF413" i="12"/>
  <c r="Z413" i="12"/>
  <c r="AG412" i="12"/>
  <c r="AF412" i="12"/>
  <c r="Z412" i="12"/>
  <c r="AG411" i="12"/>
  <c r="AF411" i="12"/>
  <c r="Z411" i="12"/>
  <c r="AG410" i="12"/>
  <c r="AF410" i="12"/>
  <c r="Z410" i="12"/>
  <c r="AG409" i="12"/>
  <c r="AF409" i="12"/>
  <c r="Z409" i="12"/>
  <c r="AG408" i="12"/>
  <c r="AF408" i="12"/>
  <c r="Z408" i="12"/>
  <c r="AG407" i="12"/>
  <c r="AF407" i="12"/>
  <c r="Z407" i="12"/>
  <c r="AG406" i="12"/>
  <c r="AF406" i="12"/>
  <c r="Z406" i="12"/>
  <c r="AG405" i="12"/>
  <c r="AF405" i="12"/>
  <c r="Z405" i="12"/>
  <c r="AG404" i="12"/>
  <c r="AF404" i="12"/>
  <c r="Z404" i="12"/>
  <c r="AG403" i="12"/>
  <c r="AF403" i="12"/>
  <c r="Z403" i="12"/>
  <c r="AG402" i="12"/>
  <c r="AF402" i="12"/>
  <c r="Z402" i="12"/>
  <c r="AG401" i="12"/>
  <c r="AF401" i="12"/>
  <c r="Z401" i="12"/>
  <c r="AG400" i="12"/>
  <c r="AF400" i="12"/>
  <c r="Z400" i="12"/>
  <c r="AG399" i="12"/>
  <c r="AF399" i="12"/>
  <c r="Z399" i="12"/>
  <c r="AG398" i="12"/>
  <c r="AF398" i="12"/>
  <c r="Z398" i="12"/>
  <c r="AG397" i="12"/>
  <c r="AF397" i="12"/>
  <c r="Z397" i="12"/>
  <c r="AG396" i="12"/>
  <c r="AF396" i="12"/>
  <c r="Z396" i="12"/>
  <c r="AG395" i="12"/>
  <c r="AF395" i="12"/>
  <c r="Z395" i="12"/>
  <c r="AG394" i="12"/>
  <c r="AF394" i="12"/>
  <c r="Z394" i="12"/>
  <c r="AG393" i="12"/>
  <c r="AF393" i="12"/>
  <c r="Z393" i="12"/>
  <c r="AG392" i="12"/>
  <c r="AF392" i="12"/>
  <c r="Z392" i="12"/>
  <c r="AG391" i="12"/>
  <c r="AF391" i="12"/>
  <c r="Z391" i="12"/>
  <c r="AG390" i="12"/>
  <c r="AF390" i="12"/>
  <c r="Z390" i="12"/>
  <c r="AG389" i="12"/>
  <c r="AF389" i="12"/>
  <c r="Z389" i="12"/>
  <c r="AG388" i="12"/>
  <c r="AF388" i="12"/>
  <c r="Z388" i="12"/>
  <c r="AG387" i="12"/>
  <c r="AF387" i="12"/>
  <c r="Z387" i="12"/>
  <c r="AG386" i="12"/>
  <c r="AF386" i="12"/>
  <c r="Z386" i="12"/>
  <c r="AG385" i="12"/>
  <c r="AF385" i="12"/>
  <c r="Z385" i="12"/>
  <c r="AG384" i="12"/>
  <c r="AF384" i="12"/>
  <c r="Z384" i="12"/>
  <c r="AG383" i="12"/>
  <c r="AF383" i="12"/>
  <c r="Z383" i="12"/>
  <c r="AG382" i="12"/>
  <c r="AF382" i="12"/>
  <c r="Z382" i="12"/>
  <c r="AG381" i="12"/>
  <c r="AF381" i="12"/>
  <c r="Z381" i="12"/>
  <c r="AG380" i="12"/>
  <c r="AF380" i="12"/>
  <c r="Z380" i="12"/>
  <c r="AG379" i="12"/>
  <c r="AF379" i="12"/>
  <c r="Z379" i="12"/>
  <c r="AG378" i="12"/>
  <c r="AF378" i="12"/>
  <c r="Z378" i="12"/>
  <c r="AG377" i="12"/>
  <c r="AF377" i="12"/>
  <c r="Z377" i="12"/>
  <c r="AG376" i="12"/>
  <c r="AF376" i="12"/>
  <c r="Z376" i="12"/>
  <c r="AG375" i="12"/>
  <c r="AF375" i="12"/>
  <c r="Z375" i="12"/>
  <c r="AG374" i="12"/>
  <c r="AF374" i="12"/>
  <c r="Z374" i="12"/>
  <c r="AG373" i="12"/>
  <c r="AF373" i="12"/>
  <c r="Z373" i="12"/>
  <c r="AG372" i="12"/>
  <c r="AF372" i="12"/>
  <c r="Z372" i="12"/>
  <c r="AG371" i="12"/>
  <c r="AF371" i="12"/>
  <c r="Z371" i="12"/>
  <c r="AG370" i="12"/>
  <c r="AF370" i="12"/>
  <c r="Z370" i="12"/>
  <c r="AG369" i="12"/>
  <c r="AF369" i="12"/>
  <c r="Z369" i="12"/>
  <c r="AG368" i="12"/>
  <c r="AF368" i="12"/>
  <c r="Z368" i="12"/>
  <c r="AG367" i="12"/>
  <c r="AF367" i="12"/>
  <c r="Z367" i="12"/>
  <c r="AG366" i="12"/>
  <c r="AF366" i="12"/>
  <c r="Z366" i="12"/>
  <c r="AG365" i="12"/>
  <c r="AF365" i="12"/>
  <c r="Z365" i="12"/>
  <c r="AG364" i="12"/>
  <c r="AF364" i="12"/>
  <c r="Z364" i="12"/>
  <c r="AG363" i="12"/>
  <c r="AF363" i="12"/>
  <c r="Z363" i="12"/>
  <c r="AG362" i="12"/>
  <c r="AF362" i="12"/>
  <c r="Z362" i="12"/>
  <c r="AG361" i="12"/>
  <c r="AF361" i="12"/>
  <c r="Z361" i="12"/>
  <c r="AG360" i="12"/>
  <c r="AF360" i="12"/>
  <c r="Z360" i="12"/>
  <c r="AG359" i="12"/>
  <c r="AF359" i="12"/>
  <c r="Z359" i="12"/>
  <c r="AG358" i="12"/>
  <c r="AF358" i="12"/>
  <c r="Z358" i="12"/>
  <c r="AG357" i="12"/>
  <c r="AF357" i="12"/>
  <c r="Z357" i="12"/>
  <c r="AG356" i="12"/>
  <c r="AF356" i="12"/>
  <c r="Z356" i="12"/>
  <c r="AG355" i="12"/>
  <c r="AF355" i="12"/>
  <c r="Z355" i="12"/>
  <c r="AG354" i="12"/>
  <c r="AF354" i="12"/>
  <c r="Z354" i="12"/>
  <c r="AG353" i="12"/>
  <c r="AF353" i="12"/>
  <c r="Z353" i="12"/>
  <c r="AG352" i="12"/>
  <c r="AF352" i="12"/>
  <c r="Z352" i="12"/>
  <c r="AG351" i="12"/>
  <c r="AF351" i="12"/>
  <c r="Z351" i="12"/>
  <c r="AG350" i="12"/>
  <c r="AF350" i="12"/>
  <c r="Z350" i="12"/>
  <c r="AG349" i="12"/>
  <c r="AF349" i="12"/>
  <c r="Z349" i="12"/>
  <c r="AG348" i="12"/>
  <c r="AF348" i="12"/>
  <c r="Z348" i="12"/>
  <c r="AG347" i="12"/>
  <c r="AF347" i="12"/>
  <c r="Z347" i="12"/>
  <c r="AG346" i="12"/>
  <c r="AF346" i="12"/>
  <c r="Z346" i="12"/>
  <c r="AG345" i="12"/>
  <c r="AF345" i="12"/>
  <c r="Z345" i="12"/>
  <c r="AG344" i="12"/>
  <c r="AF344" i="12"/>
  <c r="Z344" i="12"/>
  <c r="AG343" i="12"/>
  <c r="AF343" i="12"/>
  <c r="Z343" i="12"/>
  <c r="AG342" i="12"/>
  <c r="AF342" i="12"/>
  <c r="Z342" i="12"/>
  <c r="AG341" i="12"/>
  <c r="AF341" i="12"/>
  <c r="Z341" i="12"/>
  <c r="AG340" i="12"/>
  <c r="AF340" i="12"/>
  <c r="Z340" i="12"/>
  <c r="AG339" i="12"/>
  <c r="AF339" i="12"/>
  <c r="Z339" i="12"/>
  <c r="AG338" i="12"/>
  <c r="AF338" i="12"/>
  <c r="Z338" i="12"/>
  <c r="AG337" i="12"/>
  <c r="AF337" i="12"/>
  <c r="Z337" i="12"/>
  <c r="AG336" i="12"/>
  <c r="AF336" i="12"/>
  <c r="Z336" i="12"/>
  <c r="AG335" i="12"/>
  <c r="AF335" i="12"/>
  <c r="Z335" i="12"/>
  <c r="AG334" i="12"/>
  <c r="AF334" i="12"/>
  <c r="Z334" i="12"/>
  <c r="AG333" i="12"/>
  <c r="AF333" i="12"/>
  <c r="Z333" i="12"/>
  <c r="AG332" i="12"/>
  <c r="AF332" i="12"/>
  <c r="Z332" i="12"/>
  <c r="AG331" i="12"/>
  <c r="AF331" i="12"/>
  <c r="Z331" i="12"/>
  <c r="AG330" i="12"/>
  <c r="AF330" i="12"/>
  <c r="Z330" i="12"/>
  <c r="AG329" i="12"/>
  <c r="AF329" i="12"/>
  <c r="Z329" i="12"/>
  <c r="AG328" i="12"/>
  <c r="AF328" i="12"/>
  <c r="Z328" i="12"/>
  <c r="AG327" i="12"/>
  <c r="AF327" i="12"/>
  <c r="Z327" i="12"/>
  <c r="AG326" i="12"/>
  <c r="AF326" i="12"/>
  <c r="Z326" i="12"/>
  <c r="AG325" i="12"/>
  <c r="AF325" i="12"/>
  <c r="Z325" i="12"/>
  <c r="AG324" i="12"/>
  <c r="AF324" i="12"/>
  <c r="Z324" i="12"/>
  <c r="AG323" i="12"/>
  <c r="AF323" i="12"/>
  <c r="Z323" i="12"/>
  <c r="AG322" i="12"/>
  <c r="AF322" i="12"/>
  <c r="Z322" i="12"/>
  <c r="AG321" i="12"/>
  <c r="AF321" i="12"/>
  <c r="Z321" i="12"/>
  <c r="AG320" i="12"/>
  <c r="AF320" i="12"/>
  <c r="Z320" i="12"/>
  <c r="AG319" i="12"/>
  <c r="AF319" i="12"/>
  <c r="Z319" i="12"/>
  <c r="AG318" i="12"/>
  <c r="AF318" i="12"/>
  <c r="Z318" i="12"/>
  <c r="AG317" i="12"/>
  <c r="AF317" i="12"/>
  <c r="Z317" i="12"/>
  <c r="AG316" i="12"/>
  <c r="AF316" i="12"/>
  <c r="Z316" i="12"/>
  <c r="AG315" i="12"/>
  <c r="AF315" i="12"/>
  <c r="Z315" i="12"/>
  <c r="AG314" i="12"/>
  <c r="AF314" i="12"/>
  <c r="Z314" i="12"/>
  <c r="AG313" i="12"/>
  <c r="AF313" i="12"/>
  <c r="Z313" i="12"/>
  <c r="AG312" i="12"/>
  <c r="AF312" i="12"/>
  <c r="Z312" i="12"/>
  <c r="AG311" i="12"/>
  <c r="AF311" i="12"/>
  <c r="Z311" i="12"/>
  <c r="AG310" i="12"/>
  <c r="AF310" i="12"/>
  <c r="Z310" i="12"/>
  <c r="AG309" i="12"/>
  <c r="AF309" i="12"/>
  <c r="Z309" i="12"/>
  <c r="AG308" i="12"/>
  <c r="AF308" i="12"/>
  <c r="Z308" i="12"/>
  <c r="AG307" i="12"/>
  <c r="AF307" i="12"/>
  <c r="Z307" i="12"/>
  <c r="AG306" i="12"/>
  <c r="AF306" i="12"/>
  <c r="Z306" i="12"/>
  <c r="AG305" i="12"/>
  <c r="AF305" i="12"/>
  <c r="Z305" i="12"/>
  <c r="AG304" i="12"/>
  <c r="AF304" i="12"/>
  <c r="Z304" i="12"/>
  <c r="AG303" i="12"/>
  <c r="AF303" i="12"/>
  <c r="Z303" i="12"/>
  <c r="AG302" i="12"/>
  <c r="AF302" i="12"/>
  <c r="Z302" i="12"/>
  <c r="AG301" i="12"/>
  <c r="AF301" i="12"/>
  <c r="Z301" i="12"/>
  <c r="AG300" i="12"/>
  <c r="AF300" i="12"/>
  <c r="Z300" i="12"/>
  <c r="AG299" i="12"/>
  <c r="AF299" i="12"/>
  <c r="Z299" i="12"/>
  <c r="AG298" i="12"/>
  <c r="AF298" i="12"/>
  <c r="Z298" i="12"/>
  <c r="AG297" i="12"/>
  <c r="AF297" i="12"/>
  <c r="Z297" i="12"/>
  <c r="AG296" i="12"/>
  <c r="AF296" i="12"/>
  <c r="Z296" i="12"/>
  <c r="AG295" i="12"/>
  <c r="AF295" i="12"/>
  <c r="Z295" i="12"/>
  <c r="AG294" i="12"/>
  <c r="AF294" i="12"/>
  <c r="Z294" i="12"/>
  <c r="AG293" i="12"/>
  <c r="AF293" i="12"/>
  <c r="Z293" i="12"/>
  <c r="AG292" i="12"/>
  <c r="AF292" i="12"/>
  <c r="Z292" i="12"/>
  <c r="AG291" i="12"/>
  <c r="AF291" i="12"/>
  <c r="Z291" i="12"/>
  <c r="AG290" i="12"/>
  <c r="AF290" i="12"/>
  <c r="Z290" i="12"/>
  <c r="AG289" i="12"/>
  <c r="AF289" i="12"/>
  <c r="Z289" i="12"/>
  <c r="AG288" i="12"/>
  <c r="AF288" i="12"/>
  <c r="Z288" i="12"/>
  <c r="AG287" i="12"/>
  <c r="AF287" i="12"/>
  <c r="Z287" i="12"/>
  <c r="AG286" i="12"/>
  <c r="AF286" i="12"/>
  <c r="Z286" i="12"/>
  <c r="AG285" i="12"/>
  <c r="AF285" i="12"/>
  <c r="Z285" i="12"/>
  <c r="AG284" i="12"/>
  <c r="AF284" i="12"/>
  <c r="Z284" i="12"/>
  <c r="AG283" i="12"/>
  <c r="AF283" i="12"/>
  <c r="Z283" i="12"/>
  <c r="AG282" i="12"/>
  <c r="AF282" i="12"/>
  <c r="Z282" i="12"/>
  <c r="AG281" i="12"/>
  <c r="AF281" i="12"/>
  <c r="Z281" i="12"/>
  <c r="AG280" i="12"/>
  <c r="AF280" i="12"/>
  <c r="Z280" i="12"/>
  <c r="AG279" i="12"/>
  <c r="AF279" i="12"/>
  <c r="Z279" i="12"/>
  <c r="AG278" i="12"/>
  <c r="AF278" i="12"/>
  <c r="Z278" i="12"/>
  <c r="AG277" i="12"/>
  <c r="AF277" i="12"/>
  <c r="Z277" i="12"/>
  <c r="AG276" i="12"/>
  <c r="AF276" i="12"/>
  <c r="Z276" i="12"/>
  <c r="AG275" i="12"/>
  <c r="AF275" i="12"/>
  <c r="Z275" i="12"/>
  <c r="AG274" i="12"/>
  <c r="AF274" i="12"/>
  <c r="Z274" i="12"/>
  <c r="AG273" i="12"/>
  <c r="AF273" i="12"/>
  <c r="Z273" i="12"/>
  <c r="AG272" i="12"/>
  <c r="AF272" i="12"/>
  <c r="Z272" i="12"/>
  <c r="AG271" i="12"/>
  <c r="AF271" i="12"/>
  <c r="Z271" i="12"/>
  <c r="AG270" i="12"/>
  <c r="AF270" i="12"/>
  <c r="Z270" i="12"/>
  <c r="AG269" i="12"/>
  <c r="AF269" i="12"/>
  <c r="Z269" i="12"/>
  <c r="AG268" i="12"/>
  <c r="AF268" i="12"/>
  <c r="Z268" i="12"/>
  <c r="AG267" i="12"/>
  <c r="AF267" i="12"/>
  <c r="Z267" i="12"/>
  <c r="AG266" i="12"/>
  <c r="AF266" i="12"/>
  <c r="Z266" i="12"/>
  <c r="AG265" i="12"/>
  <c r="AF265" i="12"/>
  <c r="Z265" i="12"/>
  <c r="AG264" i="12"/>
  <c r="AF264" i="12"/>
  <c r="Z264" i="12"/>
  <c r="AG263" i="12"/>
  <c r="AF263" i="12"/>
  <c r="Z263" i="12"/>
  <c r="AG262" i="12"/>
  <c r="AF262" i="12"/>
  <c r="Z262" i="12"/>
  <c r="AG261" i="12"/>
  <c r="AF261" i="12"/>
  <c r="Z261" i="12"/>
  <c r="AG260" i="12"/>
  <c r="AF260" i="12"/>
  <c r="Z260" i="12"/>
  <c r="AG259" i="12"/>
  <c r="AF259" i="12"/>
  <c r="Z259" i="12"/>
  <c r="AG258" i="12"/>
  <c r="AF258" i="12"/>
  <c r="Z258" i="12"/>
  <c r="AG257" i="12"/>
  <c r="AF257" i="12"/>
  <c r="Z257" i="12"/>
  <c r="AG256" i="12"/>
  <c r="AF256" i="12"/>
  <c r="Z256" i="12"/>
  <c r="AG255" i="12"/>
  <c r="AF255" i="12"/>
  <c r="Z255" i="12"/>
  <c r="AG254" i="12"/>
  <c r="AF254" i="12"/>
  <c r="Z254" i="12"/>
  <c r="AG253" i="12"/>
  <c r="AF253" i="12"/>
  <c r="Z253" i="12"/>
  <c r="AG252" i="12"/>
  <c r="AF252" i="12"/>
  <c r="Z252" i="12"/>
  <c r="AG251" i="12"/>
  <c r="AF251" i="12"/>
  <c r="Z251" i="12"/>
  <c r="AG250" i="12"/>
  <c r="AF250" i="12"/>
  <c r="Z250" i="12"/>
  <c r="AG249" i="12"/>
  <c r="AF249" i="12"/>
  <c r="Z249" i="12"/>
  <c r="AG248" i="12"/>
  <c r="AF248" i="12"/>
  <c r="Z248" i="12"/>
  <c r="AG247" i="12"/>
  <c r="AF247" i="12"/>
  <c r="Z247" i="12"/>
  <c r="AG246" i="12"/>
  <c r="AF246" i="12"/>
  <c r="Z246" i="12"/>
  <c r="AG245" i="12"/>
  <c r="AF245" i="12"/>
  <c r="Z245" i="12"/>
  <c r="AG244" i="12"/>
  <c r="AF244" i="12"/>
  <c r="Z244" i="12"/>
  <c r="AG243" i="12"/>
  <c r="AF243" i="12"/>
  <c r="Z243" i="12"/>
  <c r="AG242" i="12"/>
  <c r="AF242" i="12"/>
  <c r="Z242" i="12"/>
  <c r="AG241" i="12"/>
  <c r="AF241" i="12"/>
  <c r="Z241" i="12"/>
  <c r="AG240" i="12"/>
  <c r="AF240" i="12"/>
  <c r="Z240" i="12"/>
  <c r="AG239" i="12"/>
  <c r="AF239" i="12"/>
  <c r="Z239" i="12"/>
  <c r="AG238" i="12"/>
  <c r="AF238" i="12"/>
  <c r="Z238" i="12"/>
  <c r="AG237" i="12"/>
  <c r="AF237" i="12"/>
  <c r="Z237" i="12"/>
  <c r="AG236" i="12"/>
  <c r="AF236" i="12"/>
  <c r="Z236" i="12"/>
  <c r="AG235" i="12"/>
  <c r="AF235" i="12"/>
  <c r="Z235" i="12"/>
  <c r="AG234" i="12"/>
  <c r="AF234" i="12"/>
  <c r="Z234" i="12"/>
  <c r="AG233" i="12"/>
  <c r="AF233" i="12"/>
  <c r="Z233" i="12"/>
  <c r="AG232" i="12"/>
  <c r="AF232" i="12"/>
  <c r="Z232" i="12"/>
  <c r="AG231" i="12"/>
  <c r="AF231" i="12"/>
  <c r="Z231" i="12"/>
  <c r="AG230" i="12"/>
  <c r="AF230" i="12"/>
  <c r="Z230" i="12"/>
  <c r="AG229" i="12"/>
  <c r="AF229" i="12"/>
  <c r="Z229" i="12"/>
  <c r="AG228" i="12"/>
  <c r="AF228" i="12"/>
  <c r="Z228" i="12"/>
  <c r="AG227" i="12"/>
  <c r="AF227" i="12"/>
  <c r="Z227" i="12"/>
  <c r="AG226" i="12"/>
  <c r="AF226" i="12"/>
  <c r="Z226" i="12"/>
  <c r="AG225" i="12"/>
  <c r="AF225" i="12"/>
  <c r="Z225" i="12"/>
  <c r="AG224" i="12"/>
  <c r="AF224" i="12"/>
  <c r="Z224" i="12"/>
  <c r="AG223" i="12"/>
  <c r="AF223" i="12"/>
  <c r="Z223" i="12"/>
  <c r="AG222" i="12"/>
  <c r="AF222" i="12"/>
  <c r="Z222" i="12"/>
  <c r="AG221" i="12"/>
  <c r="AF221" i="12"/>
  <c r="Z221" i="12"/>
  <c r="AG220" i="12"/>
  <c r="AF220" i="12"/>
  <c r="Z220" i="12"/>
  <c r="AG219" i="12"/>
  <c r="AF219" i="12"/>
  <c r="Z219" i="12"/>
  <c r="AG218" i="12"/>
  <c r="AF218" i="12"/>
  <c r="Z218" i="12"/>
  <c r="AG217" i="12"/>
  <c r="AF217" i="12"/>
  <c r="Z217" i="12"/>
  <c r="AG216" i="12"/>
  <c r="AF216" i="12"/>
  <c r="Z216" i="12"/>
  <c r="AG215" i="12"/>
  <c r="AF215" i="12"/>
  <c r="Z215" i="12"/>
  <c r="AG214" i="12"/>
  <c r="AF214" i="12"/>
  <c r="Z214" i="12"/>
  <c r="AG213" i="12"/>
  <c r="AF213" i="12"/>
  <c r="Z213" i="12"/>
  <c r="AG212" i="12"/>
  <c r="AF212" i="12"/>
  <c r="Z212" i="12"/>
  <c r="AG211" i="12"/>
  <c r="AF211" i="12"/>
  <c r="Z211" i="12"/>
  <c r="AG210" i="12"/>
  <c r="AF210" i="12"/>
  <c r="Z210" i="12"/>
  <c r="AG209" i="12"/>
  <c r="AF209" i="12"/>
  <c r="Z209" i="12"/>
  <c r="AG208" i="12"/>
  <c r="AF208" i="12"/>
  <c r="Z208" i="12"/>
  <c r="AG207" i="12"/>
  <c r="AF207" i="12"/>
  <c r="Z207" i="12"/>
  <c r="AG206" i="12"/>
  <c r="AF206" i="12"/>
  <c r="Z206" i="12"/>
  <c r="AG205" i="12"/>
  <c r="AF205" i="12"/>
  <c r="Z205" i="12"/>
  <c r="AG204" i="12"/>
  <c r="AF204" i="12"/>
  <c r="Z204" i="12"/>
  <c r="AG203" i="12"/>
  <c r="AF203" i="12"/>
  <c r="Z203" i="12"/>
  <c r="AG202" i="12"/>
  <c r="AF202" i="12"/>
  <c r="Z202" i="12"/>
  <c r="AG201" i="12"/>
  <c r="AF201" i="12"/>
  <c r="Z201" i="12"/>
  <c r="AG200" i="12"/>
  <c r="AF200" i="12"/>
  <c r="Z200" i="12"/>
  <c r="AG199" i="12"/>
  <c r="AF199" i="12"/>
  <c r="Z199" i="12"/>
  <c r="AG198" i="12"/>
  <c r="AF198" i="12"/>
  <c r="Z198" i="12"/>
  <c r="AG197" i="12"/>
  <c r="AF197" i="12"/>
  <c r="Z197" i="12"/>
  <c r="AG196" i="12"/>
  <c r="AF196" i="12"/>
  <c r="Z196" i="12"/>
  <c r="AG195" i="12"/>
  <c r="AF195" i="12"/>
  <c r="Z195" i="12"/>
  <c r="AG194" i="12"/>
  <c r="AF194" i="12"/>
  <c r="Z194" i="12"/>
  <c r="AG193" i="12"/>
  <c r="AF193" i="12"/>
  <c r="Z193" i="12"/>
  <c r="AG192" i="12"/>
  <c r="AF192" i="12"/>
  <c r="Z192" i="12"/>
  <c r="AG191" i="12"/>
  <c r="AF191" i="12"/>
  <c r="Z191" i="12"/>
  <c r="AG190" i="12"/>
  <c r="AF190" i="12"/>
  <c r="Z190" i="12"/>
  <c r="AG189" i="12"/>
  <c r="AF189" i="12"/>
  <c r="Z189" i="12"/>
  <c r="AG188" i="12"/>
  <c r="AF188" i="12"/>
  <c r="Z188" i="12"/>
  <c r="AG187" i="12"/>
  <c r="AF187" i="12"/>
  <c r="Z187" i="12"/>
  <c r="AG186" i="12"/>
  <c r="AF186" i="12"/>
  <c r="Z186" i="12"/>
  <c r="AG185" i="12"/>
  <c r="AF185" i="12"/>
  <c r="Z185" i="12"/>
  <c r="AG184" i="12"/>
  <c r="AF184" i="12"/>
  <c r="Z184" i="12"/>
  <c r="AG183" i="12"/>
  <c r="AF183" i="12"/>
  <c r="Z183" i="12"/>
  <c r="AG182" i="12"/>
  <c r="AF182" i="12"/>
  <c r="Z182" i="12"/>
  <c r="AG181" i="12"/>
  <c r="AF181" i="12"/>
  <c r="Z181" i="12"/>
  <c r="AG180" i="12"/>
  <c r="AF180" i="12"/>
  <c r="Z180" i="12"/>
  <c r="AG179" i="12"/>
  <c r="AF179" i="12"/>
  <c r="Z179" i="12"/>
  <c r="AG178" i="12"/>
  <c r="AF178" i="12"/>
  <c r="Z178" i="12"/>
  <c r="AG177" i="12"/>
  <c r="AF177" i="12"/>
  <c r="Z177" i="12"/>
  <c r="AG176" i="12"/>
  <c r="AF176" i="12"/>
  <c r="Z176" i="12"/>
  <c r="AG175" i="12"/>
  <c r="AF175" i="12"/>
  <c r="Z175" i="12"/>
  <c r="AG174" i="12"/>
  <c r="AF174" i="12"/>
  <c r="Z174" i="12"/>
  <c r="AG173" i="12"/>
  <c r="AF173" i="12"/>
  <c r="Z173" i="12"/>
  <c r="AG172" i="12"/>
  <c r="AF172" i="12"/>
  <c r="Z172" i="12"/>
  <c r="AG171" i="12"/>
  <c r="AF171" i="12"/>
  <c r="Z171" i="12"/>
  <c r="AG170" i="12"/>
  <c r="AF170" i="12"/>
  <c r="Z170" i="12"/>
  <c r="AG169" i="12"/>
  <c r="AF169" i="12"/>
  <c r="Z169" i="12"/>
  <c r="AG168" i="12"/>
  <c r="AF168" i="12"/>
  <c r="Z168" i="12"/>
  <c r="AG167" i="12"/>
  <c r="AF167" i="12"/>
  <c r="Z167" i="12"/>
  <c r="AG166" i="12"/>
  <c r="AF166" i="12"/>
  <c r="Z166" i="12"/>
  <c r="AG165" i="12"/>
  <c r="AF165" i="12"/>
  <c r="Z165" i="12"/>
  <c r="AG164" i="12"/>
  <c r="AF164" i="12"/>
  <c r="Z164" i="12"/>
  <c r="AG163" i="12"/>
  <c r="AF163" i="12"/>
  <c r="Z163" i="12"/>
  <c r="AG162" i="12"/>
  <c r="AF162" i="12"/>
  <c r="Z162" i="12"/>
  <c r="AG161" i="12"/>
  <c r="AF161" i="12"/>
  <c r="Z161" i="12"/>
  <c r="AG160" i="12"/>
  <c r="AF160" i="12"/>
  <c r="Z160" i="12"/>
  <c r="AG159" i="12"/>
  <c r="AF159" i="12"/>
  <c r="Z159" i="12"/>
  <c r="AG158" i="12"/>
  <c r="AF158" i="12"/>
  <c r="Z158" i="12"/>
  <c r="AG157" i="12"/>
  <c r="AF157" i="12"/>
  <c r="Z157" i="12"/>
  <c r="AG156" i="12"/>
  <c r="AF156" i="12"/>
  <c r="Z156" i="12"/>
  <c r="AG155" i="12"/>
  <c r="AF155" i="12"/>
  <c r="Z155" i="12"/>
  <c r="AG154" i="12"/>
  <c r="AF154" i="12"/>
  <c r="Z154" i="12"/>
  <c r="AG153" i="12"/>
  <c r="AF153" i="12"/>
  <c r="Z153" i="12"/>
  <c r="AG152" i="12"/>
  <c r="AF152" i="12"/>
  <c r="Z152" i="12"/>
  <c r="AG151" i="12"/>
  <c r="AF151" i="12"/>
  <c r="Z151" i="12"/>
  <c r="AG150" i="12"/>
  <c r="AF150" i="12"/>
  <c r="Z150" i="12"/>
  <c r="AG149" i="12"/>
  <c r="AF149" i="12"/>
  <c r="Z149" i="12"/>
  <c r="AG148" i="12"/>
  <c r="AF148" i="12"/>
  <c r="Z148" i="12"/>
  <c r="AG147" i="12"/>
  <c r="AF147" i="12"/>
  <c r="Z147" i="12"/>
  <c r="AG146" i="12"/>
  <c r="AF146" i="12"/>
  <c r="Z146" i="12"/>
  <c r="AG145" i="12"/>
  <c r="AF145" i="12"/>
  <c r="Z145" i="12"/>
  <c r="AG144" i="12"/>
  <c r="AF144" i="12"/>
  <c r="Z144" i="12"/>
  <c r="AG143" i="12"/>
  <c r="AF143" i="12"/>
  <c r="Z143" i="12"/>
  <c r="AG142" i="12"/>
  <c r="AF142" i="12"/>
  <c r="Z142" i="12"/>
  <c r="AG141" i="12"/>
  <c r="AF141" i="12"/>
  <c r="Z141" i="12"/>
  <c r="AG140" i="12"/>
  <c r="AF140" i="12"/>
  <c r="Z140" i="12"/>
  <c r="AG139" i="12"/>
  <c r="AF139" i="12"/>
  <c r="Z139" i="12"/>
  <c r="AG138" i="12"/>
  <c r="AF138" i="12"/>
  <c r="Z138" i="12"/>
  <c r="AG137" i="12"/>
  <c r="AF137" i="12"/>
  <c r="Z137" i="12"/>
  <c r="AG136" i="12"/>
  <c r="AF136" i="12"/>
  <c r="Z136" i="12"/>
  <c r="AG135" i="12"/>
  <c r="AF135" i="12"/>
  <c r="Z135" i="12"/>
  <c r="AG134" i="12"/>
  <c r="AF134" i="12"/>
  <c r="Z134" i="12"/>
  <c r="AG133" i="12"/>
  <c r="AF133" i="12"/>
  <c r="Z133" i="12"/>
  <c r="AG132" i="12"/>
  <c r="AF132" i="12"/>
  <c r="Z132" i="12"/>
  <c r="AG131" i="12"/>
  <c r="AF131" i="12"/>
  <c r="Z131" i="12"/>
  <c r="AG130" i="12"/>
  <c r="AF130" i="12"/>
  <c r="Z130" i="12"/>
  <c r="AG129" i="12"/>
  <c r="AF129" i="12"/>
  <c r="Z129" i="12"/>
  <c r="AG128" i="12"/>
  <c r="AF128" i="12"/>
  <c r="Z128" i="12"/>
  <c r="AG127" i="12"/>
  <c r="AF127" i="12"/>
  <c r="Z127" i="12"/>
  <c r="AG126" i="12"/>
  <c r="AF126" i="12"/>
  <c r="Z126" i="12"/>
  <c r="AG125" i="12"/>
  <c r="AF125" i="12"/>
  <c r="Z125" i="12"/>
  <c r="AG124" i="12"/>
  <c r="AF124" i="12"/>
  <c r="Z124" i="12"/>
  <c r="AG123" i="12"/>
  <c r="AF123" i="12"/>
  <c r="Z123" i="12"/>
  <c r="AG122" i="12"/>
  <c r="AF122" i="12"/>
  <c r="Z122" i="12"/>
  <c r="AG121" i="12"/>
  <c r="AF121" i="12"/>
  <c r="Z121" i="12"/>
  <c r="AG120" i="12"/>
  <c r="AF120" i="12"/>
  <c r="Z120" i="12"/>
  <c r="AG119" i="12"/>
  <c r="AF119" i="12"/>
  <c r="Z119" i="12"/>
  <c r="AG118" i="12"/>
  <c r="AF118" i="12"/>
  <c r="Z118" i="12"/>
  <c r="AG117" i="12"/>
  <c r="AF117" i="12"/>
  <c r="Z117" i="12"/>
  <c r="AG116" i="12"/>
  <c r="AF116" i="12"/>
  <c r="Z116" i="12"/>
  <c r="AG115" i="12"/>
  <c r="AF115" i="12"/>
  <c r="Z115" i="12"/>
  <c r="AG114" i="12"/>
  <c r="AF114" i="12"/>
  <c r="Z114" i="12"/>
  <c r="AG113" i="12"/>
  <c r="AF113" i="12"/>
  <c r="Z113" i="12"/>
  <c r="AG112" i="12"/>
  <c r="AF112" i="12"/>
  <c r="Z112" i="12"/>
  <c r="AG111" i="12"/>
  <c r="AF111" i="12"/>
  <c r="Z111" i="12"/>
  <c r="AG110" i="12"/>
  <c r="AF110" i="12"/>
  <c r="Z110" i="12"/>
  <c r="AG109" i="12"/>
  <c r="AF109" i="12"/>
  <c r="Z109" i="12"/>
  <c r="AG108" i="12"/>
  <c r="AF108" i="12"/>
  <c r="Z108" i="12"/>
  <c r="AG107" i="12"/>
  <c r="AF107" i="12"/>
  <c r="Z107" i="12"/>
  <c r="AG106" i="12"/>
  <c r="AF106" i="12"/>
  <c r="Z106" i="12"/>
  <c r="AG105" i="12"/>
  <c r="AF105" i="12"/>
  <c r="Z105" i="12"/>
  <c r="AG104" i="12"/>
  <c r="AF104" i="12"/>
  <c r="Z104" i="12"/>
  <c r="AG103" i="12"/>
  <c r="AF103" i="12"/>
  <c r="Z103" i="12"/>
  <c r="AG102" i="12"/>
  <c r="AF102" i="12"/>
  <c r="Z102" i="12"/>
  <c r="AG101" i="12"/>
  <c r="AF101" i="12"/>
  <c r="Z101" i="12"/>
  <c r="AG100" i="12"/>
  <c r="AF100" i="12"/>
  <c r="Z100" i="12"/>
  <c r="AG99" i="12"/>
  <c r="AF99" i="12"/>
  <c r="Z99" i="12"/>
  <c r="AG98" i="12"/>
  <c r="AF98" i="12"/>
  <c r="Z98" i="12"/>
  <c r="AG97" i="12"/>
  <c r="AF97" i="12"/>
  <c r="Z97" i="12"/>
  <c r="AG96" i="12"/>
  <c r="AF96" i="12"/>
  <c r="Z96" i="12"/>
  <c r="AG95" i="12"/>
  <c r="AF95" i="12"/>
  <c r="Z95" i="12"/>
  <c r="AG94" i="12"/>
  <c r="AF94" i="12"/>
  <c r="Z94" i="12"/>
  <c r="AG93" i="12"/>
  <c r="AF93" i="12"/>
  <c r="Z93" i="12"/>
  <c r="AG92" i="12"/>
  <c r="AF92" i="12"/>
  <c r="Z92" i="12"/>
  <c r="AG91" i="12"/>
  <c r="AF91" i="12"/>
  <c r="Z91" i="12"/>
  <c r="AG90" i="12"/>
  <c r="AF90" i="12"/>
  <c r="Z90" i="12"/>
  <c r="AG89" i="12"/>
  <c r="AF89" i="12"/>
  <c r="Z89" i="12"/>
  <c r="AG88" i="12"/>
  <c r="AF88" i="12"/>
  <c r="Z88" i="12"/>
  <c r="AG87" i="12"/>
  <c r="AF87" i="12"/>
  <c r="Z87" i="12"/>
  <c r="AG86" i="12"/>
  <c r="AF86" i="12"/>
  <c r="Z86" i="12"/>
  <c r="AG85" i="12"/>
  <c r="AF85" i="12"/>
  <c r="Z85" i="12"/>
  <c r="AG84" i="12"/>
  <c r="AF84" i="12"/>
  <c r="Z84" i="12"/>
  <c r="AG83" i="12"/>
  <c r="AF83" i="12"/>
  <c r="Z83" i="12"/>
  <c r="AG82" i="12"/>
  <c r="AF82" i="12"/>
  <c r="Z82" i="12"/>
  <c r="AG81" i="12"/>
  <c r="AF81" i="12"/>
  <c r="Z81" i="12"/>
  <c r="AG80" i="12"/>
  <c r="AF80" i="12"/>
  <c r="Z80" i="12"/>
  <c r="AG79" i="12"/>
  <c r="AF79" i="12"/>
  <c r="Z79" i="12"/>
  <c r="AG78" i="12"/>
  <c r="AF78" i="12"/>
  <c r="Z78" i="12"/>
  <c r="AG77" i="12"/>
  <c r="AF77" i="12"/>
  <c r="Z77" i="12"/>
  <c r="AG76" i="12"/>
  <c r="AF76" i="12"/>
  <c r="Z76" i="12"/>
  <c r="AG75" i="12"/>
  <c r="AF75" i="12"/>
  <c r="Z75" i="12"/>
  <c r="AG74" i="12"/>
  <c r="AF74" i="12"/>
  <c r="Z74" i="12"/>
  <c r="AG73" i="12"/>
  <c r="AF73" i="12"/>
  <c r="Z73" i="12"/>
  <c r="AG72" i="12"/>
  <c r="AF72" i="12"/>
  <c r="Z72" i="12"/>
  <c r="AG71" i="12"/>
  <c r="AF71" i="12"/>
  <c r="Z71" i="12"/>
  <c r="AG70" i="12"/>
  <c r="AF70" i="12"/>
  <c r="Z70" i="12"/>
  <c r="AG69" i="12"/>
  <c r="AF69" i="12"/>
  <c r="Z69" i="12"/>
  <c r="AG68" i="12"/>
  <c r="AF68" i="12"/>
  <c r="Z68" i="12"/>
  <c r="AG67" i="12"/>
  <c r="AF67" i="12"/>
  <c r="Z67" i="12"/>
  <c r="AG66" i="12"/>
  <c r="AF66" i="12"/>
  <c r="Z66" i="12"/>
  <c r="AG65" i="12"/>
  <c r="AF65" i="12"/>
  <c r="Z65" i="12"/>
  <c r="AG64" i="12"/>
  <c r="AF64" i="12"/>
  <c r="Z64" i="12"/>
  <c r="AG63" i="12"/>
  <c r="AF63" i="12"/>
  <c r="Z63" i="12"/>
  <c r="AG62" i="12"/>
  <c r="AF62" i="12"/>
  <c r="Z62" i="12"/>
  <c r="AG61" i="12"/>
  <c r="AF61" i="12"/>
  <c r="Z61" i="12"/>
  <c r="AG60" i="12"/>
  <c r="AF60" i="12"/>
  <c r="Z60" i="12"/>
  <c r="AG59" i="12"/>
  <c r="AF59" i="12"/>
  <c r="Z59" i="12"/>
  <c r="AG58" i="12"/>
  <c r="AF58" i="12"/>
  <c r="Z58" i="12"/>
  <c r="AG57" i="12"/>
  <c r="AF57" i="12"/>
  <c r="Z57" i="12"/>
  <c r="AG56" i="12"/>
  <c r="AF56" i="12"/>
  <c r="Z56" i="12"/>
  <c r="AG55" i="12"/>
  <c r="AF55" i="12"/>
  <c r="Z55" i="12"/>
  <c r="AG54" i="12"/>
  <c r="AF54" i="12"/>
  <c r="Z54" i="12"/>
  <c r="AG53" i="12"/>
  <c r="AF53" i="12"/>
  <c r="Z53" i="12"/>
  <c r="AG52" i="12"/>
  <c r="AF52" i="12"/>
  <c r="Z52" i="12"/>
  <c r="AG51" i="12"/>
  <c r="AF51" i="12"/>
  <c r="Z51" i="12"/>
  <c r="AG50" i="12"/>
  <c r="AF50" i="12"/>
  <c r="Z50" i="12"/>
  <c r="AG49" i="12"/>
  <c r="AF49" i="12"/>
  <c r="Z49" i="12"/>
  <c r="AG48" i="12"/>
  <c r="AF48" i="12"/>
  <c r="Z48" i="12"/>
  <c r="AG47" i="12"/>
  <c r="AF47" i="12"/>
  <c r="Z47" i="12"/>
  <c r="AG46" i="12"/>
  <c r="AF46" i="12"/>
  <c r="Z46" i="12"/>
  <c r="AG45" i="12"/>
  <c r="AF45" i="12"/>
  <c r="Z45" i="12"/>
  <c r="AG44" i="12"/>
  <c r="AF44" i="12"/>
  <c r="Z44" i="12"/>
  <c r="AG43" i="12"/>
  <c r="AF43" i="12"/>
  <c r="Z43" i="12"/>
  <c r="AG42" i="12"/>
  <c r="AF42" i="12"/>
  <c r="Z42" i="12"/>
  <c r="AG41" i="12"/>
  <c r="AF41" i="12"/>
  <c r="Z41" i="12"/>
  <c r="AG40" i="12"/>
  <c r="AF40" i="12"/>
  <c r="Z40" i="12"/>
  <c r="AG39" i="12"/>
  <c r="AF39" i="12"/>
  <c r="Z39" i="12"/>
  <c r="AG38" i="12"/>
  <c r="AF38" i="12"/>
  <c r="Z38" i="12"/>
  <c r="AG37" i="12"/>
  <c r="AF37" i="12"/>
  <c r="Z37" i="12"/>
  <c r="AG36" i="12"/>
  <c r="AF36" i="12"/>
  <c r="Z36" i="12"/>
  <c r="AG35" i="12"/>
  <c r="AF35" i="12"/>
  <c r="Z35" i="12"/>
  <c r="AG34" i="12"/>
  <c r="AF34" i="12"/>
  <c r="Z34" i="12"/>
  <c r="AG33" i="12"/>
  <c r="AF33" i="12"/>
  <c r="Z33" i="12"/>
  <c r="AG32" i="12"/>
  <c r="AF32" i="12"/>
  <c r="Z32" i="12"/>
  <c r="AG31" i="12"/>
  <c r="AF31" i="12"/>
  <c r="Z31" i="12"/>
  <c r="AG30" i="12"/>
  <c r="AF30" i="12"/>
  <c r="Z30" i="12"/>
  <c r="AG29" i="12"/>
  <c r="AF29" i="12"/>
  <c r="Z29" i="12"/>
  <c r="AG28" i="12"/>
  <c r="AF28" i="12"/>
  <c r="Z28" i="12"/>
  <c r="AG27" i="12"/>
  <c r="AF27" i="12"/>
  <c r="Z27" i="12"/>
  <c r="AG26" i="12"/>
  <c r="AF26" i="12"/>
  <c r="Z26" i="12"/>
  <c r="AG25" i="12"/>
  <c r="AF25" i="12"/>
  <c r="Z25" i="12"/>
  <c r="AG24" i="12"/>
  <c r="AF24" i="12"/>
  <c r="Z24" i="12"/>
  <c r="AG23" i="12"/>
  <c r="AF23" i="12"/>
  <c r="Z23" i="12"/>
  <c r="AG22" i="12"/>
  <c r="AF22" i="12"/>
  <c r="Z22" i="12"/>
  <c r="AG21" i="12"/>
  <c r="AF21" i="12"/>
  <c r="Z21" i="12"/>
  <c r="AG20" i="12"/>
  <c r="AF20" i="12"/>
  <c r="Z20" i="12"/>
  <c r="AG19" i="12"/>
  <c r="AF19" i="12"/>
  <c r="Z19" i="12"/>
  <c r="AG18" i="12"/>
  <c r="AF18" i="12"/>
  <c r="Z18" i="12"/>
  <c r="AG17" i="12"/>
  <c r="AF17" i="12"/>
  <c r="Z17" i="12"/>
  <c r="AG16" i="12"/>
  <c r="AF16" i="12"/>
  <c r="Z16" i="12"/>
  <c r="AG15" i="12"/>
  <c r="AF15" i="12"/>
  <c r="Z15" i="12"/>
  <c r="AG14" i="12"/>
  <c r="AF14" i="12"/>
  <c r="Z14" i="12"/>
  <c r="AG13" i="12"/>
  <c r="AF13" i="12"/>
  <c r="Z13" i="12"/>
  <c r="AG12" i="12"/>
  <c r="AF12" i="12"/>
  <c r="Z12" i="12"/>
  <c r="AG11" i="12"/>
  <c r="AF11" i="12"/>
  <c r="Z11" i="12"/>
  <c r="AG10" i="12"/>
  <c r="AF10" i="12"/>
  <c r="Z10" i="12"/>
  <c r="AG9" i="12"/>
  <c r="AF9" i="12"/>
  <c r="Z9" i="12"/>
  <c r="AG8" i="12"/>
  <c r="AF8" i="12"/>
  <c r="Z8" i="12"/>
  <c r="AG7" i="12"/>
  <c r="AF7" i="12"/>
  <c r="Z7" i="12"/>
  <c r="AG6" i="12"/>
  <c r="AF6" i="12"/>
  <c r="Z6" i="12"/>
  <c r="AG5" i="12"/>
  <c r="AF5" i="12"/>
  <c r="Z5" i="12"/>
  <c r="AG4" i="12"/>
  <c r="AF4" i="12"/>
  <c r="Z4" i="12"/>
  <c r="AG3" i="12"/>
  <c r="AF3" i="12"/>
  <c r="Z3" i="12"/>
  <c r="AG2" i="12"/>
  <c r="AF2" i="12"/>
  <c r="Z2" i="12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AE109" i="3"/>
  <c r="AA109" i="3"/>
  <c r="Z109" i="3"/>
  <c r="AE108" i="3"/>
  <c r="AA108" i="3"/>
  <c r="Z108" i="3"/>
  <c r="AE107" i="3"/>
  <c r="AA107" i="3"/>
  <c r="Z107" i="3"/>
  <c r="AE106" i="3"/>
  <c r="AA106" i="3"/>
  <c r="Z106" i="3"/>
  <c r="AE105" i="3"/>
  <c r="AA105" i="3"/>
  <c r="Z105" i="3"/>
  <c r="AE104" i="3"/>
  <c r="AA104" i="3"/>
  <c r="Z104" i="3"/>
  <c r="AE103" i="3"/>
  <c r="AA103" i="3"/>
  <c r="Z103" i="3"/>
  <c r="AE102" i="3"/>
  <c r="AA102" i="3"/>
  <c r="Z102" i="3"/>
  <c r="AE101" i="3"/>
  <c r="AA101" i="3"/>
  <c r="Z101" i="3"/>
  <c r="AE100" i="3"/>
  <c r="AA100" i="3"/>
  <c r="Z100" i="3"/>
  <c r="AE99" i="3"/>
  <c r="AA99" i="3"/>
  <c r="Z99" i="3"/>
  <c r="AE98" i="3"/>
  <c r="AA98" i="3"/>
  <c r="Z98" i="3"/>
  <c r="AE97" i="3"/>
  <c r="AA97" i="3"/>
  <c r="Z97" i="3"/>
  <c r="AE96" i="3"/>
  <c r="AA96" i="3"/>
  <c r="Z96" i="3"/>
  <c r="AE95" i="3"/>
  <c r="AA95" i="3"/>
  <c r="Z95" i="3"/>
  <c r="AE94" i="3"/>
  <c r="AA94" i="3"/>
  <c r="Z94" i="3"/>
  <c r="AE93" i="3"/>
  <c r="AA93" i="3"/>
  <c r="Z93" i="3"/>
  <c r="AE92" i="3"/>
  <c r="AA92" i="3"/>
  <c r="Z92" i="3"/>
  <c r="AE91" i="3"/>
  <c r="AA91" i="3"/>
  <c r="Z91" i="3"/>
  <c r="AE90" i="3"/>
  <c r="AA90" i="3"/>
  <c r="Z90" i="3"/>
  <c r="AE89" i="3"/>
  <c r="AA89" i="3"/>
  <c r="Z89" i="3"/>
  <c r="AE88" i="3"/>
  <c r="AA88" i="3"/>
  <c r="Z88" i="3"/>
  <c r="AE87" i="3"/>
  <c r="AA87" i="3"/>
  <c r="Z87" i="3"/>
  <c r="AE86" i="3"/>
  <c r="AA86" i="3"/>
  <c r="Z86" i="3"/>
  <c r="AE85" i="3"/>
  <c r="AA85" i="3"/>
  <c r="Z85" i="3"/>
  <c r="AE84" i="3"/>
  <c r="AA84" i="3"/>
  <c r="Z84" i="3"/>
  <c r="AE83" i="3"/>
  <c r="AA83" i="3"/>
  <c r="Z83" i="3"/>
  <c r="AE82" i="3"/>
  <c r="AA82" i="3"/>
  <c r="Z82" i="3"/>
  <c r="AE81" i="3"/>
  <c r="AA81" i="3"/>
  <c r="Z81" i="3"/>
  <c r="AE80" i="3"/>
  <c r="AA80" i="3"/>
  <c r="Z80" i="3"/>
  <c r="AE79" i="3"/>
  <c r="AA79" i="3"/>
  <c r="Z79" i="3"/>
  <c r="AE78" i="3"/>
  <c r="AA78" i="3"/>
  <c r="Z78" i="3"/>
  <c r="AE77" i="3"/>
  <c r="AA77" i="3"/>
  <c r="Z77" i="3"/>
  <c r="AE76" i="3"/>
  <c r="AA76" i="3"/>
  <c r="Z76" i="3"/>
  <c r="AE75" i="3"/>
  <c r="AA75" i="3"/>
  <c r="Z75" i="3"/>
  <c r="AE74" i="3"/>
  <c r="AA74" i="3"/>
  <c r="Z74" i="3"/>
  <c r="AE73" i="3"/>
  <c r="AA73" i="3"/>
  <c r="Z73" i="3"/>
  <c r="AE72" i="3"/>
  <c r="AA72" i="3"/>
  <c r="Z72" i="3"/>
  <c r="AE71" i="3"/>
  <c r="AA71" i="3"/>
  <c r="Z71" i="3"/>
  <c r="AE70" i="3"/>
  <c r="AA70" i="3"/>
  <c r="Z70" i="3"/>
  <c r="AE69" i="3"/>
  <c r="AA69" i="3"/>
  <c r="Z69" i="3"/>
  <c r="AE68" i="3"/>
  <c r="AA68" i="3"/>
  <c r="Z68" i="3"/>
  <c r="AE67" i="3"/>
  <c r="AA67" i="3"/>
  <c r="Z67" i="3"/>
  <c r="AE66" i="3"/>
  <c r="AA66" i="3"/>
  <c r="Z66" i="3"/>
  <c r="AE65" i="3"/>
  <c r="AA65" i="3"/>
  <c r="Z65" i="3"/>
  <c r="AE64" i="3"/>
  <c r="AA64" i="3"/>
  <c r="Z64" i="3"/>
  <c r="AE63" i="3"/>
  <c r="AA63" i="3"/>
  <c r="Z63" i="3"/>
  <c r="AE62" i="3"/>
  <c r="AA62" i="3"/>
  <c r="Z62" i="3"/>
  <c r="AE61" i="3"/>
  <c r="AA61" i="3"/>
  <c r="Z61" i="3"/>
  <c r="AE60" i="3"/>
  <c r="AA60" i="3"/>
  <c r="Z60" i="3"/>
  <c r="AE59" i="3"/>
  <c r="AA59" i="3"/>
  <c r="Z59" i="3"/>
  <c r="AE58" i="3"/>
  <c r="AA58" i="3"/>
  <c r="Z58" i="3"/>
  <c r="AE57" i="3"/>
  <c r="AA57" i="3"/>
  <c r="Z57" i="3"/>
  <c r="AE56" i="3"/>
  <c r="AA56" i="3"/>
  <c r="Z56" i="3"/>
  <c r="AE55" i="3"/>
  <c r="AA55" i="3"/>
  <c r="Z55" i="3"/>
  <c r="AE54" i="3"/>
  <c r="AA54" i="3"/>
  <c r="Z54" i="3"/>
  <c r="AE53" i="3"/>
  <c r="AA53" i="3"/>
  <c r="Z53" i="3"/>
  <c r="AE52" i="3"/>
  <c r="AA52" i="3"/>
  <c r="Z52" i="3"/>
  <c r="AE51" i="3"/>
  <c r="AA51" i="3"/>
  <c r="Z51" i="3"/>
  <c r="AE50" i="3"/>
  <c r="AA50" i="3"/>
  <c r="Z50" i="3"/>
  <c r="AE49" i="3"/>
  <c r="AA49" i="3"/>
  <c r="Z49" i="3"/>
  <c r="AE48" i="3"/>
  <c r="AA48" i="3"/>
  <c r="Z48" i="3"/>
  <c r="AE47" i="3"/>
  <c r="AA47" i="3"/>
  <c r="Z47" i="3"/>
  <c r="AE46" i="3"/>
  <c r="AA46" i="3"/>
  <c r="Z46" i="3"/>
  <c r="AE45" i="3"/>
  <c r="AA45" i="3"/>
  <c r="Z45" i="3"/>
  <c r="AE44" i="3"/>
  <c r="AA44" i="3"/>
  <c r="Z44" i="3"/>
  <c r="C44" i="3"/>
  <c r="AE43" i="3"/>
  <c r="AA43" i="3"/>
  <c r="Z43" i="3"/>
  <c r="C43" i="3"/>
  <c r="AE42" i="3"/>
  <c r="AA42" i="3"/>
  <c r="Z42" i="3"/>
  <c r="C42" i="3"/>
  <c r="AE41" i="3"/>
  <c r="AA41" i="3"/>
  <c r="Z41" i="3"/>
  <c r="AE40" i="3"/>
  <c r="AA40" i="3"/>
  <c r="Z40" i="3"/>
  <c r="AE39" i="3"/>
  <c r="AA39" i="3"/>
  <c r="Z39" i="3"/>
  <c r="AE38" i="3"/>
  <c r="AA38" i="3"/>
  <c r="Z38" i="3"/>
  <c r="AE37" i="3"/>
  <c r="AA37" i="3"/>
  <c r="Z37" i="3"/>
  <c r="AE36" i="3"/>
  <c r="AA36" i="3"/>
  <c r="Z36" i="3"/>
  <c r="AE35" i="3"/>
  <c r="AA35" i="3"/>
  <c r="Z35" i="3"/>
  <c r="AE34" i="3"/>
  <c r="AA34" i="3"/>
  <c r="Z34" i="3"/>
  <c r="AE33" i="3"/>
  <c r="AA33" i="3"/>
  <c r="Z33" i="3"/>
  <c r="AE32" i="3"/>
  <c r="AA32" i="3"/>
  <c r="Z32" i="3"/>
  <c r="AE31" i="3"/>
  <c r="AA31" i="3"/>
  <c r="Z31" i="3"/>
  <c r="AE30" i="3"/>
  <c r="AA30" i="3"/>
  <c r="Z30" i="3"/>
  <c r="AE29" i="3"/>
  <c r="AA29" i="3"/>
  <c r="Z29" i="3"/>
  <c r="AE28" i="3"/>
  <c r="AA28" i="3"/>
  <c r="Z28" i="3"/>
  <c r="AE27" i="3"/>
  <c r="AA27" i="3"/>
  <c r="Z27" i="3"/>
  <c r="AE26" i="3"/>
  <c r="AA26" i="3"/>
  <c r="Z26" i="3"/>
  <c r="AE25" i="3"/>
  <c r="AA25" i="3"/>
  <c r="Z25" i="3"/>
  <c r="AE24" i="3"/>
  <c r="AA24" i="3"/>
  <c r="Z24" i="3"/>
  <c r="AE23" i="3"/>
  <c r="AA23" i="3"/>
  <c r="Z23" i="3"/>
  <c r="AE22" i="3"/>
  <c r="AA22" i="3"/>
  <c r="Z22" i="3"/>
  <c r="AE21" i="3"/>
  <c r="AA21" i="3"/>
  <c r="Z21" i="3"/>
  <c r="AE20" i="3"/>
  <c r="AA20" i="3"/>
  <c r="Z20" i="3"/>
  <c r="AE19" i="3"/>
  <c r="AA19" i="3"/>
  <c r="Z19" i="3"/>
  <c r="AE18" i="3"/>
  <c r="AA18" i="3"/>
  <c r="Z18" i="3"/>
  <c r="AE17" i="3"/>
  <c r="AA17" i="3"/>
  <c r="Z17" i="3"/>
  <c r="AE16" i="3"/>
  <c r="AA16" i="3"/>
  <c r="Z16" i="3"/>
  <c r="AE15" i="3"/>
  <c r="AA15" i="3"/>
  <c r="Z15" i="3"/>
  <c r="AE14" i="3"/>
  <c r="AA14" i="3"/>
  <c r="Z14" i="3"/>
  <c r="AE13" i="3"/>
  <c r="AA13" i="3"/>
  <c r="Z13" i="3"/>
  <c r="AE12" i="3"/>
  <c r="AA12" i="3"/>
  <c r="Z12" i="3"/>
  <c r="AE11" i="3"/>
  <c r="AA11" i="3"/>
  <c r="Z11" i="3"/>
  <c r="AE10" i="3"/>
  <c r="AA10" i="3"/>
  <c r="Z10" i="3"/>
  <c r="AE9" i="3"/>
  <c r="AA9" i="3"/>
  <c r="Z9" i="3"/>
  <c r="AE8" i="3"/>
  <c r="AA8" i="3"/>
  <c r="Z8" i="3"/>
  <c r="AE7" i="3"/>
  <c r="AA7" i="3"/>
  <c r="Z7" i="3"/>
  <c r="AE6" i="3"/>
  <c r="AA6" i="3"/>
  <c r="Z6" i="3"/>
  <c r="E3" i="3"/>
  <c r="AF7" i="3" a="1"/>
  <c r="B9" i="3" a="1"/>
  <c r="AF19" i="3" a="1"/>
  <c r="AF27" i="3" a="1"/>
  <c r="AF35" i="3" a="1"/>
  <c r="AF43" i="3" a="1"/>
  <c r="AF51" i="3" a="1"/>
  <c r="AF59" i="3" a="1"/>
  <c r="AF67" i="3" a="1"/>
  <c r="AF75" i="3" a="1"/>
  <c r="AF83" i="3" a="1"/>
  <c r="AF91" i="3" a="1"/>
  <c r="AF99" i="3" a="1"/>
  <c r="AF107" i="3" a="1"/>
  <c r="AF86" i="3" a="1"/>
  <c r="AF98" i="3" a="1"/>
  <c r="AF72" i="3" a="1"/>
  <c r="AF18" i="3" a="1"/>
  <c r="AF26" i="3" a="1"/>
  <c r="AF34" i="3" a="1"/>
  <c r="AF42" i="3" a="1"/>
  <c r="AF50" i="3" a="1"/>
  <c r="AF58" i="3" a="1"/>
  <c r="AF66" i="3" a="1"/>
  <c r="AF76" i="3" a="1"/>
  <c r="AF94" i="3" a="1"/>
  <c r="AF13" i="3" a="1"/>
  <c r="AF15" i="3" a="1"/>
  <c r="AF31" i="3" a="1"/>
  <c r="AF47" i="3" a="1"/>
  <c r="AF63" i="3" a="1"/>
  <c r="AF79" i="3" a="1"/>
  <c r="AF95" i="3" a="1"/>
  <c r="AF78" i="3" a="1"/>
  <c r="AF104" i="3" a="1"/>
  <c r="AF22" i="3" a="1"/>
  <c r="AF38" i="3" a="1"/>
  <c r="AF54" i="3" a="1"/>
  <c r="AF70" i="3" a="1"/>
  <c r="AF108" i="3" a="1"/>
  <c r="AF11" i="3" a="1"/>
  <c r="AF25" i="3" a="1"/>
  <c r="AF41" i="3" a="1"/>
  <c r="AF57" i="3" a="1"/>
  <c r="AF73" i="3" a="1"/>
  <c r="AF89" i="3" a="1"/>
  <c r="AF105" i="3" a="1"/>
  <c r="AF96" i="3" a="1"/>
  <c r="AF16" i="3" a="1"/>
  <c r="AF32" i="3" a="1"/>
  <c r="AF48" i="3" a="1"/>
  <c r="AF64" i="3" a="1"/>
  <c r="AF88" i="3" a="1"/>
  <c r="AF8" i="3" a="1"/>
  <c r="AF10" i="3" a="1"/>
  <c r="B8" i="3" a="1"/>
  <c r="AF21" i="3" a="1"/>
  <c r="AF29" i="3" a="1"/>
  <c r="AF37" i="3" a="1"/>
  <c r="AF45" i="3" a="1"/>
  <c r="AF53" i="3" a="1"/>
  <c r="AF61" i="3" a="1"/>
  <c r="AF69" i="3" a="1"/>
  <c r="AF77" i="3" a="1"/>
  <c r="AF85" i="3" a="1"/>
  <c r="AF93" i="3" a="1"/>
  <c r="AF101" i="3" a="1"/>
  <c r="AF109" i="3" a="1"/>
  <c r="AF90" i="3" a="1"/>
  <c r="AF102" i="3" a="1"/>
  <c r="AF106" i="3" a="1"/>
  <c r="AF20" i="3" a="1"/>
  <c r="AF28" i="3" a="1"/>
  <c r="AF36" i="3" a="1"/>
  <c r="AF44" i="3" a="1"/>
  <c r="AF52" i="3" a="1"/>
  <c r="AF60" i="3" a="1"/>
  <c r="AF68" i="3" a="1"/>
  <c r="AF80" i="3" a="1"/>
  <c r="AF100" i="3" a="1"/>
  <c r="AF9" i="3" a="1"/>
  <c r="AF23" i="3" a="1"/>
  <c r="AF39" i="3" a="1"/>
  <c r="AF55" i="3" a="1"/>
  <c r="AF71" i="3" a="1"/>
  <c r="AF87" i="3" a="1"/>
  <c r="AF103" i="3" a="1"/>
  <c r="AF92" i="3" a="1"/>
  <c r="AF14" i="3" a="1"/>
  <c r="AF30" i="3" a="1"/>
  <c r="AF46" i="3" a="1"/>
  <c r="AF62" i="3" a="1"/>
  <c r="AF84" i="3" a="1"/>
  <c r="AF12" i="3" a="1"/>
  <c r="AF17" i="3" a="1"/>
  <c r="AF33" i="3" a="1"/>
  <c r="AF49" i="3" a="1"/>
  <c r="AF65" i="3" a="1"/>
  <c r="AF81" i="3" a="1"/>
  <c r="AF97" i="3" a="1"/>
  <c r="AF82" i="3" a="1"/>
  <c r="AF110" i="3" a="1"/>
  <c r="AF24" i="3" a="1"/>
  <c r="AF40" i="3" a="1"/>
  <c r="AF56" i="3" a="1"/>
  <c r="AF74" i="3" a="1"/>
  <c r="AF6" i="3" a="1"/>
  <c r="G13" i="14" a="1"/>
  <c r="G21" i="14" a="1"/>
  <c r="G31" i="14" a="1"/>
  <c r="G14" i="14" a="1"/>
  <c r="G26" i="14" a="1"/>
  <c r="G42" i="14" a="1"/>
  <c r="G10" i="14" a="1"/>
  <c r="G32" i="14" a="1"/>
  <c r="G39" i="14" a="1"/>
  <c r="W19" i="3" a="1"/>
  <c r="W27" i="3" a="1"/>
  <c r="W35" i="3" a="1"/>
  <c r="W43" i="3" a="1"/>
  <c r="W51" i="3" a="1"/>
  <c r="W59" i="3" a="1"/>
  <c r="W67" i="3" a="1"/>
  <c r="W75" i="3" a="1"/>
  <c r="W83" i="3" a="1"/>
  <c r="W91" i="3" a="1"/>
  <c r="W99" i="3" a="1"/>
  <c r="W107" i="3" a="1"/>
  <c r="W16" i="3" a="1"/>
  <c r="W24" i="3" a="1"/>
  <c r="W32" i="3" a="1"/>
  <c r="W40" i="3" a="1"/>
  <c r="W48" i="3" a="1"/>
  <c r="W56" i="3" a="1"/>
  <c r="W64" i="3" a="1"/>
  <c r="W72" i="3" a="1"/>
  <c r="W80" i="3" a="1"/>
  <c r="W88" i="3" a="1"/>
  <c r="W96" i="3" a="1"/>
  <c r="G15" i="14" a="1"/>
  <c r="G23" i="14" a="1"/>
  <c r="G35" i="14" a="1"/>
  <c r="G18" i="14" a="1"/>
  <c r="G30" i="14" a="1"/>
  <c r="G33" i="14" a="1"/>
  <c r="G16" i="14" a="1"/>
  <c r="G36" i="14" a="1"/>
  <c r="W13" i="3" a="1"/>
  <c r="W21" i="3" a="1"/>
  <c r="W29" i="3" a="1"/>
  <c r="W37" i="3" a="1"/>
  <c r="W45" i="3" a="1"/>
  <c r="W53" i="3" a="1"/>
  <c r="W61" i="3" a="1"/>
  <c r="W69" i="3" a="1"/>
  <c r="W77" i="3" a="1"/>
  <c r="W85" i="3" a="1"/>
  <c r="W93" i="3" a="1"/>
  <c r="W101" i="3" a="1"/>
  <c r="W109" i="3" a="1"/>
  <c r="W18" i="3" a="1"/>
  <c r="W26" i="3" a="1"/>
  <c r="W34" i="3" a="1"/>
  <c r="W42" i="3" a="1"/>
  <c r="W50" i="3" a="1"/>
  <c r="W58" i="3" a="1"/>
  <c r="W66" i="3" a="1"/>
  <c r="W74" i="3" a="1"/>
  <c r="W82" i="3" a="1"/>
  <c r="W90" i="3" a="1"/>
  <c r="W98" i="3" a="1"/>
  <c r="W106" i="3" a="1"/>
  <c r="G9" i="14" a="1"/>
  <c r="G17" i="14" a="1"/>
  <c r="G25" i="14" a="1"/>
  <c r="G41" i="14" a="1"/>
  <c r="G20" i="14" a="1"/>
  <c r="G34" i="14" a="1"/>
  <c r="G37" i="14" a="1"/>
  <c r="G22" i="14" a="1"/>
  <c r="G40" i="14" a="1"/>
  <c r="W15" i="3" a="1"/>
  <c r="W23" i="3" a="1"/>
  <c r="W31" i="3" a="1"/>
  <c r="W39" i="3" a="1"/>
  <c r="W47" i="3" a="1"/>
  <c r="W55" i="3" a="1"/>
  <c r="W63" i="3" a="1"/>
  <c r="W71" i="3" a="1"/>
  <c r="W79" i="3" a="1"/>
  <c r="W87" i="3" a="1"/>
  <c r="W95" i="3" a="1"/>
  <c r="W103" i="3" a="1"/>
  <c r="W12" i="3" a="1"/>
  <c r="W20" i="3" a="1"/>
  <c r="W28" i="3" a="1"/>
  <c r="W36" i="3" a="1"/>
  <c r="W44" i="3" a="1"/>
  <c r="W52" i="3" a="1"/>
  <c r="W60" i="3" a="1"/>
  <c r="W68" i="3" a="1"/>
  <c r="W76" i="3" a="1"/>
  <c r="W84" i="3" a="1"/>
  <c r="W92" i="3" a="1"/>
  <c r="W100" i="3" a="1"/>
  <c r="W108" i="3" a="1"/>
  <c r="G19" i="14" a="1"/>
  <c r="G38" i="14" a="1"/>
  <c r="W17" i="3" a="1"/>
  <c r="W49" i="3" a="1"/>
  <c r="W81" i="3" a="1"/>
  <c r="W14" i="3" a="1"/>
  <c r="W46" i="3" a="1"/>
  <c r="W78" i="3" a="1"/>
  <c r="W104" i="3" a="1"/>
  <c r="G43" i="14" a="1"/>
  <c r="W25" i="3" a="1"/>
  <c r="W57" i="3" a="1"/>
  <c r="W89" i="3" a="1"/>
  <c r="W22" i="3" a="1"/>
  <c r="W54" i="3" a="1"/>
  <c r="W86" i="3" a="1"/>
  <c r="W110" i="3" a="1"/>
  <c r="G12" i="14" a="1"/>
  <c r="W33" i="3" a="1"/>
  <c r="W97" i="3" a="1"/>
  <c r="W30" i="3" a="1"/>
  <c r="W94" i="3" a="1"/>
  <c r="G24" i="14" a="1"/>
  <c r="W41" i="3" a="1"/>
  <c r="W105" i="3" a="1"/>
  <c r="W70" i="3" a="1"/>
  <c r="G27" i="14" a="1"/>
  <c r="G28" i="14" a="1"/>
  <c r="W65" i="3" a="1"/>
  <c r="W62" i="3" a="1"/>
  <c r="G2" i="14" a="1"/>
  <c r="G11" i="14" a="1"/>
  <c r="G29" i="14" a="1"/>
  <c r="W73" i="3" a="1"/>
  <c r="W38" i="3" a="1"/>
  <c r="W102" i="3" a="1"/>
  <c r="G8" i="14" a="1"/>
  <c r="G5" i="14" a="1"/>
  <c r="G3" i="14" a="1"/>
  <c r="G7" i="14" a="1"/>
  <c r="G4" i="14" a="1"/>
  <c r="G6" i="14" a="1"/>
  <c r="W2653" i="12" a="1"/>
  <c r="X2649" i="12" a="1"/>
  <c r="X2645" i="12" a="1"/>
  <c r="X2641" i="12" a="1"/>
  <c r="X2637" i="12" a="1"/>
  <c r="X2633" i="12" a="1"/>
  <c r="X2629" i="12" a="1"/>
  <c r="X2625" i="12" a="1"/>
  <c r="X2621" i="12" a="1"/>
  <c r="X2617" i="12" a="1"/>
  <c r="X2613" i="12" a="1"/>
  <c r="W2608" i="12" a="1"/>
  <c r="U2604" i="12" a="1"/>
  <c r="X2601" i="12" a="1"/>
  <c r="U2597" i="12" a="1"/>
  <c r="V2592" i="12" a="1"/>
  <c r="V2588" i="12" a="1"/>
  <c r="U2585" i="12" a="1"/>
  <c r="U2581" i="12" a="1"/>
  <c r="V2576" i="12" a="1"/>
  <c r="V2572" i="12" a="1"/>
  <c r="V2568" i="12" a="1"/>
  <c r="W2563" i="12" a="1"/>
  <c r="U2560" i="12" a="1"/>
  <c r="U2555" i="12" a="1"/>
  <c r="W2551" i="12" a="1"/>
  <c r="W2547" i="12" a="1"/>
  <c r="W2543" i="12" a="1"/>
  <c r="W2539" i="12" a="1"/>
  <c r="W2535" i="12" a="1"/>
  <c r="U2651" i="12" a="1"/>
  <c r="U2647" i="12" a="1"/>
  <c r="U2643" i="12" a="1"/>
  <c r="U2639" i="12" a="1"/>
  <c r="U2635" i="12" a="1"/>
  <c r="U2631" i="12" a="1"/>
  <c r="U2627" i="12" a="1"/>
  <c r="U2623" i="12" a="1"/>
  <c r="U2619" i="12" a="1"/>
  <c r="U2615" i="12" a="1"/>
  <c r="U2611" i="12" a="1"/>
  <c r="V2607" i="12" a="1"/>
  <c r="W2602" i="12" a="1"/>
  <c r="U2598" i="12" a="1"/>
  <c r="V2594" i="12" a="1"/>
  <c r="W2590" i="12" a="1"/>
  <c r="U2587" i="12" a="1"/>
  <c r="U2582" i="12" a="1"/>
  <c r="V2578" i="12" a="1"/>
  <c r="W2574" i="12" a="1"/>
  <c r="W2570" i="12" a="1"/>
  <c r="X2652" i="12" a="1"/>
  <c r="V2649" i="12" a="1"/>
  <c r="V2645" i="12" a="1"/>
  <c r="V2641" i="12" a="1"/>
  <c r="V2637" i="12" a="1"/>
  <c r="V2633" i="12" a="1"/>
  <c r="V2629" i="12" a="1"/>
  <c r="V2625" i="12" a="1"/>
  <c r="V2621" i="12" a="1"/>
  <c r="V2617" i="12" a="1"/>
  <c r="V2613" i="12" a="1"/>
  <c r="U2610" i="12" a="1"/>
  <c r="V2606" i="12" a="1"/>
  <c r="U2608" i="12" a="1"/>
  <c r="U2596" i="12" a="1"/>
  <c r="V2586" i="12" a="1"/>
  <c r="U2579" i="12" a="1"/>
  <c r="W2572" i="12" a="1"/>
  <c r="W2565" i="12" a="1"/>
  <c r="W2558" i="12" a="1"/>
  <c r="W2554" i="12" a="1"/>
  <c r="X2548" i="12" a="1"/>
  <c r="X2545" i="12" a="1"/>
  <c r="X2541" i="12" a="1"/>
  <c r="X2537" i="12" a="1"/>
  <c r="X2533" i="12" a="1"/>
  <c r="X2529" i="12" a="1"/>
  <c r="X2525" i="12" a="1"/>
  <c r="X2521" i="12" a="1"/>
  <c r="X2517" i="12" a="1"/>
  <c r="X2513" i="12" a="1"/>
  <c r="X2509" i="12" a="1"/>
  <c r="X2505" i="12" a="1"/>
  <c r="X2501" i="12" a="1"/>
  <c r="X2497" i="12" a="1"/>
  <c r="X2493" i="12" a="1"/>
  <c r="X2489" i="12" a="1"/>
  <c r="X2485" i="12" a="1"/>
  <c r="X2481" i="12" a="1"/>
  <c r="X2477" i="12" a="1"/>
  <c r="X2473" i="12" a="1"/>
  <c r="X2469" i="12" a="1"/>
  <c r="X2465" i="12" a="1"/>
  <c r="V2601" i="12" a="1"/>
  <c r="U2593" i="12" a="1"/>
  <c r="V2585" i="12" a="1"/>
  <c r="U2578" i="12" a="1"/>
  <c r="V2571" i="12" a="1"/>
  <c r="V2565" i="12" a="1"/>
  <c r="X2561" i="12" a="1"/>
  <c r="W2556" i="12" a="1"/>
  <c r="X2549" i="12" a="1"/>
  <c r="W2541" i="12" a="1"/>
  <c r="W2533" i="12" a="1"/>
  <c r="W2529" i="12" a="1"/>
  <c r="W2525" i="12" a="1"/>
  <c r="X2600" i="12" a="1"/>
  <c r="X2594" i="12" a="1"/>
  <c r="U2584" i="12" a="1"/>
  <c r="U2574" i="12" a="1"/>
  <c r="W2567" i="12" a="1"/>
  <c r="V2563" i="12" a="1"/>
  <c r="X2557" i="12" a="1"/>
  <c r="X2553" i="12" a="1"/>
  <c r="V2548" i="12" a="1"/>
  <c r="W2544" i="12" a="1"/>
  <c r="W2540" i="12" a="1"/>
  <c r="W2536" i="12" a="1"/>
  <c r="U2532" i="12" a="1"/>
  <c r="U2528" i="12" a="1"/>
  <c r="U2524" i="12" a="1"/>
  <c r="U2520" i="12" a="1"/>
  <c r="U2516" i="12" a="1"/>
  <c r="U2512" i="12" a="1"/>
  <c r="U2508" i="12" a="1"/>
  <c r="U2504" i="12" a="1"/>
  <c r="W2652" i="12" a="1"/>
  <c r="W2648" i="12" a="1"/>
  <c r="W2644" i="12" a="1"/>
  <c r="W2640" i="12" a="1"/>
  <c r="W2636" i="12" a="1"/>
  <c r="W2632" i="12" a="1"/>
  <c r="W2628" i="12" a="1"/>
  <c r="W2624" i="12" a="1"/>
  <c r="W2620" i="12" a="1"/>
  <c r="W2616" i="12" a="1"/>
  <c r="W2612" i="12" a="1"/>
  <c r="W2607" i="12" a="1"/>
  <c r="X2603" i="12" a="1"/>
  <c r="W2600" i="12" a="1"/>
  <c r="X2596" i="12" a="1"/>
  <c r="U2591" i="12" a="1"/>
  <c r="V2587" i="12" a="1"/>
  <c r="X2584" i="12" a="1"/>
  <c r="X2580" i="12" a="1"/>
  <c r="U2575" i="12" a="1"/>
  <c r="U2571" i="12" a="1"/>
  <c r="V2567" i="12" a="1"/>
  <c r="V2562" i="12" a="1"/>
  <c r="X2559" i="12" a="1"/>
  <c r="X2554" i="12" a="1"/>
  <c r="V2550" i="12" a="1"/>
  <c r="V2546" i="12" a="1"/>
  <c r="V2542" i="12" a="1"/>
  <c r="V2538" i="12" a="1"/>
  <c r="V2534" i="12" a="1"/>
  <c r="X2650" i="12" a="1"/>
  <c r="X2646" i="12" a="1"/>
  <c r="X2642" i="12" a="1"/>
  <c r="X2638" i="12" a="1"/>
  <c r="X2634" i="12" a="1"/>
  <c r="X2630" i="12" a="1"/>
  <c r="X2626" i="12" a="1"/>
  <c r="X2622" i="12" a="1"/>
  <c r="X2618" i="12" a="1"/>
  <c r="X2614" i="12" a="1"/>
  <c r="V2610" i="12" a="1"/>
  <c r="W2605" i="12" a="1"/>
  <c r="W2601" i="12" a="1"/>
  <c r="X2597" i="12" a="1"/>
  <c r="V2593" i="12" a="1"/>
  <c r="V2589" i="12" a="1"/>
  <c r="X2586" i="12" a="1"/>
  <c r="X2581" i="12" a="1"/>
  <c r="V2577" i="12" a="1"/>
  <c r="V2573" i="12" a="1"/>
  <c r="V2569" i="12" a="1"/>
  <c r="U2652" i="12" a="1"/>
  <c r="U2648" i="12" a="1"/>
  <c r="U2644" i="12" a="1"/>
  <c r="U2640" i="12" a="1"/>
  <c r="U2636" i="12" a="1"/>
  <c r="U2632" i="12" a="1"/>
  <c r="U2628" i="12" a="1"/>
  <c r="U2624" i="12" a="1"/>
  <c r="U2620" i="12" a="1"/>
  <c r="U2616" i="12" a="1"/>
  <c r="U2612" i="12" a="1"/>
  <c r="U2609" i="12" a="1"/>
  <c r="V2605" i="12" a="1"/>
  <c r="X2607" i="12" a="1"/>
  <c r="X2595" i="12" a="1"/>
  <c r="W2585" i="12" a="1"/>
  <c r="X2578" i="12" a="1"/>
  <c r="W2571" i="12" a="1"/>
  <c r="V2564" i="12" a="1"/>
  <c r="U2557" i="12" a="1"/>
  <c r="U2553" i="12" a="1"/>
  <c r="U2548" i="12" a="1"/>
  <c r="U2544" i="12" a="1"/>
  <c r="U2540" i="12" a="1"/>
  <c r="U2536" i="12" a="1"/>
  <c r="W2532" i="12" a="1"/>
  <c r="W2528" i="12" a="1"/>
  <c r="W2524" i="12" a="1"/>
  <c r="W2520" i="12" a="1"/>
  <c r="W2516" i="12" a="1"/>
  <c r="W2512" i="12" a="1"/>
  <c r="W2508" i="12" a="1"/>
  <c r="W2504" i="12" a="1"/>
  <c r="W2500" i="12" a="1"/>
  <c r="W2496" i="12" a="1"/>
  <c r="W2492" i="12" a="1"/>
  <c r="W2488" i="12" a="1"/>
  <c r="W2484" i="12" a="1"/>
  <c r="W2480" i="12" a="1"/>
  <c r="W2476" i="12" a="1"/>
  <c r="W2472" i="12" a="1"/>
  <c r="W2468" i="12" a="1"/>
  <c r="W2464" i="12" a="1"/>
  <c r="U2599" i="12" a="1"/>
  <c r="X2592" i="12" a="1"/>
  <c r="V2584" i="12" a="1"/>
  <c r="X2577" i="12" a="1"/>
  <c r="V2570" i="12" a="1"/>
  <c r="U2564" i="12" a="1"/>
  <c r="V2560" i="12" a="1"/>
  <c r="V2554" i="12" a="1"/>
  <c r="V2547" i="12" a="1"/>
  <c r="V2539" i="12" a="1"/>
  <c r="V2532" i="12" a="1"/>
  <c r="V2528" i="12" a="1"/>
  <c r="U2605" i="12" a="1"/>
  <c r="W2598" i="12" a="1"/>
  <c r="W2592" i="12" a="1"/>
  <c r="X2583" i="12" a="1"/>
  <c r="X2573" i="12" a="1"/>
  <c r="X2566" i="12" a="1"/>
  <c r="W2561" i="12" a="1"/>
  <c r="U2556" i="12" a="1"/>
  <c r="V2552" i="12" a="1"/>
  <c r="U2547" i="12" a="1"/>
  <c r="U2543" i="12" a="1"/>
  <c r="U2539" i="12" a="1"/>
  <c r="U2535" i="12" a="1"/>
  <c r="X2531" i="12" a="1"/>
  <c r="X2527" i="12" a="1"/>
  <c r="X2523" i="12" a="1"/>
  <c r="X2519" i="12" a="1"/>
  <c r="X2515" i="12" a="1"/>
  <c r="X2511" i="12" a="1"/>
  <c r="X2507" i="12" a="1"/>
  <c r="X2503" i="12" a="1"/>
  <c r="X2499" i="12" a="1"/>
  <c r="X2495" i="12" a="1"/>
  <c r="X2491" i="12" a="1"/>
  <c r="X2487" i="12" a="1"/>
  <c r="X2483" i="12" a="1"/>
  <c r="X2479" i="12" a="1"/>
  <c r="X2475" i="12" a="1"/>
  <c r="X2471" i="12" a="1"/>
  <c r="X2467" i="12" a="1"/>
  <c r="X2463" i="12" a="1"/>
  <c r="V2591" i="12" a="1"/>
  <c r="W2566" i="12" a="1"/>
  <c r="X2522" i="12" a="1"/>
  <c r="X2514" i="12" a="1"/>
  <c r="X2506" i="12" a="1"/>
  <c r="X2498" i="12" a="1"/>
  <c r="X2490" i="12" a="1"/>
  <c r="X2482" i="12" a="1"/>
  <c r="X2474" i="12" a="1"/>
  <c r="X2466" i="12" a="1"/>
  <c r="X2460" i="12" a="1"/>
  <c r="X2456" i="12" a="1"/>
  <c r="X2452" i="12" a="1"/>
  <c r="X2448" i="12" a="1"/>
  <c r="U2444" i="12" a="1"/>
  <c r="V2440" i="12" a="1"/>
  <c r="W2436" i="12" a="1"/>
  <c r="X2432" i="12" a="1"/>
  <c r="U2428" i="12" a="1"/>
  <c r="V2424" i="12" a="1"/>
  <c r="W2420" i="12" a="1"/>
  <c r="X2416" i="12" a="1"/>
  <c r="U2412" i="12" a="1"/>
  <c r="V2408" i="12" a="1"/>
  <c r="W2404" i="12" a="1"/>
  <c r="X2400" i="12" a="1"/>
  <c r="X2396" i="12" a="1"/>
  <c r="W2393" i="12" a="1"/>
  <c r="X2389" i="12" a="1"/>
  <c r="X2386" i="12" a="1"/>
  <c r="V2382" i="12" a="1"/>
  <c r="U2379" i="12" a="1"/>
  <c r="W2375" i="12" a="1"/>
  <c r="W2370" i="12" a="1"/>
  <c r="X2593" i="12" a="1"/>
  <c r="X2568" i="12" a="1"/>
  <c r="W2550" i="12" a="1"/>
  <c r="W2521" i="12" a="1"/>
  <c r="W2513" i="12" a="1"/>
  <c r="W2505" i="12" a="1"/>
  <c r="W2497" i="12" a="1"/>
  <c r="W2489" i="12" a="1"/>
  <c r="W2481" i="12" a="1"/>
  <c r="W2473" i="12" a="1"/>
  <c r="W2465" i="12" a="1"/>
  <c r="U2458" i="12" a="1"/>
  <c r="U2454" i="12" a="1"/>
  <c r="U2450" i="12" a="1"/>
  <c r="U2446" i="12" a="1"/>
  <c r="V2442" i="12" a="1"/>
  <c r="W2438" i="12" a="1"/>
  <c r="X2434" i="12" a="1"/>
  <c r="U2430" i="12" a="1"/>
  <c r="V2426" i="12" a="1"/>
  <c r="W2422" i="12" a="1"/>
  <c r="X2418" i="12" a="1"/>
  <c r="U2414" i="12" a="1"/>
  <c r="V2410" i="12" a="1"/>
  <c r="W2406" i="12" a="1"/>
  <c r="X2402" i="12" a="1"/>
  <c r="V2398" i="12" a="1"/>
  <c r="W2392" i="12" a="1"/>
  <c r="W2388" i="12" a="1"/>
  <c r="U2384" i="12" a="1"/>
  <c r="W2586" i="12" a="1"/>
  <c r="W2534" i="12" a="1"/>
  <c r="V2530" i="12" a="1"/>
  <c r="V2526" i="12" a="1"/>
  <c r="X2520" i="12" a="1"/>
  <c r="X2512" i="12" a="1"/>
  <c r="X2504" i="12" a="1"/>
  <c r="X2496" i="12" a="1"/>
  <c r="X2488" i="12" a="1"/>
  <c r="X2480" i="12" a="1"/>
  <c r="X2472" i="12" a="1"/>
  <c r="X2464" i="12" a="1"/>
  <c r="U2459" i="12" a="1"/>
  <c r="U2455" i="12" a="1"/>
  <c r="U2451" i="12" a="1"/>
  <c r="U2447" i="12" a="1"/>
  <c r="V2443" i="12" a="1"/>
  <c r="W2439" i="12" a="1"/>
  <c r="X2435" i="12" a="1"/>
  <c r="U2431" i="12" a="1"/>
  <c r="V2427" i="12" a="1"/>
  <c r="W2423" i="12" a="1"/>
  <c r="X2419" i="12" a="1"/>
  <c r="U2415" i="12" a="1"/>
  <c r="V2411" i="12" a="1"/>
  <c r="W2407" i="12" a="1"/>
  <c r="X2403" i="12" a="1"/>
  <c r="U2399" i="12" a="1"/>
  <c r="W2564" i="12" a="1"/>
  <c r="U2559" i="12" a="1"/>
  <c r="V2520" i="12" a="1"/>
  <c r="V2504" i="12" a="1"/>
  <c r="V2488" i="12" a="1"/>
  <c r="V2472" i="12" a="1"/>
  <c r="U2437" i="12" a="1"/>
  <c r="V2433" i="12" a="1"/>
  <c r="W2429" i="12" a="1"/>
  <c r="X2425" i="12" a="1"/>
  <c r="V2397" i="12" a="1"/>
  <c r="V2387" i="12" a="1"/>
  <c r="U2381" i="12" a="1"/>
  <c r="V2377" i="12" a="1"/>
  <c r="V2372" i="12" a="1"/>
  <c r="X2367" i="12" a="1"/>
  <c r="X2364" i="12" a="1"/>
  <c r="W2359" i="12" a="1"/>
  <c r="V2355" i="12" a="1"/>
  <c r="V2351" i="12" a="1"/>
  <c r="V2651" i="12" a="1"/>
  <c r="V2647" i="12" a="1"/>
  <c r="V2643" i="12" a="1"/>
  <c r="V2639" i="12" a="1"/>
  <c r="V2635" i="12" a="1"/>
  <c r="V2631" i="12" a="1"/>
  <c r="V2627" i="12" a="1"/>
  <c r="V2623" i="12" a="1"/>
  <c r="V2619" i="12" a="1"/>
  <c r="V2615" i="12" a="1"/>
  <c r="V2611" i="12" a="1"/>
  <c r="W2606" i="12" a="1"/>
  <c r="X2602" i="12" a="1"/>
  <c r="W2599" i="12" a="1"/>
  <c r="W2594" i="12" a="1"/>
  <c r="X2590" i="12" a="1"/>
  <c r="U2586" i="12" a="1"/>
  <c r="W2583" i="12" a="1"/>
  <c r="W2578" i="12" a="1"/>
  <c r="X2574" i="12" a="1"/>
  <c r="X2570" i="12" a="1"/>
  <c r="U2566" i="12" a="1"/>
  <c r="U2561" i="12" a="1"/>
  <c r="W2557" i="12" a="1"/>
  <c r="W2553" i="12" a="1"/>
  <c r="W2549" i="12" a="1"/>
  <c r="U2545" i="12" a="1"/>
  <c r="U2541" i="12" a="1"/>
  <c r="U2537" i="12" a="1"/>
  <c r="V2653" i="12" a="1"/>
  <c r="W2649" i="12" a="1"/>
  <c r="W2645" i="12" a="1"/>
  <c r="W2641" i="12" a="1"/>
  <c r="W2637" i="12" a="1"/>
  <c r="W2633" i="12" a="1"/>
  <c r="W2629" i="12" a="1"/>
  <c r="W2625" i="12" a="1"/>
  <c r="W2621" i="12" a="1"/>
  <c r="W2617" i="12" a="1"/>
  <c r="W2613" i="12" a="1"/>
  <c r="V2609" i="12" a="1"/>
  <c r="W2604" i="12" a="1"/>
  <c r="V2600" i="12" a="1"/>
  <c r="W2596" i="12" a="1"/>
  <c r="U2592" i="12" a="1"/>
  <c r="U2588" i="12" a="1"/>
  <c r="W2584" i="12" a="1"/>
  <c r="W2580" i="12" a="1"/>
  <c r="U2576" i="12" a="1"/>
  <c r="U2572" i="12" a="1"/>
  <c r="U2567" i="12" a="1"/>
  <c r="X2651" i="12" a="1"/>
  <c r="X2647" i="12" a="1"/>
  <c r="X2643" i="12" a="1"/>
  <c r="X2639" i="12" a="1"/>
  <c r="X2635" i="12" a="1"/>
  <c r="X2631" i="12" a="1"/>
  <c r="X2627" i="12" a="1"/>
  <c r="X2623" i="12" a="1"/>
  <c r="X2619" i="12" a="1"/>
  <c r="X2615" i="12" a="1"/>
  <c r="X2611" i="12" a="1"/>
  <c r="X2608" i="12" a="1"/>
  <c r="V2604" i="12" a="1"/>
  <c r="X2606" i="12" a="1"/>
  <c r="U2590" i="12" a="1"/>
  <c r="W2582" i="12" a="1"/>
  <c r="W2576" i="12" a="1"/>
  <c r="W2568" i="12" a="1"/>
  <c r="W2562" i="12" a="1"/>
  <c r="X2556" i="12" a="1"/>
  <c r="X2552" i="12" a="1"/>
  <c r="X2547" i="12" a="1"/>
  <c r="X2543" i="12" a="1"/>
  <c r="X2539" i="12" a="1"/>
  <c r="X2535" i="12" a="1"/>
  <c r="V2531" i="12" a="1"/>
  <c r="V2527" i="12" a="1"/>
  <c r="V2523" i="12" a="1"/>
  <c r="V2519" i="12" a="1"/>
  <c r="V2515" i="12" a="1"/>
  <c r="V2511" i="12" a="1"/>
  <c r="V2507" i="12" a="1"/>
  <c r="V2503" i="12" a="1"/>
  <c r="V2499" i="12" a="1"/>
  <c r="V2495" i="12" a="1"/>
  <c r="V2491" i="12" a="1"/>
  <c r="V2487" i="12" a="1"/>
  <c r="V2483" i="12" a="1"/>
  <c r="V2479" i="12" a="1"/>
  <c r="V2475" i="12" a="1"/>
  <c r="V2471" i="12" a="1"/>
  <c r="V2467" i="12" a="1"/>
  <c r="V2463" i="12" a="1"/>
  <c r="X2598" i="12" a="1"/>
  <c r="U2589" i="12" a="1"/>
  <c r="V2581" i="12" a="1"/>
  <c r="V2575" i="12" a="1"/>
  <c r="U2568" i="12" a="1"/>
  <c r="X2563" i="12" a="1"/>
  <c r="W2559" i="12" a="1"/>
  <c r="V2551" i="12" a="1"/>
  <c r="W2545" i="12" a="1"/>
  <c r="W2537" i="12" a="1"/>
  <c r="U2531" i="12" a="1"/>
  <c r="U2527" i="12" a="1"/>
  <c r="X2604" i="12" a="1"/>
  <c r="W2597" i="12" a="1"/>
  <c r="W2591" i="12" a="1"/>
  <c r="U2580" i="12" a="1"/>
  <c r="U2570" i="12" a="1"/>
  <c r="U2565" i="12" a="1"/>
  <c r="V2559" i="12" a="1"/>
  <c r="X2555" i="12" a="1"/>
  <c r="U2551" i="12" a="1"/>
  <c r="X2546" i="12" a="1"/>
  <c r="X2542" i="12" a="1"/>
  <c r="X2538" i="12" a="1"/>
  <c r="X2534" i="12" a="1"/>
  <c r="W2530" i="12" a="1"/>
  <c r="W2526" i="12" a="1"/>
  <c r="W2522" i="12" a="1"/>
  <c r="W2518" i="12" a="1"/>
  <c r="W2514" i="12" a="1"/>
  <c r="W2510" i="12" a="1"/>
  <c r="W2506" i="12" a="1"/>
  <c r="W2502" i="12" a="1"/>
  <c r="W2498" i="12" a="1"/>
  <c r="W2494" i="12" a="1"/>
  <c r="W2490" i="12" a="1"/>
  <c r="W2486" i="12" a="1"/>
  <c r="W2482" i="12" a="1"/>
  <c r="W2478" i="12" a="1"/>
  <c r="W2474" i="12" a="1"/>
  <c r="W2470" i="12" a="1"/>
  <c r="W2466" i="12" a="1"/>
  <c r="W2462" i="12" a="1"/>
  <c r="V2590" i="12" a="1"/>
  <c r="W2546" i="12" a="1"/>
  <c r="U2519" i="12" a="1"/>
  <c r="U2511" i="12" a="1"/>
  <c r="U2503" i="12" a="1"/>
  <c r="U2495" i="12" a="1"/>
  <c r="U2487" i="12" a="1"/>
  <c r="U2479" i="12" a="1"/>
  <c r="U2471" i="12" a="1"/>
  <c r="U2463" i="12" a="1"/>
  <c r="W2459" i="12" a="1"/>
  <c r="W2455" i="12" a="1"/>
  <c r="W2451" i="12" a="1"/>
  <c r="W2447" i="12" a="1"/>
  <c r="X2443" i="12" a="1"/>
  <c r="U2439" i="12" a="1"/>
  <c r="V2435" i="12" a="1"/>
  <c r="W2431" i="12" a="1"/>
  <c r="X2427" i="12" a="1"/>
  <c r="U2423" i="12" a="1"/>
  <c r="V2419" i="12" a="1"/>
  <c r="W2415" i="12" a="1"/>
  <c r="X2411" i="12" a="1"/>
  <c r="U2407" i="12" a="1"/>
  <c r="V2403" i="12" a="1"/>
  <c r="W2399" i="12" a="1"/>
  <c r="X2395" i="12" a="1"/>
  <c r="X2392" i="12" a="1"/>
  <c r="X2388" i="12" a="1"/>
  <c r="W2385" i="12" a="1"/>
  <c r="V2381" i="12" a="1"/>
  <c r="U2378" i="12" a="1"/>
  <c r="X2374" i="12" a="1"/>
  <c r="W2369" i="12" a="1"/>
  <c r="U2577" i="12" a="1"/>
  <c r="V2553" i="12" a="1"/>
  <c r="V2549" i="12" a="1"/>
  <c r="V2518" i="12" a="1"/>
  <c r="V2510" i="12" a="1"/>
  <c r="V2502" i="12" a="1"/>
  <c r="V2494" i="12" a="1"/>
  <c r="V2486" i="12" a="1"/>
  <c r="V2478" i="12" a="1"/>
  <c r="V2470" i="12" a="1"/>
  <c r="V2462" i="12" a="1"/>
  <c r="X2457" i="12" a="1"/>
  <c r="X2453" i="12" a="1"/>
  <c r="X2449" i="12" a="1"/>
  <c r="U2445" i="12" a="1"/>
  <c r="V2441" i="12" a="1"/>
  <c r="W2437" i="12" a="1"/>
  <c r="X2433" i="12" a="1"/>
  <c r="U2429" i="12" a="1"/>
  <c r="V2425" i="12" a="1"/>
  <c r="W2421" i="12" a="1"/>
  <c r="X2417" i="12" a="1"/>
  <c r="U2413" i="12" a="1"/>
  <c r="V2409" i="12" a="1"/>
  <c r="W2405" i="12" a="1"/>
  <c r="X2401" i="12" a="1"/>
  <c r="W2396" i="12" a="1"/>
  <c r="W2391" i="12" a="1"/>
  <c r="W2387" i="12" a="1"/>
  <c r="V2597" i="12" a="1"/>
  <c r="V2579" i="12" a="1"/>
  <c r="U2533" i="12" a="1"/>
  <c r="U2529" i="12" a="1"/>
  <c r="U2525" i="12" a="1"/>
  <c r="U2517" i="12" a="1"/>
  <c r="U2509" i="12" a="1"/>
  <c r="U2501" i="12" a="1"/>
  <c r="U2493" i="12" a="1"/>
  <c r="U2485" i="12" a="1"/>
  <c r="U2477" i="12" a="1"/>
  <c r="U2469" i="12" a="1"/>
  <c r="U2462" i="12" a="1"/>
  <c r="X2458" i="12" a="1"/>
  <c r="X2454" i="12" a="1"/>
  <c r="X2450" i="12" a="1"/>
  <c r="X2446" i="12" a="1"/>
  <c r="U2442" i="12" a="1"/>
  <c r="V2438" i="12" a="1"/>
  <c r="W2434" i="12" a="1"/>
  <c r="X2430" i="12" a="1"/>
  <c r="U2650" i="12" a="1"/>
  <c r="U2634" i="12" a="1"/>
  <c r="U2618" i="12" a="1"/>
  <c r="U2602" i="12" a="1"/>
  <c r="X2585" i="12" a="1"/>
  <c r="W2569" i="12" a="1"/>
  <c r="W2552" i="12" a="1"/>
  <c r="X2536" i="12" a="1"/>
  <c r="V2640" i="12" a="1"/>
  <c r="V2624" i="12" a="1"/>
  <c r="V2608" i="12" a="1"/>
  <c r="X2591" i="12" a="1"/>
  <c r="X2575" i="12" a="1"/>
  <c r="W2646" i="12" a="1"/>
  <c r="W2630" i="12" a="1"/>
  <c r="W2614" i="12" a="1"/>
  <c r="V2602" i="12" a="1"/>
  <c r="V2566" i="12" a="1"/>
  <c r="U2546" i="12" a="1"/>
  <c r="U2530" i="12" a="1"/>
  <c r="U2514" i="12" a="1"/>
  <c r="U2498" i="12" a="1"/>
  <c r="U2482" i="12" a="1"/>
  <c r="U2466" i="12" a="1"/>
  <c r="V2580" i="12" a="1"/>
  <c r="V2558" i="12" a="1"/>
  <c r="X2530" i="12" a="1"/>
  <c r="W2588" i="12" a="1"/>
  <c r="U2558" i="12" a="1"/>
  <c r="V2541" i="12" a="1"/>
  <c r="V2525" i="12" a="1"/>
  <c r="V2509" i="12" a="1"/>
  <c r="V2497" i="12" a="1"/>
  <c r="V2489" i="12" a="1"/>
  <c r="V2481" i="12" a="1"/>
  <c r="V2473" i="12" a="1"/>
  <c r="V2465" i="12" a="1"/>
  <c r="U2583" i="12" a="1"/>
  <c r="X2518" i="12" a="1"/>
  <c r="X2502" i="12" a="1"/>
  <c r="X2486" i="12" a="1"/>
  <c r="X2470" i="12" a="1"/>
  <c r="V2458" i="12" a="1"/>
  <c r="V2450" i="12" a="1"/>
  <c r="W2442" i="12" a="1"/>
  <c r="U2434" i="12" a="1"/>
  <c r="W2426" i="12" a="1"/>
  <c r="U2418" i="12" a="1"/>
  <c r="W2410" i="12" a="1"/>
  <c r="U2402" i="12" a="1"/>
  <c r="U2395" i="12" a="1"/>
  <c r="X2387" i="12" a="1"/>
  <c r="U2380" i="12" a="1"/>
  <c r="X2373" i="12" a="1"/>
  <c r="X2576" i="12" a="1"/>
  <c r="V2540" i="12" a="1"/>
  <c r="W2509" i="12" a="1"/>
  <c r="W2493" i="12" a="1"/>
  <c r="W2477" i="12" a="1"/>
  <c r="W2460" i="12" a="1"/>
  <c r="W2452" i="12" a="1"/>
  <c r="X2444" i="12" a="1"/>
  <c r="V2436" i="12" a="1"/>
  <c r="X2428" i="12" a="1"/>
  <c r="V2420" i="12" a="1"/>
  <c r="X2412" i="12" a="1"/>
  <c r="V2404" i="12" a="1"/>
  <c r="W2395" i="12" a="1"/>
  <c r="W2386" i="12" a="1"/>
  <c r="W2555" i="12" a="1"/>
  <c r="X2528" i="12" a="1"/>
  <c r="X2516" i="12" a="1"/>
  <c r="X2500" i="12" a="1"/>
  <c r="X2484" i="12" a="1"/>
  <c r="X2468" i="12" a="1"/>
  <c r="W2457" i="12" a="1"/>
  <c r="W2449" i="12" a="1"/>
  <c r="U2441" i="12" a="1"/>
  <c r="W2433" i="12" a="1"/>
  <c r="U2426" i="12" a="1"/>
  <c r="V2421" i="12" a="1"/>
  <c r="V2416" i="12" a="1"/>
  <c r="U2410" i="12" a="1"/>
  <c r="V2405" i="12" a="1"/>
  <c r="V2400" i="12" a="1"/>
  <c r="U2563" i="12" a="1"/>
  <c r="V2557" i="12" a="1"/>
  <c r="W2511" i="12" a="1"/>
  <c r="W2487" i="12" a="1"/>
  <c r="V2464" i="12" a="1"/>
  <c r="V2434" i="12" a="1"/>
  <c r="V2428" i="12" a="1"/>
  <c r="V2423" i="12" a="1"/>
  <c r="U2389" i="12" a="1"/>
  <c r="X2380" i="12" a="1"/>
  <c r="V2375" i="12" a="1"/>
  <c r="U2368" i="12" a="1"/>
  <c r="W2363" i="12" a="1"/>
  <c r="V2357" i="12" a="1"/>
  <c r="W2352" i="12" a="1"/>
  <c r="W2347" i="12" a="1"/>
  <c r="W2343" i="12" a="1"/>
  <c r="W2339" i="12" a="1"/>
  <c r="U2336" i="12" a="1"/>
  <c r="V2331" i="12" a="1"/>
  <c r="W2327" i="12" a="1"/>
  <c r="W2322" i="12" a="1"/>
  <c r="X2318" i="12" a="1"/>
  <c r="X2314" i="12" a="1"/>
  <c r="W2271" i="12" a="1"/>
  <c r="V2267" i="12" a="1"/>
  <c r="V2262" i="12" a="1"/>
  <c r="V2258" i="12" a="1"/>
  <c r="V2254" i="12" a="1"/>
  <c r="V2250" i="12" a="1"/>
  <c r="V2246" i="12" a="1"/>
  <c r="V2242" i="12" a="1"/>
  <c r="V2238" i="12" a="1"/>
  <c r="V2234" i="12" a="1"/>
  <c r="V2230" i="12" a="1"/>
  <c r="V2226" i="12" a="1"/>
  <c r="V2222" i="12" a="1"/>
  <c r="V2218" i="12" a="1"/>
  <c r="V2214" i="12" a="1"/>
  <c r="W2419" i="12" a="1"/>
  <c r="X2415" i="12" a="1"/>
  <c r="U2411" i="12" a="1"/>
  <c r="V2407" i="12" a="1"/>
  <c r="V2394" i="12" a="1"/>
  <c r="U2386" i="12" a="1"/>
  <c r="W2378" i="12" a="1"/>
  <c r="U2372" i="12" a="1"/>
  <c r="W2367" i="12" a="1"/>
  <c r="V2362" i="12" a="1"/>
  <c r="U2358" i="12" a="1"/>
  <c r="X2354" i="12" a="1"/>
  <c r="X2350" i="12" a="1"/>
  <c r="U2346" i="12" a="1"/>
  <c r="U2342" i="12" a="1"/>
  <c r="U2338" i="12" a="1"/>
  <c r="V2333" i="12" a="1"/>
  <c r="W2329" i="12" a="1"/>
  <c r="X2324" i="12" a="1"/>
  <c r="X2320" i="12" a="1"/>
  <c r="V2317" i="12" a="1"/>
  <c r="V2313" i="12" a="1"/>
  <c r="V2309" i="12" a="1"/>
  <c r="V2305" i="12" a="1"/>
  <c r="V2301" i="12" a="1"/>
  <c r="V2297" i="12" a="1"/>
  <c r="V2293" i="12" a="1"/>
  <c r="V2289" i="12" a="1"/>
  <c r="V2285" i="12" a="1"/>
  <c r="V2281" i="12" a="1"/>
  <c r="V2277" i="12" a="1"/>
  <c r="V2271" i="12" a="1"/>
  <c r="U2268" i="12" a="1"/>
  <c r="W2515" i="12" a="1"/>
  <c r="W2499" i="12" a="1"/>
  <c r="W2483" i="12" a="1"/>
  <c r="W2467" i="12" a="1"/>
  <c r="V2402" i="12" a="1"/>
  <c r="X2398" i="12" a="1"/>
  <c r="U2392" i="12" a="1"/>
  <c r="X2384" i="12" a="1"/>
  <c r="W2379" i="12" a="1"/>
  <c r="X2375" i="12" a="1"/>
  <c r="V2370" i="12" a="1"/>
  <c r="W2365" i="12" a="1"/>
  <c r="X2361" i="12" a="1"/>
  <c r="X2358" i="12" a="1"/>
  <c r="W2354" i="12" a="1"/>
  <c r="W2350" i="12" a="1"/>
  <c r="X2346" i="12" a="1"/>
  <c r="X2342" i="12" a="1"/>
  <c r="X2338" i="12" a="1"/>
  <c r="U2333" i="12" a="1"/>
  <c r="W2330" i="12" a="1"/>
  <c r="X2326" i="12" a="1"/>
  <c r="V2323" i="12" a="1"/>
  <c r="W2319" i="12" a="1"/>
  <c r="W2315" i="12" a="1"/>
  <c r="U2312" i="12" a="1"/>
  <c r="U2310" i="12" a="1"/>
  <c r="U2308" i="12" a="1"/>
  <c r="U2306" i="12" a="1"/>
  <c r="U2304" i="12" a="1"/>
  <c r="U2302" i="12" a="1"/>
  <c r="U2300" i="12" a="1"/>
  <c r="U2298" i="12" a="1"/>
  <c r="U2296" i="12" a="1"/>
  <c r="U2294" i="12" a="1"/>
  <c r="U2292" i="12" a="1"/>
  <c r="U2290" i="12" a="1"/>
  <c r="U2288" i="12" a="1"/>
  <c r="U2649" i="12" a="1"/>
  <c r="U2645" i="12" a="1"/>
  <c r="U2641" i="12" a="1"/>
  <c r="U2637" i="12" a="1"/>
  <c r="U2633" i="12" a="1"/>
  <c r="U2629" i="12" a="1"/>
  <c r="U2625" i="12" a="1"/>
  <c r="U2621" i="12" a="1"/>
  <c r="U2617" i="12" a="1"/>
  <c r="U2613" i="12" a="1"/>
  <c r="X2609" i="12" a="1"/>
  <c r="U2460" i="12" a="1"/>
  <c r="U2456" i="12" a="1"/>
  <c r="U2452" i="12" a="1"/>
  <c r="U2448" i="12" a="1"/>
  <c r="V2444" i="12" a="1"/>
  <c r="W2440" i="12" a="1"/>
  <c r="U2396" i="12" a="1"/>
  <c r="W2384" i="12" a="1"/>
  <c r="W2377" i="12" a="1"/>
  <c r="V2371" i="12" a="1"/>
  <c r="V2366" i="12" a="1"/>
  <c r="U2363" i="12" a="1"/>
  <c r="X2359" i="12" a="1"/>
  <c r="W2355" i="12" a="1"/>
  <c r="W2351" i="12" a="1"/>
  <c r="X2347" i="12" a="1"/>
  <c r="X2343" i="12" a="1"/>
  <c r="W2287" i="12" a="1"/>
  <c r="W2279" i="12" a="1"/>
  <c r="X2273" i="12" a="1"/>
  <c r="X2265" i="12" a="1"/>
  <c r="W2260" i="12" a="1"/>
  <c r="W2256" i="12" a="1"/>
  <c r="W2252" i="12" a="1"/>
  <c r="W2248" i="12" a="1"/>
  <c r="W2244" i="12" a="1"/>
  <c r="W2240" i="12" a="1"/>
  <c r="W2236" i="12" a="1"/>
  <c r="W2232" i="12" a="1"/>
  <c r="W2228" i="12" a="1"/>
  <c r="W2224" i="12" a="1"/>
  <c r="W2220" i="12" a="1"/>
  <c r="W2216" i="12" a="1"/>
  <c r="U2212" i="12" a="1"/>
  <c r="U2208" i="12" a="1"/>
  <c r="U2204" i="12" a="1"/>
  <c r="U2200" i="12" a="1"/>
  <c r="U2196" i="12" a="1"/>
  <c r="U2192" i="12" a="1"/>
  <c r="U2188" i="12" a="1"/>
  <c r="U2184" i="12" a="1"/>
  <c r="V2180" i="12" a="1"/>
  <c r="V2172" i="12" a="1"/>
  <c r="W2167" i="12" a="1"/>
  <c r="U2162" i="12" a="1"/>
  <c r="X2158" i="12" a="1"/>
  <c r="W2155" i="12" a="1"/>
  <c r="W2151" i="12" a="1"/>
  <c r="W2146" i="12" a="1"/>
  <c r="U2646" i="12" a="1"/>
  <c r="U2630" i="12" a="1"/>
  <c r="U2614" i="12" a="1"/>
  <c r="V2598" i="12" a="1"/>
  <c r="V2582" i="12" a="1"/>
  <c r="X2565" i="12" a="1"/>
  <c r="W2548" i="12" a="1"/>
  <c r="V2652" i="12" a="1"/>
  <c r="V2636" i="12" a="1"/>
  <c r="V2620" i="12" a="1"/>
  <c r="W2603" i="12" a="1"/>
  <c r="X2587" i="12" a="1"/>
  <c r="X2571" i="12" a="1"/>
  <c r="W2642" i="12" a="1"/>
  <c r="W2626" i="12" a="1"/>
  <c r="X2610" i="12" a="1"/>
  <c r="X2589" i="12" a="1"/>
  <c r="W2560" i="12" a="1"/>
  <c r="U2542" i="12" a="1"/>
  <c r="U2526" i="12" a="1"/>
  <c r="U2510" i="12" a="1"/>
  <c r="U2494" i="12" a="1"/>
  <c r="U2478" i="12" a="1"/>
  <c r="U2606" i="12" a="1"/>
  <c r="V2574" i="12" a="1"/>
  <c r="U2550" i="12" a="1"/>
  <c r="X2526" i="12" a="1"/>
  <c r="X2579" i="12" a="1"/>
  <c r="U2554" i="12" a="1"/>
  <c r="V2537" i="12" a="1"/>
  <c r="V2521" i="12" a="1"/>
  <c r="V2505" i="12" a="1"/>
  <c r="U2496" i="12" a="1"/>
  <c r="U2488" i="12" a="1"/>
  <c r="U2480" i="12" a="1"/>
  <c r="U2472" i="12" a="1"/>
  <c r="U2464" i="12" a="1"/>
  <c r="X2582" i="12" a="1"/>
  <c r="U2515" i="12" a="1"/>
  <c r="U2499" i="12" a="1"/>
  <c r="U2483" i="12" a="1"/>
  <c r="U2467" i="12" a="1"/>
  <c r="U2457" i="12" a="1"/>
  <c r="U2449" i="12" a="1"/>
  <c r="W2441" i="12" a="1"/>
  <c r="U2433" i="12" a="1"/>
  <c r="W2425" i="12" a="1"/>
  <c r="U2417" i="12" a="1"/>
  <c r="W2409" i="12" a="1"/>
  <c r="U2401" i="12" a="1"/>
  <c r="X2394" i="12" a="1"/>
  <c r="U2387" i="12" a="1"/>
  <c r="X2379" i="12" a="1"/>
  <c r="W2372" i="12" a="1"/>
  <c r="U2569" i="12" a="1"/>
  <c r="V2522" i="12" a="1"/>
  <c r="V2506" i="12" a="1"/>
  <c r="V2490" i="12" a="1"/>
  <c r="V2474" i="12" a="1"/>
  <c r="V2459" i="12" a="1"/>
  <c r="V2451" i="12" a="1"/>
  <c r="W2443" i="12" a="1"/>
  <c r="U2435" i="12" a="1"/>
  <c r="W2427" i="12" a="1"/>
  <c r="U2419" i="12" a="1"/>
  <c r="W2411" i="12" a="1"/>
  <c r="U2403" i="12" a="1"/>
  <c r="W2394" i="12" a="1"/>
  <c r="V2385" i="12" a="1"/>
  <c r="W2542" i="12" a="1"/>
  <c r="W2527" i="12" a="1"/>
  <c r="U2513" i="12" a="1"/>
  <c r="U2497" i="12" a="1"/>
  <c r="U2481" i="12" a="1"/>
  <c r="U2465" i="12" a="1"/>
  <c r="V2456" i="12" a="1"/>
  <c r="V2448" i="12" a="1"/>
  <c r="X2440" i="12" a="1"/>
  <c r="V2432" i="12" a="1"/>
  <c r="U2425" i="12" a="1"/>
  <c r="U2420" i="12" a="1"/>
  <c r="X2414" i="12" a="1"/>
  <c r="U2409" i="12" a="1"/>
  <c r="U2404" i="12" a="1"/>
  <c r="U2398" i="12" a="1"/>
  <c r="X2562" i="12" a="1"/>
  <c r="V2544" i="12" a="1"/>
  <c r="W2503" i="12" a="1"/>
  <c r="V2480" i="12" a="1"/>
  <c r="W2463" i="12" a="1"/>
  <c r="U2432" i="12" a="1"/>
  <c r="U2427" i="12" a="1"/>
  <c r="U2422" i="12" a="1"/>
  <c r="V2386" i="12" a="1"/>
  <c r="V2379" i="12" a="1"/>
  <c r="U2374" i="12" a="1"/>
  <c r="U2367" i="12" a="1"/>
  <c r="W2362" i="12" a="1"/>
  <c r="V2356" i="12" a="1"/>
  <c r="U2350" i="12" a="1"/>
  <c r="V2346" i="12" a="1"/>
  <c r="V2342" i="12" a="1"/>
  <c r="V2338" i="12" a="1"/>
  <c r="X2335" i="12" a="1"/>
  <c r="U2330" i="12" a="1"/>
  <c r="V2325" i="12" a="1"/>
  <c r="V2321" i="12" a="1"/>
  <c r="W2317" i="12" a="1"/>
  <c r="W2313" i="12" a="1"/>
  <c r="V2270" i="12" a="1"/>
  <c r="W2265" i="12" a="1"/>
  <c r="U2626" i="12" a="1"/>
  <c r="W2593" i="12" a="1"/>
  <c r="X2560" i="12" a="1"/>
  <c r="V2648" i="12" a="1"/>
  <c r="V2616" i="12" a="1"/>
  <c r="V2583" i="12" a="1"/>
  <c r="W2638" i="12" a="1"/>
  <c r="U2607" i="12" a="1"/>
  <c r="V2555" i="12" a="1"/>
  <c r="U2522" i="12" a="1"/>
  <c r="U2490" i="12" a="1"/>
  <c r="V2595" i="12" a="1"/>
  <c r="V2543" i="12" a="1"/>
  <c r="X2569" i="12" a="1"/>
  <c r="V2533" i="12" a="1"/>
  <c r="V2501" i="12" a="1"/>
  <c r="V2485" i="12" a="1"/>
  <c r="V2469" i="12" a="1"/>
  <c r="W2538" i="12" a="1"/>
  <c r="X2494" i="12" a="1"/>
  <c r="X2462" i="12" a="1"/>
  <c r="V2446" i="12" a="1"/>
  <c r="V2430" i="12" a="1"/>
  <c r="V2414" i="12" a="1"/>
  <c r="W2398" i="12" a="1"/>
  <c r="V2384" i="12" a="1"/>
  <c r="V2368" i="12" a="1"/>
  <c r="W2517" i="12" a="1"/>
  <c r="W2485" i="12" a="1"/>
  <c r="W2456" i="12" a="1"/>
  <c r="U2440" i="12" a="1"/>
  <c r="U2424" i="12" a="1"/>
  <c r="U2408" i="12" a="1"/>
  <c r="W2390" i="12" a="1"/>
  <c r="X2532" i="12" a="1"/>
  <c r="X2508" i="12" a="1"/>
  <c r="X2476" i="12" a="1"/>
  <c r="W2453" i="12" a="1"/>
  <c r="V2437" i="12" a="1"/>
  <c r="X2424" i="12" a="1"/>
  <c r="X2413" i="12" a="1"/>
  <c r="W2402" i="12" a="1"/>
  <c r="V2561" i="12" a="1"/>
  <c r="V2496" i="12" a="1"/>
  <c r="X2436" i="12" a="1"/>
  <c r="X2426" i="12" a="1"/>
  <c r="W2383" i="12" a="1"/>
  <c r="U2371" i="12" a="1"/>
  <c r="W2360" i="12" a="1"/>
  <c r="X2349" i="12" a="1"/>
  <c r="U2341" i="12" a="1"/>
  <c r="W2334" i="12" a="1"/>
  <c r="U2324" i="12" a="1"/>
  <c r="V2316" i="12" a="1"/>
  <c r="V2269" i="12" a="1"/>
  <c r="U2261" i="12" a="1"/>
  <c r="X2256" i="12" a="1"/>
  <c r="W2251" i="12" a="1"/>
  <c r="U2245" i="12" a="1"/>
  <c r="X2240" i="12" a="1"/>
  <c r="W2235" i="12" a="1"/>
  <c r="U2229" i="12" a="1"/>
  <c r="X2224" i="12" a="1"/>
  <c r="W2219" i="12" a="1"/>
  <c r="V2536" i="12" a="1"/>
  <c r="V2417" i="12" a="1"/>
  <c r="V2412" i="12" a="1"/>
  <c r="U2406" i="12" a="1"/>
  <c r="V2390" i="12" a="1"/>
  <c r="W2380" i="12" a="1"/>
  <c r="X2371" i="12" a="1"/>
  <c r="X2365" i="12" a="1"/>
  <c r="V2359" i="12" a="1"/>
  <c r="W2353" i="12" a="1"/>
  <c r="V2348" i="12" a="1"/>
  <c r="V2343" i="12" a="1"/>
  <c r="X2337" i="12" a="1"/>
  <c r="U2331" i="12" a="1"/>
  <c r="U2325" i="12" a="1"/>
  <c r="U2320" i="12" a="1"/>
  <c r="X2315" i="12" a="1"/>
  <c r="V2310" i="12" a="1"/>
  <c r="V2304" i="12" a="1"/>
  <c r="V2299" i="12" a="1"/>
  <c r="V2294" i="12" a="1"/>
  <c r="V2288" i="12" a="1"/>
  <c r="V2283" i="12" a="1"/>
  <c r="V2278" i="12" a="1"/>
  <c r="U2270" i="12" a="1"/>
  <c r="W2523" i="12" a="1"/>
  <c r="V2500" i="12" a="1"/>
  <c r="V2476" i="12" a="1"/>
  <c r="X2404" i="12" a="1"/>
  <c r="X2399" i="12" a="1"/>
  <c r="U2390" i="12" a="1"/>
  <c r="X2381" i="12" a="1"/>
  <c r="U2376" i="12" a="1"/>
  <c r="U2369" i="12" a="1"/>
  <c r="V2363" i="12" a="1"/>
  <c r="U2359" i="12" a="1"/>
  <c r="V2353" i="12" a="1"/>
  <c r="U2348" i="12" a="1"/>
  <c r="U2343" i="12" a="1"/>
  <c r="W2337" i="12" a="1"/>
  <c r="U2332" i="12" a="1"/>
  <c r="U2327" i="12" a="1"/>
  <c r="U2322" i="12" a="1"/>
  <c r="U2317" i="12" a="1"/>
  <c r="X2312" i="12" a="1"/>
  <c r="X2309" i="12" a="1"/>
  <c r="U2307" i="12" a="1"/>
  <c r="X2304" i="12" a="1"/>
  <c r="X2301" i="12" a="1"/>
  <c r="U2299" i="12" a="1"/>
  <c r="X2296" i="12" a="1"/>
  <c r="X2293" i="12" a="1"/>
  <c r="U2291" i="12" a="1"/>
  <c r="X2288" i="12" a="1"/>
  <c r="X2648" i="12" a="1"/>
  <c r="W2643" i="12" a="1"/>
  <c r="V2638" i="12" a="1"/>
  <c r="X2632" i="12" a="1"/>
  <c r="W2627" i="12" a="1"/>
  <c r="V2622" i="12" a="1"/>
  <c r="X2616" i="12" a="1"/>
  <c r="W2611" i="12" a="1"/>
  <c r="W2461" i="12" a="1"/>
  <c r="X2455" i="12" a="1"/>
  <c r="U2622" i="12" a="1"/>
  <c r="W2589" i="12" a="1"/>
  <c r="V2556" i="12" a="1"/>
  <c r="V2644" i="12" a="1"/>
  <c r="V2612" i="12" a="1"/>
  <c r="W2579" i="12" a="1"/>
  <c r="U2642" i="12" a="1"/>
  <c r="W2609" i="12" a="1"/>
  <c r="W2577" i="12" a="1"/>
  <c r="X2544" i="12" a="1"/>
  <c r="V2632" i="12" a="1"/>
  <c r="V2599" i="12" a="1"/>
  <c r="U2653" i="12" a="1"/>
  <c r="W2622" i="12" a="1"/>
  <c r="W2581" i="12" a="1"/>
  <c r="U2538" i="12" a="1"/>
  <c r="U2506" i="12" a="1"/>
  <c r="U2474" i="12" a="1"/>
  <c r="X2567" i="12" a="1"/>
  <c r="U2601" i="12" a="1"/>
  <c r="X2550" i="12" a="1"/>
  <c r="V2517" i="12" a="1"/>
  <c r="V2493" i="12" a="1"/>
  <c r="V2477" i="12" a="1"/>
  <c r="V2461" i="12" a="1"/>
  <c r="X2510" i="12" a="1"/>
  <c r="X2478" i="12" a="1"/>
  <c r="V2454" i="12" a="1"/>
  <c r="X2438" i="12" a="1"/>
  <c r="X2422" i="12" a="1"/>
  <c r="X2406" i="12" a="1"/>
  <c r="X2391" i="12" a="1"/>
  <c r="U2377" i="12" a="1"/>
  <c r="U2552" i="12" a="1"/>
  <c r="W2501" i="12" a="1"/>
  <c r="W2469" i="12" a="1"/>
  <c r="W2448" i="12" a="1"/>
  <c r="W2432" i="12" a="1"/>
  <c r="W2416" i="12" a="1"/>
  <c r="W2400" i="12" a="1"/>
  <c r="V2596" i="12" a="1"/>
  <c r="X2524" i="12" a="1"/>
  <c r="X2492" i="12" a="1"/>
  <c r="X2461" i="12" a="1"/>
  <c r="X2445" i="12" a="1"/>
  <c r="X2429" i="12" a="1"/>
  <c r="W2418" i="12" a="1"/>
  <c r="X2408" i="12" a="1"/>
  <c r="U2600" i="12" a="1"/>
  <c r="W2519" i="12" a="1"/>
  <c r="W2479" i="12" a="1"/>
  <c r="X2431" i="12" a="1"/>
  <c r="U2393" i="12" a="1"/>
  <c r="X2378" i="12" a="1"/>
  <c r="U2366" i="12" a="1"/>
  <c r="U2354" i="12" a="1"/>
  <c r="U2345" i="12" a="1"/>
  <c r="U2337" i="12" a="1"/>
  <c r="X2329" i="12" a="1"/>
  <c r="V2320" i="12" a="1"/>
  <c r="W2273" i="12" a="1"/>
  <c r="W2264" i="12" a="1"/>
  <c r="W2259" i="12" a="1"/>
  <c r="U2253" i="12" a="1"/>
  <c r="X2248" i="12" a="1"/>
  <c r="W2243" i="12" a="1"/>
  <c r="U2237" i="12" a="1"/>
  <c r="X2232" i="12" a="1"/>
  <c r="W2227" i="12" a="1"/>
  <c r="U2221" i="12" a="1"/>
  <c r="X2216" i="12" a="1"/>
  <c r="X2420" i="12" a="1"/>
  <c r="W2414" i="12" a="1"/>
  <c r="X2409" i="12" a="1"/>
  <c r="V2395" i="12" a="1"/>
  <c r="X2385" i="12" a="1"/>
  <c r="U2375" i="12" a="1"/>
  <c r="V2369" i="12" a="1"/>
  <c r="V2361" i="12" a="1"/>
  <c r="U2356" i="12" a="1"/>
  <c r="U2351" i="12" a="1"/>
  <c r="X2345" i="12" a="1"/>
  <c r="W2340" i="12" a="1"/>
  <c r="W2335" i="12" a="1"/>
  <c r="V2327" i="12" a="1"/>
  <c r="V2322" i="12" a="1"/>
  <c r="W2318" i="12" a="1"/>
  <c r="V2312" i="12" a="1"/>
  <c r="V2307" i="12" a="1"/>
  <c r="V2302" i="12" a="1"/>
  <c r="V2296" i="12" a="1"/>
  <c r="V2291" i="12" a="1"/>
  <c r="V2286" i="12" a="1"/>
  <c r="V2280" i="12" a="1"/>
  <c r="V2275" i="12" a="1"/>
  <c r="X2268" i="12" a="1"/>
  <c r="V2508" i="12" a="1"/>
  <c r="W2491" i="12" a="1"/>
  <c r="V2468" i="12" a="1"/>
  <c r="V2401" i="12" a="1"/>
  <c r="U2394" i="12" a="1"/>
  <c r="U2385" i="12" a="1"/>
  <c r="V2378" i="12" a="1"/>
  <c r="V2373" i="12" a="1"/>
  <c r="W2366" i="12" a="1"/>
  <c r="U2361" i="12" a="1"/>
  <c r="X2356" i="12" a="1"/>
  <c r="X2351" i="12" a="1"/>
  <c r="W2345" i="12" a="1"/>
  <c r="V2340" i="12" a="1"/>
  <c r="V2334" i="12" a="1"/>
  <c r="V2329" i="12" a="1"/>
  <c r="X2325" i="12" a="1"/>
  <c r="W2320" i="12" a="1"/>
  <c r="V2314" i="12" a="1"/>
  <c r="U2311" i="12" a="1"/>
  <c r="X2308" i="12" a="1"/>
  <c r="X2305" i="12" a="1"/>
  <c r="U2303" i="12" a="1"/>
  <c r="X2300" i="12" a="1"/>
  <c r="X2297" i="12" a="1"/>
  <c r="U2295" i="12" a="1"/>
  <c r="X2292" i="12" a="1"/>
  <c r="X2289" i="12" a="1"/>
  <c r="W2651" i="12" a="1"/>
  <c r="V2646" i="12" a="1"/>
  <c r="X2640" i="12" a="1"/>
  <c r="W2635" i="12" a="1"/>
  <c r="V2630" i="12" a="1"/>
  <c r="X2624" i="12" a="1"/>
  <c r="W2619" i="12" a="1"/>
  <c r="V2614" i="12" a="1"/>
  <c r="U2638" i="12" a="1"/>
  <c r="X2605" i="12" a="1"/>
  <c r="W2573" i="12" a="1"/>
  <c r="X2540" i="12" a="1"/>
  <c r="V2628" i="12" a="1"/>
  <c r="W2595" i="12" a="1"/>
  <c r="W2650" i="12" a="1"/>
  <c r="W2618" i="12" a="1"/>
  <c r="W2575" i="12" a="1"/>
  <c r="U2534" i="12" a="1"/>
  <c r="U2502" i="12" a="1"/>
  <c r="U2470" i="12" a="1"/>
  <c r="U2562" i="12" a="1"/>
  <c r="U2595" i="12" a="1"/>
  <c r="V2545" i="12" a="1"/>
  <c r="V2513" i="12" a="1"/>
  <c r="U2492" i="12" a="1"/>
  <c r="U2476" i="12" a="1"/>
  <c r="U2603" i="12" a="1"/>
  <c r="U2507" i="12" a="1"/>
  <c r="U2475" i="12" a="1"/>
  <c r="U2453" i="12" a="1"/>
  <c r="X2437" i="12" a="1"/>
  <c r="X2421" i="12" a="1"/>
  <c r="X2405" i="12" a="1"/>
  <c r="X2390" i="12" a="1"/>
  <c r="X2376" i="12" a="1"/>
  <c r="X2551" i="12" a="1"/>
  <c r="V2498" i="12" a="1"/>
  <c r="V2466" i="12" a="1"/>
  <c r="V2447" i="12" a="1"/>
  <c r="V2431" i="12" a="1"/>
  <c r="V2415" i="12" a="1"/>
  <c r="V2399" i="12" a="1"/>
  <c r="W2587" i="12" a="1"/>
  <c r="U2521" i="12" a="1"/>
  <c r="U2489" i="12" a="1"/>
  <c r="V2460" i="12" a="1"/>
  <c r="W2444" i="12" a="1"/>
  <c r="W2428" i="12" a="1"/>
  <c r="W2417" i="12" a="1"/>
  <c r="V2406" i="12" a="1"/>
  <c r="X2599" i="12" a="1"/>
  <c r="V2512" i="12" a="1"/>
  <c r="W2471" i="12" a="1"/>
  <c r="W2430" i="12" a="1"/>
  <c r="U2391" i="12" a="1"/>
  <c r="W2376" i="12" a="1"/>
  <c r="U2365" i="12" a="1"/>
  <c r="X2353" i="12" a="1"/>
  <c r="X2344" i="12" a="1"/>
  <c r="X2336" i="12" a="1"/>
  <c r="W2328" i="12" a="1"/>
  <c r="U2319" i="12" a="1"/>
  <c r="W2272" i="12" a="1"/>
  <c r="W2263" i="12" a="1"/>
  <c r="U2257" i="12" a="1"/>
  <c r="X2252" i="12" a="1"/>
  <c r="W2247" i="12" a="1"/>
  <c r="U2241" i="12" a="1"/>
  <c r="X2236" i="12" a="1"/>
  <c r="W2231" i="12" a="1"/>
  <c r="U2225" i="12" a="1"/>
  <c r="X2220" i="12" a="1"/>
  <c r="W2215" i="12" a="1"/>
  <c r="V2418" i="12" a="1"/>
  <c r="W2413" i="12" a="1"/>
  <c r="W2408" i="12" a="1"/>
  <c r="V2392" i="12" a="1"/>
  <c r="U2382" i="12" a="1"/>
  <c r="W2373" i="12" a="1"/>
  <c r="X2366" i="12" a="1"/>
  <c r="V2360" i="12" a="1"/>
  <c r="U2355" i="12" a="1"/>
  <c r="W2349" i="12" a="1"/>
  <c r="W2344" i="12" a="1"/>
  <c r="V2339" i="12" a="1"/>
  <c r="V2332" i="12" a="1"/>
  <c r="V2326" i="12" a="1"/>
  <c r="U2321" i="12" a="1"/>
  <c r="U2316" i="12" a="1"/>
  <c r="V2311" i="12" a="1"/>
  <c r="V2306" i="12" a="1"/>
  <c r="V2300" i="12" a="1"/>
  <c r="V2295" i="12" a="1"/>
  <c r="V2290" i="12" a="1"/>
  <c r="V2284" i="12" a="1"/>
  <c r="V2279" i="12" a="1"/>
  <c r="V2274" i="12" a="1"/>
  <c r="V2524" i="12" a="1"/>
  <c r="W2507" i="12" a="1"/>
  <c r="V2484" i="12" a="1"/>
  <c r="U2405" i="12" a="1"/>
  <c r="U2400" i="12" a="1"/>
  <c r="X2393" i="12" a="1"/>
  <c r="U2383" i="12" a="1"/>
  <c r="X2377" i="12" a="1"/>
  <c r="W2371" i="12" a="1"/>
  <c r="V2364" i="12" a="1"/>
  <c r="U2360" i="12" a="1"/>
  <c r="X2355" i="12" a="1"/>
  <c r="V2349" i="12" a="1"/>
  <c r="V2344" i="12" a="1"/>
  <c r="U2339" i="12" a="1"/>
  <c r="X2332" i="12" a="1"/>
  <c r="V2328" i="12" a="1"/>
  <c r="W2324" i="12" a="1"/>
  <c r="V2318" i="12" a="1"/>
  <c r="U2313" i="12" a="1"/>
  <c r="X2310" i="12" a="1"/>
  <c r="X2307" i="12" a="1"/>
  <c r="U2305" i="12" a="1"/>
  <c r="X2302" i="12" a="1"/>
  <c r="X2299" i="12" a="1"/>
  <c r="U2297" i="12" a="1"/>
  <c r="X2294" i="12" a="1"/>
  <c r="X2291" i="12" a="1"/>
  <c r="U2289" i="12" a="1"/>
  <c r="V2650" i="12" a="1"/>
  <c r="X2644" i="12" a="1"/>
  <c r="W2639" i="12" a="1"/>
  <c r="V2634" i="12" a="1"/>
  <c r="X2628" i="12" a="1"/>
  <c r="W2623" i="12" a="1"/>
  <c r="V2618" i="12" a="1"/>
  <c r="X2612" i="12" a="1"/>
  <c r="X2572" i="12" a="1"/>
  <c r="W2634" i="12" a="1"/>
  <c r="U2486" i="12" a="1"/>
  <c r="V2529" i="12" a="1"/>
  <c r="U2523" i="12" a="1"/>
  <c r="V2429" i="12" a="1"/>
  <c r="U2594" i="12" a="1"/>
  <c r="X2439" i="12" a="1"/>
  <c r="W2531" i="12" a="1"/>
  <c r="U2436" i="12" a="1"/>
  <c r="X2558" i="12" a="1"/>
  <c r="W2382" i="12" a="1"/>
  <c r="X2340" i="12" a="1"/>
  <c r="V2268" i="12" a="1"/>
  <c r="X2244" i="12" a="1"/>
  <c r="W2223" i="12" a="1"/>
  <c r="X2410" i="12" a="1"/>
  <c r="X2370" i="12" a="1"/>
  <c r="V2347" i="12" a="1"/>
  <c r="W2323" i="12" a="1"/>
  <c r="V2303" i="12" a="1"/>
  <c r="V2282" i="12" a="1"/>
  <c r="V2492" i="12" a="1"/>
  <c r="U2388" i="12" a="1"/>
  <c r="U2362" i="12" a="1"/>
  <c r="W2341" i="12" a="1"/>
  <c r="X2321" i="12" a="1"/>
  <c r="X2306" i="12" a="1"/>
  <c r="X2295" i="12" a="1"/>
  <c r="W2647" i="12" a="1"/>
  <c r="V2626" i="12" a="1"/>
  <c r="U2573" i="12" a="1"/>
  <c r="W2454" i="12" a="1"/>
  <c r="V2449" i="12" a="1"/>
  <c r="U2443" i="12" a="1"/>
  <c r="U2438" i="12" a="1"/>
  <c r="V2389" i="12" a="1"/>
  <c r="V2374" i="12" a="1"/>
  <c r="W2368" i="12" a="1"/>
  <c r="X2363" i="12" a="1"/>
  <c r="W2358" i="12" a="1"/>
  <c r="U2353" i="12" a="1"/>
  <c r="X2348" i="12" a="1"/>
  <c r="W2342" i="12" a="1"/>
  <c r="W2283" i="12" a="1"/>
  <c r="U2274" i="12" a="1"/>
  <c r="U2263" i="12" a="1"/>
  <c r="X2258" i="12" a="1"/>
  <c r="V2253" i="12" a="1"/>
  <c r="U2247" i="12" a="1"/>
  <c r="X2242" i="12" a="1"/>
  <c r="V2237" i="12" a="1"/>
  <c r="U2231" i="12" a="1"/>
  <c r="X2226" i="12" a="1"/>
  <c r="V2221" i="12" a="1"/>
  <c r="U2215" i="12" a="1"/>
  <c r="W2210" i="12" a="1"/>
  <c r="V2205" i="12" a="1"/>
  <c r="X2199" i="12" a="1"/>
  <c r="W2194" i="12" a="1"/>
  <c r="V2189" i="12" a="1"/>
  <c r="X2183" i="12" a="1"/>
  <c r="V2176" i="12" a="1"/>
  <c r="X2168" i="12" a="1"/>
  <c r="U2161" i="12" a="1"/>
  <c r="X2157" i="12" a="1"/>
  <c r="W2152" i="12" a="1"/>
  <c r="V2145" i="12" a="1"/>
  <c r="V2141" i="12" a="1"/>
  <c r="V2137" i="12" a="1"/>
  <c r="V2133" i="12" a="1"/>
  <c r="V2129" i="12" a="1"/>
  <c r="V2125" i="12" a="1"/>
  <c r="V2121" i="12" a="1"/>
  <c r="V2117" i="12" a="1"/>
  <c r="V2113" i="12" a="1"/>
  <c r="V2109" i="12" a="1"/>
  <c r="V2105" i="12" a="1"/>
  <c r="V2101" i="12" a="1"/>
  <c r="V2097" i="12" a="1"/>
  <c r="V2093" i="12" a="1"/>
  <c r="V2089" i="12" a="1"/>
  <c r="V2085" i="12" a="1"/>
  <c r="V2081" i="12" a="1"/>
  <c r="V2077" i="12" a="1"/>
  <c r="V2073" i="12" a="1"/>
  <c r="V2069" i="12" a="1"/>
  <c r="V2065" i="12" a="1"/>
  <c r="V2061" i="12" a="1"/>
  <c r="V2057" i="12" a="1"/>
  <c r="V2053" i="12" a="1"/>
  <c r="V2049" i="12" a="1"/>
  <c r="V2045" i="12" a="1"/>
  <c r="U2042" i="12" a="1"/>
  <c r="V2038" i="12" a="1"/>
  <c r="V2336" i="12" a="1"/>
  <c r="X2286" i="12" a="1"/>
  <c r="X2282" i="12" a="1"/>
  <c r="X2278" i="12" a="1"/>
  <c r="X2274" i="12" a="1"/>
  <c r="X2267" i="12" a="1"/>
  <c r="V2260" i="12" a="1"/>
  <c r="V2252" i="12" a="1"/>
  <c r="V2244" i="12" a="1"/>
  <c r="V2236" i="12" a="1"/>
  <c r="V2228" i="12" a="1"/>
  <c r="V2220" i="12" a="1"/>
  <c r="U2213" i="12" a="1"/>
  <c r="U2209" i="12" a="1"/>
  <c r="U2205" i="12" a="1"/>
  <c r="U2201" i="12" a="1"/>
  <c r="U2197" i="12" a="1"/>
  <c r="U2193" i="12" a="1"/>
  <c r="U2189" i="12" a="1"/>
  <c r="U2185" i="12" a="1"/>
  <c r="U2181" i="12" a="1"/>
  <c r="U2177" i="12" a="1"/>
  <c r="U2173" i="12" a="1"/>
  <c r="X2169" i="12" a="1"/>
  <c r="U2165" i="12" a="1"/>
  <c r="X2161" i="12" a="1"/>
  <c r="W2158" i="12" a="1"/>
  <c r="V2154" i="12" a="1"/>
  <c r="U2149" i="12" a="1"/>
  <c r="U2145" i="12" a="1"/>
  <c r="U2141" i="12" a="1"/>
  <c r="U2137" i="12" a="1"/>
  <c r="U2133" i="12" a="1"/>
  <c r="U2129" i="12" a="1"/>
  <c r="U2125" i="12" a="1"/>
  <c r="U2121" i="12" a="1"/>
  <c r="U2117" i="12" a="1"/>
  <c r="U2113" i="12" a="1"/>
  <c r="U2109" i="12" a="1"/>
  <c r="U2105" i="12" a="1"/>
  <c r="U2101" i="12" a="1"/>
  <c r="U2097" i="12" a="1"/>
  <c r="U2334" i="12" a="1"/>
  <c r="V2330" i="12" a="1"/>
  <c r="W2284" i="12" a="1"/>
  <c r="W2276" i="12" a="1"/>
  <c r="W2270" i="12" a="1"/>
  <c r="V2265" i="12" a="1"/>
  <c r="X2261" i="12" a="1"/>
  <c r="X2257" i="12" a="1"/>
  <c r="X2253" i="12" a="1"/>
  <c r="X2249" i="12" a="1"/>
  <c r="X2245" i="12" a="1"/>
  <c r="X2241" i="12" a="1"/>
  <c r="X2237" i="12" a="1"/>
  <c r="X2233" i="12" a="1"/>
  <c r="X2229" i="12" a="1"/>
  <c r="X2225" i="12" a="1"/>
  <c r="X2221" i="12" a="1"/>
  <c r="X2217" i="12" a="1"/>
  <c r="X2213" i="12" a="1"/>
  <c r="X2209" i="12" a="1"/>
  <c r="X2205" i="12" a="1"/>
  <c r="X2201" i="12" a="1"/>
  <c r="X2197" i="12" a="1"/>
  <c r="X2193" i="12" a="1"/>
  <c r="X2189" i="12" a="1"/>
  <c r="X2185" i="12" a="1"/>
  <c r="X2181" i="12" a="1"/>
  <c r="X2178" i="12" a="1"/>
  <c r="X2175" i="12" a="1"/>
  <c r="X2173" i="12" a="1"/>
  <c r="X2170" i="12" a="1"/>
  <c r="X2166" i="12" a="1"/>
  <c r="W2163" i="12" a="1"/>
  <c r="W2159" i="12" a="1"/>
  <c r="U2154" i="12" a="1"/>
  <c r="X2150" i="12" a="1"/>
  <c r="V2147" i="12" a="1"/>
  <c r="V2143" i="12" a="1"/>
  <c r="V2139" i="12" a="1"/>
  <c r="V2135" i="12" a="1"/>
  <c r="V2131" i="12" a="1"/>
  <c r="V2127" i="12" a="1"/>
  <c r="V2123" i="12" a="1"/>
  <c r="V2119" i="12" a="1"/>
  <c r="V2115" i="12" a="1"/>
  <c r="V2111" i="12" a="1"/>
  <c r="V2107" i="12" a="1"/>
  <c r="V2103" i="12" a="1"/>
  <c r="V2099" i="12" a="1"/>
  <c r="V2095" i="12" a="1"/>
  <c r="V2091" i="12" a="1"/>
  <c r="V2087" i="12" a="1"/>
  <c r="V2083" i="12" a="1"/>
  <c r="V2079" i="12" a="1"/>
  <c r="V2075" i="12" a="1"/>
  <c r="V2071" i="12" a="1"/>
  <c r="V2067" i="12" a="1"/>
  <c r="V2063" i="12" a="1"/>
  <c r="W2325" i="12" a="1"/>
  <c r="W2321" i="12" a="1"/>
  <c r="W2316" i="12" a="1"/>
  <c r="W2312" i="12" a="1"/>
  <c r="W2308" i="12" a="1"/>
  <c r="W2304" i="12" a="1"/>
  <c r="W2300" i="12" a="1"/>
  <c r="W2296" i="12" a="1"/>
  <c r="W2292" i="12" a="1"/>
  <c r="W2288" i="12" a="1"/>
  <c r="U2284" i="12" a="1"/>
  <c r="U2280" i="12" a="1"/>
  <c r="U2276" i="12" a="1"/>
  <c r="W2268" i="12" a="1"/>
  <c r="X2264" i="12" a="1"/>
  <c r="W2257" i="12" a="1"/>
  <c r="W2249" i="12" a="1"/>
  <c r="W2241" i="12" a="1"/>
  <c r="W2233" i="12" a="1"/>
  <c r="W2225" i="12" a="1"/>
  <c r="W2217" i="12" a="1"/>
  <c r="U2211" i="12" a="1"/>
  <c r="U2207" i="12" a="1"/>
  <c r="U2203" i="12" a="1"/>
  <c r="U2199" i="12" a="1"/>
  <c r="U2195" i="12" a="1"/>
  <c r="U2191" i="12" a="1"/>
  <c r="U2187" i="12" a="1"/>
  <c r="U2183" i="12" a="1"/>
  <c r="W2179" i="12" a="1"/>
  <c r="W2175" i="12" a="1"/>
  <c r="W2171" i="12" a="1"/>
  <c r="X2167" i="12" a="1"/>
  <c r="V2163" i="12" a="1"/>
  <c r="V2158" i="12" a="1"/>
  <c r="X2154" i="12" a="1"/>
  <c r="X2151" i="12" a="1"/>
  <c r="U2147" i="12" a="1"/>
  <c r="U2143" i="12" a="1"/>
  <c r="U2139" i="12" a="1"/>
  <c r="U2135" i="12" a="1"/>
  <c r="U2131" i="12" a="1"/>
  <c r="U2127" i="12" a="1"/>
  <c r="U2123" i="12" a="1"/>
  <c r="U2119" i="12" a="1"/>
  <c r="U2115" i="12" a="1"/>
  <c r="U2111" i="12" a="1"/>
  <c r="U2107" i="12" a="1"/>
  <c r="U2103" i="12" a="1"/>
  <c r="U2099" i="12" a="1"/>
  <c r="U2095" i="12" a="1"/>
  <c r="U2091" i="12" a="1"/>
  <c r="U2087" i="12" a="1"/>
  <c r="U2083" i="12" a="1"/>
  <c r="U2079" i="12" a="1"/>
  <c r="U2075" i="12" a="1"/>
  <c r="U2071" i="12" a="1"/>
  <c r="U2067" i="12" a="1"/>
  <c r="U2063" i="12" a="1"/>
  <c r="U2059" i="12" a="1"/>
  <c r="U2058" i="12" a="1"/>
  <c r="V2603" i="12" a="1"/>
  <c r="X2588" i="12" a="1"/>
  <c r="U2500" i="12" a="1"/>
  <c r="U2491" i="12" a="1"/>
  <c r="V2413" i="12" a="1"/>
  <c r="V2514" i="12" a="1"/>
  <c r="X2423" i="12" a="1"/>
  <c r="U2505" i="12" a="1"/>
  <c r="V2422" i="12" a="1"/>
  <c r="W2495" i="12" a="1"/>
  <c r="X2369" i="12" a="1"/>
  <c r="W2333" i="12" a="1"/>
  <c r="X2260" i="12" a="1"/>
  <c r="W2239" i="12" a="1"/>
  <c r="U2217" i="12" a="1"/>
  <c r="U2397" i="12" a="1"/>
  <c r="W2364" i="12" a="1"/>
  <c r="X2341" i="12" a="1"/>
  <c r="X2319" i="12" a="1"/>
  <c r="V2298" i="12" a="1"/>
  <c r="V2276" i="12" a="1"/>
  <c r="W2475" i="12" a="1"/>
  <c r="V2380" i="12" a="1"/>
  <c r="X2357" i="12" a="1"/>
  <c r="V2335" i="12" a="1"/>
  <c r="X2316" i="12" a="1"/>
  <c r="X2303" i="12" a="1"/>
  <c r="U2293" i="12" a="1"/>
  <c r="V2642" i="12" a="1"/>
  <c r="X2620" i="12" a="1"/>
  <c r="X2459" i="12" a="1"/>
  <c r="V2453" i="12" a="1"/>
  <c r="X2447" i="12" a="1"/>
  <c r="X2442" i="12" a="1"/>
  <c r="X2397" i="12" a="1"/>
  <c r="X2383" i="12" a="1"/>
  <c r="U2373" i="12" a="1"/>
  <c r="V2367" i="12" a="1"/>
  <c r="X2362" i="12" a="1"/>
  <c r="W2357" i="12" a="1"/>
  <c r="X2352" i="12" a="1"/>
  <c r="W2346" i="12" a="1"/>
  <c r="V2341" i="12" a="1"/>
  <c r="W2281" i="12" a="1"/>
  <c r="U2272" i="12" a="1"/>
  <c r="X2262" i="12" a="1"/>
  <c r="V2257" i="12" a="1"/>
  <c r="U2251" i="12" a="1"/>
  <c r="X2246" i="12" a="1"/>
  <c r="V2241" i="12" a="1"/>
  <c r="U2235" i="12" a="1"/>
  <c r="X2230" i="12" a="1"/>
  <c r="V2225" i="12" a="1"/>
  <c r="U2219" i="12" a="1"/>
  <c r="X2214" i="12" a="1"/>
  <c r="V2209" i="12" a="1"/>
  <c r="X2203" i="12" a="1"/>
  <c r="W2198" i="12" a="1"/>
  <c r="V2193" i="12" a="1"/>
  <c r="X2187" i="12" a="1"/>
  <c r="W2182" i="12" a="1"/>
  <c r="V2173" i="12" a="1"/>
  <c r="V2165" i="12" a="1"/>
  <c r="V2160" i="12" a="1"/>
  <c r="W2156" i="12" a="1"/>
  <c r="V2149" i="12" a="1"/>
  <c r="U2144" i="12" a="1"/>
  <c r="U2140" i="12" a="1"/>
  <c r="U2136" i="12" a="1"/>
  <c r="U2132" i="12" a="1"/>
  <c r="U2128" i="12" a="1"/>
  <c r="U2124" i="12" a="1"/>
  <c r="U2120" i="12" a="1"/>
  <c r="U2116" i="12" a="1"/>
  <c r="U2112" i="12" a="1"/>
  <c r="U2108" i="12" a="1"/>
  <c r="U2104" i="12" a="1"/>
  <c r="U2100" i="12" a="1"/>
  <c r="U2096" i="12" a="1"/>
  <c r="U2092" i="12" a="1"/>
  <c r="U2088" i="12" a="1"/>
  <c r="U2084" i="12" a="1"/>
  <c r="U2080" i="12" a="1"/>
  <c r="U2076" i="12" a="1"/>
  <c r="U2072" i="12" a="1"/>
  <c r="U2068" i="12" a="1"/>
  <c r="U2064" i="12" a="1"/>
  <c r="U2060" i="12" a="1"/>
  <c r="U2056" i="12" a="1"/>
  <c r="U2052" i="12" a="1"/>
  <c r="U2048" i="12" a="1"/>
  <c r="V2044" i="12" a="1"/>
  <c r="X2041" i="12" a="1"/>
  <c r="X2339" i="12" a="1"/>
  <c r="U2335" i="12" a="1"/>
  <c r="U2285" i="12" a="1"/>
  <c r="U2281" i="12" a="1"/>
  <c r="U2277" i="12" a="1"/>
  <c r="V2273" i="12" a="1"/>
  <c r="W2266" i="12" a="1"/>
  <c r="W2258" i="12" a="1"/>
  <c r="W2250" i="12" a="1"/>
  <c r="W2242" i="12" a="1"/>
  <c r="W2234" i="12" a="1"/>
  <c r="W2226" i="12" a="1"/>
  <c r="W2218" i="12" a="1"/>
  <c r="X2212" i="12" a="1"/>
  <c r="X2208" i="12" a="1"/>
  <c r="X2204" i="12" a="1"/>
  <c r="X2200" i="12" a="1"/>
  <c r="X2196" i="12" a="1"/>
  <c r="X2192" i="12" a="1"/>
  <c r="X2188" i="12" a="1"/>
  <c r="X2184" i="12" a="1"/>
  <c r="U2180" i="12" a="1"/>
  <c r="U2176" i="12" a="1"/>
  <c r="U2172" i="12" a="1"/>
  <c r="W2168" i="12" a="1"/>
  <c r="X2164" i="12" a="1"/>
  <c r="X2160" i="12" a="1"/>
  <c r="W2157" i="12" a="1"/>
  <c r="V2153" i="12" a="1"/>
  <c r="X2148" i="12" a="1"/>
  <c r="X2144" i="12" a="1"/>
  <c r="X2140" i="12" a="1"/>
  <c r="X2136" i="12" a="1"/>
  <c r="X2132" i="12" a="1"/>
  <c r="X2128" i="12" a="1"/>
  <c r="X2124" i="12" a="1"/>
  <c r="X2120" i="12" a="1"/>
  <c r="X2116" i="12" a="1"/>
  <c r="X2112" i="12" a="1"/>
  <c r="X2108" i="12" a="1"/>
  <c r="X2104" i="12" a="1"/>
  <c r="X2100" i="12" a="1"/>
  <c r="X2096" i="12" a="1"/>
  <c r="X2333" i="12" a="1"/>
  <c r="U2329" i="12" a="1"/>
  <c r="W2282" i="12" a="1"/>
  <c r="W2274" i="12" a="1"/>
  <c r="X2269" i="12" a="1"/>
  <c r="U2264" i="12" a="1"/>
  <c r="U2260" i="12" a="1"/>
  <c r="U2256" i="12" a="1"/>
  <c r="U2252" i="12" a="1"/>
  <c r="U2248" i="12" a="1"/>
  <c r="U2244" i="12" a="1"/>
  <c r="U2240" i="12" a="1"/>
  <c r="U2236" i="12" a="1"/>
  <c r="U2232" i="12" a="1"/>
  <c r="U2228" i="12" a="1"/>
  <c r="U2224" i="12" a="1"/>
  <c r="U2220" i="12" a="1"/>
  <c r="U2216" i="12" a="1"/>
  <c r="W2212" i="12" a="1"/>
  <c r="W2208" i="12" a="1"/>
  <c r="W2204" i="12" a="1"/>
  <c r="W2200" i="12" a="1"/>
  <c r="W2196" i="12" a="1"/>
  <c r="W2192" i="12" a="1"/>
  <c r="W2188" i="12" a="1"/>
  <c r="W2184" i="12" a="1"/>
  <c r="X2180" i="12" a="1"/>
  <c r="U2178" i="12" a="1"/>
  <c r="U2175" i="12" a="1"/>
  <c r="X2172" i="12" a="1"/>
  <c r="W2169" i="12" a="1"/>
  <c r="U2166" i="12" a="1"/>
  <c r="W2162" i="12" a="1"/>
  <c r="V2157" i="12" a="1"/>
  <c r="U2153" i="12" a="1"/>
  <c r="U2150" i="12" a="1"/>
  <c r="U2146" i="12" a="1"/>
  <c r="U2142" i="12" a="1"/>
  <c r="U2138" i="12" a="1"/>
  <c r="U2134" i="12" a="1"/>
  <c r="U2130" i="12" a="1"/>
  <c r="U2126" i="12" a="1"/>
  <c r="U2122" i="12" a="1"/>
  <c r="U2118" i="12" a="1"/>
  <c r="U2114" i="12" a="1"/>
  <c r="U2110" i="12" a="1"/>
  <c r="U2106" i="12" a="1"/>
  <c r="U2102" i="12" a="1"/>
  <c r="U2098" i="12" a="1"/>
  <c r="U2094" i="12" a="1"/>
  <c r="U2090" i="12" a="1"/>
  <c r="U2086" i="12" a="1"/>
  <c r="U2082" i="12" a="1"/>
  <c r="U2078" i="12" a="1"/>
  <c r="U2074" i="12" a="1"/>
  <c r="U2070" i="12" a="1"/>
  <c r="U2066" i="12" a="1"/>
  <c r="U2328" i="12" a="1"/>
  <c r="V2324" i="12" a="1"/>
  <c r="V2319" i="12" a="1"/>
  <c r="V2315" i="12" a="1"/>
  <c r="W2311" i="12" a="1"/>
  <c r="W2307" i="12" a="1"/>
  <c r="W2303" i="12" a="1"/>
  <c r="W2299" i="12" a="1"/>
  <c r="W2295" i="12" a="1"/>
  <c r="W2291" i="12" a="1"/>
  <c r="X2287" i="12" a="1"/>
  <c r="X2283" i="12" a="1"/>
  <c r="X2279" i="12" a="1"/>
  <c r="X2275" i="12" a="1"/>
  <c r="U2267" i="12" a="1"/>
  <c r="V2263" i="12" a="1"/>
  <c r="V2255" i="12" a="1"/>
  <c r="V2247" i="12" a="1"/>
  <c r="V2239" i="12" a="1"/>
  <c r="V2231" i="12" a="1"/>
  <c r="V2223" i="12" a="1"/>
  <c r="V2215" i="12" a="1"/>
  <c r="X2210" i="12" a="1"/>
  <c r="X2206" i="12" a="1"/>
  <c r="X2202" i="12" a="1"/>
  <c r="X2198" i="12" a="1"/>
  <c r="X2194" i="12" a="1"/>
  <c r="X2190" i="12" a="1"/>
  <c r="X2186" i="12" a="1"/>
  <c r="X2182" i="12" a="1"/>
  <c r="W2178" i="12" a="1"/>
  <c r="W2174" i="12" a="1"/>
  <c r="W2170" i="12" a="1"/>
  <c r="W2166" i="12" a="1"/>
  <c r="V2162" i="12" a="1"/>
  <c r="U2157" i="12" a="1"/>
  <c r="X2153" i="12" a="1"/>
  <c r="W2150" i="12" a="1"/>
  <c r="X2146" i="12" a="1"/>
  <c r="X2142" i="12" a="1"/>
  <c r="X2138" i="12" a="1"/>
  <c r="X2134" i="12" a="1"/>
  <c r="X2130" i="12" a="1"/>
  <c r="X2126" i="12" a="1"/>
  <c r="X2122" i="12" a="1"/>
  <c r="X2118" i="12" a="1"/>
  <c r="X2114" i="12" a="1"/>
  <c r="X2110" i="12" a="1"/>
  <c r="X2106" i="12" a="1"/>
  <c r="X2102" i="12" a="1"/>
  <c r="X2098" i="12" a="1"/>
  <c r="X2094" i="12" a="1"/>
  <c r="X2090" i="12" a="1"/>
  <c r="X2086" i="12" a="1"/>
  <c r="X2082" i="12" a="1"/>
  <c r="X2078" i="12" a="1"/>
  <c r="X2074" i="12" a="1"/>
  <c r="X2070" i="12" a="1"/>
  <c r="X2066" i="12" a="1"/>
  <c r="X2062" i="12" a="1"/>
  <c r="X2058" i="12" a="1"/>
  <c r="X2057" i="12" a="1"/>
  <c r="X2053" i="12" a="1"/>
  <c r="X2049" i="12" a="1"/>
  <c r="X2045" i="12" a="1"/>
  <c r="U2036" i="12" a="1"/>
  <c r="U2549" i="12" a="1"/>
  <c r="V2535" i="12" a="1"/>
  <c r="U2484" i="12" a="1"/>
  <c r="U2461" i="12" a="1"/>
  <c r="W2397" i="12" a="1"/>
  <c r="V2482" i="12" a="1"/>
  <c r="X2407" i="12" a="1"/>
  <c r="U2473" i="12" a="1"/>
  <c r="W2412" i="12" a="1"/>
  <c r="W2435" i="12" a="1"/>
  <c r="V2358" i="12" a="1"/>
  <c r="X2323" i="12" a="1"/>
  <c r="W2255" i="12" a="1"/>
  <c r="U2233" i="12" a="1"/>
  <c r="U2421" i="12" a="1"/>
  <c r="V2388" i="12" a="1"/>
  <c r="U2357" i="12" a="1"/>
  <c r="W2336" i="12" a="1"/>
  <c r="W2314" i="12" a="1"/>
  <c r="V2292" i="12" a="1"/>
  <c r="U2269" i="12" a="1"/>
  <c r="W2403" i="12" a="1"/>
  <c r="W2374" i="12" a="1"/>
  <c r="U2352" i="12" a="1"/>
  <c r="X2331" i="12" a="1"/>
  <c r="X2311" i="12" a="1"/>
  <c r="U2301" i="12" a="1"/>
  <c r="X2290" i="12" a="1"/>
  <c r="X2636" i="12" a="1"/>
  <c r="W2615" i="12" a="1"/>
  <c r="W2458" i="12" a="1"/>
  <c r="X2451" i="12" a="1"/>
  <c r="W2446" i="12" a="1"/>
  <c r="X2441" i="12" a="1"/>
  <c r="V2393" i="12" a="1"/>
  <c r="X2382" i="12" a="1"/>
  <c r="X2372" i="12" a="1"/>
  <c r="V2365" i="12" a="1"/>
  <c r="W2361" i="12" a="1"/>
  <c r="W2356" i="12" a="1"/>
  <c r="V2350" i="12" a="1"/>
  <c r="V2345" i="12" a="1"/>
  <c r="U2340" i="12" a="1"/>
  <c r="W2277" i="12" a="1"/>
  <c r="X2271" i="12" a="1"/>
  <c r="V2261" i="12" a="1"/>
  <c r="U2255" i="12" a="1"/>
  <c r="X2250" i="12" a="1"/>
  <c r="V2245" i="12" a="1"/>
  <c r="U2239" i="12" a="1"/>
  <c r="X2234" i="12" a="1"/>
  <c r="V2229" i="12" a="1"/>
  <c r="U2223" i="12" a="1"/>
  <c r="X2218" i="12" a="1"/>
  <c r="V2213" i="12" a="1"/>
  <c r="X2207" i="12" a="1"/>
  <c r="W2202" i="12" a="1"/>
  <c r="V2197" i="12" a="1"/>
  <c r="X2191" i="12" a="1"/>
  <c r="W2186" i="12" a="1"/>
  <c r="V2181" i="12" a="1"/>
  <c r="V2170" i="12" a="1"/>
  <c r="U2164" i="12" a="1"/>
  <c r="U2159" i="12" a="1"/>
  <c r="W2154" i="12" a="1"/>
  <c r="U2148" i="12" a="1"/>
  <c r="X2143" i="12" a="1"/>
  <c r="X2139" i="12" a="1"/>
  <c r="X2135" i="12" a="1"/>
  <c r="X2131" i="12" a="1"/>
  <c r="X2127" i="12" a="1"/>
  <c r="X2123" i="12" a="1"/>
  <c r="X2119" i="12" a="1"/>
  <c r="X2115" i="12" a="1"/>
  <c r="X2111" i="12" a="1"/>
  <c r="X2107" i="12" a="1"/>
  <c r="X2103" i="12" a="1"/>
  <c r="X2099" i="12" a="1"/>
  <c r="X2095" i="12" a="1"/>
  <c r="X2091" i="12" a="1"/>
  <c r="X2087" i="12" a="1"/>
  <c r="X2083" i="12" a="1"/>
  <c r="X2079" i="12" a="1"/>
  <c r="X2075" i="12" a="1"/>
  <c r="X2071" i="12" a="1"/>
  <c r="X2067" i="12" a="1"/>
  <c r="X2063" i="12" a="1"/>
  <c r="X2059" i="12" a="1"/>
  <c r="X2055" i="12" a="1"/>
  <c r="X2051" i="12" a="1"/>
  <c r="X2047" i="12" a="1"/>
  <c r="U2043" i="12" a="1"/>
  <c r="W2040" i="12" a="1"/>
  <c r="W2338" i="12" a="1"/>
  <c r="X2334" i="12" a="1"/>
  <c r="X2284" i="12" a="1"/>
  <c r="X2280" i="12" a="1"/>
  <c r="X2276" i="12" a="1"/>
  <c r="U2271" i="12" a="1"/>
  <c r="V2264" i="12" a="1"/>
  <c r="V2256" i="12" a="1"/>
  <c r="V2248" i="12" a="1"/>
  <c r="V2240" i="12" a="1"/>
  <c r="V2232" i="12" a="1"/>
  <c r="V2224" i="12" a="1"/>
  <c r="V2216" i="12" a="1"/>
  <c r="W2211" i="12" a="1"/>
  <c r="W2207" i="12" a="1"/>
  <c r="W2203" i="12" a="1"/>
  <c r="W2199" i="12" a="1"/>
  <c r="W2195" i="12" a="1"/>
  <c r="W2191" i="12" a="1"/>
  <c r="W2187" i="12" a="1"/>
  <c r="W2183" i="12" a="1"/>
  <c r="V2179" i="12" a="1"/>
  <c r="V2175" i="12" a="1"/>
  <c r="V2171" i="12" a="1"/>
  <c r="V2167" i="12" a="1"/>
  <c r="X2163" i="12" a="1"/>
  <c r="U2160" i="12" a="1"/>
  <c r="V2156" i="12" a="1"/>
  <c r="V2151" i="12" a="1"/>
  <c r="W2147" i="12" a="1"/>
  <c r="W2143" i="12" a="1"/>
  <c r="W2139" i="12" a="1"/>
  <c r="W2135" i="12" a="1"/>
  <c r="W2131" i="12" a="1"/>
  <c r="W2127" i="12" a="1"/>
  <c r="W2123" i="12" a="1"/>
  <c r="W2119" i="12" a="1"/>
  <c r="W2115" i="12" a="1"/>
  <c r="W2111" i="12" a="1"/>
  <c r="W2107" i="12" a="1"/>
  <c r="W2103" i="12" a="1"/>
  <c r="W2099" i="12" a="1"/>
  <c r="W2095" i="12" a="1"/>
  <c r="W2332" i="12" a="1"/>
  <c r="X2328" i="12" a="1"/>
  <c r="W2280" i="12" a="1"/>
  <c r="U2273" i="12" a="1"/>
  <c r="W2267" i="12" a="1"/>
  <c r="X2263" i="12" a="1"/>
  <c r="X2259" i="12" a="1"/>
  <c r="X2255" i="12" a="1"/>
  <c r="X2251" i="12" a="1"/>
  <c r="X2247" i="12" a="1"/>
  <c r="X2243" i="12" a="1"/>
  <c r="X2239" i="12" a="1"/>
  <c r="X2235" i="12" a="1"/>
  <c r="X2231" i="12" a="1"/>
  <c r="X2227" i="12" a="1"/>
  <c r="X2223" i="12" a="1"/>
  <c r="X2219" i="12" a="1"/>
  <c r="X2215" i="12" a="1"/>
  <c r="V2211" i="12" a="1"/>
  <c r="V2207" i="12" a="1"/>
  <c r="V2203" i="12" a="1"/>
  <c r="V2199" i="12" a="1"/>
  <c r="V2195" i="12" a="1"/>
  <c r="V2191" i="12" a="1"/>
  <c r="V2187" i="12" a="1"/>
  <c r="V2183" i="12" a="1"/>
  <c r="X2179" i="12" a="1"/>
  <c r="X2177" i="12" a="1"/>
  <c r="X2174" i="12" a="1"/>
  <c r="X2171" i="12" a="1"/>
  <c r="V2168" i="12" a="1"/>
  <c r="X2165" i="12" a="1"/>
  <c r="W2161" i="12" a="1"/>
  <c r="U2156" i="12" a="1"/>
  <c r="V2152" i="12" a="1"/>
  <c r="X2149" i="12" a="1"/>
  <c r="X2145" i="12" a="1"/>
  <c r="X2141" i="12" a="1"/>
  <c r="X2137" i="12" a="1"/>
  <c r="X2133" i="12" a="1"/>
  <c r="X2129" i="12" a="1"/>
  <c r="X2125" i="12" a="1"/>
  <c r="X2121" i="12" a="1"/>
  <c r="X2117" i="12" a="1"/>
  <c r="X2113" i="12" a="1"/>
  <c r="X2109" i="12" a="1"/>
  <c r="X2105" i="12" a="1"/>
  <c r="X2101" i="12" a="1"/>
  <c r="X2097" i="12" a="1"/>
  <c r="X2093" i="12" a="1"/>
  <c r="X2089" i="12" a="1"/>
  <c r="X2085" i="12" a="1"/>
  <c r="X2081" i="12" a="1"/>
  <c r="X2077" i="12" a="1"/>
  <c r="X2073" i="12" a="1"/>
  <c r="X2069" i="12" a="1"/>
  <c r="X2065" i="12" a="1"/>
  <c r="X2327" i="12" a="1"/>
  <c r="U2323" i="12" a="1"/>
  <c r="U2318" i="12" a="1"/>
  <c r="U2314" i="12" a="1"/>
  <c r="W2310" i="12" a="1"/>
  <c r="W2306" i="12" a="1"/>
  <c r="W2302" i="12" a="1"/>
  <c r="W2298" i="12" a="1"/>
  <c r="W2294" i="12" a="1"/>
  <c r="W2290" i="12" a="1"/>
  <c r="U2286" i="12" a="1"/>
  <c r="U2282" i="12" a="1"/>
  <c r="U2278" i="12" a="1"/>
  <c r="V2272" i="12" a="1"/>
  <c r="U2266" i="12" a="1"/>
  <c r="W2261" i="12" a="1"/>
  <c r="W2253" i="12" a="1"/>
  <c r="W2245" i="12" a="1"/>
  <c r="W2237" i="12" a="1"/>
  <c r="W2229" i="12" a="1"/>
  <c r="W2221" i="12" a="1"/>
  <c r="W2213" i="12" a="1"/>
  <c r="W2209" i="12" a="1"/>
  <c r="W2205" i="12" a="1"/>
  <c r="W2201" i="12" a="1"/>
  <c r="W2197" i="12" a="1"/>
  <c r="W2193" i="12" a="1"/>
  <c r="W2189" i="12" a="1"/>
  <c r="W2185" i="12" a="1"/>
  <c r="W2181" i="12" a="1"/>
  <c r="W2177" i="12" a="1"/>
  <c r="W2173" i="12" a="1"/>
  <c r="V2169" i="12" a="1"/>
  <c r="W2165" i="12" a="1"/>
  <c r="V2161" i="12" a="1"/>
  <c r="X2156" i="12" a="1"/>
  <c r="X2152" i="12" a="1"/>
  <c r="W2149" i="12" a="1"/>
  <c r="W2145" i="12" a="1"/>
  <c r="W2141" i="12" a="1"/>
  <c r="W2137" i="12" a="1"/>
  <c r="W2133" i="12" a="1"/>
  <c r="W2129" i="12" a="1"/>
  <c r="W2125" i="12" a="1"/>
  <c r="W2121" i="12" a="1"/>
  <c r="W2117" i="12" a="1"/>
  <c r="W2113" i="12" a="1"/>
  <c r="W2109" i="12" a="1"/>
  <c r="W2105" i="12" a="1"/>
  <c r="W2101" i="12" a="1"/>
  <c r="W2097" i="12" a="1"/>
  <c r="W2093" i="12" a="1"/>
  <c r="W2089" i="12" a="1"/>
  <c r="W2085" i="12" a="1"/>
  <c r="W2081" i="12" a="1"/>
  <c r="W2077" i="12" a="1"/>
  <c r="W2073" i="12" a="1"/>
  <c r="W2069" i="12" a="1"/>
  <c r="W2065" i="12" a="1"/>
  <c r="W2061" i="12" a="1"/>
  <c r="U2062" i="12" a="1"/>
  <c r="V2056" i="12" a="1"/>
  <c r="U2518" i="12" a="1"/>
  <c r="X2564" i="12" a="1"/>
  <c r="U2468" i="12" a="1"/>
  <c r="V2445" i="12" a="1"/>
  <c r="V2383" i="12" a="1"/>
  <c r="V2455" i="12" a="1"/>
  <c r="W2389" i="12" a="1"/>
  <c r="V2452" i="12" a="1"/>
  <c r="W2401" i="12" a="1"/>
  <c r="W2424" i="12" a="1"/>
  <c r="W2348" i="12" a="1"/>
  <c r="U2315" i="12" a="1"/>
  <c r="U2249" i="12" a="1"/>
  <c r="X2228" i="12" a="1"/>
  <c r="U2416" i="12" a="1"/>
  <c r="V2376" i="12" a="1"/>
  <c r="V2352" i="12" a="1"/>
  <c r="X2330" i="12" a="1"/>
  <c r="V2308" i="12" a="1"/>
  <c r="V2287" i="12" a="1"/>
  <c r="V2516" i="12" a="1"/>
  <c r="V2396" i="12" a="1"/>
  <c r="X2368" i="12" a="1"/>
  <c r="U2347" i="12" a="1"/>
  <c r="U2326" i="12" a="1"/>
  <c r="U2309" i="12" a="1"/>
  <c r="X2298" i="12" a="1"/>
  <c r="X2653" i="12" a="1"/>
  <c r="W2631" i="12" a="1"/>
  <c r="W2610" i="12" a="1"/>
  <c r="V2457" i="12" a="1"/>
  <c r="W2450" i="12" a="1"/>
  <c r="W2445" i="12" a="1"/>
  <c r="V2439" i="12" a="1"/>
  <c r="V2391" i="12" a="1"/>
  <c r="W2381" i="12" a="1"/>
  <c r="U2370" i="12" a="1"/>
  <c r="U2364" i="12" a="1"/>
  <c r="X2360" i="12" a="1"/>
  <c r="V2354" i="12" a="1"/>
  <c r="U2349" i="12" a="1"/>
  <c r="U2344" i="12" a="1"/>
  <c r="W2285" i="12" a="1"/>
  <c r="W2275" i="12" a="1"/>
  <c r="X2266" i="12" a="1"/>
  <c r="U2259" i="12" a="1"/>
  <c r="X2254" i="12" a="1"/>
  <c r="V2249" i="12" a="1"/>
  <c r="U2243" i="12" a="1"/>
  <c r="X2238" i="12" a="1"/>
  <c r="V2233" i="12" a="1"/>
  <c r="U2227" i="12" a="1"/>
  <c r="X2222" i="12" a="1"/>
  <c r="V2217" i="12" a="1"/>
  <c r="X2211" i="12" a="1"/>
  <c r="W2206" i="12" a="1"/>
  <c r="V2201" i="12" a="1"/>
  <c r="X2195" i="12" a="1"/>
  <c r="W2190" i="12" a="1"/>
  <c r="V2185" i="12" a="1"/>
  <c r="V2177" i="12" a="1"/>
  <c r="U2169" i="12" a="1"/>
  <c r="U2163" i="12" a="1"/>
  <c r="U2158" i="12" a="1"/>
  <c r="W2153" i="12" a="1"/>
  <c r="X2147" i="12" a="1"/>
  <c r="W2142" i="12" a="1"/>
  <c r="W2138" i="12" a="1"/>
  <c r="W2134" i="12" a="1"/>
  <c r="W2130" i="12" a="1"/>
  <c r="W2126" i="12" a="1"/>
  <c r="W2122" i="12" a="1"/>
  <c r="W2118" i="12" a="1"/>
  <c r="W2114" i="12" a="1"/>
  <c r="W2110" i="12" a="1"/>
  <c r="W2106" i="12" a="1"/>
  <c r="W2102" i="12" a="1"/>
  <c r="W2098" i="12" a="1"/>
  <c r="W2094" i="12" a="1"/>
  <c r="W2090" i="12" a="1"/>
  <c r="W2086" i="12" a="1"/>
  <c r="W2082" i="12" a="1"/>
  <c r="W2078" i="12" a="1"/>
  <c r="W2074" i="12" a="1"/>
  <c r="W2070" i="12" a="1"/>
  <c r="W2066" i="12" a="1"/>
  <c r="W2062" i="12" a="1"/>
  <c r="W2058" i="12" a="1"/>
  <c r="W2054" i="12" a="1"/>
  <c r="W2050" i="12" a="1"/>
  <c r="W2046" i="12" a="1"/>
  <c r="X2042" i="12" a="1"/>
  <c r="W2039" i="12" a="1"/>
  <c r="V2337" i="12" a="1"/>
  <c r="U2287" i="12" a="1"/>
  <c r="U2283" i="12" a="1"/>
  <c r="U2279" i="12" a="1"/>
  <c r="U2275" i="12" a="1"/>
  <c r="X2270" i="12" a="1"/>
  <c r="W2262" i="12" a="1"/>
  <c r="W2254" i="12" a="1"/>
  <c r="W2246" i="12" a="1"/>
  <c r="W2238" i="12" a="1"/>
  <c r="W2230" i="12" a="1"/>
  <c r="W2222" i="12" a="1"/>
  <c r="W2214" i="12" a="1"/>
  <c r="V2210" i="12" a="1"/>
  <c r="V2206" i="12" a="1"/>
  <c r="V2202" i="12" a="1"/>
  <c r="V2198" i="12" a="1"/>
  <c r="V2194" i="12" a="1"/>
  <c r="V2190" i="12" a="1"/>
  <c r="V2186" i="12" a="1"/>
  <c r="V2182" i="12" a="1"/>
  <c r="V2178" i="12" a="1"/>
  <c r="V2174" i="12" a="1"/>
  <c r="U2170" i="12" a="1"/>
  <c r="V2166" i="12" a="1"/>
  <c r="X2162" i="12" a="1"/>
  <c r="X2159" i="12" a="1"/>
  <c r="V2155" i="12" a="1"/>
  <c r="V2150" i="12" a="1"/>
  <c r="V2146" i="12" a="1"/>
  <c r="V2142" i="12" a="1"/>
  <c r="V2138" i="12" a="1"/>
  <c r="V2134" i="12" a="1"/>
  <c r="V2130" i="12" a="1"/>
  <c r="V2126" i="12" a="1"/>
  <c r="V2122" i="12" a="1"/>
  <c r="V2118" i="12" a="1"/>
  <c r="V2114" i="12" a="1"/>
  <c r="V2110" i="12" a="1"/>
  <c r="V2106" i="12" a="1"/>
  <c r="V2102" i="12" a="1"/>
  <c r="V2098" i="12" a="1"/>
  <c r="V2094" i="12" a="1"/>
  <c r="W2331" i="12" a="1"/>
  <c r="W2286" i="12" a="1"/>
  <c r="W2278" i="12" a="1"/>
  <c r="X2272" i="12" a="1"/>
  <c r="V2266" i="12" a="1"/>
  <c r="U2262" i="12" a="1"/>
  <c r="U2258" i="12" a="1"/>
  <c r="U2254" i="12" a="1"/>
  <c r="U2250" i="12" a="1"/>
  <c r="U2246" i="12" a="1"/>
  <c r="U2242" i="12" a="1"/>
  <c r="U2238" i="12" a="1"/>
  <c r="U2234" i="12" a="1"/>
  <c r="U2230" i="12" a="1"/>
  <c r="U2226" i="12" a="1"/>
  <c r="U2222" i="12" a="1"/>
  <c r="U2218" i="12" a="1"/>
  <c r="U2214" i="12" a="1"/>
  <c r="U2210" i="12" a="1"/>
  <c r="U2206" i="12" a="1"/>
  <c r="U2202" i="12" a="1"/>
  <c r="U2198" i="12" a="1"/>
  <c r="U2194" i="12" a="1"/>
  <c r="U2190" i="12" a="1"/>
  <c r="U2186" i="12" a="1"/>
  <c r="U2182" i="12" a="1"/>
  <c r="U2179" i="12" a="1"/>
  <c r="X2176" i="12" a="1"/>
  <c r="U2174" i="12" a="1"/>
  <c r="U2171" i="12" a="1"/>
  <c r="U2167" i="12" a="1"/>
  <c r="W2164" i="12" a="1"/>
  <c r="W2160" i="12" a="1"/>
  <c r="U2155" i="12" a="1"/>
  <c r="U2151" i="12" a="1"/>
  <c r="W2148" i="12" a="1"/>
  <c r="W2144" i="12" a="1"/>
  <c r="W2140" i="12" a="1"/>
  <c r="W2136" i="12" a="1"/>
  <c r="W2132" i="12" a="1"/>
  <c r="W2128" i="12" a="1"/>
  <c r="W2124" i="12" a="1"/>
  <c r="W2120" i="12" a="1"/>
  <c r="W2116" i="12" a="1"/>
  <c r="W2112" i="12" a="1"/>
  <c r="W2108" i="12" a="1"/>
  <c r="W2104" i="12" a="1"/>
  <c r="W2100" i="12" a="1"/>
  <c r="W2096" i="12" a="1"/>
  <c r="W2092" i="12" a="1"/>
  <c r="W2088" i="12" a="1"/>
  <c r="W2084" i="12" a="1"/>
  <c r="W2080" i="12" a="1"/>
  <c r="W2076" i="12" a="1"/>
  <c r="W2072" i="12" a="1"/>
  <c r="W2068" i="12" a="1"/>
  <c r="W2064" i="12" a="1"/>
  <c r="W2326" i="12" a="1"/>
  <c r="X2322" i="12" a="1"/>
  <c r="X2317" i="12" a="1"/>
  <c r="X2313" i="12" a="1"/>
  <c r="W2309" i="12" a="1"/>
  <c r="W2305" i="12" a="1"/>
  <c r="W2301" i="12" a="1"/>
  <c r="W2297" i="12" a="1"/>
  <c r="W2293" i="12" a="1"/>
  <c r="W2289" i="12" a="1"/>
  <c r="X2285" i="12" a="1"/>
  <c r="X2281" i="12" a="1"/>
  <c r="X2277" i="12" a="1"/>
  <c r="W2269" i="12" a="1"/>
  <c r="U2265" i="12" a="1"/>
  <c r="V2259" i="12" a="1"/>
  <c r="V2251" i="12" a="1"/>
  <c r="V2243" i="12" a="1"/>
  <c r="V2235" i="12" a="1"/>
  <c r="V2227" i="12" a="1"/>
  <c r="V2219" i="12" a="1"/>
  <c r="V2212" i="12" a="1"/>
  <c r="V2208" i="12" a="1"/>
  <c r="V2204" i="12" a="1"/>
  <c r="V2200" i="12" a="1"/>
  <c r="V2196" i="12" a="1"/>
  <c r="V2192" i="12" a="1"/>
  <c r="V2188" i="12" a="1"/>
  <c r="V2184" i="12" a="1"/>
  <c r="W2180" i="12" a="1"/>
  <c r="W2176" i="12" a="1"/>
  <c r="W2172" i="12" a="1"/>
  <c r="U2168" i="12" a="1"/>
  <c r="V2164" i="12" a="1"/>
  <c r="V2159" i="12" a="1"/>
  <c r="X2155" i="12" a="1"/>
  <c r="U2152" i="12" a="1"/>
  <c r="V2148" i="12" a="1"/>
  <c r="V2144" i="12" a="1"/>
  <c r="V2140" i="12" a="1"/>
  <c r="V2136" i="12" a="1"/>
  <c r="V2132" i="12" a="1"/>
  <c r="V2128" i="12" a="1"/>
  <c r="V2124" i="12" a="1"/>
  <c r="V2120" i="12" a="1"/>
  <c r="V2116" i="12" a="1"/>
  <c r="V2112" i="12" a="1"/>
  <c r="V2108" i="12" a="1"/>
  <c r="V2104" i="12" a="1"/>
  <c r="V2100" i="12" a="1"/>
  <c r="V2096" i="12" a="1"/>
  <c r="V2092" i="12" a="1"/>
  <c r="V2088" i="12" a="1"/>
  <c r="V2084" i="12" a="1"/>
  <c r="V2080" i="12" a="1"/>
  <c r="V2076" i="12" a="1"/>
  <c r="V2072" i="12" a="1"/>
  <c r="V2068" i="12" a="1"/>
  <c r="V2064" i="12" a="1"/>
  <c r="V2060" i="12" a="1"/>
  <c r="X2061" i="12" a="1"/>
  <c r="W2055" i="12" a="1"/>
  <c r="U2054" i="12" a="1"/>
  <c r="V2048" i="12" a="1"/>
  <c r="X2038" i="12" a="1"/>
  <c r="W2033" i="12" a="1"/>
  <c r="W2028" i="12" a="1"/>
  <c r="X2024" i="12" a="1"/>
  <c r="V2021" i="12" a="1"/>
  <c r="W2017" i="12" a="1"/>
  <c r="W2012" i="12" a="1"/>
  <c r="X2008" i="12" a="1"/>
  <c r="V2005" i="12" a="1"/>
  <c r="W2001" i="12" a="1"/>
  <c r="X1996" i="12" a="1"/>
  <c r="W1993" i="12" a="1"/>
  <c r="X1988" i="12" a="1"/>
  <c r="W1985" i="12" a="1"/>
  <c r="X1980" i="12" a="1"/>
  <c r="W1977" i="12" a="1"/>
  <c r="W1972" i="12" a="1"/>
  <c r="X1968" i="12" a="1"/>
  <c r="U1960" i="12" a="1"/>
  <c r="U1957" i="12" a="1"/>
  <c r="U1955" i="12" a="1"/>
  <c r="U1953" i="12" a="1"/>
  <c r="U1951" i="12" a="1"/>
  <c r="U1949" i="12" a="1"/>
  <c r="U1947" i="12" a="1"/>
  <c r="U1945" i="12" a="1"/>
  <c r="U1943" i="12" a="1"/>
  <c r="X2060" i="12" a="1"/>
  <c r="V2051" i="12" a="1"/>
  <c r="U2044" i="12" a="1"/>
  <c r="V2040" i="12" a="1"/>
  <c r="W2035" i="12" a="1"/>
  <c r="X2030" i="12" a="1"/>
  <c r="X2026" i="12" a="1"/>
  <c r="W2023" i="12" a="1"/>
  <c r="W2019" i="12" a="1"/>
  <c r="X2014" i="12" a="1"/>
  <c r="X2010" i="12" a="1"/>
  <c r="W2007" i="12" a="1"/>
  <c r="W2003" i="12" a="1"/>
  <c r="X1998" i="12" a="1"/>
  <c r="W1995" i="12" a="1"/>
  <c r="X1990" i="12" a="1"/>
  <c r="W1987" i="12" a="1"/>
  <c r="X1982" i="12" a="1"/>
  <c r="W1979" i="12" a="1"/>
  <c r="X1974" i="12" a="1"/>
  <c r="X1969" i="12" a="1"/>
  <c r="V1965" i="12" a="1"/>
  <c r="U1961" i="12" a="1"/>
  <c r="W1957" i="12" a="1"/>
  <c r="W1953" i="12" a="1"/>
  <c r="W1949" i="12" a="1"/>
  <c r="W1945" i="12" a="1"/>
  <c r="W1941" i="12" a="1"/>
  <c r="W1937" i="12" a="1"/>
  <c r="W1933" i="12" a="1"/>
  <c r="W1929" i="12" a="1"/>
  <c r="W1925" i="12" a="1"/>
  <c r="W2060" i="12" a="1"/>
  <c r="U2055" i="12" a="1"/>
  <c r="U2051" i="12" a="1"/>
  <c r="U2047" i="12" a="1"/>
  <c r="W2043" i="12" a="1"/>
  <c r="U2038" i="12" a="1"/>
  <c r="V2034" i="12" a="1"/>
  <c r="X2031" i="12" a="1"/>
  <c r="X2027" i="12" a="1"/>
  <c r="U2022" i="12" a="1"/>
  <c r="V2018" i="12" a="1"/>
  <c r="X2015" i="12" a="1"/>
  <c r="X2011" i="12" a="1"/>
  <c r="U2006" i="12" a="1"/>
  <c r="V2002" i="12" a="1"/>
  <c r="X1999" i="12" a="1"/>
  <c r="V1994" i="12" a="1"/>
  <c r="X1991" i="12" a="1"/>
  <c r="V1986" i="12" a="1"/>
  <c r="X1983" i="12" a="1"/>
  <c r="V1978" i="12" a="1"/>
  <c r="X1975" i="12" a="1"/>
  <c r="U1971" i="12" a="1"/>
  <c r="U1967" i="12" a="1"/>
  <c r="X1964" i="12" a="1"/>
  <c r="X1962" i="12" a="1"/>
  <c r="W1959" i="12" a="1"/>
  <c r="X1867" i="12" a="1"/>
  <c r="W2091" i="12" a="1"/>
  <c r="W2087" i="12" a="1"/>
  <c r="W2083" i="12" a="1"/>
  <c r="W2079" i="12" a="1"/>
  <c r="W2075" i="12" a="1"/>
  <c r="W2071" i="12" a="1"/>
  <c r="W2067" i="12" a="1"/>
  <c r="W2063" i="12" a="1"/>
  <c r="W2056" i="12" a="1"/>
  <c r="W2048" i="12" a="1"/>
  <c r="W2042" i="12" a="1"/>
  <c r="W2037" i="12" a="1"/>
  <c r="U2034" i="12" a="1"/>
  <c r="V2030" i="12" a="1"/>
  <c r="V2025" i="12" a="1"/>
  <c r="W2021" i="12" a="1"/>
  <c r="U2018" i="12" a="1"/>
  <c r="V2014" i="12" a="1"/>
  <c r="V2009" i="12" a="1"/>
  <c r="W2005" i="12" a="1"/>
  <c r="U2002" i="12" a="1"/>
  <c r="V1997" i="12" a="1"/>
  <c r="U1994" i="12" a="1"/>
  <c r="V1989" i="12" a="1"/>
  <c r="U1986" i="12" a="1"/>
  <c r="V1981" i="12" a="1"/>
  <c r="U1978" i="12" a="1"/>
  <c r="V1974" i="12" a="1"/>
  <c r="X1971" i="12" a="1"/>
  <c r="X1967" i="12" a="1"/>
  <c r="W1963" i="12" a="1"/>
  <c r="V1959" i="12" a="1"/>
  <c r="V1955" i="12" a="1"/>
  <c r="V1951" i="12" a="1"/>
  <c r="V1947" i="12" a="1"/>
  <c r="V1943" i="12" a="1"/>
  <c r="X1940" i="12" a="1"/>
  <c r="X1936" i="12" a="1"/>
  <c r="X1932" i="12" a="1"/>
  <c r="X1928" i="12" a="1"/>
  <c r="X1924" i="12" a="1"/>
  <c r="U1920" i="12" a="1"/>
  <c r="U1916" i="12" a="1"/>
  <c r="U1912" i="12" a="1"/>
  <c r="U1908" i="12" a="1"/>
  <c r="U1904" i="12" a="1"/>
  <c r="U1900" i="12" a="1"/>
  <c r="U1896" i="12" a="1"/>
  <c r="U1892" i="12" a="1"/>
  <c r="U1888" i="12" a="1"/>
  <c r="U1884" i="12" a="1"/>
  <c r="U1880" i="12" a="1"/>
  <c r="U1876" i="12" a="1"/>
  <c r="U1872" i="12" a="1"/>
  <c r="X1868" i="12" a="1"/>
  <c r="U1864" i="12" a="1"/>
  <c r="U1860" i="12" a="1"/>
  <c r="W1852" i="12" a="1"/>
  <c r="V1850" i="12" a="1"/>
  <c r="V1846" i="12" a="1"/>
  <c r="V1842" i="12" a="1"/>
  <c r="W1838" i="12" a="1"/>
  <c r="W1834" i="12" a="1"/>
  <c r="W1830" i="12" a="1"/>
  <c r="W1826" i="12" a="1"/>
  <c r="W1822" i="12" a="1"/>
  <c r="W1818" i="12" a="1"/>
  <c r="W1814" i="12" a="1"/>
  <c r="X1810" i="12" a="1"/>
  <c r="U1806" i="12" a="1"/>
  <c r="V1802" i="12" a="1"/>
  <c r="W1798" i="12" a="1"/>
  <c r="V1794" i="12" a="1"/>
  <c r="V1790" i="12" a="1"/>
  <c r="V1786" i="12" a="1"/>
  <c r="V1782" i="12" a="1"/>
  <c r="V1778" i="12" a="1"/>
  <c r="V1774" i="12" a="1"/>
  <c r="V1770" i="12" a="1"/>
  <c r="V1766" i="12" a="1"/>
  <c r="V1762" i="12" a="1"/>
  <c r="V1758" i="12" a="1"/>
  <c r="V1754" i="12" a="1"/>
  <c r="V1750" i="12" a="1"/>
  <c r="V1746" i="12" a="1"/>
  <c r="V1742" i="12" a="1"/>
  <c r="V1738" i="12" a="1"/>
  <c r="V1734" i="12" a="1"/>
  <c r="V1730" i="12" a="1"/>
  <c r="V1726" i="12" a="1"/>
  <c r="V1722" i="12" a="1"/>
  <c r="V1718" i="12" a="1"/>
  <c r="V1714" i="12" a="1"/>
  <c r="V1710" i="12" a="1"/>
  <c r="V1706" i="12" a="1"/>
  <c r="V1702" i="12" a="1"/>
  <c r="V1698" i="12" a="1"/>
  <c r="V1694" i="12" a="1"/>
  <c r="V1690" i="12" a="1"/>
  <c r="V1686" i="12" a="1"/>
  <c r="V1936" i="12" a="1"/>
  <c r="V1928" i="12" a="1"/>
  <c r="U1921" i="12" a="1"/>
  <c r="U1917" i="12" a="1"/>
  <c r="U1913" i="12" a="1"/>
  <c r="U1909" i="12" a="1"/>
  <c r="U1905" i="12" a="1"/>
  <c r="U1901" i="12" a="1"/>
  <c r="U1897" i="12" a="1"/>
  <c r="U1893" i="12" a="1"/>
  <c r="U1889" i="12" a="1"/>
  <c r="U1885" i="12" a="1"/>
  <c r="U1881" i="12" a="1"/>
  <c r="U1877" i="12" a="1"/>
  <c r="U1873" i="12" a="1"/>
  <c r="W1868" i="12" a="1"/>
  <c r="W1863" i="12" a="1"/>
  <c r="W1859" i="12" a="1"/>
  <c r="V1855" i="12" a="1"/>
  <c r="U1850" i="12" a="1"/>
  <c r="U1847" i="12" a="1"/>
  <c r="X1844" i="12" a="1"/>
  <c r="U1842" i="12" a="1"/>
  <c r="V1838" i="12" a="1"/>
  <c r="V1834" i="12" a="1"/>
  <c r="V1830" i="12" a="1"/>
  <c r="V1826" i="12" a="1"/>
  <c r="V1822" i="12" a="1"/>
  <c r="V1818" i="12" a="1"/>
  <c r="V1814" i="12" a="1"/>
  <c r="W1810" i="12" a="1"/>
  <c r="X1806" i="12" a="1"/>
  <c r="U1802" i="12" a="1"/>
  <c r="V1798" i="12" a="1"/>
  <c r="V1791" i="12" a="1"/>
  <c r="V1787" i="12" a="1"/>
  <c r="V1783" i="12" a="1"/>
  <c r="V1779" i="12" a="1"/>
  <c r="V1775" i="12" a="1"/>
  <c r="V1771" i="12" a="1"/>
  <c r="V1767" i="12" a="1"/>
  <c r="V1763" i="12" a="1"/>
  <c r="V1759" i="12" a="1"/>
  <c r="V1755" i="12" a="1"/>
  <c r="V1751" i="12" a="1"/>
  <c r="V1747" i="12" a="1"/>
  <c r="V1743" i="12" a="1"/>
  <c r="V1739" i="12" a="1"/>
  <c r="V1735" i="12" a="1"/>
  <c r="V1731" i="12" a="1"/>
  <c r="V1727" i="12" a="1"/>
  <c r="V1723" i="12" a="1"/>
  <c r="V1719" i="12" a="1"/>
  <c r="X1937" i="12" a="1"/>
  <c r="X1933" i="12" a="1"/>
  <c r="X1929" i="12" a="1"/>
  <c r="X1925" i="12" a="1"/>
  <c r="X1921" i="12" a="1"/>
  <c r="X1917" i="12" a="1"/>
  <c r="X1913" i="12" a="1"/>
  <c r="X1909" i="12" a="1"/>
  <c r="X1905" i="12" a="1"/>
  <c r="X1901" i="12" a="1"/>
  <c r="X1897" i="12" a="1"/>
  <c r="X1893" i="12" a="1"/>
  <c r="X1889" i="12" a="1"/>
  <c r="X1885" i="12" a="1"/>
  <c r="X1881" i="12" a="1"/>
  <c r="X1877" i="12" a="1"/>
  <c r="X1873" i="12" a="1"/>
  <c r="X1869" i="12" a="1"/>
  <c r="X1865" i="12" a="1"/>
  <c r="X1861" i="12" a="1"/>
  <c r="X1857" i="12" a="1"/>
  <c r="X1855" i="12" a="1"/>
  <c r="X1853" i="12" a="1"/>
  <c r="W1850" i="12" a="1"/>
  <c r="W1846" i="12" a="1"/>
  <c r="W1842" i="12" a="1"/>
  <c r="U1838" i="12" a="1"/>
  <c r="U1834" i="12" a="1"/>
  <c r="U1830" i="12" a="1"/>
  <c r="U1826" i="12" a="1"/>
  <c r="U1822" i="12" a="1"/>
  <c r="U1818" i="12" a="1"/>
  <c r="U1814" i="12" a="1"/>
  <c r="V1810" i="12" a="1"/>
  <c r="W1806" i="12" a="1"/>
  <c r="X1802" i="12" a="1"/>
  <c r="U1798" i="12" a="1"/>
  <c r="X1795" i="12" a="1"/>
  <c r="X1793" i="12" a="1"/>
  <c r="X1791" i="12" a="1"/>
  <c r="V1788" i="12" a="1"/>
  <c r="V1784" i="12" a="1"/>
  <c r="V1780" i="12" a="1"/>
  <c r="V1776" i="12" a="1"/>
  <c r="V1772" i="12" a="1"/>
  <c r="V1768" i="12" a="1"/>
  <c r="V1764" i="12" a="1"/>
  <c r="V1760" i="12" a="1"/>
  <c r="V1756" i="12" a="1"/>
  <c r="V1752" i="12" a="1"/>
  <c r="V1748" i="12" a="1"/>
  <c r="V1744" i="12" a="1"/>
  <c r="V1740" i="12" a="1"/>
  <c r="V1736" i="12" a="1"/>
  <c r="V1732" i="12" a="1"/>
  <c r="V1728" i="12" a="1"/>
  <c r="X1941" i="12" a="1"/>
  <c r="V1933" i="12" a="1"/>
  <c r="V1925" i="12" a="1"/>
  <c r="U1919" i="12" a="1"/>
  <c r="U1915" i="12" a="1"/>
  <c r="U1911" i="12" a="1"/>
  <c r="U1907" i="12" a="1"/>
  <c r="U1903" i="12" a="1"/>
  <c r="U1899" i="12" a="1"/>
  <c r="U1895" i="12" a="1"/>
  <c r="U1891" i="12" a="1"/>
  <c r="U1887" i="12" a="1"/>
  <c r="U1883" i="12" a="1"/>
  <c r="U1879" i="12" a="1"/>
  <c r="U1875" i="12" a="1"/>
  <c r="U1871" i="12" a="1"/>
  <c r="W1865" i="12" a="1"/>
  <c r="W1861" i="12" a="1"/>
  <c r="W1857" i="12" a="1"/>
  <c r="W1853" i="12" a="1"/>
  <c r="W1845" i="12" a="1"/>
  <c r="U1839" i="12" a="1"/>
  <c r="U1835" i="12" a="1"/>
  <c r="U1831" i="12" a="1"/>
  <c r="U1827" i="12" a="1"/>
  <c r="U1823" i="12" a="1"/>
  <c r="U1819" i="12" a="1"/>
  <c r="U1815" i="12" a="1"/>
  <c r="V1811" i="12" a="1"/>
  <c r="W1807" i="12" a="1"/>
  <c r="X1803" i="12" a="1"/>
  <c r="U1799" i="12" a="1"/>
  <c r="W1794" i="12" a="1"/>
  <c r="U1788" i="12" a="1"/>
  <c r="U1784" i="12" a="1"/>
  <c r="U1780" i="12" a="1"/>
  <c r="U1776" i="12" a="1"/>
  <c r="U1772" i="12" a="1"/>
  <c r="U1768" i="12" a="1"/>
  <c r="U1764" i="12" a="1"/>
  <c r="U1760" i="12" a="1"/>
  <c r="U1756" i="12" a="1"/>
  <c r="U1752" i="12" a="1"/>
  <c r="U1748" i="12" a="1"/>
  <c r="U1744" i="12" a="1"/>
  <c r="U1740" i="12" a="1"/>
  <c r="U1736" i="12" a="1"/>
  <c r="U1732" i="12" a="1"/>
  <c r="U1728" i="12" a="1"/>
  <c r="U1724" i="12" a="1"/>
  <c r="U1720" i="12" a="1"/>
  <c r="U1716" i="12" a="1"/>
  <c r="U1712" i="12" a="1"/>
  <c r="U1708" i="12" a="1"/>
  <c r="U1704" i="12" a="1"/>
  <c r="U1700" i="12" a="1"/>
  <c r="U1696" i="12" a="1"/>
  <c r="U1692" i="12" a="1"/>
  <c r="U1688" i="12" a="1"/>
  <c r="U1684" i="12" a="1"/>
  <c r="W1712" i="12" a="1"/>
  <c r="W1704" i="12" a="1"/>
  <c r="W1696" i="12" a="1"/>
  <c r="W1688" i="12" a="1"/>
  <c r="U1682" i="12" a="1"/>
  <c r="U1678" i="12" a="1"/>
  <c r="U1674" i="12" a="1"/>
  <c r="U1670" i="12" a="1"/>
  <c r="U1666" i="12" a="1"/>
  <c r="U1662" i="12" a="1"/>
  <c r="U1658" i="12" a="1"/>
  <c r="U1654" i="12" a="1"/>
  <c r="V1650" i="12" a="1"/>
  <c r="X1646" i="12" a="1"/>
  <c r="X1644" i="12" a="1"/>
  <c r="X1640" i="12" a="1"/>
  <c r="X1636" i="12" a="1"/>
  <c r="X1632" i="12" a="1"/>
  <c r="X1628" i="12" a="1"/>
  <c r="X1624" i="12" a="1"/>
  <c r="X1620" i="12" a="1"/>
  <c r="X1616" i="12" a="1"/>
  <c r="U1612" i="12" a="1"/>
  <c r="W1609" i="12" a="1"/>
  <c r="U1604" i="12" a="1"/>
  <c r="W1601" i="12" a="1"/>
  <c r="U1596" i="12" a="1"/>
  <c r="W1593" i="12" a="1"/>
  <c r="X1589" i="12" a="1"/>
  <c r="X1585" i="12" a="1"/>
  <c r="X1581" i="12" a="1"/>
  <c r="X1577" i="12" a="1"/>
  <c r="X1573" i="12" a="1"/>
  <c r="X1569" i="12" a="1"/>
  <c r="U1565" i="12" a="1"/>
  <c r="U1561" i="12" a="1"/>
  <c r="V1557" i="12" a="1"/>
  <c r="V1553" i="12" a="1"/>
  <c r="W1549" i="12" a="1"/>
  <c r="W1545" i="12" a="1"/>
  <c r="X1541" i="12" a="1"/>
  <c r="V1537" i="12" a="1"/>
  <c r="U1534" i="12" a="1"/>
  <c r="W1531" i="12" a="1"/>
  <c r="X1527" i="12" a="1"/>
  <c r="W1523" i="12" a="1"/>
  <c r="X1519" i="12" a="1"/>
  <c r="V1515" i="12" a="1"/>
  <c r="V1511" i="12" a="1"/>
  <c r="X1507" i="12" a="1"/>
  <c r="W1503" i="12" a="1"/>
  <c r="W1497" i="12" a="1"/>
  <c r="W1493" i="12" a="1"/>
  <c r="W1489" i="12" a="1"/>
  <c r="W1485" i="12" a="1"/>
  <c r="W1481" i="12" a="1"/>
  <c r="W1477" i="12" a="1"/>
  <c r="W1473" i="12" a="1"/>
  <c r="W1469" i="12" a="1"/>
  <c r="W1465" i="12" a="1"/>
  <c r="W1461" i="12" a="1"/>
  <c r="W1457" i="12" a="1"/>
  <c r="W1453" i="12" a="1"/>
  <c r="W1449" i="12" a="1"/>
  <c r="W1445" i="12" a="1"/>
  <c r="W1441" i="12" a="1"/>
  <c r="V1715" i="12" a="1"/>
  <c r="V1707" i="12" a="1"/>
  <c r="V1699" i="12" a="1"/>
  <c r="V1691" i="12" a="1"/>
  <c r="U1683" i="12" a="1"/>
  <c r="U1679" i="12" a="1"/>
  <c r="U1675" i="12" a="1"/>
  <c r="U1671" i="12" a="1"/>
  <c r="U1667" i="12" a="1"/>
  <c r="U1663" i="12" a="1"/>
  <c r="U1659" i="12" a="1"/>
  <c r="U1655" i="12" a="1"/>
  <c r="U1651" i="12" a="1"/>
  <c r="W1647" i="12" a="1"/>
  <c r="U1642" i="12" a="1"/>
  <c r="U1638" i="12" a="1"/>
  <c r="U1634" i="12" a="1"/>
  <c r="U1630" i="12" a="1"/>
  <c r="U1626" i="12" a="1"/>
  <c r="U1622" i="12" a="1"/>
  <c r="U1618" i="12" a="1"/>
  <c r="U1614" i="12" a="1"/>
  <c r="W1611" i="12" a="1"/>
  <c r="U1606" i="12" a="1"/>
  <c r="W1603" i="12" a="1"/>
  <c r="U1598" i="12" a="1"/>
  <c r="W1595" i="12" a="1"/>
  <c r="X1590" i="12" a="1"/>
  <c r="X1586" i="12" a="1"/>
  <c r="X1582" i="12" a="1"/>
  <c r="X1578" i="12" a="1"/>
  <c r="X1574" i="12" a="1"/>
  <c r="X1570" i="12" a="1"/>
  <c r="U1566" i="12" a="1"/>
  <c r="U1562" i="12" a="1"/>
  <c r="V1558" i="12" a="1"/>
  <c r="V1554" i="12" a="1"/>
  <c r="W1550" i="12" a="1"/>
  <c r="W1546" i="12" a="1"/>
  <c r="X1542" i="12" a="1"/>
  <c r="X1538" i="12" a="1"/>
  <c r="U1536" i="12" a="1"/>
  <c r="W1532" i="12" a="1"/>
  <c r="X1528" i="12" a="1"/>
  <c r="U1522" i="12" a="1"/>
  <c r="V1516" i="12" a="1"/>
  <c r="X1512" i="12" a="1"/>
  <c r="X1510" i="12" a="1"/>
  <c r="X1508" i="12" a="1"/>
  <c r="V1502" i="12" a="1"/>
  <c r="W1498" i="12" a="1"/>
  <c r="W1494" i="12" a="1"/>
  <c r="W1490" i="12" a="1"/>
  <c r="W1486" i="12" a="1"/>
  <c r="W1482" i="12" a="1"/>
  <c r="W1478" i="12" a="1"/>
  <c r="W1474" i="12" a="1"/>
  <c r="W1470" i="12" a="1"/>
  <c r="W1466" i="12" a="1"/>
  <c r="W1721" i="12" a="1"/>
  <c r="U1715" i="12" a="1"/>
  <c r="U1707" i="12" a="1"/>
  <c r="U1699" i="12" a="1"/>
  <c r="U1691" i="12" a="1"/>
  <c r="V1684" i="12" a="1"/>
  <c r="U1680" i="12" a="1"/>
  <c r="U1676" i="12" a="1"/>
  <c r="U1672" i="12" a="1"/>
  <c r="U1668" i="12" a="1"/>
  <c r="U1664" i="12" a="1"/>
  <c r="U1660" i="12" a="1"/>
  <c r="U1656" i="12" a="1"/>
  <c r="U1652" i="12" a="1"/>
  <c r="W1648" i="12" a="1"/>
  <c r="V1644" i="12" a="1"/>
  <c r="V1640" i="12" a="1"/>
  <c r="V1636" i="12" a="1"/>
  <c r="V1632" i="12" a="1"/>
  <c r="V1628" i="12" a="1"/>
  <c r="V1624" i="12" a="1"/>
  <c r="V1620" i="12" a="1"/>
  <c r="V1616" i="12" a="1"/>
  <c r="V2052" i="12" a="1"/>
  <c r="W2047" i="12" a="1"/>
  <c r="V2037" i="12" a="1"/>
  <c r="V2031" i="12" a="1"/>
  <c r="V2027" i="12" a="1"/>
  <c r="U2024" i="12" a="1"/>
  <c r="U2020" i="12" a="1"/>
  <c r="V2015" i="12" a="1"/>
  <c r="V2011" i="12" a="1"/>
  <c r="U2008" i="12" a="1"/>
  <c r="U2004" i="12" a="1"/>
  <c r="V1999" i="12" a="1"/>
  <c r="U1996" i="12" a="1"/>
  <c r="V1991" i="12" a="1"/>
  <c r="U1988" i="12" a="1"/>
  <c r="V1983" i="12" a="1"/>
  <c r="U1980" i="12" a="1"/>
  <c r="V1975" i="12" a="1"/>
  <c r="W1971" i="12" a="1"/>
  <c r="W1967" i="12" a="1"/>
  <c r="U1959" i="12" a="1"/>
  <c r="X1956" i="12" a="1"/>
  <c r="X1954" i="12" a="1"/>
  <c r="X1952" i="12" a="1"/>
  <c r="X1950" i="12" a="1"/>
  <c r="X1948" i="12" a="1"/>
  <c r="X1946" i="12" a="1"/>
  <c r="X1944" i="12" a="1"/>
  <c r="X1942" i="12" a="1"/>
  <c r="W2057" i="12" a="1"/>
  <c r="W2049" i="12" a="1"/>
  <c r="X2043" i="12" a="1"/>
  <c r="W2038" i="12" a="1"/>
  <c r="V2033" i="12" a="1"/>
  <c r="W2029" i="12" a="1"/>
  <c r="U2026" i="12" a="1"/>
  <c r="V2022" i="12" a="1"/>
  <c r="V2017" i="12" a="1"/>
  <c r="W2013" i="12" a="1"/>
  <c r="U2010" i="12" a="1"/>
  <c r="V2006" i="12" a="1"/>
  <c r="V2001" i="12" a="1"/>
  <c r="U1998" i="12" a="1"/>
  <c r="V1993" i="12" a="1"/>
  <c r="U1990" i="12" a="1"/>
  <c r="V1985" i="12" a="1"/>
  <c r="U1982" i="12" a="1"/>
  <c r="V1977" i="12" a="1"/>
  <c r="W1973" i="12" a="1"/>
  <c r="W1968" i="12" a="1"/>
  <c r="V1964" i="12" a="1"/>
  <c r="X1960" i="12" a="1"/>
  <c r="W1956" i="12" a="1"/>
  <c r="W1952" i="12" a="1"/>
  <c r="W1948" i="12" a="1"/>
  <c r="W1944" i="12" a="1"/>
  <c r="W1940" i="12" a="1"/>
  <c r="W1936" i="12" a="1"/>
  <c r="W1932" i="12" a="1"/>
  <c r="W1928" i="12" a="1"/>
  <c r="W1924" i="12" a="1"/>
  <c r="W2059" i="12" a="1"/>
  <c r="X2054" i="12" a="1"/>
  <c r="X2050" i="12" a="1"/>
  <c r="X2046" i="12" a="1"/>
  <c r="V2041" i="12" a="1"/>
  <c r="X2037" i="12" a="1"/>
  <c r="U2033" i="12" a="1"/>
  <c r="W2030" i="12" a="1"/>
  <c r="W2026" i="12" a="1"/>
  <c r="X2021" i="12" a="1"/>
  <c r="U2017" i="12" a="1"/>
  <c r="W2014" i="12" a="1"/>
  <c r="W2010" i="12" a="1"/>
  <c r="X2005" i="12" a="1"/>
  <c r="U2001" i="12" a="1"/>
  <c r="W1998" i="12" a="1"/>
  <c r="U1993" i="12" a="1"/>
  <c r="W1990" i="12" a="1"/>
  <c r="U1985" i="12" a="1"/>
  <c r="W1982" i="12" a="1"/>
  <c r="U1977" i="12" a="1"/>
  <c r="W1974" i="12" a="1"/>
  <c r="X1970" i="12" a="1"/>
  <c r="X1966" i="12" a="1"/>
  <c r="U1964" i="12" a="1"/>
  <c r="U1962" i="12" a="1"/>
  <c r="V1958" i="12" a="1"/>
  <c r="W1866" i="12" a="1"/>
  <c r="V2090" i="12" a="1"/>
  <c r="V2086" i="12" a="1"/>
  <c r="V2082" i="12" a="1"/>
  <c r="V2078" i="12" a="1"/>
  <c r="V2074" i="12" a="1"/>
  <c r="V2070" i="12" a="1"/>
  <c r="V2066" i="12" a="1"/>
  <c r="V2062" i="12" a="1"/>
  <c r="V2054" i="12" a="1"/>
  <c r="V2046" i="12" a="1"/>
  <c r="U2041" i="12" a="1"/>
  <c r="V2036" i="12" a="1"/>
  <c r="X2033" i="12" a="1"/>
  <c r="U2029" i="12" a="1"/>
  <c r="V2024" i="12" a="1"/>
  <c r="V2020" i="12" a="1"/>
  <c r="X2017" i="12" a="1"/>
  <c r="U2013" i="12" a="1"/>
  <c r="V2008" i="12" a="1"/>
  <c r="V2004" i="12" a="1"/>
  <c r="X2001" i="12" a="1"/>
  <c r="V1996" i="12" a="1"/>
  <c r="X1993" i="12" a="1"/>
  <c r="V1988" i="12" a="1"/>
  <c r="X1985" i="12" a="1"/>
  <c r="V1980" i="12" a="1"/>
  <c r="X1977" i="12" a="1"/>
  <c r="U1973" i="12" a="1"/>
  <c r="W1970" i="12" a="1"/>
  <c r="W1966" i="12" a="1"/>
  <c r="W1962" i="12" a="1"/>
  <c r="U1958" i="12" a="1"/>
  <c r="V1954" i="12" a="1"/>
  <c r="V1950" i="12" a="1"/>
  <c r="V1946" i="12" a="1"/>
  <c r="V1942" i="12" a="1"/>
  <c r="U1939" i="12" a="1"/>
  <c r="U1935" i="12" a="1"/>
  <c r="U1931" i="12" a="1"/>
  <c r="U1927" i="12" a="1"/>
  <c r="U1923" i="12" a="1"/>
  <c r="X1919" i="12" a="1"/>
  <c r="X1915" i="12" a="1"/>
  <c r="X1911" i="12" a="1"/>
  <c r="X1907" i="12" a="1"/>
  <c r="X1903" i="12" a="1"/>
  <c r="X1899" i="12" a="1"/>
  <c r="X1895" i="12" a="1"/>
  <c r="X1891" i="12" a="1"/>
  <c r="X1887" i="12" a="1"/>
  <c r="X1883" i="12" a="1"/>
  <c r="X1879" i="12" a="1"/>
  <c r="X1875" i="12" a="1"/>
  <c r="X1871" i="12" a="1"/>
  <c r="U1867" i="12" a="1"/>
  <c r="X1863" i="12" a="1"/>
  <c r="X1859" i="12" a="1"/>
  <c r="U1852" i="12" a="1"/>
  <c r="V1849" i="12" a="1"/>
  <c r="V1845" i="12" a="1"/>
  <c r="V1841" i="12" a="1"/>
  <c r="V1837" i="12" a="1"/>
  <c r="V1833" i="12" a="1"/>
  <c r="V1829" i="12" a="1"/>
  <c r="V1825" i="12" a="1"/>
  <c r="V1821" i="12" a="1"/>
  <c r="V1817" i="12" a="1"/>
  <c r="W1813" i="12" a="1"/>
  <c r="X1809" i="12" a="1"/>
  <c r="U1805" i="12" a="1"/>
  <c r="V1801" i="12" a="1"/>
  <c r="W1797" i="12" a="1"/>
  <c r="W1793" i="12" a="1"/>
  <c r="U1789" i="12" a="1"/>
  <c r="U1785" i="12" a="1"/>
  <c r="U1781" i="12" a="1"/>
  <c r="U1777" i="12" a="1"/>
  <c r="U1773" i="12" a="1"/>
  <c r="U1769" i="12" a="1"/>
  <c r="U1765" i="12" a="1"/>
  <c r="U1761" i="12" a="1"/>
  <c r="U1757" i="12" a="1"/>
  <c r="U1753" i="12" a="1"/>
  <c r="U1749" i="12" a="1"/>
  <c r="U1745" i="12" a="1"/>
  <c r="U1741" i="12" a="1"/>
  <c r="U1737" i="12" a="1"/>
  <c r="U1733" i="12" a="1"/>
  <c r="U1729" i="12" a="1"/>
  <c r="U1725" i="12" a="1"/>
  <c r="U1721" i="12" a="1"/>
  <c r="U1717" i="12" a="1"/>
  <c r="U1713" i="12" a="1"/>
  <c r="U1709" i="12" a="1"/>
  <c r="U1705" i="12" a="1"/>
  <c r="U1701" i="12" a="1"/>
  <c r="U1697" i="12" a="1"/>
  <c r="U1693" i="12" a="1"/>
  <c r="U1689" i="12" a="1"/>
  <c r="U1685" i="12" a="1"/>
  <c r="V1934" i="12" a="1"/>
  <c r="V1926" i="12" a="1"/>
  <c r="X1920" i="12" a="1"/>
  <c r="X1916" i="12" a="1"/>
  <c r="X1912" i="12" a="1"/>
  <c r="X1908" i="12" a="1"/>
  <c r="X1904" i="12" a="1"/>
  <c r="X1900" i="12" a="1"/>
  <c r="X1896" i="12" a="1"/>
  <c r="X1892" i="12" a="1"/>
  <c r="X1888" i="12" a="1"/>
  <c r="X1884" i="12" a="1"/>
  <c r="X1880" i="12" a="1"/>
  <c r="X1876" i="12" a="1"/>
  <c r="X1872" i="12" a="1"/>
  <c r="V1866" i="12" a="1"/>
  <c r="V1862" i="12" a="1"/>
  <c r="V1858" i="12" a="1"/>
  <c r="V1854" i="12" a="1"/>
  <c r="U1849" i="12" a="1"/>
  <c r="X1846" i="12" a="1"/>
  <c r="U1844" i="12" a="1"/>
  <c r="U1841" i="12" a="1"/>
  <c r="U1837" i="12" a="1"/>
  <c r="U1833" i="12" a="1"/>
  <c r="U1829" i="12" a="1"/>
  <c r="U1825" i="12" a="1"/>
  <c r="U1821" i="12" a="1"/>
  <c r="U1817" i="12" a="1"/>
  <c r="V1813" i="12" a="1"/>
  <c r="W1809" i="12" a="1"/>
  <c r="X1805" i="12" a="1"/>
  <c r="U1801" i="12" a="1"/>
  <c r="V1797" i="12" a="1"/>
  <c r="U1790" i="12" a="1"/>
  <c r="U1786" i="12" a="1"/>
  <c r="U1782" i="12" a="1"/>
  <c r="U1778" i="12" a="1"/>
  <c r="U1774" i="12" a="1"/>
  <c r="U1770" i="12" a="1"/>
  <c r="U1766" i="12" a="1"/>
  <c r="U1762" i="12" a="1"/>
  <c r="U1758" i="12" a="1"/>
  <c r="U1754" i="12" a="1"/>
  <c r="U1750" i="12" a="1"/>
  <c r="U1746" i="12" a="1"/>
  <c r="U1742" i="12" a="1"/>
  <c r="U1738" i="12" a="1"/>
  <c r="U1734" i="12" a="1"/>
  <c r="U1730" i="12" a="1"/>
  <c r="U1726" i="12" a="1"/>
  <c r="U1722" i="12" a="1"/>
  <c r="U1940" i="12" a="1"/>
  <c r="U1936" i="12" a="1"/>
  <c r="U1932" i="12" a="1"/>
  <c r="U1928" i="12" a="1"/>
  <c r="U1924" i="12" a="1"/>
  <c r="W1920" i="12" a="1"/>
  <c r="W1916" i="12" a="1"/>
  <c r="W1912" i="12" a="1"/>
  <c r="W1908" i="12" a="1"/>
  <c r="W1904" i="12" a="1"/>
  <c r="W1900" i="12" a="1"/>
  <c r="W1896" i="12" a="1"/>
  <c r="W1892" i="12" a="1"/>
  <c r="W1888" i="12" a="1"/>
  <c r="W1884" i="12" a="1"/>
  <c r="W1880" i="12" a="1"/>
  <c r="W1876" i="12" a="1"/>
  <c r="W1872" i="12" a="1"/>
  <c r="V1868" i="12" a="1"/>
  <c r="W1864" i="12" a="1"/>
  <c r="W1860" i="12" a="1"/>
  <c r="U1857" i="12" a="1"/>
  <c r="U1855" i="12" a="1"/>
  <c r="X1852" i="12" a="1"/>
  <c r="X1849" i="12" a="1"/>
  <c r="X1845" i="12" a="1"/>
  <c r="X1841" i="12" a="1"/>
  <c r="X1837" i="12" a="1"/>
  <c r="X1833" i="12" a="1"/>
  <c r="X1829" i="12" a="1"/>
  <c r="X1825" i="12" a="1"/>
  <c r="X1821" i="12" a="1"/>
  <c r="X1817" i="12" a="1"/>
  <c r="U1813" i="12" a="1"/>
  <c r="V1809" i="12" a="1"/>
  <c r="W1805" i="12" a="1"/>
  <c r="X1801" i="12" a="1"/>
  <c r="U1797" i="12" a="1"/>
  <c r="U1795" i="12" a="1"/>
  <c r="U1793" i="12" a="1"/>
  <c r="U1791" i="12" a="1"/>
  <c r="U1787" i="12" a="1"/>
  <c r="U1783" i="12" a="1"/>
  <c r="U1779" i="12" a="1"/>
  <c r="U1775" i="12" a="1"/>
  <c r="U1771" i="12" a="1"/>
  <c r="U1767" i="12" a="1"/>
  <c r="U1763" i="12" a="1"/>
  <c r="U1759" i="12" a="1"/>
  <c r="U1755" i="12" a="1"/>
  <c r="U1751" i="12" a="1"/>
  <c r="U1747" i="12" a="1"/>
  <c r="U1743" i="12" a="1"/>
  <c r="U1739" i="12" a="1"/>
  <c r="U1735" i="12" a="1"/>
  <c r="U1731" i="12" a="1"/>
  <c r="U1727" i="12" a="1"/>
  <c r="V1939" i="12" a="1"/>
  <c r="V1931" i="12" a="1"/>
  <c r="V1923" i="12" a="1"/>
  <c r="X1918" i="12" a="1"/>
  <c r="X1914" i="12" a="1"/>
  <c r="X1910" i="12" a="1"/>
  <c r="X1906" i="12" a="1"/>
  <c r="X1902" i="12" a="1"/>
  <c r="X1898" i="12" a="1"/>
  <c r="X1894" i="12" a="1"/>
  <c r="X1890" i="12" a="1"/>
  <c r="X1886" i="12" a="1"/>
  <c r="X1882" i="12" a="1"/>
  <c r="X1878" i="12" a="1"/>
  <c r="X1874" i="12" a="1"/>
  <c r="X1870" i="12" a="1"/>
  <c r="V1864" i="12" a="1"/>
  <c r="V1860" i="12" a="1"/>
  <c r="W1856" i="12" a="1"/>
  <c r="U1851" i="12" a="1"/>
  <c r="W1843" i="12" a="1"/>
  <c r="X1838" i="12" a="1"/>
  <c r="X1834" i="12" a="1"/>
  <c r="X1830" i="12" a="1"/>
  <c r="X1826" i="12" a="1"/>
  <c r="X1822" i="12" a="1"/>
  <c r="X1818" i="12" a="1"/>
  <c r="X1814" i="12" a="1"/>
  <c r="U1810" i="12" a="1"/>
  <c r="V1806" i="12" a="1"/>
  <c r="W1802" i="12" a="1"/>
  <c r="X1798" i="12" a="1"/>
  <c r="W1792" i="12" a="1"/>
  <c r="X1787" i="12" a="1"/>
  <c r="X1783" i="12" a="1"/>
  <c r="X1779" i="12" a="1"/>
  <c r="X1775" i="12" a="1"/>
  <c r="X1771" i="12" a="1"/>
  <c r="X1767" i="12" a="1"/>
  <c r="X1763" i="12" a="1"/>
  <c r="X1759" i="12" a="1"/>
  <c r="X1755" i="12" a="1"/>
  <c r="X1751" i="12" a="1"/>
  <c r="X1747" i="12" a="1"/>
  <c r="X1743" i="12" a="1"/>
  <c r="X1739" i="12" a="1"/>
  <c r="X1735" i="12" a="1"/>
  <c r="X1731" i="12" a="1"/>
  <c r="X1727" i="12" a="1"/>
  <c r="X1723" i="12" a="1"/>
  <c r="X1719" i="12" a="1"/>
  <c r="X1715" i="12" a="1"/>
  <c r="X1711" i="12" a="1"/>
  <c r="X1707" i="12" a="1"/>
  <c r="X1703" i="12" a="1"/>
  <c r="X1699" i="12" a="1"/>
  <c r="X1695" i="12" a="1"/>
  <c r="X1691" i="12" a="1"/>
  <c r="X1687" i="12" a="1"/>
  <c r="W1717" i="12" a="1"/>
  <c r="W1709" i="12" a="1"/>
  <c r="W1701" i="12" a="1"/>
  <c r="W1693" i="12" a="1"/>
  <c r="W1685" i="12" a="1"/>
  <c r="X1681" i="12" a="1"/>
  <c r="X1677" i="12" a="1"/>
  <c r="X1673" i="12" a="1"/>
  <c r="X1669" i="12" a="1"/>
  <c r="X1665" i="12" a="1"/>
  <c r="X1661" i="12" a="1"/>
  <c r="X1657" i="12" a="1"/>
  <c r="X1653" i="12" a="1"/>
  <c r="U1649" i="12" a="1"/>
  <c r="U1646" i="12" a="1"/>
  <c r="W1643" i="12" a="1"/>
  <c r="W1639" i="12" a="1"/>
  <c r="W1635" i="12" a="1"/>
  <c r="W1631" i="12" a="1"/>
  <c r="W1627" i="12" a="1"/>
  <c r="W1623" i="12" a="1"/>
  <c r="W1619" i="12" a="1"/>
  <c r="W1615" i="12" a="1"/>
  <c r="X1611" i="12" a="1"/>
  <c r="W1608" i="12" a="1"/>
  <c r="X1603" i="12" a="1"/>
  <c r="W1600" i="12" a="1"/>
  <c r="X1595" i="12" a="1"/>
  <c r="W1592" i="12" a="1"/>
  <c r="W1588" i="12" a="1"/>
  <c r="W1584" i="12" a="1"/>
  <c r="W1580" i="12" a="1"/>
  <c r="W1576" i="12" a="1"/>
  <c r="W1572" i="12" a="1"/>
  <c r="X1568" i="12" a="1"/>
  <c r="X1564" i="12" a="1"/>
  <c r="U1560" i="12" a="1"/>
  <c r="U1556" i="12" a="1"/>
  <c r="V1552" i="12" a="1"/>
  <c r="V1548" i="12" a="1"/>
  <c r="W1544" i="12" a="1"/>
  <c r="W1540" i="12" a="1"/>
  <c r="V1536" i="12" a="1"/>
  <c r="X1533" i="12" a="1"/>
  <c r="V1530" i="12" a="1"/>
  <c r="W1526" i="12" a="1"/>
  <c r="V1522" i="12" a="1"/>
  <c r="W1518" i="12" a="1"/>
  <c r="V1514" i="12" a="1"/>
  <c r="V1510" i="12" a="1"/>
  <c r="W1506" i="12" a="1"/>
  <c r="V1500" i="12" a="1"/>
  <c r="V1496" i="12" a="1"/>
  <c r="V1492" i="12" a="1"/>
  <c r="V1488" i="12" a="1"/>
  <c r="V1484" i="12" a="1"/>
  <c r="V1480" i="12" a="1"/>
  <c r="V1476" i="12" a="1"/>
  <c r="V1472" i="12" a="1"/>
  <c r="V1468" i="12" a="1"/>
  <c r="V1464" i="12" a="1"/>
  <c r="V1460" i="12" a="1"/>
  <c r="V1456" i="12" a="1"/>
  <c r="V1452" i="12" a="1"/>
  <c r="V1448" i="12" a="1"/>
  <c r="V1444" i="12" a="1"/>
  <c r="V1440" i="12" a="1"/>
  <c r="V1712" i="12" a="1"/>
  <c r="V1704" i="12" a="1"/>
  <c r="V1696" i="12" a="1"/>
  <c r="V1688" i="12" a="1"/>
  <c r="X1682" i="12" a="1"/>
  <c r="X1678" i="12" a="1"/>
  <c r="X1674" i="12" a="1"/>
  <c r="X1670" i="12" a="1"/>
  <c r="X1666" i="12" a="1"/>
  <c r="X1662" i="12" a="1"/>
  <c r="X1658" i="12" a="1"/>
  <c r="X1654" i="12" a="1"/>
  <c r="U1650" i="12" a="1"/>
  <c r="W1646" i="12" a="1"/>
  <c r="X1641" i="12" a="1"/>
  <c r="X1637" i="12" a="1"/>
  <c r="X1633" i="12" a="1"/>
  <c r="X1629" i="12" a="1"/>
  <c r="X1625" i="12" a="1"/>
  <c r="X1621" i="12" a="1"/>
  <c r="X1617" i="12" a="1"/>
  <c r="X1613" i="12" a="1"/>
  <c r="W1610" i="12" a="1"/>
  <c r="X1605" i="12" a="1"/>
  <c r="W1602" i="12" a="1"/>
  <c r="X1597" i="12" a="1"/>
  <c r="W1594" i="12" a="1"/>
  <c r="W1589" i="12" a="1"/>
  <c r="W1585" i="12" a="1"/>
  <c r="W1581" i="12" a="1"/>
  <c r="W1577" i="12" a="1"/>
  <c r="W1573" i="12" a="1"/>
  <c r="W1569" i="12" a="1"/>
  <c r="X1565" i="12" a="1"/>
  <c r="X1561" i="12" a="1"/>
  <c r="U1557" i="12" a="1"/>
  <c r="U1553" i="12" a="1"/>
  <c r="V1549" i="12" a="1"/>
  <c r="V1545" i="12" a="1"/>
  <c r="W1541" i="12" a="1"/>
  <c r="U1538" i="12" a="1"/>
  <c r="X1535" i="12" a="1"/>
  <c r="V1531" i="12" a="1"/>
  <c r="W1527" i="12" a="1"/>
  <c r="X1521" i="12" a="1"/>
  <c r="U1515" i="12" a="1"/>
  <c r="U1512" i="12" a="1"/>
  <c r="U1510" i="12" a="1"/>
  <c r="W1507" i="12" a="1"/>
  <c r="V1501" i="12" a="1"/>
  <c r="V1497" i="12" a="1"/>
  <c r="V1493" i="12" a="1"/>
  <c r="V1489" i="12" a="1"/>
  <c r="V1485" i="12" a="1"/>
  <c r="V1481" i="12" a="1"/>
  <c r="V1477" i="12" a="1"/>
  <c r="V1473" i="12" a="1"/>
  <c r="V1469" i="12" a="1"/>
  <c r="V1724" i="12" a="1"/>
  <c r="V1720" i="12" a="1"/>
  <c r="X1714" i="12" a="1"/>
  <c r="X1706" i="12" a="1"/>
  <c r="X1698" i="12" a="1"/>
  <c r="X1690" i="12" a="1"/>
  <c r="X1683" i="12" a="1"/>
  <c r="X1679" i="12" a="1"/>
  <c r="X1675" i="12" a="1"/>
  <c r="X1671" i="12" a="1"/>
  <c r="X1667" i="12" a="1"/>
  <c r="X1663" i="12" a="1"/>
  <c r="X1659" i="12" a="1"/>
  <c r="X1655" i="12" a="1"/>
  <c r="X1651" i="12" a="1"/>
  <c r="V1647" i="12" a="1"/>
  <c r="U1643" i="12" a="1"/>
  <c r="U1639" i="12" a="1"/>
  <c r="U1635" i="12" a="1"/>
  <c r="U1631" i="12" a="1"/>
  <c r="U1627" i="12" a="1"/>
  <c r="U1623" i="12" a="1"/>
  <c r="U1619" i="12" a="1"/>
  <c r="U1615" i="12" a="1"/>
  <c r="W2051" i="12" a="1"/>
  <c r="U2046" i="12" a="1"/>
  <c r="X2035" i="12" a="1"/>
  <c r="U2030" i="12" a="1"/>
  <c r="V2026" i="12" a="1"/>
  <c r="X2023" i="12" a="1"/>
  <c r="X2019" i="12" a="1"/>
  <c r="U2014" i="12" a="1"/>
  <c r="V2010" i="12" a="1"/>
  <c r="X2007" i="12" a="1"/>
  <c r="X2003" i="12" a="1"/>
  <c r="V1998" i="12" a="1"/>
  <c r="X1995" i="12" a="1"/>
  <c r="V1990" i="12" a="1"/>
  <c r="X1987" i="12" a="1"/>
  <c r="V1982" i="12" a="1"/>
  <c r="X1979" i="12" a="1"/>
  <c r="U1974" i="12" a="1"/>
  <c r="V1970" i="12" a="1"/>
  <c r="V1966" i="12" a="1"/>
  <c r="X1958" i="12" a="1"/>
  <c r="U1956" i="12" a="1"/>
  <c r="U1954" i="12" a="1"/>
  <c r="U1952" i="12" a="1"/>
  <c r="U1950" i="12" a="1"/>
  <c r="U1948" i="12" a="1"/>
  <c r="U1946" i="12" a="1"/>
  <c r="U1944" i="12" a="1"/>
  <c r="U1942" i="12" a="1"/>
  <c r="V2055" i="12" a="1"/>
  <c r="V2047" i="12" a="1"/>
  <c r="V2042" i="12" a="1"/>
  <c r="U2037" i="12" a="1"/>
  <c r="V2032" i="12" a="1"/>
  <c r="V2028" i="12" a="1"/>
  <c r="X2025" i="12" a="1"/>
  <c r="U2021" i="12" a="1"/>
  <c r="V2016" i="12" a="1"/>
  <c r="V2012" i="12" a="1"/>
  <c r="X2009" i="12" a="1"/>
  <c r="U2005" i="12" a="1"/>
  <c r="V2000" i="12" a="1"/>
  <c r="X1997" i="12" a="1"/>
  <c r="V1992" i="12" a="1"/>
  <c r="X1989" i="12" a="1"/>
  <c r="V1984" i="12" a="1"/>
  <c r="X1981" i="12" a="1"/>
  <c r="V1976" i="12" a="1"/>
  <c r="V1971" i="12" a="1"/>
  <c r="V1967" i="12" a="1"/>
  <c r="V1963" i="12" a="1"/>
  <c r="X1959" i="12" a="1"/>
  <c r="W1955" i="12" a="1"/>
  <c r="W1951" i="12" a="1"/>
  <c r="W1947" i="12" a="1"/>
  <c r="W1943" i="12" a="1"/>
  <c r="W1939" i="12" a="1"/>
  <c r="W1935" i="12" a="1"/>
  <c r="W1931" i="12" a="1"/>
  <c r="W1927" i="12" a="1"/>
  <c r="W1923" i="12" a="1"/>
  <c r="U2057" i="12" a="1"/>
  <c r="U2053" i="12" a="1"/>
  <c r="U2049" i="12" a="1"/>
  <c r="U2045" i="12" a="1"/>
  <c r="U2040" i="12" a="1"/>
  <c r="W2036" i="12" a="1"/>
  <c r="X2032" i="12" a="1"/>
  <c r="V2029" i="12" a="1"/>
  <c r="W2025" i="12" a="1"/>
  <c r="W2020" i="12" a="1"/>
  <c r="X2016" i="12" a="1"/>
  <c r="V2013" i="12" a="1"/>
  <c r="W2009" i="12" a="1"/>
  <c r="W2004" i="12" a="1"/>
  <c r="X2000" i="12" a="1"/>
  <c r="W1997" i="12" a="1"/>
  <c r="X1992" i="12" a="1"/>
  <c r="W1989" i="12" a="1"/>
  <c r="X1984" i="12" a="1"/>
  <c r="W1981" i="12" a="1"/>
  <c r="X1976" i="12" a="1"/>
  <c r="V1973" i="12" a="1"/>
  <c r="W1969" i="12" a="1"/>
  <c r="X1965" i="12" a="1"/>
  <c r="X1963" i="12" a="1"/>
  <c r="X1961" i="12" a="1"/>
  <c r="V1869" i="12" a="1"/>
  <c r="U2093" i="12" a="1"/>
  <c r="U2089" i="12" a="1"/>
  <c r="U2085" i="12" a="1"/>
  <c r="U2081" i="12" a="1"/>
  <c r="U2077" i="12" a="1"/>
  <c r="U2073" i="12" a="1"/>
  <c r="U2069" i="12" a="1"/>
  <c r="U2065" i="12" a="1"/>
  <c r="V2059" i="12" a="1"/>
  <c r="W2052" i="12" a="1"/>
  <c r="W2044" i="12" a="1"/>
  <c r="X2040" i="12" a="1"/>
  <c r="U2035" i="12" a="1"/>
  <c r="W2032" i="12" a="1"/>
  <c r="X2028" i="12" a="1"/>
  <c r="U2023" i="12" a="1"/>
  <c r="U2019" i="12" a="1"/>
  <c r="W2016" i="12" a="1"/>
  <c r="X2012" i="12" a="1"/>
  <c r="U2007" i="12" a="1"/>
  <c r="U2003" i="12" a="1"/>
  <c r="W2000" i="12" a="1"/>
  <c r="U1995" i="12" a="1"/>
  <c r="W1992" i="12" a="1"/>
  <c r="U1987" i="12" a="1"/>
  <c r="W1984" i="12" a="1"/>
  <c r="U1979" i="12" a="1"/>
  <c r="W1976" i="12" a="1"/>
  <c r="X1972" i="12" a="1"/>
  <c r="V1969" i="12" a="1"/>
  <c r="W1965" i="12" a="1"/>
  <c r="W1961" i="12" a="1"/>
  <c r="V1957" i="12" a="1"/>
  <c r="V1953" i="12" a="1"/>
  <c r="V1949" i="12" a="1"/>
  <c r="V1945" i="12" a="1"/>
  <c r="V1941" i="12" a="1"/>
  <c r="X1938" i="12" a="1"/>
  <c r="X1934" i="12" a="1"/>
  <c r="X1930" i="12" a="1"/>
  <c r="X1926" i="12" a="1"/>
  <c r="X1922" i="12" a="1"/>
  <c r="W1918" i="12" a="1"/>
  <c r="W1914" i="12" a="1"/>
  <c r="W1910" i="12" a="1"/>
  <c r="W1906" i="12" a="1"/>
  <c r="W1902" i="12" a="1"/>
  <c r="W1898" i="12" a="1"/>
  <c r="W1894" i="12" a="1"/>
  <c r="W1890" i="12" a="1"/>
  <c r="W1886" i="12" a="1"/>
  <c r="W1882" i="12" a="1"/>
  <c r="W1878" i="12" a="1"/>
  <c r="W1874" i="12" a="1"/>
  <c r="W1870" i="12" a="1"/>
  <c r="X1866" i="12" a="1"/>
  <c r="W1862" i="12" a="1"/>
  <c r="W1858" i="12" a="1"/>
  <c r="X1851" i="12" a="1"/>
  <c r="V1848" i="12" a="1"/>
  <c r="V1844" i="12" a="1"/>
  <c r="U1840" i="12" a="1"/>
  <c r="U1836" i="12" a="1"/>
  <c r="U1832" i="12" a="1"/>
  <c r="U1828" i="12" a="1"/>
  <c r="U1824" i="12" a="1"/>
  <c r="U1820" i="12" a="1"/>
  <c r="U1816" i="12" a="1"/>
  <c r="V1812" i="12" a="1"/>
  <c r="W1808" i="12" a="1"/>
  <c r="X1804" i="12" a="1"/>
  <c r="U1800" i="12" a="1"/>
  <c r="V1796" i="12" a="1"/>
  <c r="V1792" i="12" a="1"/>
  <c r="X1788" i="12" a="1"/>
  <c r="X1784" i="12" a="1"/>
  <c r="X1780" i="12" a="1"/>
  <c r="X1776" i="12" a="1"/>
  <c r="X1772" i="12" a="1"/>
  <c r="X1768" i="12" a="1"/>
  <c r="X1764" i="12" a="1"/>
  <c r="X1760" i="12" a="1"/>
  <c r="X1756" i="12" a="1"/>
  <c r="X1752" i="12" a="1"/>
  <c r="X1748" i="12" a="1"/>
  <c r="X1744" i="12" a="1"/>
  <c r="X1740" i="12" a="1"/>
  <c r="X1736" i="12" a="1"/>
  <c r="X1732" i="12" a="1"/>
  <c r="X1728" i="12" a="1"/>
  <c r="X1724" i="12" a="1"/>
  <c r="X1720" i="12" a="1"/>
  <c r="X1716" i="12" a="1"/>
  <c r="X1712" i="12" a="1"/>
  <c r="X1708" i="12" a="1"/>
  <c r="X1704" i="12" a="1"/>
  <c r="X1700" i="12" a="1"/>
  <c r="X1696" i="12" a="1"/>
  <c r="X1692" i="12" a="1"/>
  <c r="X1688" i="12" a="1"/>
  <c r="V1940" i="12" a="1"/>
  <c r="V1932" i="12" a="1"/>
  <c r="V1924" i="12" a="1"/>
  <c r="W1919" i="12" a="1"/>
  <c r="W1915" i="12" a="1"/>
  <c r="W1911" i="12" a="1"/>
  <c r="W1907" i="12" a="1"/>
  <c r="W1903" i="12" a="1"/>
  <c r="W1899" i="12" a="1"/>
  <c r="W1895" i="12" a="1"/>
  <c r="W1891" i="12" a="1"/>
  <c r="W1887" i="12" a="1"/>
  <c r="W1883" i="12" a="1"/>
  <c r="W1879" i="12" a="1"/>
  <c r="W1875" i="12" a="1"/>
  <c r="W1871" i="12" a="1"/>
  <c r="U1865" i="12" a="1"/>
  <c r="U1861" i="12" a="1"/>
  <c r="V1857" i="12" a="1"/>
  <c r="U1853" i="12" a="1"/>
  <c r="X1848" i="12" a="1"/>
  <c r="U1846" i="12" a="1"/>
  <c r="U1843" i="12" a="1"/>
  <c r="X1840" i="12" a="1"/>
  <c r="X1836" i="12" a="1"/>
  <c r="X1832" i="12" a="1"/>
  <c r="X1828" i="12" a="1"/>
  <c r="X1824" i="12" a="1"/>
  <c r="X1820" i="12" a="1"/>
  <c r="X1816" i="12" a="1"/>
  <c r="U1812" i="12" a="1"/>
  <c r="V1808" i="12" a="1"/>
  <c r="W1804" i="12" a="1"/>
  <c r="X1800" i="12" a="1"/>
  <c r="V1795" i="12" a="1"/>
  <c r="X1789" i="12" a="1"/>
  <c r="X1785" i="12" a="1"/>
  <c r="X1781" i="12" a="1"/>
  <c r="X1777" i="12" a="1"/>
  <c r="X1773" i="12" a="1"/>
  <c r="X1769" i="12" a="1"/>
  <c r="X1765" i="12" a="1"/>
  <c r="X1761" i="12" a="1"/>
  <c r="X1757" i="12" a="1"/>
  <c r="X1753" i="12" a="1"/>
  <c r="X1749" i="12" a="1"/>
  <c r="X1745" i="12" a="1"/>
  <c r="X1741" i="12" a="1"/>
  <c r="X1737" i="12" a="1"/>
  <c r="X1733" i="12" a="1"/>
  <c r="X1729" i="12" a="1"/>
  <c r="X1725" i="12" a="1"/>
  <c r="X1721" i="12" a="1"/>
  <c r="X1939" i="12" a="1"/>
  <c r="X1935" i="12" a="1"/>
  <c r="X1931" i="12" a="1"/>
  <c r="X1927" i="12" a="1"/>
  <c r="X1923" i="12" a="1"/>
  <c r="V1919" i="12" a="1"/>
  <c r="V1915" i="12" a="1"/>
  <c r="V1911" i="12" a="1"/>
  <c r="V1907" i="12" a="1"/>
  <c r="V1903" i="12" a="1"/>
  <c r="V1899" i="12" a="1"/>
  <c r="V1895" i="12" a="1"/>
  <c r="V1891" i="12" a="1"/>
  <c r="V1887" i="12" a="1"/>
  <c r="V1883" i="12" a="1"/>
  <c r="V1879" i="12" a="1"/>
  <c r="V1875" i="12" a="1"/>
  <c r="V1871" i="12" a="1"/>
  <c r="W1867" i="12" a="1"/>
  <c r="V1863" i="12" a="1"/>
  <c r="V1859" i="12" a="1"/>
  <c r="X1856" i="12" a="1"/>
  <c r="X1854" i="12" a="1"/>
  <c r="V1852" i="12" a="1"/>
  <c r="W1848" i="12" a="1"/>
  <c r="W1844" i="12" a="1"/>
  <c r="W1840" i="12" a="1"/>
  <c r="W1836" i="12" a="1"/>
  <c r="W1832" i="12" a="1"/>
  <c r="W1828" i="12" a="1"/>
  <c r="W1824" i="12" a="1"/>
  <c r="W1820" i="12" a="1"/>
  <c r="W1816" i="12" a="1"/>
  <c r="X1812" i="12" a="1"/>
  <c r="U1808" i="12" a="1"/>
  <c r="V1804" i="12" a="1"/>
  <c r="W1800" i="12" a="1"/>
  <c r="X1796" i="12" a="1"/>
  <c r="X1794" i="12" a="1"/>
  <c r="X1792" i="12" a="1"/>
  <c r="X1790" i="12" a="1"/>
  <c r="X1786" i="12" a="1"/>
  <c r="X1782" i="12" a="1"/>
  <c r="X1778" i="12" a="1"/>
  <c r="X1774" i="12" a="1"/>
  <c r="X1770" i="12" a="1"/>
  <c r="X1766" i="12" a="1"/>
  <c r="X1762" i="12" a="1"/>
  <c r="X1758" i="12" a="1"/>
  <c r="X1754" i="12" a="1"/>
  <c r="X1750" i="12" a="1"/>
  <c r="X1746" i="12" a="1"/>
  <c r="X1742" i="12" a="1"/>
  <c r="X1738" i="12" a="1"/>
  <c r="X1734" i="12" a="1"/>
  <c r="X1730" i="12" a="1"/>
  <c r="X1726" i="12" a="1"/>
  <c r="V1937" i="12" a="1"/>
  <c r="V1929" i="12" a="1"/>
  <c r="W1921" i="12" a="1"/>
  <c r="W1917" i="12" a="1"/>
  <c r="W1913" i="12" a="1"/>
  <c r="W1909" i="12" a="1"/>
  <c r="W1905" i="12" a="1"/>
  <c r="W1901" i="12" a="1"/>
  <c r="W1897" i="12" a="1"/>
  <c r="W1893" i="12" a="1"/>
  <c r="W1889" i="12" a="1"/>
  <c r="W1885" i="12" a="1"/>
  <c r="W1881" i="12" a="1"/>
  <c r="W1877" i="12" a="1"/>
  <c r="W1873" i="12" a="1"/>
  <c r="W1869" i="12" a="1"/>
  <c r="U1863" i="12" a="1"/>
  <c r="U1859" i="12" a="1"/>
  <c r="W1855" i="12" a="1"/>
  <c r="W1849" i="12" a="1"/>
  <c r="W1841" i="12" a="1"/>
  <c r="W1837" i="12" a="1"/>
  <c r="W1833" i="12" a="1"/>
  <c r="W1829" i="12" a="1"/>
  <c r="W1825" i="12" a="1"/>
  <c r="W1821" i="12" a="1"/>
  <c r="W1817" i="12" a="1"/>
  <c r="X1813" i="12" a="1"/>
  <c r="U1809" i="12" a="1"/>
  <c r="V1805" i="12" a="1"/>
  <c r="W1801" i="12" a="1"/>
  <c r="X1797" i="12" a="1"/>
  <c r="W1790" i="12" a="1"/>
  <c r="W1786" i="12" a="1"/>
  <c r="W1782" i="12" a="1"/>
  <c r="W1778" i="12" a="1"/>
  <c r="W1774" i="12" a="1"/>
  <c r="W1770" i="12" a="1"/>
  <c r="W1766" i="12" a="1"/>
  <c r="W1762" i="12" a="1"/>
  <c r="W1758" i="12" a="1"/>
  <c r="W1754" i="12" a="1"/>
  <c r="W1750" i="12" a="1"/>
  <c r="W1746" i="12" a="1"/>
  <c r="W1742" i="12" a="1"/>
  <c r="W1738" i="12" a="1"/>
  <c r="W1734" i="12" a="1"/>
  <c r="W1730" i="12" a="1"/>
  <c r="W1726" i="12" a="1"/>
  <c r="W1722" i="12" a="1"/>
  <c r="W1718" i="12" a="1"/>
  <c r="W1714" i="12" a="1"/>
  <c r="W1710" i="12" a="1"/>
  <c r="W1706" i="12" a="1"/>
  <c r="W1702" i="12" a="1"/>
  <c r="W1698" i="12" a="1"/>
  <c r="W1694" i="12" a="1"/>
  <c r="W1690" i="12" a="1"/>
  <c r="W1686" i="12" a="1"/>
  <c r="W1716" i="12" a="1"/>
  <c r="W1708" i="12" a="1"/>
  <c r="W1700" i="12" a="1"/>
  <c r="W1692" i="12" a="1"/>
  <c r="X1684" i="12" a="1"/>
  <c r="W1680" i="12" a="1"/>
  <c r="W1676" i="12" a="1"/>
  <c r="W1672" i="12" a="1"/>
  <c r="W1668" i="12" a="1"/>
  <c r="W1664" i="12" a="1"/>
  <c r="W1660" i="12" a="1"/>
  <c r="W1656" i="12" a="1"/>
  <c r="W1652" i="12" a="1"/>
  <c r="U1648" i="12" a="1"/>
  <c r="X1645" i="12" a="1"/>
  <c r="V1642" i="12" a="1"/>
  <c r="V1638" i="12" a="1"/>
  <c r="V1634" i="12" a="1"/>
  <c r="V1630" i="12" a="1"/>
  <c r="V1626" i="12" a="1"/>
  <c r="V1622" i="12" a="1"/>
  <c r="V1618" i="12" a="1"/>
  <c r="V1614" i="12" a="1"/>
  <c r="U1611" i="12" a="1"/>
  <c r="V1606" i="12" a="1"/>
  <c r="U1603" i="12" a="1"/>
  <c r="V1598" i="12" a="1"/>
  <c r="U1595" i="12" a="1"/>
  <c r="V1591" i="12" a="1"/>
  <c r="V1587" i="12" a="1"/>
  <c r="V1583" i="12" a="1"/>
  <c r="V1579" i="12" a="1"/>
  <c r="V1575" i="12" a="1"/>
  <c r="V1571" i="12" a="1"/>
  <c r="W1567" i="12" a="1"/>
  <c r="W1563" i="12" a="1"/>
  <c r="X1559" i="12" a="1"/>
  <c r="X1555" i="12" a="1"/>
  <c r="U1551" i="12" a="1"/>
  <c r="U1547" i="12" a="1"/>
  <c r="V1543" i="12" a="1"/>
  <c r="V1539" i="12" a="1"/>
  <c r="U1535" i="12" a="1"/>
  <c r="U1533" i="12" a="1"/>
  <c r="U1529" i="12" a="1"/>
  <c r="W1525" i="12" a="1"/>
  <c r="U1521" i="12" a="1"/>
  <c r="W1517" i="12" a="1"/>
  <c r="U1513" i="12" a="1"/>
  <c r="V1509" i="12" a="1"/>
  <c r="W1505" i="12" a="1"/>
  <c r="U1499" i="12" a="1"/>
  <c r="U1495" i="12" a="1"/>
  <c r="U1491" i="12" a="1"/>
  <c r="U1487" i="12" a="1"/>
  <c r="U1483" i="12" a="1"/>
  <c r="U1479" i="12" a="1"/>
  <c r="U1475" i="12" a="1"/>
  <c r="U1471" i="12" a="1"/>
  <c r="U1467" i="12" a="1"/>
  <c r="U1463" i="12" a="1"/>
  <c r="U1459" i="12" a="1"/>
  <c r="U1455" i="12" a="1"/>
  <c r="U1451" i="12" a="1"/>
  <c r="U1447" i="12" a="1"/>
  <c r="U1443" i="12" a="1"/>
  <c r="U1439" i="12" a="1"/>
  <c r="V1711" i="12" a="1"/>
  <c r="V1703" i="12" a="1"/>
  <c r="V1695" i="12" a="1"/>
  <c r="V1687" i="12" a="1"/>
  <c r="W1681" i="12" a="1"/>
  <c r="W1677" i="12" a="1"/>
  <c r="W1673" i="12" a="1"/>
  <c r="W1669" i="12" a="1"/>
  <c r="W1665" i="12" a="1"/>
  <c r="W1661" i="12" a="1"/>
  <c r="W1657" i="12" a="1"/>
  <c r="W1653" i="12" a="1"/>
  <c r="X1649" i="12" a="1"/>
  <c r="W1644" i="12" a="1"/>
  <c r="W1640" i="12" a="1"/>
  <c r="W1636" i="12" a="1"/>
  <c r="W1632" i="12" a="1"/>
  <c r="W1628" i="12" a="1"/>
  <c r="W1624" i="12" a="1"/>
  <c r="W1620" i="12" a="1"/>
  <c r="W1616" i="12" a="1"/>
  <c r="U1613" i="12" a="1"/>
  <c r="V1608" i="12" a="1"/>
  <c r="U1605" i="12" a="1"/>
  <c r="V1600" i="12" a="1"/>
  <c r="U1597" i="12" a="1"/>
  <c r="V1592" i="12" a="1"/>
  <c r="V1588" i="12" a="1"/>
  <c r="V1584" i="12" a="1"/>
  <c r="V1580" i="12" a="1"/>
  <c r="V1576" i="12" a="1"/>
  <c r="V1572" i="12" a="1"/>
  <c r="W1568" i="12" a="1"/>
  <c r="W1564" i="12" a="1"/>
  <c r="X1560" i="12" a="1"/>
  <c r="U2050" i="12" a="1"/>
  <c r="U2039" i="12" a="1"/>
  <c r="W2034" i="12" a="1"/>
  <c r="X2029" i="12" a="1"/>
  <c r="U2025" i="12" a="1"/>
  <c r="W2022" i="12" a="1"/>
  <c r="W2018" i="12" a="1"/>
  <c r="X2013" i="12" a="1"/>
  <c r="U2009" i="12" a="1"/>
  <c r="W2006" i="12" a="1"/>
  <c r="W2002" i="12" a="1"/>
  <c r="U1997" i="12" a="1"/>
  <c r="W1994" i="12" a="1"/>
  <c r="U1989" i="12" a="1"/>
  <c r="W1986" i="12" a="1"/>
  <c r="U1981" i="12" a="1"/>
  <c r="W1978" i="12" a="1"/>
  <c r="X1973" i="12" a="1"/>
  <c r="U1969" i="12" a="1"/>
  <c r="V1961" i="12" a="1"/>
  <c r="X1957" i="12" a="1"/>
  <c r="X1955" i="12" a="1"/>
  <c r="X1953" i="12" a="1"/>
  <c r="X1951" i="12" a="1"/>
  <c r="X1949" i="12" a="1"/>
  <c r="X1947" i="12" a="1"/>
  <c r="X1945" i="12" a="1"/>
  <c r="X1943" i="12" a="1"/>
  <c r="U2061" i="12" a="1"/>
  <c r="W2053" i="12" a="1"/>
  <c r="W2045" i="12" a="1"/>
  <c r="W2041" i="12" a="1"/>
  <c r="X2036" i="12" a="1"/>
  <c r="U2031" i="12" a="1"/>
  <c r="U2027" i="12" a="1"/>
  <c r="W2024" i="12" a="1"/>
  <c r="X2020" i="12" a="1"/>
  <c r="U2015" i="12" a="1"/>
  <c r="U2011" i="12" a="1"/>
  <c r="W2008" i="12" a="1"/>
  <c r="X2004" i="12" a="1"/>
  <c r="U1999" i="12" a="1"/>
  <c r="W1996" i="12" a="1"/>
  <c r="U1991" i="12" a="1"/>
  <c r="W1988" i="12" a="1"/>
  <c r="U1983" i="12" a="1"/>
  <c r="W1980" i="12" a="1"/>
  <c r="U1975" i="12" a="1"/>
  <c r="U1970" i="12" a="1"/>
  <c r="U1966" i="12" a="1"/>
  <c r="V1962" i="12" a="1"/>
  <c r="W1958" i="12" a="1"/>
  <c r="W1954" i="12" a="1"/>
  <c r="W1950" i="12" a="1"/>
  <c r="W1946" i="12" a="1"/>
  <c r="W1942" i="12" a="1"/>
  <c r="W1938" i="12" a="1"/>
  <c r="W1934" i="12" a="1"/>
  <c r="W1930" i="12" a="1"/>
  <c r="W1926" i="12" a="1"/>
  <c r="W1922" i="12" a="1"/>
  <c r="X2056" i="12" a="1"/>
  <c r="X2052" i="12" a="1"/>
  <c r="X2048" i="12" a="1"/>
  <c r="X2044" i="12" a="1"/>
  <c r="X2039" i="12" a="1"/>
  <c r="V2035" i="12" a="1"/>
  <c r="U2032" i="12" a="1"/>
  <c r="U2028" i="12" a="1"/>
  <c r="V2023" i="12" a="1"/>
  <c r="V2019" i="12" a="1"/>
  <c r="U2016" i="12" a="1"/>
  <c r="U2012" i="12" a="1"/>
  <c r="V2007" i="12" a="1"/>
  <c r="V2003" i="12" a="1"/>
  <c r="U2000" i="12" a="1"/>
  <c r="V1995" i="12" a="1"/>
  <c r="U1992" i="12" a="1"/>
  <c r="V1987" i="12" a="1"/>
  <c r="U1984" i="12" a="1"/>
  <c r="V1979" i="12" a="1"/>
  <c r="U1976" i="12" a="1"/>
  <c r="V1972" i="12" a="1"/>
  <c r="V1968" i="12" a="1"/>
  <c r="U1965" i="12" a="1"/>
  <c r="U1963" i="12" a="1"/>
  <c r="W1960" i="12" a="1"/>
  <c r="U1868" i="12" a="1"/>
  <c r="X2092" i="12" a="1"/>
  <c r="X2088" i="12" a="1"/>
  <c r="X2084" i="12" a="1"/>
  <c r="X2080" i="12" a="1"/>
  <c r="X2076" i="12" a="1"/>
  <c r="X2072" i="12" a="1"/>
  <c r="X2068" i="12" a="1"/>
  <c r="X2064" i="12" a="1"/>
  <c r="V2058" i="12" a="1"/>
  <c r="V2050" i="12" a="1"/>
  <c r="V2043" i="12" a="1"/>
  <c r="V2039" i="12" a="1"/>
  <c r="X2034" i="12" a="1"/>
  <c r="W2031" i="12" a="1"/>
  <c r="W2027" i="12" a="1"/>
  <c r="X2022" i="12" a="1"/>
  <c r="X2018" i="12" a="1"/>
  <c r="W2015" i="12" a="1"/>
  <c r="W2011" i="12" a="1"/>
  <c r="X2006" i="12" a="1"/>
  <c r="X2002" i="12" a="1"/>
  <c r="W1999" i="12" a="1"/>
  <c r="X1994" i="12" a="1"/>
  <c r="W1991" i="12" a="1"/>
  <c r="X1986" i="12" a="1"/>
  <c r="W1983" i="12" a="1"/>
  <c r="X1978" i="12" a="1"/>
  <c r="W1975" i="12" a="1"/>
  <c r="U1972" i="12" a="1"/>
  <c r="U1968" i="12" a="1"/>
  <c r="W1964" i="12" a="1"/>
  <c r="V1960" i="12" a="1"/>
  <c r="V1956" i="12" a="1"/>
  <c r="V1952" i="12" a="1"/>
  <c r="V1948" i="12" a="1"/>
  <c r="V1944" i="12" a="1"/>
  <c r="U1941" i="12" a="1"/>
  <c r="U1937" i="12" a="1"/>
  <c r="U1933" i="12" a="1"/>
  <c r="U1929" i="12" a="1"/>
  <c r="U1925" i="12" a="1"/>
  <c r="V1921" i="12" a="1"/>
  <c r="V1917" i="12" a="1"/>
  <c r="V1913" i="12" a="1"/>
  <c r="V1909" i="12" a="1"/>
  <c r="V1905" i="12" a="1"/>
  <c r="V1901" i="12" a="1"/>
  <c r="V1897" i="12" a="1"/>
  <c r="V1893" i="12" a="1"/>
  <c r="V1889" i="12" a="1"/>
  <c r="V1885" i="12" a="1"/>
  <c r="V1881" i="12" a="1"/>
  <c r="V1877" i="12" a="1"/>
  <c r="V1873" i="12" a="1"/>
  <c r="U1869" i="12" a="1"/>
  <c r="V1865" i="12" a="1"/>
  <c r="V1861" i="12" a="1"/>
  <c r="V1853" i="12" a="1"/>
  <c r="X1850" i="12" a="1"/>
  <c r="V1847" i="12" a="1"/>
  <c r="V1843" i="12" a="1"/>
  <c r="X1839" i="12" a="1"/>
  <c r="X1835" i="12" a="1"/>
  <c r="X1831" i="12" a="1"/>
  <c r="X1827" i="12" a="1"/>
  <c r="X1823" i="12" a="1"/>
  <c r="X1819" i="12" a="1"/>
  <c r="X1815" i="12" a="1"/>
  <c r="U1811" i="12" a="1"/>
  <c r="V1807" i="12" a="1"/>
  <c r="W1803" i="12" a="1"/>
  <c r="X1799" i="12" a="1"/>
  <c r="W1795" i="12" a="1"/>
  <c r="W1791" i="12" a="1"/>
  <c r="W1787" i="12" a="1"/>
  <c r="W1783" i="12" a="1"/>
  <c r="W1779" i="12" a="1"/>
  <c r="W1775" i="12" a="1"/>
  <c r="W1771" i="12" a="1"/>
  <c r="W1767" i="12" a="1"/>
  <c r="W1763" i="12" a="1"/>
  <c r="W1759" i="12" a="1"/>
  <c r="W1755" i="12" a="1"/>
  <c r="W1751" i="12" a="1"/>
  <c r="W1747" i="12" a="1"/>
  <c r="W1743" i="12" a="1"/>
  <c r="W1739" i="12" a="1"/>
  <c r="W1735" i="12" a="1"/>
  <c r="W1731" i="12" a="1"/>
  <c r="W1727" i="12" a="1"/>
  <c r="W1723" i="12" a="1"/>
  <c r="W1719" i="12" a="1"/>
  <c r="W1715" i="12" a="1"/>
  <c r="W1711" i="12" a="1"/>
  <c r="W1707" i="12" a="1"/>
  <c r="W1703" i="12" a="1"/>
  <c r="W1699" i="12" a="1"/>
  <c r="W1695" i="12" a="1"/>
  <c r="W1691" i="12" a="1"/>
  <c r="W1687" i="12" a="1"/>
  <c r="V1938" i="12" a="1"/>
  <c r="V1930" i="12" a="1"/>
  <c r="V1922" i="12" a="1"/>
  <c r="V1918" i="12" a="1"/>
  <c r="V1914" i="12" a="1"/>
  <c r="V1910" i="12" a="1"/>
  <c r="V1906" i="12" a="1"/>
  <c r="V1902" i="12" a="1"/>
  <c r="V1898" i="12" a="1"/>
  <c r="V1894" i="12" a="1"/>
  <c r="V1890" i="12" a="1"/>
  <c r="V1886" i="12" a="1"/>
  <c r="V1882" i="12" a="1"/>
  <c r="V1878" i="12" a="1"/>
  <c r="V1874" i="12" a="1"/>
  <c r="V1870" i="12" a="1"/>
  <c r="X1864" i="12" a="1"/>
  <c r="X1860" i="12" a="1"/>
  <c r="V1856" i="12" a="1"/>
  <c r="W1851" i="12" a="1"/>
  <c r="U1848" i="12" a="1"/>
  <c r="U1845" i="12" a="1"/>
  <c r="X1842" i="12" a="1"/>
  <c r="W1839" i="12" a="1"/>
  <c r="W1835" i="12" a="1"/>
  <c r="W1831" i="12" a="1"/>
  <c r="W1827" i="12" a="1"/>
  <c r="W1823" i="12" a="1"/>
  <c r="W1819" i="12" a="1"/>
  <c r="W1815" i="12" a="1"/>
  <c r="X1811" i="12" a="1"/>
  <c r="U1807" i="12" a="1"/>
  <c r="V1803" i="12" a="1"/>
  <c r="W1799" i="12" a="1"/>
  <c r="V1793" i="12" a="1"/>
  <c r="W1788" i="12" a="1"/>
  <c r="W1784" i="12" a="1"/>
  <c r="W1780" i="12" a="1"/>
  <c r="W1776" i="12" a="1"/>
  <c r="W1772" i="12" a="1"/>
  <c r="W1768" i="12" a="1"/>
  <c r="W1764" i="12" a="1"/>
  <c r="W1760" i="12" a="1"/>
  <c r="W1756" i="12" a="1"/>
  <c r="W1752" i="12" a="1"/>
  <c r="W1748" i="12" a="1"/>
  <c r="W1744" i="12" a="1"/>
  <c r="W1740" i="12" a="1"/>
  <c r="W1736" i="12" a="1"/>
  <c r="W1732" i="12" a="1"/>
  <c r="W1728" i="12" a="1"/>
  <c r="W1724" i="12" a="1"/>
  <c r="W1720" i="12" a="1"/>
  <c r="U1938" i="12" a="1"/>
  <c r="U1934" i="12" a="1"/>
  <c r="U1930" i="12" a="1"/>
  <c r="U1926" i="12" a="1"/>
  <c r="U1922" i="12" a="1"/>
  <c r="U1918" i="12" a="1"/>
  <c r="U1914" i="12" a="1"/>
  <c r="U1910" i="12" a="1"/>
  <c r="U1906" i="12" a="1"/>
  <c r="U1902" i="12" a="1"/>
  <c r="U1898" i="12" a="1"/>
  <c r="U1894" i="12" a="1"/>
  <c r="U1890" i="12" a="1"/>
  <c r="U1886" i="12" a="1"/>
  <c r="U1882" i="12" a="1"/>
  <c r="U1878" i="12" a="1"/>
  <c r="U1874" i="12" a="1"/>
  <c r="U1870" i="12" a="1"/>
  <c r="U1866" i="12" a="1"/>
  <c r="U1862" i="12" a="1"/>
  <c r="U1858" i="12" a="1"/>
  <c r="U1856" i="12" a="1"/>
  <c r="U1854" i="12" a="1"/>
  <c r="V1851" i="12" a="1"/>
  <c r="X1847" i="12" a="1"/>
  <c r="X1843" i="12" a="1"/>
  <c r="V1839" i="12" a="1"/>
  <c r="V1835" i="12" a="1"/>
  <c r="V1831" i="12" a="1"/>
  <c r="V1827" i="12" a="1"/>
  <c r="V1823" i="12" a="1"/>
  <c r="V1819" i="12" a="1"/>
  <c r="V1815" i="12" a="1"/>
  <c r="W1811" i="12" a="1"/>
  <c r="X1807" i="12" a="1"/>
  <c r="U1803" i="12" a="1"/>
  <c r="V1799" i="12" a="1"/>
  <c r="U1796" i="12" a="1"/>
  <c r="U1794" i="12" a="1"/>
  <c r="U1792" i="12" a="1"/>
  <c r="W1789" i="12" a="1"/>
  <c r="W1785" i="12" a="1"/>
  <c r="W1781" i="12" a="1"/>
  <c r="W1777" i="12" a="1"/>
  <c r="W1773" i="12" a="1"/>
  <c r="W1769" i="12" a="1"/>
  <c r="W1765" i="12" a="1"/>
  <c r="W1761" i="12" a="1"/>
  <c r="W1757" i="12" a="1"/>
  <c r="W1753" i="12" a="1"/>
  <c r="W1749" i="12" a="1"/>
  <c r="W1745" i="12" a="1"/>
  <c r="W1741" i="12" a="1"/>
  <c r="W1737" i="12" a="1"/>
  <c r="W1733" i="12" a="1"/>
  <c r="W1729" i="12" a="1"/>
  <c r="W1725" i="12" a="1"/>
  <c r="V1935" i="12" a="1"/>
  <c r="V1927" i="12" a="1"/>
  <c r="V1920" i="12" a="1"/>
  <c r="V1916" i="12" a="1"/>
  <c r="V1912" i="12" a="1"/>
  <c r="V1908" i="12" a="1"/>
  <c r="V1904" i="12" a="1"/>
  <c r="V1900" i="12" a="1"/>
  <c r="V1896" i="12" a="1"/>
  <c r="V1892" i="12" a="1"/>
  <c r="V1888" i="12" a="1"/>
  <c r="V1884" i="12" a="1"/>
  <c r="V1880" i="12" a="1"/>
  <c r="V1876" i="12" a="1"/>
  <c r="V1872" i="12" a="1"/>
  <c r="V1867" i="12" a="1"/>
  <c r="X1862" i="12" a="1"/>
  <c r="X1858" i="12" a="1"/>
  <c r="W1854" i="12" a="1"/>
  <c r="W1847" i="12" a="1"/>
  <c r="V1840" i="12" a="1"/>
  <c r="V1836" i="12" a="1"/>
  <c r="V1832" i="12" a="1"/>
  <c r="V1828" i="12" a="1"/>
  <c r="V1824" i="12" a="1"/>
  <c r="V1820" i="12" a="1"/>
  <c r="V1816" i="12" a="1"/>
  <c r="W1812" i="12" a="1"/>
  <c r="X1808" i="12" a="1"/>
  <c r="U1804" i="12" a="1"/>
  <c r="V1800" i="12" a="1"/>
  <c r="W1796" i="12" a="1"/>
  <c r="V1789" i="12" a="1"/>
  <c r="V1785" i="12" a="1"/>
  <c r="V1781" i="12" a="1"/>
  <c r="V1777" i="12" a="1"/>
  <c r="V1773" i="12" a="1"/>
  <c r="V1769" i="12" a="1"/>
  <c r="V1765" i="12" a="1"/>
  <c r="V1761" i="12" a="1"/>
  <c r="V1757" i="12" a="1"/>
  <c r="V1753" i="12" a="1"/>
  <c r="V1749" i="12" a="1"/>
  <c r="V1745" i="12" a="1"/>
  <c r="V1741" i="12" a="1"/>
  <c r="V1737" i="12" a="1"/>
  <c r="V1733" i="12" a="1"/>
  <c r="V1729" i="12" a="1"/>
  <c r="V1725" i="12" a="1"/>
  <c r="V1721" i="12" a="1"/>
  <c r="V1717" i="12" a="1"/>
  <c r="V1713" i="12" a="1"/>
  <c r="V1709" i="12" a="1"/>
  <c r="V1705" i="12" a="1"/>
  <c r="V1701" i="12" a="1"/>
  <c r="V1697" i="12" a="1"/>
  <c r="V1693" i="12" a="1"/>
  <c r="V1689" i="12" a="1"/>
  <c r="V1685" i="12" a="1"/>
  <c r="W1713" i="12" a="1"/>
  <c r="W1705" i="12" a="1"/>
  <c r="W1697" i="12" a="1"/>
  <c r="W1689" i="12" a="1"/>
  <c r="V1683" i="12" a="1"/>
  <c r="V1679" i="12" a="1"/>
  <c r="V1675" i="12" a="1"/>
  <c r="V1671" i="12" a="1"/>
  <c r="V1667" i="12" a="1"/>
  <c r="V1663" i="12" a="1"/>
  <c r="V1659" i="12" a="1"/>
  <c r="V1655" i="12" a="1"/>
  <c r="V1651" i="12" a="1"/>
  <c r="X1647" i="12" a="1"/>
  <c r="U1645" i="12" a="1"/>
  <c r="U1641" i="12" a="1"/>
  <c r="U1637" i="12" a="1"/>
  <c r="U1633" i="12" a="1"/>
  <c r="U1629" i="12" a="1"/>
  <c r="U1625" i="12" a="1"/>
  <c r="U1621" i="12" a="1"/>
  <c r="U1617" i="12" a="1"/>
  <c r="V1613" i="12" a="1"/>
  <c r="X1610" i="12" a="1"/>
  <c r="V1605" i="12" a="1"/>
  <c r="X1602" i="12" a="1"/>
  <c r="V1597" i="12" a="1"/>
  <c r="X1594" i="12" a="1"/>
  <c r="U1590" i="12" a="1"/>
  <c r="U1586" i="12" a="1"/>
  <c r="U1582" i="12" a="1"/>
  <c r="U1578" i="12" a="1"/>
  <c r="U1574" i="12" a="1"/>
  <c r="U1570" i="12" a="1"/>
  <c r="V1566" i="12" a="1"/>
  <c r="V1562" i="12" a="1"/>
  <c r="W1558" i="12" a="1"/>
  <c r="W1554" i="12" a="1"/>
  <c r="X1550" i="12" a="1"/>
  <c r="X1546" i="12" a="1"/>
  <c r="U1542" i="12" a="1"/>
  <c r="V1538" i="12" a="1"/>
  <c r="X1534" i="12" a="1"/>
  <c r="X1532" i="12" a="1"/>
  <c r="U1528" i="12" a="1"/>
  <c r="X1524" i="12" a="1"/>
  <c r="U1520" i="12" a="1"/>
  <c r="W1516" i="12" a="1"/>
  <c r="V1512" i="12" a="1"/>
  <c r="U1508" i="12" a="1"/>
  <c r="X1504" i="12" a="1"/>
  <c r="X1498" i="12" a="1"/>
  <c r="X1494" i="12" a="1"/>
  <c r="X1490" i="12" a="1"/>
  <c r="X1486" i="12" a="1"/>
  <c r="X1482" i="12" a="1"/>
  <c r="X1478" i="12" a="1"/>
  <c r="X1474" i="12" a="1"/>
  <c r="X1470" i="12" a="1"/>
  <c r="X1466" i="12" a="1"/>
  <c r="X1462" i="12" a="1"/>
  <c r="X1458" i="12" a="1"/>
  <c r="X1454" i="12" a="1"/>
  <c r="X1450" i="12" a="1"/>
  <c r="X1446" i="12" a="1"/>
  <c r="X1442" i="12" a="1"/>
  <c r="V1716" i="12" a="1"/>
  <c r="V1708" i="12" a="1"/>
  <c r="V1700" i="12" a="1"/>
  <c r="V1692" i="12" a="1"/>
  <c r="W1684" i="12" a="1"/>
  <c r="V1680" i="12" a="1"/>
  <c r="V1676" i="12" a="1"/>
  <c r="V1672" i="12" a="1"/>
  <c r="V1668" i="12" a="1"/>
  <c r="V1664" i="12" a="1"/>
  <c r="V1660" i="12" a="1"/>
  <c r="V1656" i="12" a="1"/>
  <c r="V1652" i="12" a="1"/>
  <c r="X1648" i="12" a="1"/>
  <c r="V1643" i="12" a="1"/>
  <c r="V1639" i="12" a="1"/>
  <c r="V1635" i="12" a="1"/>
  <c r="V1631" i="12" a="1"/>
  <c r="V1627" i="12" a="1"/>
  <c r="V1623" i="12" a="1"/>
  <c r="V1619" i="12" a="1"/>
  <c r="V1615" i="12" a="1"/>
  <c r="X1612" i="12" a="1"/>
  <c r="V1607" i="12" a="1"/>
  <c r="X1604" i="12" a="1"/>
  <c r="V1599" i="12" a="1"/>
  <c r="X1596" i="12" a="1"/>
  <c r="U1591" i="12" a="1"/>
  <c r="U1587" i="12" a="1"/>
  <c r="U1583" i="12" a="1"/>
  <c r="U1579" i="12" a="1"/>
  <c r="U1575" i="12" a="1"/>
  <c r="U1571" i="12" a="1"/>
  <c r="V1567" i="12" a="1"/>
  <c r="V1563" i="12" a="1"/>
  <c r="W1559" i="12" a="1"/>
  <c r="W1555" i="12" a="1"/>
  <c r="X1551" i="12" a="1"/>
  <c r="X1547" i="12" a="1"/>
  <c r="U1543" i="12" a="1"/>
  <c r="U1539" i="12" a="1"/>
  <c r="U1537" i="12" a="1"/>
  <c r="W1533" i="12" a="1"/>
  <c r="X1529" i="12" a="1"/>
  <c r="V1523" i="12" a="1"/>
  <c r="W1519" i="12" a="1"/>
  <c r="X1513" i="12" a="1"/>
  <c r="U1511" i="12" a="1"/>
  <c r="U1509" i="12" a="1"/>
  <c r="V1503" i="12" a="1"/>
  <c r="X1499" i="12" a="1"/>
  <c r="X1495" i="12" a="1"/>
  <c r="X1491" i="12" a="1"/>
  <c r="X1487" i="12" a="1"/>
  <c r="X1483" i="12" a="1"/>
  <c r="X1479" i="12" a="1"/>
  <c r="X1475" i="12" a="1"/>
  <c r="X1471" i="12" a="1"/>
  <c r="X1467" i="12" a="1"/>
  <c r="X1722" i="12" a="1"/>
  <c r="X1718" i="12" a="1"/>
  <c r="X1710" i="12" a="1"/>
  <c r="X1702" i="12" a="1"/>
  <c r="X1694" i="12" a="1"/>
  <c r="X1686" i="12" a="1"/>
  <c r="V1681" i="12" a="1"/>
  <c r="V1677" i="12" a="1"/>
  <c r="V1673" i="12" a="1"/>
  <c r="V1669" i="12" a="1"/>
  <c r="V1665" i="12" a="1"/>
  <c r="V1661" i="12" a="1"/>
  <c r="V1657" i="12" a="1"/>
  <c r="V1653" i="12" a="1"/>
  <c r="W1649" i="12" a="1"/>
  <c r="W1645" i="12" a="1"/>
  <c r="W1641" i="12" a="1"/>
  <c r="W1637" i="12" a="1"/>
  <c r="W1633" i="12" a="1"/>
  <c r="W1629" i="12" a="1"/>
  <c r="W1625" i="12" a="1"/>
  <c r="W1621" i="12" a="1"/>
  <c r="W1617" i="12" a="1"/>
  <c r="W1613" i="12" a="1"/>
  <c r="U1608" i="12" a="1"/>
  <c r="W1605" i="12" a="1"/>
  <c r="U1600" i="12" a="1"/>
  <c r="W1597" i="12" a="1"/>
  <c r="U1592" i="12" a="1"/>
  <c r="X1556" i="12" a="1"/>
  <c r="V1540" i="12" a="1"/>
  <c r="W1524" i="12" a="1"/>
  <c r="X1509" i="12" a="1"/>
  <c r="U1492" i="12" a="1"/>
  <c r="U1476" i="12" a="1"/>
  <c r="U1719" i="12" a="1"/>
  <c r="U1687" i="12" a="1"/>
  <c r="W1670" i="12" a="1"/>
  <c r="W1654" i="12" a="1"/>
  <c r="X1638" i="12" a="1"/>
  <c r="X1622" i="12" a="1"/>
  <c r="V1610" i="12" a="1"/>
  <c r="X1606" i="12" a="1"/>
  <c r="X1599" i="12" a="1"/>
  <c r="V1594" i="12" a="1"/>
  <c r="V1589" i="12" a="1"/>
  <c r="V1585" i="12" a="1"/>
  <c r="V1581" i="12" a="1"/>
  <c r="V1577" i="12" a="1"/>
  <c r="V1573" i="12" a="1"/>
  <c r="V1569" i="12" a="1"/>
  <c r="W1565" i="12" a="1"/>
  <c r="W1561" i="12" a="1"/>
  <c r="X1557" i="12" a="1"/>
  <c r="X1553" i="12" a="1"/>
  <c r="U1549" i="12" a="1"/>
  <c r="U1545" i="12" a="1"/>
  <c r="V1541" i="12" a="1"/>
  <c r="W1537" i="12" a="1"/>
  <c r="U1531" i="12" a="1"/>
  <c r="V1527" i="12" a="1"/>
  <c r="U1523" i="12" a="1"/>
  <c r="V1519" i="12" a="1"/>
  <c r="X1515" i="12" a="1"/>
  <c r="W1511" i="12" a="1"/>
  <c r="V1507" i="12" a="1"/>
  <c r="U1503" i="12" a="1"/>
  <c r="U1501" i="12" a="1"/>
  <c r="U1497" i="12" a="1"/>
  <c r="U1493" i="12" a="1"/>
  <c r="U1489" i="12" a="1"/>
  <c r="U1485" i="12" a="1"/>
  <c r="U1481" i="12" a="1"/>
  <c r="X1713" i="12" a="1"/>
  <c r="X1705" i="12" a="1"/>
  <c r="X1697" i="12" a="1"/>
  <c r="X1689" i="12" a="1"/>
  <c r="V1682" i="12" a="1"/>
  <c r="V1678" i="12" a="1"/>
  <c r="V1674" i="12" a="1"/>
  <c r="V1670" i="12" a="1"/>
  <c r="V1666" i="12" a="1"/>
  <c r="V1662" i="12" a="1"/>
  <c r="V1658" i="12" a="1"/>
  <c r="V1654" i="12" a="1"/>
  <c r="W1650" i="12" a="1"/>
  <c r="V1645" i="12" a="1"/>
  <c r="V1641" i="12" a="1"/>
  <c r="V1637" i="12" a="1"/>
  <c r="V1633" i="12" a="1"/>
  <c r="V1629" i="12" a="1"/>
  <c r="V1625" i="12" a="1"/>
  <c r="V1621" i="12" a="1"/>
  <c r="V1617" i="12" a="1"/>
  <c r="V1612" i="12" a="1"/>
  <c r="U1609" i="12" a="1"/>
  <c r="V1604" i="12" a="1"/>
  <c r="U1601" i="12" a="1"/>
  <c r="V1596" i="12" a="1"/>
  <c r="U1593" i="12" a="1"/>
  <c r="U1589" i="12" a="1"/>
  <c r="U1585" i="12" a="1"/>
  <c r="U1581" i="12" a="1"/>
  <c r="U1577" i="12" a="1"/>
  <c r="U1573" i="12" a="1"/>
  <c r="U1569" i="12" a="1"/>
  <c r="V1565" i="12" a="1"/>
  <c r="V1561" i="12" a="1"/>
  <c r="W1557" i="12" a="1"/>
  <c r="W1553" i="12" a="1"/>
  <c r="X1549" i="12" a="1"/>
  <c r="X1545" i="12" a="1"/>
  <c r="U1541" i="12" a="1"/>
  <c r="V1535" i="12" a="1"/>
  <c r="X1531" i="12" a="1"/>
  <c r="U1527" i="12" a="1"/>
  <c r="U1525" i="12" a="1"/>
  <c r="V1521" i="12" a="1"/>
  <c r="U1518" i="12" a="1"/>
  <c r="W1515" i="12" a="1"/>
  <c r="U1507" i="12" a="1"/>
  <c r="U1505" i="12" a="1"/>
  <c r="W1501" i="12" a="1"/>
  <c r="X1497" i="12" a="1"/>
  <c r="X1493" i="12" a="1"/>
  <c r="X1489" i="12" a="1"/>
  <c r="X1485" i="12" a="1"/>
  <c r="X1481" i="12" a="1"/>
  <c r="X1477" i="12" a="1"/>
  <c r="X1473" i="12" a="1"/>
  <c r="X1469" i="12" a="1"/>
  <c r="X1465" i="12" a="1"/>
  <c r="X1461" i="12" a="1"/>
  <c r="X1457" i="12" a="1"/>
  <c r="X1453" i="12" a="1"/>
  <c r="X1449" i="12" a="1"/>
  <c r="X1445" i="12" a="1"/>
  <c r="X1441" i="12" a="1"/>
  <c r="X1463" i="12" a="1"/>
  <c r="X1455" i="12" a="1"/>
  <c r="X1447" i="12" a="1"/>
  <c r="X1439" i="12" a="1"/>
  <c r="V1435" i="12" a="1"/>
  <c r="V1431" i="12" a="1"/>
  <c r="V1427" i="12" a="1"/>
  <c r="V1423" i="12" a="1"/>
  <c r="V1419" i="12" a="1"/>
  <c r="V1415" i="12" a="1"/>
  <c r="V1411" i="12" a="1"/>
  <c r="V1407" i="12" a="1"/>
  <c r="V1403" i="12" a="1"/>
  <c r="V1399" i="12" a="1"/>
  <c r="V1395" i="12" a="1"/>
  <c r="V1391" i="12" a="1"/>
  <c r="V1387" i="12" a="1"/>
  <c r="V1383" i="12" a="1"/>
  <c r="V1379" i="12" a="1"/>
  <c r="V1375" i="12" a="1"/>
  <c r="V1371" i="12" a="1"/>
  <c r="V1367" i="12" a="1"/>
  <c r="V1363" i="12" a="1"/>
  <c r="V1359" i="12" a="1"/>
  <c r="V1355" i="12" a="1"/>
  <c r="V1351" i="12" a="1"/>
  <c r="V1347" i="12" a="1"/>
  <c r="V1343" i="12" a="1"/>
  <c r="V1339" i="12" a="1"/>
  <c r="V1335" i="12" a="1"/>
  <c r="V1331" i="12" a="1"/>
  <c r="V1327" i="12" a="1"/>
  <c r="V1323" i="12" a="1"/>
  <c r="V1319" i="12" a="1"/>
  <c r="V1315" i="12" a="1"/>
  <c r="V1311" i="12" a="1"/>
  <c r="V1307" i="12" a="1"/>
  <c r="V1303" i="12" a="1"/>
  <c r="V1299" i="12" a="1"/>
  <c r="X1296" i="12" a="1"/>
  <c r="X1294" i="12" a="1"/>
  <c r="X1292" i="12" a="1"/>
  <c r="X1290" i="12" a="1"/>
  <c r="X1288" i="12" a="1"/>
  <c r="X1286" i="12" a="1"/>
  <c r="X1284" i="12" a="1"/>
  <c r="X1282" i="12" a="1"/>
  <c r="X1280" i="12" a="1"/>
  <c r="X1278" i="12" a="1"/>
  <c r="X1276" i="12" a="1"/>
  <c r="X1274" i="12" a="1"/>
  <c r="X1272" i="12" a="1"/>
  <c r="X1270" i="12" a="1"/>
  <c r="X1268" i="12" a="1"/>
  <c r="X1266" i="12" a="1"/>
  <c r="X1264" i="12" a="1"/>
  <c r="X1262" i="12" a="1"/>
  <c r="X1260" i="12" a="1"/>
  <c r="X1258" i="12" a="1"/>
  <c r="X1256" i="12" a="1"/>
  <c r="X1254" i="12" a="1"/>
  <c r="X1252" i="12" a="1"/>
  <c r="X1250" i="12" a="1"/>
  <c r="X1248" i="12" a="1"/>
  <c r="X1246" i="12" a="1"/>
  <c r="X1244" i="12" a="1"/>
  <c r="X1242" i="12" a="1"/>
  <c r="X1240" i="12" a="1"/>
  <c r="X1238" i="12" a="1"/>
  <c r="X1236" i="12" a="1"/>
  <c r="X1234" i="12" a="1"/>
  <c r="X1232" i="12" a="1"/>
  <c r="X1230" i="12" a="1"/>
  <c r="X1228" i="12" a="1"/>
  <c r="X1224" i="12" a="1"/>
  <c r="X1220" i="12" a="1"/>
  <c r="X1216" i="12" a="1"/>
  <c r="X1212" i="12" a="1"/>
  <c r="X1208" i="12" a="1"/>
  <c r="X1204" i="12" a="1"/>
  <c r="X1200" i="12" a="1"/>
  <c r="X1196" i="12" a="1"/>
  <c r="X1192" i="12" a="1"/>
  <c r="X1188" i="12" a="1"/>
  <c r="X1184" i="12" a="1"/>
  <c r="X1180" i="12" a="1"/>
  <c r="X1176" i="12" a="1"/>
  <c r="X1172" i="12" a="1"/>
  <c r="X1168" i="12" a="1"/>
  <c r="X1164" i="12" a="1"/>
  <c r="X1160" i="12" a="1"/>
  <c r="X1156" i="12" a="1"/>
  <c r="X1152" i="12" a="1"/>
  <c r="X1148" i="12" a="1"/>
  <c r="X1144" i="12" a="1"/>
  <c r="X1140" i="12" a="1"/>
  <c r="X1136" i="12" a="1"/>
  <c r="X1132" i="12" a="1"/>
  <c r="X1128" i="12" a="1"/>
  <c r="X1124" i="12" a="1"/>
  <c r="X1120" i="12" a="1"/>
  <c r="X1116" i="12" a="1"/>
  <c r="X1112" i="12" a="1"/>
  <c r="X1108" i="12" a="1"/>
  <c r="X1104" i="12" a="1"/>
  <c r="X1100" i="12" a="1"/>
  <c r="X1096" i="12" a="1"/>
  <c r="X1092" i="12" a="1"/>
  <c r="X1088" i="12" a="1"/>
  <c r="X1084" i="12" a="1"/>
  <c r="X1080" i="12" a="1"/>
  <c r="X1076" i="12" a="1"/>
  <c r="X1072" i="12" a="1"/>
  <c r="X1068" i="12" a="1"/>
  <c r="X1064" i="12" a="1"/>
  <c r="X1060" i="12" a="1"/>
  <c r="V1056" i="12" a="1"/>
  <c r="V1052" i="12" a="1"/>
  <c r="V1048" i="12" a="1"/>
  <c r="V1044" i="12" a="1"/>
  <c r="X1040" i="12" a="1"/>
  <c r="X1036" i="12" a="1"/>
  <c r="X1032" i="12" a="1"/>
  <c r="X1028" i="12" a="1"/>
  <c r="W1024" i="12" a="1"/>
  <c r="W1020" i="12" a="1"/>
  <c r="X1016" i="12" a="1"/>
  <c r="X1012" i="12" a="1"/>
  <c r="W1459" i="12" a="1"/>
  <c r="W1451" i="12" a="1"/>
  <c r="W1443" i="12" a="1"/>
  <c r="W1437" i="12" a="1"/>
  <c r="W1433" i="12" a="1"/>
  <c r="W1429" i="12" a="1"/>
  <c r="W1425" i="12" a="1"/>
  <c r="W1421" i="12" a="1"/>
  <c r="W1417" i="12" a="1"/>
  <c r="W1413" i="12" a="1"/>
  <c r="W1409" i="12" a="1"/>
  <c r="W1405" i="12" a="1"/>
  <c r="W1401" i="12" a="1"/>
  <c r="W1397" i="12" a="1"/>
  <c r="W1393" i="12" a="1"/>
  <c r="W1389" i="12" a="1"/>
  <c r="W1385" i="12" a="1"/>
  <c r="W1381" i="12" a="1"/>
  <c r="W1377" i="12" a="1"/>
  <c r="W1373" i="12" a="1"/>
  <c r="W1369" i="12" a="1"/>
  <c r="W1365" i="12" a="1"/>
  <c r="W1361" i="12" a="1"/>
  <c r="W1357" i="12" a="1"/>
  <c r="W1353" i="12" a="1"/>
  <c r="W1349" i="12" a="1"/>
  <c r="W1345" i="12" a="1"/>
  <c r="W1341" i="12" a="1"/>
  <c r="W1337" i="12" a="1"/>
  <c r="W1333" i="12" a="1"/>
  <c r="W1329" i="12" a="1"/>
  <c r="W1325" i="12" a="1"/>
  <c r="W1321" i="12" a="1"/>
  <c r="W1317" i="12" a="1"/>
  <c r="W1313" i="12" a="1"/>
  <c r="W1309" i="12" a="1"/>
  <c r="W1305" i="12" a="1"/>
  <c r="W1301" i="12" a="1"/>
  <c r="W1297" i="12" a="1"/>
  <c r="W1293" i="12" a="1"/>
  <c r="W1289" i="12" a="1"/>
  <c r="W1285" i="12" a="1"/>
  <c r="W1281" i="12" a="1"/>
  <c r="W1277" i="12" a="1"/>
  <c r="W1273" i="12" a="1"/>
  <c r="W1269" i="12" a="1"/>
  <c r="W1265" i="12" a="1"/>
  <c r="W1261" i="12" a="1"/>
  <c r="W1257" i="12" a="1"/>
  <c r="W1253" i="12" a="1"/>
  <c r="W1249" i="12" a="1"/>
  <c r="W1245" i="12" a="1"/>
  <c r="W1241" i="12" a="1"/>
  <c r="W1237" i="12" a="1"/>
  <c r="W1233" i="12" a="1"/>
  <c r="W1229" i="12" a="1"/>
  <c r="X1225" i="12" a="1"/>
  <c r="X1221" i="12" a="1"/>
  <c r="X1217" i="12" a="1"/>
  <c r="X1213" i="12" a="1"/>
  <c r="X1209" i="12" a="1"/>
  <c r="X1205" i="12" a="1"/>
  <c r="X1201" i="12" a="1"/>
  <c r="X1197" i="12" a="1"/>
  <c r="X1193" i="12" a="1"/>
  <c r="X1189" i="12" a="1"/>
  <c r="X1185" i="12" a="1"/>
  <c r="X1181" i="12" a="1"/>
  <c r="X1177" i="12" a="1"/>
  <c r="X1173" i="12" a="1"/>
  <c r="X1169" i="12" a="1"/>
  <c r="X1165" i="12" a="1"/>
  <c r="X1161" i="12" a="1"/>
  <c r="X1157" i="12" a="1"/>
  <c r="X1153" i="12" a="1"/>
  <c r="X1149" i="12" a="1"/>
  <c r="X1145" i="12" a="1"/>
  <c r="X1141" i="12" a="1"/>
  <c r="X1137" i="12" a="1"/>
  <c r="X1133" i="12" a="1"/>
  <c r="X1129" i="12" a="1"/>
  <c r="X1125" i="12" a="1"/>
  <c r="X1121" i="12" a="1"/>
  <c r="X1117" i="12" a="1"/>
  <c r="X1113" i="12" a="1"/>
  <c r="X1109" i="12" a="1"/>
  <c r="X1105" i="12" a="1"/>
  <c r="X1101" i="12" a="1"/>
  <c r="X1097" i="12" a="1"/>
  <c r="X1093" i="12" a="1"/>
  <c r="X1089" i="12" a="1"/>
  <c r="X1085" i="12" a="1"/>
  <c r="X1081" i="12" a="1"/>
  <c r="X1077" i="12" a="1"/>
  <c r="X1073" i="12" a="1"/>
  <c r="X1069" i="12" a="1"/>
  <c r="X1065" i="12" a="1"/>
  <c r="X1061" i="12" a="1"/>
  <c r="X1057" i="12" a="1"/>
  <c r="X1055" i="12" a="1"/>
  <c r="X1053" i="12" a="1"/>
  <c r="X1051" i="12" a="1"/>
  <c r="X1049" i="12" a="1"/>
  <c r="X1047" i="12" a="1"/>
  <c r="X1045" i="12" a="1"/>
  <c r="X1043" i="12" a="1"/>
  <c r="X1041" i="12" a="1"/>
  <c r="X1037" i="12" a="1"/>
  <c r="X1033" i="12" a="1"/>
  <c r="X1029" i="12" a="1"/>
  <c r="X1017" i="12" a="1"/>
  <c r="X1013" i="12" a="1"/>
  <c r="W1009" i="12" a="1"/>
  <c r="W1005" i="12" a="1"/>
  <c r="X1001" i="12" a="1"/>
  <c r="X997" i="12" a="1"/>
  <c r="U1477" i="12" a="1"/>
  <c r="U1473" i="12" a="1"/>
  <c r="U1469" i="12" a="1"/>
  <c r="V1465" i="12" a="1"/>
  <c r="V1457" i="12" a="1"/>
  <c r="V1449" i="12" a="1"/>
  <c r="V1441" i="12" a="1"/>
  <c r="X1435" i="12" a="1"/>
  <c r="X1431" i="12" a="1"/>
  <c r="X1427" i="12" a="1"/>
  <c r="X1423" i="12" a="1"/>
  <c r="X1419" i="12" a="1"/>
  <c r="X1415" i="12" a="1"/>
  <c r="X1411" i="12" a="1"/>
  <c r="X1407" i="12" a="1"/>
  <c r="X1403" i="12" a="1"/>
  <c r="X1399" i="12" a="1"/>
  <c r="X1395" i="12" a="1"/>
  <c r="X1391" i="12" a="1"/>
  <c r="X1387" i="12" a="1"/>
  <c r="X1383" i="12" a="1"/>
  <c r="X1379" i="12" a="1"/>
  <c r="X1375" i="12" a="1"/>
  <c r="X1371" i="12" a="1"/>
  <c r="X1367" i="12" a="1"/>
  <c r="X1363" i="12" a="1"/>
  <c r="X1359" i="12" a="1"/>
  <c r="X1355" i="12" a="1"/>
  <c r="X1351" i="12" a="1"/>
  <c r="X1347" i="12" a="1"/>
  <c r="X1343" i="12" a="1"/>
  <c r="X1339" i="12" a="1"/>
  <c r="X1335" i="12" a="1"/>
  <c r="X1331" i="12" a="1"/>
  <c r="X1327" i="12" a="1"/>
  <c r="X1323" i="12" a="1"/>
  <c r="X1319" i="12" a="1"/>
  <c r="X1315" i="12" a="1"/>
  <c r="X1311" i="12" a="1"/>
  <c r="X1307" i="12" a="1"/>
  <c r="X1303" i="12" a="1"/>
  <c r="X1299" i="12" a="1"/>
  <c r="X1226" i="12" a="1"/>
  <c r="X1222" i="12" a="1"/>
  <c r="X1218" i="12" a="1"/>
  <c r="X1214" i="12" a="1"/>
  <c r="X1210" i="12" a="1"/>
  <c r="X1206" i="12" a="1"/>
  <c r="X1202" i="12" a="1"/>
  <c r="X1198" i="12" a="1"/>
  <c r="X1194" i="12" a="1"/>
  <c r="X1190" i="12" a="1"/>
  <c r="X1186" i="12" a="1"/>
  <c r="X1182" i="12" a="1"/>
  <c r="X1178" i="12" a="1"/>
  <c r="X1174" i="12" a="1"/>
  <c r="X1170" i="12" a="1"/>
  <c r="X1166" i="12" a="1"/>
  <c r="X1162" i="12" a="1"/>
  <c r="X1158" i="12" a="1"/>
  <c r="X1154" i="12" a="1"/>
  <c r="X1150" i="12" a="1"/>
  <c r="X1146" i="12" a="1"/>
  <c r="X1142" i="12" a="1"/>
  <c r="X1138" i="12" a="1"/>
  <c r="X1134" i="12" a="1"/>
  <c r="X1130" i="12" a="1"/>
  <c r="X1126" i="12" a="1"/>
  <c r="X1122" i="12" a="1"/>
  <c r="X1118" i="12" a="1"/>
  <c r="X1114" i="12" a="1"/>
  <c r="X1110" i="12" a="1"/>
  <c r="X1106" i="12" a="1"/>
  <c r="X1102" i="12" a="1"/>
  <c r="X1098" i="12" a="1"/>
  <c r="X1094" i="12" a="1"/>
  <c r="X1090" i="12" a="1"/>
  <c r="X1086" i="12" a="1"/>
  <c r="X1082" i="12" a="1"/>
  <c r="X1078" i="12" a="1"/>
  <c r="X1074" i="12" a="1"/>
  <c r="X1070" i="12" a="1"/>
  <c r="X1066" i="12" a="1"/>
  <c r="X1062" i="12" a="1"/>
  <c r="X1058" i="12" a="1"/>
  <c r="W1054" i="12" a="1"/>
  <c r="W1050" i="12" a="1"/>
  <c r="W1046" i="12" a="1"/>
  <c r="W1042" i="12" a="1"/>
  <c r="X1038" i="12" a="1"/>
  <c r="X1034" i="12" a="1"/>
  <c r="X1030" i="12" a="1"/>
  <c r="V1026" i="12" a="1"/>
  <c r="V1022" i="12" a="1"/>
  <c r="X1018" i="12" a="1"/>
  <c r="X1014" i="12" a="1"/>
  <c r="X1002" i="12" a="1"/>
  <c r="X998" i="12" a="1"/>
  <c r="U1461" i="12" a="1"/>
  <c r="U1453" i="12" a="1"/>
  <c r="U1445" i="12" a="1"/>
  <c r="V1438" i="12" a="1"/>
  <c r="V1434" i="12" a="1"/>
  <c r="V1430" i="12" a="1"/>
  <c r="V1426" i="12" a="1"/>
  <c r="V1422" i="12" a="1"/>
  <c r="V1418" i="12" a="1"/>
  <c r="V1414" i="12" a="1"/>
  <c r="V1410" i="12" a="1"/>
  <c r="V1406" i="12" a="1"/>
  <c r="V1402" i="12" a="1"/>
  <c r="V1398" i="12" a="1"/>
  <c r="V1394" i="12" a="1"/>
  <c r="V1390" i="12" a="1"/>
  <c r="V1386" i="12" a="1"/>
  <c r="V1382" i="12" a="1"/>
  <c r="V1378" i="12" a="1"/>
  <c r="V1374" i="12" a="1"/>
  <c r="V1370" i="12" a="1"/>
  <c r="V1366" i="12" a="1"/>
  <c r="V1362" i="12" a="1"/>
  <c r="V1358" i="12" a="1"/>
  <c r="V1354" i="12" a="1"/>
  <c r="V1350" i="12" a="1"/>
  <c r="V1346" i="12" a="1"/>
  <c r="V1342" i="12" a="1"/>
  <c r="V1338" i="12" a="1"/>
  <c r="V1334" i="12" a="1"/>
  <c r="V1330" i="12" a="1"/>
  <c r="V1326" i="12" a="1"/>
  <c r="V1322" i="12" a="1"/>
  <c r="V1318" i="12" a="1"/>
  <c r="V1314" i="12" a="1"/>
  <c r="V1310" i="12" a="1"/>
  <c r="V1306" i="12" a="1"/>
  <c r="V1302" i="12" a="1"/>
  <c r="V1298" i="12" a="1"/>
  <c r="V1294" i="12" a="1"/>
  <c r="V1290" i="12" a="1"/>
  <c r="V1286" i="12" a="1"/>
  <c r="V1282" i="12" a="1"/>
  <c r="V1278" i="12" a="1"/>
  <c r="V1274" i="12" a="1"/>
  <c r="V1270" i="12" a="1"/>
  <c r="V1266" i="12" a="1"/>
  <c r="V1262" i="12" a="1"/>
  <c r="V1258" i="12" a="1"/>
  <c r="V1254" i="12" a="1"/>
  <c r="V1250" i="12" a="1"/>
  <c r="V1246" i="12" a="1"/>
  <c r="V1242" i="12" a="1"/>
  <c r="V1238" i="12" a="1"/>
  <c r="V1234" i="12" a="1"/>
  <c r="V1230" i="12" a="1"/>
  <c r="W1226" i="12" a="1"/>
  <c r="W1222" i="12" a="1"/>
  <c r="W1218" i="12" a="1"/>
  <c r="W1214" i="12" a="1"/>
  <c r="U1552" i="12" a="1"/>
  <c r="X1537" i="12" a="1"/>
  <c r="X1520" i="12" a="1"/>
  <c r="W1504" i="12" a="1"/>
  <c r="U1488" i="12" a="1"/>
  <c r="U1472" i="12" a="1"/>
  <c r="U1711" i="12" a="1"/>
  <c r="W1682" i="12" a="1"/>
  <c r="W1666" i="12" a="1"/>
  <c r="X1650" i="12" a="1"/>
  <c r="X1634" i="12" a="1"/>
  <c r="X1618" i="12" a="1"/>
  <c r="V1609" i="12" a="1"/>
  <c r="W1604" i="12" a="1"/>
  <c r="U1599" i="12" a="1"/>
  <c r="V1593" i="12" a="1"/>
  <c r="U1588" i="12" a="1"/>
  <c r="U1584" i="12" a="1"/>
  <c r="U1580" i="12" a="1"/>
  <c r="U1576" i="12" a="1"/>
  <c r="U1572" i="12" a="1"/>
  <c r="V1568" i="12" a="1"/>
  <c r="V1564" i="12" a="1"/>
  <c r="W1560" i="12" a="1"/>
  <c r="W1556" i="12" a="1"/>
  <c r="X1552" i="12" a="1"/>
  <c r="X1548" i="12" a="1"/>
  <c r="U1544" i="12" a="1"/>
  <c r="U1540" i="12" a="1"/>
  <c r="X1536" i="12" a="1"/>
  <c r="X1530" i="12" a="1"/>
  <c r="V1526" i="12" a="1"/>
  <c r="X1522" i="12" a="1"/>
  <c r="V1518" i="12" a="1"/>
  <c r="X1514" i="12" a="1"/>
  <c r="W1510" i="12" a="1"/>
  <c r="V1506" i="12" a="1"/>
  <c r="X1502" i="12" a="1"/>
  <c r="X1500" i="12" a="1"/>
  <c r="X1496" i="12" a="1"/>
  <c r="X1492" i="12" a="1"/>
  <c r="X1488" i="12" a="1"/>
  <c r="X1484" i="12" a="1"/>
  <c r="U1718" i="12" a="1"/>
  <c r="U1710" i="12" a="1"/>
  <c r="U1702" i="12" a="1"/>
  <c r="U1694" i="12" a="1"/>
  <c r="U1686" i="12" a="1"/>
  <c r="U1681" i="12" a="1"/>
  <c r="U1677" i="12" a="1"/>
  <c r="U1673" i="12" a="1"/>
  <c r="U1669" i="12" a="1"/>
  <c r="U1665" i="12" a="1"/>
  <c r="U1661" i="12" a="1"/>
  <c r="U1657" i="12" a="1"/>
  <c r="U1653" i="12" a="1"/>
  <c r="V1649" i="12" a="1"/>
  <c r="U1644" i="12" a="1"/>
  <c r="U1640" i="12" a="1"/>
  <c r="U1636" i="12" a="1"/>
  <c r="U1632" i="12" a="1"/>
  <c r="U1628" i="12" a="1"/>
  <c r="U1624" i="12" a="1"/>
  <c r="U1620" i="12" a="1"/>
  <c r="U1616" i="12" a="1"/>
  <c r="V1611" i="12" a="1"/>
  <c r="X1608" i="12" a="1"/>
  <c r="V1603" i="12" a="1"/>
  <c r="X1600" i="12" a="1"/>
  <c r="V1595" i="12" a="1"/>
  <c r="X1592" i="12" a="1"/>
  <c r="X1588" i="12" a="1"/>
  <c r="X1584" i="12" a="1"/>
  <c r="X1580" i="12" a="1"/>
  <c r="X1576" i="12" a="1"/>
  <c r="X1572" i="12" a="1"/>
  <c r="U1568" i="12" a="1"/>
  <c r="U1564" i="12" a="1"/>
  <c r="V1560" i="12" a="1"/>
  <c r="V1556" i="12" a="1"/>
  <c r="W1552" i="12" a="1"/>
  <c r="W1548" i="12" a="1"/>
  <c r="X1544" i="12" a="1"/>
  <c r="X1540" i="12" a="1"/>
  <c r="V1534" i="12" a="1"/>
  <c r="W1530" i="12" a="1"/>
  <c r="X1526" i="12" a="1"/>
  <c r="U1524" i="12" a="1"/>
  <c r="V1520" i="12" a="1"/>
  <c r="X1517" i="12" a="1"/>
  <c r="W1514" i="12" a="1"/>
  <c r="X1506" i="12" a="1"/>
  <c r="U1504" i="12" a="1"/>
  <c r="W1500" i="12" a="1"/>
  <c r="W1496" i="12" a="1"/>
  <c r="W1492" i="12" a="1"/>
  <c r="W1488" i="12" a="1"/>
  <c r="W1484" i="12" a="1"/>
  <c r="W1480" i="12" a="1"/>
  <c r="W1476" i="12" a="1"/>
  <c r="W1472" i="12" a="1"/>
  <c r="W1468" i="12" a="1"/>
  <c r="W1464" i="12" a="1"/>
  <c r="W1460" i="12" a="1"/>
  <c r="W1456" i="12" a="1"/>
  <c r="W1452" i="12" a="1"/>
  <c r="W1448" i="12" a="1"/>
  <c r="W1444" i="12" a="1"/>
  <c r="W1440" i="12" a="1"/>
  <c r="U1460" i="12" a="1"/>
  <c r="U1452" i="12" a="1"/>
  <c r="U1444" i="12" a="1"/>
  <c r="U1438" i="12" a="1"/>
  <c r="U1434" i="12" a="1"/>
  <c r="U1430" i="12" a="1"/>
  <c r="U1426" i="12" a="1"/>
  <c r="U1422" i="12" a="1"/>
  <c r="U1418" i="12" a="1"/>
  <c r="U1414" i="12" a="1"/>
  <c r="U1410" i="12" a="1"/>
  <c r="U1406" i="12" a="1"/>
  <c r="U1402" i="12" a="1"/>
  <c r="U1398" i="12" a="1"/>
  <c r="U1394" i="12" a="1"/>
  <c r="U1390" i="12" a="1"/>
  <c r="U1386" i="12" a="1"/>
  <c r="U1382" i="12" a="1"/>
  <c r="U1378" i="12" a="1"/>
  <c r="U1374" i="12" a="1"/>
  <c r="U1370" i="12" a="1"/>
  <c r="U1366" i="12" a="1"/>
  <c r="U1362" i="12" a="1"/>
  <c r="U1358" i="12" a="1"/>
  <c r="U1354" i="12" a="1"/>
  <c r="U1350" i="12" a="1"/>
  <c r="U1346" i="12" a="1"/>
  <c r="U1342" i="12" a="1"/>
  <c r="U1338" i="12" a="1"/>
  <c r="U1334" i="12" a="1"/>
  <c r="U1330" i="12" a="1"/>
  <c r="U1326" i="12" a="1"/>
  <c r="U1322" i="12" a="1"/>
  <c r="U1318" i="12" a="1"/>
  <c r="U1314" i="12" a="1"/>
  <c r="U1310" i="12" a="1"/>
  <c r="U1306" i="12" a="1"/>
  <c r="U1302" i="12" a="1"/>
  <c r="U1298" i="12" a="1"/>
  <c r="U1296" i="12" a="1"/>
  <c r="U1294" i="12" a="1"/>
  <c r="U1292" i="12" a="1"/>
  <c r="U1290" i="12" a="1"/>
  <c r="U1288" i="12" a="1"/>
  <c r="U1286" i="12" a="1"/>
  <c r="U1284" i="12" a="1"/>
  <c r="U1282" i="12" a="1"/>
  <c r="U1280" i="12" a="1"/>
  <c r="U1278" i="12" a="1"/>
  <c r="U1276" i="12" a="1"/>
  <c r="U1274" i="12" a="1"/>
  <c r="U1272" i="12" a="1"/>
  <c r="U1270" i="12" a="1"/>
  <c r="U1268" i="12" a="1"/>
  <c r="U1266" i="12" a="1"/>
  <c r="U1264" i="12" a="1"/>
  <c r="U1262" i="12" a="1"/>
  <c r="U1260" i="12" a="1"/>
  <c r="U1258" i="12" a="1"/>
  <c r="U1256" i="12" a="1"/>
  <c r="U1254" i="12" a="1"/>
  <c r="U1252" i="12" a="1"/>
  <c r="U1250" i="12" a="1"/>
  <c r="U1248" i="12" a="1"/>
  <c r="U1246" i="12" a="1"/>
  <c r="U1244" i="12" a="1"/>
  <c r="U1242" i="12" a="1"/>
  <c r="U1240" i="12" a="1"/>
  <c r="U1238" i="12" a="1"/>
  <c r="U1236" i="12" a="1"/>
  <c r="U1234" i="12" a="1"/>
  <c r="U1232" i="12" a="1"/>
  <c r="U1230" i="12" a="1"/>
  <c r="W1227" i="12" a="1"/>
  <c r="W1223" i="12" a="1"/>
  <c r="W1219" i="12" a="1"/>
  <c r="W1215" i="12" a="1"/>
  <c r="W1211" i="12" a="1"/>
  <c r="W1207" i="12" a="1"/>
  <c r="W1203" i="12" a="1"/>
  <c r="W1199" i="12" a="1"/>
  <c r="W1195" i="12" a="1"/>
  <c r="W1191" i="12" a="1"/>
  <c r="W1187" i="12" a="1"/>
  <c r="W1183" i="12" a="1"/>
  <c r="W1179" i="12" a="1"/>
  <c r="W1175" i="12" a="1"/>
  <c r="W1171" i="12" a="1"/>
  <c r="W1167" i="12" a="1"/>
  <c r="W1163" i="12" a="1"/>
  <c r="W1159" i="12" a="1"/>
  <c r="W1155" i="12" a="1"/>
  <c r="W1151" i="12" a="1"/>
  <c r="W1147" i="12" a="1"/>
  <c r="W1143" i="12" a="1"/>
  <c r="W1139" i="12" a="1"/>
  <c r="W1135" i="12" a="1"/>
  <c r="W1131" i="12" a="1"/>
  <c r="W1127" i="12" a="1"/>
  <c r="W1123" i="12" a="1"/>
  <c r="W1119" i="12" a="1"/>
  <c r="W1115" i="12" a="1"/>
  <c r="W1111" i="12" a="1"/>
  <c r="W1107" i="12" a="1"/>
  <c r="W1103" i="12" a="1"/>
  <c r="W1099" i="12" a="1"/>
  <c r="W1095" i="12" a="1"/>
  <c r="W1091" i="12" a="1"/>
  <c r="W1087" i="12" a="1"/>
  <c r="W1083" i="12" a="1"/>
  <c r="W1079" i="12" a="1"/>
  <c r="W1075" i="12" a="1"/>
  <c r="W1071" i="12" a="1"/>
  <c r="W1067" i="12" a="1"/>
  <c r="W1063" i="12" a="1"/>
  <c r="W1059" i="12" a="1"/>
  <c r="V1055" i="12" a="1"/>
  <c r="V1051" i="12" a="1"/>
  <c r="V1047" i="12" a="1"/>
  <c r="V1043" i="12" a="1"/>
  <c r="W1039" i="12" a="1"/>
  <c r="W1035" i="12" a="1"/>
  <c r="W1031" i="12" a="1"/>
  <c r="W1027" i="12" a="1"/>
  <c r="W1023" i="12" a="1"/>
  <c r="W1019" i="12" a="1"/>
  <c r="W1015" i="12" a="1"/>
  <c r="U1012" i="12" a="1"/>
  <c r="W1458" i="12" a="1"/>
  <c r="W1450" i="12" a="1"/>
  <c r="W1442" i="12" a="1"/>
  <c r="V1436" i="12" a="1"/>
  <c r="V1432" i="12" a="1"/>
  <c r="V1428" i="12" a="1"/>
  <c r="V1424" i="12" a="1"/>
  <c r="V1420" i="12" a="1"/>
  <c r="V1416" i="12" a="1"/>
  <c r="V1412" i="12" a="1"/>
  <c r="V1408" i="12" a="1"/>
  <c r="V1404" i="12" a="1"/>
  <c r="V1400" i="12" a="1"/>
  <c r="V1396" i="12" a="1"/>
  <c r="V1392" i="12" a="1"/>
  <c r="V1388" i="12" a="1"/>
  <c r="V1384" i="12" a="1"/>
  <c r="V1380" i="12" a="1"/>
  <c r="V1376" i="12" a="1"/>
  <c r="V1372" i="12" a="1"/>
  <c r="V1368" i="12" a="1"/>
  <c r="V1364" i="12" a="1"/>
  <c r="V1360" i="12" a="1"/>
  <c r="V1356" i="12" a="1"/>
  <c r="V1352" i="12" a="1"/>
  <c r="V1348" i="12" a="1"/>
  <c r="V1344" i="12" a="1"/>
  <c r="V1340" i="12" a="1"/>
  <c r="V1336" i="12" a="1"/>
  <c r="V1332" i="12" a="1"/>
  <c r="V1328" i="12" a="1"/>
  <c r="V1324" i="12" a="1"/>
  <c r="V1320" i="12" a="1"/>
  <c r="V1316" i="12" a="1"/>
  <c r="V1312" i="12" a="1"/>
  <c r="V1308" i="12" a="1"/>
  <c r="V1304" i="12" a="1"/>
  <c r="V1300" i="12" a="1"/>
  <c r="W1296" i="12" a="1"/>
  <c r="W1292" i="12" a="1"/>
  <c r="W1288" i="12" a="1"/>
  <c r="W1284" i="12" a="1"/>
  <c r="W1280" i="12" a="1"/>
  <c r="W1276" i="12" a="1"/>
  <c r="W1272" i="12" a="1"/>
  <c r="W1268" i="12" a="1"/>
  <c r="W1264" i="12" a="1"/>
  <c r="W1260" i="12" a="1"/>
  <c r="W1256" i="12" a="1"/>
  <c r="W1252" i="12" a="1"/>
  <c r="W1248" i="12" a="1"/>
  <c r="W1244" i="12" a="1"/>
  <c r="W1240" i="12" a="1"/>
  <c r="W1236" i="12" a="1"/>
  <c r="W1232" i="12" a="1"/>
  <c r="W1228" i="12" a="1"/>
  <c r="W1224" i="12" a="1"/>
  <c r="W1220" i="12" a="1"/>
  <c r="W1216" i="12" a="1"/>
  <c r="W1212" i="12" a="1"/>
  <c r="W1208" i="12" a="1"/>
  <c r="W1204" i="12" a="1"/>
  <c r="W1200" i="12" a="1"/>
  <c r="W1196" i="12" a="1"/>
  <c r="W1192" i="12" a="1"/>
  <c r="W1188" i="12" a="1"/>
  <c r="W1184" i="12" a="1"/>
  <c r="W1180" i="12" a="1"/>
  <c r="W1176" i="12" a="1"/>
  <c r="W1172" i="12" a="1"/>
  <c r="W1168" i="12" a="1"/>
  <c r="W1164" i="12" a="1"/>
  <c r="W1160" i="12" a="1"/>
  <c r="W1156" i="12" a="1"/>
  <c r="W1152" i="12" a="1"/>
  <c r="W1148" i="12" a="1"/>
  <c r="W1144" i="12" a="1"/>
  <c r="W1140" i="12" a="1"/>
  <c r="W1136" i="12" a="1"/>
  <c r="W1132" i="12" a="1"/>
  <c r="W1128" i="12" a="1"/>
  <c r="W1124" i="12" a="1"/>
  <c r="W1120" i="12" a="1"/>
  <c r="W1116" i="12" a="1"/>
  <c r="W1112" i="12" a="1"/>
  <c r="W1108" i="12" a="1"/>
  <c r="W1104" i="12" a="1"/>
  <c r="W1100" i="12" a="1"/>
  <c r="W1096" i="12" a="1"/>
  <c r="W1092" i="12" a="1"/>
  <c r="W1088" i="12" a="1"/>
  <c r="W1084" i="12" a="1"/>
  <c r="W1080" i="12" a="1"/>
  <c r="W1076" i="12" a="1"/>
  <c r="W1072" i="12" a="1"/>
  <c r="W1068" i="12" a="1"/>
  <c r="W1064" i="12" a="1"/>
  <c r="W1060" i="12" a="1"/>
  <c r="U1057" i="12" a="1"/>
  <c r="U1055" i="12" a="1"/>
  <c r="U1053" i="12" a="1"/>
  <c r="U1051" i="12" a="1"/>
  <c r="U1049" i="12" a="1"/>
  <c r="U1047" i="12" a="1"/>
  <c r="U1045" i="12" a="1"/>
  <c r="U1043" i="12" a="1"/>
  <c r="W1040" i="12" a="1"/>
  <c r="W1036" i="12" a="1"/>
  <c r="W1032" i="12" a="1"/>
  <c r="W1028" i="12" a="1"/>
  <c r="W1016" i="12" a="1"/>
  <c r="W1012" i="12" a="1"/>
  <c r="W1008" i="12" a="1"/>
  <c r="W1004" i="12" a="1"/>
  <c r="W1000" i="12" a="1"/>
  <c r="X1480" i="12" a="1"/>
  <c r="X1476" i="12" a="1"/>
  <c r="X1472" i="12" a="1"/>
  <c r="X1468" i="12" a="1"/>
  <c r="V1462" i="12" a="1"/>
  <c r="V1454" i="12" a="1"/>
  <c r="V1446" i="12" a="1"/>
  <c r="W1438" i="12" a="1"/>
  <c r="W1434" i="12" a="1"/>
  <c r="W1430" i="12" a="1"/>
  <c r="W1426" i="12" a="1"/>
  <c r="W1422" i="12" a="1"/>
  <c r="W1418" i="12" a="1"/>
  <c r="W1414" i="12" a="1"/>
  <c r="W1410" i="12" a="1"/>
  <c r="W1406" i="12" a="1"/>
  <c r="W1402" i="12" a="1"/>
  <c r="W1398" i="12" a="1"/>
  <c r="W1394" i="12" a="1"/>
  <c r="W1390" i="12" a="1"/>
  <c r="W1386" i="12" a="1"/>
  <c r="W1382" i="12" a="1"/>
  <c r="W1378" i="12" a="1"/>
  <c r="W1374" i="12" a="1"/>
  <c r="W1370" i="12" a="1"/>
  <c r="W1366" i="12" a="1"/>
  <c r="W1362" i="12" a="1"/>
  <c r="W1358" i="12" a="1"/>
  <c r="W1354" i="12" a="1"/>
  <c r="W1350" i="12" a="1"/>
  <c r="W1346" i="12" a="1"/>
  <c r="W1342" i="12" a="1"/>
  <c r="W1338" i="12" a="1"/>
  <c r="W1334" i="12" a="1"/>
  <c r="W1330" i="12" a="1"/>
  <c r="W1326" i="12" a="1"/>
  <c r="W1322" i="12" a="1"/>
  <c r="W1318" i="12" a="1"/>
  <c r="W1314" i="12" a="1"/>
  <c r="W1310" i="12" a="1"/>
  <c r="W1306" i="12" a="1"/>
  <c r="W1302" i="12" a="1"/>
  <c r="W1298" i="12" a="1"/>
  <c r="W1225" i="12" a="1"/>
  <c r="W1221" i="12" a="1"/>
  <c r="W1217" i="12" a="1"/>
  <c r="W1213" i="12" a="1"/>
  <c r="W1209" i="12" a="1"/>
  <c r="W1205" i="12" a="1"/>
  <c r="W1201" i="12" a="1"/>
  <c r="W1197" i="12" a="1"/>
  <c r="W1193" i="12" a="1"/>
  <c r="W1189" i="12" a="1"/>
  <c r="W1185" i="12" a="1"/>
  <c r="W1181" i="12" a="1"/>
  <c r="W1177" i="12" a="1"/>
  <c r="W1173" i="12" a="1"/>
  <c r="W1169" i="12" a="1"/>
  <c r="W1165" i="12" a="1"/>
  <c r="W1161" i="12" a="1"/>
  <c r="W1157" i="12" a="1"/>
  <c r="W1153" i="12" a="1"/>
  <c r="W1149" i="12" a="1"/>
  <c r="W1145" i="12" a="1"/>
  <c r="W1141" i="12" a="1"/>
  <c r="W1137" i="12" a="1"/>
  <c r="W1133" i="12" a="1"/>
  <c r="W1129" i="12" a="1"/>
  <c r="W1125" i="12" a="1"/>
  <c r="W1121" i="12" a="1"/>
  <c r="W1117" i="12" a="1"/>
  <c r="W1113" i="12" a="1"/>
  <c r="W1109" i="12" a="1"/>
  <c r="W1105" i="12" a="1"/>
  <c r="W1101" i="12" a="1"/>
  <c r="W1097" i="12" a="1"/>
  <c r="W1093" i="12" a="1"/>
  <c r="W1089" i="12" a="1"/>
  <c r="W1085" i="12" a="1"/>
  <c r="W1081" i="12" a="1"/>
  <c r="W1077" i="12" a="1"/>
  <c r="W1073" i="12" a="1"/>
  <c r="W1069" i="12" a="1"/>
  <c r="W1065" i="12" a="1"/>
  <c r="W1061" i="12" a="1"/>
  <c r="W1057" i="12" a="1"/>
  <c r="W1053" i="12" a="1"/>
  <c r="W1049" i="12" a="1"/>
  <c r="W1045" i="12" a="1"/>
  <c r="W1041" i="12" a="1"/>
  <c r="W1037" i="12" a="1"/>
  <c r="W1033" i="12" a="1"/>
  <c r="W1029" i="12" a="1"/>
  <c r="V1025" i="12" a="1"/>
  <c r="V1021" i="12" a="1"/>
  <c r="U1548" i="12" a="1"/>
  <c r="W1534" i="12" a="1"/>
  <c r="U1514" i="12" a="1"/>
  <c r="U1500" i="12" a="1"/>
  <c r="U1484" i="12" a="1"/>
  <c r="U1468" i="12" a="1"/>
  <c r="U1703" i="12" a="1"/>
  <c r="W1678" i="12" a="1"/>
  <c r="W1662" i="12" a="1"/>
  <c r="V1646" i="12" a="1"/>
  <c r="X1630" i="12" a="1"/>
  <c r="X1614" i="12" a="1"/>
  <c r="X1607" i="12" a="1"/>
  <c r="V1602" i="12" a="1"/>
  <c r="X1598" i="12" a="1"/>
  <c r="X1591" i="12" a="1"/>
  <c r="X1587" i="12" a="1"/>
  <c r="X1583" i="12" a="1"/>
  <c r="X1579" i="12" a="1"/>
  <c r="X1575" i="12" a="1"/>
  <c r="X1571" i="12" a="1"/>
  <c r="U1567" i="12" a="1"/>
  <c r="U1563" i="12" a="1"/>
  <c r="V1559" i="12" a="1"/>
  <c r="V1555" i="12" a="1"/>
  <c r="W1551" i="12" a="1"/>
  <c r="W1547" i="12" a="1"/>
  <c r="X1543" i="12" a="1"/>
  <c r="X1539" i="12" a="1"/>
  <c r="W1535" i="12" a="1"/>
  <c r="W1529" i="12" a="1"/>
  <c r="V1525" i="12" a="1"/>
  <c r="W1521" i="12" a="1"/>
  <c r="V1517" i="12" a="1"/>
  <c r="W1513" i="12" a="1"/>
  <c r="W1509" i="12" a="1"/>
  <c r="V1505" i="12" a="1"/>
  <c r="U1502" i="12" a="1"/>
  <c r="W1499" i="12" a="1"/>
  <c r="W1495" i="12" a="1"/>
  <c r="W1491" i="12" a="1"/>
  <c r="W1487" i="12" a="1"/>
  <c r="W1483" i="12" a="1"/>
  <c r="X1717" i="12" a="1"/>
  <c r="X1709" i="12" a="1"/>
  <c r="X1701" i="12" a="1"/>
  <c r="X1693" i="12" a="1"/>
  <c r="X1685" i="12" a="1"/>
  <c r="X1680" i="12" a="1"/>
  <c r="X1676" i="12" a="1"/>
  <c r="X1672" i="12" a="1"/>
  <c r="X1668" i="12" a="1"/>
  <c r="X1664" i="12" a="1"/>
  <c r="X1660" i="12" a="1"/>
  <c r="X1656" i="12" a="1"/>
  <c r="X1652" i="12" a="1"/>
  <c r="V1648" i="12" a="1"/>
  <c r="X1643" i="12" a="1"/>
  <c r="X1639" i="12" a="1"/>
  <c r="X1635" i="12" a="1"/>
  <c r="X1631" i="12" a="1"/>
  <c r="X1627" i="12" a="1"/>
  <c r="X1623" i="12" a="1"/>
  <c r="X1619" i="12" a="1"/>
  <c r="X1615" i="12" a="1"/>
  <c r="U1610" i="12" a="1"/>
  <c r="W1607" i="12" a="1"/>
  <c r="U1602" i="12" a="1"/>
  <c r="W1599" i="12" a="1"/>
  <c r="U1594" i="12" a="1"/>
  <c r="W1591" i="12" a="1"/>
  <c r="W1587" i="12" a="1"/>
  <c r="W1583" i="12" a="1"/>
  <c r="W1579" i="12" a="1"/>
  <c r="W1575" i="12" a="1"/>
  <c r="W1571" i="12" a="1"/>
  <c r="X1567" i="12" a="1"/>
  <c r="X1563" i="12" a="1"/>
  <c r="U1559" i="12" a="1"/>
  <c r="U1555" i="12" a="1"/>
  <c r="V1551" i="12" a="1"/>
  <c r="V1547" i="12" a="1"/>
  <c r="W1543" i="12" a="1"/>
  <c r="W1539" i="12" a="1"/>
  <c r="V1533" i="12" a="1"/>
  <c r="V1529" i="12" a="1"/>
  <c r="U1526" i="12" a="1"/>
  <c r="X1523" i="12" a="1"/>
  <c r="U1519" i="12" a="1"/>
  <c r="U1517" i="12" a="1"/>
  <c r="V1513" i="12" a="1"/>
  <c r="U1506" i="12" a="1"/>
  <c r="X1503" i="12" a="1"/>
  <c r="V1499" i="12" a="1"/>
  <c r="V1495" i="12" a="1"/>
  <c r="V1491" i="12" a="1"/>
  <c r="V1487" i="12" a="1"/>
  <c r="V1483" i="12" a="1"/>
  <c r="V1479" i="12" a="1"/>
  <c r="V1475" i="12" a="1"/>
  <c r="V1471" i="12" a="1"/>
  <c r="V1467" i="12" a="1"/>
  <c r="V1463" i="12" a="1"/>
  <c r="V1459" i="12" a="1"/>
  <c r="V1455" i="12" a="1"/>
  <c r="V1451" i="12" a="1"/>
  <c r="V1447" i="12" a="1"/>
  <c r="V1443" i="12" a="1"/>
  <c r="V1439" i="12" a="1"/>
  <c r="X1459" i="12" a="1"/>
  <c r="X1451" i="12" a="1"/>
  <c r="X1443" i="12" a="1"/>
  <c r="X1437" i="12" a="1"/>
  <c r="X1433" i="12" a="1"/>
  <c r="X1429" i="12" a="1"/>
  <c r="X1425" i="12" a="1"/>
  <c r="X1421" i="12" a="1"/>
  <c r="X1417" i="12" a="1"/>
  <c r="X1413" i="12" a="1"/>
  <c r="X1409" i="12" a="1"/>
  <c r="X1405" i="12" a="1"/>
  <c r="X1401" i="12" a="1"/>
  <c r="X1397" i="12" a="1"/>
  <c r="X1393" i="12" a="1"/>
  <c r="X1389" i="12" a="1"/>
  <c r="X1385" i="12" a="1"/>
  <c r="X1381" i="12" a="1"/>
  <c r="X1377" i="12" a="1"/>
  <c r="X1373" i="12" a="1"/>
  <c r="X1369" i="12" a="1"/>
  <c r="X1365" i="12" a="1"/>
  <c r="X1361" i="12" a="1"/>
  <c r="X1357" i="12" a="1"/>
  <c r="X1353" i="12" a="1"/>
  <c r="X1349" i="12" a="1"/>
  <c r="X1345" i="12" a="1"/>
  <c r="X1341" i="12" a="1"/>
  <c r="X1337" i="12" a="1"/>
  <c r="X1333" i="12" a="1"/>
  <c r="X1329" i="12" a="1"/>
  <c r="X1325" i="12" a="1"/>
  <c r="X1321" i="12" a="1"/>
  <c r="X1317" i="12" a="1"/>
  <c r="X1313" i="12" a="1"/>
  <c r="X1309" i="12" a="1"/>
  <c r="X1305" i="12" a="1"/>
  <c r="X1301" i="12" a="1"/>
  <c r="X1297" i="12" a="1"/>
  <c r="X1295" i="12" a="1"/>
  <c r="X1293" i="12" a="1"/>
  <c r="X1291" i="12" a="1"/>
  <c r="X1289" i="12" a="1"/>
  <c r="X1287" i="12" a="1"/>
  <c r="X1285" i="12" a="1"/>
  <c r="X1283" i="12" a="1"/>
  <c r="X1281" i="12" a="1"/>
  <c r="X1279" i="12" a="1"/>
  <c r="X1277" i="12" a="1"/>
  <c r="X1275" i="12" a="1"/>
  <c r="X1273" i="12" a="1"/>
  <c r="X1271" i="12" a="1"/>
  <c r="X1269" i="12" a="1"/>
  <c r="X1267" i="12" a="1"/>
  <c r="X1265" i="12" a="1"/>
  <c r="X1263" i="12" a="1"/>
  <c r="X1261" i="12" a="1"/>
  <c r="X1259" i="12" a="1"/>
  <c r="X1257" i="12" a="1"/>
  <c r="X1255" i="12" a="1"/>
  <c r="X1253" i="12" a="1"/>
  <c r="X1251" i="12" a="1"/>
  <c r="X1249" i="12" a="1"/>
  <c r="X1247" i="12" a="1"/>
  <c r="X1245" i="12" a="1"/>
  <c r="X1243" i="12" a="1"/>
  <c r="X1241" i="12" a="1"/>
  <c r="X1239" i="12" a="1"/>
  <c r="X1237" i="12" a="1"/>
  <c r="X1235" i="12" a="1"/>
  <c r="X1233" i="12" a="1"/>
  <c r="X1231" i="12" a="1"/>
  <c r="X1229" i="12" a="1"/>
  <c r="V1226" i="12" a="1"/>
  <c r="V1222" i="12" a="1"/>
  <c r="V1218" i="12" a="1"/>
  <c r="V1214" i="12" a="1"/>
  <c r="V1210" i="12" a="1"/>
  <c r="V1206" i="12" a="1"/>
  <c r="V1202" i="12" a="1"/>
  <c r="V1198" i="12" a="1"/>
  <c r="V1194" i="12" a="1"/>
  <c r="V1190" i="12" a="1"/>
  <c r="V1186" i="12" a="1"/>
  <c r="V1182" i="12" a="1"/>
  <c r="V1178" i="12" a="1"/>
  <c r="V1174" i="12" a="1"/>
  <c r="V1170" i="12" a="1"/>
  <c r="V1166" i="12" a="1"/>
  <c r="V1162" i="12" a="1"/>
  <c r="V1158" i="12" a="1"/>
  <c r="V1154" i="12" a="1"/>
  <c r="V1150" i="12" a="1"/>
  <c r="V1146" i="12" a="1"/>
  <c r="V1142" i="12" a="1"/>
  <c r="V1138" i="12" a="1"/>
  <c r="V1134" i="12" a="1"/>
  <c r="V1130" i="12" a="1"/>
  <c r="V1126" i="12" a="1"/>
  <c r="V1122" i="12" a="1"/>
  <c r="V1118" i="12" a="1"/>
  <c r="V1114" i="12" a="1"/>
  <c r="V1110" i="12" a="1"/>
  <c r="V1106" i="12" a="1"/>
  <c r="V1102" i="12" a="1"/>
  <c r="V1098" i="12" a="1"/>
  <c r="V1094" i="12" a="1"/>
  <c r="V1090" i="12" a="1"/>
  <c r="V1086" i="12" a="1"/>
  <c r="V1082" i="12" a="1"/>
  <c r="V1078" i="12" a="1"/>
  <c r="V1074" i="12" a="1"/>
  <c r="V1070" i="12" a="1"/>
  <c r="V1066" i="12" a="1"/>
  <c r="V1062" i="12" a="1"/>
  <c r="V1058" i="12" a="1"/>
  <c r="V1054" i="12" a="1"/>
  <c r="V1050" i="12" a="1"/>
  <c r="V1046" i="12" a="1"/>
  <c r="V1042" i="12" a="1"/>
  <c r="V1038" i="12" a="1"/>
  <c r="V1034" i="12" a="1"/>
  <c r="V1030" i="12" a="1"/>
  <c r="W1026" i="12" a="1"/>
  <c r="W1022" i="12" a="1"/>
  <c r="V1018" i="12" a="1"/>
  <c r="V1014" i="12" a="1"/>
  <c r="W1463" i="12" a="1"/>
  <c r="W1455" i="12" a="1"/>
  <c r="W1447" i="12" a="1"/>
  <c r="W1439" i="12" a="1"/>
  <c r="U1435" i="12" a="1"/>
  <c r="U1431" i="12" a="1"/>
  <c r="U1427" i="12" a="1"/>
  <c r="U1423" i="12" a="1"/>
  <c r="U1419" i="12" a="1"/>
  <c r="U1415" i="12" a="1"/>
  <c r="U1411" i="12" a="1"/>
  <c r="U1407" i="12" a="1"/>
  <c r="U1403" i="12" a="1"/>
  <c r="U1399" i="12" a="1"/>
  <c r="U1395" i="12" a="1"/>
  <c r="U1391" i="12" a="1"/>
  <c r="U1387" i="12" a="1"/>
  <c r="U1383" i="12" a="1"/>
  <c r="U1379" i="12" a="1"/>
  <c r="U1375" i="12" a="1"/>
  <c r="U1371" i="12" a="1"/>
  <c r="U1367" i="12" a="1"/>
  <c r="U1363" i="12" a="1"/>
  <c r="U1359" i="12" a="1"/>
  <c r="U1355" i="12" a="1"/>
  <c r="U1351" i="12" a="1"/>
  <c r="U1347" i="12" a="1"/>
  <c r="U1343" i="12" a="1"/>
  <c r="U1339" i="12" a="1"/>
  <c r="U1335" i="12" a="1"/>
  <c r="U1331" i="12" a="1"/>
  <c r="U1327" i="12" a="1"/>
  <c r="U1323" i="12" a="1"/>
  <c r="U1319" i="12" a="1"/>
  <c r="U1315" i="12" a="1"/>
  <c r="U1311" i="12" a="1"/>
  <c r="U1307" i="12" a="1"/>
  <c r="U1303" i="12" a="1"/>
  <c r="U1299" i="12" a="1"/>
  <c r="W1295" i="12" a="1"/>
  <c r="W1291" i="12" a="1"/>
  <c r="W1287" i="12" a="1"/>
  <c r="W1283" i="12" a="1"/>
  <c r="W1279" i="12" a="1"/>
  <c r="W1275" i="12" a="1"/>
  <c r="W1271" i="12" a="1"/>
  <c r="W1267" i="12" a="1"/>
  <c r="W1263" i="12" a="1"/>
  <c r="W1259" i="12" a="1"/>
  <c r="W1255" i="12" a="1"/>
  <c r="W1251" i="12" a="1"/>
  <c r="W1247" i="12" a="1"/>
  <c r="W1243" i="12" a="1"/>
  <c r="W1239" i="12" a="1"/>
  <c r="W1235" i="12" a="1"/>
  <c r="W1231" i="12" a="1"/>
  <c r="V1227" i="12" a="1"/>
  <c r="V1223" i="12" a="1"/>
  <c r="V1219" i="12" a="1"/>
  <c r="V1215" i="12" a="1"/>
  <c r="V1211" i="12" a="1"/>
  <c r="V1207" i="12" a="1"/>
  <c r="V1203" i="12" a="1"/>
  <c r="V1199" i="12" a="1"/>
  <c r="V1195" i="12" a="1"/>
  <c r="V1191" i="12" a="1"/>
  <c r="V1187" i="12" a="1"/>
  <c r="V1183" i="12" a="1"/>
  <c r="V1179" i="12" a="1"/>
  <c r="V1175" i="12" a="1"/>
  <c r="V1171" i="12" a="1"/>
  <c r="V1167" i="12" a="1"/>
  <c r="V1163" i="12" a="1"/>
  <c r="V1159" i="12" a="1"/>
  <c r="V1155" i="12" a="1"/>
  <c r="V1151" i="12" a="1"/>
  <c r="V1147" i="12" a="1"/>
  <c r="V1143" i="12" a="1"/>
  <c r="V1139" i="12" a="1"/>
  <c r="V1135" i="12" a="1"/>
  <c r="V1131" i="12" a="1"/>
  <c r="V1127" i="12" a="1"/>
  <c r="V1123" i="12" a="1"/>
  <c r="V1119" i="12" a="1"/>
  <c r="V1115" i="12" a="1"/>
  <c r="V1111" i="12" a="1"/>
  <c r="V1107" i="12" a="1"/>
  <c r="V1103" i="12" a="1"/>
  <c r="V1099" i="12" a="1"/>
  <c r="V1095" i="12" a="1"/>
  <c r="V1091" i="12" a="1"/>
  <c r="V1087" i="12" a="1"/>
  <c r="V1083" i="12" a="1"/>
  <c r="V1079" i="12" a="1"/>
  <c r="V1075" i="12" a="1"/>
  <c r="V1071" i="12" a="1"/>
  <c r="V1067" i="12" a="1"/>
  <c r="V1063" i="12" a="1"/>
  <c r="V1059" i="12" a="1"/>
  <c r="X1056" i="12" a="1"/>
  <c r="X1054" i="12" a="1"/>
  <c r="X1052" i="12" a="1"/>
  <c r="X1050" i="12" a="1"/>
  <c r="X1048" i="12" a="1"/>
  <c r="X1046" i="12" a="1"/>
  <c r="X1044" i="12" a="1"/>
  <c r="X1042" i="12" a="1"/>
  <c r="V1039" i="12" a="1"/>
  <c r="V1035" i="12" a="1"/>
  <c r="V1031" i="12" a="1"/>
  <c r="V1019" i="12" a="1"/>
  <c r="V1015" i="12" a="1"/>
  <c r="W1011" i="12" a="1"/>
  <c r="W1007" i="12" a="1"/>
  <c r="V1003" i="12" a="1"/>
  <c r="V999" i="12" a="1"/>
  <c r="W1479" i="12" a="1"/>
  <c r="W1475" i="12" a="1"/>
  <c r="W1471" i="12" a="1"/>
  <c r="W1467" i="12" a="1"/>
  <c r="V1461" i="12" a="1"/>
  <c r="V1453" i="12" a="1"/>
  <c r="V1445" i="12" a="1"/>
  <c r="V1437" i="12" a="1"/>
  <c r="V1433" i="12" a="1"/>
  <c r="V1429" i="12" a="1"/>
  <c r="V1425" i="12" a="1"/>
  <c r="V1421" i="12" a="1"/>
  <c r="V1417" i="12" a="1"/>
  <c r="V1413" i="12" a="1"/>
  <c r="V1409" i="12" a="1"/>
  <c r="V1405" i="12" a="1"/>
  <c r="V1401" i="12" a="1"/>
  <c r="V1397" i="12" a="1"/>
  <c r="V1393" i="12" a="1"/>
  <c r="V1389" i="12" a="1"/>
  <c r="V1385" i="12" a="1"/>
  <c r="V1381" i="12" a="1"/>
  <c r="V1377" i="12" a="1"/>
  <c r="V1373" i="12" a="1"/>
  <c r="V1369" i="12" a="1"/>
  <c r="V1365" i="12" a="1"/>
  <c r="V1361" i="12" a="1"/>
  <c r="V1357" i="12" a="1"/>
  <c r="V1353" i="12" a="1"/>
  <c r="V1349" i="12" a="1"/>
  <c r="V1544" i="12" a="1"/>
  <c r="U1530" i="12" a="1"/>
  <c r="X1511" i="12" a="1"/>
  <c r="U1496" i="12" a="1"/>
  <c r="U1480" i="12" a="1"/>
  <c r="U1723" i="12" a="1"/>
  <c r="U1695" i="12" a="1"/>
  <c r="W1674" i="12" a="1"/>
  <c r="W1658" i="12" a="1"/>
  <c r="X1642" i="12" a="1"/>
  <c r="X1626" i="12" a="1"/>
  <c r="W1612" i="12" a="1"/>
  <c r="U1607" i="12" a="1"/>
  <c r="V1601" i="12" a="1"/>
  <c r="W1596" i="12" a="1"/>
  <c r="W1590" i="12" a="1"/>
  <c r="W1586" i="12" a="1"/>
  <c r="W1582" i="12" a="1"/>
  <c r="W1578" i="12" a="1"/>
  <c r="W1574" i="12" a="1"/>
  <c r="W1570" i="12" a="1"/>
  <c r="X1566" i="12" a="1"/>
  <c r="X1562" i="12" a="1"/>
  <c r="U1558" i="12" a="1"/>
  <c r="U1554" i="12" a="1"/>
  <c r="V1550" i="12" a="1"/>
  <c r="V1546" i="12" a="1"/>
  <c r="W1542" i="12" a="1"/>
  <c r="W1538" i="12" a="1"/>
  <c r="V1532" i="12" a="1"/>
  <c r="W1528" i="12" a="1"/>
  <c r="V1524" i="12" a="1"/>
  <c r="W1520" i="12" a="1"/>
  <c r="U1516" i="12" a="1"/>
  <c r="W1512" i="12" a="1"/>
  <c r="W1508" i="12" a="1"/>
  <c r="V1504" i="12" a="1"/>
  <c r="X1501" i="12" a="1"/>
  <c r="V1498" i="12" a="1"/>
  <c r="V1494" i="12" a="1"/>
  <c r="V1490" i="12" a="1"/>
  <c r="V1486" i="12" a="1"/>
  <c r="V1482" i="12" a="1"/>
  <c r="U1714" i="12" a="1"/>
  <c r="U1706" i="12" a="1"/>
  <c r="U1698" i="12" a="1"/>
  <c r="U1690" i="12" a="1"/>
  <c r="W1683" i="12" a="1"/>
  <c r="W1679" i="12" a="1"/>
  <c r="W1675" i="12" a="1"/>
  <c r="W1671" i="12" a="1"/>
  <c r="W1667" i="12" a="1"/>
  <c r="W1663" i="12" a="1"/>
  <c r="W1659" i="12" a="1"/>
  <c r="W1655" i="12" a="1"/>
  <c r="W1651" i="12" a="1"/>
  <c r="U1647" i="12" a="1"/>
  <c r="W1642" i="12" a="1"/>
  <c r="W1638" i="12" a="1"/>
  <c r="W1634" i="12" a="1"/>
  <c r="W1630" i="12" a="1"/>
  <c r="W1626" i="12" a="1"/>
  <c r="W1622" i="12" a="1"/>
  <c r="W1618" i="12" a="1"/>
  <c r="W1614" i="12" a="1"/>
  <c r="X1609" i="12" a="1"/>
  <c r="W1606" i="12" a="1"/>
  <c r="X1601" i="12" a="1"/>
  <c r="W1598" i="12" a="1"/>
  <c r="X1593" i="12" a="1"/>
  <c r="V1590" i="12" a="1"/>
  <c r="V1586" i="12" a="1"/>
  <c r="V1582" i="12" a="1"/>
  <c r="V1578" i="12" a="1"/>
  <c r="V1574" i="12" a="1"/>
  <c r="V1570" i="12" a="1"/>
  <c r="W1566" i="12" a="1"/>
  <c r="W1562" i="12" a="1"/>
  <c r="X1558" i="12" a="1"/>
  <c r="X1554" i="12" a="1"/>
  <c r="U1550" i="12" a="1"/>
  <c r="U1546" i="12" a="1"/>
  <c r="V1542" i="12" a="1"/>
  <c r="W1536" i="12" a="1"/>
  <c r="U1532" i="12" a="1"/>
  <c r="V1528" i="12" a="1"/>
  <c r="X1525" i="12" a="1"/>
  <c r="W1522" i="12" a="1"/>
  <c r="X1518" i="12" a="1"/>
  <c r="X1516" i="12" a="1"/>
  <c r="V1508" i="12" a="1"/>
  <c r="X1505" i="12" a="1"/>
  <c r="W1502" i="12" a="1"/>
  <c r="U1498" i="12" a="1"/>
  <c r="U1494" i="12" a="1"/>
  <c r="U1490" i="12" a="1"/>
  <c r="U1486" i="12" a="1"/>
  <c r="U1482" i="12" a="1"/>
  <c r="U1478" i="12" a="1"/>
  <c r="U1474" i="12" a="1"/>
  <c r="U1470" i="12" a="1"/>
  <c r="U1466" i="12" a="1"/>
  <c r="U1462" i="12" a="1"/>
  <c r="U1458" i="12" a="1"/>
  <c r="U1454" i="12" a="1"/>
  <c r="U1450" i="12" a="1"/>
  <c r="U1446" i="12" a="1"/>
  <c r="U1442" i="12" a="1"/>
  <c r="U1464" i="12" a="1"/>
  <c r="U1456" i="12" a="1"/>
  <c r="U1448" i="12" a="1"/>
  <c r="U1440" i="12" a="1"/>
  <c r="W1436" i="12" a="1"/>
  <c r="W1432" i="12" a="1"/>
  <c r="W1428" i="12" a="1"/>
  <c r="W1424" i="12" a="1"/>
  <c r="W1420" i="12" a="1"/>
  <c r="W1416" i="12" a="1"/>
  <c r="W1412" i="12" a="1"/>
  <c r="W1408" i="12" a="1"/>
  <c r="W1404" i="12" a="1"/>
  <c r="W1400" i="12" a="1"/>
  <c r="W1396" i="12" a="1"/>
  <c r="W1392" i="12" a="1"/>
  <c r="W1388" i="12" a="1"/>
  <c r="W1384" i="12" a="1"/>
  <c r="W1380" i="12" a="1"/>
  <c r="W1376" i="12" a="1"/>
  <c r="W1372" i="12" a="1"/>
  <c r="W1368" i="12" a="1"/>
  <c r="W1364" i="12" a="1"/>
  <c r="W1360" i="12" a="1"/>
  <c r="W1356" i="12" a="1"/>
  <c r="W1352" i="12" a="1"/>
  <c r="W1348" i="12" a="1"/>
  <c r="W1344" i="12" a="1"/>
  <c r="W1340" i="12" a="1"/>
  <c r="W1336" i="12" a="1"/>
  <c r="W1332" i="12" a="1"/>
  <c r="W1328" i="12" a="1"/>
  <c r="W1324" i="12" a="1"/>
  <c r="W1320" i="12" a="1"/>
  <c r="W1316" i="12" a="1"/>
  <c r="W1312" i="12" a="1"/>
  <c r="W1308" i="12" a="1"/>
  <c r="W1304" i="12" a="1"/>
  <c r="W1300" i="12" a="1"/>
  <c r="U1297" i="12" a="1"/>
  <c r="U1295" i="12" a="1"/>
  <c r="U1293" i="12" a="1"/>
  <c r="U1291" i="12" a="1"/>
  <c r="U1289" i="12" a="1"/>
  <c r="U1287" i="12" a="1"/>
  <c r="U1285" i="12" a="1"/>
  <c r="U1283" i="12" a="1"/>
  <c r="U1281" i="12" a="1"/>
  <c r="U1279" i="12" a="1"/>
  <c r="U1277" i="12" a="1"/>
  <c r="U1275" i="12" a="1"/>
  <c r="U1273" i="12" a="1"/>
  <c r="U1271" i="12" a="1"/>
  <c r="U1269" i="12" a="1"/>
  <c r="U1267" i="12" a="1"/>
  <c r="U1265" i="12" a="1"/>
  <c r="U1263" i="12" a="1"/>
  <c r="U1261" i="12" a="1"/>
  <c r="U1259" i="12" a="1"/>
  <c r="U1257" i="12" a="1"/>
  <c r="U1255" i="12" a="1"/>
  <c r="U1253" i="12" a="1"/>
  <c r="U1251" i="12" a="1"/>
  <c r="U1249" i="12" a="1"/>
  <c r="U1247" i="12" a="1"/>
  <c r="U1245" i="12" a="1"/>
  <c r="U1243" i="12" a="1"/>
  <c r="U1241" i="12" a="1"/>
  <c r="U1239" i="12" a="1"/>
  <c r="U1237" i="12" a="1"/>
  <c r="U1235" i="12" a="1"/>
  <c r="U1233" i="12" a="1"/>
  <c r="U1231" i="12" a="1"/>
  <c r="U1229" i="12" a="1"/>
  <c r="U1225" i="12" a="1"/>
  <c r="U1221" i="12" a="1"/>
  <c r="U1217" i="12" a="1"/>
  <c r="U1213" i="12" a="1"/>
  <c r="U1209" i="12" a="1"/>
  <c r="U1205" i="12" a="1"/>
  <c r="U1201" i="12" a="1"/>
  <c r="U1197" i="12" a="1"/>
  <c r="U1193" i="12" a="1"/>
  <c r="U1189" i="12" a="1"/>
  <c r="U1185" i="12" a="1"/>
  <c r="U1181" i="12" a="1"/>
  <c r="U1177" i="12" a="1"/>
  <c r="U1173" i="12" a="1"/>
  <c r="U1169" i="12" a="1"/>
  <c r="U1165" i="12" a="1"/>
  <c r="U1161" i="12" a="1"/>
  <c r="U1157" i="12" a="1"/>
  <c r="U1153" i="12" a="1"/>
  <c r="U1149" i="12" a="1"/>
  <c r="U1145" i="12" a="1"/>
  <c r="U1141" i="12" a="1"/>
  <c r="U1137" i="12" a="1"/>
  <c r="U1133" i="12" a="1"/>
  <c r="U1129" i="12" a="1"/>
  <c r="U1125" i="12" a="1"/>
  <c r="U1121" i="12" a="1"/>
  <c r="U1117" i="12" a="1"/>
  <c r="U1113" i="12" a="1"/>
  <c r="U1109" i="12" a="1"/>
  <c r="U1105" i="12" a="1"/>
  <c r="U1101" i="12" a="1"/>
  <c r="U1097" i="12" a="1"/>
  <c r="U1093" i="12" a="1"/>
  <c r="U1089" i="12" a="1"/>
  <c r="U1085" i="12" a="1"/>
  <c r="U1081" i="12" a="1"/>
  <c r="U1077" i="12" a="1"/>
  <c r="U1073" i="12" a="1"/>
  <c r="U1069" i="12" a="1"/>
  <c r="U1065" i="12" a="1"/>
  <c r="U1061" i="12" a="1"/>
  <c r="V1057" i="12" a="1"/>
  <c r="V1053" i="12" a="1"/>
  <c r="V1049" i="12" a="1"/>
  <c r="V1045" i="12" a="1"/>
  <c r="U1041" i="12" a="1"/>
  <c r="U1037" i="12" a="1"/>
  <c r="U1033" i="12" a="1"/>
  <c r="U1029" i="12" a="1"/>
  <c r="W1025" i="12" a="1"/>
  <c r="W1021" i="12" a="1"/>
  <c r="U1017" i="12" a="1"/>
  <c r="U1013" i="12" a="1"/>
  <c r="W1462" i="12" a="1"/>
  <c r="W1454" i="12" a="1"/>
  <c r="W1446" i="12" a="1"/>
  <c r="X1438" i="12" a="1"/>
  <c r="X1434" i="12" a="1"/>
  <c r="X1430" i="12" a="1"/>
  <c r="X1426" i="12" a="1"/>
  <c r="X1422" i="12" a="1"/>
  <c r="X1418" i="12" a="1"/>
  <c r="X1414" i="12" a="1"/>
  <c r="X1410" i="12" a="1"/>
  <c r="X1406" i="12" a="1"/>
  <c r="X1402" i="12" a="1"/>
  <c r="X1398" i="12" a="1"/>
  <c r="X1394" i="12" a="1"/>
  <c r="X1390" i="12" a="1"/>
  <c r="X1386" i="12" a="1"/>
  <c r="X1382" i="12" a="1"/>
  <c r="X1378" i="12" a="1"/>
  <c r="X1374" i="12" a="1"/>
  <c r="X1370" i="12" a="1"/>
  <c r="X1366" i="12" a="1"/>
  <c r="X1362" i="12" a="1"/>
  <c r="X1358" i="12" a="1"/>
  <c r="X1354" i="12" a="1"/>
  <c r="X1350" i="12" a="1"/>
  <c r="X1346" i="12" a="1"/>
  <c r="X1342" i="12" a="1"/>
  <c r="X1338" i="12" a="1"/>
  <c r="X1334" i="12" a="1"/>
  <c r="X1330" i="12" a="1"/>
  <c r="X1326" i="12" a="1"/>
  <c r="X1322" i="12" a="1"/>
  <c r="X1318" i="12" a="1"/>
  <c r="X1314" i="12" a="1"/>
  <c r="X1310" i="12" a="1"/>
  <c r="X1306" i="12" a="1"/>
  <c r="X1302" i="12" a="1"/>
  <c r="X1298" i="12" a="1"/>
  <c r="W1294" i="12" a="1"/>
  <c r="W1290" i="12" a="1"/>
  <c r="W1286" i="12" a="1"/>
  <c r="W1282" i="12" a="1"/>
  <c r="W1278" i="12" a="1"/>
  <c r="W1274" i="12" a="1"/>
  <c r="W1270" i="12" a="1"/>
  <c r="W1266" i="12" a="1"/>
  <c r="W1262" i="12" a="1"/>
  <c r="W1258" i="12" a="1"/>
  <c r="W1254" i="12" a="1"/>
  <c r="W1250" i="12" a="1"/>
  <c r="W1246" i="12" a="1"/>
  <c r="W1242" i="12" a="1"/>
  <c r="W1238" i="12" a="1"/>
  <c r="W1234" i="12" a="1"/>
  <c r="W1230" i="12" a="1"/>
  <c r="U1226" i="12" a="1"/>
  <c r="U1222" i="12" a="1"/>
  <c r="U1218" i="12" a="1"/>
  <c r="U1214" i="12" a="1"/>
  <c r="U1210" i="12" a="1"/>
  <c r="U1206" i="12" a="1"/>
  <c r="U1202" i="12" a="1"/>
  <c r="U1198" i="12" a="1"/>
  <c r="U1194" i="12" a="1"/>
  <c r="U1190" i="12" a="1"/>
  <c r="U1186" i="12" a="1"/>
  <c r="U1182" i="12" a="1"/>
  <c r="U1178" i="12" a="1"/>
  <c r="U1174" i="12" a="1"/>
  <c r="U1170" i="12" a="1"/>
  <c r="U1166" i="12" a="1"/>
  <c r="U1162" i="12" a="1"/>
  <c r="U1158" i="12" a="1"/>
  <c r="U1154" i="12" a="1"/>
  <c r="U1150" i="12" a="1"/>
  <c r="U1146" i="12" a="1"/>
  <c r="U1142" i="12" a="1"/>
  <c r="U1138" i="12" a="1"/>
  <c r="U1134" i="12" a="1"/>
  <c r="U1130" i="12" a="1"/>
  <c r="U1126" i="12" a="1"/>
  <c r="U1122" i="12" a="1"/>
  <c r="U1118" i="12" a="1"/>
  <c r="U1114" i="12" a="1"/>
  <c r="U1110" i="12" a="1"/>
  <c r="U1106" i="12" a="1"/>
  <c r="U1102" i="12" a="1"/>
  <c r="U1098" i="12" a="1"/>
  <c r="U1094" i="12" a="1"/>
  <c r="U1090" i="12" a="1"/>
  <c r="U1086" i="12" a="1"/>
  <c r="U1082" i="12" a="1"/>
  <c r="U1078" i="12" a="1"/>
  <c r="U1074" i="12" a="1"/>
  <c r="U1070" i="12" a="1"/>
  <c r="U1066" i="12" a="1"/>
  <c r="U1062" i="12" a="1"/>
  <c r="U1058" i="12" a="1"/>
  <c r="U1056" i="12" a="1"/>
  <c r="U1054" i="12" a="1"/>
  <c r="U1052" i="12" a="1"/>
  <c r="U1050" i="12" a="1"/>
  <c r="U1048" i="12" a="1"/>
  <c r="U1046" i="12" a="1"/>
  <c r="U1044" i="12" a="1"/>
  <c r="U1042" i="12" a="1"/>
  <c r="U1038" i="12" a="1"/>
  <c r="U1034" i="12" a="1"/>
  <c r="U1030" i="12" a="1"/>
  <c r="U1018" i="12" a="1"/>
  <c r="U1014" i="12" a="1"/>
  <c r="W1010" i="12" a="1"/>
  <c r="W1006" i="12" a="1"/>
  <c r="U1002" i="12" a="1"/>
  <c r="U998" i="12" a="1"/>
  <c r="V1478" i="12" a="1"/>
  <c r="V1474" i="12" a="1"/>
  <c r="V1470" i="12" a="1"/>
  <c r="V1466" i="12" a="1"/>
  <c r="V1458" i="12" a="1"/>
  <c r="V1450" i="12" a="1"/>
  <c r="V1442" i="12" a="1"/>
  <c r="U1436" i="12" a="1"/>
  <c r="U1432" i="12" a="1"/>
  <c r="U1428" i="12" a="1"/>
  <c r="U1424" i="12" a="1"/>
  <c r="U1420" i="12" a="1"/>
  <c r="U1416" i="12" a="1"/>
  <c r="U1412" i="12" a="1"/>
  <c r="U1408" i="12" a="1"/>
  <c r="U1404" i="12" a="1"/>
  <c r="U1400" i="12" a="1"/>
  <c r="U1396" i="12" a="1"/>
  <c r="U1392" i="12" a="1"/>
  <c r="U1388" i="12" a="1"/>
  <c r="U1384" i="12" a="1"/>
  <c r="U1380" i="12" a="1"/>
  <c r="U1376" i="12" a="1"/>
  <c r="U1372" i="12" a="1"/>
  <c r="U1368" i="12" a="1"/>
  <c r="U1364" i="12" a="1"/>
  <c r="U1360" i="12" a="1"/>
  <c r="U1356" i="12" a="1"/>
  <c r="U1352" i="12" a="1"/>
  <c r="U1348" i="12" a="1"/>
  <c r="U1344" i="12" a="1"/>
  <c r="U1340" i="12" a="1"/>
  <c r="U1336" i="12" a="1"/>
  <c r="U1332" i="12" a="1"/>
  <c r="U1328" i="12" a="1"/>
  <c r="U1324" i="12" a="1"/>
  <c r="U1320" i="12" a="1"/>
  <c r="U1316" i="12" a="1"/>
  <c r="U1312" i="12" a="1"/>
  <c r="U1308" i="12" a="1"/>
  <c r="U1304" i="12" a="1"/>
  <c r="U1300" i="12" a="1"/>
  <c r="U1227" i="12" a="1"/>
  <c r="U1223" i="12" a="1"/>
  <c r="U1219" i="12" a="1"/>
  <c r="U1215" i="12" a="1"/>
  <c r="U1211" i="12" a="1"/>
  <c r="U1207" i="12" a="1"/>
  <c r="U1203" i="12" a="1"/>
  <c r="U1199" i="12" a="1"/>
  <c r="U1195" i="12" a="1"/>
  <c r="U1191" i="12" a="1"/>
  <c r="U1187" i="12" a="1"/>
  <c r="U1183" i="12" a="1"/>
  <c r="U1179" i="12" a="1"/>
  <c r="U1175" i="12" a="1"/>
  <c r="U1171" i="12" a="1"/>
  <c r="U1167" i="12" a="1"/>
  <c r="U1163" i="12" a="1"/>
  <c r="U1159" i="12" a="1"/>
  <c r="U1155" i="12" a="1"/>
  <c r="U1151" i="12" a="1"/>
  <c r="U1147" i="12" a="1"/>
  <c r="U1143" i="12" a="1"/>
  <c r="U1139" i="12" a="1"/>
  <c r="U1135" i="12" a="1"/>
  <c r="U1131" i="12" a="1"/>
  <c r="V1345" i="12" a="1"/>
  <c r="V1329" i="12" a="1"/>
  <c r="V1313" i="12" a="1"/>
  <c r="V1228" i="12" a="1"/>
  <c r="V1212" i="12" a="1"/>
  <c r="V1196" i="12" a="1"/>
  <c r="V1180" i="12" a="1"/>
  <c r="V1164" i="12" a="1"/>
  <c r="V1148" i="12" a="1"/>
  <c r="V1132" i="12" a="1"/>
  <c r="U1123" i="12" a="1"/>
  <c r="U1115" i="12" a="1"/>
  <c r="U1107" i="12" a="1"/>
  <c r="U1099" i="12" a="1"/>
  <c r="U1091" i="12" a="1"/>
  <c r="U1083" i="12" a="1"/>
  <c r="U1075" i="12" a="1"/>
  <c r="U1067" i="12" a="1"/>
  <c r="U1059" i="12" a="1"/>
  <c r="W1051" i="12" a="1"/>
  <c r="W1043" i="12" a="1"/>
  <c r="U1035" i="12" a="1"/>
  <c r="V1027" i="12" a="1"/>
  <c r="U1019" i="12" a="1"/>
  <c r="W1013" i="12" a="1"/>
  <c r="V1000" i="12" a="1"/>
  <c r="X1464" i="12" a="1"/>
  <c r="X1452" i="12" a="1"/>
  <c r="U1441" i="12" a="1"/>
  <c r="W1435" i="12" a="1"/>
  <c r="U1429" i="12" a="1"/>
  <c r="X1424" i="12" a="1"/>
  <c r="W1419" i="12" a="1"/>
  <c r="U1413" i="12" a="1"/>
  <c r="X1408" i="12" a="1"/>
  <c r="W1403" i="12" a="1"/>
  <c r="U1397" i="12" a="1"/>
  <c r="X1392" i="12" a="1"/>
  <c r="W1387" i="12" a="1"/>
  <c r="U1381" i="12" a="1"/>
  <c r="X1376" i="12" a="1"/>
  <c r="W1371" i="12" a="1"/>
  <c r="U1365" i="12" a="1"/>
  <c r="X1360" i="12" a="1"/>
  <c r="W1355" i="12" a="1"/>
  <c r="U1349" i="12" a="1"/>
  <c r="X1344" i="12" a="1"/>
  <c r="W1339" i="12" a="1"/>
  <c r="U1333" i="12" a="1"/>
  <c r="X1328" i="12" a="1"/>
  <c r="W1323" i="12" a="1"/>
  <c r="U1317" i="12" a="1"/>
  <c r="X1312" i="12" a="1"/>
  <c r="W1307" i="12" a="1"/>
  <c r="U1301" i="12" a="1"/>
  <c r="V1296" i="12" a="1"/>
  <c r="V1291" i="12" a="1"/>
  <c r="V1285" i="12" a="1"/>
  <c r="V1280" i="12" a="1"/>
  <c r="V1275" i="12" a="1"/>
  <c r="V1269" i="12" a="1"/>
  <c r="V1264" i="12" a="1"/>
  <c r="V1259" i="12" a="1"/>
  <c r="V1253" i="12" a="1"/>
  <c r="V1248" i="12" a="1"/>
  <c r="V1243" i="12" a="1"/>
  <c r="V1237" i="12" a="1"/>
  <c r="V1232" i="12" a="1"/>
  <c r="X1227" i="12" a="1"/>
  <c r="V1221" i="12" a="1"/>
  <c r="U1216" i="12" a="1"/>
  <c r="X1211" i="12" a="1"/>
  <c r="X1207" i="12" a="1"/>
  <c r="X1203" i="12" a="1"/>
  <c r="X1199" i="12" a="1"/>
  <c r="X1195" i="12" a="1"/>
  <c r="X1191" i="12" a="1"/>
  <c r="X1187" i="12" a="1"/>
  <c r="X1183" i="12" a="1"/>
  <c r="X1179" i="12" a="1"/>
  <c r="X1175" i="12" a="1"/>
  <c r="X1171" i="12" a="1"/>
  <c r="X1167" i="12" a="1"/>
  <c r="X1163" i="12" a="1"/>
  <c r="X1159" i="12" a="1"/>
  <c r="X1155" i="12" a="1"/>
  <c r="X1151" i="12" a="1"/>
  <c r="X1147" i="12" a="1"/>
  <c r="X1143" i="12" a="1"/>
  <c r="X1139" i="12" a="1"/>
  <c r="X1135" i="12" a="1"/>
  <c r="X1131" i="12" a="1"/>
  <c r="X1127" i="12" a="1"/>
  <c r="X1123" i="12" a="1"/>
  <c r="X1119" i="12" a="1"/>
  <c r="X1115" i="12" a="1"/>
  <c r="X1111" i="12" a="1"/>
  <c r="X1107" i="12" a="1"/>
  <c r="X1103" i="12" a="1"/>
  <c r="X1099" i="12" a="1"/>
  <c r="X1095" i="12" a="1"/>
  <c r="X1091" i="12" a="1"/>
  <c r="X1087" i="12" a="1"/>
  <c r="X1083" i="12" a="1"/>
  <c r="X1079" i="12" a="1"/>
  <c r="X1075" i="12" a="1"/>
  <c r="X1071" i="12" a="1"/>
  <c r="X1067" i="12" a="1"/>
  <c r="X1063" i="12" a="1"/>
  <c r="X1059" i="12" a="1"/>
  <c r="X1039" i="12" a="1"/>
  <c r="X1035" i="12" a="1"/>
  <c r="X1031" i="12" a="1"/>
  <c r="X1027" i="12" a="1"/>
  <c r="X1019" i="12" a="1"/>
  <c r="X1015" i="12" a="1"/>
  <c r="X1011" i="12" a="1"/>
  <c r="X1007" i="12" a="1"/>
  <c r="W1002" i="12" a="1"/>
  <c r="U995" i="12" a="1"/>
  <c r="W992" i="12" a="1"/>
  <c r="W988" i="12" a="1"/>
  <c r="X983" i="12" a="1"/>
  <c r="V977" i="12" a="1"/>
  <c r="V973" i="12" a="1"/>
  <c r="U970" i="12" a="1"/>
  <c r="V966" i="12" a="1"/>
  <c r="U962" i="12" a="1"/>
  <c r="U958" i="12" a="1"/>
  <c r="U956" i="12" a="1"/>
  <c r="U950" i="12" a="1"/>
  <c r="W946" i="12" a="1"/>
  <c r="W942" i="12" a="1"/>
  <c r="X938" i="12" a="1"/>
  <c r="V935" i="12" a="1"/>
  <c r="W930" i="12" a="1"/>
  <c r="W926" i="12" a="1"/>
  <c r="X922" i="12" a="1"/>
  <c r="V919" i="12" a="1"/>
  <c r="W914" i="12" a="1"/>
  <c r="W910" i="12" a="1"/>
  <c r="X906" i="12" a="1"/>
  <c r="V903" i="12" a="1"/>
  <c r="W898" i="12" a="1"/>
  <c r="W894" i="12" a="1"/>
  <c r="X890" i="12" a="1"/>
  <c r="V887" i="12" a="1"/>
  <c r="W882" i="12" a="1"/>
  <c r="W878" i="12" a="1"/>
  <c r="W874" i="12" a="1"/>
  <c r="W870" i="12" a="1"/>
  <c r="W866" i="12" a="1"/>
  <c r="W862" i="12" a="1"/>
  <c r="W858" i="12" a="1"/>
  <c r="X854" i="12" a="1"/>
  <c r="X850" i="12" a="1"/>
  <c r="X846" i="12" a="1"/>
  <c r="X842" i="12" a="1"/>
  <c r="X838" i="12" a="1"/>
  <c r="X834" i="12" a="1"/>
  <c r="X830" i="12" a="1"/>
  <c r="X826" i="12" a="1"/>
  <c r="X822" i="12" a="1"/>
  <c r="X818" i="12" a="1"/>
  <c r="X814" i="12" a="1"/>
  <c r="X810" i="12" a="1"/>
  <c r="X806" i="12" a="1"/>
  <c r="X802" i="12" a="1"/>
  <c r="X798" i="12" a="1"/>
  <c r="X794" i="12" a="1"/>
  <c r="X790" i="12" a="1"/>
  <c r="X786" i="12" a="1"/>
  <c r="X782" i="12" a="1"/>
  <c r="X778" i="12" a="1"/>
  <c r="X774" i="12" a="1"/>
  <c r="X770" i="12" a="1"/>
  <c r="X766" i="12" a="1"/>
  <c r="X762" i="12" a="1"/>
  <c r="X758" i="12" a="1"/>
  <c r="X754" i="12" a="1"/>
  <c r="X750" i="12" a="1"/>
  <c r="X746" i="12" a="1"/>
  <c r="X742" i="12" a="1"/>
  <c r="X738" i="12" a="1"/>
  <c r="X734" i="12" a="1"/>
  <c r="X730" i="12" a="1"/>
  <c r="X726" i="12" a="1"/>
  <c r="X722" i="12" a="1"/>
  <c r="X718" i="12" a="1"/>
  <c r="X714" i="12" a="1"/>
  <c r="X710" i="12" a="1"/>
  <c r="X706" i="12" a="1"/>
  <c r="X702" i="12" a="1"/>
  <c r="X698" i="12" a="1"/>
  <c r="X694" i="12" a="1"/>
  <c r="X690" i="12" a="1"/>
  <c r="X686" i="12" a="1"/>
  <c r="X682" i="12" a="1"/>
  <c r="X678" i="12" a="1"/>
  <c r="X674" i="12" a="1"/>
  <c r="X670" i="12" a="1"/>
  <c r="X666" i="12" a="1"/>
  <c r="X662" i="12" a="1"/>
  <c r="X658" i="12" a="1"/>
  <c r="X654" i="12" a="1"/>
  <c r="X650" i="12" a="1"/>
  <c r="X646" i="12" a="1"/>
  <c r="X642" i="12" a="1"/>
  <c r="X638" i="12" a="1"/>
  <c r="X634" i="12" a="1"/>
  <c r="X630" i="12" a="1"/>
  <c r="X626" i="12" a="1"/>
  <c r="W622" i="12" a="1"/>
  <c r="X618" i="12" a="1"/>
  <c r="U615" i="12" a="1"/>
  <c r="V611" i="12" a="1"/>
  <c r="W606" i="12" a="1"/>
  <c r="X602" i="12" a="1"/>
  <c r="W597" i="12" a="1"/>
  <c r="U594" i="12" a="1"/>
  <c r="W588" i="12" a="1"/>
  <c r="U585" i="12" a="1"/>
  <c r="W579" i="12" a="1"/>
  <c r="X576" i="12" a="1"/>
  <c r="X570" i="12" a="1"/>
  <c r="W565" i="12" a="1"/>
  <c r="U562" i="12" a="1"/>
  <c r="W559" i="12" a="1"/>
  <c r="W554" i="12" a="1"/>
  <c r="V550" i="12" a="1"/>
  <c r="U1027" i="12" a="1"/>
  <c r="V1011" i="12" a="1"/>
  <c r="V1002" i="12" a="1"/>
  <c r="U996" i="12" a="1"/>
  <c r="V987" i="12" a="1"/>
  <c r="W983" i="12" a="1"/>
  <c r="V979" i="12" a="1"/>
  <c r="U976" i="12" a="1"/>
  <c r="U974" i="12" a="1"/>
  <c r="U972" i="12" a="1"/>
  <c r="V968" i="12" a="1"/>
  <c r="X964" i="12" a="1"/>
  <c r="W961" i="12" a="1"/>
  <c r="W955" i="12" a="1"/>
  <c r="W951" i="12" a="1"/>
  <c r="V947" i="12" a="1"/>
  <c r="W943" i="12" a="1"/>
  <c r="U940" i="12" a="1"/>
  <c r="U935" i="12" a="1"/>
  <c r="V931" i="12" a="1"/>
  <c r="W927" i="12" a="1"/>
  <c r="U924" i="12" a="1"/>
  <c r="U919" i="12" a="1"/>
  <c r="V915" i="12" a="1"/>
  <c r="W911" i="12" a="1"/>
  <c r="U908" i="12" a="1"/>
  <c r="U903" i="12" a="1"/>
  <c r="V899" i="12" a="1"/>
  <c r="W895" i="12" a="1"/>
  <c r="U892" i="12" a="1"/>
  <c r="U887" i="12" a="1"/>
  <c r="V883" i="12" a="1"/>
  <c r="V879" i="12" a="1"/>
  <c r="V875" i="12" a="1"/>
  <c r="V871" i="12" a="1"/>
  <c r="V867" i="12" a="1"/>
  <c r="V863" i="12" a="1"/>
  <c r="V859" i="12" a="1"/>
  <c r="X855" i="12" a="1"/>
  <c r="X851" i="12" a="1"/>
  <c r="X847" i="12" a="1"/>
  <c r="X843" i="12" a="1"/>
  <c r="X839" i="12" a="1"/>
  <c r="X835" i="12" a="1"/>
  <c r="X831" i="12" a="1"/>
  <c r="X827" i="12" a="1"/>
  <c r="X823" i="12" a="1"/>
  <c r="X819" i="12" a="1"/>
  <c r="X815" i="12" a="1"/>
  <c r="X811" i="12" a="1"/>
  <c r="X807" i="12" a="1"/>
  <c r="X803" i="12" a="1"/>
  <c r="X799" i="12" a="1"/>
  <c r="X795" i="12" a="1"/>
  <c r="X791" i="12" a="1"/>
  <c r="X787" i="12" a="1"/>
  <c r="X783" i="12" a="1"/>
  <c r="X779" i="12" a="1"/>
  <c r="X775" i="12" a="1"/>
  <c r="X771" i="12" a="1"/>
  <c r="X767" i="12" a="1"/>
  <c r="X763" i="12" a="1"/>
  <c r="X759" i="12" a="1"/>
  <c r="X755" i="12" a="1"/>
  <c r="X751" i="12" a="1"/>
  <c r="X747" i="12" a="1"/>
  <c r="X743" i="12" a="1"/>
  <c r="X739" i="12" a="1"/>
  <c r="X735" i="12" a="1"/>
  <c r="X731" i="12" a="1"/>
  <c r="X727" i="12" a="1"/>
  <c r="X723" i="12" a="1"/>
  <c r="X719" i="12" a="1"/>
  <c r="X715" i="12" a="1"/>
  <c r="X711" i="12" a="1"/>
  <c r="X707" i="12" a="1"/>
  <c r="X703" i="12" a="1"/>
  <c r="X699" i="12" a="1"/>
  <c r="X695" i="12" a="1"/>
  <c r="X691" i="12" a="1"/>
  <c r="X687" i="12" a="1"/>
  <c r="X683" i="12" a="1"/>
  <c r="X679" i="12" a="1"/>
  <c r="X675" i="12" a="1"/>
  <c r="X671" i="12" a="1"/>
  <c r="X667" i="12" a="1"/>
  <c r="X663" i="12" a="1"/>
  <c r="X659" i="12" a="1"/>
  <c r="X655" i="12" a="1"/>
  <c r="X651" i="12" a="1"/>
  <c r="X647" i="12" a="1"/>
  <c r="X643" i="12" a="1"/>
  <c r="X639" i="12" a="1"/>
  <c r="X635" i="12" a="1"/>
  <c r="X631" i="12" a="1"/>
  <c r="X1025" i="12" a="1"/>
  <c r="X1010" i="12" a="1"/>
  <c r="X1006" i="12" a="1"/>
  <c r="X1000" i="12" a="1"/>
  <c r="V993" i="12" a="1"/>
  <c r="V989" i="12" a="1"/>
  <c r="U986" i="12" a="1"/>
  <c r="U982" i="12" a="1"/>
  <c r="U979" i="12" a="1"/>
  <c r="W976" i="12" a="1"/>
  <c r="W972" i="12" a="1"/>
  <c r="X967" i="12" a="1"/>
  <c r="W963" i="12" a="1"/>
  <c r="X959" i="12" a="1"/>
  <c r="V955" i="12" a="1"/>
  <c r="V951" i="12" a="1"/>
  <c r="X946" i="12" a="1"/>
  <c r="V943" i="12" a="1"/>
  <c r="W938" i="12" a="1"/>
  <c r="W934" i="12" a="1"/>
  <c r="X930" i="12" a="1"/>
  <c r="V927" i="12" a="1"/>
  <c r="W922" i="12" a="1"/>
  <c r="W918" i="12" a="1"/>
  <c r="X914" i="12" a="1"/>
  <c r="V911" i="12" a="1"/>
  <c r="W906" i="12" a="1"/>
  <c r="W902" i="12" a="1"/>
  <c r="X898" i="12" a="1"/>
  <c r="V895" i="12" a="1"/>
  <c r="W890" i="12" a="1"/>
  <c r="W886" i="12" a="1"/>
  <c r="X882" i="12" a="1"/>
  <c r="X880" i="12" a="1"/>
  <c r="X878" i="12" a="1"/>
  <c r="X876" i="12" a="1"/>
  <c r="X874" i="12" a="1"/>
  <c r="X872" i="12" a="1"/>
  <c r="X870" i="12" a="1"/>
  <c r="X868" i="12" a="1"/>
  <c r="X866" i="12" a="1"/>
  <c r="X864" i="12" a="1"/>
  <c r="X862" i="12" a="1"/>
  <c r="X860" i="12" a="1"/>
  <c r="X858" i="12" a="1"/>
  <c r="X856" i="12" a="1"/>
  <c r="X852" i="12" a="1"/>
  <c r="X848" i="12" a="1"/>
  <c r="X844" i="12" a="1"/>
  <c r="X840" i="12" a="1"/>
  <c r="X836" i="12" a="1"/>
  <c r="X832" i="12" a="1"/>
  <c r="X828" i="12" a="1"/>
  <c r="X824" i="12" a="1"/>
  <c r="X820" i="12" a="1"/>
  <c r="X816" i="12" a="1"/>
  <c r="X812" i="12" a="1"/>
  <c r="X808" i="12" a="1"/>
  <c r="X804" i="12" a="1"/>
  <c r="X800" i="12" a="1"/>
  <c r="X796" i="12" a="1"/>
  <c r="X792" i="12" a="1"/>
  <c r="X788" i="12" a="1"/>
  <c r="X784" i="12" a="1"/>
  <c r="X780" i="12" a="1"/>
  <c r="X776" i="12" a="1"/>
  <c r="X772" i="12" a="1"/>
  <c r="X768" i="12" a="1"/>
  <c r="X764" i="12" a="1"/>
  <c r="X760" i="12" a="1"/>
  <c r="X756" i="12" a="1"/>
  <c r="X752" i="12" a="1"/>
  <c r="X748" i="12" a="1"/>
  <c r="X744" i="12" a="1"/>
  <c r="X740" i="12" a="1"/>
  <c r="X736" i="12" a="1"/>
  <c r="X732" i="12" a="1"/>
  <c r="X728" i="12" a="1"/>
  <c r="X724" i="12" a="1"/>
  <c r="X720" i="12" a="1"/>
  <c r="X716" i="12" a="1"/>
  <c r="X712" i="12" a="1"/>
  <c r="X708" i="12" a="1"/>
  <c r="X704" i="12" a="1"/>
  <c r="X700" i="12" a="1"/>
  <c r="X696" i="12" a="1"/>
  <c r="X692" i="12" a="1"/>
  <c r="X688" i="12" a="1"/>
  <c r="X684" i="12" a="1"/>
  <c r="X680" i="12" a="1"/>
  <c r="X676" i="12" a="1"/>
  <c r="X672" i="12" a="1"/>
  <c r="U1025" i="12" a="1"/>
  <c r="V1010" i="12" a="1"/>
  <c r="X1003" i="12" a="1"/>
  <c r="V995" i="12" a="1"/>
  <c r="U992" i="12" a="1"/>
  <c r="U990" i="12" a="1"/>
  <c r="U988" i="12" a="1"/>
  <c r="V984" i="12" a="1"/>
  <c r="W980" i="12" a="1"/>
  <c r="V971" i="12" a="1"/>
  <c r="W967" i="12" a="1"/>
  <c r="V963" i="12" a="1"/>
  <c r="V958" i="12" a="1"/>
  <c r="X954" i="12" a="1"/>
  <c r="X952" i="12" a="1"/>
  <c r="X948" i="12" a="1"/>
  <c r="V944" i="12" a="1"/>
  <c r="W940" i="12" a="1"/>
  <c r="X936" i="12" a="1"/>
  <c r="X932" i="12" a="1"/>
  <c r="V928" i="12" a="1"/>
  <c r="W924" i="12" a="1"/>
  <c r="X920" i="12" a="1"/>
  <c r="X916" i="12" a="1"/>
  <c r="V912" i="12" a="1"/>
  <c r="W908" i="12" a="1"/>
  <c r="X904" i="12" a="1"/>
  <c r="X900" i="12" a="1"/>
  <c r="V896" i="12" a="1"/>
  <c r="W892" i="12" a="1"/>
  <c r="X888" i="12" a="1"/>
  <c r="X884" i="12" a="1"/>
  <c r="V855" i="12" a="1"/>
  <c r="V851" i="12" a="1"/>
  <c r="V847" i="12" a="1"/>
  <c r="V843" i="12" a="1"/>
  <c r="V839" i="12" a="1"/>
  <c r="V835" i="12" a="1"/>
  <c r="V831" i="12" a="1"/>
  <c r="V827" i="12" a="1"/>
  <c r="V823" i="12" a="1"/>
  <c r="V819" i="12" a="1"/>
  <c r="V815" i="12" a="1"/>
  <c r="V811" i="12" a="1"/>
  <c r="V807" i="12" a="1"/>
  <c r="V803" i="12" a="1"/>
  <c r="V799" i="12" a="1"/>
  <c r="V795" i="12" a="1"/>
  <c r="V791" i="12" a="1"/>
  <c r="V787" i="12" a="1"/>
  <c r="V783" i="12" a="1"/>
  <c r="V779" i="12" a="1"/>
  <c r="V775" i="12" a="1"/>
  <c r="V771" i="12" a="1"/>
  <c r="V767" i="12" a="1"/>
  <c r="V763" i="12" a="1"/>
  <c r="V759" i="12" a="1"/>
  <c r="V755" i="12" a="1"/>
  <c r="V751" i="12" a="1"/>
  <c r="V747" i="12" a="1"/>
  <c r="V743" i="12" a="1"/>
  <c r="V739" i="12" a="1"/>
  <c r="V735" i="12" a="1"/>
  <c r="V731" i="12" a="1"/>
  <c r="V727" i="12" a="1"/>
  <c r="V723" i="12" a="1"/>
  <c r="V719" i="12" a="1"/>
  <c r="V715" i="12" a="1"/>
  <c r="V711" i="12" a="1"/>
  <c r="V707" i="12" a="1"/>
  <c r="V703" i="12" a="1"/>
  <c r="V699" i="12" a="1"/>
  <c r="V695" i="12" a="1"/>
  <c r="V691" i="12" a="1"/>
  <c r="V687" i="12" a="1"/>
  <c r="V683" i="12" a="1"/>
  <c r="V679" i="12" a="1"/>
  <c r="V675" i="12" a="1"/>
  <c r="V671" i="12" a="1"/>
  <c r="V667" i="12" a="1"/>
  <c r="V663" i="12" a="1"/>
  <c r="V659" i="12" a="1"/>
  <c r="V655" i="12" a="1"/>
  <c r="V651" i="12" a="1"/>
  <c r="V647" i="12" a="1"/>
  <c r="V643" i="12" a="1"/>
  <c r="V639" i="12" a="1"/>
  <c r="V635" i="12" a="1"/>
  <c r="V631" i="12" a="1"/>
  <c r="V627" i="12" a="1"/>
  <c r="X623" i="12" a="1"/>
  <c r="X620" i="12" a="1"/>
  <c r="V616" i="12" a="1"/>
  <c r="W611" i="12" a="1"/>
  <c r="X607" i="12" a="1"/>
  <c r="X604" i="12" a="1"/>
  <c r="V600" i="12" a="1"/>
  <c r="U596" i="12" a="1"/>
  <c r="V593" i="12" a="1"/>
  <c r="X589" i="12" a="1"/>
  <c r="V586" i="12" a="1"/>
  <c r="W582" i="12" a="1"/>
  <c r="U579" i="12" a="1"/>
  <c r="V575" i="12" a="1"/>
  <c r="X571" i="12" a="1"/>
  <c r="V568" i="12" a="1"/>
  <c r="U564" i="12" a="1"/>
  <c r="W626" i="12" a="1"/>
  <c r="W617" i="12" a="1"/>
  <c r="X608" i="12" a="1"/>
  <c r="X599" i="12" a="1"/>
  <c r="U591" i="12" a="1"/>
  <c r="X583" i="12" a="1"/>
  <c r="U575" i="12" a="1"/>
  <c r="X567" i="12" a="1"/>
  <c r="X558" i="12" a="1"/>
  <c r="U552" i="12" a="1"/>
  <c r="X547" i="12" a="1"/>
  <c r="V543" i="12" a="1"/>
  <c r="V539" i="12" a="1"/>
  <c r="X533" i="12" a="1"/>
  <c r="V530" i="12" a="1"/>
  <c r="X526" i="12" a="1"/>
  <c r="X522" i="12" a="1"/>
  <c r="X520" i="12" a="1"/>
  <c r="W515" i="12" a="1"/>
  <c r="V511" i="12" a="1"/>
  <c r="V507" i="12" a="1"/>
  <c r="X501" i="12" a="1"/>
  <c r="V498" i="12" a="1"/>
  <c r="X494" i="12" a="1"/>
  <c r="X490" i="12" a="1"/>
  <c r="X488" i="12" a="1"/>
  <c r="W483" i="12" a="1"/>
  <c r="V479" i="12" a="1"/>
  <c r="V475" i="12" a="1"/>
  <c r="X469" i="12" a="1"/>
  <c r="V465" i="12" a="1"/>
  <c r="X461" i="12" a="1"/>
  <c r="V457" i="12" a="1"/>
  <c r="X453" i="12" a="1"/>
  <c r="V449" i="12" a="1"/>
  <c r="X445" i="12" a="1"/>
  <c r="V441" i="12" a="1"/>
  <c r="X437" i="12" a="1"/>
  <c r="V433" i="12" a="1"/>
  <c r="X429" i="12" a="1"/>
  <c r="V425" i="12" a="1"/>
  <c r="W421" i="12" a="1"/>
  <c r="W417" i="12" a="1"/>
  <c r="W413" i="12" a="1"/>
  <c r="W409" i="12" a="1"/>
  <c r="W405" i="12" a="1"/>
  <c r="U401" i="12" a="1"/>
  <c r="W397" i="12" a="1"/>
  <c r="U393" i="12" a="1"/>
  <c r="W389" i="12" a="1"/>
  <c r="U385" i="12" a="1"/>
  <c r="V1341" i="12" a="1"/>
  <c r="V1325" i="12" a="1"/>
  <c r="V1309" i="12" a="1"/>
  <c r="V1224" i="12" a="1"/>
  <c r="V1208" i="12" a="1"/>
  <c r="V1192" i="12" a="1"/>
  <c r="V1176" i="12" a="1"/>
  <c r="V1160" i="12" a="1"/>
  <c r="V1144" i="12" a="1"/>
  <c r="V1128" i="12" a="1"/>
  <c r="V1120" i="12" a="1"/>
  <c r="V1112" i="12" a="1"/>
  <c r="V1104" i="12" a="1"/>
  <c r="V1096" i="12" a="1"/>
  <c r="V1088" i="12" a="1"/>
  <c r="V1080" i="12" a="1"/>
  <c r="V1072" i="12" a="1"/>
  <c r="V1064" i="12" a="1"/>
  <c r="W1056" i="12" a="1"/>
  <c r="W1048" i="12" a="1"/>
  <c r="V1040" i="12" a="1"/>
  <c r="V1032" i="12" a="1"/>
  <c r="V1024" i="12" a="1"/>
  <c r="W1017" i="12" a="1"/>
  <c r="V1004" i="12" a="1"/>
  <c r="U999" i="12" a="1"/>
  <c r="X1460" i="12" a="1"/>
  <c r="U1449" i="12" a="1"/>
  <c r="X1440" i="12" a="1"/>
  <c r="U1433" i="12" a="1"/>
  <c r="X1428" i="12" a="1"/>
  <c r="W1423" i="12" a="1"/>
  <c r="U1417" i="12" a="1"/>
  <c r="X1412" i="12" a="1"/>
  <c r="W1407" i="12" a="1"/>
  <c r="U1401" i="12" a="1"/>
  <c r="X1396" i="12" a="1"/>
  <c r="W1391" i="12" a="1"/>
  <c r="U1385" i="12" a="1"/>
  <c r="X1380" i="12" a="1"/>
  <c r="W1375" i="12" a="1"/>
  <c r="U1369" i="12" a="1"/>
  <c r="X1364" i="12" a="1"/>
  <c r="W1359" i="12" a="1"/>
  <c r="U1353" i="12" a="1"/>
  <c r="X1348" i="12" a="1"/>
  <c r="W1343" i="12" a="1"/>
  <c r="U1337" i="12" a="1"/>
  <c r="X1332" i="12" a="1"/>
  <c r="W1327" i="12" a="1"/>
  <c r="U1321" i="12" a="1"/>
  <c r="X1316" i="12" a="1"/>
  <c r="W1311" i="12" a="1"/>
  <c r="U1305" i="12" a="1"/>
  <c r="X1300" i="12" a="1"/>
  <c r="V1295" i="12" a="1"/>
  <c r="V1289" i="12" a="1"/>
  <c r="V1284" i="12" a="1"/>
  <c r="V1279" i="12" a="1"/>
  <c r="V1273" i="12" a="1"/>
  <c r="V1268" i="12" a="1"/>
  <c r="V1263" i="12" a="1"/>
  <c r="V1257" i="12" a="1"/>
  <c r="V1252" i="12" a="1"/>
  <c r="V1247" i="12" a="1"/>
  <c r="V1241" i="12" a="1"/>
  <c r="V1236" i="12" a="1"/>
  <c r="V1231" i="12" a="1"/>
  <c r="V1225" i="12" a="1"/>
  <c r="U1220" i="12" a="1"/>
  <c r="X1215" i="12" a="1"/>
  <c r="W1210" i="12" a="1"/>
  <c r="W1206" i="12" a="1"/>
  <c r="W1202" i="12" a="1"/>
  <c r="W1198" i="12" a="1"/>
  <c r="W1194" i="12" a="1"/>
  <c r="W1190" i="12" a="1"/>
  <c r="W1186" i="12" a="1"/>
  <c r="W1182" i="12" a="1"/>
  <c r="W1178" i="12" a="1"/>
  <c r="W1174" i="12" a="1"/>
  <c r="W1170" i="12" a="1"/>
  <c r="W1166" i="12" a="1"/>
  <c r="W1162" i="12" a="1"/>
  <c r="W1158" i="12" a="1"/>
  <c r="W1154" i="12" a="1"/>
  <c r="W1150" i="12" a="1"/>
  <c r="W1146" i="12" a="1"/>
  <c r="W1142" i="12" a="1"/>
  <c r="W1138" i="12" a="1"/>
  <c r="W1134" i="12" a="1"/>
  <c r="W1130" i="12" a="1"/>
  <c r="W1126" i="12" a="1"/>
  <c r="W1122" i="12" a="1"/>
  <c r="W1118" i="12" a="1"/>
  <c r="W1114" i="12" a="1"/>
  <c r="W1110" i="12" a="1"/>
  <c r="W1106" i="12" a="1"/>
  <c r="W1102" i="12" a="1"/>
  <c r="W1098" i="12" a="1"/>
  <c r="W1094" i="12" a="1"/>
  <c r="W1090" i="12" a="1"/>
  <c r="W1086" i="12" a="1"/>
  <c r="W1082" i="12" a="1"/>
  <c r="W1078" i="12" a="1"/>
  <c r="W1074" i="12" a="1"/>
  <c r="W1070" i="12" a="1"/>
  <c r="W1066" i="12" a="1"/>
  <c r="W1062" i="12" a="1"/>
  <c r="W1058" i="12" a="1"/>
  <c r="W1038" i="12" a="1"/>
  <c r="W1034" i="12" a="1"/>
  <c r="W1030" i="12" a="1"/>
  <c r="U1024" i="12" a="1"/>
  <c r="W1018" i="12" a="1"/>
  <c r="W1014" i="12" a="1"/>
  <c r="U1010" i="12" a="1"/>
  <c r="U1006" i="12" a="1"/>
  <c r="W999" i="12" a="1"/>
  <c r="X994" i="12" a="1"/>
  <c r="W991" i="12" a="1"/>
  <c r="W987" i="12" a="1"/>
  <c r="W982" i="12" a="1"/>
  <c r="V976" i="12" a="1"/>
  <c r="V972" i="12" a="1"/>
  <c r="X969" i="12" a="1"/>
  <c r="V965" i="12" a="1"/>
  <c r="X961" i="12" a="1"/>
  <c r="X957" i="12" a="1"/>
  <c r="X955" i="12" a="1"/>
  <c r="X949" i="12" a="1"/>
  <c r="V945" i="12" a="1"/>
  <c r="V941" i="12" a="1"/>
  <c r="U938" i="12" a="1"/>
  <c r="U934" i="12" a="1"/>
  <c r="V929" i="12" a="1"/>
  <c r="V925" i="12" a="1"/>
  <c r="U922" i="12" a="1"/>
  <c r="U918" i="12" a="1"/>
  <c r="V913" i="12" a="1"/>
  <c r="V909" i="12" a="1"/>
  <c r="U906" i="12" a="1"/>
  <c r="U902" i="12" a="1"/>
  <c r="V897" i="12" a="1"/>
  <c r="V893" i="12" a="1"/>
  <c r="U890" i="12" a="1"/>
  <c r="U886" i="12" a="1"/>
  <c r="W881" i="12" a="1"/>
  <c r="W877" i="12" a="1"/>
  <c r="W873" i="12" a="1"/>
  <c r="W869" i="12" a="1"/>
  <c r="W865" i="12" a="1"/>
  <c r="W861" i="12" a="1"/>
  <c r="W857" i="12" a="1"/>
  <c r="W853" i="12" a="1"/>
  <c r="W849" i="12" a="1"/>
  <c r="W845" i="12" a="1"/>
  <c r="W841" i="12" a="1"/>
  <c r="W837" i="12" a="1"/>
  <c r="W833" i="12" a="1"/>
  <c r="W829" i="12" a="1"/>
  <c r="W825" i="12" a="1"/>
  <c r="W821" i="12" a="1"/>
  <c r="W817" i="12" a="1"/>
  <c r="W813" i="12" a="1"/>
  <c r="W809" i="12" a="1"/>
  <c r="W805" i="12" a="1"/>
  <c r="W801" i="12" a="1"/>
  <c r="W797" i="12" a="1"/>
  <c r="W793" i="12" a="1"/>
  <c r="W789" i="12" a="1"/>
  <c r="W785" i="12" a="1"/>
  <c r="W781" i="12" a="1"/>
  <c r="W777" i="12" a="1"/>
  <c r="W773" i="12" a="1"/>
  <c r="W769" i="12" a="1"/>
  <c r="W765" i="12" a="1"/>
  <c r="W761" i="12" a="1"/>
  <c r="W757" i="12" a="1"/>
  <c r="W753" i="12" a="1"/>
  <c r="W749" i="12" a="1"/>
  <c r="W745" i="12" a="1"/>
  <c r="W741" i="12" a="1"/>
  <c r="W737" i="12" a="1"/>
  <c r="W733" i="12" a="1"/>
  <c r="W729" i="12" a="1"/>
  <c r="W725" i="12" a="1"/>
  <c r="W721" i="12" a="1"/>
  <c r="W717" i="12" a="1"/>
  <c r="W713" i="12" a="1"/>
  <c r="W709" i="12" a="1"/>
  <c r="W705" i="12" a="1"/>
  <c r="W701" i="12" a="1"/>
  <c r="W697" i="12" a="1"/>
  <c r="W693" i="12" a="1"/>
  <c r="W689" i="12" a="1"/>
  <c r="W685" i="12" a="1"/>
  <c r="W681" i="12" a="1"/>
  <c r="W677" i="12" a="1"/>
  <c r="W673" i="12" a="1"/>
  <c r="W669" i="12" a="1"/>
  <c r="W665" i="12" a="1"/>
  <c r="W661" i="12" a="1"/>
  <c r="W657" i="12" a="1"/>
  <c r="W653" i="12" a="1"/>
  <c r="W649" i="12" a="1"/>
  <c r="W645" i="12" a="1"/>
  <c r="W641" i="12" a="1"/>
  <c r="W637" i="12" a="1"/>
  <c r="W633" i="12" a="1"/>
  <c r="W629" i="12" a="1"/>
  <c r="W625" i="12" a="1"/>
  <c r="X621" i="12" a="1"/>
  <c r="U618" i="12" a="1"/>
  <c r="V614" i="12" a="1"/>
  <c r="W609" i="12" a="1"/>
  <c r="X605" i="12" a="1"/>
  <c r="U602" i="12" a="1"/>
  <c r="W596" i="12" a="1"/>
  <c r="U593" i="12" a="1"/>
  <c r="W587" i="12" a="1"/>
  <c r="X584" i="12" a="1"/>
  <c r="X578" i="12" a="1"/>
  <c r="W573" i="12" a="1"/>
  <c r="U570" i="12" a="1"/>
  <c r="W564" i="12" a="1"/>
  <c r="X561" i="12" a="1"/>
  <c r="W558" i="12" a="1"/>
  <c r="W553" i="12" a="1"/>
  <c r="V549" i="12" a="1"/>
  <c r="X1026" i="12" a="1"/>
  <c r="V1009" i="12" a="1"/>
  <c r="V1001" i="12" a="1"/>
  <c r="X995" i="12" a="1"/>
  <c r="V986" i="12" a="1"/>
  <c r="V982" i="12" a="1"/>
  <c r="V978" i="12" a="1"/>
  <c r="X975" i="12" a="1"/>
  <c r="X973" i="12" a="1"/>
  <c r="X971" i="12" a="1"/>
  <c r="U967" i="12" a="1"/>
  <c r="U964" i="12" a="1"/>
  <c r="V960" i="12" a="1"/>
  <c r="W954" i="12" a="1"/>
  <c r="W950" i="12" a="1"/>
  <c r="V946" i="12" a="1"/>
  <c r="V942" i="12" a="1"/>
  <c r="X939" i="12" a="1"/>
  <c r="X934" i="12" a="1"/>
  <c r="V930" i="12" a="1"/>
  <c r="V926" i="12" a="1"/>
  <c r="X923" i="12" a="1"/>
  <c r="X918" i="12" a="1"/>
  <c r="V914" i="12" a="1"/>
  <c r="V910" i="12" a="1"/>
  <c r="X907" i="12" a="1"/>
  <c r="X902" i="12" a="1"/>
  <c r="V898" i="12" a="1"/>
  <c r="V894" i="12" a="1"/>
  <c r="X891" i="12" a="1"/>
  <c r="X886" i="12" a="1"/>
  <c r="V882" i="12" a="1"/>
  <c r="V878" i="12" a="1"/>
  <c r="V874" i="12" a="1"/>
  <c r="V870" i="12" a="1"/>
  <c r="V866" i="12" a="1"/>
  <c r="V862" i="12" a="1"/>
  <c r="V858" i="12" a="1"/>
  <c r="W854" i="12" a="1"/>
  <c r="W850" i="12" a="1"/>
  <c r="W846" i="12" a="1"/>
  <c r="W842" i="12" a="1"/>
  <c r="W838" i="12" a="1"/>
  <c r="W834" i="12" a="1"/>
  <c r="W830" i="12" a="1"/>
  <c r="W826" i="12" a="1"/>
  <c r="W822" i="12" a="1"/>
  <c r="W818" i="12" a="1"/>
  <c r="W814" i="12" a="1"/>
  <c r="W810" i="12" a="1"/>
  <c r="W806" i="12" a="1"/>
  <c r="W802" i="12" a="1"/>
  <c r="W798" i="12" a="1"/>
  <c r="W794" i="12" a="1"/>
  <c r="W790" i="12" a="1"/>
  <c r="W786" i="12" a="1"/>
  <c r="W782" i="12" a="1"/>
  <c r="W778" i="12" a="1"/>
  <c r="W774" i="12" a="1"/>
  <c r="W770" i="12" a="1"/>
  <c r="W766" i="12" a="1"/>
  <c r="W762" i="12" a="1"/>
  <c r="W758" i="12" a="1"/>
  <c r="W754" i="12" a="1"/>
  <c r="W750" i="12" a="1"/>
  <c r="W746" i="12" a="1"/>
  <c r="W742" i="12" a="1"/>
  <c r="W738" i="12" a="1"/>
  <c r="W734" i="12" a="1"/>
  <c r="W730" i="12" a="1"/>
  <c r="W726" i="12" a="1"/>
  <c r="W722" i="12" a="1"/>
  <c r="W718" i="12" a="1"/>
  <c r="W714" i="12" a="1"/>
  <c r="W710" i="12" a="1"/>
  <c r="W706" i="12" a="1"/>
  <c r="W702" i="12" a="1"/>
  <c r="W698" i="12" a="1"/>
  <c r="W694" i="12" a="1"/>
  <c r="W690" i="12" a="1"/>
  <c r="W686" i="12" a="1"/>
  <c r="W682" i="12" a="1"/>
  <c r="W678" i="12" a="1"/>
  <c r="W674" i="12" a="1"/>
  <c r="W670" i="12" a="1"/>
  <c r="W666" i="12" a="1"/>
  <c r="W662" i="12" a="1"/>
  <c r="W658" i="12" a="1"/>
  <c r="W654" i="12" a="1"/>
  <c r="W650" i="12" a="1"/>
  <c r="W646" i="12" a="1"/>
  <c r="W642" i="12" a="1"/>
  <c r="W638" i="12" a="1"/>
  <c r="W634" i="12" a="1"/>
  <c r="W630" i="12" a="1"/>
  <c r="U1022" i="12" a="1"/>
  <c r="U1009" i="12" a="1"/>
  <c r="U1005" i="12" a="1"/>
  <c r="U997" i="12" a="1"/>
  <c r="V992" i="12" a="1"/>
  <c r="V988" i="12" a="1"/>
  <c r="X985" i="12" a="1"/>
  <c r="U981" i="12" a="1"/>
  <c r="X978" i="12" a="1"/>
  <c r="W975" i="12" a="1"/>
  <c r="W971" i="12" a="1"/>
  <c r="U966" i="12" a="1"/>
  <c r="V962" i="12" a="1"/>
  <c r="W958" i="12" a="1"/>
  <c r="V954" i="12" a="1"/>
  <c r="V950" i="12" a="1"/>
  <c r="U946" i="12" a="1"/>
  <c r="U942" i="12" a="1"/>
  <c r="V937" i="12" a="1"/>
  <c r="V933" i="12" a="1"/>
  <c r="U930" i="12" a="1"/>
  <c r="U926" i="12" a="1"/>
  <c r="V921" i="12" a="1"/>
  <c r="V917" i="12" a="1"/>
  <c r="U914" i="12" a="1"/>
  <c r="U910" i="12" a="1"/>
  <c r="V905" i="12" a="1"/>
  <c r="V901" i="12" a="1"/>
  <c r="U898" i="12" a="1"/>
  <c r="U894" i="12" a="1"/>
  <c r="V889" i="12" a="1"/>
  <c r="V885" i="12" a="1"/>
  <c r="U882" i="12" a="1"/>
  <c r="U880" i="12" a="1"/>
  <c r="U878" i="12" a="1"/>
  <c r="U876" i="12" a="1"/>
  <c r="U874" i="12" a="1"/>
  <c r="U872" i="12" a="1"/>
  <c r="U870" i="12" a="1"/>
  <c r="U868" i="12" a="1"/>
  <c r="U866" i="12" a="1"/>
  <c r="U864" i="12" a="1"/>
  <c r="U862" i="12" a="1"/>
  <c r="U860" i="12" a="1"/>
  <c r="U858" i="12" a="1"/>
  <c r="W855" i="12" a="1"/>
  <c r="W851" i="12" a="1"/>
  <c r="W847" i="12" a="1"/>
  <c r="W843" i="12" a="1"/>
  <c r="W839" i="12" a="1"/>
  <c r="W835" i="12" a="1"/>
  <c r="W831" i="12" a="1"/>
  <c r="W827" i="12" a="1"/>
  <c r="W823" i="12" a="1"/>
  <c r="W819" i="12" a="1"/>
  <c r="W815" i="12" a="1"/>
  <c r="W811" i="12" a="1"/>
  <c r="W807" i="12" a="1"/>
  <c r="W803" i="12" a="1"/>
  <c r="W799" i="12" a="1"/>
  <c r="W795" i="12" a="1"/>
  <c r="W791" i="12" a="1"/>
  <c r="W787" i="12" a="1"/>
  <c r="W783" i="12" a="1"/>
  <c r="W779" i="12" a="1"/>
  <c r="W775" i="12" a="1"/>
  <c r="W771" i="12" a="1"/>
  <c r="W767" i="12" a="1"/>
  <c r="W763" i="12" a="1"/>
  <c r="W759" i="12" a="1"/>
  <c r="W755" i="12" a="1"/>
  <c r="W751" i="12" a="1"/>
  <c r="W747" i="12" a="1"/>
  <c r="W743" i="12" a="1"/>
  <c r="W739" i="12" a="1"/>
  <c r="W735" i="12" a="1"/>
  <c r="W731" i="12" a="1"/>
  <c r="W727" i="12" a="1"/>
  <c r="W723" i="12" a="1"/>
  <c r="W719" i="12" a="1"/>
  <c r="W715" i="12" a="1"/>
  <c r="W711" i="12" a="1"/>
  <c r="W707" i="12" a="1"/>
  <c r="W703" i="12" a="1"/>
  <c r="W699" i="12" a="1"/>
  <c r="W695" i="12" a="1"/>
  <c r="W691" i="12" a="1"/>
  <c r="W687" i="12" a="1"/>
  <c r="W683" i="12" a="1"/>
  <c r="W679" i="12" a="1"/>
  <c r="W675" i="12" a="1"/>
  <c r="W671" i="12" a="1"/>
  <c r="X1024" i="12" a="1"/>
  <c r="V1008" i="12" a="1"/>
  <c r="U1000" i="12" a="1"/>
  <c r="V994" i="12" a="1"/>
  <c r="X991" i="12" a="1"/>
  <c r="X989" i="12" a="1"/>
  <c r="X987" i="12" a="1"/>
  <c r="U983" i="12" a="1"/>
  <c r="W979" i="12" a="1"/>
  <c r="V970" i="12" a="1"/>
  <c r="W966" i="12" a="1"/>
  <c r="U961" i="12" a="1"/>
  <c r="V957" i="12" a="1"/>
  <c r="U954" i="12" a="1"/>
  <c r="U951" i="12" a="1"/>
  <c r="U948" i="12" a="1"/>
  <c r="U943" i="12" a="1"/>
  <c r="V939" i="12" a="1"/>
  <c r="W935" i="12" a="1"/>
  <c r="U932" i="12" a="1"/>
  <c r="U927" i="12" a="1"/>
  <c r="V923" i="12" a="1"/>
  <c r="W919" i="12" a="1"/>
  <c r="U916" i="12" a="1"/>
  <c r="U911" i="12" a="1"/>
  <c r="V907" i="12" a="1"/>
  <c r="W903" i="12" a="1"/>
  <c r="U900" i="12" a="1"/>
  <c r="U895" i="12" a="1"/>
  <c r="V891" i="12" a="1"/>
  <c r="W887" i="12" a="1"/>
  <c r="U884" i="12" a="1"/>
  <c r="U854" i="12" a="1"/>
  <c r="U850" i="12" a="1"/>
  <c r="U846" i="12" a="1"/>
  <c r="U842" i="12" a="1"/>
  <c r="U838" i="12" a="1"/>
  <c r="U834" i="12" a="1"/>
  <c r="U830" i="12" a="1"/>
  <c r="U826" i="12" a="1"/>
  <c r="U822" i="12" a="1"/>
  <c r="U818" i="12" a="1"/>
  <c r="U814" i="12" a="1"/>
  <c r="U810" i="12" a="1"/>
  <c r="U806" i="12" a="1"/>
  <c r="U802" i="12" a="1"/>
  <c r="U798" i="12" a="1"/>
  <c r="U794" i="12" a="1"/>
  <c r="U790" i="12" a="1"/>
  <c r="U786" i="12" a="1"/>
  <c r="U782" i="12" a="1"/>
  <c r="U778" i="12" a="1"/>
  <c r="U774" i="12" a="1"/>
  <c r="U770" i="12" a="1"/>
  <c r="U766" i="12" a="1"/>
  <c r="U762" i="12" a="1"/>
  <c r="U758" i="12" a="1"/>
  <c r="U754" i="12" a="1"/>
  <c r="U750" i="12" a="1"/>
  <c r="U746" i="12" a="1"/>
  <c r="U742" i="12" a="1"/>
  <c r="U738" i="12" a="1"/>
  <c r="U734" i="12" a="1"/>
  <c r="U730" i="12" a="1"/>
  <c r="U726" i="12" a="1"/>
  <c r="U722" i="12" a="1"/>
  <c r="U718" i="12" a="1"/>
  <c r="U714" i="12" a="1"/>
  <c r="U710" i="12" a="1"/>
  <c r="U706" i="12" a="1"/>
  <c r="U702" i="12" a="1"/>
  <c r="U698" i="12" a="1"/>
  <c r="U694" i="12" a="1"/>
  <c r="U690" i="12" a="1"/>
  <c r="U686" i="12" a="1"/>
  <c r="U682" i="12" a="1"/>
  <c r="U678" i="12" a="1"/>
  <c r="U674" i="12" a="1"/>
  <c r="U670" i="12" a="1"/>
  <c r="U666" i="12" a="1"/>
  <c r="U662" i="12" a="1"/>
  <c r="U658" i="12" a="1"/>
  <c r="U654" i="12" a="1"/>
  <c r="U650" i="12" a="1"/>
  <c r="U646" i="12" a="1"/>
  <c r="U642" i="12" a="1"/>
  <c r="U638" i="12" a="1"/>
  <c r="U634" i="12" a="1"/>
  <c r="U630" i="12" a="1"/>
  <c r="U626" i="12" a="1"/>
  <c r="X622" i="12" a="1"/>
  <c r="U619" i="12" a="1"/>
  <c r="V615" i="12" a="1"/>
  <c r="W610" i="12" a="1"/>
  <c r="V1337" i="12" a="1"/>
  <c r="V1321" i="12" a="1"/>
  <c r="V1305" i="12" a="1"/>
  <c r="V1220" i="12" a="1"/>
  <c r="V1204" i="12" a="1"/>
  <c r="V1188" i="12" a="1"/>
  <c r="V1172" i="12" a="1"/>
  <c r="V1156" i="12" a="1"/>
  <c r="V1140" i="12" a="1"/>
  <c r="U1127" i="12" a="1"/>
  <c r="U1119" i="12" a="1"/>
  <c r="U1111" i="12" a="1"/>
  <c r="U1103" i="12" a="1"/>
  <c r="U1095" i="12" a="1"/>
  <c r="U1087" i="12" a="1"/>
  <c r="U1079" i="12" a="1"/>
  <c r="U1071" i="12" a="1"/>
  <c r="U1063" i="12" a="1"/>
  <c r="W1055" i="12" a="1"/>
  <c r="W1047" i="12" a="1"/>
  <c r="U1039" i="12" a="1"/>
  <c r="U1031" i="12" a="1"/>
  <c r="V1023" i="12" a="1"/>
  <c r="V1016" i="12" a="1"/>
  <c r="U1003" i="12" a="1"/>
  <c r="W997" i="12" a="1"/>
  <c r="U1457" i="12" a="1"/>
  <c r="X1448" i="12" a="1"/>
  <c r="U1437" i="12" a="1"/>
  <c r="X1432" i="12" a="1"/>
  <c r="W1427" i="12" a="1"/>
  <c r="U1421" i="12" a="1"/>
  <c r="X1416" i="12" a="1"/>
  <c r="W1411" i="12" a="1"/>
  <c r="U1405" i="12" a="1"/>
  <c r="X1400" i="12" a="1"/>
  <c r="W1395" i="12" a="1"/>
  <c r="U1389" i="12" a="1"/>
  <c r="X1384" i="12" a="1"/>
  <c r="W1379" i="12" a="1"/>
  <c r="U1373" i="12" a="1"/>
  <c r="X1368" i="12" a="1"/>
  <c r="W1363" i="12" a="1"/>
  <c r="U1357" i="12" a="1"/>
  <c r="X1352" i="12" a="1"/>
  <c r="W1347" i="12" a="1"/>
  <c r="U1341" i="12" a="1"/>
  <c r="X1336" i="12" a="1"/>
  <c r="W1331" i="12" a="1"/>
  <c r="U1325" i="12" a="1"/>
  <c r="X1320" i="12" a="1"/>
  <c r="W1315" i="12" a="1"/>
  <c r="U1309" i="12" a="1"/>
  <c r="X1304" i="12" a="1"/>
  <c r="W1299" i="12" a="1"/>
  <c r="V1293" i="12" a="1"/>
  <c r="V1288" i="12" a="1"/>
  <c r="V1283" i="12" a="1"/>
  <c r="V1277" i="12" a="1"/>
  <c r="V1272" i="12" a="1"/>
  <c r="V1267" i="12" a="1"/>
  <c r="V1261" i="12" a="1"/>
  <c r="V1256" i="12" a="1"/>
  <c r="V1251" i="12" a="1"/>
  <c r="V1245" i="12" a="1"/>
  <c r="V1240" i="12" a="1"/>
  <c r="V1235" i="12" a="1"/>
  <c r="V1229" i="12" a="1"/>
  <c r="U1224" i="12" a="1"/>
  <c r="X1219" i="12" a="1"/>
  <c r="V1213" i="12" a="1"/>
  <c r="V1209" i="12" a="1"/>
  <c r="V1205" i="12" a="1"/>
  <c r="V1201" i="12" a="1"/>
  <c r="V1197" i="12" a="1"/>
  <c r="V1193" i="12" a="1"/>
  <c r="V1189" i="12" a="1"/>
  <c r="V1185" i="12" a="1"/>
  <c r="V1181" i="12" a="1"/>
  <c r="V1177" i="12" a="1"/>
  <c r="V1173" i="12" a="1"/>
  <c r="V1169" i="12" a="1"/>
  <c r="V1165" i="12" a="1"/>
  <c r="V1161" i="12" a="1"/>
  <c r="V1157" i="12" a="1"/>
  <c r="V1153" i="12" a="1"/>
  <c r="V1149" i="12" a="1"/>
  <c r="V1145" i="12" a="1"/>
  <c r="V1141" i="12" a="1"/>
  <c r="V1137" i="12" a="1"/>
  <c r="V1133" i="12" a="1"/>
  <c r="V1129" i="12" a="1"/>
  <c r="V1125" i="12" a="1"/>
  <c r="V1121" i="12" a="1"/>
  <c r="V1117" i="12" a="1"/>
  <c r="V1113" i="12" a="1"/>
  <c r="V1109" i="12" a="1"/>
  <c r="V1105" i="12" a="1"/>
  <c r="V1101" i="12" a="1"/>
  <c r="V1097" i="12" a="1"/>
  <c r="V1093" i="12" a="1"/>
  <c r="V1089" i="12" a="1"/>
  <c r="V1085" i="12" a="1"/>
  <c r="V1081" i="12" a="1"/>
  <c r="V1077" i="12" a="1"/>
  <c r="V1073" i="12" a="1"/>
  <c r="V1069" i="12" a="1"/>
  <c r="V1065" i="12" a="1"/>
  <c r="V1061" i="12" a="1"/>
  <c r="V1041" i="12" a="1"/>
  <c r="V1037" i="12" a="1"/>
  <c r="V1033" i="12" a="1"/>
  <c r="V1029" i="12" a="1"/>
  <c r="X1023" i="12" a="1"/>
  <c r="V1017" i="12" a="1"/>
  <c r="V1013" i="12" a="1"/>
  <c r="X1009" i="12" a="1"/>
  <c r="X1005" i="12" a="1"/>
  <c r="W998" i="12" a="1"/>
  <c r="U994" i="12" a="1"/>
  <c r="W990" i="12" a="1"/>
  <c r="V985" i="12" a="1"/>
  <c r="W981" i="12" a="1"/>
  <c r="V975" i="12" a="1"/>
  <c r="U971" i="12" a="1"/>
  <c r="W968" i="12" a="1"/>
  <c r="U963" i="12" a="1"/>
  <c r="W960" i="12" a="1"/>
  <c r="U957" i="12" a="1"/>
  <c r="U952" i="12" a="1"/>
  <c r="W948" i="12" a="1"/>
  <c r="U944" i="12" a="1"/>
  <c r="V940" i="12" a="1"/>
  <c r="X937" i="12" a="1"/>
  <c r="X933" i="12" a="1"/>
  <c r="U928" i="12" a="1"/>
  <c r="V924" i="12" a="1"/>
  <c r="X921" i="12" a="1"/>
  <c r="X917" i="12" a="1"/>
  <c r="U912" i="12" a="1"/>
  <c r="V908" i="12" a="1"/>
  <c r="X905" i="12" a="1"/>
  <c r="X901" i="12" a="1"/>
  <c r="U896" i="12" a="1"/>
  <c r="V892" i="12" a="1"/>
  <c r="X889" i="12" a="1"/>
  <c r="X885" i="12" a="1"/>
  <c r="W880" i="12" a="1"/>
  <c r="W876" i="12" a="1"/>
  <c r="W872" i="12" a="1"/>
  <c r="W868" i="12" a="1"/>
  <c r="W864" i="12" a="1"/>
  <c r="W860" i="12" a="1"/>
  <c r="V856" i="12" a="1"/>
  <c r="V852" i="12" a="1"/>
  <c r="V848" i="12" a="1"/>
  <c r="V844" i="12" a="1"/>
  <c r="V840" i="12" a="1"/>
  <c r="V836" i="12" a="1"/>
  <c r="V832" i="12" a="1"/>
  <c r="V828" i="12" a="1"/>
  <c r="V824" i="12" a="1"/>
  <c r="V820" i="12" a="1"/>
  <c r="V816" i="12" a="1"/>
  <c r="V812" i="12" a="1"/>
  <c r="V808" i="12" a="1"/>
  <c r="V804" i="12" a="1"/>
  <c r="V800" i="12" a="1"/>
  <c r="V796" i="12" a="1"/>
  <c r="V792" i="12" a="1"/>
  <c r="V788" i="12" a="1"/>
  <c r="V784" i="12" a="1"/>
  <c r="V780" i="12" a="1"/>
  <c r="V776" i="12" a="1"/>
  <c r="V772" i="12" a="1"/>
  <c r="V768" i="12" a="1"/>
  <c r="V764" i="12" a="1"/>
  <c r="V760" i="12" a="1"/>
  <c r="V756" i="12" a="1"/>
  <c r="V752" i="12" a="1"/>
  <c r="V748" i="12" a="1"/>
  <c r="V744" i="12" a="1"/>
  <c r="V740" i="12" a="1"/>
  <c r="V736" i="12" a="1"/>
  <c r="V732" i="12" a="1"/>
  <c r="V728" i="12" a="1"/>
  <c r="V724" i="12" a="1"/>
  <c r="V720" i="12" a="1"/>
  <c r="V716" i="12" a="1"/>
  <c r="V712" i="12" a="1"/>
  <c r="V708" i="12" a="1"/>
  <c r="V704" i="12" a="1"/>
  <c r="V700" i="12" a="1"/>
  <c r="V696" i="12" a="1"/>
  <c r="V692" i="12" a="1"/>
  <c r="V688" i="12" a="1"/>
  <c r="V684" i="12" a="1"/>
  <c r="V680" i="12" a="1"/>
  <c r="V676" i="12" a="1"/>
  <c r="V672" i="12" a="1"/>
  <c r="V668" i="12" a="1"/>
  <c r="V664" i="12" a="1"/>
  <c r="V660" i="12" a="1"/>
  <c r="V656" i="12" a="1"/>
  <c r="V652" i="12" a="1"/>
  <c r="V648" i="12" a="1"/>
  <c r="V644" i="12" a="1"/>
  <c r="V640" i="12" a="1"/>
  <c r="V636" i="12" a="1"/>
  <c r="V632" i="12" a="1"/>
  <c r="V628" i="12" a="1"/>
  <c r="W624" i="12" a="1"/>
  <c r="U620" i="12" a="1"/>
  <c r="U617" i="12" a="1"/>
  <c r="V613" i="12" a="1"/>
  <c r="W608" i="12" a="1"/>
  <c r="U604" i="12" a="1"/>
  <c r="U601" i="12" a="1"/>
  <c r="W595" i="12" a="1"/>
  <c r="X592" i="12" a="1"/>
  <c r="X586" i="12" a="1"/>
  <c r="W581" i="12" a="1"/>
  <c r="U578" i="12" a="1"/>
  <c r="W572" i="12" a="1"/>
  <c r="U569" i="12" a="1"/>
  <c r="W563" i="12" a="1"/>
  <c r="U561" i="12" a="1"/>
  <c r="W556" i="12" a="1"/>
  <c r="W552" i="12" a="1"/>
  <c r="V548" i="12" a="1"/>
  <c r="U1023" i="12" a="1"/>
  <c r="V1007" i="12" a="1"/>
  <c r="V998" i="12" a="1"/>
  <c r="W994" i="12" a="1"/>
  <c r="U985" i="12" a="1"/>
  <c r="V981" i="12" a="1"/>
  <c r="U977" i="12" a="1"/>
  <c r="U975" i="12" a="1"/>
  <c r="U973" i="12" a="1"/>
  <c r="W970" i="12" a="1"/>
  <c r="X966" i="12" a="1"/>
  <c r="X963" i="12" a="1"/>
  <c r="U959" i="12" a="1"/>
  <c r="W953" i="12" a="1"/>
  <c r="W949" i="12" a="1"/>
  <c r="U945" i="12" a="1"/>
  <c r="U941" i="12" a="1"/>
  <c r="W937" i="12" a="1"/>
  <c r="W933" i="12" a="1"/>
  <c r="U929" i="12" a="1"/>
  <c r="U925" i="12" a="1"/>
  <c r="W921" i="12" a="1"/>
  <c r="W917" i="12" a="1"/>
  <c r="U913" i="12" a="1"/>
  <c r="U909" i="12" a="1"/>
  <c r="W905" i="12" a="1"/>
  <c r="W901" i="12" a="1"/>
  <c r="U897" i="12" a="1"/>
  <c r="U893" i="12" a="1"/>
  <c r="W889" i="12" a="1"/>
  <c r="W885" i="12" a="1"/>
  <c r="V881" i="12" a="1"/>
  <c r="V877" i="12" a="1"/>
  <c r="V873" i="12" a="1"/>
  <c r="V869" i="12" a="1"/>
  <c r="V865" i="12" a="1"/>
  <c r="V861" i="12" a="1"/>
  <c r="V857" i="12" a="1"/>
  <c r="V853" i="12" a="1"/>
  <c r="V849" i="12" a="1"/>
  <c r="V845" i="12" a="1"/>
  <c r="V841" i="12" a="1"/>
  <c r="V837" i="12" a="1"/>
  <c r="V833" i="12" a="1"/>
  <c r="V829" i="12" a="1"/>
  <c r="V825" i="12" a="1"/>
  <c r="V821" i="12" a="1"/>
  <c r="V817" i="12" a="1"/>
  <c r="V813" i="12" a="1"/>
  <c r="V809" i="12" a="1"/>
  <c r="V805" i="12" a="1"/>
  <c r="V801" i="12" a="1"/>
  <c r="V797" i="12" a="1"/>
  <c r="V793" i="12" a="1"/>
  <c r="V789" i="12" a="1"/>
  <c r="V785" i="12" a="1"/>
  <c r="V781" i="12" a="1"/>
  <c r="V777" i="12" a="1"/>
  <c r="V773" i="12" a="1"/>
  <c r="V769" i="12" a="1"/>
  <c r="V765" i="12" a="1"/>
  <c r="V761" i="12" a="1"/>
  <c r="V757" i="12" a="1"/>
  <c r="V753" i="12" a="1"/>
  <c r="V749" i="12" a="1"/>
  <c r="V745" i="12" a="1"/>
  <c r="V741" i="12" a="1"/>
  <c r="V737" i="12" a="1"/>
  <c r="V733" i="12" a="1"/>
  <c r="V729" i="12" a="1"/>
  <c r="V725" i="12" a="1"/>
  <c r="V721" i="12" a="1"/>
  <c r="V717" i="12" a="1"/>
  <c r="V713" i="12" a="1"/>
  <c r="V709" i="12" a="1"/>
  <c r="V705" i="12" a="1"/>
  <c r="V701" i="12" a="1"/>
  <c r="V697" i="12" a="1"/>
  <c r="V693" i="12" a="1"/>
  <c r="V689" i="12" a="1"/>
  <c r="V685" i="12" a="1"/>
  <c r="V681" i="12" a="1"/>
  <c r="V677" i="12" a="1"/>
  <c r="V673" i="12" a="1"/>
  <c r="V669" i="12" a="1"/>
  <c r="V665" i="12" a="1"/>
  <c r="V661" i="12" a="1"/>
  <c r="V657" i="12" a="1"/>
  <c r="V653" i="12" a="1"/>
  <c r="V649" i="12" a="1"/>
  <c r="V645" i="12" a="1"/>
  <c r="V641" i="12" a="1"/>
  <c r="V637" i="12" a="1"/>
  <c r="V633" i="12" a="1"/>
  <c r="V629" i="12" a="1"/>
  <c r="X1021" i="12" a="1"/>
  <c r="X1008" i="12" a="1"/>
  <c r="X1004" i="12" a="1"/>
  <c r="X996" i="12" a="1"/>
  <c r="V991" i="12" a="1"/>
  <c r="U987" i="12" a="1"/>
  <c r="W984" i="12" a="1"/>
  <c r="X980" i="12" a="1"/>
  <c r="U978" i="12" a="1"/>
  <c r="W974" i="12" a="1"/>
  <c r="V969" i="12" a="1"/>
  <c r="X965" i="12" a="1"/>
  <c r="V961" i="12" a="1"/>
  <c r="W957" i="12" a="1"/>
  <c r="V953" i="12" a="1"/>
  <c r="V949" i="12" a="1"/>
  <c r="X945" i="12" a="1"/>
  <c r="X941" i="12" a="1"/>
  <c r="U936" i="12" a="1"/>
  <c r="V932" i="12" a="1"/>
  <c r="X929" i="12" a="1"/>
  <c r="X925" i="12" a="1"/>
  <c r="U920" i="12" a="1"/>
  <c r="V916" i="12" a="1"/>
  <c r="X913" i="12" a="1"/>
  <c r="X909" i="12" a="1"/>
  <c r="U904" i="12" a="1"/>
  <c r="V900" i="12" a="1"/>
  <c r="X897" i="12" a="1"/>
  <c r="X893" i="12" a="1"/>
  <c r="U888" i="12" a="1"/>
  <c r="V884" i="12" a="1"/>
  <c r="X881" i="12" a="1"/>
  <c r="X879" i="12" a="1"/>
  <c r="X877" i="12" a="1"/>
  <c r="X875" i="12" a="1"/>
  <c r="X873" i="12" a="1"/>
  <c r="X871" i="12" a="1"/>
  <c r="X869" i="12" a="1"/>
  <c r="X867" i="12" a="1"/>
  <c r="X865" i="12" a="1"/>
  <c r="X863" i="12" a="1"/>
  <c r="X861" i="12" a="1"/>
  <c r="X859" i="12" a="1"/>
  <c r="X857" i="12" a="1"/>
  <c r="V854" i="12" a="1"/>
  <c r="V850" i="12" a="1"/>
  <c r="V846" i="12" a="1"/>
  <c r="V842" i="12" a="1"/>
  <c r="V838" i="12" a="1"/>
  <c r="V834" i="12" a="1"/>
  <c r="V830" i="12" a="1"/>
  <c r="V826" i="12" a="1"/>
  <c r="V822" i="12" a="1"/>
  <c r="V818" i="12" a="1"/>
  <c r="V814" i="12" a="1"/>
  <c r="V810" i="12" a="1"/>
  <c r="V806" i="12" a="1"/>
  <c r="V802" i="12" a="1"/>
  <c r="V798" i="12" a="1"/>
  <c r="V794" i="12" a="1"/>
  <c r="V790" i="12" a="1"/>
  <c r="V786" i="12" a="1"/>
  <c r="V782" i="12" a="1"/>
  <c r="V778" i="12" a="1"/>
  <c r="V774" i="12" a="1"/>
  <c r="V770" i="12" a="1"/>
  <c r="V766" i="12" a="1"/>
  <c r="V762" i="12" a="1"/>
  <c r="V758" i="12" a="1"/>
  <c r="V754" i="12" a="1"/>
  <c r="V750" i="12" a="1"/>
  <c r="V1333" i="12" a="1"/>
  <c r="V1317" i="12" a="1"/>
  <c r="V1301" i="12" a="1"/>
  <c r="V1216" i="12" a="1"/>
  <c r="V1200" i="12" a="1"/>
  <c r="V1184" i="12" a="1"/>
  <c r="V1168" i="12" a="1"/>
  <c r="V1152" i="12" a="1"/>
  <c r="V1136" i="12" a="1"/>
  <c r="V1124" i="12" a="1"/>
  <c r="V1116" i="12" a="1"/>
  <c r="V1108" i="12" a="1"/>
  <c r="V1100" i="12" a="1"/>
  <c r="V1092" i="12" a="1"/>
  <c r="V1084" i="12" a="1"/>
  <c r="V1076" i="12" a="1"/>
  <c r="V1068" i="12" a="1"/>
  <c r="V1060" i="12" a="1"/>
  <c r="W1052" i="12" a="1"/>
  <c r="W1044" i="12" a="1"/>
  <c r="V1036" i="12" a="1"/>
  <c r="V1028" i="12" a="1"/>
  <c r="V1020" i="12" a="1"/>
  <c r="U1015" i="12" a="1"/>
  <c r="W1001" i="12" a="1"/>
  <c r="U1465" i="12" a="1"/>
  <c r="X1456" i="12" a="1"/>
  <c r="X1444" i="12" a="1"/>
  <c r="X1436" i="12" a="1"/>
  <c r="W1431" i="12" a="1"/>
  <c r="U1425" i="12" a="1"/>
  <c r="X1420" i="12" a="1"/>
  <c r="W1415" i="12" a="1"/>
  <c r="U1409" i="12" a="1"/>
  <c r="X1404" i="12" a="1"/>
  <c r="W1399" i="12" a="1"/>
  <c r="U1393" i="12" a="1"/>
  <c r="X1388" i="12" a="1"/>
  <c r="W1383" i="12" a="1"/>
  <c r="U1377" i="12" a="1"/>
  <c r="X1372" i="12" a="1"/>
  <c r="W1367" i="12" a="1"/>
  <c r="U1361" i="12" a="1"/>
  <c r="X1356" i="12" a="1"/>
  <c r="W1351" i="12" a="1"/>
  <c r="U1345" i="12" a="1"/>
  <c r="X1340" i="12" a="1"/>
  <c r="W1335" i="12" a="1"/>
  <c r="U1329" i="12" a="1"/>
  <c r="X1324" i="12" a="1"/>
  <c r="W1319" i="12" a="1"/>
  <c r="U1313" i="12" a="1"/>
  <c r="X1308" i="12" a="1"/>
  <c r="W1303" i="12" a="1"/>
  <c r="V1297" i="12" a="1"/>
  <c r="V1292" i="12" a="1"/>
  <c r="V1287" i="12" a="1"/>
  <c r="V1281" i="12" a="1"/>
  <c r="V1276" i="12" a="1"/>
  <c r="V1271" i="12" a="1"/>
  <c r="V1265" i="12" a="1"/>
  <c r="V1260" i="12" a="1"/>
  <c r="V1255" i="12" a="1"/>
  <c r="V1249" i="12" a="1"/>
  <c r="V1244" i="12" a="1"/>
  <c r="V1239" i="12" a="1"/>
  <c r="V1233" i="12" a="1"/>
  <c r="U1228" i="12" a="1"/>
  <c r="X1223" i="12" a="1"/>
  <c r="V1217" i="12" a="1"/>
  <c r="U1212" i="12" a="1"/>
  <c r="U1208" i="12" a="1"/>
  <c r="U1204" i="12" a="1"/>
  <c r="U1200" i="12" a="1"/>
  <c r="U1196" i="12" a="1"/>
  <c r="U1192" i="12" a="1"/>
  <c r="U1188" i="12" a="1"/>
  <c r="U1184" i="12" a="1"/>
  <c r="U1180" i="12" a="1"/>
  <c r="U1176" i="12" a="1"/>
  <c r="U1172" i="12" a="1"/>
  <c r="U1168" i="12" a="1"/>
  <c r="U1164" i="12" a="1"/>
  <c r="U1160" i="12" a="1"/>
  <c r="U1156" i="12" a="1"/>
  <c r="U1152" i="12" a="1"/>
  <c r="U1148" i="12" a="1"/>
  <c r="U1144" i="12" a="1"/>
  <c r="U1140" i="12" a="1"/>
  <c r="U1136" i="12" a="1"/>
  <c r="U1132" i="12" a="1"/>
  <c r="U1128" i="12" a="1"/>
  <c r="U1124" i="12" a="1"/>
  <c r="U1120" i="12" a="1"/>
  <c r="U1116" i="12" a="1"/>
  <c r="U1112" i="12" a="1"/>
  <c r="U1108" i="12" a="1"/>
  <c r="U1104" i="12" a="1"/>
  <c r="U1100" i="12" a="1"/>
  <c r="U1096" i="12" a="1"/>
  <c r="U1092" i="12" a="1"/>
  <c r="U1088" i="12" a="1"/>
  <c r="U1084" i="12" a="1"/>
  <c r="U1080" i="12" a="1"/>
  <c r="U1076" i="12" a="1"/>
  <c r="U1072" i="12" a="1"/>
  <c r="U1068" i="12" a="1"/>
  <c r="U1064" i="12" a="1"/>
  <c r="U1060" i="12" a="1"/>
  <c r="U1040" i="12" a="1"/>
  <c r="U1036" i="12" a="1"/>
  <c r="U1032" i="12" a="1"/>
  <c r="U1028" i="12" a="1"/>
  <c r="U1020" i="12" a="1"/>
  <c r="U1016" i="12" a="1"/>
  <c r="V1012" i="12" a="1"/>
  <c r="U1008" i="12" a="1"/>
  <c r="W1003" i="12" a="1"/>
  <c r="V996" i="12" a="1"/>
  <c r="X993" i="12" a="1"/>
  <c r="W989" i="12" a="1"/>
  <c r="U984" i="12" a="1"/>
  <c r="V980" i="12" a="1"/>
  <c r="V974" i="12" a="1"/>
  <c r="X970" i="12" a="1"/>
  <c r="V967" i="12" a="1"/>
  <c r="X962" i="12" a="1"/>
  <c r="V959" i="12" a="1"/>
  <c r="X956" i="12" a="1"/>
  <c r="X951" i="12" a="1"/>
  <c r="W947" i="12" a="1"/>
  <c r="X943" i="12" a="1"/>
  <c r="U939" i="12" a="1"/>
  <c r="W936" i="12" a="1"/>
  <c r="W931" i="12" a="1"/>
  <c r="X927" i="12" a="1"/>
  <c r="U923" i="12" a="1"/>
  <c r="W920" i="12" a="1"/>
  <c r="W915" i="12" a="1"/>
  <c r="X911" i="12" a="1"/>
  <c r="U907" i="12" a="1"/>
  <c r="W904" i="12" a="1"/>
  <c r="W899" i="12" a="1"/>
  <c r="X895" i="12" a="1"/>
  <c r="U891" i="12" a="1"/>
  <c r="W888" i="12" a="1"/>
  <c r="W883" i="12" a="1"/>
  <c r="W879" i="12" a="1"/>
  <c r="W875" i="12" a="1"/>
  <c r="W871" i="12" a="1"/>
  <c r="W867" i="12" a="1"/>
  <c r="W863" i="12" a="1"/>
  <c r="W859" i="12" a="1"/>
  <c r="U855" i="12" a="1"/>
  <c r="U851" i="12" a="1"/>
  <c r="U847" i="12" a="1"/>
  <c r="U843" i="12" a="1"/>
  <c r="U839" i="12" a="1"/>
  <c r="U835" i="12" a="1"/>
  <c r="U831" i="12" a="1"/>
  <c r="U827" i="12" a="1"/>
  <c r="U823" i="12" a="1"/>
  <c r="U819" i="12" a="1"/>
  <c r="U815" i="12" a="1"/>
  <c r="U811" i="12" a="1"/>
  <c r="U807" i="12" a="1"/>
  <c r="U803" i="12" a="1"/>
  <c r="U799" i="12" a="1"/>
  <c r="U795" i="12" a="1"/>
  <c r="U791" i="12" a="1"/>
  <c r="U787" i="12" a="1"/>
  <c r="U783" i="12" a="1"/>
  <c r="U779" i="12" a="1"/>
  <c r="U775" i="12" a="1"/>
  <c r="U771" i="12" a="1"/>
  <c r="U767" i="12" a="1"/>
  <c r="U763" i="12" a="1"/>
  <c r="U759" i="12" a="1"/>
  <c r="U755" i="12" a="1"/>
  <c r="U751" i="12" a="1"/>
  <c r="U747" i="12" a="1"/>
  <c r="U743" i="12" a="1"/>
  <c r="U739" i="12" a="1"/>
  <c r="U735" i="12" a="1"/>
  <c r="U731" i="12" a="1"/>
  <c r="U727" i="12" a="1"/>
  <c r="U723" i="12" a="1"/>
  <c r="U719" i="12" a="1"/>
  <c r="U715" i="12" a="1"/>
  <c r="U711" i="12" a="1"/>
  <c r="U707" i="12" a="1"/>
  <c r="U703" i="12" a="1"/>
  <c r="U699" i="12" a="1"/>
  <c r="U695" i="12" a="1"/>
  <c r="U691" i="12" a="1"/>
  <c r="U687" i="12" a="1"/>
  <c r="U683" i="12" a="1"/>
  <c r="U679" i="12" a="1"/>
  <c r="U675" i="12" a="1"/>
  <c r="U671" i="12" a="1"/>
  <c r="U667" i="12" a="1"/>
  <c r="U663" i="12" a="1"/>
  <c r="U659" i="12" a="1"/>
  <c r="U655" i="12" a="1"/>
  <c r="U651" i="12" a="1"/>
  <c r="U647" i="12" a="1"/>
  <c r="U643" i="12" a="1"/>
  <c r="U639" i="12" a="1"/>
  <c r="U635" i="12" a="1"/>
  <c r="U631" i="12" a="1"/>
  <c r="U627" i="12" a="1"/>
  <c r="W623" i="12" a="1"/>
  <c r="X619" i="12" a="1"/>
  <c r="X616" i="12" a="1"/>
  <c r="V612" i="12" a="1"/>
  <c r="W607" i="12" a="1"/>
  <c r="X603" i="12" a="1"/>
  <c r="X600" i="12" a="1"/>
  <c r="X594" i="12" a="1"/>
  <c r="W589" i="12" a="1"/>
  <c r="U586" i="12" a="1"/>
  <c r="W580" i="12" a="1"/>
  <c r="U577" i="12" a="1"/>
  <c r="W571" i="12" a="1"/>
  <c r="X568" i="12" a="1"/>
  <c r="X562" i="12" a="1"/>
  <c r="X560" i="12" a="1"/>
  <c r="W555" i="12" a="1"/>
  <c r="V551" i="12" a="1"/>
  <c r="V547" i="12" a="1"/>
  <c r="X1022" i="12" a="1"/>
  <c r="V1005" i="12" a="1"/>
  <c r="V997" i="12" a="1"/>
  <c r="W993" i="12" a="1"/>
  <c r="X984" i="12" a="1"/>
  <c r="U980" i="12" a="1"/>
  <c r="X976" i="12" a="1"/>
  <c r="X974" i="12" a="1"/>
  <c r="X972" i="12" a="1"/>
  <c r="W969" i="12" a="1"/>
  <c r="U965" i="12" a="1"/>
  <c r="W962" i="12" a="1"/>
  <c r="X958" i="12" a="1"/>
  <c r="W952" i="12" a="1"/>
  <c r="V948" i="12" a="1"/>
  <c r="X944" i="12" a="1"/>
  <c r="X940" i="12" a="1"/>
  <c r="V936" i="12" a="1"/>
  <c r="W932" i="12" a="1"/>
  <c r="X928" i="12" a="1"/>
  <c r="X924" i="12" a="1"/>
  <c r="V920" i="12" a="1"/>
  <c r="W916" i="12" a="1"/>
  <c r="X912" i="12" a="1"/>
  <c r="X908" i="12" a="1"/>
  <c r="V904" i="12" a="1"/>
  <c r="W900" i="12" a="1"/>
  <c r="X896" i="12" a="1"/>
  <c r="X892" i="12" a="1"/>
  <c r="V888" i="12" a="1"/>
  <c r="W884" i="12" a="1"/>
  <c r="V880" i="12" a="1"/>
  <c r="V876" i="12" a="1"/>
  <c r="V872" i="12" a="1"/>
  <c r="V868" i="12" a="1"/>
  <c r="V864" i="12" a="1"/>
  <c r="V860" i="12" a="1"/>
  <c r="U856" i="12" a="1"/>
  <c r="U852" i="12" a="1"/>
  <c r="U848" i="12" a="1"/>
  <c r="U844" i="12" a="1"/>
  <c r="U840" i="12" a="1"/>
  <c r="U836" i="12" a="1"/>
  <c r="U832" i="12" a="1"/>
  <c r="U828" i="12" a="1"/>
  <c r="U824" i="12" a="1"/>
  <c r="U820" i="12" a="1"/>
  <c r="U816" i="12" a="1"/>
  <c r="U812" i="12" a="1"/>
  <c r="U808" i="12" a="1"/>
  <c r="U804" i="12" a="1"/>
  <c r="U800" i="12" a="1"/>
  <c r="U796" i="12" a="1"/>
  <c r="U792" i="12" a="1"/>
  <c r="U788" i="12" a="1"/>
  <c r="U784" i="12" a="1"/>
  <c r="U780" i="12" a="1"/>
  <c r="U776" i="12" a="1"/>
  <c r="U772" i="12" a="1"/>
  <c r="U768" i="12" a="1"/>
  <c r="U764" i="12" a="1"/>
  <c r="U760" i="12" a="1"/>
  <c r="U756" i="12" a="1"/>
  <c r="U752" i="12" a="1"/>
  <c r="U748" i="12" a="1"/>
  <c r="U744" i="12" a="1"/>
  <c r="U740" i="12" a="1"/>
  <c r="U736" i="12" a="1"/>
  <c r="U732" i="12" a="1"/>
  <c r="U728" i="12" a="1"/>
  <c r="U724" i="12" a="1"/>
  <c r="U720" i="12" a="1"/>
  <c r="U716" i="12" a="1"/>
  <c r="U712" i="12" a="1"/>
  <c r="U708" i="12" a="1"/>
  <c r="U704" i="12" a="1"/>
  <c r="U700" i="12" a="1"/>
  <c r="U696" i="12" a="1"/>
  <c r="U692" i="12" a="1"/>
  <c r="U688" i="12" a="1"/>
  <c r="U684" i="12" a="1"/>
  <c r="U680" i="12" a="1"/>
  <c r="U676" i="12" a="1"/>
  <c r="U672" i="12" a="1"/>
  <c r="U668" i="12" a="1"/>
  <c r="U664" i="12" a="1"/>
  <c r="U660" i="12" a="1"/>
  <c r="U656" i="12" a="1"/>
  <c r="U652" i="12" a="1"/>
  <c r="U648" i="12" a="1"/>
  <c r="U644" i="12" a="1"/>
  <c r="U640" i="12" a="1"/>
  <c r="U636" i="12" a="1"/>
  <c r="U632" i="12" a="1"/>
  <c r="U1026" i="12" a="1"/>
  <c r="U1011" i="12" a="1"/>
  <c r="U1007" i="12" a="1"/>
  <c r="U1001" i="12" a="1"/>
  <c r="W995" i="12" a="1"/>
  <c r="V990" i="12" a="1"/>
  <c r="X986" i="12" a="1"/>
  <c r="V983" i="12" a="1"/>
  <c r="X979" i="12" a="1"/>
  <c r="X977" i="12" a="1"/>
  <c r="W973" i="12" a="1"/>
  <c r="U968" i="12" a="1"/>
  <c r="W964" i="12" a="1"/>
  <c r="U960" i="12" a="1"/>
  <c r="W956" i="12" a="1"/>
  <c r="V952" i="12" a="1"/>
  <c r="U947" i="12" a="1"/>
  <c r="W944" i="12" a="1"/>
  <c r="W939" i="12" a="1"/>
  <c r="X935" i="12" a="1"/>
  <c r="U931" i="12" a="1"/>
  <c r="W928" i="12" a="1"/>
  <c r="W923" i="12" a="1"/>
  <c r="X919" i="12" a="1"/>
  <c r="U915" i="12" a="1"/>
  <c r="W912" i="12" a="1"/>
  <c r="W907" i="12" a="1"/>
  <c r="X903" i="12" a="1"/>
  <c r="U899" i="12" a="1"/>
  <c r="W896" i="12" a="1"/>
  <c r="W891" i="12" a="1"/>
  <c r="X887" i="12" a="1"/>
  <c r="U883" i="12" a="1"/>
  <c r="U881" i="12" a="1"/>
  <c r="U879" i="12" a="1"/>
  <c r="U877" i="12" a="1"/>
  <c r="U875" i="12" a="1"/>
  <c r="U873" i="12" a="1"/>
  <c r="U871" i="12" a="1"/>
  <c r="U869" i="12" a="1"/>
  <c r="U867" i="12" a="1"/>
  <c r="U865" i="12" a="1"/>
  <c r="U863" i="12" a="1"/>
  <c r="U861" i="12" a="1"/>
  <c r="U859" i="12" a="1"/>
  <c r="U857" i="12" a="1"/>
  <c r="U853" i="12" a="1"/>
  <c r="U849" i="12" a="1"/>
  <c r="U845" i="12" a="1"/>
  <c r="U841" i="12" a="1"/>
  <c r="U837" i="12" a="1"/>
  <c r="U833" i="12" a="1"/>
  <c r="U829" i="12" a="1"/>
  <c r="U825" i="12" a="1"/>
  <c r="U821" i="12" a="1"/>
  <c r="U817" i="12" a="1"/>
  <c r="U813" i="12" a="1"/>
  <c r="U809" i="12" a="1"/>
  <c r="U805" i="12" a="1"/>
  <c r="U801" i="12" a="1"/>
  <c r="U797" i="12" a="1"/>
  <c r="U793" i="12" a="1"/>
  <c r="U789" i="12" a="1"/>
  <c r="U785" i="12" a="1"/>
  <c r="U781" i="12" a="1"/>
  <c r="U777" i="12" a="1"/>
  <c r="U773" i="12" a="1"/>
  <c r="U769" i="12" a="1"/>
  <c r="U765" i="12" a="1"/>
  <c r="U761" i="12" a="1"/>
  <c r="U757" i="12" a="1"/>
  <c r="U753" i="12" a="1"/>
  <c r="U749" i="12" a="1"/>
  <c r="U745" i="12" a="1"/>
  <c r="U741" i="12" a="1"/>
  <c r="U737" i="12" a="1"/>
  <c r="U733" i="12" a="1"/>
  <c r="U729" i="12" a="1"/>
  <c r="U725" i="12" a="1"/>
  <c r="U721" i="12" a="1"/>
  <c r="U717" i="12" a="1"/>
  <c r="U713" i="12" a="1"/>
  <c r="U709" i="12" a="1"/>
  <c r="U705" i="12" a="1"/>
  <c r="U701" i="12" a="1"/>
  <c r="U697" i="12" a="1"/>
  <c r="U693" i="12" a="1"/>
  <c r="U689" i="12" a="1"/>
  <c r="U685" i="12" a="1"/>
  <c r="U681" i="12" a="1"/>
  <c r="U677" i="12" a="1"/>
  <c r="U673" i="12" a="1"/>
  <c r="U669" i="12" a="1"/>
  <c r="X1020" i="12" a="1"/>
  <c r="U1004" i="12" a="1"/>
  <c r="W996" i="12" a="1"/>
  <c r="X992" i="12" a="1"/>
  <c r="X990" i="12" a="1"/>
  <c r="X988" i="12" a="1"/>
  <c r="W985" i="12" a="1"/>
  <c r="X981" i="12" a="1"/>
  <c r="W977" i="12" a="1"/>
  <c r="X968" i="12" a="1"/>
  <c r="V964" i="12" a="1"/>
  <c r="W959" i="12" a="1"/>
  <c r="U955" i="12" a="1"/>
  <c r="U953" i="12" a="1"/>
  <c r="U949" i="12" a="1"/>
  <c r="W945" i="12" a="1"/>
  <c r="W941" i="12" a="1"/>
  <c r="U937" i="12" a="1"/>
  <c r="U933" i="12" a="1"/>
  <c r="W929" i="12" a="1"/>
  <c r="W925" i="12" a="1"/>
  <c r="U921" i="12" a="1"/>
  <c r="U917" i="12" a="1"/>
  <c r="W913" i="12" a="1"/>
  <c r="W909" i="12" a="1"/>
  <c r="U905" i="12" a="1"/>
  <c r="U901" i="12" a="1"/>
  <c r="W897" i="12" a="1"/>
  <c r="W893" i="12" a="1"/>
  <c r="U889" i="12" a="1"/>
  <c r="U885" i="12" a="1"/>
  <c r="W856" i="12" a="1"/>
  <c r="W852" i="12" a="1"/>
  <c r="W848" i="12" a="1"/>
  <c r="W844" i="12" a="1"/>
  <c r="W840" i="12" a="1"/>
  <c r="W836" i="12" a="1"/>
  <c r="W832" i="12" a="1"/>
  <c r="W828" i="12" a="1"/>
  <c r="W824" i="12" a="1"/>
  <c r="W820" i="12" a="1"/>
  <c r="W816" i="12" a="1"/>
  <c r="W812" i="12" a="1"/>
  <c r="W808" i="12" a="1"/>
  <c r="W804" i="12" a="1"/>
  <c r="W800" i="12" a="1"/>
  <c r="W796" i="12" a="1"/>
  <c r="W792" i="12" a="1"/>
  <c r="W788" i="12" a="1"/>
  <c r="W784" i="12" a="1"/>
  <c r="W780" i="12" a="1"/>
  <c r="W776" i="12" a="1"/>
  <c r="W772" i="12" a="1"/>
  <c r="W768" i="12" a="1"/>
  <c r="W764" i="12" a="1"/>
  <c r="W760" i="12" a="1"/>
  <c r="W756" i="12" a="1"/>
  <c r="W752" i="12" a="1"/>
  <c r="W748" i="12" a="1"/>
  <c r="W744" i="12" a="1"/>
  <c r="W740" i="12" a="1"/>
  <c r="W736" i="12" a="1"/>
  <c r="W732" i="12" a="1"/>
  <c r="W728" i="12" a="1"/>
  <c r="W724" i="12" a="1"/>
  <c r="W720" i="12" a="1"/>
  <c r="W716" i="12" a="1"/>
  <c r="W712" i="12" a="1"/>
  <c r="W708" i="12" a="1"/>
  <c r="W704" i="12" a="1"/>
  <c r="W700" i="12" a="1"/>
  <c r="W696" i="12" a="1"/>
  <c r="W692" i="12" a="1"/>
  <c r="W688" i="12" a="1"/>
  <c r="W684" i="12" a="1"/>
  <c r="W680" i="12" a="1"/>
  <c r="W676" i="12" a="1"/>
  <c r="V746" i="12" a="1"/>
  <c r="V730" i="12" a="1"/>
  <c r="V714" i="12" a="1"/>
  <c r="V698" i="12" a="1"/>
  <c r="V682" i="12" a="1"/>
  <c r="U1021" i="12" a="1"/>
  <c r="U991" i="12" a="1"/>
  <c r="W978" i="12" a="1"/>
  <c r="V956" i="12" a="1"/>
  <c r="X942" i="12" a="1"/>
  <c r="X926" i="12" a="1"/>
  <c r="X910" i="12" a="1"/>
  <c r="X894" i="12" a="1"/>
  <c r="X853" i="12" a="1"/>
  <c r="X837" i="12" a="1"/>
  <c r="X821" i="12" a="1"/>
  <c r="X805" i="12" a="1"/>
  <c r="X789" i="12" a="1"/>
  <c r="X773" i="12" a="1"/>
  <c r="X757" i="12" a="1"/>
  <c r="X741" i="12" a="1"/>
  <c r="X725" i="12" a="1"/>
  <c r="X709" i="12" a="1"/>
  <c r="X693" i="12" a="1"/>
  <c r="X677" i="12" a="1"/>
  <c r="W668" i="12" a="1"/>
  <c r="W660" i="12" a="1"/>
  <c r="W652" i="12" a="1"/>
  <c r="W644" i="12" a="1"/>
  <c r="W636" i="12" a="1"/>
  <c r="W628" i="12" a="1"/>
  <c r="U621" i="12" a="1"/>
  <c r="W612" i="12" a="1"/>
  <c r="U606" i="12" a="1"/>
  <c r="V601" i="12" a="1"/>
  <c r="X595" i="12" a="1"/>
  <c r="V591" i="12" a="1"/>
  <c r="U587" i="12" a="1"/>
  <c r="X581" i="12" a="1"/>
  <c r="V577" i="12" a="1"/>
  <c r="U572" i="12" a="1"/>
  <c r="V567" i="12" a="1"/>
  <c r="U563" i="12" a="1"/>
  <c r="W620" i="12" a="1"/>
  <c r="V603" i="12" a="1"/>
  <c r="V596" i="12" a="1"/>
  <c r="U584" i="12" a="1"/>
  <c r="V573" i="12" a="1"/>
  <c r="V564" i="12" a="1"/>
  <c r="X554" i="12" a="1"/>
  <c r="W546" i="12" a="1"/>
  <c r="V541" i="12" a="1"/>
  <c r="U534" i="12" a="1"/>
  <c r="V529" i="12" a="1"/>
  <c r="X524" i="12" a="1"/>
  <c r="U521" i="12" a="1"/>
  <c r="W514" i="12" a="1"/>
  <c r="V509" i="12" a="1"/>
  <c r="U502" i="12" a="1"/>
  <c r="V497" i="12" a="1"/>
  <c r="X492" i="12" a="1"/>
  <c r="U489" i="12" a="1"/>
  <c r="W482" i="12" a="1"/>
  <c r="V477" i="12" a="1"/>
  <c r="X470" i="12" a="1"/>
  <c r="V464" i="12" a="1"/>
  <c r="W459" i="12" a="1"/>
  <c r="X454" i="12" a="1"/>
  <c r="V448" i="12" a="1"/>
  <c r="W443" i="12" a="1"/>
  <c r="X438" i="12" a="1"/>
  <c r="V432" i="12" a="1"/>
  <c r="W427" i="12" a="1"/>
  <c r="X422" i="12" a="1"/>
  <c r="V416" i="12" a="1"/>
  <c r="U411" i="12" a="1"/>
  <c r="X406" i="12" a="1"/>
  <c r="U400" i="12" a="1"/>
  <c r="V395" i="12" a="1"/>
  <c r="X390" i="12" a="1"/>
  <c r="U384" i="12" a="1"/>
  <c r="W380" i="12" a="1"/>
  <c r="U376" i="12" a="1"/>
  <c r="W372" i="12" a="1"/>
  <c r="U368" i="12" a="1"/>
  <c r="W364" i="12" a="1"/>
  <c r="U360" i="12" a="1"/>
  <c r="V356" i="12" a="1"/>
  <c r="U353" i="12" a="1"/>
  <c r="V348" i="12" a="1"/>
  <c r="U345" i="12" a="1"/>
  <c r="V341" i="12" a="1"/>
  <c r="X338" i="12" a="1"/>
  <c r="V333" i="12" a="1"/>
  <c r="X330" i="12" a="1"/>
  <c r="V325" i="12" a="1"/>
  <c r="X322" i="12" a="1"/>
  <c r="V318" i="12" a="1"/>
  <c r="X314" i="12" a="1"/>
  <c r="V310" i="12" a="1"/>
  <c r="X306" i="12" a="1"/>
  <c r="V302" i="12" a="1"/>
  <c r="X298" i="12" a="1"/>
  <c r="V294" i="12" a="1"/>
  <c r="X290" i="12" a="1"/>
  <c r="V286" i="12" a="1"/>
  <c r="V282" i="12" a="1"/>
  <c r="W278" i="12" a="1"/>
  <c r="U275" i="12" a="1"/>
  <c r="V270" i="12" a="1"/>
  <c r="X266" i="12" a="1"/>
  <c r="U263" i="12" a="1"/>
  <c r="V259" i="12" a="1"/>
  <c r="V254" i="12" a="1"/>
  <c r="U251" i="12" a="1"/>
  <c r="V247" i="12" a="1"/>
  <c r="X243" i="12" a="1"/>
  <c r="V239" i="12" a="1"/>
  <c r="X235" i="12" a="1"/>
  <c r="V231" i="12" a="1"/>
  <c r="X227" i="12" a="1"/>
  <c r="X223" i="12" a="1"/>
  <c r="W220" i="12" a="1"/>
  <c r="V216" i="12" a="1"/>
  <c r="X211" i="12" a="1"/>
  <c r="W208" i="12" a="1"/>
  <c r="X203" i="12" a="1"/>
  <c r="W200" i="12" a="1"/>
  <c r="X195" i="12" a="1"/>
  <c r="V191" i="12" a="1"/>
  <c r="X187" i="12" a="1"/>
  <c r="V183" i="12" a="1"/>
  <c r="U179" i="12" a="1"/>
  <c r="V625" i="12" a="1"/>
  <c r="W616" i="12" a="1"/>
  <c r="V606" i="12" a="1"/>
  <c r="U598" i="12" a="1"/>
  <c r="U589" i="12" a="1"/>
  <c r="U582" i="12" a="1"/>
  <c r="U573" i="12" a="1"/>
  <c r="U566" i="12" a="1"/>
  <c r="U560" i="12" a="1"/>
  <c r="X555" i="12" a="1"/>
  <c r="X549" i="12" a="1"/>
  <c r="U543" i="12" a="1"/>
  <c r="U540" i="12" a="1"/>
  <c r="U536" i="12" a="1"/>
  <c r="X532" i="12" a="1"/>
  <c r="X529" i="12" a="1"/>
  <c r="W526" i="12" a="1"/>
  <c r="W521" i="12" a="1"/>
  <c r="V517" i="12" a="1"/>
  <c r="U511" i="12" a="1"/>
  <c r="U508" i="12" a="1"/>
  <c r="U504" i="12" a="1"/>
  <c r="X500" i="12" a="1"/>
  <c r="X497" i="12" a="1"/>
  <c r="W494" i="12" a="1"/>
  <c r="W489" i="12" a="1"/>
  <c r="V485" i="12" a="1"/>
  <c r="U479" i="12" a="1"/>
  <c r="U476" i="12" a="1"/>
  <c r="U472" i="12" a="1"/>
  <c r="V467" i="12" a="1"/>
  <c r="U464" i="12" a="1"/>
  <c r="V459" i="12" a="1"/>
  <c r="U456" i="12" a="1"/>
  <c r="V451" i="12" a="1"/>
  <c r="U448" i="12" a="1"/>
  <c r="V443" i="12" a="1"/>
  <c r="U440" i="12" a="1"/>
  <c r="V435" i="12" a="1"/>
  <c r="U432" i="12" a="1"/>
  <c r="V427" i="12" a="1"/>
  <c r="U424" i="12" a="1"/>
  <c r="U420" i="12" a="1"/>
  <c r="U416" i="12" a="1"/>
  <c r="U412" i="12" a="1"/>
  <c r="U408" i="12" a="1"/>
  <c r="V404" i="12" a="1"/>
  <c r="X400" i="12" a="1"/>
  <c r="V396" i="12" a="1"/>
  <c r="X392" i="12" a="1"/>
  <c r="V388" i="12" a="1"/>
  <c r="X384" i="12" a="1"/>
  <c r="V380" i="12" a="1"/>
  <c r="X376" i="12" a="1"/>
  <c r="V372" i="12" a="1"/>
  <c r="X368" i="12" a="1"/>
  <c r="V364" i="12" a="1"/>
  <c r="X360" i="12" a="1"/>
  <c r="U356" i="12" a="1"/>
  <c r="W353" i="12" a="1"/>
  <c r="U348" i="12" a="1"/>
  <c r="W345" i="12" a="1"/>
  <c r="X340" i="12" a="1"/>
  <c r="V335" i="12" a="1"/>
  <c r="X332" i="12" a="1"/>
  <c r="V327" i="12" a="1"/>
  <c r="X324" i="12" a="1"/>
  <c r="V320" i="12" a="1"/>
  <c r="X316" i="12" a="1"/>
  <c r="V312" i="12" a="1"/>
  <c r="X308" i="12" a="1"/>
  <c r="V304" i="12" a="1"/>
  <c r="X300" i="12" a="1"/>
  <c r="V296" i="12" a="1"/>
  <c r="X292" i="12" a="1"/>
  <c r="V288" i="12" a="1"/>
  <c r="U284" i="12" a="1"/>
  <c r="X280" i="12" a="1"/>
  <c r="X276" i="12" a="1"/>
  <c r="V271" i="12" a="1"/>
  <c r="X268" i="12" a="1"/>
  <c r="W264" i="12" a="1"/>
  <c r="U259" i="12" a="1"/>
  <c r="V255" i="12" a="1"/>
  <c r="X252" i="12" a="1"/>
  <c r="U247" i="12" a="1"/>
  <c r="W243" i="12" a="1"/>
  <c r="U239" i="12" a="1"/>
  <c r="W235" i="12" a="1"/>
  <c r="U231" i="12" a="1"/>
  <c r="W227" i="12" a="1"/>
  <c r="W223" i="12" a="1"/>
  <c r="U218" i="12" a="1"/>
  <c r="U214" i="12" a="1"/>
  <c r="W211" i="12" a="1"/>
  <c r="U206" i="12" a="1"/>
  <c r="W203" i="12" a="1"/>
  <c r="W667" i="12" a="1"/>
  <c r="W663" i="12" a="1"/>
  <c r="W659" i="12" a="1"/>
  <c r="W655" i="12" a="1"/>
  <c r="W651" i="12" a="1"/>
  <c r="W647" i="12" a="1"/>
  <c r="W643" i="12" a="1"/>
  <c r="W639" i="12" a="1"/>
  <c r="W635" i="12" a="1"/>
  <c r="W631" i="12" a="1"/>
  <c r="U625" i="12" a="1"/>
  <c r="U616" i="12" a="1"/>
  <c r="X611" i="12" a="1"/>
  <c r="W604" i="12" a="1"/>
  <c r="W594" i="12" a="1"/>
  <c r="V588" i="12" a="1"/>
  <c r="W578" i="12" a="1"/>
  <c r="V572" i="12" a="1"/>
  <c r="V559" i="12" a="1"/>
  <c r="V555" i="12" a="1"/>
  <c r="U551" i="12" a="1"/>
  <c r="V546" i="12" a="1"/>
  <c r="X542" i="12" a="1"/>
  <c r="X538" i="12" a="1"/>
  <c r="X536" i="12" a="1"/>
  <c r="W531" i="12" a="1"/>
  <c r="V527" i="12" a="1"/>
  <c r="V523" i="12" a="1"/>
  <c r="X517" i="12" a="1"/>
  <c r="V514" i="12" a="1"/>
  <c r="X510" i="12" a="1"/>
  <c r="X506" i="12" a="1"/>
  <c r="X504" i="12" a="1"/>
  <c r="W499" i="12" a="1"/>
  <c r="V495" i="12" a="1"/>
  <c r="V491" i="12" a="1"/>
  <c r="X485" i="12" a="1"/>
  <c r="V482" i="12" a="1"/>
  <c r="X478" i="12" a="1"/>
  <c r="X474" i="12" a="1"/>
  <c r="X472" i="12" a="1"/>
  <c r="V468" i="12" a="1"/>
  <c r="W464" i="12" a="1"/>
  <c r="V460" i="12" a="1"/>
  <c r="W456" i="12" a="1"/>
  <c r="V452" i="12" a="1"/>
  <c r="W448" i="12" a="1"/>
  <c r="V444" i="12" a="1"/>
  <c r="W440" i="12" a="1"/>
  <c r="V436" i="12" a="1"/>
  <c r="W432" i="12" a="1"/>
  <c r="V428" i="12" a="1"/>
  <c r="W424" i="12" a="1"/>
  <c r="X420" i="12" a="1"/>
  <c r="X416" i="12" a="1"/>
  <c r="X412" i="12" a="1"/>
  <c r="X408" i="12" a="1"/>
  <c r="U404" i="12" a="1"/>
  <c r="W400" i="12" a="1"/>
  <c r="U396" i="12" a="1"/>
  <c r="W392" i="12" a="1"/>
  <c r="U388" i="12" a="1"/>
  <c r="W384" i="12" a="1"/>
  <c r="U380" i="12" a="1"/>
  <c r="W376" i="12" a="1"/>
  <c r="U372" i="12" a="1"/>
  <c r="W368" i="12" a="1"/>
  <c r="U364" i="12" a="1"/>
  <c r="W360" i="12" a="1"/>
  <c r="X356" i="12" a="1"/>
  <c r="V351" i="12" a="1"/>
  <c r="X348" i="12" a="1"/>
  <c r="V343" i="12" a="1"/>
  <c r="V338" i="12" a="1"/>
  <c r="U335" i="12" a="1"/>
  <c r="V330" i="12" a="1"/>
  <c r="U327" i="12" a="1"/>
  <c r="V322" i="12" a="1"/>
  <c r="X318" i="12" a="1"/>
  <c r="V314" i="12" a="1"/>
  <c r="X310" i="12" a="1"/>
  <c r="V306" i="12" a="1"/>
  <c r="X302" i="12" a="1"/>
  <c r="V298" i="12" a="1"/>
  <c r="X294" i="12" a="1"/>
  <c r="V290" i="12" a="1"/>
  <c r="X286" i="12" a="1"/>
  <c r="X282" i="12" a="1"/>
  <c r="U278" i="12" a="1"/>
  <c r="V273" i="12" a="1"/>
  <c r="X270" i="12" a="1"/>
  <c r="V266" i="12" a="1"/>
  <c r="V261" i="12" a="1"/>
  <c r="X257" i="12" a="1"/>
  <c r="X254" i="12" a="1"/>
  <c r="V249" i="12" a="1"/>
  <c r="W245" i="12" a="1"/>
  <c r="U241" i="12" a="1"/>
  <c r="W237" i="12" a="1"/>
  <c r="X627" i="12" a="1"/>
  <c r="X617" i="12" a="1"/>
  <c r="X612" i="12" a="1"/>
  <c r="V604" i="12" a="1"/>
  <c r="U597" i="12" a="1"/>
  <c r="U590" i="12" a="1"/>
  <c r="U581" i="12" a="1"/>
  <c r="U574" i="12" a="1"/>
  <c r="U565" i="12" a="1"/>
  <c r="W560" i="12" a="1"/>
  <c r="U555" i="12" a="1"/>
  <c r="X550" i="12" a="1"/>
  <c r="X545" i="12" a="1"/>
  <c r="W542" i="12" a="1"/>
  <c r="W537" i="12" a="1"/>
  <c r="V533" i="12" a="1"/>
  <c r="U527" i="12" a="1"/>
  <c r="U524" i="12" a="1"/>
  <c r="U520" i="12" a="1"/>
  <c r="X516" i="12" a="1"/>
  <c r="X513" i="12" a="1"/>
  <c r="W510" i="12" a="1"/>
  <c r="W505" i="12" a="1"/>
  <c r="V501" i="12" a="1"/>
  <c r="U495" i="12" a="1"/>
  <c r="U492" i="12" a="1"/>
  <c r="U488" i="12" a="1"/>
  <c r="X484" i="12" a="1"/>
  <c r="X481" i="12" a="1"/>
  <c r="W478" i="12" a="1"/>
  <c r="W473" i="12" a="1"/>
  <c r="U469" i="12" a="1"/>
  <c r="W466" i="12" a="1"/>
  <c r="U461" i="12" a="1"/>
  <c r="W458" i="12" a="1"/>
  <c r="U453" i="12" a="1"/>
  <c r="W450" i="12" a="1"/>
  <c r="U445" i="12" a="1"/>
  <c r="W442" i="12" a="1"/>
  <c r="U437" i="12" a="1"/>
  <c r="W434" i="12" a="1"/>
  <c r="U429" i="12" a="1"/>
  <c r="W426" i="12" a="1"/>
  <c r="X421" i="12" a="1"/>
  <c r="X417" i="12" a="1"/>
  <c r="X413" i="12" a="1"/>
  <c r="X409" i="12" a="1"/>
  <c r="X405" i="12" a="1"/>
  <c r="V401" i="12" a="1"/>
  <c r="X397" i="12" a="1"/>
  <c r="V393" i="12" a="1"/>
  <c r="X389" i="12" a="1"/>
  <c r="V385" i="12" a="1"/>
  <c r="X381" i="12" a="1"/>
  <c r="V377" i="12" a="1"/>
  <c r="X373" i="12" a="1"/>
  <c r="V369" i="12" a="1"/>
  <c r="X365" i="12" a="1"/>
  <c r="V361" i="12" a="1"/>
  <c r="X357" i="12" a="1"/>
  <c r="U352" i="12" a="1"/>
  <c r="W349" i="12" a="1"/>
  <c r="U344" i="12" a="1"/>
  <c r="W341" i="12" a="1"/>
  <c r="X337" i="12" a="1"/>
  <c r="W334" i="12" a="1"/>
  <c r="X329" i="12" a="1"/>
  <c r="W326" i="12" a="1"/>
  <c r="X321" i="12" a="1"/>
  <c r="V317" i="12" a="1"/>
  <c r="X313" i="12" a="1"/>
  <c r="V309" i="12" a="1"/>
  <c r="X305" i="12" a="1"/>
  <c r="V301" i="12" a="1"/>
  <c r="X297" i="12" a="1"/>
  <c r="V293" i="12" a="1"/>
  <c r="X289" i="12" a="1"/>
  <c r="W285" i="12" a="1"/>
  <c r="V281" i="12" a="1"/>
  <c r="W277" i="12" a="1"/>
  <c r="X273" i="12" a="1"/>
  <c r="W270" i="12" a="1"/>
  <c r="U265" i="12" a="1"/>
  <c r="X261" i="12" a="1"/>
  <c r="W258" i="12" a="1"/>
  <c r="W254" i="12" a="1"/>
  <c r="X249" i="12" a="1"/>
  <c r="W246" i="12" a="1"/>
  <c r="U242" i="12" a="1"/>
  <c r="W238" i="12" a="1"/>
  <c r="U234" i="12" a="1"/>
  <c r="W230" i="12" a="1"/>
  <c r="U226" i="12" a="1"/>
  <c r="U222" i="12" a="1"/>
  <c r="W219" i="12" a="1"/>
  <c r="W215" i="12" a="1"/>
  <c r="U210" i="12" a="1"/>
  <c r="W207" i="12" a="1"/>
  <c r="U202" i="12" a="1"/>
  <c r="W199" i="12" a="1"/>
  <c r="U194" i="12" a="1"/>
  <c r="W190" i="12" a="1"/>
  <c r="U186" i="12" a="1"/>
  <c r="W182" i="12" a="1"/>
  <c r="V178" i="12" a="1"/>
  <c r="V234" i="12" a="1"/>
  <c r="X196" i="12" a="1"/>
  <c r="W186" i="12" a="1"/>
  <c r="X180" i="12" a="1"/>
  <c r="W173" i="12" a="1"/>
  <c r="W169" i="12" a="1"/>
  <c r="W165" i="12" a="1"/>
  <c r="W161" i="12" a="1"/>
  <c r="W157" i="12" a="1"/>
  <c r="W153" i="12" a="1"/>
  <c r="W149" i="12" a="1"/>
  <c r="W145" i="12" a="1"/>
  <c r="W141" i="12" a="1"/>
  <c r="W137" i="12" a="1"/>
  <c r="W133" i="12" a="1"/>
  <c r="W129" i="12" a="1"/>
  <c r="W125" i="12" a="1"/>
  <c r="W121" i="12" a="1"/>
  <c r="W117" i="12" a="1"/>
  <c r="W113" i="12" a="1"/>
  <c r="W109" i="12" a="1"/>
  <c r="W105" i="12" a="1"/>
  <c r="W101" i="12" a="1"/>
  <c r="W97" i="12" a="1"/>
  <c r="W93" i="12" a="1"/>
  <c r="W89" i="12" a="1"/>
  <c r="W85" i="12" a="1"/>
  <c r="W81" i="12" a="1"/>
  <c r="W77" i="12" a="1"/>
  <c r="W73" i="12" a="1"/>
  <c r="W69" i="12" a="1"/>
  <c r="W65" i="12" a="1"/>
  <c r="W61" i="12" a="1"/>
  <c r="W57" i="12" a="1"/>
  <c r="W53" i="12" a="1"/>
  <c r="W49" i="12" a="1"/>
  <c r="W45" i="12" a="1"/>
  <c r="W41" i="12" a="1"/>
  <c r="W37" i="12" a="1"/>
  <c r="W33" i="12" a="1"/>
  <c r="W29" i="12" a="1"/>
  <c r="W25" i="12" a="1"/>
  <c r="W21" i="12" a="1"/>
  <c r="W17" i="12" a="1"/>
  <c r="W13" i="12" a="1"/>
  <c r="W9" i="12" a="1"/>
  <c r="W5" i="12" a="1"/>
  <c r="B110" i="3" a="1"/>
  <c r="B90" i="3" a="1"/>
  <c r="B81" i="3" a="1"/>
  <c r="B58" i="3" a="1"/>
  <c r="B49" i="3" a="1"/>
  <c r="B39" i="3" a="1"/>
  <c r="B27" i="3" a="1"/>
  <c r="B13" i="3" a="1"/>
  <c r="V61" i="12" a="1"/>
  <c r="V50" i="12" a="1"/>
  <c r="V40" i="12" a="1"/>
  <c r="V29" i="12" a="1"/>
  <c r="V17" i="12" a="1"/>
  <c r="V6" i="12" a="1"/>
  <c r="B88" i="3" a="1"/>
  <c r="B60" i="3" a="1"/>
  <c r="B22" i="3" a="1"/>
  <c r="U17" i="12" a="1"/>
  <c r="B103" i="3" a="1"/>
  <c r="B68" i="3" a="1"/>
  <c r="B19" i="3" a="1"/>
  <c r="X231" i="12" a="1"/>
  <c r="V227" i="12" a="1"/>
  <c r="V222" i="12" a="1"/>
  <c r="X218" i="12" a="1"/>
  <c r="U199" i="12" a="1"/>
  <c r="V192" i="12" a="1"/>
  <c r="V185" i="12" a="1"/>
  <c r="X176" i="12" a="1"/>
  <c r="V172" i="12" a="1"/>
  <c r="V168" i="12" a="1"/>
  <c r="V164" i="12" a="1"/>
  <c r="V160" i="12" a="1"/>
  <c r="V156" i="12" a="1"/>
  <c r="V152" i="12" a="1"/>
  <c r="V148" i="12" a="1"/>
  <c r="V144" i="12" a="1"/>
  <c r="V140" i="12" a="1"/>
  <c r="V136" i="12" a="1"/>
  <c r="V132" i="12" a="1"/>
  <c r="V128" i="12" a="1"/>
  <c r="V124" i="12" a="1"/>
  <c r="V120" i="12" a="1"/>
  <c r="V116" i="12" a="1"/>
  <c r="V112" i="12" a="1"/>
  <c r="V108" i="12" a="1"/>
  <c r="V104" i="12" a="1"/>
  <c r="V100" i="12" a="1"/>
  <c r="V96" i="12" a="1"/>
  <c r="V92" i="12" a="1"/>
  <c r="V88" i="12" a="1"/>
  <c r="V84" i="12" a="1"/>
  <c r="V80" i="12" a="1"/>
  <c r="V72" i="12" a="1"/>
  <c r="V60" i="12" a="1"/>
  <c r="V45" i="12" a="1"/>
  <c r="V30" i="12" a="1"/>
  <c r="V15" i="12" a="1"/>
  <c r="B105" i="3" a="1"/>
  <c r="U21" i="12" a="1"/>
  <c r="U4" i="12" a="1"/>
  <c r="B53" i="3" a="1"/>
  <c r="W213" i="12" a="1"/>
  <c r="U208" i="12" a="1"/>
  <c r="V195" i="12" a="1"/>
  <c r="W189" i="12" a="1"/>
  <c r="V742" i="12" a="1"/>
  <c r="V726" i="12" a="1"/>
  <c r="V710" i="12" a="1"/>
  <c r="V694" i="12" a="1"/>
  <c r="V678" i="12" a="1"/>
  <c r="V1006" i="12" a="1"/>
  <c r="U989" i="12" a="1"/>
  <c r="U969" i="12" a="1"/>
  <c r="X953" i="12" a="1"/>
  <c r="V938" i="12" a="1"/>
  <c r="V922" i="12" a="1"/>
  <c r="V906" i="12" a="1"/>
  <c r="V890" i="12" a="1"/>
  <c r="X849" i="12" a="1"/>
  <c r="X833" i="12" a="1"/>
  <c r="X817" i="12" a="1"/>
  <c r="X801" i="12" a="1"/>
  <c r="X785" i="12" a="1"/>
  <c r="X769" i="12" a="1"/>
  <c r="X753" i="12" a="1"/>
  <c r="X737" i="12" a="1"/>
  <c r="X721" i="12" a="1"/>
  <c r="X705" i="12" a="1"/>
  <c r="X689" i="12" a="1"/>
  <c r="X673" i="12" a="1"/>
  <c r="X665" i="12" a="1"/>
  <c r="X657" i="12" a="1"/>
  <c r="X649" i="12" a="1"/>
  <c r="X641" i="12" a="1"/>
  <c r="X633" i="12" a="1"/>
  <c r="X625" i="12" a="1"/>
  <c r="V618" i="12" a="1"/>
  <c r="X609" i="12" a="1"/>
  <c r="U605" i="12" a="1"/>
  <c r="V599" i="12" a="1"/>
  <c r="U595" i="12" a="1"/>
  <c r="W590" i="12" a="1"/>
  <c r="V585" i="12" a="1"/>
  <c r="U580" i="12" a="1"/>
  <c r="V576" i="12" a="1"/>
  <c r="U571" i="12" a="1"/>
  <c r="W566" i="12" a="1"/>
  <c r="W627" i="12" a="1"/>
  <c r="W614" i="12" a="1"/>
  <c r="W602" i="12" a="1"/>
  <c r="W593" i="12" a="1"/>
  <c r="V582" i="12" a="1"/>
  <c r="W570" i="12" a="1"/>
  <c r="V560" i="12" a="1"/>
  <c r="X551" i="12" a="1"/>
  <c r="W545" i="12" a="1"/>
  <c r="V540" i="12" a="1"/>
  <c r="U533" i="12" a="1"/>
  <c r="U528" i="12" a="1"/>
  <c r="X523" i="12" a="1"/>
  <c r="W519" i="12" a="1"/>
  <c r="W513" i="12" a="1"/>
  <c r="V508" i="12" a="1"/>
  <c r="U501" i="12" a="1"/>
  <c r="U496" i="12" a="1"/>
  <c r="X491" i="12" a="1"/>
  <c r="W487" i="12" a="1"/>
  <c r="W481" i="12" a="1"/>
  <c r="V476" i="12" a="1"/>
  <c r="W468" i="12" a="1"/>
  <c r="U463" i="12" a="1"/>
  <c r="V458" i="12" a="1"/>
  <c r="W452" i="12" a="1"/>
  <c r="U447" i="12" a="1"/>
  <c r="V442" i="12" a="1"/>
  <c r="W436" i="12" a="1"/>
  <c r="U431" i="12" a="1"/>
  <c r="V426" i="12" a="1"/>
  <c r="V420" i="12" a="1"/>
  <c r="U415" i="12" a="1"/>
  <c r="X410" i="12" a="1"/>
  <c r="W404" i="12" a="1"/>
  <c r="X399" i="12" a="1"/>
  <c r="V394" i="12" a="1"/>
  <c r="W388" i="12" a="1"/>
  <c r="X383" i="12" a="1"/>
  <c r="V379" i="12" a="1"/>
  <c r="X375" i="12" a="1"/>
  <c r="V371" i="12" a="1"/>
  <c r="X367" i="12" a="1"/>
  <c r="V363" i="12" a="1"/>
  <c r="X359" i="12" a="1"/>
  <c r="V355" i="12" a="1"/>
  <c r="X352" i="12" a="1"/>
  <c r="V347" i="12" a="1"/>
  <c r="X344" i="12" a="1"/>
  <c r="U340" i="12" a="1"/>
  <c r="W337" i="12" a="1"/>
  <c r="U332" i="12" a="1"/>
  <c r="W329" i="12" a="1"/>
  <c r="U324" i="12" a="1"/>
  <c r="W321" i="12" a="1"/>
  <c r="U317" i="12" a="1"/>
  <c r="W313" i="12" a="1"/>
  <c r="U309" i="12" a="1"/>
  <c r="W305" i="12" a="1"/>
  <c r="U301" i="12" a="1"/>
  <c r="W297" i="12" a="1"/>
  <c r="U293" i="12" a="1"/>
  <c r="W289" i="12" a="1"/>
  <c r="V285" i="12" a="1"/>
  <c r="U281" i="12" a="1"/>
  <c r="V277" i="12" a="1"/>
  <c r="X274" i="12" a="1"/>
  <c r="V269" i="12" a="1"/>
  <c r="X265" i="12" a="1"/>
  <c r="X262" i="12" a="1"/>
  <c r="V258" i="12" a="1"/>
  <c r="V253" i="12" a="1"/>
  <c r="X250" i="12" a="1"/>
  <c r="V246" i="12" a="1"/>
  <c r="X242" i="12" a="1"/>
  <c r="V238" i="12" a="1"/>
  <c r="X234" i="12" a="1"/>
  <c r="V230" i="12" a="1"/>
  <c r="X226" i="12" a="1"/>
  <c r="U223" i="12" a="1"/>
  <c r="V219" i="12" a="1"/>
  <c r="V214" i="12" a="1"/>
  <c r="U211" i="12" a="1"/>
  <c r="V206" i="12" a="1"/>
  <c r="U203" i="12" a="1"/>
  <c r="V198" i="12" a="1"/>
  <c r="X194" i="12" a="1"/>
  <c r="V190" i="12" a="1"/>
  <c r="X186" i="12" a="1"/>
  <c r="V182" i="12" a="1"/>
  <c r="U178" i="12" a="1"/>
  <c r="U623" i="12" a="1"/>
  <c r="U614" i="12" a="1"/>
  <c r="W605" i="12" a="1"/>
  <c r="V595" i="12" a="1"/>
  <c r="X588" i="12" a="1"/>
  <c r="V579" i="12" a="1"/>
  <c r="X572" i="12" a="1"/>
  <c r="V563" i="12" a="1"/>
  <c r="X559" i="12" a="1"/>
  <c r="V553" i="12" a="1"/>
  <c r="X548" i="12" a="1"/>
  <c r="U542" i="12" a="1"/>
  <c r="U539" i="12" a="1"/>
  <c r="X535" i="12" a="1"/>
  <c r="X531" i="12" a="1"/>
  <c r="U529" i="12" a="1"/>
  <c r="W524" i="12" a="1"/>
  <c r="W520" i="12" a="1"/>
  <c r="V516" i="12" a="1"/>
  <c r="U510" i="12" a="1"/>
  <c r="U507" i="12" a="1"/>
  <c r="X503" i="12" a="1"/>
  <c r="X499" i="12" a="1"/>
  <c r="U497" i="12" a="1"/>
  <c r="W492" i="12" a="1"/>
  <c r="W488" i="12" a="1"/>
  <c r="V484" i="12" a="1"/>
  <c r="U478" i="12" a="1"/>
  <c r="U475" i="12" a="1"/>
  <c r="X471" i="12" a="1"/>
  <c r="U466" i="12" a="1"/>
  <c r="X463" i="12" a="1"/>
  <c r="U458" i="12" a="1"/>
  <c r="X455" i="12" a="1"/>
  <c r="U450" i="12" a="1"/>
  <c r="X447" i="12" a="1"/>
  <c r="U442" i="12" a="1"/>
  <c r="X439" i="12" a="1"/>
  <c r="U434" i="12" a="1"/>
  <c r="X431" i="12" a="1"/>
  <c r="U426" i="12" a="1"/>
  <c r="X423" i="12" a="1"/>
  <c r="X419" i="12" a="1"/>
  <c r="X415" i="12" a="1"/>
  <c r="X411" i="12" a="1"/>
  <c r="X407" i="12" a="1"/>
  <c r="U403" i="12" a="1"/>
  <c r="W399" i="12" a="1"/>
  <c r="U395" i="12" a="1"/>
  <c r="W391" i="12" a="1"/>
  <c r="U387" i="12" a="1"/>
  <c r="W383" i="12" a="1"/>
  <c r="U379" i="12" a="1"/>
  <c r="W375" i="12" a="1"/>
  <c r="U371" i="12" a="1"/>
  <c r="W367" i="12" a="1"/>
  <c r="U363" i="12" a="1"/>
  <c r="W359" i="12" a="1"/>
  <c r="X355" i="12" a="1"/>
  <c r="W352" i="12" a="1"/>
  <c r="X347" i="12" a="1"/>
  <c r="W344" i="12" a="1"/>
  <c r="W339" i="12" a="1"/>
  <c r="U334" i="12" a="1"/>
  <c r="W331" i="12" a="1"/>
  <c r="U326" i="12" a="1"/>
  <c r="W323" i="12" a="1"/>
  <c r="U319" i="12" a="1"/>
  <c r="W315" i="12" a="1"/>
  <c r="U311" i="12" a="1"/>
  <c r="W307" i="12" a="1"/>
  <c r="U303" i="12" a="1"/>
  <c r="W299" i="12" a="1"/>
  <c r="U295" i="12" a="1"/>
  <c r="W291" i="12" a="1"/>
  <c r="U287" i="12" a="1"/>
  <c r="U283" i="12" a="1"/>
  <c r="W279" i="12" a="1"/>
  <c r="W275" i="12" a="1"/>
  <c r="U270" i="12" a="1"/>
  <c r="W267" i="12" a="1"/>
  <c r="W263" i="12" a="1"/>
  <c r="U258" i="12" a="1"/>
  <c r="U254" i="12" a="1"/>
  <c r="W251" i="12" a="1"/>
  <c r="U246" i="12" a="1"/>
  <c r="W242" i="12" a="1"/>
  <c r="U238" i="12" a="1"/>
  <c r="W234" i="12" a="1"/>
  <c r="U230" i="12" a="1"/>
  <c r="W226" i="12" a="1"/>
  <c r="W222" i="12" a="1"/>
  <c r="U217" i="12" a="1"/>
  <c r="X213" i="12" a="1"/>
  <c r="W210" i="12" a="1"/>
  <c r="X205" i="12" a="1"/>
  <c r="W202" i="12" a="1"/>
  <c r="V666" i="12" a="1"/>
  <c r="V662" i="12" a="1"/>
  <c r="V658" i="12" a="1"/>
  <c r="V654" i="12" a="1"/>
  <c r="V650" i="12" a="1"/>
  <c r="V646" i="12" a="1"/>
  <c r="V642" i="12" a="1"/>
  <c r="V638" i="12" a="1"/>
  <c r="V634" i="12" a="1"/>
  <c r="V630" i="12" a="1"/>
  <c r="X624" i="12" a="1"/>
  <c r="X615" i="12" a="1"/>
  <c r="U610" i="12" a="1"/>
  <c r="W601" i="12" a="1"/>
  <c r="U592" i="12" a="1"/>
  <c r="W585" i="12" a="1"/>
  <c r="U576" i="12" a="1"/>
  <c r="W569" i="12" a="1"/>
  <c r="U558" i="12" a="1"/>
  <c r="V554" i="12" a="1"/>
  <c r="W549" i="12" a="1"/>
  <c r="V545" i="12" a="1"/>
  <c r="W541" i="12" a="1"/>
  <c r="U538" i="12" a="1"/>
  <c r="W535" i="12" a="1"/>
  <c r="W530" i="12" a="1"/>
  <c r="V526" i="12" a="1"/>
  <c r="V520" i="12" a="1"/>
  <c r="U517" i="12" a="1"/>
  <c r="V513" i="12" a="1"/>
  <c r="W509" i="12" a="1"/>
  <c r="U506" i="12" a="1"/>
  <c r="W503" i="12" a="1"/>
  <c r="W498" i="12" a="1"/>
  <c r="V494" i="12" a="1"/>
  <c r="V488" i="12" a="1"/>
  <c r="U485" i="12" a="1"/>
  <c r="V481" i="12" a="1"/>
  <c r="W477" i="12" a="1"/>
  <c r="U474" i="12" a="1"/>
  <c r="W471" i="12" a="1"/>
  <c r="U467" i="12" a="1"/>
  <c r="W463" i="12" a="1"/>
  <c r="U459" i="12" a="1"/>
  <c r="W455" i="12" a="1"/>
  <c r="U451" i="12" a="1"/>
  <c r="W447" i="12" a="1"/>
  <c r="U443" i="12" a="1"/>
  <c r="W439" i="12" a="1"/>
  <c r="U435" i="12" a="1"/>
  <c r="W431" i="12" a="1"/>
  <c r="U427" i="12" a="1"/>
  <c r="W423" i="12" a="1"/>
  <c r="W419" i="12" a="1"/>
  <c r="W415" i="12" a="1"/>
  <c r="W411" i="12" a="1"/>
  <c r="W407" i="12" a="1"/>
  <c r="X403" i="12" a="1"/>
  <c r="V399" i="12" a="1"/>
  <c r="X395" i="12" a="1"/>
  <c r="V391" i="12" a="1"/>
  <c r="X387" i="12" a="1"/>
  <c r="V383" i="12" a="1"/>
  <c r="X379" i="12" a="1"/>
  <c r="V375" i="12" a="1"/>
  <c r="X371" i="12" a="1"/>
  <c r="V367" i="12" a="1"/>
  <c r="X363" i="12" a="1"/>
  <c r="V359" i="12" a="1"/>
  <c r="W355" i="12" a="1"/>
  <c r="U350" i="12" a="1"/>
  <c r="W347" i="12" a="1"/>
  <c r="U342" i="12" a="1"/>
  <c r="V337" i="12" a="1"/>
  <c r="X334" i="12" a="1"/>
  <c r="V329" i="12" a="1"/>
  <c r="X326" i="12" a="1"/>
  <c r="U321" i="12" a="1"/>
  <c r="W317" i="12" a="1"/>
  <c r="U313" i="12" a="1"/>
  <c r="W309" i="12" a="1"/>
  <c r="U305" i="12" a="1"/>
  <c r="W301" i="12" a="1"/>
  <c r="U297" i="12" a="1"/>
  <c r="W293" i="12" a="1"/>
  <c r="U289" i="12" a="1"/>
  <c r="X285" i="12" a="1"/>
  <c r="W281" i="12" a="1"/>
  <c r="X277" i="12" a="1"/>
  <c r="U272" i="12" a="1"/>
  <c r="W269" i="12" a="1"/>
  <c r="V265" i="12" a="1"/>
  <c r="U260" i="12" a="1"/>
  <c r="X256" i="12" a="1"/>
  <c r="W253" i="12" a="1"/>
  <c r="U248" i="12" a="1"/>
  <c r="W244" i="12" a="1"/>
  <c r="U240" i="12" a="1"/>
  <c r="W236" i="12" a="1"/>
  <c r="V624" i="12" a="1"/>
  <c r="W615" i="12" a="1"/>
  <c r="U611" i="12" a="1"/>
  <c r="W603" i="12" a="1"/>
  <c r="X596" i="12" a="1"/>
  <c r="V587" i="12" a="1"/>
  <c r="X580" i="12" a="1"/>
  <c r="V571" i="12" a="1"/>
  <c r="X564" i="12" a="1"/>
  <c r="U559" i="12" a="1"/>
  <c r="U554" i="12" a="1"/>
  <c r="U548" i="12" a="1"/>
  <c r="U545" i="12" a="1"/>
  <c r="W540" i="12" a="1"/>
  <c r="W536" i="12" a="1"/>
  <c r="V532" i="12" a="1"/>
  <c r="U526" i="12" a="1"/>
  <c r="U523" i="12" a="1"/>
  <c r="X519" i="12" a="1"/>
  <c r="X515" i="12" a="1"/>
  <c r="U513" i="12" a="1"/>
  <c r="W508" i="12" a="1"/>
  <c r="W504" i="12" a="1"/>
  <c r="V500" i="12" a="1"/>
  <c r="U494" i="12" a="1"/>
  <c r="U491" i="12" a="1"/>
  <c r="X487" i="12" a="1"/>
  <c r="X483" i="12" a="1"/>
  <c r="U481" i="12" a="1"/>
  <c r="W476" i="12" a="1"/>
  <c r="W472" i="12" a="1"/>
  <c r="X468" i="12" a="1"/>
  <c r="W465" i="12" a="1"/>
  <c r="X460" i="12" a="1"/>
  <c r="W457" i="12" a="1"/>
  <c r="X452" i="12" a="1"/>
  <c r="W449" i="12" a="1"/>
  <c r="X444" i="12" a="1"/>
  <c r="W441" i="12" a="1"/>
  <c r="X436" i="12" a="1"/>
  <c r="W433" i="12" a="1"/>
  <c r="X428" i="12" a="1"/>
  <c r="W425" i="12" a="1"/>
  <c r="W420" i="12" a="1"/>
  <c r="W416" i="12" a="1"/>
  <c r="W412" i="12" a="1"/>
  <c r="W408" i="12" a="1"/>
  <c r="X404" i="12" a="1"/>
  <c r="V400" i="12" a="1"/>
  <c r="X396" i="12" a="1"/>
  <c r="V392" i="12" a="1"/>
  <c r="X388" i="12" a="1"/>
  <c r="V384" i="12" a="1"/>
  <c r="X380" i="12" a="1"/>
  <c r="V376" i="12" a="1"/>
  <c r="X372" i="12" a="1"/>
  <c r="V368" i="12" a="1"/>
  <c r="X364" i="12" a="1"/>
  <c r="V360" i="12" a="1"/>
  <c r="W356" i="12" a="1"/>
  <c r="X351" i="12" a="1"/>
  <c r="W348" i="12" a="1"/>
  <c r="X343" i="12" a="1"/>
  <c r="V340" i="12" a="1"/>
  <c r="U337" i="12" a="1"/>
  <c r="V332" i="12" a="1"/>
  <c r="U329" i="12" a="1"/>
  <c r="V324" i="12" a="1"/>
  <c r="X320" i="12" a="1"/>
  <c r="V316" i="12" a="1"/>
  <c r="X312" i="12" a="1"/>
  <c r="V308" i="12" a="1"/>
  <c r="X304" i="12" a="1"/>
  <c r="V300" i="12" a="1"/>
  <c r="X296" i="12" a="1"/>
  <c r="V292" i="12" a="1"/>
  <c r="X288" i="12" a="1"/>
  <c r="W284" i="12" a="1"/>
  <c r="V280" i="12" a="1"/>
  <c r="V276" i="12" a="1"/>
  <c r="U273" i="12" a="1"/>
  <c r="V268" i="12" a="1"/>
  <c r="U264" i="12" a="1"/>
  <c r="U261" i="12" a="1"/>
  <c r="W257" i="12" a="1"/>
  <c r="V252" i="12" a="1"/>
  <c r="U249" i="12" a="1"/>
  <c r="V245" i="12" a="1"/>
  <c r="X241" i="12" a="1"/>
  <c r="V237" i="12" a="1"/>
  <c r="X233" i="12" a="1"/>
  <c r="V229" i="12" a="1"/>
  <c r="U225" i="12" a="1"/>
  <c r="X221" i="12" a="1"/>
  <c r="W218" i="12" a="1"/>
  <c r="W214" i="12" a="1"/>
  <c r="X209" i="12" a="1"/>
  <c r="W206" i="12" a="1"/>
  <c r="X201" i="12" a="1"/>
  <c r="W198" i="12" a="1"/>
  <c r="X193" i="12" a="1"/>
  <c r="V189" i="12" a="1"/>
  <c r="X185" i="12" a="1"/>
  <c r="V181" i="12" a="1"/>
  <c r="V177" i="12" a="1"/>
  <c r="U233" i="12" a="1"/>
  <c r="U193" i="12" a="1"/>
  <c r="U184" i="12" a="1"/>
  <c r="W177" i="12" a="1"/>
  <c r="W172" i="12" a="1"/>
  <c r="W168" i="12" a="1"/>
  <c r="W164" i="12" a="1"/>
  <c r="W160" i="12" a="1"/>
  <c r="W156" i="12" a="1"/>
  <c r="W152" i="12" a="1"/>
  <c r="W148" i="12" a="1"/>
  <c r="W144" i="12" a="1"/>
  <c r="W140" i="12" a="1"/>
  <c r="W136" i="12" a="1"/>
  <c r="W132" i="12" a="1"/>
  <c r="W128" i="12" a="1"/>
  <c r="W124" i="12" a="1"/>
  <c r="W120" i="12" a="1"/>
  <c r="W116" i="12" a="1"/>
  <c r="W112" i="12" a="1"/>
  <c r="W108" i="12" a="1"/>
  <c r="W104" i="12" a="1"/>
  <c r="W100" i="12" a="1"/>
  <c r="W96" i="12" a="1"/>
  <c r="W92" i="12" a="1"/>
  <c r="W88" i="12" a="1"/>
  <c r="W84" i="12" a="1"/>
  <c r="W80" i="12" a="1"/>
  <c r="W76" i="12" a="1"/>
  <c r="W72" i="12" a="1"/>
  <c r="W68" i="12" a="1"/>
  <c r="W64" i="12" a="1"/>
  <c r="W60" i="12" a="1"/>
  <c r="W56" i="12" a="1"/>
  <c r="W52" i="12" a="1"/>
  <c r="W48" i="12" a="1"/>
  <c r="W44" i="12" a="1"/>
  <c r="W40" i="12" a="1"/>
  <c r="W36" i="12" a="1"/>
  <c r="W32" i="12" a="1"/>
  <c r="W28" i="12" a="1"/>
  <c r="W24" i="12" a="1"/>
  <c r="W20" i="12" a="1"/>
  <c r="W16" i="12" a="1"/>
  <c r="W12" i="12" a="1"/>
  <c r="W8" i="12" a="1"/>
  <c r="W4" i="12" a="1"/>
  <c r="B109" i="3" a="1"/>
  <c r="B87" i="3" a="1"/>
  <c r="B80" i="3" a="1"/>
  <c r="B55" i="3" a="1"/>
  <c r="B48" i="3" a="1"/>
  <c r="B37" i="3" a="1"/>
  <c r="B24" i="3" a="1"/>
  <c r="V78" i="12" a="1"/>
  <c r="V58" i="12" a="1"/>
  <c r="V47" i="12" a="1"/>
  <c r="V36" i="12" a="1"/>
  <c r="V25" i="12" a="1"/>
  <c r="V14" i="12" a="1"/>
  <c r="V4" i="12" a="1"/>
  <c r="B77" i="3" a="1"/>
  <c r="B57" i="3" a="1"/>
  <c r="U27" i="12" a="1"/>
  <c r="U13" i="12" a="1"/>
  <c r="B100" i="3" a="1"/>
  <c r="B64" i="3" a="1"/>
  <c r="B14" i="3" a="1"/>
  <c r="X230" i="12" a="1"/>
  <c r="V226" i="12" a="1"/>
  <c r="V221" i="12" a="1"/>
  <c r="V738" i="12" a="1"/>
  <c r="V722" i="12" a="1"/>
  <c r="V706" i="12" a="1"/>
  <c r="V690" i="12" a="1"/>
  <c r="V674" i="12" a="1"/>
  <c r="X999" i="12" a="1"/>
  <c r="W986" i="12" a="1"/>
  <c r="W965" i="12" a="1"/>
  <c r="X950" i="12" a="1"/>
  <c r="V934" i="12" a="1"/>
  <c r="V918" i="12" a="1"/>
  <c r="V902" i="12" a="1"/>
  <c r="V886" i="12" a="1"/>
  <c r="X845" i="12" a="1"/>
  <c r="X829" i="12" a="1"/>
  <c r="X813" i="12" a="1"/>
  <c r="X797" i="12" a="1"/>
  <c r="X781" i="12" a="1"/>
  <c r="X765" i="12" a="1"/>
  <c r="X749" i="12" a="1"/>
  <c r="X733" i="12" a="1"/>
  <c r="X717" i="12" a="1"/>
  <c r="X701" i="12" a="1"/>
  <c r="X685" i="12" a="1"/>
  <c r="W672" i="12" a="1"/>
  <c r="W664" i="12" a="1"/>
  <c r="W656" i="12" a="1"/>
  <c r="W648" i="12" a="1"/>
  <c r="W640" i="12" a="1"/>
  <c r="W632" i="12" a="1"/>
  <c r="U624" i="12" a="1"/>
  <c r="V617" i="12" a="1"/>
  <c r="U608" i="12" a="1"/>
  <c r="U603" i="12" a="1"/>
  <c r="W598" i="12" a="1"/>
  <c r="V594" i="12" a="1"/>
  <c r="U588" i="12" a="1"/>
  <c r="V584" i="12" a="1"/>
  <c r="X579" i="12" a="1"/>
  <c r="W574" i="12" a="1"/>
  <c r="V570" i="12" a="1"/>
  <c r="X565" i="12" a="1"/>
  <c r="V623" i="12" a="1"/>
  <c r="X610" i="12" a="1"/>
  <c r="U600" i="12" a="1"/>
  <c r="V589" i="12" a="1"/>
  <c r="V580" i="12" a="1"/>
  <c r="U568" i="12" a="1"/>
  <c r="V557" i="12" a="1"/>
  <c r="W550" i="12" a="1"/>
  <c r="W544" i="12" a="1"/>
  <c r="V536" i="12" a="1"/>
  <c r="U532" i="12" a="1"/>
  <c r="X527" i="12" a="1"/>
  <c r="U522" i="12" a="1"/>
  <c r="W518" i="12" a="1"/>
  <c r="W512" i="12" a="1"/>
  <c r="V504" i="12" a="1"/>
  <c r="U500" i="12" a="1"/>
  <c r="X495" i="12" a="1"/>
  <c r="U490" i="12" a="1"/>
  <c r="W486" i="12" a="1"/>
  <c r="W480" i="12" a="1"/>
  <c r="V472" i="12" a="1"/>
  <c r="W467" i="12" a="1"/>
  <c r="X462" i="12" a="1"/>
  <c r="V456" i="12" a="1"/>
  <c r="W451" i="12" a="1"/>
  <c r="X446" i="12" a="1"/>
  <c r="V440" i="12" a="1"/>
  <c r="W435" i="12" a="1"/>
  <c r="X430" i="12" a="1"/>
  <c r="V424" i="12" a="1"/>
  <c r="U419" i="12" a="1"/>
  <c r="X414" i="12" a="1"/>
  <c r="V408" i="12" a="1"/>
  <c r="V403" i="12" a="1"/>
  <c r="X398" i="12" a="1"/>
  <c r="U392" i="12" a="1"/>
  <c r="V387" i="12" a="1"/>
  <c r="X382" i="12" a="1"/>
  <c r="V378" i="12" a="1"/>
  <c r="X374" i="12" a="1"/>
  <c r="V370" i="12" a="1"/>
  <c r="X366" i="12" a="1"/>
  <c r="V362" i="12" a="1"/>
  <c r="X358" i="12" a="1"/>
  <c r="U354" i="12" a="1"/>
  <c r="W351" i="12" a="1"/>
  <c r="U346" i="12" a="1"/>
  <c r="W343" i="12" a="1"/>
  <c r="X339" i="12" a="1"/>
  <c r="W336" i="12" a="1"/>
  <c r="X331" i="12" a="1"/>
  <c r="W328" i="12" a="1"/>
  <c r="X323" i="12" a="1"/>
  <c r="W320" i="12" a="1"/>
  <c r="U316" i="12" a="1"/>
  <c r="W312" i="12" a="1"/>
  <c r="U308" i="12" a="1"/>
  <c r="W304" i="12" a="1"/>
  <c r="U300" i="12" a="1"/>
  <c r="W296" i="12" a="1"/>
  <c r="U292" i="12" a="1"/>
  <c r="W288" i="12" a="1"/>
  <c r="V284" i="12" a="1"/>
  <c r="U280" i="12" a="1"/>
  <c r="U276" i="12" a="1"/>
  <c r="W273" i="12" a="1"/>
  <c r="U268" i="12" a="1"/>
  <c r="X264" i="12" a="1"/>
  <c r="W261" i="12" a="1"/>
  <c r="V257" i="12" a="1"/>
  <c r="U252" i="12" a="1"/>
  <c r="W249" i="12" a="1"/>
  <c r="U245" i="12" a="1"/>
  <c r="W241" i="12" a="1"/>
  <c r="U237" i="12" a="1"/>
  <c r="W233" i="12" a="1"/>
  <c r="U229" i="12" a="1"/>
  <c r="X225" i="12" a="1"/>
  <c r="X222" i="12" a="1"/>
  <c r="V218" i="12" a="1"/>
  <c r="V213" i="12" a="1"/>
  <c r="X210" i="12" a="1"/>
  <c r="V205" i="12" a="1"/>
  <c r="X202" i="12" a="1"/>
  <c r="V197" i="12" a="1"/>
  <c r="W193" i="12" a="1"/>
  <c r="U189" i="12" a="1"/>
  <c r="W185" i="12" a="1"/>
  <c r="U181" i="12" a="1"/>
  <c r="U177" i="12" a="1"/>
  <c r="V620" i="12" a="1"/>
  <c r="V610" i="12" a="1"/>
  <c r="X601" i="12" a="1"/>
  <c r="W592" i="12" a="1"/>
  <c r="X585" i="12" a="1"/>
  <c r="W576" i="12" a="1"/>
  <c r="X569" i="12" a="1"/>
  <c r="V562" i="12" a="1"/>
  <c r="V558" i="12" a="1"/>
  <c r="W551" i="12" a="1"/>
  <c r="W547" i="12" a="1"/>
  <c r="X541" i="12" a="1"/>
  <c r="V538" i="12" a="1"/>
  <c r="X534" i="12" a="1"/>
  <c r="X530" i="12" a="1"/>
  <c r="X528" i="12" a="1"/>
  <c r="W523" i="12" a="1"/>
  <c r="V519" i="12" a="1"/>
  <c r="V515" i="12" a="1"/>
  <c r="X509" i="12" a="1"/>
  <c r="V506" i="12" a="1"/>
  <c r="X502" i="12" a="1"/>
  <c r="X498" i="12" a="1"/>
  <c r="X496" i="12" a="1"/>
  <c r="W491" i="12" a="1"/>
  <c r="V487" i="12" a="1"/>
  <c r="V483" i="12" a="1"/>
  <c r="X477" i="12" a="1"/>
  <c r="V474" i="12" a="1"/>
  <c r="W470" i="12" a="1"/>
  <c r="U465" i="12" a="1"/>
  <c r="W462" i="12" a="1"/>
  <c r="U457" i="12" a="1"/>
  <c r="W454" i="12" a="1"/>
  <c r="U449" i="12" a="1"/>
  <c r="W446" i="12" a="1"/>
  <c r="U441" i="12" a="1"/>
  <c r="W438" i="12" a="1"/>
  <c r="U433" i="12" a="1"/>
  <c r="W430" i="12" a="1"/>
  <c r="U425" i="12" a="1"/>
  <c r="W422" i="12" a="1"/>
  <c r="W418" i="12" a="1"/>
  <c r="W414" i="12" a="1"/>
  <c r="W410" i="12" a="1"/>
  <c r="W406" i="12" a="1"/>
  <c r="U402" i="12" a="1"/>
  <c r="W398" i="12" a="1"/>
  <c r="U394" i="12" a="1"/>
  <c r="W390" i="12" a="1"/>
  <c r="U386" i="12" a="1"/>
  <c r="W382" i="12" a="1"/>
  <c r="U378" i="12" a="1"/>
  <c r="W374" i="12" a="1"/>
  <c r="U370" i="12" a="1"/>
  <c r="W366" i="12" a="1"/>
  <c r="U362" i="12" a="1"/>
  <c r="W358" i="12" a="1"/>
  <c r="U355" i="12" a="1"/>
  <c r="V350" i="12" a="1"/>
  <c r="U347" i="12" a="1"/>
  <c r="V342" i="12" a="1"/>
  <c r="W338" i="12" a="1"/>
  <c r="X333" i="12" a="1"/>
  <c r="W330" i="12" a="1"/>
  <c r="X325" i="12" a="1"/>
  <c r="W322" i="12" a="1"/>
  <c r="U318" i="12" a="1"/>
  <c r="W314" i="12" a="1"/>
  <c r="U310" i="12" a="1"/>
  <c r="W306" i="12" a="1"/>
  <c r="U302" i="12" a="1"/>
  <c r="W298" i="12" a="1"/>
  <c r="U294" i="12" a="1"/>
  <c r="W290" i="12" a="1"/>
  <c r="U286" i="12" a="1"/>
  <c r="U282" i="12" a="1"/>
  <c r="V278" i="12" a="1"/>
  <c r="W274" i="12" a="1"/>
  <c r="X269" i="12" a="1"/>
  <c r="W266" i="12" a="1"/>
  <c r="W262" i="12" a="1"/>
  <c r="U257" i="12" a="1"/>
  <c r="X253" i="12" a="1"/>
  <c r="W250" i="12" a="1"/>
  <c r="X245" i="12" a="1"/>
  <c r="V241" i="12" a="1"/>
  <c r="X237" i="12" a="1"/>
  <c r="V233" i="12" a="1"/>
  <c r="X229" i="12" a="1"/>
  <c r="W225" i="12" a="1"/>
  <c r="V220" i="12" a="1"/>
  <c r="U216" i="12" a="1"/>
  <c r="U213" i="12" a="1"/>
  <c r="V208" i="12" a="1"/>
  <c r="U205" i="12" a="1"/>
  <c r="V200" i="12" a="1"/>
  <c r="U665" i="12" a="1"/>
  <c r="U661" i="12" a="1"/>
  <c r="U657" i="12" a="1"/>
  <c r="U653" i="12" a="1"/>
  <c r="U649" i="12" a="1"/>
  <c r="U645" i="12" a="1"/>
  <c r="U641" i="12" a="1"/>
  <c r="U637" i="12" a="1"/>
  <c r="U633" i="12" a="1"/>
  <c r="U629" i="12" a="1"/>
  <c r="V619" i="12" a="1"/>
  <c r="X613" i="12" a="1"/>
  <c r="V607" i="12" a="1"/>
  <c r="U599" i="12" a="1"/>
  <c r="X591" i="12" a="1"/>
  <c r="U583" i="12" a="1"/>
  <c r="X575" i="12" a="1"/>
  <c r="U567" i="12" a="1"/>
  <c r="X557" i="12" a="1"/>
  <c r="U553" i="12" a="1"/>
  <c r="W548" i="12" a="1"/>
  <c r="U544" i="12" a="1"/>
  <c r="X540" i="12" a="1"/>
  <c r="X537" i="12" a="1"/>
  <c r="W534" i="12" a="1"/>
  <c r="W529" i="12" a="1"/>
  <c r="V525" i="12" a="1"/>
  <c r="U519" i="12" a="1"/>
  <c r="U516" i="12" a="1"/>
  <c r="U512" i="12" a="1"/>
  <c r="X508" i="12" a="1"/>
  <c r="X505" i="12" a="1"/>
  <c r="W502" i="12" a="1"/>
  <c r="W497" i="12" a="1"/>
  <c r="V493" i="12" a="1"/>
  <c r="U487" i="12" a="1"/>
  <c r="U484" i="12" a="1"/>
  <c r="U480" i="12" a="1"/>
  <c r="X476" i="12" a="1"/>
  <c r="X473" i="12" a="1"/>
  <c r="V470" i="12" a="1"/>
  <c r="X466" i="12" a="1"/>
  <c r="V462" i="12" a="1"/>
  <c r="X458" i="12" a="1"/>
  <c r="V454" i="12" a="1"/>
  <c r="X450" i="12" a="1"/>
  <c r="V446" i="12" a="1"/>
  <c r="X442" i="12" a="1"/>
  <c r="V438" i="12" a="1"/>
  <c r="X434" i="12" a="1"/>
  <c r="V430" i="12" a="1"/>
  <c r="X426" i="12" a="1"/>
  <c r="V422" i="12" a="1"/>
  <c r="V418" i="12" a="1"/>
  <c r="V414" i="12" a="1"/>
  <c r="V410" i="12" a="1"/>
  <c r="V406" i="12" a="1"/>
  <c r="X402" i="12" a="1"/>
  <c r="V398" i="12" a="1"/>
  <c r="X394" i="12" a="1"/>
  <c r="V390" i="12" a="1"/>
  <c r="X386" i="12" a="1"/>
  <c r="V382" i="12" a="1"/>
  <c r="X378" i="12" a="1"/>
  <c r="V374" i="12" a="1"/>
  <c r="X370" i="12" a="1"/>
  <c r="V366" i="12" a="1"/>
  <c r="X362" i="12" a="1"/>
  <c r="V358" i="12" a="1"/>
  <c r="W354" i="12" a="1"/>
  <c r="X349" i="12" a="1"/>
  <c r="W346" i="12" a="1"/>
  <c r="X341" i="12" a="1"/>
  <c r="U336" i="12" a="1"/>
  <c r="W333" i="12" a="1"/>
  <c r="U328" i="12" a="1"/>
  <c r="W325" i="12" a="1"/>
  <c r="U320" i="12" a="1"/>
  <c r="W316" i="12" a="1"/>
  <c r="U312" i="12" a="1"/>
  <c r="W308" i="12" a="1"/>
  <c r="U304" i="12" a="1"/>
  <c r="W300" i="12" a="1"/>
  <c r="U296" i="12" a="1"/>
  <c r="W292" i="12" a="1"/>
  <c r="U288" i="12" a="1"/>
  <c r="X284" i="12" a="1"/>
  <c r="W280" i="12" a="1"/>
  <c r="W276" i="12" a="1"/>
  <c r="X271" i="12" a="1"/>
  <c r="W268" i="12" a="1"/>
  <c r="V264" i="12" a="1"/>
  <c r="X259" i="12" a="1"/>
  <c r="X255" i="12" a="1"/>
  <c r="W252" i="12" a="1"/>
  <c r="X247" i="12" a="1"/>
  <c r="V243" i="12" a="1"/>
  <c r="X239" i="12" a="1"/>
  <c r="V235" i="12" a="1"/>
  <c r="V622" i="12" a="1"/>
  <c r="X614" i="12" a="1"/>
  <c r="V609" i="12" a="1"/>
  <c r="W600" i="12" a="1"/>
  <c r="X593" i="12" a="1"/>
  <c r="W584" i="12" a="1"/>
  <c r="X577" i="12" a="1"/>
  <c r="W568" i="12" a="1"/>
  <c r="W562" i="12" a="1"/>
  <c r="W557" i="12" a="1"/>
  <c r="X553" i="12" a="1"/>
  <c r="X546" i="12" a="1"/>
  <c r="X544" i="12" a="1"/>
  <c r="W539" i="12" a="1"/>
  <c r="V535" i="12" a="1"/>
  <c r="V531" i="12" a="1"/>
  <c r="X525" i="12" a="1"/>
  <c r="V522" i="12" a="1"/>
  <c r="X518" i="12" a="1"/>
  <c r="X514" i="12" a="1"/>
  <c r="X512" i="12" a="1"/>
  <c r="W507" i="12" a="1"/>
  <c r="V503" i="12" a="1"/>
  <c r="V499" i="12" a="1"/>
  <c r="X493" i="12" a="1"/>
  <c r="V490" i="12" a="1"/>
  <c r="X486" i="12" a="1"/>
  <c r="X482" i="12" a="1"/>
  <c r="X480" i="12" a="1"/>
  <c r="W475" i="12" a="1"/>
  <c r="V471" i="12" a="1"/>
  <c r="U468" i="12" a="1"/>
  <c r="V463" i="12" a="1"/>
  <c r="U460" i="12" a="1"/>
  <c r="V455" i="12" a="1"/>
  <c r="U452" i="12" a="1"/>
  <c r="V447" i="12" a="1"/>
  <c r="U444" i="12" a="1"/>
  <c r="V439" i="12" a="1"/>
  <c r="U436" i="12" a="1"/>
  <c r="V431" i="12" a="1"/>
  <c r="U428" i="12" a="1"/>
  <c r="V423" i="12" a="1"/>
  <c r="V419" i="12" a="1"/>
  <c r="V415" i="12" a="1"/>
  <c r="V411" i="12" a="1"/>
  <c r="V407" i="12" a="1"/>
  <c r="W403" i="12" a="1"/>
  <c r="U399" i="12" a="1"/>
  <c r="W395" i="12" a="1"/>
  <c r="U391" i="12" a="1"/>
  <c r="W387" i="12" a="1"/>
  <c r="U383" i="12" a="1"/>
  <c r="W379" i="12" a="1"/>
  <c r="U375" i="12" a="1"/>
  <c r="W371" i="12" a="1"/>
  <c r="U367" i="12" a="1"/>
  <c r="W363" i="12" a="1"/>
  <c r="U359" i="12" a="1"/>
  <c r="V354" i="12" a="1"/>
  <c r="U351" i="12" a="1"/>
  <c r="V346" i="12" a="1"/>
  <c r="U343" i="12" a="1"/>
  <c r="V339" i="12" a="1"/>
  <c r="X336" i="12" a="1"/>
  <c r="V331" i="12" a="1"/>
  <c r="X328" i="12" a="1"/>
  <c r="V323" i="12" a="1"/>
  <c r="W319" i="12" a="1"/>
  <c r="U315" i="12" a="1"/>
  <c r="W311" i="12" a="1"/>
  <c r="U307" i="12" a="1"/>
  <c r="W303" i="12" a="1"/>
  <c r="U299" i="12" a="1"/>
  <c r="W295" i="12" a="1"/>
  <c r="U291" i="12" a="1"/>
  <c r="W287" i="12" a="1"/>
  <c r="W283" i="12" a="1"/>
  <c r="U279" i="12" a="1"/>
  <c r="V275" i="12" a="1"/>
  <c r="X272" i="12" a="1"/>
  <c r="U267" i="12" a="1"/>
  <c r="V263" i="12" a="1"/>
  <c r="X260" i="12" a="1"/>
  <c r="W256" i="12" a="1"/>
  <c r="V251" i="12" a="1"/>
  <c r="X248" i="12" a="1"/>
  <c r="V244" i="12" a="1"/>
  <c r="X240" i="12" a="1"/>
  <c r="V236" i="12" a="1"/>
  <c r="X232" i="12" a="1"/>
  <c r="V228" i="12" a="1"/>
  <c r="U224" i="12" a="1"/>
  <c r="U221" i="12" a="1"/>
  <c r="W217" i="12" a="1"/>
  <c r="V212" i="12" a="1"/>
  <c r="U209" i="12" a="1"/>
  <c r="V204" i="12" a="1"/>
  <c r="U201" i="12" a="1"/>
  <c r="V196" i="12" a="1"/>
  <c r="X192" i="12" a="1"/>
  <c r="V188" i="12" a="1"/>
  <c r="X184" i="12" a="1"/>
  <c r="V180" i="12" a="1"/>
  <c r="V176" i="12" a="1"/>
  <c r="V199" i="12" a="1"/>
  <c r="X190" i="12" a="1"/>
  <c r="X183" i="12" a="1"/>
  <c r="X175" i="12" a="1"/>
  <c r="W171" i="12" a="1"/>
  <c r="W167" i="12" a="1"/>
  <c r="W163" i="12" a="1"/>
  <c r="W159" i="12" a="1"/>
  <c r="W155" i="12" a="1"/>
  <c r="W151" i="12" a="1"/>
  <c r="W147" i="12" a="1"/>
  <c r="W143" i="12" a="1"/>
  <c r="W139" i="12" a="1"/>
  <c r="W135" i="12" a="1"/>
  <c r="W131" i="12" a="1"/>
  <c r="W127" i="12" a="1"/>
  <c r="W123" i="12" a="1"/>
  <c r="W119" i="12" a="1"/>
  <c r="W115" i="12" a="1"/>
  <c r="W111" i="12" a="1"/>
  <c r="W107" i="12" a="1"/>
  <c r="W103" i="12" a="1"/>
  <c r="W99" i="12" a="1"/>
  <c r="W95" i="12" a="1"/>
  <c r="W91" i="12" a="1"/>
  <c r="W87" i="12" a="1"/>
  <c r="W83" i="12" a="1"/>
  <c r="W79" i="12" a="1"/>
  <c r="W75" i="12" a="1"/>
  <c r="W71" i="12" a="1"/>
  <c r="W67" i="12" a="1"/>
  <c r="W63" i="12" a="1"/>
  <c r="W59" i="12" a="1"/>
  <c r="W55" i="12" a="1"/>
  <c r="W51" i="12" a="1"/>
  <c r="W47" i="12" a="1"/>
  <c r="W43" i="12" a="1"/>
  <c r="W39" i="12" a="1"/>
  <c r="W35" i="12" a="1"/>
  <c r="W31" i="12" a="1"/>
  <c r="W27" i="12" a="1"/>
  <c r="W23" i="12" a="1"/>
  <c r="W19" i="12" a="1"/>
  <c r="W15" i="12" a="1"/>
  <c r="W11" i="12" a="1"/>
  <c r="W7" i="12" a="1"/>
  <c r="W3" i="12" a="1"/>
  <c r="B108" i="3" a="1"/>
  <c r="B84" i="3" a="1"/>
  <c r="B69" i="3" a="1"/>
  <c r="B52" i="3" a="1"/>
  <c r="B44" i="3" a="1"/>
  <c r="B36" i="3" a="1"/>
  <c r="B18" i="3" a="1"/>
  <c r="V76" i="12" a="1"/>
  <c r="V55" i="12" a="1"/>
  <c r="V44" i="12" a="1"/>
  <c r="V34" i="12" a="1"/>
  <c r="V23" i="12" a="1"/>
  <c r="V12" i="12" a="1"/>
  <c r="B106" i="3" a="1"/>
  <c r="B66" i="3" a="1"/>
  <c r="B45" i="3" a="1"/>
  <c r="U24" i="12" a="1"/>
  <c r="U9" i="12" a="1"/>
  <c r="B85" i="3" a="1"/>
  <c r="B41" i="3" a="1"/>
  <c r="B6" i="3" a="1"/>
  <c r="W229" i="12" a="1"/>
  <c r="V225" i="12" a="1"/>
  <c r="U220" i="12" a="1"/>
  <c r="X216" i="12" a="1"/>
  <c r="W196" i="12" a="1"/>
  <c r="X189" i="12" a="1"/>
  <c r="W180" i="12" a="1"/>
  <c r="V174" i="12" a="1"/>
  <c r="V170" i="12" a="1"/>
  <c r="V734" i="12" a="1"/>
  <c r="V718" i="12" a="1"/>
  <c r="V702" i="12" a="1"/>
  <c r="V686" i="12" a="1"/>
  <c r="V670" i="12" a="1"/>
  <c r="U993" i="12" a="1"/>
  <c r="X982" i="12" a="1"/>
  <c r="X960" i="12" a="1"/>
  <c r="X947" i="12" a="1"/>
  <c r="X931" i="12" a="1"/>
  <c r="X915" i="12" a="1"/>
  <c r="X899" i="12" a="1"/>
  <c r="X883" i="12" a="1"/>
  <c r="X841" i="12" a="1"/>
  <c r="X825" i="12" a="1"/>
  <c r="X809" i="12" a="1"/>
  <c r="X793" i="12" a="1"/>
  <c r="X777" i="12" a="1"/>
  <c r="X761" i="12" a="1"/>
  <c r="X745" i="12" a="1"/>
  <c r="X729" i="12" a="1"/>
  <c r="X713" i="12" a="1"/>
  <c r="X697" i="12" a="1"/>
  <c r="X681" i="12" a="1"/>
  <c r="X669" i="12" a="1"/>
  <c r="X661" i="12" a="1"/>
  <c r="X653" i="12" a="1"/>
  <c r="X645" i="12" a="1"/>
  <c r="X637" i="12" a="1"/>
  <c r="X629" i="12" a="1"/>
  <c r="U622" i="12" a="1"/>
  <c r="W613" i="12" a="1"/>
  <c r="X606" i="12" a="1"/>
  <c r="V602" i="12" a="1"/>
  <c r="X597" i="12" a="1"/>
  <c r="V592" i="12" a="1"/>
  <c r="X587" i="12" a="1"/>
  <c r="V583" i="12" a="1"/>
  <c r="V578" i="12" a="1"/>
  <c r="X573" i="12" a="1"/>
  <c r="V569" i="12" a="1"/>
  <c r="X563" i="12" a="1"/>
  <c r="V621" i="12" a="1"/>
  <c r="U609" i="12" a="1"/>
  <c r="V598" i="12" a="1"/>
  <c r="W586" i="12" a="1"/>
  <c r="W577" i="12" a="1"/>
  <c r="V566" i="12" a="1"/>
  <c r="U556" i="12" a="1"/>
  <c r="U549" i="12" a="1"/>
  <c r="V542" i="12" a="1"/>
  <c r="U535" i="12" a="1"/>
  <c r="U531" i="12" a="1"/>
  <c r="W525" i="12" a="1"/>
  <c r="X521" i="12" a="1"/>
  <c r="W516" i="12" a="1"/>
  <c r="V510" i="12" a="1"/>
  <c r="U503" i="12" a="1"/>
  <c r="U499" i="12" a="1"/>
  <c r="W493" i="12" a="1"/>
  <c r="X489" i="12" a="1"/>
  <c r="W484" i="12" a="1"/>
  <c r="V478" i="12" a="1"/>
  <c r="U471" i="12" a="1"/>
  <c r="V466" i="12" a="1"/>
  <c r="W460" i="12" a="1"/>
  <c r="U455" i="12" a="1"/>
  <c r="V450" i="12" a="1"/>
  <c r="W444" i="12" a="1"/>
  <c r="U439" i="12" a="1"/>
  <c r="V434" i="12" a="1"/>
  <c r="W428" i="12" a="1"/>
  <c r="U423" i="12" a="1"/>
  <c r="X418" i="12" a="1"/>
  <c r="V412" i="12" a="1"/>
  <c r="U407" i="12" a="1"/>
  <c r="V402" i="12" a="1"/>
  <c r="W396" i="12" a="1"/>
  <c r="X391" i="12" a="1"/>
  <c r="V386" i="12" a="1"/>
  <c r="W381" i="12" a="1"/>
  <c r="U377" i="12" a="1"/>
  <c r="W373" i="12" a="1"/>
  <c r="U369" i="12" a="1"/>
  <c r="W365" i="12" a="1"/>
  <c r="U361" i="12" a="1"/>
  <c r="W357" i="12" a="1"/>
  <c r="X353" i="12" a="1"/>
  <c r="W350" i="12" a="1"/>
  <c r="X345" i="12" a="1"/>
  <c r="W342" i="12" a="1"/>
  <c r="U339" i="12" a="1"/>
  <c r="V334" i="12" a="1"/>
  <c r="U331" i="12" a="1"/>
  <c r="V326" i="12" a="1"/>
  <c r="U323" i="12" a="1"/>
  <c r="V319" i="12" a="1"/>
  <c r="X315" i="12" a="1"/>
  <c r="V311" i="12" a="1"/>
  <c r="X307" i="12" a="1"/>
  <c r="V303" i="12" a="1"/>
  <c r="X299" i="12" a="1"/>
  <c r="V295" i="12" a="1"/>
  <c r="X291" i="12" a="1"/>
  <c r="V287" i="12" a="1"/>
  <c r="V283" i="12" a="1"/>
  <c r="X279" i="12" a="1"/>
  <c r="X275" i="12" a="1"/>
  <c r="W272" i="12" a="1"/>
  <c r="X267" i="12" a="1"/>
  <c r="X263" i="12" a="1"/>
  <c r="W260" i="12" a="1"/>
  <c r="V256" i="12" a="1"/>
  <c r="X251" i="12" a="1"/>
  <c r="W248" i="12" a="1"/>
  <c r="U244" i="12" a="1"/>
  <c r="W240" i="12" a="1"/>
  <c r="U236" i="12" a="1"/>
  <c r="W232" i="12" a="1"/>
  <c r="U228" i="12" a="1"/>
  <c r="X224" i="12" a="1"/>
  <c r="W221" i="12" a="1"/>
  <c r="V217" i="12" a="1"/>
  <c r="U212" i="12" a="1"/>
  <c r="W209" i="12" a="1"/>
  <c r="U204" i="12" a="1"/>
  <c r="W201" i="12" a="1"/>
  <c r="U196" i="12" a="1"/>
  <c r="W192" i="12" a="1"/>
  <c r="U188" i="12" a="1"/>
  <c r="W184" i="12" a="1"/>
  <c r="U180" i="12" a="1"/>
  <c r="V626" i="12" a="1"/>
  <c r="W619" i="12" a="1"/>
  <c r="V608" i="12" a="1"/>
  <c r="W599" i="12" a="1"/>
  <c r="X590" i="12" a="1"/>
  <c r="W583" i="12" a="1"/>
  <c r="X574" i="12" a="1"/>
  <c r="W567" i="12" a="1"/>
  <c r="W561" i="12" a="1"/>
  <c r="U557" i="12" a="1"/>
  <c r="U550" i="12" a="1"/>
  <c r="V544" i="12" a="1"/>
  <c r="U541" i="12" a="1"/>
  <c r="V537" i="12" a="1"/>
  <c r="W533" i="12" a="1"/>
  <c r="U530" i="12" a="1"/>
  <c r="W527" i="12" a="1"/>
  <c r="W522" i="12" a="1"/>
  <c r="V518" i="12" a="1"/>
  <c r="V512" i="12" a="1"/>
  <c r="U509" i="12" a="1"/>
  <c r="V505" i="12" a="1"/>
  <c r="W501" i="12" a="1"/>
  <c r="U498" i="12" a="1"/>
  <c r="W495" i="12" a="1"/>
  <c r="W490" i="12" a="1"/>
  <c r="V486" i="12" a="1"/>
  <c r="V480" i="12" a="1"/>
  <c r="U477" i="12" a="1"/>
  <c r="V473" i="12" a="1"/>
  <c r="W469" i="12" a="1"/>
  <c r="X464" i="12" a="1"/>
  <c r="W461" i="12" a="1"/>
  <c r="X456" i="12" a="1"/>
  <c r="W453" i="12" a="1"/>
  <c r="X448" i="12" a="1"/>
  <c r="W445" i="12" a="1"/>
  <c r="X440" i="12" a="1"/>
  <c r="W437" i="12" a="1"/>
  <c r="X432" i="12" a="1"/>
  <c r="W429" i="12" a="1"/>
  <c r="X424" i="12" a="1"/>
  <c r="V421" i="12" a="1"/>
  <c r="V417" i="12" a="1"/>
  <c r="V413" i="12" a="1"/>
  <c r="V409" i="12" a="1"/>
  <c r="V405" i="12" a="1"/>
  <c r="X401" i="12" a="1"/>
  <c r="V397" i="12" a="1"/>
  <c r="X393" i="12" a="1"/>
  <c r="V389" i="12" a="1"/>
  <c r="X385" i="12" a="1"/>
  <c r="V381" i="12" a="1"/>
  <c r="X377" i="12" a="1"/>
  <c r="V373" i="12" a="1"/>
  <c r="X369" i="12" a="1"/>
  <c r="V365" i="12" a="1"/>
  <c r="X361" i="12" a="1"/>
  <c r="V357" i="12" a="1"/>
  <c r="X354" i="12" a="1"/>
  <c r="V349" i="12" a="1"/>
  <c r="X346" i="12" a="1"/>
  <c r="U341" i="12" a="1"/>
  <c r="V336" i="12" a="1"/>
  <c r="U333" i="12" a="1"/>
  <c r="V328" i="12" a="1"/>
  <c r="U325" i="12" a="1"/>
  <c r="V321" i="12" a="1"/>
  <c r="X317" i="12" a="1"/>
  <c r="V313" i="12" a="1"/>
  <c r="X309" i="12" a="1"/>
  <c r="V305" i="12" a="1"/>
  <c r="X301" i="12" a="1"/>
  <c r="V297" i="12" a="1"/>
  <c r="X293" i="12" a="1"/>
  <c r="V289" i="12" a="1"/>
  <c r="U285" i="12" a="1"/>
  <c r="X281" i="12" a="1"/>
  <c r="U277" i="12" a="1"/>
  <c r="V272" i="12" a="1"/>
  <c r="U269" i="12" a="1"/>
  <c r="W265" i="12" a="1"/>
  <c r="V260" i="12" a="1"/>
  <c r="U256" i="12" a="1"/>
  <c r="U253" i="12" a="1"/>
  <c r="V248" i="12" a="1"/>
  <c r="X244" i="12" a="1"/>
  <c r="V240" i="12" a="1"/>
  <c r="X236" i="12" a="1"/>
  <c r="V232" i="12" a="1"/>
  <c r="X228" i="12" a="1"/>
  <c r="W224" i="12" a="1"/>
  <c r="U219" i="12" a="1"/>
  <c r="V215" i="12" a="1"/>
  <c r="X212" i="12" a="1"/>
  <c r="V207" i="12" a="1"/>
  <c r="X204" i="12" a="1"/>
  <c r="X668" i="12" a="1"/>
  <c r="X664" i="12" a="1"/>
  <c r="X660" i="12" a="1"/>
  <c r="X656" i="12" a="1"/>
  <c r="X652" i="12" a="1"/>
  <c r="X648" i="12" a="1"/>
  <c r="X644" i="12" a="1"/>
  <c r="X640" i="12" a="1"/>
  <c r="X636" i="12" a="1"/>
  <c r="X632" i="12" a="1"/>
  <c r="X628" i="12" a="1"/>
  <c r="W618" i="12" a="1"/>
  <c r="U612" i="12" a="1"/>
  <c r="V605" i="12" a="1"/>
  <c r="V597" i="12" a="1"/>
  <c r="V590" i="12" a="1"/>
  <c r="V581" i="12" a="1"/>
  <c r="V574" i="12" a="1"/>
  <c r="V565" i="12" a="1"/>
  <c r="X556" i="12" a="1"/>
  <c r="X552" i="12" a="1"/>
  <c r="U547" i="12" a="1"/>
  <c r="X543" i="12" a="1"/>
  <c r="X539" i="12" a="1"/>
  <c r="U537" i="12" a="1"/>
  <c r="W532" i="12" a="1"/>
  <c r="W528" i="12" a="1"/>
  <c r="V524" i="12" a="1"/>
  <c r="U518" i="12" a="1"/>
  <c r="U515" i="12" a="1"/>
  <c r="X511" i="12" a="1"/>
  <c r="X507" i="12" a="1"/>
  <c r="U505" i="12" a="1"/>
  <c r="W500" i="12" a="1"/>
  <c r="W496" i="12" a="1"/>
  <c r="V492" i="12" a="1"/>
  <c r="U486" i="12" a="1"/>
  <c r="U483" i="12" a="1"/>
  <c r="X479" i="12" a="1"/>
  <c r="X475" i="12" a="1"/>
  <c r="U473" i="12" a="1"/>
  <c r="V469" i="12" a="1"/>
  <c r="X465" i="12" a="1"/>
  <c r="V461" i="12" a="1"/>
  <c r="X457" i="12" a="1"/>
  <c r="V453" i="12" a="1"/>
  <c r="X449" i="12" a="1"/>
  <c r="V445" i="12" a="1"/>
  <c r="X441" i="12" a="1"/>
  <c r="V437" i="12" a="1"/>
  <c r="X433" i="12" a="1"/>
  <c r="V429" i="12" a="1"/>
  <c r="X425" i="12" a="1"/>
  <c r="U421" i="12" a="1"/>
  <c r="U417" i="12" a="1"/>
  <c r="U413" i="12" a="1"/>
  <c r="U409" i="12" a="1"/>
  <c r="U405" i="12" a="1"/>
  <c r="W401" i="12" a="1"/>
  <c r="U397" i="12" a="1"/>
  <c r="W393" i="12" a="1"/>
  <c r="U389" i="12" a="1"/>
  <c r="W385" i="12" a="1"/>
  <c r="U381" i="12" a="1"/>
  <c r="W377" i="12" a="1"/>
  <c r="U373" i="12" a="1"/>
  <c r="W369" i="12" a="1"/>
  <c r="U365" i="12" a="1"/>
  <c r="W361" i="12" a="1"/>
  <c r="U357" i="12" a="1"/>
  <c r="V352" i="12" a="1"/>
  <c r="U349" i="12" a="1"/>
  <c r="V344" i="12" a="1"/>
  <c r="W340" i="12" a="1"/>
  <c r="X335" i="12" a="1"/>
  <c r="W332" i="12" a="1"/>
  <c r="X327" i="12" a="1"/>
  <c r="W324" i="12" a="1"/>
  <c r="X319" i="12" a="1"/>
  <c r="V315" i="12" a="1"/>
  <c r="X311" i="12" a="1"/>
  <c r="V307" i="12" a="1"/>
  <c r="X303" i="12" a="1"/>
  <c r="V299" i="12" a="1"/>
  <c r="X295" i="12" a="1"/>
  <c r="V291" i="12" a="1"/>
  <c r="X287" i="12" a="1"/>
  <c r="X283" i="12" a="1"/>
  <c r="V279" i="12" a="1"/>
  <c r="V274" i="12" a="1"/>
  <c r="U271" i="12" a="1"/>
  <c r="V267" i="12" a="1"/>
  <c r="V262" i="12" a="1"/>
  <c r="X258" i="12" a="1"/>
  <c r="U255" i="12" a="1"/>
  <c r="V250" i="12" a="1"/>
  <c r="X246" i="12" a="1"/>
  <c r="V242" i="12" a="1"/>
  <c r="X238" i="12" a="1"/>
  <c r="U628" i="12" a="1"/>
  <c r="W621" i="12" a="1"/>
  <c r="U613" i="12" a="1"/>
  <c r="U607" i="12" a="1"/>
  <c r="X598" i="12" a="1"/>
  <c r="W591" i="12" a="1"/>
  <c r="X582" i="12" a="1"/>
  <c r="W575" i="12" a="1"/>
  <c r="X566" i="12" a="1"/>
  <c r="V561" i="12" a="1"/>
  <c r="V556" i="12" a="1"/>
  <c r="V552" i="12" a="1"/>
  <c r="U546" i="12" a="1"/>
  <c r="W543" i="12" a="1"/>
  <c r="W538" i="12" a="1"/>
  <c r="V534" i="12" a="1"/>
  <c r="V528" i="12" a="1"/>
  <c r="U525" i="12" a="1"/>
  <c r="V521" i="12" a="1"/>
  <c r="W517" i="12" a="1"/>
  <c r="U514" i="12" a="1"/>
  <c r="W511" i="12" a="1"/>
  <c r="W506" i="12" a="1"/>
  <c r="V502" i="12" a="1"/>
  <c r="V496" i="12" a="1"/>
  <c r="U493" i="12" a="1"/>
  <c r="V489" i="12" a="1"/>
  <c r="W485" i="12" a="1"/>
  <c r="U482" i="12" a="1"/>
  <c r="W479" i="12" a="1"/>
  <c r="W474" i="12" a="1"/>
  <c r="U470" i="12" a="1"/>
  <c r="X467" i="12" a="1"/>
  <c r="U462" i="12" a="1"/>
  <c r="X459" i="12" a="1"/>
  <c r="U454" i="12" a="1"/>
  <c r="X451" i="12" a="1"/>
  <c r="U446" i="12" a="1"/>
  <c r="X443" i="12" a="1"/>
  <c r="U438" i="12" a="1"/>
  <c r="X435" i="12" a="1"/>
  <c r="U430" i="12" a="1"/>
  <c r="X427" i="12" a="1"/>
  <c r="U422" i="12" a="1"/>
  <c r="U418" i="12" a="1"/>
  <c r="U414" i="12" a="1"/>
  <c r="U410" i="12" a="1"/>
  <c r="U406" i="12" a="1"/>
  <c r="W402" i="12" a="1"/>
  <c r="U398" i="12" a="1"/>
  <c r="W394" i="12" a="1"/>
  <c r="U390" i="12" a="1"/>
  <c r="W386" i="12" a="1"/>
  <c r="U382" i="12" a="1"/>
  <c r="W378" i="12" a="1"/>
  <c r="U374" i="12" a="1"/>
  <c r="W370" i="12" a="1"/>
  <c r="U366" i="12" a="1"/>
  <c r="W362" i="12" a="1"/>
  <c r="U358" i="12" a="1"/>
  <c r="V353" i="12" a="1"/>
  <c r="X350" i="12" a="1"/>
  <c r="V345" i="12" a="1"/>
  <c r="X342" i="12" a="1"/>
  <c r="U338" i="12" a="1"/>
  <c r="W335" i="12" a="1"/>
  <c r="U330" i="12" a="1"/>
  <c r="W327" i="12" a="1"/>
  <c r="U322" i="12" a="1"/>
  <c r="W318" i="12" a="1"/>
  <c r="U314" i="12" a="1"/>
  <c r="W310" i="12" a="1"/>
  <c r="U306" i="12" a="1"/>
  <c r="W302" i="12" a="1"/>
  <c r="U298" i="12" a="1"/>
  <c r="W294" i="12" a="1"/>
  <c r="U290" i="12" a="1"/>
  <c r="W286" i="12" a="1"/>
  <c r="W282" i="12" a="1"/>
  <c r="X278" i="12" a="1"/>
  <c r="U274" i="12" a="1"/>
  <c r="W271" i="12" a="1"/>
  <c r="U266" i="12" a="1"/>
  <c r="U262" i="12" a="1"/>
  <c r="W259" i="12" a="1"/>
  <c r="W255" i="12" a="1"/>
  <c r="U250" i="12" a="1"/>
  <c r="W247" i="12" a="1"/>
  <c r="U243" i="12" a="1"/>
  <c r="W239" i="12" a="1"/>
  <c r="U235" i="12" a="1"/>
  <c r="W231" i="12" a="1"/>
  <c r="U227" i="12" a="1"/>
  <c r="V223" i="12" a="1"/>
  <c r="X220" i="12" a="1"/>
  <c r="W216" i="12" a="1"/>
  <c r="V211" i="12" a="1"/>
  <c r="X208" i="12" a="1"/>
  <c r="V203" i="12" a="1"/>
  <c r="X200" i="12" a="1"/>
  <c r="U195" i="12" a="1"/>
  <c r="W191" i="12" a="1"/>
  <c r="U187" i="12" a="1"/>
  <c r="W183" i="12" a="1"/>
  <c r="V179" i="12" a="1"/>
  <c r="V175" i="12" a="1"/>
  <c r="U197" i="12" a="1"/>
  <c r="V187" i="12" a="1"/>
  <c r="W181" i="12" a="1"/>
  <c r="W174" i="12" a="1"/>
  <c r="W170" i="12" a="1"/>
  <c r="W166" i="12" a="1"/>
  <c r="W162" i="12" a="1"/>
  <c r="W158" i="12" a="1"/>
  <c r="W154" i="12" a="1"/>
  <c r="W150" i="12" a="1"/>
  <c r="W146" i="12" a="1"/>
  <c r="W142" i="12" a="1"/>
  <c r="W138" i="12" a="1"/>
  <c r="W134" i="12" a="1"/>
  <c r="W130" i="12" a="1"/>
  <c r="W126" i="12" a="1"/>
  <c r="W122" i="12" a="1"/>
  <c r="W118" i="12" a="1"/>
  <c r="W114" i="12" a="1"/>
  <c r="W110" i="12" a="1"/>
  <c r="W106" i="12" a="1"/>
  <c r="W102" i="12" a="1"/>
  <c r="W98" i="12" a="1"/>
  <c r="W94" i="12" a="1"/>
  <c r="W90" i="12" a="1"/>
  <c r="W86" i="12" a="1"/>
  <c r="W82" i="12" a="1"/>
  <c r="W78" i="12" a="1"/>
  <c r="W74" i="12" a="1"/>
  <c r="W70" i="12" a="1"/>
  <c r="W66" i="12" a="1"/>
  <c r="W62" i="12" a="1"/>
  <c r="W58" i="12" a="1"/>
  <c r="W54" i="12" a="1"/>
  <c r="W50" i="12" a="1"/>
  <c r="W46" i="12" a="1"/>
  <c r="W42" i="12" a="1"/>
  <c r="W38" i="12" a="1"/>
  <c r="W34" i="12" a="1"/>
  <c r="W30" i="12" a="1"/>
  <c r="W26" i="12" a="1"/>
  <c r="W22" i="12" a="1"/>
  <c r="W18" i="12" a="1"/>
  <c r="W14" i="12" a="1"/>
  <c r="W10" i="12" a="1"/>
  <c r="W6" i="12" a="1"/>
  <c r="W2" i="12" a="1"/>
  <c r="B94" i="3" a="1"/>
  <c r="B83" i="3" a="1"/>
  <c r="B62" i="3" a="1"/>
  <c r="B51" i="3" a="1"/>
  <c r="B40" i="3" a="1"/>
  <c r="B31" i="3" a="1"/>
  <c r="B17" i="3" a="1"/>
  <c r="V64" i="12" a="1"/>
  <c r="V52" i="12" a="1"/>
  <c r="V42" i="12" a="1"/>
  <c r="V32" i="12" a="1"/>
  <c r="V20" i="12" a="1"/>
  <c r="V9" i="12" a="1"/>
  <c r="B91" i="3" a="1"/>
  <c r="B63" i="3" a="1"/>
  <c r="B33" i="3" a="1"/>
  <c r="U20" i="12" a="1"/>
  <c r="U6" i="12" a="1"/>
  <c r="B71" i="3" a="1"/>
  <c r="B26" i="3" a="1"/>
  <c r="U232" i="12" a="1"/>
  <c r="W228" i="12" a="1"/>
  <c r="V224" i="12" a="1"/>
  <c r="X219" i="12" a="1"/>
  <c r="X215" i="12" a="1"/>
  <c r="W195" i="12" a="1"/>
  <c r="V186" i="12" a="1"/>
  <c r="X179" i="12" a="1"/>
  <c r="V173" i="12" a="1"/>
  <c r="V169" i="12" a="1"/>
  <c r="V165" i="12" a="1"/>
  <c r="V161" i="12" a="1"/>
  <c r="V157" i="12" a="1"/>
  <c r="V153" i="12" a="1"/>
  <c r="V149" i="12" a="1"/>
  <c r="V145" i="12" a="1"/>
  <c r="V141" i="12" a="1"/>
  <c r="V137" i="12" a="1"/>
  <c r="V133" i="12" a="1"/>
  <c r="V129" i="12" a="1"/>
  <c r="V125" i="12" a="1"/>
  <c r="V121" i="12" a="1"/>
  <c r="V117" i="12" a="1"/>
  <c r="V113" i="12" a="1"/>
  <c r="V109" i="12" a="1"/>
  <c r="V105" i="12" a="1"/>
  <c r="V101" i="12" a="1"/>
  <c r="V97" i="12" a="1"/>
  <c r="V93" i="12" a="1"/>
  <c r="V89" i="12" a="1"/>
  <c r="V85" i="12" a="1"/>
  <c r="V81" i="12" a="1"/>
  <c r="V74" i="12" a="1"/>
  <c r="V63" i="12" a="1"/>
  <c r="V49" i="12" a="1"/>
  <c r="V33" i="12" a="1"/>
  <c r="V19" i="12" a="1"/>
  <c r="V3" i="12" a="1"/>
  <c r="U26" i="12" a="1"/>
  <c r="U7" i="12" a="1"/>
  <c r="B67" i="3" a="1"/>
  <c r="X214" i="12" a="1"/>
  <c r="V209" i="12" a="1"/>
  <c r="X197" i="12" a="1"/>
  <c r="X191" i="12" a="1"/>
  <c r="X182" i="12" a="1"/>
  <c r="X217" i="12" a="1"/>
  <c r="W175" i="12" a="1"/>
  <c r="V163" i="12" a="1"/>
  <c r="V155" i="12" a="1"/>
  <c r="V147" i="12" a="1"/>
  <c r="V139" i="12" a="1"/>
  <c r="V131" i="12" a="1"/>
  <c r="V123" i="12" a="1"/>
  <c r="V115" i="12" a="1"/>
  <c r="V107" i="12" a="1"/>
  <c r="V99" i="12" a="1"/>
  <c r="V91" i="12" a="1"/>
  <c r="V83" i="12" a="1"/>
  <c r="V69" i="12" a="1"/>
  <c r="V41" i="12" a="1"/>
  <c r="V11" i="12" a="1"/>
  <c r="U16" i="12" a="1"/>
  <c r="B34" i="3" a="1"/>
  <c r="X207" i="12" a="1"/>
  <c r="X188" i="12" a="1"/>
  <c r="W176" i="12" a="1"/>
  <c r="U172" i="12" a="1"/>
  <c r="U168" i="12" a="1"/>
  <c r="U164" i="12" a="1"/>
  <c r="U160" i="12" a="1"/>
  <c r="U156" i="12" a="1"/>
  <c r="U152" i="12" a="1"/>
  <c r="U148" i="12" a="1"/>
  <c r="U144" i="12" a="1"/>
  <c r="U140" i="12" a="1"/>
  <c r="U136" i="12" a="1"/>
  <c r="U132" i="12" a="1"/>
  <c r="U128" i="12" a="1"/>
  <c r="U124" i="12" a="1"/>
  <c r="U120" i="12" a="1"/>
  <c r="U116" i="12" a="1"/>
  <c r="U112" i="12" a="1"/>
  <c r="U108" i="12" a="1"/>
  <c r="U104" i="12" a="1"/>
  <c r="U100" i="12" a="1"/>
  <c r="U96" i="12" a="1"/>
  <c r="U92" i="12" a="1"/>
  <c r="U88" i="12" a="1"/>
  <c r="U84" i="12" a="1"/>
  <c r="U80" i="12" a="1"/>
  <c r="U76" i="12" a="1"/>
  <c r="U72" i="12" a="1"/>
  <c r="U68" i="12" a="1"/>
  <c r="U64" i="12" a="1"/>
  <c r="U60" i="12" a="1"/>
  <c r="U56" i="12" a="1"/>
  <c r="U52" i="12" a="1"/>
  <c r="U48" i="12" a="1"/>
  <c r="U44" i="12" a="1"/>
  <c r="U40" i="12" a="1"/>
  <c r="U36" i="12" a="1"/>
  <c r="U32" i="12" a="1"/>
  <c r="U25" i="12" a="1"/>
  <c r="U8" i="12" a="1"/>
  <c r="X206" i="12" a="1"/>
  <c r="V201" i="12" a="1"/>
  <c r="V194" i="12" a="1"/>
  <c r="W187" i="12" a="1"/>
  <c r="W178" i="12" a="1"/>
  <c r="X173" i="12" a="1"/>
  <c r="X169" i="12" a="1"/>
  <c r="X165" i="12" a="1"/>
  <c r="X161" i="12" a="1"/>
  <c r="X157" i="12" a="1"/>
  <c r="X153" i="12" a="1"/>
  <c r="X149" i="12" a="1"/>
  <c r="X145" i="12" a="1"/>
  <c r="X141" i="12" a="1"/>
  <c r="X137" i="12" a="1"/>
  <c r="X133" i="12" a="1"/>
  <c r="X129" i="12" a="1"/>
  <c r="X125" i="12" a="1"/>
  <c r="X121" i="12" a="1"/>
  <c r="X117" i="12" a="1"/>
  <c r="X113" i="12" a="1"/>
  <c r="X109" i="12" a="1"/>
  <c r="X105" i="12" a="1"/>
  <c r="X101" i="12" a="1"/>
  <c r="X97" i="12" a="1"/>
  <c r="X93" i="12" a="1"/>
  <c r="X89" i="12" a="1"/>
  <c r="X85" i="12" a="1"/>
  <c r="X81" i="12" a="1"/>
  <c r="X77" i="12" a="1"/>
  <c r="X73" i="12" a="1"/>
  <c r="X69" i="12" a="1"/>
  <c r="X65" i="12" a="1"/>
  <c r="X61" i="12" a="1"/>
  <c r="X57" i="12" a="1"/>
  <c r="X53" i="12" a="1"/>
  <c r="X49" i="12" a="1"/>
  <c r="X45" i="12" a="1"/>
  <c r="X41" i="12" a="1"/>
  <c r="X37" i="12" a="1"/>
  <c r="X33" i="12" a="1"/>
  <c r="X29" i="12" a="1"/>
  <c r="X25" i="12" a="1"/>
  <c r="X21" i="12" a="1"/>
  <c r="X17" i="12" a="1"/>
  <c r="X13" i="12" a="1"/>
  <c r="X9" i="12" a="1"/>
  <c r="X5" i="12" a="1"/>
  <c r="U2" i="12" a="1"/>
  <c r="B96" i="3" a="1"/>
  <c r="B79" i="3" a="1"/>
  <c r="B72" i="3" a="1"/>
  <c r="B47" i="3" a="1"/>
  <c r="B32" i="3" a="1"/>
  <c r="B20" i="3" a="1"/>
  <c r="V75" i="12" a="1"/>
  <c r="V68" i="12" a="1"/>
  <c r="V59" i="12" a="1"/>
  <c r="V48" i="12" a="1"/>
  <c r="V37" i="12" a="1"/>
  <c r="V26" i="12" a="1"/>
  <c r="V16" i="12" a="1"/>
  <c r="V5" i="12" a="1"/>
  <c r="B92" i="3" a="1"/>
  <c r="B28" i="3" a="1"/>
  <c r="U19" i="12" a="1"/>
  <c r="U5" i="12" a="1"/>
  <c r="V73" i="12" a="1"/>
  <c r="V46" i="12" a="1"/>
  <c r="V13" i="12" a="1"/>
  <c r="B46" i="3" a="1"/>
  <c r="U14" i="12" a="1"/>
  <c r="X198" i="12" a="1"/>
  <c r="V171" i="12" a="1"/>
  <c r="V162" i="12" a="1"/>
  <c r="V154" i="12" a="1"/>
  <c r="V146" i="12" a="1"/>
  <c r="V138" i="12" a="1"/>
  <c r="V130" i="12" a="1"/>
  <c r="V122" i="12" a="1"/>
  <c r="V114" i="12" a="1"/>
  <c r="V106" i="12" a="1"/>
  <c r="V98" i="12" a="1"/>
  <c r="V90" i="12" a="1"/>
  <c r="V82" i="12" a="1"/>
  <c r="V67" i="12" a="1"/>
  <c r="V38" i="12" a="1"/>
  <c r="V8" i="12" a="1"/>
  <c r="U11" i="12" a="1"/>
  <c r="U215" i="12" a="1"/>
  <c r="U198" i="12" a="1"/>
  <c r="U185" i="12" a="1"/>
  <c r="U175" i="12" a="1"/>
  <c r="U171" i="12" a="1"/>
  <c r="U167" i="12" a="1"/>
  <c r="U163" i="12" a="1"/>
  <c r="U159" i="12" a="1"/>
  <c r="U155" i="12" a="1"/>
  <c r="U151" i="12" a="1"/>
  <c r="U147" i="12" a="1"/>
  <c r="U143" i="12" a="1"/>
  <c r="U139" i="12" a="1"/>
  <c r="U135" i="12" a="1"/>
  <c r="U131" i="12" a="1"/>
  <c r="U127" i="12" a="1"/>
  <c r="U123" i="12" a="1"/>
  <c r="U119" i="12" a="1"/>
  <c r="U115" i="12" a="1"/>
  <c r="U111" i="12" a="1"/>
  <c r="U107" i="12" a="1"/>
  <c r="U103" i="12" a="1"/>
  <c r="U99" i="12" a="1"/>
  <c r="U95" i="12" a="1"/>
  <c r="U91" i="12" a="1"/>
  <c r="U87" i="12" a="1"/>
  <c r="U83" i="12" a="1"/>
  <c r="U79" i="12" a="1"/>
  <c r="U75" i="12" a="1"/>
  <c r="U71" i="12" a="1"/>
  <c r="U67" i="12" a="1"/>
  <c r="U63" i="12" a="1"/>
  <c r="U59" i="12" a="1"/>
  <c r="U55" i="12" a="1"/>
  <c r="U51" i="12" a="1"/>
  <c r="U47" i="12" a="1"/>
  <c r="U43" i="12" a="1"/>
  <c r="U39" i="12" a="1"/>
  <c r="U35" i="12" a="1"/>
  <c r="U30" i="12" a="1"/>
  <c r="U22" i="12" a="1"/>
  <c r="V2" i="12" a="1"/>
  <c r="W205" i="12" a="1"/>
  <c r="U200" i="12" a="1"/>
  <c r="V193" i="12" a="1"/>
  <c r="V184" i="12" a="1"/>
  <c r="X177" i="12" a="1"/>
  <c r="X172" i="12" a="1"/>
  <c r="X168" i="12" a="1"/>
  <c r="X164" i="12" a="1"/>
  <c r="X160" i="12" a="1"/>
  <c r="X156" i="12" a="1"/>
  <c r="X152" i="12" a="1"/>
  <c r="X148" i="12" a="1"/>
  <c r="X144" i="12" a="1"/>
  <c r="X140" i="12" a="1"/>
  <c r="X136" i="12" a="1"/>
  <c r="X132" i="12" a="1"/>
  <c r="X128" i="12" a="1"/>
  <c r="X124" i="12" a="1"/>
  <c r="X120" i="12" a="1"/>
  <c r="X116" i="12" a="1"/>
  <c r="X112" i="12" a="1"/>
  <c r="X108" i="12" a="1"/>
  <c r="X104" i="12" a="1"/>
  <c r="X100" i="12" a="1"/>
  <c r="X96" i="12" a="1"/>
  <c r="X92" i="12" a="1"/>
  <c r="X88" i="12" a="1"/>
  <c r="X84" i="12" a="1"/>
  <c r="X80" i="12" a="1"/>
  <c r="X76" i="12" a="1"/>
  <c r="X72" i="12" a="1"/>
  <c r="X68" i="12" a="1"/>
  <c r="X64" i="12" a="1"/>
  <c r="X60" i="12" a="1"/>
  <c r="X56" i="12" a="1"/>
  <c r="X52" i="12" a="1"/>
  <c r="X48" i="12" a="1"/>
  <c r="X44" i="12" a="1"/>
  <c r="X40" i="12" a="1"/>
  <c r="X36" i="12" a="1"/>
  <c r="X32" i="12" a="1"/>
  <c r="X28" i="12" a="1"/>
  <c r="X24" i="12" a="1"/>
  <c r="X20" i="12" a="1"/>
  <c r="X16" i="12" a="1"/>
  <c r="X12" i="12" a="1"/>
  <c r="X8" i="12" a="1"/>
  <c r="X4" i="12" a="1"/>
  <c r="B99" i="3" a="1"/>
  <c r="B93" i="3" a="1"/>
  <c r="B76" i="3" a="1"/>
  <c r="B61" i="3" a="1"/>
  <c r="B42" i="3" a="1"/>
  <c r="B30" i="3" a="1"/>
  <c r="B15" i="3" a="1"/>
  <c r="V56" i="12" a="1"/>
  <c r="V24" i="12" a="1"/>
  <c r="U15" i="12" a="1"/>
  <c r="U190" i="12" a="1"/>
  <c r="V167" i="12" a="1"/>
  <c r="V159" i="12" a="1"/>
  <c r="V151" i="12" a="1"/>
  <c r="V143" i="12" a="1"/>
  <c r="V135" i="12" a="1"/>
  <c r="V127" i="12" a="1"/>
  <c r="V119" i="12" a="1"/>
  <c r="V111" i="12" a="1"/>
  <c r="V103" i="12" a="1"/>
  <c r="V95" i="12" a="1"/>
  <c r="V87" i="12" a="1"/>
  <c r="V79" i="12" a="1"/>
  <c r="V57" i="12" a="1"/>
  <c r="V27" i="12" a="1"/>
  <c r="B56" i="3" a="1"/>
  <c r="B102" i="3" a="1"/>
  <c r="W212" i="12" a="1"/>
  <c r="W194" i="12" a="1"/>
  <c r="W179" i="12" a="1"/>
  <c r="U174" i="12" a="1"/>
  <c r="U170" i="12" a="1"/>
  <c r="U166" i="12" a="1"/>
  <c r="U162" i="12" a="1"/>
  <c r="U158" i="12" a="1"/>
  <c r="U154" i="12" a="1"/>
  <c r="U150" i="12" a="1"/>
  <c r="U146" i="12" a="1"/>
  <c r="U142" i="12" a="1"/>
  <c r="U138" i="12" a="1"/>
  <c r="U134" i="12" a="1"/>
  <c r="U130" i="12" a="1"/>
  <c r="U126" i="12" a="1"/>
  <c r="U122" i="12" a="1"/>
  <c r="U118" i="12" a="1"/>
  <c r="U114" i="12" a="1"/>
  <c r="U110" i="12" a="1"/>
  <c r="U106" i="12" a="1"/>
  <c r="U102" i="12" a="1"/>
  <c r="U98" i="12" a="1"/>
  <c r="U94" i="12" a="1"/>
  <c r="U90" i="12" a="1"/>
  <c r="U86" i="12" a="1"/>
  <c r="U82" i="12" a="1"/>
  <c r="U78" i="12" a="1"/>
  <c r="U74" i="12" a="1"/>
  <c r="U70" i="12" a="1"/>
  <c r="U66" i="12" a="1"/>
  <c r="U62" i="12" a="1"/>
  <c r="U58" i="12" a="1"/>
  <c r="U54" i="12" a="1"/>
  <c r="U50" i="12" a="1"/>
  <c r="U46" i="12" a="1"/>
  <c r="U42" i="12" a="1"/>
  <c r="U38" i="12" a="1"/>
  <c r="U34" i="12" a="1"/>
  <c r="U29" i="12" a="1"/>
  <c r="U18" i="12" a="1"/>
  <c r="B25" i="3" a="1"/>
  <c r="W204" i="12" a="1"/>
  <c r="X199" i="12" a="1"/>
  <c r="U191" i="12" a="1"/>
  <c r="U182" i="12" a="1"/>
  <c r="U176" i="12" a="1"/>
  <c r="X171" i="12" a="1"/>
  <c r="X167" i="12" a="1"/>
  <c r="X163" i="12" a="1"/>
  <c r="X159" i="12" a="1"/>
  <c r="X155" i="12" a="1"/>
  <c r="X151" i="12" a="1"/>
  <c r="X147" i="12" a="1"/>
  <c r="X143" i="12" a="1"/>
  <c r="X139" i="12" a="1"/>
  <c r="X135" i="12" a="1"/>
  <c r="X131" i="12" a="1"/>
  <c r="X127" i="12" a="1"/>
  <c r="X123" i="12" a="1"/>
  <c r="X119" i="12" a="1"/>
  <c r="X115" i="12" a="1"/>
  <c r="X111" i="12" a="1"/>
  <c r="X107" i="12" a="1"/>
  <c r="X103" i="12" a="1"/>
  <c r="X99" i="12" a="1"/>
  <c r="X95" i="12" a="1"/>
  <c r="X91" i="12" a="1"/>
  <c r="X87" i="12" a="1"/>
  <c r="X83" i="12" a="1"/>
  <c r="X79" i="12" a="1"/>
  <c r="X75" i="12" a="1"/>
  <c r="X71" i="12" a="1"/>
  <c r="X67" i="12" a="1"/>
  <c r="X63" i="12" a="1"/>
  <c r="X59" i="12" a="1"/>
  <c r="X55" i="12" a="1"/>
  <c r="X51" i="12" a="1"/>
  <c r="X47" i="12" a="1"/>
  <c r="X43" i="12" a="1"/>
  <c r="X39" i="12" a="1"/>
  <c r="X35" i="12" a="1"/>
  <c r="X31" i="12" a="1"/>
  <c r="X27" i="12" a="1"/>
  <c r="X23" i="12" a="1"/>
  <c r="X19" i="12" a="1"/>
  <c r="X15" i="12" a="1"/>
  <c r="X11" i="12" a="1"/>
  <c r="X7" i="12" a="1"/>
  <c r="X3" i="12" a="1"/>
  <c r="B98" i="3" a="1"/>
  <c r="B86" i="3" a="1"/>
  <c r="B75" i="3" a="1"/>
  <c r="B54" i="3" a="1"/>
  <c r="B38" i="3" a="1"/>
  <c r="B29" i="3" a="1"/>
  <c r="B11" i="3" a="1"/>
  <c r="V71" i="12" a="1"/>
  <c r="V65" i="12" a="1"/>
  <c r="V54" i="12" a="1"/>
  <c r="V43" i="12" a="1"/>
  <c r="V31" i="12" a="1"/>
  <c r="V21" i="12" a="1"/>
  <c r="V10" i="12" a="1"/>
  <c r="B104" i="3" a="1"/>
  <c r="B70" i="3" a="1"/>
  <c r="U31" i="12" a="1"/>
  <c r="B43" i="3" a="1"/>
  <c r="U183" i="12" a="1"/>
  <c r="V166" i="12" a="1"/>
  <c r="V158" i="12" a="1"/>
  <c r="V150" i="12" a="1"/>
  <c r="V142" i="12" a="1"/>
  <c r="V134" i="12" a="1"/>
  <c r="V126" i="12" a="1"/>
  <c r="V118" i="12" a="1"/>
  <c r="V110" i="12" a="1"/>
  <c r="V102" i="12" a="1"/>
  <c r="V94" i="12" a="1"/>
  <c r="V86" i="12" a="1"/>
  <c r="V77" i="12" a="1"/>
  <c r="V53" i="12" a="1"/>
  <c r="V22" i="12" a="1"/>
  <c r="B21" i="3" a="1"/>
  <c r="B78" i="3" a="1"/>
  <c r="V210" i="12" a="1"/>
  <c r="U192" i="12" a="1"/>
  <c r="X178" i="12" a="1"/>
  <c r="U173" i="12" a="1"/>
  <c r="U169" i="12" a="1"/>
  <c r="U165" i="12" a="1"/>
  <c r="U161" i="12" a="1"/>
  <c r="U157" i="12" a="1"/>
  <c r="U153" i="12" a="1"/>
  <c r="U149" i="12" a="1"/>
  <c r="U145" i="12" a="1"/>
  <c r="U141" i="12" a="1"/>
  <c r="U137" i="12" a="1"/>
  <c r="U133" i="12" a="1"/>
  <c r="U129" i="12" a="1"/>
  <c r="U125" i="12" a="1"/>
  <c r="U121" i="12" a="1"/>
  <c r="U117" i="12" a="1"/>
  <c r="U113" i="12" a="1"/>
  <c r="U109" i="12" a="1"/>
  <c r="U105" i="12" a="1"/>
  <c r="U101" i="12" a="1"/>
  <c r="U97" i="12" a="1"/>
  <c r="U93" i="12" a="1"/>
  <c r="U89" i="12" a="1"/>
  <c r="U85" i="12" a="1"/>
  <c r="U81" i="12" a="1"/>
  <c r="U77" i="12" a="1"/>
  <c r="U73" i="12" a="1"/>
  <c r="U69" i="12" a="1"/>
  <c r="U65" i="12" a="1"/>
  <c r="U61" i="12" a="1"/>
  <c r="U57" i="12" a="1"/>
  <c r="U53" i="12" a="1"/>
  <c r="U49" i="12" a="1"/>
  <c r="U45" i="12" a="1"/>
  <c r="U41" i="12" a="1"/>
  <c r="U37" i="12" a="1"/>
  <c r="U33" i="12" a="1"/>
  <c r="U28" i="12" a="1"/>
  <c r="U12" i="12" a="1"/>
  <c r="U207" i="12" a="1"/>
  <c r="V202" i="12" a="1"/>
  <c r="W197" i="12" a="1"/>
  <c r="W188" i="12" a="1"/>
  <c r="X181" i="12" a="1"/>
  <c r="X174" i="12" a="1"/>
  <c r="X170" i="12" a="1"/>
  <c r="X166" i="12" a="1"/>
  <c r="X162" i="12" a="1"/>
  <c r="X158" i="12" a="1"/>
  <c r="X154" i="12" a="1"/>
  <c r="X150" i="12" a="1"/>
  <c r="X146" i="12" a="1"/>
  <c r="X142" i="12" a="1"/>
  <c r="X138" i="12" a="1"/>
  <c r="X134" i="12" a="1"/>
  <c r="X130" i="12" a="1"/>
  <c r="X126" i="12" a="1"/>
  <c r="X122" i="12" a="1"/>
  <c r="X118" i="12" a="1"/>
  <c r="X114" i="12" a="1"/>
  <c r="X110" i="12" a="1"/>
  <c r="X106" i="12" a="1"/>
  <c r="X102" i="12" a="1"/>
  <c r="X98" i="12" a="1"/>
  <c r="X94" i="12" a="1"/>
  <c r="X90" i="12" a="1"/>
  <c r="X86" i="12" a="1"/>
  <c r="X82" i="12" a="1"/>
  <c r="X78" i="12" a="1"/>
  <c r="X74" i="12" a="1"/>
  <c r="X70" i="12" a="1"/>
  <c r="X66" i="12" a="1"/>
  <c r="X62" i="12" a="1"/>
  <c r="X58" i="12" a="1"/>
  <c r="X54" i="12" a="1"/>
  <c r="X50" i="12" a="1"/>
  <c r="X46" i="12" a="1"/>
  <c r="X42" i="12" a="1"/>
  <c r="X38" i="12" a="1"/>
  <c r="X34" i="12" a="1"/>
  <c r="X30" i="12" a="1"/>
  <c r="X26" i="12" a="1"/>
  <c r="X22" i="12" a="1"/>
  <c r="X18" i="12" a="1"/>
  <c r="X14" i="12" a="1"/>
  <c r="X10" i="12" a="1"/>
  <c r="X6" i="12" a="1"/>
  <c r="X2" i="12" a="1"/>
  <c r="B97" i="3" a="1"/>
  <c r="B82" i="3" a="1"/>
  <c r="B73" i="3" a="1"/>
  <c r="B50" i="3" a="1"/>
  <c r="B35" i="3" a="1"/>
  <c r="B23" i="3" a="1"/>
  <c r="B7" i="3" a="1"/>
  <c r="V70" i="12" a="1"/>
  <c r="V62" i="12" a="1"/>
  <c r="V51" i="12" a="1"/>
  <c r="V39" i="12" a="1"/>
  <c r="V28" i="12" a="1"/>
  <c r="V18" i="12" a="1"/>
  <c r="V7" i="12" a="1"/>
  <c r="B95" i="3" a="1"/>
  <c r="B59" i="3" a="1"/>
  <c r="U23" i="12" a="1"/>
  <c r="U10" i="12" a="1"/>
  <c r="B74" i="3" a="1"/>
  <c r="B16" i="3" a="1"/>
  <c r="B65" i="3" a="1"/>
  <c r="B10" i="3" a="1"/>
  <c r="V66" i="12" a="1"/>
  <c r="V35" i="12" a="1"/>
  <c r="B107" i="3" a="1"/>
  <c r="B89" i="3" a="1"/>
  <c r="B12" i="3" a="1"/>
  <c r="U3" i="12" a="1"/>
  <c r="B101" i="3" a="1"/>
  <c r="B101" i="3" l="1"/>
  <c r="U3" i="12"/>
  <c r="B12" i="3"/>
  <c r="B89" i="3"/>
  <c r="B107" i="3"/>
  <c r="V35" i="12"/>
  <c r="V66" i="12"/>
  <c r="B10" i="3"/>
  <c r="B65" i="3"/>
  <c r="B16" i="3"/>
  <c r="B74" i="3"/>
  <c r="U10" i="12"/>
  <c r="U23" i="12"/>
  <c r="B59" i="3"/>
  <c r="B95" i="3"/>
  <c r="V7" i="12"/>
  <c r="V18" i="12"/>
  <c r="V28" i="12"/>
  <c r="V39" i="12"/>
  <c r="V51" i="12"/>
  <c r="V62" i="12"/>
  <c r="V70" i="12"/>
  <c r="B7" i="3"/>
  <c r="B23" i="3"/>
  <c r="B35" i="3"/>
  <c r="B50" i="3"/>
  <c r="B73" i="3"/>
  <c r="B82" i="3"/>
  <c r="B97" i="3"/>
  <c r="X2" i="12"/>
  <c r="X6" i="12"/>
  <c r="X10" i="12"/>
  <c r="X14" i="12"/>
  <c r="X18" i="12"/>
  <c r="X22" i="12"/>
  <c r="X26" i="12"/>
  <c r="X30" i="12"/>
  <c r="X34" i="12"/>
  <c r="X38" i="12"/>
  <c r="X42" i="12"/>
  <c r="X46" i="12"/>
  <c r="X50" i="12"/>
  <c r="X54" i="12"/>
  <c r="X58" i="12"/>
  <c r="X62" i="12"/>
  <c r="X66" i="12"/>
  <c r="X70" i="12"/>
  <c r="X74" i="12"/>
  <c r="X78" i="12"/>
  <c r="X82" i="12"/>
  <c r="X86" i="12"/>
  <c r="X90" i="12"/>
  <c r="X94" i="12"/>
  <c r="X98" i="12"/>
  <c r="X102" i="12"/>
  <c r="X106" i="12"/>
  <c r="X110" i="12"/>
  <c r="X114" i="12"/>
  <c r="X118" i="12"/>
  <c r="X122" i="12"/>
  <c r="X126" i="12"/>
  <c r="X130" i="12"/>
  <c r="X134" i="12"/>
  <c r="X138" i="12"/>
  <c r="X142" i="12"/>
  <c r="X146" i="12"/>
  <c r="X150" i="12"/>
  <c r="X154" i="12"/>
  <c r="X158" i="12"/>
  <c r="X162" i="12"/>
  <c r="X166" i="12"/>
  <c r="X170" i="12"/>
  <c r="X174" i="12"/>
  <c r="X181" i="12"/>
  <c r="W188" i="12"/>
  <c r="W197" i="12"/>
  <c r="V202" i="12"/>
  <c r="U207" i="12"/>
  <c r="U12" i="12"/>
  <c r="U28" i="12"/>
  <c r="U33" i="12"/>
  <c r="U37" i="12"/>
  <c r="U41" i="12"/>
  <c r="U45" i="12"/>
  <c r="U49" i="12"/>
  <c r="U53" i="12"/>
  <c r="U57" i="12"/>
  <c r="U61" i="12"/>
  <c r="U65" i="12"/>
  <c r="U69" i="12"/>
  <c r="U73" i="12"/>
  <c r="U77" i="12"/>
  <c r="U81" i="12"/>
  <c r="U85" i="12"/>
  <c r="U89" i="12"/>
  <c r="U93" i="12"/>
  <c r="U97" i="12"/>
  <c r="U101" i="12"/>
  <c r="U105" i="12"/>
  <c r="U109" i="12"/>
  <c r="U113" i="12"/>
  <c r="U117" i="12"/>
  <c r="U121" i="12"/>
  <c r="U125" i="12"/>
  <c r="U129" i="12"/>
  <c r="U133" i="12"/>
  <c r="U137" i="12"/>
  <c r="U141" i="12"/>
  <c r="U145" i="12"/>
  <c r="U149" i="12"/>
  <c r="U153" i="12"/>
  <c r="U157" i="12"/>
  <c r="U161" i="12"/>
  <c r="U165" i="12"/>
  <c r="U169" i="12"/>
  <c r="U173" i="12"/>
  <c r="X178" i="12"/>
  <c r="U192" i="12"/>
  <c r="V210" i="12"/>
  <c r="B78" i="3"/>
  <c r="B21" i="3"/>
  <c r="V22" i="12"/>
  <c r="V53" i="12"/>
  <c r="V77" i="12"/>
  <c r="V86" i="12"/>
  <c r="V94" i="12"/>
  <c r="V102" i="12"/>
  <c r="V110" i="12"/>
  <c r="V118" i="12"/>
  <c r="V126" i="12"/>
  <c r="V134" i="12"/>
  <c r="V142" i="12"/>
  <c r="V150" i="12"/>
  <c r="V158" i="12"/>
  <c r="V166" i="12"/>
  <c r="U183" i="12"/>
  <c r="B43" i="3"/>
  <c r="U31" i="12"/>
  <c r="B70" i="3"/>
  <c r="B104" i="3"/>
  <c r="V10" i="12"/>
  <c r="V21" i="12"/>
  <c r="V31" i="12"/>
  <c r="V43" i="12"/>
  <c r="V54" i="12"/>
  <c r="V65" i="12"/>
  <c r="V71" i="12"/>
  <c r="B11" i="3"/>
  <c r="B29" i="3"/>
  <c r="B38" i="3"/>
  <c r="B54" i="3"/>
  <c r="B75" i="3"/>
  <c r="B86" i="3"/>
  <c r="B98" i="3"/>
  <c r="X3" i="12"/>
  <c r="X7" i="12"/>
  <c r="X11" i="12"/>
  <c r="X15" i="12"/>
  <c r="X19" i="12"/>
  <c r="X23" i="12"/>
  <c r="X27" i="12"/>
  <c r="X31" i="12"/>
  <c r="X35" i="12"/>
  <c r="X39" i="12"/>
  <c r="X43" i="12"/>
  <c r="X47" i="12"/>
  <c r="X51" i="12"/>
  <c r="X55" i="12"/>
  <c r="X59" i="12"/>
  <c r="X63" i="12"/>
  <c r="X67" i="12"/>
  <c r="X71" i="12"/>
  <c r="X75" i="12"/>
  <c r="X79" i="12"/>
  <c r="X83" i="12"/>
  <c r="X87" i="12"/>
  <c r="X91" i="12"/>
  <c r="X95" i="12"/>
  <c r="X99" i="12"/>
  <c r="X103" i="12"/>
  <c r="X107" i="12"/>
  <c r="X111" i="12"/>
  <c r="X115" i="12"/>
  <c r="X119" i="12"/>
  <c r="X123" i="12"/>
  <c r="X127" i="12"/>
  <c r="X131" i="12"/>
  <c r="X135" i="12"/>
  <c r="X139" i="12"/>
  <c r="X143" i="12"/>
  <c r="X147" i="12"/>
  <c r="X151" i="12"/>
  <c r="X155" i="12"/>
  <c r="X159" i="12"/>
  <c r="X163" i="12"/>
  <c r="X167" i="12"/>
  <c r="X171" i="12"/>
  <c r="U176" i="12"/>
  <c r="U182" i="12"/>
  <c r="U191" i="12"/>
  <c r="X199" i="12"/>
  <c r="W204" i="12"/>
  <c r="B25" i="3"/>
  <c r="U18" i="12"/>
  <c r="U29" i="12"/>
  <c r="U34" i="12"/>
  <c r="U38" i="12"/>
  <c r="U42" i="12"/>
  <c r="U46" i="12"/>
  <c r="U50" i="12"/>
  <c r="U54" i="12"/>
  <c r="U58" i="12"/>
  <c r="U62" i="12"/>
  <c r="U66" i="12"/>
  <c r="U70" i="12"/>
  <c r="U74" i="12"/>
  <c r="U78" i="12"/>
  <c r="U82" i="12"/>
  <c r="U86" i="12"/>
  <c r="U90" i="12"/>
  <c r="U94" i="12"/>
  <c r="U98" i="12"/>
  <c r="U102" i="12"/>
  <c r="U106" i="12"/>
  <c r="U110" i="12"/>
  <c r="U114" i="12"/>
  <c r="U118" i="12"/>
  <c r="U122" i="12"/>
  <c r="U126" i="12"/>
  <c r="U130" i="12"/>
  <c r="U134" i="12"/>
  <c r="U138" i="12"/>
  <c r="U142" i="12"/>
  <c r="U146" i="12"/>
  <c r="U150" i="12"/>
  <c r="U154" i="12"/>
  <c r="U158" i="12"/>
  <c r="U162" i="12"/>
  <c r="U166" i="12"/>
  <c r="U170" i="12"/>
  <c r="U174" i="12"/>
  <c r="W179" i="12"/>
  <c r="W194" i="12"/>
  <c r="W212" i="12"/>
  <c r="B102" i="3"/>
  <c r="B56" i="3"/>
  <c r="V27" i="12"/>
  <c r="V57" i="12"/>
  <c r="V79" i="12"/>
  <c r="V87" i="12"/>
  <c r="V95" i="12"/>
  <c r="V103" i="12"/>
  <c r="V111" i="12"/>
  <c r="V119" i="12"/>
  <c r="V127" i="12"/>
  <c r="V135" i="12"/>
  <c r="V143" i="12"/>
  <c r="V151" i="12"/>
  <c r="V159" i="12"/>
  <c r="V167" i="12"/>
  <c r="U190" i="12"/>
  <c r="U15" i="12"/>
  <c r="V24" i="12"/>
  <c r="V56" i="12"/>
  <c r="B15" i="3"/>
  <c r="B30" i="3"/>
  <c r="B42" i="3"/>
  <c r="B61" i="3"/>
  <c r="B76" i="3"/>
  <c r="B93" i="3"/>
  <c r="B99" i="3"/>
  <c r="X4" i="12"/>
  <c r="X8" i="12"/>
  <c r="X12" i="12"/>
  <c r="X16" i="12"/>
  <c r="X20" i="12"/>
  <c r="X24" i="12"/>
  <c r="X28" i="12"/>
  <c r="X32" i="12"/>
  <c r="X36" i="12"/>
  <c r="X40" i="12"/>
  <c r="X44" i="12"/>
  <c r="X48" i="12"/>
  <c r="X52" i="12"/>
  <c r="X56" i="12"/>
  <c r="X60" i="12"/>
  <c r="X64" i="12"/>
  <c r="X68" i="12"/>
  <c r="X72" i="12"/>
  <c r="X76" i="12"/>
  <c r="X80" i="12"/>
  <c r="X84" i="12"/>
  <c r="X88" i="12"/>
  <c r="X92" i="12"/>
  <c r="X96" i="12"/>
  <c r="X100" i="12"/>
  <c r="X104" i="12"/>
  <c r="X108" i="12"/>
  <c r="X112" i="12"/>
  <c r="X116" i="12"/>
  <c r="X120" i="12"/>
  <c r="X124" i="12"/>
  <c r="X128" i="12"/>
  <c r="X132" i="12"/>
  <c r="X136" i="12"/>
  <c r="X140" i="12"/>
  <c r="X144" i="12"/>
  <c r="X148" i="12"/>
  <c r="X152" i="12"/>
  <c r="X156" i="12"/>
  <c r="X160" i="12"/>
  <c r="X164" i="12"/>
  <c r="X168" i="12"/>
  <c r="X172" i="12"/>
  <c r="X177" i="12"/>
  <c r="V184" i="12"/>
  <c r="V193" i="12"/>
  <c r="U200" i="12"/>
  <c r="W205" i="12"/>
  <c r="V2" i="12"/>
  <c r="U22" i="12"/>
  <c r="U30" i="12"/>
  <c r="U35" i="12"/>
  <c r="U39" i="12"/>
  <c r="U43" i="12"/>
  <c r="U47" i="12"/>
  <c r="U51" i="12"/>
  <c r="U55" i="12"/>
  <c r="U59" i="12"/>
  <c r="U63" i="12"/>
  <c r="U67" i="12"/>
  <c r="U71" i="12"/>
  <c r="U75" i="12"/>
  <c r="U79" i="12"/>
  <c r="U83" i="12"/>
  <c r="U87" i="12"/>
  <c r="U91" i="12"/>
  <c r="U95" i="12"/>
  <c r="U99" i="12"/>
  <c r="U103" i="12"/>
  <c r="U107" i="12"/>
  <c r="U111" i="12"/>
  <c r="U115" i="12"/>
  <c r="U119" i="12"/>
  <c r="U123" i="12"/>
  <c r="U127" i="12"/>
  <c r="U131" i="12"/>
  <c r="U135" i="12"/>
  <c r="U139" i="12"/>
  <c r="U143" i="12"/>
  <c r="U147" i="12"/>
  <c r="U151" i="12"/>
  <c r="U155" i="12"/>
  <c r="U159" i="12"/>
  <c r="U163" i="12"/>
  <c r="U167" i="12"/>
  <c r="U171" i="12"/>
  <c r="U175" i="12"/>
  <c r="U185" i="12"/>
  <c r="U198" i="12"/>
  <c r="U215" i="12"/>
  <c r="U11" i="12"/>
  <c r="V8" i="12"/>
  <c r="V38" i="12"/>
  <c r="V67" i="12"/>
  <c r="V82" i="12"/>
  <c r="V90" i="12"/>
  <c r="V98" i="12"/>
  <c r="V106" i="12"/>
  <c r="V114" i="12"/>
  <c r="V122" i="12"/>
  <c r="V130" i="12"/>
  <c r="V138" i="12"/>
  <c r="V146" i="12"/>
  <c r="V154" i="12"/>
  <c r="V162" i="12"/>
  <c r="V171" i="12"/>
  <c r="X198" i="12"/>
  <c r="U14" i="12"/>
  <c r="B46" i="3"/>
  <c r="V13" i="12"/>
  <c r="V46" i="12"/>
  <c r="V73" i="12"/>
  <c r="U5" i="12"/>
  <c r="U19" i="12"/>
  <c r="B28" i="3"/>
  <c r="B92" i="3"/>
  <c r="V5" i="12"/>
  <c r="V16" i="12"/>
  <c r="V26" i="12"/>
  <c r="V37" i="12"/>
  <c r="V48" i="12"/>
  <c r="V59" i="12"/>
  <c r="V68" i="12"/>
  <c r="V75" i="12"/>
  <c r="B20" i="3"/>
  <c r="B32" i="3"/>
  <c r="B47" i="3"/>
  <c r="B72" i="3"/>
  <c r="B79" i="3"/>
  <c r="B96" i="3"/>
  <c r="U2" i="12"/>
  <c r="X5" i="12"/>
  <c r="X9" i="12"/>
  <c r="X13" i="12"/>
  <c r="X17" i="12"/>
  <c r="X21" i="12"/>
  <c r="X25" i="12"/>
  <c r="X29" i="12"/>
  <c r="X33" i="12"/>
  <c r="X37" i="12"/>
  <c r="X41" i="12"/>
  <c r="X45" i="12"/>
  <c r="X49" i="12"/>
  <c r="X53" i="12"/>
  <c r="X57" i="12"/>
  <c r="X61" i="12"/>
  <c r="X65" i="12"/>
  <c r="X69" i="12"/>
  <c r="X73" i="12"/>
  <c r="X77" i="12"/>
  <c r="X81" i="12"/>
  <c r="X85" i="12"/>
  <c r="X89" i="12"/>
  <c r="X93" i="12"/>
  <c r="X97" i="12"/>
  <c r="X101" i="12"/>
  <c r="X105" i="12"/>
  <c r="X109" i="12"/>
  <c r="X113" i="12"/>
  <c r="X117" i="12"/>
  <c r="X121" i="12"/>
  <c r="X125" i="12"/>
  <c r="X129" i="12"/>
  <c r="X133" i="12"/>
  <c r="X137" i="12"/>
  <c r="X141" i="12"/>
  <c r="X145" i="12"/>
  <c r="X149" i="12"/>
  <c r="X153" i="12"/>
  <c r="X157" i="12"/>
  <c r="X161" i="12"/>
  <c r="X165" i="12"/>
  <c r="X169" i="12"/>
  <c r="X173" i="12"/>
  <c r="W178" i="12"/>
  <c r="W187" i="12"/>
  <c r="V194" i="12"/>
  <c r="V201" i="12"/>
  <c r="X206" i="12"/>
  <c r="U8" i="12"/>
  <c r="U25" i="12"/>
  <c r="U32" i="12"/>
  <c r="U36" i="12"/>
  <c r="U40" i="12"/>
  <c r="U44" i="12"/>
  <c r="U48" i="12"/>
  <c r="U52" i="12"/>
  <c r="U56" i="12"/>
  <c r="U60" i="12"/>
  <c r="U64" i="12"/>
  <c r="U68" i="12"/>
  <c r="U72" i="12"/>
  <c r="U76" i="12"/>
  <c r="U80" i="12"/>
  <c r="U84" i="12"/>
  <c r="U88" i="12"/>
  <c r="U92" i="12"/>
  <c r="U96" i="12"/>
  <c r="U100" i="12"/>
  <c r="U104" i="12"/>
  <c r="U108" i="12"/>
  <c r="U112" i="12"/>
  <c r="U116" i="12"/>
  <c r="U120" i="12"/>
  <c r="U124" i="12"/>
  <c r="U128" i="12"/>
  <c r="U132" i="12"/>
  <c r="U136" i="12"/>
  <c r="U140" i="12"/>
  <c r="U144" i="12"/>
  <c r="U148" i="12"/>
  <c r="U152" i="12"/>
  <c r="U156" i="12"/>
  <c r="U160" i="12"/>
  <c r="U164" i="12"/>
  <c r="U168" i="12"/>
  <c r="U172" i="12"/>
  <c r="W176" i="12"/>
  <c r="X188" i="12"/>
  <c r="X207" i="12"/>
  <c r="B34" i="3"/>
  <c r="U16" i="12"/>
  <c r="V11" i="12"/>
  <c r="V41" i="12"/>
  <c r="V69" i="12"/>
  <c r="V83" i="12"/>
  <c r="V91" i="12"/>
  <c r="V99" i="12"/>
  <c r="V107" i="12"/>
  <c r="V115" i="12"/>
  <c r="V123" i="12"/>
  <c r="V131" i="12"/>
  <c r="V139" i="12"/>
  <c r="V147" i="12"/>
  <c r="V155" i="12"/>
  <c r="V163" i="12"/>
  <c r="W175" i="12"/>
  <c r="X217" i="12"/>
  <c r="X182" i="12"/>
  <c r="X191" i="12"/>
  <c r="X197" i="12"/>
  <c r="V209" i="12"/>
  <c r="X214" i="12"/>
  <c r="B67" i="3"/>
  <c r="U7" i="12"/>
  <c r="U26" i="12"/>
  <c r="V3" i="12"/>
  <c r="V19" i="12"/>
  <c r="V33" i="12"/>
  <c r="V49" i="12"/>
  <c r="V63" i="12"/>
  <c r="V74" i="12"/>
  <c r="V81" i="12"/>
  <c r="V85" i="12"/>
  <c r="V89" i="12"/>
  <c r="V93" i="12"/>
  <c r="V97" i="12"/>
  <c r="V101" i="12"/>
  <c r="V105" i="12"/>
  <c r="V109" i="12"/>
  <c r="V113" i="12"/>
  <c r="V117" i="12"/>
  <c r="V121" i="12"/>
  <c r="V125" i="12"/>
  <c r="V129" i="12"/>
  <c r="V133" i="12"/>
  <c r="V137" i="12"/>
  <c r="V141" i="12"/>
  <c r="V145" i="12"/>
  <c r="V149" i="12"/>
  <c r="V153" i="12"/>
  <c r="V157" i="12"/>
  <c r="V161" i="12"/>
  <c r="V165" i="12"/>
  <c r="V169" i="12"/>
  <c r="V173" i="12"/>
  <c r="X179" i="12"/>
  <c r="V186" i="12"/>
  <c r="W195" i="12"/>
  <c r="X215" i="12"/>
  <c r="X219" i="12"/>
  <c r="V224" i="12"/>
  <c r="W228" i="12"/>
  <c r="U232" i="12"/>
  <c r="B26" i="3"/>
  <c r="B71" i="3"/>
  <c r="U6" i="12"/>
  <c r="U20" i="12"/>
  <c r="B33" i="3"/>
  <c r="B63" i="3"/>
  <c r="B91" i="3"/>
  <c r="V9" i="12"/>
  <c r="V20" i="12"/>
  <c r="V32" i="12"/>
  <c r="V42" i="12"/>
  <c r="V52" i="12"/>
  <c r="V64" i="12"/>
  <c r="B17" i="3"/>
  <c r="B31" i="3"/>
  <c r="B40" i="3"/>
  <c r="B51" i="3"/>
  <c r="B62" i="3"/>
  <c r="B83" i="3"/>
  <c r="B94" i="3"/>
  <c r="W2" i="12"/>
  <c r="W6" i="12"/>
  <c r="W10" i="12"/>
  <c r="W14" i="12"/>
  <c r="W18" i="12"/>
  <c r="W22" i="12"/>
  <c r="W26" i="12"/>
  <c r="W30" i="12"/>
  <c r="W34" i="12"/>
  <c r="W38" i="12"/>
  <c r="W42" i="12"/>
  <c r="W46" i="12"/>
  <c r="W50" i="12"/>
  <c r="W54" i="12"/>
  <c r="W58" i="12"/>
  <c r="W62" i="12"/>
  <c r="W66" i="12"/>
  <c r="W70" i="12"/>
  <c r="W74" i="12"/>
  <c r="W78" i="12"/>
  <c r="W82" i="12"/>
  <c r="W86" i="12"/>
  <c r="W90" i="12"/>
  <c r="W94" i="12"/>
  <c r="W98" i="12"/>
  <c r="W102" i="12"/>
  <c r="W106" i="12"/>
  <c r="W110" i="12"/>
  <c r="W114" i="12"/>
  <c r="W118" i="12"/>
  <c r="W122" i="12"/>
  <c r="W126" i="12"/>
  <c r="W130" i="12"/>
  <c r="W134" i="12"/>
  <c r="W138" i="12"/>
  <c r="W142" i="12"/>
  <c r="W146" i="12"/>
  <c r="W150" i="12"/>
  <c r="W154" i="12"/>
  <c r="W158" i="12"/>
  <c r="W162" i="12"/>
  <c r="W166" i="12"/>
  <c r="W170" i="12"/>
  <c r="W174" i="12"/>
  <c r="W181" i="12"/>
  <c r="V187" i="12"/>
  <c r="U197" i="12"/>
  <c r="V175" i="12"/>
  <c r="V179" i="12"/>
  <c r="W183" i="12"/>
  <c r="U187" i="12"/>
  <c r="W191" i="12"/>
  <c r="U195" i="12"/>
  <c r="X200" i="12"/>
  <c r="V203" i="12"/>
  <c r="X208" i="12"/>
  <c r="V211" i="12"/>
  <c r="W216" i="12"/>
  <c r="X220" i="12"/>
  <c r="V223" i="12"/>
  <c r="U227" i="12"/>
  <c r="W231" i="12"/>
  <c r="U235" i="12"/>
  <c r="W239" i="12"/>
  <c r="U243" i="12"/>
  <c r="W247" i="12"/>
  <c r="U250" i="12"/>
  <c r="W255" i="12"/>
  <c r="W259" i="12"/>
  <c r="U262" i="12"/>
  <c r="U266" i="12"/>
  <c r="W271" i="12"/>
  <c r="U274" i="12"/>
  <c r="X278" i="12"/>
  <c r="W282" i="12"/>
  <c r="W286" i="12"/>
  <c r="U290" i="12"/>
  <c r="W294" i="12"/>
  <c r="U298" i="12"/>
  <c r="W302" i="12"/>
  <c r="U306" i="12"/>
  <c r="W310" i="12"/>
  <c r="U314" i="12"/>
  <c r="W318" i="12"/>
  <c r="U322" i="12"/>
  <c r="W327" i="12"/>
  <c r="U330" i="12"/>
  <c r="W335" i="12"/>
  <c r="U338" i="12"/>
  <c r="X342" i="12"/>
  <c r="V345" i="12"/>
  <c r="X350" i="12"/>
  <c r="V353" i="12"/>
  <c r="U358" i="12"/>
  <c r="W362" i="12"/>
  <c r="U366" i="12"/>
  <c r="W370" i="12"/>
  <c r="U374" i="12"/>
  <c r="W378" i="12"/>
  <c r="U382" i="12"/>
  <c r="W386" i="12"/>
  <c r="U390" i="12"/>
  <c r="W394" i="12"/>
  <c r="U398" i="12"/>
  <c r="W402" i="12"/>
  <c r="U406" i="12"/>
  <c r="U410" i="12"/>
  <c r="U414" i="12"/>
  <c r="U418" i="12"/>
  <c r="U422" i="12"/>
  <c r="X427" i="12"/>
  <c r="U430" i="12"/>
  <c r="X435" i="12"/>
  <c r="U438" i="12"/>
  <c r="X443" i="12"/>
  <c r="U446" i="12"/>
  <c r="X451" i="12"/>
  <c r="U454" i="12"/>
  <c r="X459" i="12"/>
  <c r="U462" i="12"/>
  <c r="X467" i="12"/>
  <c r="U470" i="12"/>
  <c r="W474" i="12"/>
  <c r="W479" i="12"/>
  <c r="U482" i="12"/>
  <c r="W485" i="12"/>
  <c r="V489" i="12"/>
  <c r="U493" i="12"/>
  <c r="V496" i="12"/>
  <c r="V502" i="12"/>
  <c r="W506" i="12"/>
  <c r="W511" i="12"/>
  <c r="U514" i="12"/>
  <c r="W517" i="12"/>
  <c r="V521" i="12"/>
  <c r="U525" i="12"/>
  <c r="V528" i="12"/>
  <c r="V534" i="12"/>
  <c r="W538" i="12"/>
  <c r="W543" i="12"/>
  <c r="U546" i="12"/>
  <c r="V552" i="12"/>
  <c r="V556" i="12"/>
  <c r="V561" i="12"/>
  <c r="X566" i="12"/>
  <c r="W575" i="12"/>
  <c r="X582" i="12"/>
  <c r="W591" i="12"/>
  <c r="X598" i="12"/>
  <c r="U607" i="12"/>
  <c r="U613" i="12"/>
  <c r="W621" i="12"/>
  <c r="U628" i="12"/>
  <c r="X238" i="12"/>
  <c r="V242" i="12"/>
  <c r="X246" i="12"/>
  <c r="V250" i="12"/>
  <c r="U255" i="12"/>
  <c r="X258" i="12"/>
  <c r="V262" i="12"/>
  <c r="V267" i="12"/>
  <c r="U271" i="12"/>
  <c r="V274" i="12"/>
  <c r="V279" i="12"/>
  <c r="X283" i="12"/>
  <c r="X287" i="12"/>
  <c r="V291" i="12"/>
  <c r="X295" i="12"/>
  <c r="V299" i="12"/>
  <c r="X303" i="12"/>
  <c r="V307" i="12"/>
  <c r="X311" i="12"/>
  <c r="V315" i="12"/>
  <c r="X319" i="12"/>
  <c r="W324" i="12"/>
  <c r="X327" i="12"/>
  <c r="W332" i="12"/>
  <c r="X335" i="12"/>
  <c r="W340" i="12"/>
  <c r="V344" i="12"/>
  <c r="U349" i="12"/>
  <c r="V352" i="12"/>
  <c r="U357" i="12"/>
  <c r="W361" i="12"/>
  <c r="U365" i="12"/>
  <c r="W369" i="12"/>
  <c r="U373" i="12"/>
  <c r="W377" i="12"/>
  <c r="U381" i="12"/>
  <c r="W385" i="12"/>
  <c r="U389" i="12"/>
  <c r="W393" i="12"/>
  <c r="U397" i="12"/>
  <c r="W401" i="12"/>
  <c r="U405" i="12"/>
  <c r="U409" i="12"/>
  <c r="U413" i="12"/>
  <c r="U417" i="12"/>
  <c r="U421" i="12"/>
  <c r="X425" i="12"/>
  <c r="V429" i="12"/>
  <c r="X433" i="12"/>
  <c r="V437" i="12"/>
  <c r="X441" i="12"/>
  <c r="V445" i="12"/>
  <c r="X449" i="12"/>
  <c r="V453" i="12"/>
  <c r="X457" i="12"/>
  <c r="V461" i="12"/>
  <c r="X465" i="12"/>
  <c r="V469" i="12"/>
  <c r="U473" i="12"/>
  <c r="X475" i="12"/>
  <c r="X479" i="12"/>
  <c r="U483" i="12"/>
  <c r="U486" i="12"/>
  <c r="V492" i="12"/>
  <c r="W496" i="12"/>
  <c r="W500" i="12"/>
  <c r="U505" i="12"/>
  <c r="X507" i="12"/>
  <c r="X511" i="12"/>
  <c r="U515" i="12"/>
  <c r="U518" i="12"/>
  <c r="V524" i="12"/>
  <c r="W528" i="12"/>
  <c r="W532" i="12"/>
  <c r="U537" i="12"/>
  <c r="X539" i="12"/>
  <c r="X543" i="12"/>
  <c r="U547" i="12"/>
  <c r="X552" i="12"/>
  <c r="X556" i="12"/>
  <c r="V565" i="12"/>
  <c r="V574" i="12"/>
  <c r="V581" i="12"/>
  <c r="V590" i="12"/>
  <c r="V597" i="12"/>
  <c r="V605" i="12"/>
  <c r="U612" i="12"/>
  <c r="W618" i="12"/>
  <c r="X628" i="12"/>
  <c r="X632" i="12"/>
  <c r="X636" i="12"/>
  <c r="X640" i="12"/>
  <c r="X644" i="12"/>
  <c r="X648" i="12"/>
  <c r="X652" i="12"/>
  <c r="X656" i="12"/>
  <c r="X660" i="12"/>
  <c r="X664" i="12"/>
  <c r="X668" i="12"/>
  <c r="X204" i="12"/>
  <c r="V207" i="12"/>
  <c r="X212" i="12"/>
  <c r="V215" i="12"/>
  <c r="U219" i="12"/>
  <c r="W224" i="12"/>
  <c r="X228" i="12"/>
  <c r="V232" i="12"/>
  <c r="X236" i="12"/>
  <c r="V240" i="12"/>
  <c r="X244" i="12"/>
  <c r="V248" i="12"/>
  <c r="U253" i="12"/>
  <c r="U256" i="12"/>
  <c r="V260" i="12"/>
  <c r="W265" i="12"/>
  <c r="U269" i="12"/>
  <c r="V272" i="12"/>
  <c r="U277" i="12"/>
  <c r="X281" i="12"/>
  <c r="U285" i="12"/>
  <c r="V289" i="12"/>
  <c r="X293" i="12"/>
  <c r="V297" i="12"/>
  <c r="X301" i="12"/>
  <c r="V305" i="12"/>
  <c r="X309" i="12"/>
  <c r="V313" i="12"/>
  <c r="X317" i="12"/>
  <c r="V321" i="12"/>
  <c r="U325" i="12"/>
  <c r="V328" i="12"/>
  <c r="U333" i="12"/>
  <c r="V336" i="12"/>
  <c r="U341" i="12"/>
  <c r="X346" i="12"/>
  <c r="V349" i="12"/>
  <c r="X354" i="12"/>
  <c r="V357" i="12"/>
  <c r="X361" i="12"/>
  <c r="V365" i="12"/>
  <c r="X369" i="12"/>
  <c r="V373" i="12"/>
  <c r="X377" i="12"/>
  <c r="V381" i="12"/>
  <c r="X385" i="12"/>
  <c r="V389" i="12"/>
  <c r="X393" i="12"/>
  <c r="V397" i="12"/>
  <c r="X401" i="12"/>
  <c r="V405" i="12"/>
  <c r="V409" i="12"/>
  <c r="V413" i="12"/>
  <c r="V417" i="12"/>
  <c r="V421" i="12"/>
  <c r="X424" i="12"/>
  <c r="W429" i="12"/>
  <c r="X432" i="12"/>
  <c r="W437" i="12"/>
  <c r="X440" i="12"/>
  <c r="W445" i="12"/>
  <c r="X448" i="12"/>
  <c r="W453" i="12"/>
  <c r="X456" i="12"/>
  <c r="W461" i="12"/>
  <c r="X464" i="12"/>
  <c r="W469" i="12"/>
  <c r="V473" i="12"/>
  <c r="U477" i="12"/>
  <c r="V480" i="12"/>
  <c r="V486" i="12"/>
  <c r="W490" i="12"/>
  <c r="W495" i="12"/>
  <c r="U498" i="12"/>
  <c r="W501" i="12"/>
  <c r="V505" i="12"/>
  <c r="U509" i="12"/>
  <c r="V512" i="12"/>
  <c r="V518" i="12"/>
  <c r="W522" i="12"/>
  <c r="W527" i="12"/>
  <c r="U530" i="12"/>
  <c r="W533" i="12"/>
  <c r="V537" i="12"/>
  <c r="U541" i="12"/>
  <c r="V544" i="12"/>
  <c r="U550" i="12"/>
  <c r="U557" i="12"/>
  <c r="W561" i="12"/>
  <c r="W567" i="12"/>
  <c r="X574" i="12"/>
  <c r="W583" i="12"/>
  <c r="X590" i="12"/>
  <c r="W599" i="12"/>
  <c r="V608" i="12"/>
  <c r="W619" i="12"/>
  <c r="V626" i="12"/>
  <c r="U180" i="12"/>
  <c r="W184" i="12"/>
  <c r="U188" i="12"/>
  <c r="W192" i="12"/>
  <c r="U196" i="12"/>
  <c r="W201" i="12"/>
  <c r="U204" i="12"/>
  <c r="W209" i="12"/>
  <c r="U212" i="12"/>
  <c r="V217" i="12"/>
  <c r="W221" i="12"/>
  <c r="X224" i="12"/>
  <c r="U228" i="12"/>
  <c r="W232" i="12"/>
  <c r="U236" i="12"/>
  <c r="W240" i="12"/>
  <c r="U244" i="12"/>
  <c r="W248" i="12"/>
  <c r="X251" i="12"/>
  <c r="V256" i="12"/>
  <c r="W260" i="12"/>
  <c r="X263" i="12"/>
  <c r="X267" i="12"/>
  <c r="W272" i="12"/>
  <c r="X275" i="12"/>
  <c r="X279" i="12"/>
  <c r="V283" i="12"/>
  <c r="V287" i="12"/>
  <c r="X291" i="12"/>
  <c r="V295" i="12"/>
  <c r="X299" i="12"/>
  <c r="V303" i="12"/>
  <c r="X307" i="12"/>
  <c r="V311" i="12"/>
  <c r="X315" i="12"/>
  <c r="V319" i="12"/>
  <c r="U323" i="12"/>
  <c r="V326" i="12"/>
  <c r="U331" i="12"/>
  <c r="V334" i="12"/>
  <c r="U339" i="12"/>
  <c r="W342" i="12"/>
  <c r="X345" i="12"/>
  <c r="W350" i="12"/>
  <c r="X353" i="12"/>
  <c r="W357" i="12"/>
  <c r="U361" i="12"/>
  <c r="W365" i="12"/>
  <c r="U369" i="12"/>
  <c r="W373" i="12"/>
  <c r="U377" i="12"/>
  <c r="W381" i="12"/>
  <c r="V386" i="12"/>
  <c r="X391" i="12"/>
  <c r="W396" i="12"/>
  <c r="V402" i="12"/>
  <c r="U407" i="12"/>
  <c r="V412" i="12"/>
  <c r="X418" i="12"/>
  <c r="U423" i="12"/>
  <c r="W428" i="12"/>
  <c r="V434" i="12"/>
  <c r="U439" i="12"/>
  <c r="W444" i="12"/>
  <c r="V450" i="12"/>
  <c r="U455" i="12"/>
  <c r="W460" i="12"/>
  <c r="V466" i="12"/>
  <c r="U471" i="12"/>
  <c r="V478" i="12"/>
  <c r="W484" i="12"/>
  <c r="X489" i="12"/>
  <c r="W493" i="12"/>
  <c r="U499" i="12"/>
  <c r="U503" i="12"/>
  <c r="V510" i="12"/>
  <c r="W516" i="12"/>
  <c r="X521" i="12"/>
  <c r="W525" i="12"/>
  <c r="U531" i="12"/>
  <c r="U535" i="12"/>
  <c r="V542" i="12"/>
  <c r="U549" i="12"/>
  <c r="U556" i="12"/>
  <c r="V566" i="12"/>
  <c r="W577" i="12"/>
  <c r="W586" i="12"/>
  <c r="V598" i="12"/>
  <c r="U609" i="12"/>
  <c r="V621" i="12"/>
  <c r="X563" i="12"/>
  <c r="V569" i="12"/>
  <c r="X573" i="12"/>
  <c r="V578" i="12"/>
  <c r="V583" i="12"/>
  <c r="X587" i="12"/>
  <c r="V592" i="12"/>
  <c r="X597" i="12"/>
  <c r="V602" i="12"/>
  <c r="X606" i="12"/>
  <c r="W613" i="12"/>
  <c r="U622" i="12"/>
  <c r="X629" i="12"/>
  <c r="X637" i="12"/>
  <c r="X645" i="12"/>
  <c r="X653" i="12"/>
  <c r="X661" i="12"/>
  <c r="X669" i="12"/>
  <c r="X681" i="12"/>
  <c r="X697" i="12"/>
  <c r="X713" i="12"/>
  <c r="X729" i="12"/>
  <c r="X745" i="12"/>
  <c r="X761" i="12"/>
  <c r="X777" i="12"/>
  <c r="X793" i="12"/>
  <c r="X809" i="12"/>
  <c r="X825" i="12"/>
  <c r="X841" i="12"/>
  <c r="X883" i="12"/>
  <c r="X899" i="12"/>
  <c r="X915" i="12"/>
  <c r="X931" i="12"/>
  <c r="X947" i="12"/>
  <c r="X960" i="12"/>
  <c r="X982" i="12"/>
  <c r="U993" i="12"/>
  <c r="V670" i="12"/>
  <c r="V686" i="12"/>
  <c r="V702" i="12"/>
  <c r="V718" i="12"/>
  <c r="V734" i="12"/>
  <c r="V170" i="12"/>
  <c r="V174" i="12"/>
  <c r="W180" i="12"/>
  <c r="X189" i="12"/>
  <c r="W196" i="12"/>
  <c r="X216" i="12"/>
  <c r="U220" i="12"/>
  <c r="V225" i="12"/>
  <c r="W229" i="12"/>
  <c r="B6" i="3"/>
  <c r="B41" i="3"/>
  <c r="B85" i="3"/>
  <c r="U9" i="12"/>
  <c r="U24" i="12"/>
  <c r="B45" i="3"/>
  <c r="B66" i="3"/>
  <c r="B106" i="3"/>
  <c r="V12" i="12"/>
  <c r="V23" i="12"/>
  <c r="V34" i="12"/>
  <c r="V44" i="12"/>
  <c r="V55" i="12"/>
  <c r="V76" i="12"/>
  <c r="B18" i="3"/>
  <c r="B36" i="3"/>
  <c r="B44" i="3"/>
  <c r="B52" i="3"/>
  <c r="B69" i="3"/>
  <c r="B84" i="3"/>
  <c r="B108" i="3"/>
  <c r="W3" i="12"/>
  <c r="W7" i="12"/>
  <c r="W11" i="12"/>
  <c r="W15" i="12"/>
  <c r="W19" i="12"/>
  <c r="W23" i="12"/>
  <c r="W27" i="12"/>
  <c r="W31" i="12"/>
  <c r="W35" i="12"/>
  <c r="W39" i="12"/>
  <c r="W43" i="12"/>
  <c r="W47" i="12"/>
  <c r="W51" i="12"/>
  <c r="W55" i="12"/>
  <c r="W59" i="12"/>
  <c r="W63" i="12"/>
  <c r="W67" i="12"/>
  <c r="W71" i="12"/>
  <c r="W75" i="12"/>
  <c r="W79" i="12"/>
  <c r="W83" i="12"/>
  <c r="W87" i="12"/>
  <c r="W91" i="12"/>
  <c r="W95" i="12"/>
  <c r="W99" i="12"/>
  <c r="W103" i="12"/>
  <c r="W107" i="12"/>
  <c r="W111" i="12"/>
  <c r="W115" i="12"/>
  <c r="W119" i="12"/>
  <c r="W123" i="12"/>
  <c r="W127" i="12"/>
  <c r="W131" i="12"/>
  <c r="W135" i="12"/>
  <c r="W139" i="12"/>
  <c r="W143" i="12"/>
  <c r="W147" i="12"/>
  <c r="W151" i="12"/>
  <c r="W155" i="12"/>
  <c r="W159" i="12"/>
  <c r="W163" i="12"/>
  <c r="W167" i="12"/>
  <c r="W171" i="12"/>
  <c r="X175" i="12"/>
  <c r="X183" i="12"/>
  <c r="X190" i="12"/>
  <c r="V199" i="12"/>
  <c r="V176" i="12"/>
  <c r="V180" i="12"/>
  <c r="X184" i="12"/>
  <c r="V188" i="12"/>
  <c r="X192" i="12"/>
  <c r="V196" i="12"/>
  <c r="U201" i="12"/>
  <c r="V204" i="12"/>
  <c r="U209" i="12"/>
  <c r="V212" i="12"/>
  <c r="W217" i="12"/>
  <c r="U221" i="12"/>
  <c r="U224" i="12"/>
  <c r="V228" i="12"/>
  <c r="X232" i="12"/>
  <c r="V236" i="12"/>
  <c r="X240" i="12"/>
  <c r="V244" i="12"/>
  <c r="X248" i="12"/>
  <c r="V251" i="12"/>
  <c r="W256" i="12"/>
  <c r="X260" i="12"/>
  <c r="V263" i="12"/>
  <c r="U267" i="12"/>
  <c r="X272" i="12"/>
  <c r="V275" i="12"/>
  <c r="U279" i="12"/>
  <c r="W283" i="12"/>
  <c r="W287" i="12"/>
  <c r="U291" i="12"/>
  <c r="W295" i="12"/>
  <c r="U299" i="12"/>
  <c r="W303" i="12"/>
  <c r="U307" i="12"/>
  <c r="W311" i="12"/>
  <c r="U315" i="12"/>
  <c r="W319" i="12"/>
  <c r="V323" i="12"/>
  <c r="X328" i="12"/>
  <c r="V331" i="12"/>
  <c r="X336" i="12"/>
  <c r="V339" i="12"/>
  <c r="U343" i="12"/>
  <c r="V346" i="12"/>
  <c r="U351" i="12"/>
  <c r="V354" i="12"/>
  <c r="U359" i="12"/>
  <c r="W363" i="12"/>
  <c r="U367" i="12"/>
  <c r="W371" i="12"/>
  <c r="U375" i="12"/>
  <c r="W379" i="12"/>
  <c r="U383" i="12"/>
  <c r="W387" i="12"/>
  <c r="U391" i="12"/>
  <c r="W395" i="12"/>
  <c r="U399" i="12"/>
  <c r="W403" i="12"/>
  <c r="V407" i="12"/>
  <c r="V411" i="12"/>
  <c r="V415" i="12"/>
  <c r="V419" i="12"/>
  <c r="V423" i="12"/>
  <c r="U428" i="12"/>
  <c r="V431" i="12"/>
  <c r="U436" i="12"/>
  <c r="V439" i="12"/>
  <c r="U444" i="12"/>
  <c r="V447" i="12"/>
  <c r="U452" i="12"/>
  <c r="V455" i="12"/>
  <c r="U460" i="12"/>
  <c r="V463" i="12"/>
  <c r="U468" i="12"/>
  <c r="V471" i="12"/>
  <c r="W475" i="12"/>
  <c r="X480" i="12"/>
  <c r="X482" i="12"/>
  <c r="X486" i="12"/>
  <c r="V490" i="12"/>
  <c r="X493" i="12"/>
  <c r="V499" i="12"/>
  <c r="V503" i="12"/>
  <c r="W507" i="12"/>
  <c r="X512" i="12"/>
  <c r="X514" i="12"/>
  <c r="X518" i="12"/>
  <c r="V522" i="12"/>
  <c r="X525" i="12"/>
  <c r="V531" i="12"/>
  <c r="V535" i="12"/>
  <c r="W539" i="12"/>
  <c r="X544" i="12"/>
  <c r="X546" i="12"/>
  <c r="X553" i="12"/>
  <c r="W557" i="12"/>
  <c r="W562" i="12"/>
  <c r="W568" i="12"/>
  <c r="X577" i="12"/>
  <c r="W584" i="12"/>
  <c r="X593" i="12"/>
  <c r="W600" i="12"/>
  <c r="V609" i="12"/>
  <c r="X614" i="12"/>
  <c r="V622" i="12"/>
  <c r="V235" i="12"/>
  <c r="X239" i="12"/>
  <c r="V243" i="12"/>
  <c r="X247" i="12"/>
  <c r="W252" i="12"/>
  <c r="X255" i="12"/>
  <c r="X259" i="12"/>
  <c r="V264" i="12"/>
  <c r="W268" i="12"/>
  <c r="X271" i="12"/>
  <c r="W276" i="12"/>
  <c r="W280" i="12"/>
  <c r="X284" i="12"/>
  <c r="U288" i="12"/>
  <c r="W292" i="12"/>
  <c r="U296" i="12"/>
  <c r="W300" i="12"/>
  <c r="U304" i="12"/>
  <c r="W308" i="12"/>
  <c r="U312" i="12"/>
  <c r="W316" i="12"/>
  <c r="U320" i="12"/>
  <c r="W325" i="12"/>
  <c r="U328" i="12"/>
  <c r="W333" i="12"/>
  <c r="U336" i="12"/>
  <c r="X341" i="12"/>
  <c r="W346" i="12"/>
  <c r="X349" i="12"/>
  <c r="W354" i="12"/>
  <c r="V358" i="12"/>
  <c r="X362" i="12"/>
  <c r="V366" i="12"/>
  <c r="X370" i="12"/>
  <c r="V374" i="12"/>
  <c r="X378" i="12"/>
  <c r="V382" i="12"/>
  <c r="X386" i="12"/>
  <c r="V390" i="12"/>
  <c r="X394" i="12"/>
  <c r="V398" i="12"/>
  <c r="X402" i="12"/>
  <c r="V406" i="12"/>
  <c r="V410" i="12"/>
  <c r="V414" i="12"/>
  <c r="V418" i="12"/>
  <c r="V422" i="12"/>
  <c r="X426" i="12"/>
  <c r="V430" i="12"/>
  <c r="X434" i="12"/>
  <c r="V438" i="12"/>
  <c r="X442" i="12"/>
  <c r="V446" i="12"/>
  <c r="X450" i="12"/>
  <c r="V454" i="12"/>
  <c r="X458" i="12"/>
  <c r="V462" i="12"/>
  <c r="X466" i="12"/>
  <c r="V470" i="12"/>
  <c r="X473" i="12"/>
  <c r="X476" i="12"/>
  <c r="U480" i="12"/>
  <c r="U484" i="12"/>
  <c r="U487" i="12"/>
  <c r="V493" i="12"/>
  <c r="W497" i="12"/>
  <c r="W502" i="12"/>
  <c r="X505" i="12"/>
  <c r="X508" i="12"/>
  <c r="U512" i="12"/>
  <c r="U516" i="12"/>
  <c r="U519" i="12"/>
  <c r="V525" i="12"/>
  <c r="W529" i="12"/>
  <c r="W534" i="12"/>
  <c r="X537" i="12"/>
  <c r="X540" i="12"/>
  <c r="U544" i="12"/>
  <c r="W548" i="12"/>
  <c r="U553" i="12"/>
  <c r="X557" i="12"/>
  <c r="U567" i="12"/>
  <c r="X575" i="12"/>
  <c r="U583" i="12"/>
  <c r="X591" i="12"/>
  <c r="U599" i="12"/>
  <c r="V607" i="12"/>
  <c r="X613" i="12"/>
  <c r="V619" i="12"/>
  <c r="U629" i="12"/>
  <c r="U633" i="12"/>
  <c r="U637" i="12"/>
  <c r="U641" i="12"/>
  <c r="U645" i="12"/>
  <c r="U649" i="12"/>
  <c r="U653" i="12"/>
  <c r="U657" i="12"/>
  <c r="U661" i="12"/>
  <c r="U665" i="12"/>
  <c r="V200" i="12"/>
  <c r="U205" i="12"/>
  <c r="V208" i="12"/>
  <c r="U213" i="12"/>
  <c r="U216" i="12"/>
  <c r="V220" i="12"/>
  <c r="W225" i="12"/>
  <c r="X229" i="12"/>
  <c r="V233" i="12"/>
  <c r="X237" i="12"/>
  <c r="V241" i="12"/>
  <c r="X245" i="12"/>
  <c r="W250" i="12"/>
  <c r="X253" i="12"/>
  <c r="U257" i="12"/>
  <c r="W262" i="12"/>
  <c r="W266" i="12"/>
  <c r="X269" i="12"/>
  <c r="W274" i="12"/>
  <c r="V278" i="12"/>
  <c r="U282" i="12"/>
  <c r="U286" i="12"/>
  <c r="W290" i="12"/>
  <c r="U294" i="12"/>
  <c r="W298" i="12"/>
  <c r="U302" i="12"/>
  <c r="W306" i="12"/>
  <c r="U310" i="12"/>
  <c r="W314" i="12"/>
  <c r="U318" i="12"/>
  <c r="W322" i="12"/>
  <c r="X325" i="12"/>
  <c r="W330" i="12"/>
  <c r="X333" i="12"/>
  <c r="W338" i="12"/>
  <c r="V342" i="12"/>
  <c r="U347" i="12"/>
  <c r="V350" i="12"/>
  <c r="U355" i="12"/>
  <c r="W358" i="12"/>
  <c r="U362" i="12"/>
  <c r="W366" i="12"/>
  <c r="U370" i="12"/>
  <c r="W374" i="12"/>
  <c r="U378" i="12"/>
  <c r="W382" i="12"/>
  <c r="U386" i="12"/>
  <c r="W390" i="12"/>
  <c r="U394" i="12"/>
  <c r="W398" i="12"/>
  <c r="U402" i="12"/>
  <c r="Y402" i="12" s="1"/>
  <c r="W406" i="12"/>
  <c r="W410" i="12"/>
  <c r="W414" i="12"/>
  <c r="W418" i="12"/>
  <c r="W422" i="12"/>
  <c r="U425" i="12"/>
  <c r="W430" i="12"/>
  <c r="U433" i="12"/>
  <c r="W438" i="12"/>
  <c r="U441" i="12"/>
  <c r="W446" i="12"/>
  <c r="U449" i="12"/>
  <c r="W454" i="12"/>
  <c r="U457" i="12"/>
  <c r="W462" i="12"/>
  <c r="U465" i="12"/>
  <c r="W470" i="12"/>
  <c r="V474" i="12"/>
  <c r="X477" i="12"/>
  <c r="V483" i="12"/>
  <c r="V487" i="12"/>
  <c r="W491" i="12"/>
  <c r="X496" i="12"/>
  <c r="X498" i="12"/>
  <c r="X502" i="12"/>
  <c r="V506" i="12"/>
  <c r="X509" i="12"/>
  <c r="V515" i="12"/>
  <c r="V519" i="12"/>
  <c r="W523" i="12"/>
  <c r="X528" i="12"/>
  <c r="X530" i="12"/>
  <c r="X534" i="12"/>
  <c r="V538" i="12"/>
  <c r="X541" i="12"/>
  <c r="W547" i="12"/>
  <c r="W551" i="12"/>
  <c r="V558" i="12"/>
  <c r="V562" i="12"/>
  <c r="X569" i="12"/>
  <c r="W576" i="12"/>
  <c r="X585" i="12"/>
  <c r="W592" i="12"/>
  <c r="X601" i="12"/>
  <c r="V610" i="12"/>
  <c r="V620" i="12"/>
  <c r="U177" i="12"/>
  <c r="U181" i="12"/>
  <c r="W185" i="12"/>
  <c r="U189" i="12"/>
  <c r="W193" i="12"/>
  <c r="V197" i="12"/>
  <c r="X202" i="12"/>
  <c r="V205" i="12"/>
  <c r="X210" i="12"/>
  <c r="V213" i="12"/>
  <c r="V218" i="12"/>
  <c r="X222" i="12"/>
  <c r="X225" i="12"/>
  <c r="U229" i="12"/>
  <c r="W233" i="12"/>
  <c r="U237" i="12"/>
  <c r="W241" i="12"/>
  <c r="U245" i="12"/>
  <c r="W249" i="12"/>
  <c r="U252" i="12"/>
  <c r="V257" i="12"/>
  <c r="W261" i="12"/>
  <c r="X264" i="12"/>
  <c r="U268" i="12"/>
  <c r="W273" i="12"/>
  <c r="U276" i="12"/>
  <c r="U280" i="12"/>
  <c r="V284" i="12"/>
  <c r="W288" i="12"/>
  <c r="U292" i="12"/>
  <c r="W296" i="12"/>
  <c r="U300" i="12"/>
  <c r="W304" i="12"/>
  <c r="U308" i="12"/>
  <c r="W312" i="12"/>
  <c r="U316" i="12"/>
  <c r="W320" i="12"/>
  <c r="X323" i="12"/>
  <c r="W328" i="12"/>
  <c r="X331" i="12"/>
  <c r="W336" i="12"/>
  <c r="X339" i="12"/>
  <c r="W343" i="12"/>
  <c r="U346" i="12"/>
  <c r="W351" i="12"/>
  <c r="U354" i="12"/>
  <c r="X358" i="12"/>
  <c r="V362" i="12"/>
  <c r="X366" i="12"/>
  <c r="V370" i="12"/>
  <c r="X374" i="12"/>
  <c r="V378" i="12"/>
  <c r="X382" i="12"/>
  <c r="V387" i="12"/>
  <c r="U392" i="12"/>
  <c r="X398" i="12"/>
  <c r="V403" i="12"/>
  <c r="V408" i="12"/>
  <c r="X414" i="12"/>
  <c r="U419" i="12"/>
  <c r="V424" i="12"/>
  <c r="X430" i="12"/>
  <c r="W435" i="12"/>
  <c r="V440" i="12"/>
  <c r="X446" i="12"/>
  <c r="W451" i="12"/>
  <c r="V456" i="12"/>
  <c r="X462" i="12"/>
  <c r="W467" i="12"/>
  <c r="V472" i="12"/>
  <c r="W480" i="12"/>
  <c r="W486" i="12"/>
  <c r="U490" i="12"/>
  <c r="X495" i="12"/>
  <c r="U500" i="12"/>
  <c r="V504" i="12"/>
  <c r="W512" i="12"/>
  <c r="W518" i="12"/>
  <c r="U522" i="12"/>
  <c r="X527" i="12"/>
  <c r="U532" i="12"/>
  <c r="V536" i="12"/>
  <c r="W544" i="12"/>
  <c r="W550" i="12"/>
  <c r="V557" i="12"/>
  <c r="U568" i="12"/>
  <c r="V580" i="12"/>
  <c r="V589" i="12"/>
  <c r="U600" i="12"/>
  <c r="X610" i="12"/>
  <c r="V623" i="12"/>
  <c r="X565" i="12"/>
  <c r="V570" i="12"/>
  <c r="W574" i="12"/>
  <c r="X579" i="12"/>
  <c r="V584" i="12"/>
  <c r="U588" i="12"/>
  <c r="V594" i="12"/>
  <c r="W598" i="12"/>
  <c r="U603" i="12"/>
  <c r="U608" i="12"/>
  <c r="V617" i="12"/>
  <c r="U624" i="12"/>
  <c r="W632" i="12"/>
  <c r="W640" i="12"/>
  <c r="W648" i="12"/>
  <c r="W656" i="12"/>
  <c r="W664" i="12"/>
  <c r="W672" i="12"/>
  <c r="X685" i="12"/>
  <c r="X701" i="12"/>
  <c r="X717" i="12"/>
  <c r="X733" i="12"/>
  <c r="X749" i="12"/>
  <c r="X765" i="12"/>
  <c r="X781" i="12"/>
  <c r="X797" i="12"/>
  <c r="X813" i="12"/>
  <c r="X829" i="12"/>
  <c r="X845" i="12"/>
  <c r="V886" i="12"/>
  <c r="V902" i="12"/>
  <c r="V918" i="12"/>
  <c r="V934" i="12"/>
  <c r="X950" i="12"/>
  <c r="W965" i="12"/>
  <c r="W986" i="12"/>
  <c r="X999" i="12"/>
  <c r="V674" i="12"/>
  <c r="V690" i="12"/>
  <c r="V706" i="12"/>
  <c r="V722" i="12"/>
  <c r="V738" i="12"/>
  <c r="V221" i="12"/>
  <c r="V226" i="12"/>
  <c r="X230" i="12"/>
  <c r="B14" i="3"/>
  <c r="B64" i="3"/>
  <c r="B100" i="3"/>
  <c r="U13" i="12"/>
  <c r="U27" i="12"/>
  <c r="B57" i="3"/>
  <c r="B77" i="3"/>
  <c r="V4" i="12"/>
  <c r="V14" i="12"/>
  <c r="V25" i="12"/>
  <c r="V36" i="12"/>
  <c r="V47" i="12"/>
  <c r="V58" i="12"/>
  <c r="V78" i="12"/>
  <c r="B24" i="3"/>
  <c r="B37" i="3"/>
  <c r="B48" i="3"/>
  <c r="B55" i="3"/>
  <c r="B80" i="3"/>
  <c r="B87" i="3"/>
  <c r="B109" i="3"/>
  <c r="W4" i="12"/>
  <c r="W8" i="12"/>
  <c r="W12" i="12"/>
  <c r="W16" i="12"/>
  <c r="W20" i="12"/>
  <c r="W24" i="12"/>
  <c r="W28" i="12"/>
  <c r="W32" i="12"/>
  <c r="W36" i="12"/>
  <c r="W40" i="12"/>
  <c r="W44" i="12"/>
  <c r="W48" i="12"/>
  <c r="W52" i="12"/>
  <c r="W56" i="12"/>
  <c r="W60" i="12"/>
  <c r="W64" i="12"/>
  <c r="W68" i="12"/>
  <c r="W72" i="12"/>
  <c r="W76" i="12"/>
  <c r="W80" i="12"/>
  <c r="W84" i="12"/>
  <c r="W88" i="12"/>
  <c r="W92" i="12"/>
  <c r="W96" i="12"/>
  <c r="W100" i="12"/>
  <c r="W104" i="12"/>
  <c r="W108" i="12"/>
  <c r="W112" i="12"/>
  <c r="W116" i="12"/>
  <c r="W120" i="12"/>
  <c r="W124" i="12"/>
  <c r="W128" i="12"/>
  <c r="W132" i="12"/>
  <c r="W136" i="12"/>
  <c r="W140" i="12"/>
  <c r="W144" i="12"/>
  <c r="W148" i="12"/>
  <c r="W152" i="12"/>
  <c r="W156" i="12"/>
  <c r="W160" i="12"/>
  <c r="W164" i="12"/>
  <c r="W168" i="12"/>
  <c r="W172" i="12"/>
  <c r="W177" i="12"/>
  <c r="U184" i="12"/>
  <c r="Y184" i="12" s="1"/>
  <c r="U193" i="12"/>
  <c r="U233" i="12"/>
  <c r="V177" i="12"/>
  <c r="V181" i="12"/>
  <c r="X185" i="12"/>
  <c r="V189" i="12"/>
  <c r="X193" i="12"/>
  <c r="W198" i="12"/>
  <c r="X201" i="12"/>
  <c r="W206" i="12"/>
  <c r="X209" i="12"/>
  <c r="W214" i="12"/>
  <c r="W218" i="12"/>
  <c r="X221" i="12"/>
  <c r="U225" i="12"/>
  <c r="V229" i="12"/>
  <c r="X233" i="12"/>
  <c r="V237" i="12"/>
  <c r="X241" i="12"/>
  <c r="V245" i="12"/>
  <c r="U249" i="12"/>
  <c r="V252" i="12"/>
  <c r="W257" i="12"/>
  <c r="U261" i="12"/>
  <c r="U264" i="12"/>
  <c r="V268" i="12"/>
  <c r="U273" i="12"/>
  <c r="V276" i="12"/>
  <c r="V280" i="12"/>
  <c r="W284" i="12"/>
  <c r="X288" i="12"/>
  <c r="V292" i="12"/>
  <c r="X296" i="12"/>
  <c r="V300" i="12"/>
  <c r="X304" i="12"/>
  <c r="V308" i="12"/>
  <c r="X312" i="12"/>
  <c r="V316" i="12"/>
  <c r="X320" i="12"/>
  <c r="V324" i="12"/>
  <c r="U329" i="12"/>
  <c r="V332" i="12"/>
  <c r="U337" i="12"/>
  <c r="V340" i="12"/>
  <c r="X343" i="12"/>
  <c r="W348" i="12"/>
  <c r="X351" i="12"/>
  <c r="W356" i="12"/>
  <c r="V360" i="12"/>
  <c r="X364" i="12"/>
  <c r="V368" i="12"/>
  <c r="X372" i="12"/>
  <c r="V376" i="12"/>
  <c r="X380" i="12"/>
  <c r="V384" i="12"/>
  <c r="X388" i="12"/>
  <c r="V392" i="12"/>
  <c r="X396" i="12"/>
  <c r="V400" i="12"/>
  <c r="X404" i="12"/>
  <c r="W408" i="12"/>
  <c r="W412" i="12"/>
  <c r="W416" i="12"/>
  <c r="W420" i="12"/>
  <c r="W425" i="12"/>
  <c r="X428" i="12"/>
  <c r="W433" i="12"/>
  <c r="X436" i="12"/>
  <c r="W441" i="12"/>
  <c r="X444" i="12"/>
  <c r="W449" i="12"/>
  <c r="X452" i="12"/>
  <c r="W457" i="12"/>
  <c r="X460" i="12"/>
  <c r="W465" i="12"/>
  <c r="X468" i="12"/>
  <c r="W472" i="12"/>
  <c r="W476" i="12"/>
  <c r="U481" i="12"/>
  <c r="X483" i="12"/>
  <c r="X487" i="12"/>
  <c r="U491" i="12"/>
  <c r="U494" i="12"/>
  <c r="V500" i="12"/>
  <c r="W504" i="12"/>
  <c r="W508" i="12"/>
  <c r="U513" i="12"/>
  <c r="X515" i="12"/>
  <c r="X519" i="12"/>
  <c r="U523" i="12"/>
  <c r="U526" i="12"/>
  <c r="V532" i="12"/>
  <c r="W536" i="12"/>
  <c r="W540" i="12"/>
  <c r="U545" i="12"/>
  <c r="U548" i="12"/>
  <c r="U554" i="12"/>
  <c r="U559" i="12"/>
  <c r="X564" i="12"/>
  <c r="V571" i="12"/>
  <c r="X580" i="12"/>
  <c r="V587" i="12"/>
  <c r="X596" i="12"/>
  <c r="W603" i="12"/>
  <c r="U611" i="12"/>
  <c r="W615" i="12"/>
  <c r="V624" i="12"/>
  <c r="W236" i="12"/>
  <c r="U240" i="12"/>
  <c r="W244" i="12"/>
  <c r="U248" i="12"/>
  <c r="W253" i="12"/>
  <c r="X256" i="12"/>
  <c r="U260" i="12"/>
  <c r="V265" i="12"/>
  <c r="W269" i="12"/>
  <c r="U272" i="12"/>
  <c r="X277" i="12"/>
  <c r="W281" i="12"/>
  <c r="X285" i="12"/>
  <c r="U289" i="12"/>
  <c r="W293" i="12"/>
  <c r="U297" i="12"/>
  <c r="W301" i="12"/>
  <c r="U305" i="12"/>
  <c r="W309" i="12"/>
  <c r="U313" i="12"/>
  <c r="W317" i="12"/>
  <c r="U321" i="12"/>
  <c r="X326" i="12"/>
  <c r="V329" i="12"/>
  <c r="X334" i="12"/>
  <c r="V337" i="12"/>
  <c r="U342" i="12"/>
  <c r="W347" i="12"/>
  <c r="U350" i="12"/>
  <c r="W355" i="12"/>
  <c r="V359" i="12"/>
  <c r="X363" i="12"/>
  <c r="V367" i="12"/>
  <c r="X371" i="12"/>
  <c r="V375" i="12"/>
  <c r="X379" i="12"/>
  <c r="V383" i="12"/>
  <c r="X387" i="12"/>
  <c r="V391" i="12"/>
  <c r="X395" i="12"/>
  <c r="V399" i="12"/>
  <c r="X403" i="12"/>
  <c r="W407" i="12"/>
  <c r="W411" i="12"/>
  <c r="W415" i="12"/>
  <c r="W419" i="12"/>
  <c r="W423" i="12"/>
  <c r="U427" i="12"/>
  <c r="W431" i="12"/>
  <c r="U435" i="12"/>
  <c r="W439" i="12"/>
  <c r="U443" i="12"/>
  <c r="W447" i="12"/>
  <c r="U451" i="12"/>
  <c r="W455" i="12"/>
  <c r="U459" i="12"/>
  <c r="W463" i="12"/>
  <c r="U467" i="12"/>
  <c r="W471" i="12"/>
  <c r="U474" i="12"/>
  <c r="W477" i="12"/>
  <c r="V481" i="12"/>
  <c r="U485" i="12"/>
  <c r="V488" i="12"/>
  <c r="V494" i="12"/>
  <c r="W498" i="12"/>
  <c r="W503" i="12"/>
  <c r="U506" i="12"/>
  <c r="W509" i="12"/>
  <c r="V513" i="12"/>
  <c r="U517" i="12"/>
  <c r="V520" i="12"/>
  <c r="V526" i="12"/>
  <c r="W530" i="12"/>
  <c r="W535" i="12"/>
  <c r="U538" i="12"/>
  <c r="W541" i="12"/>
  <c r="V545" i="12"/>
  <c r="W549" i="12"/>
  <c r="V554" i="12"/>
  <c r="U558" i="12"/>
  <c r="W569" i="12"/>
  <c r="U576" i="12"/>
  <c r="W585" i="12"/>
  <c r="U592" i="12"/>
  <c r="W601" i="12"/>
  <c r="U610" i="12"/>
  <c r="X615" i="12"/>
  <c r="X624" i="12"/>
  <c r="V630" i="12"/>
  <c r="V634" i="12"/>
  <c r="V638" i="12"/>
  <c r="V642" i="12"/>
  <c r="V646" i="12"/>
  <c r="V650" i="12"/>
  <c r="V654" i="12"/>
  <c r="V658" i="12"/>
  <c r="V662" i="12"/>
  <c r="V666" i="12"/>
  <c r="W202" i="12"/>
  <c r="X205" i="12"/>
  <c r="W210" i="12"/>
  <c r="X213" i="12"/>
  <c r="U217" i="12"/>
  <c r="W222" i="12"/>
  <c r="W226" i="12"/>
  <c r="U230" i="12"/>
  <c r="W234" i="12"/>
  <c r="U238" i="12"/>
  <c r="W242" i="12"/>
  <c r="U246" i="12"/>
  <c r="W251" i="12"/>
  <c r="U254" i="12"/>
  <c r="U258" i="12"/>
  <c r="W263" i="12"/>
  <c r="W267" i="12"/>
  <c r="U270" i="12"/>
  <c r="W275" i="12"/>
  <c r="W279" i="12"/>
  <c r="U283" i="12"/>
  <c r="U287" i="12"/>
  <c r="W291" i="12"/>
  <c r="U295" i="12"/>
  <c r="W299" i="12"/>
  <c r="U303" i="12"/>
  <c r="W307" i="12"/>
  <c r="U311" i="12"/>
  <c r="W315" i="12"/>
  <c r="U319" i="12"/>
  <c r="W323" i="12"/>
  <c r="U326" i="12"/>
  <c r="W331" i="12"/>
  <c r="U334" i="12"/>
  <c r="W339" i="12"/>
  <c r="W344" i="12"/>
  <c r="X347" i="12"/>
  <c r="W352" i="12"/>
  <c r="X355" i="12"/>
  <c r="W359" i="12"/>
  <c r="U363" i="12"/>
  <c r="W367" i="12"/>
  <c r="U371" i="12"/>
  <c r="W375" i="12"/>
  <c r="U379" i="12"/>
  <c r="W383" i="12"/>
  <c r="U387" i="12"/>
  <c r="W391" i="12"/>
  <c r="U395" i="12"/>
  <c r="W399" i="12"/>
  <c r="U403" i="12"/>
  <c r="X407" i="12"/>
  <c r="X411" i="12"/>
  <c r="X415" i="12"/>
  <c r="X419" i="12"/>
  <c r="X423" i="12"/>
  <c r="U426" i="12"/>
  <c r="X431" i="12"/>
  <c r="U434" i="12"/>
  <c r="X439" i="12"/>
  <c r="U442" i="12"/>
  <c r="X447" i="12"/>
  <c r="U450" i="12"/>
  <c r="X455" i="12"/>
  <c r="U458" i="12"/>
  <c r="X463" i="12"/>
  <c r="U466" i="12"/>
  <c r="X471" i="12"/>
  <c r="U475" i="12"/>
  <c r="U478" i="12"/>
  <c r="V484" i="12"/>
  <c r="W488" i="12"/>
  <c r="W492" i="12"/>
  <c r="U497" i="12"/>
  <c r="X499" i="12"/>
  <c r="X503" i="12"/>
  <c r="U507" i="12"/>
  <c r="U510" i="12"/>
  <c r="V516" i="12"/>
  <c r="W520" i="12"/>
  <c r="W524" i="12"/>
  <c r="U529" i="12"/>
  <c r="X531" i="12"/>
  <c r="X535" i="12"/>
  <c r="U539" i="12"/>
  <c r="U542" i="12"/>
  <c r="X548" i="12"/>
  <c r="V553" i="12"/>
  <c r="X559" i="12"/>
  <c r="V563" i="12"/>
  <c r="X572" i="12"/>
  <c r="V579" i="12"/>
  <c r="X588" i="12"/>
  <c r="V595" i="12"/>
  <c r="W605" i="12"/>
  <c r="U614" i="12"/>
  <c r="U623" i="12"/>
  <c r="U178" i="12"/>
  <c r="V182" i="12"/>
  <c r="X186" i="12"/>
  <c r="V190" i="12"/>
  <c r="X194" i="12"/>
  <c r="V198" i="12"/>
  <c r="U203" i="12"/>
  <c r="V206" i="12"/>
  <c r="U211" i="12"/>
  <c r="V214" i="12"/>
  <c r="V219" i="12"/>
  <c r="U223" i="12"/>
  <c r="X226" i="12"/>
  <c r="V230" i="12"/>
  <c r="X234" i="12"/>
  <c r="V238" i="12"/>
  <c r="X242" i="12"/>
  <c r="V246" i="12"/>
  <c r="X250" i="12"/>
  <c r="V253" i="12"/>
  <c r="V258" i="12"/>
  <c r="X262" i="12"/>
  <c r="X265" i="12"/>
  <c r="V269" i="12"/>
  <c r="X274" i="12"/>
  <c r="V277" i="12"/>
  <c r="U281" i="12"/>
  <c r="V285" i="12"/>
  <c r="W289" i="12"/>
  <c r="U293" i="12"/>
  <c r="W297" i="12"/>
  <c r="U301" i="12"/>
  <c r="W305" i="12"/>
  <c r="U309" i="12"/>
  <c r="W313" i="12"/>
  <c r="U317" i="12"/>
  <c r="W321" i="12"/>
  <c r="U324" i="12"/>
  <c r="W329" i="12"/>
  <c r="U332" i="12"/>
  <c r="W337" i="12"/>
  <c r="U340" i="12"/>
  <c r="X344" i="12"/>
  <c r="V347" i="12"/>
  <c r="X352" i="12"/>
  <c r="V355" i="12"/>
  <c r="X359" i="12"/>
  <c r="V363" i="12"/>
  <c r="X367" i="12"/>
  <c r="V371" i="12"/>
  <c r="X375" i="12"/>
  <c r="V379" i="12"/>
  <c r="X383" i="12"/>
  <c r="W388" i="12"/>
  <c r="V394" i="12"/>
  <c r="X399" i="12"/>
  <c r="W404" i="12"/>
  <c r="X410" i="12"/>
  <c r="U415" i="12"/>
  <c r="V420" i="12"/>
  <c r="V426" i="12"/>
  <c r="U431" i="12"/>
  <c r="W436" i="12"/>
  <c r="V442" i="12"/>
  <c r="U447" i="12"/>
  <c r="Y447" i="12" s="1"/>
  <c r="W452" i="12"/>
  <c r="V458" i="12"/>
  <c r="U463" i="12"/>
  <c r="W468" i="12"/>
  <c r="V476" i="12"/>
  <c r="W481" i="12"/>
  <c r="W487" i="12"/>
  <c r="X491" i="12"/>
  <c r="U496" i="12"/>
  <c r="U501" i="12"/>
  <c r="V508" i="12"/>
  <c r="W513" i="12"/>
  <c r="W519" i="12"/>
  <c r="X523" i="12"/>
  <c r="U528" i="12"/>
  <c r="U533" i="12"/>
  <c r="V540" i="12"/>
  <c r="W545" i="12"/>
  <c r="X551" i="12"/>
  <c r="V560" i="12"/>
  <c r="W570" i="12"/>
  <c r="V582" i="12"/>
  <c r="W593" i="12"/>
  <c r="W602" i="12"/>
  <c r="W614" i="12"/>
  <c r="W627" i="12"/>
  <c r="W566" i="12"/>
  <c r="U571" i="12"/>
  <c r="V576" i="12"/>
  <c r="U580" i="12"/>
  <c r="V585" i="12"/>
  <c r="W590" i="12"/>
  <c r="U595" i="12"/>
  <c r="V599" i="12"/>
  <c r="U605" i="12"/>
  <c r="X609" i="12"/>
  <c r="V618" i="12"/>
  <c r="X625" i="12"/>
  <c r="X633" i="12"/>
  <c r="X641" i="12"/>
  <c r="X649" i="12"/>
  <c r="X657" i="12"/>
  <c r="X665" i="12"/>
  <c r="X673" i="12"/>
  <c r="X689" i="12"/>
  <c r="X705" i="12"/>
  <c r="X721" i="12"/>
  <c r="X737" i="12"/>
  <c r="X753" i="12"/>
  <c r="X769" i="12"/>
  <c r="X785" i="12"/>
  <c r="X801" i="12"/>
  <c r="X817" i="12"/>
  <c r="X833" i="12"/>
  <c r="X849" i="12"/>
  <c r="V890" i="12"/>
  <c r="V906" i="12"/>
  <c r="V922" i="12"/>
  <c r="V938" i="12"/>
  <c r="X953" i="12"/>
  <c r="U969" i="12"/>
  <c r="U989" i="12"/>
  <c r="V1006" i="12"/>
  <c r="V678" i="12"/>
  <c r="V694" i="12"/>
  <c r="V710" i="12"/>
  <c r="V726" i="12"/>
  <c r="V742" i="12"/>
  <c r="W189" i="12"/>
  <c r="V195" i="12"/>
  <c r="U208" i="12"/>
  <c r="W213" i="12"/>
  <c r="B53" i="3"/>
  <c r="U4" i="12"/>
  <c r="U21" i="12"/>
  <c r="B105" i="3"/>
  <c r="V15" i="12"/>
  <c r="V30" i="12"/>
  <c r="V45" i="12"/>
  <c r="V60" i="12"/>
  <c r="V72" i="12"/>
  <c r="V80" i="12"/>
  <c r="V84" i="12"/>
  <c r="V88" i="12"/>
  <c r="V92" i="12"/>
  <c r="V96" i="12"/>
  <c r="V100" i="12"/>
  <c r="V104" i="12"/>
  <c r="V108" i="12"/>
  <c r="V112" i="12"/>
  <c r="V116" i="12"/>
  <c r="V120" i="12"/>
  <c r="V124" i="12"/>
  <c r="V128" i="12"/>
  <c r="V132" i="12"/>
  <c r="V136" i="12"/>
  <c r="V140" i="12"/>
  <c r="V144" i="12"/>
  <c r="V148" i="12"/>
  <c r="V152" i="12"/>
  <c r="V156" i="12"/>
  <c r="V160" i="12"/>
  <c r="V164" i="12"/>
  <c r="V168" i="12"/>
  <c r="V172" i="12"/>
  <c r="X176" i="12"/>
  <c r="V185" i="12"/>
  <c r="V192" i="12"/>
  <c r="U199" i="12"/>
  <c r="X218" i="12"/>
  <c r="V222" i="12"/>
  <c r="V227" i="12"/>
  <c r="X231" i="12"/>
  <c r="B19" i="3"/>
  <c r="B68" i="3"/>
  <c r="B103" i="3"/>
  <c r="U17" i="12"/>
  <c r="B22" i="3"/>
  <c r="B60" i="3"/>
  <c r="B88" i="3"/>
  <c r="V6" i="12"/>
  <c r="V17" i="12"/>
  <c r="V29" i="12"/>
  <c r="V40" i="12"/>
  <c r="V50" i="12"/>
  <c r="V61" i="12"/>
  <c r="B13" i="3"/>
  <c r="B27" i="3"/>
  <c r="B39" i="3"/>
  <c r="B49" i="3"/>
  <c r="B58" i="3"/>
  <c r="B81" i="3"/>
  <c r="B90" i="3"/>
  <c r="B110" i="3"/>
  <c r="W5" i="12"/>
  <c r="W9" i="12"/>
  <c r="W13" i="12"/>
  <c r="W17" i="12"/>
  <c r="W21" i="12"/>
  <c r="W25" i="12"/>
  <c r="W29" i="12"/>
  <c r="W33" i="12"/>
  <c r="W37" i="12"/>
  <c r="W41" i="12"/>
  <c r="W45" i="12"/>
  <c r="W49" i="12"/>
  <c r="W53" i="12"/>
  <c r="W57" i="12"/>
  <c r="W61" i="12"/>
  <c r="W65" i="12"/>
  <c r="W69" i="12"/>
  <c r="W73" i="12"/>
  <c r="W77" i="12"/>
  <c r="W81" i="12"/>
  <c r="W85" i="12"/>
  <c r="W89" i="12"/>
  <c r="W93" i="12"/>
  <c r="W97" i="12"/>
  <c r="W101" i="12"/>
  <c r="W105" i="12"/>
  <c r="W109" i="12"/>
  <c r="W113" i="12"/>
  <c r="W117" i="12"/>
  <c r="W121" i="12"/>
  <c r="W125" i="12"/>
  <c r="W129" i="12"/>
  <c r="W133" i="12"/>
  <c r="W137" i="12"/>
  <c r="W141" i="12"/>
  <c r="W145" i="12"/>
  <c r="W149" i="12"/>
  <c r="W153" i="12"/>
  <c r="W157" i="12"/>
  <c r="W161" i="12"/>
  <c r="W165" i="12"/>
  <c r="W169" i="12"/>
  <c r="W173" i="12"/>
  <c r="X180" i="12"/>
  <c r="W186" i="12"/>
  <c r="X196" i="12"/>
  <c r="V234" i="12"/>
  <c r="V178" i="12"/>
  <c r="W182" i="12"/>
  <c r="U186" i="12"/>
  <c r="W190" i="12"/>
  <c r="U194" i="12"/>
  <c r="W199" i="12"/>
  <c r="U202" i="12"/>
  <c r="W207" i="12"/>
  <c r="U210" i="12"/>
  <c r="W215" i="12"/>
  <c r="W219" i="12"/>
  <c r="U222" i="12"/>
  <c r="U226" i="12"/>
  <c r="W230" i="12"/>
  <c r="U234" i="12"/>
  <c r="W238" i="12"/>
  <c r="U242" i="12"/>
  <c r="W246" i="12"/>
  <c r="X249" i="12"/>
  <c r="W254" i="12"/>
  <c r="W258" i="12"/>
  <c r="X261" i="12"/>
  <c r="U265" i="12"/>
  <c r="W270" i="12"/>
  <c r="X273" i="12"/>
  <c r="W277" i="12"/>
  <c r="V281" i="12"/>
  <c r="W285" i="12"/>
  <c r="X289" i="12"/>
  <c r="V293" i="12"/>
  <c r="X297" i="12"/>
  <c r="V301" i="12"/>
  <c r="X305" i="12"/>
  <c r="V309" i="12"/>
  <c r="X313" i="12"/>
  <c r="V317" i="12"/>
  <c r="X321" i="12"/>
  <c r="W326" i="12"/>
  <c r="X329" i="12"/>
  <c r="W334" i="12"/>
  <c r="X337" i="12"/>
  <c r="W341" i="12"/>
  <c r="U344" i="12"/>
  <c r="W349" i="12"/>
  <c r="U352" i="12"/>
  <c r="X357" i="12"/>
  <c r="V361" i="12"/>
  <c r="X365" i="12"/>
  <c r="V369" i="12"/>
  <c r="X373" i="12"/>
  <c r="V377" i="12"/>
  <c r="X381" i="12"/>
  <c r="V385" i="12"/>
  <c r="X389" i="12"/>
  <c r="V393" i="12"/>
  <c r="X397" i="12"/>
  <c r="V401" i="12"/>
  <c r="X405" i="12"/>
  <c r="X409" i="12"/>
  <c r="X413" i="12"/>
  <c r="X417" i="12"/>
  <c r="X421" i="12"/>
  <c r="W426" i="12"/>
  <c r="U429" i="12"/>
  <c r="W434" i="12"/>
  <c r="U437" i="12"/>
  <c r="W442" i="12"/>
  <c r="U445" i="12"/>
  <c r="W450" i="12"/>
  <c r="U453" i="12"/>
  <c r="W458" i="12"/>
  <c r="U461" i="12"/>
  <c r="W466" i="12"/>
  <c r="U469" i="12"/>
  <c r="W473" i="12"/>
  <c r="W478" i="12"/>
  <c r="X481" i="12"/>
  <c r="X484" i="12"/>
  <c r="U488" i="12"/>
  <c r="U492" i="12"/>
  <c r="U495" i="12"/>
  <c r="V501" i="12"/>
  <c r="W505" i="12"/>
  <c r="W510" i="12"/>
  <c r="X513" i="12"/>
  <c r="X516" i="12"/>
  <c r="U520" i="12"/>
  <c r="U524" i="12"/>
  <c r="U527" i="12"/>
  <c r="V533" i="12"/>
  <c r="W537" i="12"/>
  <c r="W542" i="12"/>
  <c r="X545" i="12"/>
  <c r="X550" i="12"/>
  <c r="U555" i="12"/>
  <c r="W560" i="12"/>
  <c r="U565" i="12"/>
  <c r="U574" i="12"/>
  <c r="U581" i="12"/>
  <c r="U590" i="12"/>
  <c r="U597" i="12"/>
  <c r="V604" i="12"/>
  <c r="X612" i="12"/>
  <c r="X617" i="12"/>
  <c r="X627" i="12"/>
  <c r="W237" i="12"/>
  <c r="U241" i="12"/>
  <c r="W245" i="12"/>
  <c r="V249" i="12"/>
  <c r="X254" i="12"/>
  <c r="X257" i="12"/>
  <c r="V261" i="12"/>
  <c r="V266" i="12"/>
  <c r="X270" i="12"/>
  <c r="V273" i="12"/>
  <c r="U278" i="12"/>
  <c r="X282" i="12"/>
  <c r="X286" i="12"/>
  <c r="V290" i="12"/>
  <c r="X294" i="12"/>
  <c r="V298" i="12"/>
  <c r="X302" i="12"/>
  <c r="V306" i="12"/>
  <c r="X310" i="12"/>
  <c r="V314" i="12"/>
  <c r="X318" i="12"/>
  <c r="V322" i="12"/>
  <c r="U327" i="12"/>
  <c r="V330" i="12"/>
  <c r="U335" i="12"/>
  <c r="V338" i="12"/>
  <c r="V343" i="12"/>
  <c r="X348" i="12"/>
  <c r="V351" i="12"/>
  <c r="X356" i="12"/>
  <c r="W360" i="12"/>
  <c r="U364" i="12"/>
  <c r="W368" i="12"/>
  <c r="U372" i="12"/>
  <c r="W376" i="12"/>
  <c r="U380" i="12"/>
  <c r="W384" i="12"/>
  <c r="U388" i="12"/>
  <c r="W392" i="12"/>
  <c r="U396" i="12"/>
  <c r="W400" i="12"/>
  <c r="U404" i="12"/>
  <c r="X408" i="12"/>
  <c r="X412" i="12"/>
  <c r="X416" i="12"/>
  <c r="X420" i="12"/>
  <c r="W424" i="12"/>
  <c r="V428" i="12"/>
  <c r="W432" i="12"/>
  <c r="V436" i="12"/>
  <c r="W440" i="12"/>
  <c r="V444" i="12"/>
  <c r="W448" i="12"/>
  <c r="V452" i="12"/>
  <c r="W456" i="12"/>
  <c r="V460" i="12"/>
  <c r="W464" i="12"/>
  <c r="V468" i="12"/>
  <c r="X472" i="12"/>
  <c r="X474" i="12"/>
  <c r="X478" i="12"/>
  <c r="V482" i="12"/>
  <c r="X485" i="12"/>
  <c r="V491" i="12"/>
  <c r="V495" i="12"/>
  <c r="W499" i="12"/>
  <c r="X504" i="12"/>
  <c r="X506" i="12"/>
  <c r="X510" i="12"/>
  <c r="V514" i="12"/>
  <c r="X517" i="12"/>
  <c r="V523" i="12"/>
  <c r="V527" i="12"/>
  <c r="W531" i="12"/>
  <c r="X536" i="12"/>
  <c r="X538" i="12"/>
  <c r="X542" i="12"/>
  <c r="V546" i="12"/>
  <c r="U551" i="12"/>
  <c r="V555" i="12"/>
  <c r="V559" i="12"/>
  <c r="V572" i="12"/>
  <c r="W578" i="12"/>
  <c r="V588" i="12"/>
  <c r="W594" i="12"/>
  <c r="W604" i="12"/>
  <c r="X611" i="12"/>
  <c r="U616" i="12"/>
  <c r="U625" i="12"/>
  <c r="W631" i="12"/>
  <c r="W635" i="12"/>
  <c r="W639" i="12"/>
  <c r="W643" i="12"/>
  <c r="W647" i="12"/>
  <c r="W651" i="12"/>
  <c r="W655" i="12"/>
  <c r="W659" i="12"/>
  <c r="W663" i="12"/>
  <c r="W667" i="12"/>
  <c r="W203" i="12"/>
  <c r="U206" i="12"/>
  <c r="Y206" i="12" s="1"/>
  <c r="W211" i="12"/>
  <c r="U214" i="12"/>
  <c r="U218" i="12"/>
  <c r="W223" i="12"/>
  <c r="W227" i="12"/>
  <c r="U231" i="12"/>
  <c r="W235" i="12"/>
  <c r="U239" i="12"/>
  <c r="W243" i="12"/>
  <c r="U247" i="12"/>
  <c r="X252" i="12"/>
  <c r="V255" i="12"/>
  <c r="U259" i="12"/>
  <c r="W264" i="12"/>
  <c r="X268" i="12"/>
  <c r="V271" i="12"/>
  <c r="X276" i="12"/>
  <c r="X280" i="12"/>
  <c r="U284" i="12"/>
  <c r="V288" i="12"/>
  <c r="X292" i="12"/>
  <c r="V296" i="12"/>
  <c r="X300" i="12"/>
  <c r="V304" i="12"/>
  <c r="X308" i="12"/>
  <c r="V312" i="12"/>
  <c r="X316" i="12"/>
  <c r="V320" i="12"/>
  <c r="X324" i="12"/>
  <c r="V327" i="12"/>
  <c r="X332" i="12"/>
  <c r="V335" i="12"/>
  <c r="X340" i="12"/>
  <c r="W345" i="12"/>
  <c r="U348" i="12"/>
  <c r="W353" i="12"/>
  <c r="U356" i="12"/>
  <c r="X360" i="12"/>
  <c r="V364" i="12"/>
  <c r="X368" i="12"/>
  <c r="V372" i="12"/>
  <c r="X376" i="12"/>
  <c r="V380" i="12"/>
  <c r="X384" i="12"/>
  <c r="V388" i="12"/>
  <c r="X392" i="12"/>
  <c r="V396" i="12"/>
  <c r="X400" i="12"/>
  <c r="V404" i="12"/>
  <c r="U408" i="12"/>
  <c r="U412" i="12"/>
  <c r="Y412" i="12" s="1"/>
  <c r="U416" i="12"/>
  <c r="U420" i="12"/>
  <c r="U424" i="12"/>
  <c r="V427" i="12"/>
  <c r="U432" i="12"/>
  <c r="V435" i="12"/>
  <c r="U440" i="12"/>
  <c r="V443" i="12"/>
  <c r="U448" i="12"/>
  <c r="V451" i="12"/>
  <c r="U456" i="12"/>
  <c r="V459" i="12"/>
  <c r="U464" i="12"/>
  <c r="V467" i="12"/>
  <c r="U472" i="12"/>
  <c r="U476" i="12"/>
  <c r="U479" i="12"/>
  <c r="V485" i="12"/>
  <c r="W489" i="12"/>
  <c r="W494" i="12"/>
  <c r="X497" i="12"/>
  <c r="X500" i="12"/>
  <c r="U504" i="12"/>
  <c r="Y504" i="12" s="1"/>
  <c r="U508" i="12"/>
  <c r="U511" i="12"/>
  <c r="V517" i="12"/>
  <c r="W521" i="12"/>
  <c r="W526" i="12"/>
  <c r="X529" i="12"/>
  <c r="X532" i="12"/>
  <c r="U536" i="12"/>
  <c r="U540" i="12"/>
  <c r="U543" i="12"/>
  <c r="X549" i="12"/>
  <c r="X555" i="12"/>
  <c r="U560" i="12"/>
  <c r="U566" i="12"/>
  <c r="U573" i="12"/>
  <c r="U582" i="12"/>
  <c r="U589" i="12"/>
  <c r="U598" i="12"/>
  <c r="V606" i="12"/>
  <c r="W616" i="12"/>
  <c r="V625" i="12"/>
  <c r="U179" i="12"/>
  <c r="V183" i="12"/>
  <c r="X187" i="12"/>
  <c r="V191" i="12"/>
  <c r="X195" i="12"/>
  <c r="W200" i="12"/>
  <c r="X203" i="12"/>
  <c r="W208" i="12"/>
  <c r="X211" i="12"/>
  <c r="V216" i="12"/>
  <c r="W220" i="12"/>
  <c r="X223" i="12"/>
  <c r="X227" i="12"/>
  <c r="V231" i="12"/>
  <c r="X235" i="12"/>
  <c r="V239" i="12"/>
  <c r="X243" i="12"/>
  <c r="V247" i="12"/>
  <c r="U251" i="12"/>
  <c r="V254" i="12"/>
  <c r="V259" i="12"/>
  <c r="U263" i="12"/>
  <c r="Y263" i="12" s="1"/>
  <c r="X266" i="12"/>
  <c r="V270" i="12"/>
  <c r="U275" i="12"/>
  <c r="W278" i="12"/>
  <c r="V282" i="12"/>
  <c r="V286" i="12"/>
  <c r="X290" i="12"/>
  <c r="V294" i="12"/>
  <c r="X298" i="12"/>
  <c r="V302" i="12"/>
  <c r="X306" i="12"/>
  <c r="V310" i="12"/>
  <c r="X314" i="12"/>
  <c r="V318" i="12"/>
  <c r="X322" i="12"/>
  <c r="V325" i="12"/>
  <c r="X330" i="12"/>
  <c r="V333" i="12"/>
  <c r="X338" i="12"/>
  <c r="V341" i="12"/>
  <c r="U345" i="12"/>
  <c r="V348" i="12"/>
  <c r="U353" i="12"/>
  <c r="V356" i="12"/>
  <c r="U360" i="12"/>
  <c r="Y360" i="12" s="1"/>
  <c r="W364" i="12"/>
  <c r="U368" i="12"/>
  <c r="Y368" i="12" s="1"/>
  <c r="W372" i="12"/>
  <c r="U376" i="12"/>
  <c r="Y376" i="12" s="1"/>
  <c r="W380" i="12"/>
  <c r="U384" i="12"/>
  <c r="Y384" i="12" s="1"/>
  <c r="X390" i="12"/>
  <c r="V395" i="12"/>
  <c r="U400" i="12"/>
  <c r="X406" i="12"/>
  <c r="U411" i="12"/>
  <c r="V416" i="12"/>
  <c r="X422" i="12"/>
  <c r="W427" i="12"/>
  <c r="V432" i="12"/>
  <c r="X438" i="12"/>
  <c r="W443" i="12"/>
  <c r="V448" i="12"/>
  <c r="X454" i="12"/>
  <c r="W459" i="12"/>
  <c r="V464" i="12"/>
  <c r="X470" i="12"/>
  <c r="V477" i="12"/>
  <c r="W482" i="12"/>
  <c r="U489" i="12"/>
  <c r="X492" i="12"/>
  <c r="V497" i="12"/>
  <c r="U502" i="12"/>
  <c r="Y502" i="12" s="1"/>
  <c r="V509" i="12"/>
  <c r="W514" i="12"/>
  <c r="U521" i="12"/>
  <c r="X524" i="12"/>
  <c r="V529" i="12"/>
  <c r="U534" i="12"/>
  <c r="V541" i="12"/>
  <c r="W546" i="12"/>
  <c r="X554" i="12"/>
  <c r="V564" i="12"/>
  <c r="V573" i="12"/>
  <c r="U584" i="12"/>
  <c r="V596" i="12"/>
  <c r="V603" i="12"/>
  <c r="W620" i="12"/>
  <c r="U563" i="12"/>
  <c r="V567" i="12"/>
  <c r="U572" i="12"/>
  <c r="V577" i="12"/>
  <c r="X581" i="12"/>
  <c r="U587" i="12"/>
  <c r="V591" i="12"/>
  <c r="X595" i="12"/>
  <c r="V601" i="12"/>
  <c r="U606" i="12"/>
  <c r="W612" i="12"/>
  <c r="U621" i="12"/>
  <c r="W628" i="12"/>
  <c r="W636" i="12"/>
  <c r="W644" i="12"/>
  <c r="W652" i="12"/>
  <c r="W660" i="12"/>
  <c r="W668" i="12"/>
  <c r="X677" i="12"/>
  <c r="X693" i="12"/>
  <c r="X709" i="12"/>
  <c r="X725" i="12"/>
  <c r="X741" i="12"/>
  <c r="X757" i="12"/>
  <c r="X773" i="12"/>
  <c r="X789" i="12"/>
  <c r="X805" i="12"/>
  <c r="X821" i="12"/>
  <c r="X837" i="12"/>
  <c r="X853" i="12"/>
  <c r="X894" i="12"/>
  <c r="X910" i="12"/>
  <c r="X926" i="12"/>
  <c r="X942" i="12"/>
  <c r="V956" i="12"/>
  <c r="W978" i="12"/>
  <c r="U991" i="12"/>
  <c r="U1021" i="12"/>
  <c r="V682" i="12"/>
  <c r="V698" i="12"/>
  <c r="V714" i="12"/>
  <c r="V730" i="12"/>
  <c r="V746" i="12"/>
  <c r="W676" i="12"/>
  <c r="W680" i="12"/>
  <c r="W684" i="12"/>
  <c r="W688" i="12"/>
  <c r="W692" i="12"/>
  <c r="W696" i="12"/>
  <c r="W700" i="12"/>
  <c r="W704" i="12"/>
  <c r="W708" i="12"/>
  <c r="W712" i="12"/>
  <c r="W716" i="12"/>
  <c r="W720" i="12"/>
  <c r="W724" i="12"/>
  <c r="W728" i="12"/>
  <c r="W732" i="12"/>
  <c r="W736" i="12"/>
  <c r="W740" i="12"/>
  <c r="W744" i="12"/>
  <c r="W748" i="12"/>
  <c r="W752" i="12"/>
  <c r="W756" i="12"/>
  <c r="W760" i="12"/>
  <c r="W764" i="12"/>
  <c r="W768" i="12"/>
  <c r="W772" i="12"/>
  <c r="W776" i="12"/>
  <c r="W780" i="12"/>
  <c r="W784" i="12"/>
  <c r="W788" i="12"/>
  <c r="W792" i="12"/>
  <c r="W796" i="12"/>
  <c r="W800" i="12"/>
  <c r="W804" i="12"/>
  <c r="W808" i="12"/>
  <c r="W812" i="12"/>
  <c r="W816" i="12"/>
  <c r="W820" i="12"/>
  <c r="W824" i="12"/>
  <c r="W828" i="12"/>
  <c r="W832" i="12"/>
  <c r="W836" i="12"/>
  <c r="W840" i="12"/>
  <c r="W844" i="12"/>
  <c r="W848" i="12"/>
  <c r="W852" i="12"/>
  <c r="W856" i="12"/>
  <c r="U885" i="12"/>
  <c r="U889" i="12"/>
  <c r="W893" i="12"/>
  <c r="W897" i="12"/>
  <c r="U901" i="12"/>
  <c r="U905" i="12"/>
  <c r="W909" i="12"/>
  <c r="W913" i="12"/>
  <c r="U917" i="12"/>
  <c r="U921" i="12"/>
  <c r="W925" i="12"/>
  <c r="W929" i="12"/>
  <c r="U933" i="12"/>
  <c r="U937" i="12"/>
  <c r="W941" i="12"/>
  <c r="W945" i="12"/>
  <c r="U949" i="12"/>
  <c r="U953" i="12"/>
  <c r="U955" i="12"/>
  <c r="W959" i="12"/>
  <c r="V964" i="12"/>
  <c r="X968" i="12"/>
  <c r="W977" i="12"/>
  <c r="X981" i="12"/>
  <c r="W985" i="12"/>
  <c r="X988" i="12"/>
  <c r="X990" i="12"/>
  <c r="X992" i="12"/>
  <c r="W996" i="12"/>
  <c r="U1004" i="12"/>
  <c r="X1020" i="12"/>
  <c r="U669" i="12"/>
  <c r="U673" i="12"/>
  <c r="U677" i="12"/>
  <c r="U681" i="12"/>
  <c r="U685" i="12"/>
  <c r="U689" i="12"/>
  <c r="U693" i="12"/>
  <c r="U697" i="12"/>
  <c r="U701" i="12"/>
  <c r="U705" i="12"/>
  <c r="U709" i="12"/>
  <c r="U713" i="12"/>
  <c r="U717" i="12"/>
  <c r="U721" i="12"/>
  <c r="U725" i="12"/>
  <c r="U729" i="12"/>
  <c r="U733" i="12"/>
  <c r="U737" i="12"/>
  <c r="U741" i="12"/>
  <c r="U745" i="12"/>
  <c r="U749" i="12"/>
  <c r="U753" i="12"/>
  <c r="U757" i="12"/>
  <c r="U761" i="12"/>
  <c r="U765" i="12"/>
  <c r="U769" i="12"/>
  <c r="U773" i="12"/>
  <c r="U777" i="12"/>
  <c r="U781" i="12"/>
  <c r="U785" i="12"/>
  <c r="U789" i="12"/>
  <c r="U793" i="12"/>
  <c r="U797" i="12"/>
  <c r="U801" i="12"/>
  <c r="U805" i="12"/>
  <c r="U809" i="12"/>
  <c r="U813" i="12"/>
  <c r="U817" i="12"/>
  <c r="U821" i="12"/>
  <c r="U825" i="12"/>
  <c r="U829" i="12"/>
  <c r="U833" i="12"/>
  <c r="U837" i="12"/>
  <c r="U841" i="12"/>
  <c r="U845" i="12"/>
  <c r="U849" i="12"/>
  <c r="U853" i="12"/>
  <c r="U857" i="12"/>
  <c r="U859" i="12"/>
  <c r="U861" i="12"/>
  <c r="U863" i="12"/>
  <c r="U865" i="12"/>
  <c r="U867" i="12"/>
  <c r="U869" i="12"/>
  <c r="U871" i="12"/>
  <c r="U873" i="12"/>
  <c r="U875" i="12"/>
  <c r="U877" i="12"/>
  <c r="U879" i="12"/>
  <c r="U881" i="12"/>
  <c r="U883" i="12"/>
  <c r="X887" i="12"/>
  <c r="W891" i="12"/>
  <c r="W896" i="12"/>
  <c r="U899" i="12"/>
  <c r="X903" i="12"/>
  <c r="W907" i="12"/>
  <c r="W912" i="12"/>
  <c r="U915" i="12"/>
  <c r="X919" i="12"/>
  <c r="W923" i="12"/>
  <c r="W928" i="12"/>
  <c r="U931" i="12"/>
  <c r="X935" i="12"/>
  <c r="W939" i="12"/>
  <c r="W944" i="12"/>
  <c r="U947" i="12"/>
  <c r="V952" i="12"/>
  <c r="W956" i="12"/>
  <c r="U960" i="12"/>
  <c r="W964" i="12"/>
  <c r="U968" i="12"/>
  <c r="W973" i="12"/>
  <c r="X977" i="12"/>
  <c r="X979" i="12"/>
  <c r="V983" i="12"/>
  <c r="X986" i="12"/>
  <c r="V990" i="12"/>
  <c r="W995" i="12"/>
  <c r="U1001" i="12"/>
  <c r="U1007" i="12"/>
  <c r="U1011" i="12"/>
  <c r="U1026" i="12"/>
  <c r="U632" i="12"/>
  <c r="U636" i="12"/>
  <c r="U640" i="12"/>
  <c r="U644" i="12"/>
  <c r="U648" i="12"/>
  <c r="U652" i="12"/>
  <c r="U656" i="12"/>
  <c r="U660" i="12"/>
  <c r="U664" i="12"/>
  <c r="U668" i="12"/>
  <c r="U672" i="12"/>
  <c r="U676" i="12"/>
  <c r="U680" i="12"/>
  <c r="U684" i="12"/>
  <c r="U688" i="12"/>
  <c r="U692" i="12"/>
  <c r="U696" i="12"/>
  <c r="U700" i="12"/>
  <c r="U704" i="12"/>
  <c r="U708" i="12"/>
  <c r="U712" i="12"/>
  <c r="U716" i="12"/>
  <c r="U720" i="12"/>
  <c r="U724" i="12"/>
  <c r="U728" i="12"/>
  <c r="U732" i="12"/>
  <c r="U736" i="12"/>
  <c r="U740" i="12"/>
  <c r="U744" i="12"/>
  <c r="U748" i="12"/>
  <c r="U752" i="12"/>
  <c r="U756" i="12"/>
  <c r="U760" i="12"/>
  <c r="U764" i="12"/>
  <c r="U768" i="12"/>
  <c r="U772" i="12"/>
  <c r="U776" i="12"/>
  <c r="U780" i="12"/>
  <c r="U784" i="12"/>
  <c r="U788" i="12"/>
  <c r="U792" i="12"/>
  <c r="U796" i="12"/>
  <c r="U800" i="12"/>
  <c r="U804" i="12"/>
  <c r="U808" i="12"/>
  <c r="U812" i="12"/>
  <c r="U816" i="12"/>
  <c r="U820" i="12"/>
  <c r="U824" i="12"/>
  <c r="U828" i="12"/>
  <c r="U832" i="12"/>
  <c r="U836" i="12"/>
  <c r="U840" i="12"/>
  <c r="U844" i="12"/>
  <c r="U848" i="12"/>
  <c r="U852" i="12"/>
  <c r="U856" i="12"/>
  <c r="V860" i="12"/>
  <c r="V864" i="12"/>
  <c r="V868" i="12"/>
  <c r="V872" i="12"/>
  <c r="V876" i="12"/>
  <c r="V880" i="12"/>
  <c r="W884" i="12"/>
  <c r="V888" i="12"/>
  <c r="X892" i="12"/>
  <c r="X896" i="12"/>
  <c r="W900" i="12"/>
  <c r="V904" i="12"/>
  <c r="X908" i="12"/>
  <c r="X912" i="12"/>
  <c r="W916" i="12"/>
  <c r="V920" i="12"/>
  <c r="X924" i="12"/>
  <c r="X928" i="12"/>
  <c r="W932" i="12"/>
  <c r="V936" i="12"/>
  <c r="X940" i="12"/>
  <c r="X944" i="12"/>
  <c r="V948" i="12"/>
  <c r="W952" i="12"/>
  <c r="X958" i="12"/>
  <c r="W962" i="12"/>
  <c r="U965" i="12"/>
  <c r="W969" i="12"/>
  <c r="X972" i="12"/>
  <c r="X974" i="12"/>
  <c r="X976" i="12"/>
  <c r="U980" i="12"/>
  <c r="X984" i="12"/>
  <c r="W993" i="12"/>
  <c r="V997" i="12"/>
  <c r="V1005" i="12"/>
  <c r="X1022" i="12"/>
  <c r="V547" i="12"/>
  <c r="V551" i="12"/>
  <c r="W555" i="12"/>
  <c r="X560" i="12"/>
  <c r="X562" i="12"/>
  <c r="X568" i="12"/>
  <c r="W571" i="12"/>
  <c r="U577" i="12"/>
  <c r="W580" i="12"/>
  <c r="U586" i="12"/>
  <c r="W589" i="12"/>
  <c r="X594" i="12"/>
  <c r="X600" i="12"/>
  <c r="X603" i="12"/>
  <c r="W607" i="12"/>
  <c r="V612" i="12"/>
  <c r="X616" i="12"/>
  <c r="X619" i="12"/>
  <c r="W623" i="12"/>
  <c r="U627" i="12"/>
  <c r="U631" i="12"/>
  <c r="U635" i="12"/>
  <c r="U639" i="12"/>
  <c r="U643" i="12"/>
  <c r="U647" i="12"/>
  <c r="U651" i="12"/>
  <c r="U655" i="12"/>
  <c r="U659" i="12"/>
  <c r="U663" i="12"/>
  <c r="U667" i="12"/>
  <c r="U671" i="12"/>
  <c r="U675" i="12"/>
  <c r="U679" i="12"/>
  <c r="U683" i="12"/>
  <c r="U687" i="12"/>
  <c r="U691" i="12"/>
  <c r="U695" i="12"/>
  <c r="U699" i="12"/>
  <c r="U703" i="12"/>
  <c r="U707" i="12"/>
  <c r="U711" i="12"/>
  <c r="U715" i="12"/>
  <c r="U719" i="12"/>
  <c r="U723" i="12"/>
  <c r="U727" i="12"/>
  <c r="U731" i="12"/>
  <c r="U735" i="12"/>
  <c r="U739" i="12"/>
  <c r="U743" i="12"/>
  <c r="U747" i="12"/>
  <c r="U751" i="12"/>
  <c r="U755" i="12"/>
  <c r="U759" i="12"/>
  <c r="U763" i="12"/>
  <c r="U767" i="12"/>
  <c r="U771" i="12"/>
  <c r="U775" i="12"/>
  <c r="U779" i="12"/>
  <c r="U783" i="12"/>
  <c r="U787" i="12"/>
  <c r="U791" i="12"/>
  <c r="U795" i="12"/>
  <c r="U799" i="12"/>
  <c r="U803" i="12"/>
  <c r="U807" i="12"/>
  <c r="U811" i="12"/>
  <c r="U815" i="12"/>
  <c r="U819" i="12"/>
  <c r="U823" i="12"/>
  <c r="U827" i="12"/>
  <c r="U831" i="12"/>
  <c r="U835" i="12"/>
  <c r="U839" i="12"/>
  <c r="U843" i="12"/>
  <c r="U847" i="12"/>
  <c r="U851" i="12"/>
  <c r="U855" i="12"/>
  <c r="W859" i="12"/>
  <c r="W863" i="12"/>
  <c r="W867" i="12"/>
  <c r="W871" i="12"/>
  <c r="W875" i="12"/>
  <c r="W879" i="12"/>
  <c r="W883" i="12"/>
  <c r="W888" i="12"/>
  <c r="U891" i="12"/>
  <c r="X895" i="12"/>
  <c r="W899" i="12"/>
  <c r="W904" i="12"/>
  <c r="U907" i="12"/>
  <c r="X911" i="12"/>
  <c r="W915" i="12"/>
  <c r="W920" i="12"/>
  <c r="U923" i="12"/>
  <c r="X927" i="12"/>
  <c r="W931" i="12"/>
  <c r="W936" i="12"/>
  <c r="U939" i="12"/>
  <c r="X943" i="12"/>
  <c r="W947" i="12"/>
  <c r="X951" i="12"/>
  <c r="X956" i="12"/>
  <c r="V959" i="12"/>
  <c r="X962" i="12"/>
  <c r="V967" i="12"/>
  <c r="X970" i="12"/>
  <c r="V974" i="12"/>
  <c r="V980" i="12"/>
  <c r="U984" i="12"/>
  <c r="W989" i="12"/>
  <c r="X993" i="12"/>
  <c r="V996" i="12"/>
  <c r="W1003" i="12"/>
  <c r="U1008" i="12"/>
  <c r="V1012" i="12"/>
  <c r="U1016" i="12"/>
  <c r="U1020" i="12"/>
  <c r="U1028" i="12"/>
  <c r="U1032" i="12"/>
  <c r="U1036" i="12"/>
  <c r="U1040" i="12"/>
  <c r="U1060" i="12"/>
  <c r="U1064" i="12"/>
  <c r="U1068" i="12"/>
  <c r="U1072" i="12"/>
  <c r="U1076" i="12"/>
  <c r="U1080" i="12"/>
  <c r="U1084" i="12"/>
  <c r="U1088" i="12"/>
  <c r="U1092" i="12"/>
  <c r="U1096" i="12"/>
  <c r="U1100" i="12"/>
  <c r="U1104" i="12"/>
  <c r="U1108" i="12"/>
  <c r="U1112" i="12"/>
  <c r="U1116" i="12"/>
  <c r="U1120" i="12"/>
  <c r="U1124" i="12"/>
  <c r="U1128" i="12"/>
  <c r="U1132" i="12"/>
  <c r="U1136" i="12"/>
  <c r="U1140" i="12"/>
  <c r="U1144" i="12"/>
  <c r="U1148" i="12"/>
  <c r="U1152" i="12"/>
  <c r="U1156" i="12"/>
  <c r="U1160" i="12"/>
  <c r="U1164" i="12"/>
  <c r="U1168" i="12"/>
  <c r="U1172" i="12"/>
  <c r="U1176" i="12"/>
  <c r="U1180" i="12"/>
  <c r="U1184" i="12"/>
  <c r="U1188" i="12"/>
  <c r="U1192" i="12"/>
  <c r="U1196" i="12"/>
  <c r="U1200" i="12"/>
  <c r="U1204" i="12"/>
  <c r="U1208" i="12"/>
  <c r="U1212" i="12"/>
  <c r="V1217" i="12"/>
  <c r="X1223" i="12"/>
  <c r="U1228" i="12"/>
  <c r="V1233" i="12"/>
  <c r="V1239" i="12"/>
  <c r="V1244" i="12"/>
  <c r="V1249" i="12"/>
  <c r="V1255" i="12"/>
  <c r="V1260" i="12"/>
  <c r="V1265" i="12"/>
  <c r="V1271" i="12"/>
  <c r="V1276" i="12"/>
  <c r="V1281" i="12"/>
  <c r="V1287" i="12"/>
  <c r="V1292" i="12"/>
  <c r="V1297" i="12"/>
  <c r="W1303" i="12"/>
  <c r="X1308" i="12"/>
  <c r="U1313" i="12"/>
  <c r="W1319" i="12"/>
  <c r="X1324" i="12"/>
  <c r="U1329" i="12"/>
  <c r="W1335" i="12"/>
  <c r="X1340" i="12"/>
  <c r="U1345" i="12"/>
  <c r="W1351" i="12"/>
  <c r="X1356" i="12"/>
  <c r="U1361" i="12"/>
  <c r="W1367" i="12"/>
  <c r="X1372" i="12"/>
  <c r="U1377" i="12"/>
  <c r="W1383" i="12"/>
  <c r="X1388" i="12"/>
  <c r="U1393" i="12"/>
  <c r="W1399" i="12"/>
  <c r="X1404" i="12"/>
  <c r="U1409" i="12"/>
  <c r="W1415" i="12"/>
  <c r="X1420" i="12"/>
  <c r="U1425" i="12"/>
  <c r="W1431" i="12"/>
  <c r="X1436" i="12"/>
  <c r="X1444" i="12"/>
  <c r="X1456" i="12"/>
  <c r="U1465" i="12"/>
  <c r="W1001" i="12"/>
  <c r="U1015" i="12"/>
  <c r="V1020" i="12"/>
  <c r="V1028" i="12"/>
  <c r="V1036" i="12"/>
  <c r="W1044" i="12"/>
  <c r="W1052" i="12"/>
  <c r="V1060" i="12"/>
  <c r="V1068" i="12"/>
  <c r="V1076" i="12"/>
  <c r="V1084" i="12"/>
  <c r="V1092" i="12"/>
  <c r="V1100" i="12"/>
  <c r="V1108" i="12"/>
  <c r="V1116" i="12"/>
  <c r="V1124" i="12"/>
  <c r="V1136" i="12"/>
  <c r="V1152" i="12"/>
  <c r="V1168" i="12"/>
  <c r="V1184" i="12"/>
  <c r="V1200" i="12"/>
  <c r="V1216" i="12"/>
  <c r="V1301" i="12"/>
  <c r="V1317" i="12"/>
  <c r="V1333" i="12"/>
  <c r="V750" i="12"/>
  <c r="V754" i="12"/>
  <c r="V758" i="12"/>
  <c r="V762" i="12"/>
  <c r="V766" i="12"/>
  <c r="V770" i="12"/>
  <c r="V774" i="12"/>
  <c r="V778" i="12"/>
  <c r="V782" i="12"/>
  <c r="V786" i="12"/>
  <c r="V790" i="12"/>
  <c r="V794" i="12"/>
  <c r="V798" i="12"/>
  <c r="V802" i="12"/>
  <c r="V806" i="12"/>
  <c r="V810" i="12"/>
  <c r="V814" i="12"/>
  <c r="V818" i="12"/>
  <c r="V822" i="12"/>
  <c r="V826" i="12"/>
  <c r="V830" i="12"/>
  <c r="V834" i="12"/>
  <c r="V838" i="12"/>
  <c r="V842" i="12"/>
  <c r="V846" i="12"/>
  <c r="V850" i="12"/>
  <c r="V854" i="12"/>
  <c r="X857" i="12"/>
  <c r="X859" i="12"/>
  <c r="X861" i="12"/>
  <c r="X863" i="12"/>
  <c r="X865" i="12"/>
  <c r="X867" i="12"/>
  <c r="X869" i="12"/>
  <c r="X871" i="12"/>
  <c r="X873" i="12"/>
  <c r="X875" i="12"/>
  <c r="X877" i="12"/>
  <c r="X879" i="12"/>
  <c r="X881" i="12"/>
  <c r="V884" i="12"/>
  <c r="U888" i="12"/>
  <c r="X893" i="12"/>
  <c r="X897" i="12"/>
  <c r="V900" i="12"/>
  <c r="U904" i="12"/>
  <c r="X909" i="12"/>
  <c r="X913" i="12"/>
  <c r="V916" i="12"/>
  <c r="U920" i="12"/>
  <c r="X925" i="12"/>
  <c r="X929" i="12"/>
  <c r="V932" i="12"/>
  <c r="U936" i="12"/>
  <c r="X941" i="12"/>
  <c r="X945" i="12"/>
  <c r="V949" i="12"/>
  <c r="V953" i="12"/>
  <c r="W957" i="12"/>
  <c r="V961" i="12"/>
  <c r="X965" i="12"/>
  <c r="V969" i="12"/>
  <c r="W974" i="12"/>
  <c r="U978" i="12"/>
  <c r="X980" i="12"/>
  <c r="W984" i="12"/>
  <c r="U987" i="12"/>
  <c r="V991" i="12"/>
  <c r="X996" i="12"/>
  <c r="X1004" i="12"/>
  <c r="X1008" i="12"/>
  <c r="X1021" i="12"/>
  <c r="V629" i="12"/>
  <c r="V633" i="12"/>
  <c r="V637" i="12"/>
  <c r="V641" i="12"/>
  <c r="V645" i="12"/>
  <c r="V649" i="12"/>
  <c r="V653" i="12"/>
  <c r="V657" i="12"/>
  <c r="V661" i="12"/>
  <c r="V665" i="12"/>
  <c r="V669" i="12"/>
  <c r="V673" i="12"/>
  <c r="V677" i="12"/>
  <c r="V681" i="12"/>
  <c r="V685" i="12"/>
  <c r="V689" i="12"/>
  <c r="V693" i="12"/>
  <c r="V697" i="12"/>
  <c r="V701" i="12"/>
  <c r="V705" i="12"/>
  <c r="V709" i="12"/>
  <c r="V713" i="12"/>
  <c r="V717" i="12"/>
  <c r="V721" i="12"/>
  <c r="V725" i="12"/>
  <c r="V729" i="12"/>
  <c r="V733" i="12"/>
  <c r="V737" i="12"/>
  <c r="V741" i="12"/>
  <c r="V745" i="12"/>
  <c r="V749" i="12"/>
  <c r="V753" i="12"/>
  <c r="V757" i="12"/>
  <c r="V761" i="12"/>
  <c r="V765" i="12"/>
  <c r="V769" i="12"/>
  <c r="V773" i="12"/>
  <c r="V777" i="12"/>
  <c r="V781" i="12"/>
  <c r="V785" i="12"/>
  <c r="V789" i="12"/>
  <c r="V793" i="12"/>
  <c r="V797" i="12"/>
  <c r="V801" i="12"/>
  <c r="V805" i="12"/>
  <c r="V809" i="12"/>
  <c r="V813" i="12"/>
  <c r="V817" i="12"/>
  <c r="V821" i="12"/>
  <c r="V825" i="12"/>
  <c r="V829" i="12"/>
  <c r="V833" i="12"/>
  <c r="V837" i="12"/>
  <c r="V841" i="12"/>
  <c r="V845" i="12"/>
  <c r="V849" i="12"/>
  <c r="V853" i="12"/>
  <c r="V857" i="12"/>
  <c r="V861" i="12"/>
  <c r="V865" i="12"/>
  <c r="V869" i="12"/>
  <c r="V873" i="12"/>
  <c r="V877" i="12"/>
  <c r="V881" i="12"/>
  <c r="W885" i="12"/>
  <c r="W889" i="12"/>
  <c r="U893" i="12"/>
  <c r="U897" i="12"/>
  <c r="W901" i="12"/>
  <c r="W905" i="12"/>
  <c r="U909" i="12"/>
  <c r="U913" i="12"/>
  <c r="W917" i="12"/>
  <c r="W921" i="12"/>
  <c r="U925" i="12"/>
  <c r="U929" i="12"/>
  <c r="W933" i="12"/>
  <c r="W937" i="12"/>
  <c r="U941" i="12"/>
  <c r="U945" i="12"/>
  <c r="W949" i="12"/>
  <c r="W953" i="12"/>
  <c r="U959" i="12"/>
  <c r="X963" i="12"/>
  <c r="X966" i="12"/>
  <c r="W970" i="12"/>
  <c r="U973" i="12"/>
  <c r="U975" i="12"/>
  <c r="U977" i="12"/>
  <c r="V981" i="12"/>
  <c r="U985" i="12"/>
  <c r="W994" i="12"/>
  <c r="V998" i="12"/>
  <c r="V1007" i="12"/>
  <c r="U1023" i="12"/>
  <c r="V548" i="12"/>
  <c r="W552" i="12"/>
  <c r="W556" i="12"/>
  <c r="U561" i="12"/>
  <c r="W563" i="12"/>
  <c r="U569" i="12"/>
  <c r="W572" i="12"/>
  <c r="U578" i="12"/>
  <c r="W581" i="12"/>
  <c r="X586" i="12"/>
  <c r="X592" i="12"/>
  <c r="W595" i="12"/>
  <c r="U601" i="12"/>
  <c r="U604" i="12"/>
  <c r="W608" i="12"/>
  <c r="V613" i="12"/>
  <c r="U617" i="12"/>
  <c r="U620" i="12"/>
  <c r="W624" i="12"/>
  <c r="V628" i="12"/>
  <c r="V632" i="12"/>
  <c r="V636" i="12"/>
  <c r="V640" i="12"/>
  <c r="V644" i="12"/>
  <c r="V648" i="12"/>
  <c r="V652" i="12"/>
  <c r="V656" i="12"/>
  <c r="V660" i="12"/>
  <c r="V664" i="12"/>
  <c r="V668" i="12"/>
  <c r="V672" i="12"/>
  <c r="V676" i="12"/>
  <c r="V680" i="12"/>
  <c r="V684" i="12"/>
  <c r="V688" i="12"/>
  <c r="V692" i="12"/>
  <c r="V696" i="12"/>
  <c r="V700" i="12"/>
  <c r="V704" i="12"/>
  <c r="V708" i="12"/>
  <c r="V712" i="12"/>
  <c r="V716" i="12"/>
  <c r="V720" i="12"/>
  <c r="V724" i="12"/>
  <c r="V728" i="12"/>
  <c r="V732" i="12"/>
  <c r="V736" i="12"/>
  <c r="V740" i="12"/>
  <c r="V744" i="12"/>
  <c r="V748" i="12"/>
  <c r="V752" i="12"/>
  <c r="V756" i="12"/>
  <c r="V760" i="12"/>
  <c r="V764" i="12"/>
  <c r="V768" i="12"/>
  <c r="V772" i="12"/>
  <c r="V776" i="12"/>
  <c r="V780" i="12"/>
  <c r="V784" i="12"/>
  <c r="V788" i="12"/>
  <c r="V792" i="12"/>
  <c r="V796" i="12"/>
  <c r="V800" i="12"/>
  <c r="V804" i="12"/>
  <c r="V808" i="12"/>
  <c r="V812" i="12"/>
  <c r="V816" i="12"/>
  <c r="V820" i="12"/>
  <c r="V824" i="12"/>
  <c r="V828" i="12"/>
  <c r="V832" i="12"/>
  <c r="V836" i="12"/>
  <c r="V840" i="12"/>
  <c r="V844" i="12"/>
  <c r="V848" i="12"/>
  <c r="V852" i="12"/>
  <c r="V856" i="12"/>
  <c r="W860" i="12"/>
  <c r="W864" i="12"/>
  <c r="W868" i="12"/>
  <c r="W872" i="12"/>
  <c r="W876" i="12"/>
  <c r="W880" i="12"/>
  <c r="X885" i="12"/>
  <c r="X889" i="12"/>
  <c r="V892" i="12"/>
  <c r="U896" i="12"/>
  <c r="X901" i="12"/>
  <c r="X905" i="12"/>
  <c r="V908" i="12"/>
  <c r="U912" i="12"/>
  <c r="X917" i="12"/>
  <c r="X921" i="12"/>
  <c r="V924" i="12"/>
  <c r="U928" i="12"/>
  <c r="X933" i="12"/>
  <c r="X937" i="12"/>
  <c r="V940" i="12"/>
  <c r="U944" i="12"/>
  <c r="W948" i="12"/>
  <c r="U952" i="12"/>
  <c r="U957" i="12"/>
  <c r="W960" i="12"/>
  <c r="U963" i="12"/>
  <c r="W968" i="12"/>
  <c r="U971" i="12"/>
  <c r="V975" i="12"/>
  <c r="W981" i="12"/>
  <c r="V985" i="12"/>
  <c r="W990" i="12"/>
  <c r="U994" i="12"/>
  <c r="W998" i="12"/>
  <c r="X1005" i="12"/>
  <c r="X1009" i="12"/>
  <c r="V1013" i="12"/>
  <c r="V1017" i="12"/>
  <c r="X1023" i="12"/>
  <c r="V1029" i="12"/>
  <c r="V1033" i="12"/>
  <c r="V1037" i="12"/>
  <c r="V1041" i="12"/>
  <c r="V1061" i="12"/>
  <c r="V1065" i="12"/>
  <c r="V1069" i="12"/>
  <c r="V1073" i="12"/>
  <c r="V1077" i="12"/>
  <c r="V1081" i="12"/>
  <c r="V1085" i="12"/>
  <c r="V1089" i="12"/>
  <c r="V1093" i="12"/>
  <c r="V1097" i="12"/>
  <c r="V1101" i="12"/>
  <c r="V1105" i="12"/>
  <c r="V1109" i="12"/>
  <c r="V1113" i="12"/>
  <c r="V1117" i="12"/>
  <c r="V1121" i="12"/>
  <c r="V1125" i="12"/>
  <c r="V1129" i="12"/>
  <c r="V1133" i="12"/>
  <c r="V1137" i="12"/>
  <c r="V1141" i="12"/>
  <c r="V1145" i="12"/>
  <c r="V1149" i="12"/>
  <c r="V1153" i="12"/>
  <c r="V1157" i="12"/>
  <c r="V1161" i="12"/>
  <c r="V1165" i="12"/>
  <c r="V1169" i="12"/>
  <c r="V1173" i="12"/>
  <c r="V1177" i="12"/>
  <c r="V1181" i="12"/>
  <c r="V1185" i="12"/>
  <c r="V1189" i="12"/>
  <c r="V1193" i="12"/>
  <c r="V1197" i="12"/>
  <c r="V1201" i="12"/>
  <c r="V1205" i="12"/>
  <c r="V1209" i="12"/>
  <c r="V1213" i="12"/>
  <c r="X1219" i="12"/>
  <c r="U1224" i="12"/>
  <c r="V1229" i="12"/>
  <c r="V1235" i="12"/>
  <c r="V1240" i="12"/>
  <c r="V1245" i="12"/>
  <c r="V1251" i="12"/>
  <c r="V1256" i="12"/>
  <c r="V1261" i="12"/>
  <c r="V1267" i="12"/>
  <c r="V1272" i="12"/>
  <c r="V1277" i="12"/>
  <c r="V1283" i="12"/>
  <c r="V1288" i="12"/>
  <c r="V1293" i="12"/>
  <c r="W1299" i="12"/>
  <c r="X1304" i="12"/>
  <c r="U1309" i="12"/>
  <c r="W1315" i="12"/>
  <c r="X1320" i="12"/>
  <c r="U1325" i="12"/>
  <c r="W1331" i="12"/>
  <c r="X1336" i="12"/>
  <c r="U1341" i="12"/>
  <c r="W1347" i="12"/>
  <c r="X1352" i="12"/>
  <c r="U1357" i="12"/>
  <c r="W1363" i="12"/>
  <c r="X1368" i="12"/>
  <c r="U1373" i="12"/>
  <c r="W1379" i="12"/>
  <c r="X1384" i="12"/>
  <c r="U1389" i="12"/>
  <c r="W1395" i="12"/>
  <c r="X1400" i="12"/>
  <c r="U1405" i="12"/>
  <c r="W1411" i="12"/>
  <c r="X1416" i="12"/>
  <c r="U1421" i="12"/>
  <c r="W1427" i="12"/>
  <c r="X1432" i="12"/>
  <c r="U1437" i="12"/>
  <c r="X1448" i="12"/>
  <c r="U1457" i="12"/>
  <c r="W997" i="12"/>
  <c r="U1003" i="12"/>
  <c r="V1016" i="12"/>
  <c r="V1023" i="12"/>
  <c r="U1031" i="12"/>
  <c r="U1039" i="12"/>
  <c r="W1047" i="12"/>
  <c r="W1055" i="12"/>
  <c r="U1063" i="12"/>
  <c r="U1071" i="12"/>
  <c r="U1079" i="12"/>
  <c r="U1087" i="12"/>
  <c r="U1095" i="12"/>
  <c r="U1103" i="12"/>
  <c r="U1111" i="12"/>
  <c r="U1119" i="12"/>
  <c r="U1127" i="12"/>
  <c r="V1140" i="12"/>
  <c r="V1156" i="12"/>
  <c r="V1172" i="12"/>
  <c r="V1188" i="12"/>
  <c r="V1204" i="12"/>
  <c r="V1220" i="12"/>
  <c r="V1305" i="12"/>
  <c r="V1321" i="12"/>
  <c r="V1337" i="12"/>
  <c r="W610" i="12"/>
  <c r="V615" i="12"/>
  <c r="U619" i="12"/>
  <c r="X622" i="12"/>
  <c r="U626" i="12"/>
  <c r="U630" i="12"/>
  <c r="U634" i="12"/>
  <c r="U638" i="12"/>
  <c r="U642" i="12"/>
  <c r="U646" i="12"/>
  <c r="U650" i="12"/>
  <c r="U654" i="12"/>
  <c r="U658" i="12"/>
  <c r="U662" i="12"/>
  <c r="U666" i="12"/>
  <c r="U670" i="12"/>
  <c r="U674" i="12"/>
  <c r="U678" i="12"/>
  <c r="U682" i="12"/>
  <c r="U686" i="12"/>
  <c r="U690" i="12"/>
  <c r="U694" i="12"/>
  <c r="U698" i="12"/>
  <c r="U702" i="12"/>
  <c r="U706" i="12"/>
  <c r="U710" i="12"/>
  <c r="U714" i="12"/>
  <c r="U718" i="12"/>
  <c r="U722" i="12"/>
  <c r="U726" i="12"/>
  <c r="U730" i="12"/>
  <c r="U734" i="12"/>
  <c r="U738" i="12"/>
  <c r="U742" i="12"/>
  <c r="U746" i="12"/>
  <c r="U750" i="12"/>
  <c r="U754" i="12"/>
  <c r="U758" i="12"/>
  <c r="U762" i="12"/>
  <c r="U766" i="12"/>
  <c r="U770" i="12"/>
  <c r="U774" i="12"/>
  <c r="U778" i="12"/>
  <c r="U782" i="12"/>
  <c r="U786" i="12"/>
  <c r="U790" i="12"/>
  <c r="U794" i="12"/>
  <c r="U798" i="12"/>
  <c r="U802" i="12"/>
  <c r="U806" i="12"/>
  <c r="U810" i="12"/>
  <c r="U814" i="12"/>
  <c r="U818" i="12"/>
  <c r="U822" i="12"/>
  <c r="U826" i="12"/>
  <c r="U830" i="12"/>
  <c r="U834" i="12"/>
  <c r="U838" i="12"/>
  <c r="U842" i="12"/>
  <c r="U846" i="12"/>
  <c r="U850" i="12"/>
  <c r="U854" i="12"/>
  <c r="U884" i="12"/>
  <c r="W887" i="12"/>
  <c r="V891" i="12"/>
  <c r="U895" i="12"/>
  <c r="U900" i="12"/>
  <c r="W903" i="12"/>
  <c r="V907" i="12"/>
  <c r="U911" i="12"/>
  <c r="U916" i="12"/>
  <c r="W919" i="12"/>
  <c r="V923" i="12"/>
  <c r="U927" i="12"/>
  <c r="U932" i="12"/>
  <c r="W935" i="12"/>
  <c r="V939" i="12"/>
  <c r="U943" i="12"/>
  <c r="U948" i="12"/>
  <c r="U951" i="12"/>
  <c r="U954" i="12"/>
  <c r="V957" i="12"/>
  <c r="U961" i="12"/>
  <c r="W966" i="12"/>
  <c r="V970" i="12"/>
  <c r="W979" i="12"/>
  <c r="U983" i="12"/>
  <c r="X987" i="12"/>
  <c r="X989" i="12"/>
  <c r="X991" i="12"/>
  <c r="V994" i="12"/>
  <c r="U1000" i="12"/>
  <c r="V1008" i="12"/>
  <c r="X1024" i="12"/>
  <c r="W671" i="12"/>
  <c r="W675" i="12"/>
  <c r="W679" i="12"/>
  <c r="W683" i="12"/>
  <c r="W687" i="12"/>
  <c r="W691" i="12"/>
  <c r="W695" i="12"/>
  <c r="W699" i="12"/>
  <c r="W703" i="12"/>
  <c r="W707" i="12"/>
  <c r="W711" i="12"/>
  <c r="W715" i="12"/>
  <c r="W719" i="12"/>
  <c r="W723" i="12"/>
  <c r="W727" i="12"/>
  <c r="W731" i="12"/>
  <c r="W735" i="12"/>
  <c r="W739" i="12"/>
  <c r="W743" i="12"/>
  <c r="W747" i="12"/>
  <c r="W751" i="12"/>
  <c r="W755" i="12"/>
  <c r="W759" i="12"/>
  <c r="W763" i="12"/>
  <c r="W767" i="12"/>
  <c r="W771" i="12"/>
  <c r="W775" i="12"/>
  <c r="W779" i="12"/>
  <c r="W783" i="12"/>
  <c r="W787" i="12"/>
  <c r="W791" i="12"/>
  <c r="W795" i="12"/>
  <c r="W799" i="12"/>
  <c r="W803" i="12"/>
  <c r="W807" i="12"/>
  <c r="W811" i="12"/>
  <c r="W815" i="12"/>
  <c r="W819" i="12"/>
  <c r="W823" i="12"/>
  <c r="W827" i="12"/>
  <c r="W831" i="12"/>
  <c r="W835" i="12"/>
  <c r="W839" i="12"/>
  <c r="W843" i="12"/>
  <c r="W847" i="12"/>
  <c r="W851" i="12"/>
  <c r="W855" i="12"/>
  <c r="U858" i="12"/>
  <c r="U860" i="12"/>
  <c r="U862" i="12"/>
  <c r="U864" i="12"/>
  <c r="U866" i="12"/>
  <c r="U868" i="12"/>
  <c r="U870" i="12"/>
  <c r="U872" i="12"/>
  <c r="U874" i="12"/>
  <c r="U876" i="12"/>
  <c r="U878" i="12"/>
  <c r="U880" i="12"/>
  <c r="U882" i="12"/>
  <c r="V885" i="12"/>
  <c r="V889" i="12"/>
  <c r="U894" i="12"/>
  <c r="U898" i="12"/>
  <c r="V901" i="12"/>
  <c r="V905" i="12"/>
  <c r="U910" i="12"/>
  <c r="U914" i="12"/>
  <c r="V917" i="12"/>
  <c r="V921" i="12"/>
  <c r="U926" i="12"/>
  <c r="U930" i="12"/>
  <c r="V933" i="12"/>
  <c r="V937" i="12"/>
  <c r="U942" i="12"/>
  <c r="U946" i="12"/>
  <c r="V950" i="12"/>
  <c r="V954" i="12"/>
  <c r="W958" i="12"/>
  <c r="V962" i="12"/>
  <c r="U966" i="12"/>
  <c r="W971" i="12"/>
  <c r="W975" i="12"/>
  <c r="X978" i="12"/>
  <c r="U981" i="12"/>
  <c r="X985" i="12"/>
  <c r="V988" i="12"/>
  <c r="V992" i="12"/>
  <c r="U997" i="12"/>
  <c r="U1005" i="12"/>
  <c r="U1009" i="12"/>
  <c r="U1022" i="12"/>
  <c r="W630" i="12"/>
  <c r="W634" i="12"/>
  <c r="W638" i="12"/>
  <c r="W642" i="12"/>
  <c r="W646" i="12"/>
  <c r="W650" i="12"/>
  <c r="W654" i="12"/>
  <c r="W658" i="12"/>
  <c r="W662" i="12"/>
  <c r="W666" i="12"/>
  <c r="W670" i="12"/>
  <c r="W674" i="12"/>
  <c r="W678" i="12"/>
  <c r="W682" i="12"/>
  <c r="W686" i="12"/>
  <c r="W690" i="12"/>
  <c r="W694" i="12"/>
  <c r="W698" i="12"/>
  <c r="W702" i="12"/>
  <c r="W706" i="12"/>
  <c r="W710" i="12"/>
  <c r="W714" i="12"/>
  <c r="W718" i="12"/>
  <c r="W722" i="12"/>
  <c r="W726" i="12"/>
  <c r="W730" i="12"/>
  <c r="W734" i="12"/>
  <c r="W738" i="12"/>
  <c r="W742" i="12"/>
  <c r="W746" i="12"/>
  <c r="W750" i="12"/>
  <c r="W754" i="12"/>
  <c r="W758" i="12"/>
  <c r="W762" i="12"/>
  <c r="W766" i="12"/>
  <c r="W770" i="12"/>
  <c r="W774" i="12"/>
  <c r="W778" i="12"/>
  <c r="W782" i="12"/>
  <c r="W786" i="12"/>
  <c r="W790" i="12"/>
  <c r="W794" i="12"/>
  <c r="W798" i="12"/>
  <c r="W802" i="12"/>
  <c r="W806" i="12"/>
  <c r="W810" i="12"/>
  <c r="W814" i="12"/>
  <c r="W818" i="12"/>
  <c r="W822" i="12"/>
  <c r="W826" i="12"/>
  <c r="W830" i="12"/>
  <c r="W834" i="12"/>
  <c r="W838" i="12"/>
  <c r="W842" i="12"/>
  <c r="W846" i="12"/>
  <c r="W850" i="12"/>
  <c r="W854" i="12"/>
  <c r="V858" i="12"/>
  <c r="V862" i="12"/>
  <c r="V866" i="12"/>
  <c r="V870" i="12"/>
  <c r="V874" i="12"/>
  <c r="V878" i="12"/>
  <c r="V882" i="12"/>
  <c r="X886" i="12"/>
  <c r="X891" i="12"/>
  <c r="V894" i="12"/>
  <c r="V898" i="12"/>
  <c r="X902" i="12"/>
  <c r="X907" i="12"/>
  <c r="V910" i="12"/>
  <c r="V914" i="12"/>
  <c r="X918" i="12"/>
  <c r="X923" i="12"/>
  <c r="V926" i="12"/>
  <c r="V930" i="12"/>
  <c r="X934" i="12"/>
  <c r="X939" i="12"/>
  <c r="V942" i="12"/>
  <c r="V946" i="12"/>
  <c r="W950" i="12"/>
  <c r="W954" i="12"/>
  <c r="V960" i="12"/>
  <c r="U964" i="12"/>
  <c r="U967" i="12"/>
  <c r="X971" i="12"/>
  <c r="X973" i="12"/>
  <c r="X975" i="12"/>
  <c r="V978" i="12"/>
  <c r="V982" i="12"/>
  <c r="V986" i="12"/>
  <c r="X995" i="12"/>
  <c r="V1001" i="12"/>
  <c r="V1009" i="12"/>
  <c r="X1026" i="12"/>
  <c r="V549" i="12"/>
  <c r="W553" i="12"/>
  <c r="W558" i="12"/>
  <c r="X561" i="12"/>
  <c r="W564" i="12"/>
  <c r="U570" i="12"/>
  <c r="W573" i="12"/>
  <c r="X578" i="12"/>
  <c r="X584" i="12"/>
  <c r="W587" i="12"/>
  <c r="U593" i="12"/>
  <c r="W596" i="12"/>
  <c r="U602" i="12"/>
  <c r="X605" i="12"/>
  <c r="W609" i="12"/>
  <c r="V614" i="12"/>
  <c r="U618" i="12"/>
  <c r="X621" i="12"/>
  <c r="W625" i="12"/>
  <c r="W629" i="12"/>
  <c r="W633" i="12"/>
  <c r="W637" i="12"/>
  <c r="W641" i="12"/>
  <c r="W645" i="12"/>
  <c r="W649" i="12"/>
  <c r="W653" i="12"/>
  <c r="W657" i="12"/>
  <c r="W661" i="12"/>
  <c r="W665" i="12"/>
  <c r="W669" i="12"/>
  <c r="W673" i="12"/>
  <c r="W677" i="12"/>
  <c r="W681" i="12"/>
  <c r="W685" i="12"/>
  <c r="W689" i="12"/>
  <c r="W693" i="12"/>
  <c r="W697" i="12"/>
  <c r="W701" i="12"/>
  <c r="W705" i="12"/>
  <c r="W709" i="12"/>
  <c r="W713" i="12"/>
  <c r="W717" i="12"/>
  <c r="W721" i="12"/>
  <c r="W725" i="12"/>
  <c r="W729" i="12"/>
  <c r="W733" i="12"/>
  <c r="W737" i="12"/>
  <c r="W741" i="12"/>
  <c r="W745" i="12"/>
  <c r="W749" i="12"/>
  <c r="W753" i="12"/>
  <c r="W757" i="12"/>
  <c r="W761" i="12"/>
  <c r="W765" i="12"/>
  <c r="W769" i="12"/>
  <c r="W773" i="12"/>
  <c r="W777" i="12"/>
  <c r="W781" i="12"/>
  <c r="W785" i="12"/>
  <c r="W789" i="12"/>
  <c r="W793" i="12"/>
  <c r="W797" i="12"/>
  <c r="W801" i="12"/>
  <c r="W805" i="12"/>
  <c r="W809" i="12"/>
  <c r="W813" i="12"/>
  <c r="W817" i="12"/>
  <c r="W821" i="12"/>
  <c r="W825" i="12"/>
  <c r="W829" i="12"/>
  <c r="W833" i="12"/>
  <c r="W837" i="12"/>
  <c r="W841" i="12"/>
  <c r="W845" i="12"/>
  <c r="W849" i="12"/>
  <c r="W853" i="12"/>
  <c r="W857" i="12"/>
  <c r="W861" i="12"/>
  <c r="W865" i="12"/>
  <c r="W869" i="12"/>
  <c r="W873" i="12"/>
  <c r="W877" i="12"/>
  <c r="W881" i="12"/>
  <c r="U886" i="12"/>
  <c r="U890" i="12"/>
  <c r="V893" i="12"/>
  <c r="V897" i="12"/>
  <c r="U902" i="12"/>
  <c r="U906" i="12"/>
  <c r="V909" i="12"/>
  <c r="V913" i="12"/>
  <c r="U918" i="12"/>
  <c r="U922" i="12"/>
  <c r="V925" i="12"/>
  <c r="V929" i="12"/>
  <c r="U934" i="12"/>
  <c r="U938" i="12"/>
  <c r="V941" i="12"/>
  <c r="V945" i="12"/>
  <c r="X949" i="12"/>
  <c r="X955" i="12"/>
  <c r="X957" i="12"/>
  <c r="X961" i="12"/>
  <c r="V965" i="12"/>
  <c r="X969" i="12"/>
  <c r="V972" i="12"/>
  <c r="V976" i="12"/>
  <c r="W982" i="12"/>
  <c r="W987" i="12"/>
  <c r="W991" i="12"/>
  <c r="X994" i="12"/>
  <c r="W999" i="12"/>
  <c r="U1006" i="12"/>
  <c r="U1010" i="12"/>
  <c r="W1014" i="12"/>
  <c r="W1018" i="12"/>
  <c r="U1024" i="12"/>
  <c r="W1030" i="12"/>
  <c r="W1034" i="12"/>
  <c r="W1038" i="12"/>
  <c r="W1058" i="12"/>
  <c r="W1062" i="12"/>
  <c r="W1066" i="12"/>
  <c r="W1070" i="12"/>
  <c r="W1074" i="12"/>
  <c r="W1078" i="12"/>
  <c r="W1082" i="12"/>
  <c r="W1086" i="12"/>
  <c r="W1090" i="12"/>
  <c r="W1094" i="12"/>
  <c r="W1098" i="12"/>
  <c r="W1102" i="12"/>
  <c r="W1106" i="12"/>
  <c r="W1110" i="12"/>
  <c r="W1114" i="12"/>
  <c r="W1118" i="12"/>
  <c r="W1122" i="12"/>
  <c r="W1126" i="12"/>
  <c r="W1130" i="12"/>
  <c r="W1134" i="12"/>
  <c r="W1138" i="12"/>
  <c r="W1142" i="12"/>
  <c r="W1146" i="12"/>
  <c r="W1150" i="12"/>
  <c r="W1154" i="12"/>
  <c r="W1158" i="12"/>
  <c r="W1162" i="12"/>
  <c r="W1166" i="12"/>
  <c r="W1170" i="12"/>
  <c r="W1174" i="12"/>
  <c r="W1178" i="12"/>
  <c r="W1182" i="12"/>
  <c r="W1186" i="12"/>
  <c r="W1190" i="12"/>
  <c r="W1194" i="12"/>
  <c r="W1198" i="12"/>
  <c r="W1202" i="12"/>
  <c r="W1206" i="12"/>
  <c r="W1210" i="12"/>
  <c r="X1215" i="12"/>
  <c r="U1220" i="12"/>
  <c r="V1225" i="12"/>
  <c r="V1231" i="12"/>
  <c r="V1236" i="12"/>
  <c r="V1241" i="12"/>
  <c r="V1247" i="12"/>
  <c r="V1252" i="12"/>
  <c r="V1257" i="12"/>
  <c r="V1263" i="12"/>
  <c r="V1268" i="12"/>
  <c r="V1273" i="12"/>
  <c r="V1279" i="12"/>
  <c r="V1284" i="12"/>
  <c r="V1289" i="12"/>
  <c r="V1295" i="12"/>
  <c r="X1300" i="12"/>
  <c r="U1305" i="12"/>
  <c r="W1311" i="12"/>
  <c r="X1316" i="12"/>
  <c r="U1321" i="12"/>
  <c r="W1327" i="12"/>
  <c r="X1332" i="12"/>
  <c r="U1337" i="12"/>
  <c r="W1343" i="12"/>
  <c r="X1348" i="12"/>
  <c r="U1353" i="12"/>
  <c r="W1359" i="12"/>
  <c r="X1364" i="12"/>
  <c r="U1369" i="12"/>
  <c r="W1375" i="12"/>
  <c r="X1380" i="12"/>
  <c r="U1385" i="12"/>
  <c r="W1391" i="12"/>
  <c r="X1396" i="12"/>
  <c r="U1401" i="12"/>
  <c r="W1407" i="12"/>
  <c r="X1412" i="12"/>
  <c r="U1417" i="12"/>
  <c r="W1423" i="12"/>
  <c r="X1428" i="12"/>
  <c r="U1433" i="12"/>
  <c r="X1440" i="12"/>
  <c r="U1449" i="12"/>
  <c r="X1460" i="12"/>
  <c r="U999" i="12"/>
  <c r="V1004" i="12"/>
  <c r="W1017" i="12"/>
  <c r="V1024" i="12"/>
  <c r="V1032" i="12"/>
  <c r="V1040" i="12"/>
  <c r="W1048" i="12"/>
  <c r="W1056" i="12"/>
  <c r="V1064" i="12"/>
  <c r="V1072" i="12"/>
  <c r="V1080" i="12"/>
  <c r="V1088" i="12"/>
  <c r="V1096" i="12"/>
  <c r="V1104" i="12"/>
  <c r="V1112" i="12"/>
  <c r="V1120" i="12"/>
  <c r="V1128" i="12"/>
  <c r="V1144" i="12"/>
  <c r="V1160" i="12"/>
  <c r="V1176" i="12"/>
  <c r="V1192" i="12"/>
  <c r="V1208" i="12"/>
  <c r="V1224" i="12"/>
  <c r="V1309" i="12"/>
  <c r="V1325" i="12"/>
  <c r="V1341" i="12"/>
  <c r="U385" i="12"/>
  <c r="W389" i="12"/>
  <c r="U393" i="12"/>
  <c r="W397" i="12"/>
  <c r="U401" i="12"/>
  <c r="W405" i="12"/>
  <c r="W409" i="12"/>
  <c r="W413" i="12"/>
  <c r="W417" i="12"/>
  <c r="W421" i="12"/>
  <c r="V425" i="12"/>
  <c r="X429" i="12"/>
  <c r="V433" i="12"/>
  <c r="X437" i="12"/>
  <c r="V441" i="12"/>
  <c r="X445" i="12"/>
  <c r="V449" i="12"/>
  <c r="X453" i="12"/>
  <c r="V457" i="12"/>
  <c r="X461" i="12"/>
  <c r="V465" i="12"/>
  <c r="X469" i="12"/>
  <c r="V475" i="12"/>
  <c r="V479" i="12"/>
  <c r="W483" i="12"/>
  <c r="X488" i="12"/>
  <c r="X490" i="12"/>
  <c r="X494" i="12"/>
  <c r="V498" i="12"/>
  <c r="X501" i="12"/>
  <c r="V507" i="12"/>
  <c r="V511" i="12"/>
  <c r="W515" i="12"/>
  <c r="X520" i="12"/>
  <c r="X522" i="12"/>
  <c r="X526" i="12"/>
  <c r="V530" i="12"/>
  <c r="X533" i="12"/>
  <c r="V539" i="12"/>
  <c r="V543" i="12"/>
  <c r="X547" i="12"/>
  <c r="U552" i="12"/>
  <c r="X558" i="12"/>
  <c r="X567" i="12"/>
  <c r="U575" i="12"/>
  <c r="X583" i="12"/>
  <c r="U591" i="12"/>
  <c r="X599" i="12"/>
  <c r="X608" i="12"/>
  <c r="W617" i="12"/>
  <c r="W626" i="12"/>
  <c r="U564" i="12"/>
  <c r="V568" i="12"/>
  <c r="X571" i="12"/>
  <c r="V575" i="12"/>
  <c r="U579" i="12"/>
  <c r="W582" i="12"/>
  <c r="V586" i="12"/>
  <c r="X589" i="12"/>
  <c r="V593" i="12"/>
  <c r="U596" i="12"/>
  <c r="V600" i="12"/>
  <c r="X604" i="12"/>
  <c r="X607" i="12"/>
  <c r="W611" i="12"/>
  <c r="V616" i="12"/>
  <c r="X620" i="12"/>
  <c r="X623" i="12"/>
  <c r="V627" i="12"/>
  <c r="V631" i="12"/>
  <c r="V635" i="12"/>
  <c r="V639" i="12"/>
  <c r="V643" i="12"/>
  <c r="V647" i="12"/>
  <c r="V651" i="12"/>
  <c r="V655" i="12"/>
  <c r="V659" i="12"/>
  <c r="V663" i="12"/>
  <c r="V667" i="12"/>
  <c r="V671" i="12"/>
  <c r="V675" i="12"/>
  <c r="V679" i="12"/>
  <c r="V683" i="12"/>
  <c r="V687" i="12"/>
  <c r="V691" i="12"/>
  <c r="V695" i="12"/>
  <c r="V699" i="12"/>
  <c r="V703" i="12"/>
  <c r="V707" i="12"/>
  <c r="V711" i="12"/>
  <c r="V715" i="12"/>
  <c r="V719" i="12"/>
  <c r="V723" i="12"/>
  <c r="V727" i="12"/>
  <c r="V731" i="12"/>
  <c r="V735" i="12"/>
  <c r="V739" i="12"/>
  <c r="V743" i="12"/>
  <c r="V747" i="12"/>
  <c r="V751" i="12"/>
  <c r="V755" i="12"/>
  <c r="V759" i="12"/>
  <c r="V763" i="12"/>
  <c r="V767" i="12"/>
  <c r="V771" i="12"/>
  <c r="V775" i="12"/>
  <c r="V779" i="12"/>
  <c r="V783" i="12"/>
  <c r="V787" i="12"/>
  <c r="V791" i="12"/>
  <c r="V795" i="12"/>
  <c r="V799" i="12"/>
  <c r="V803" i="12"/>
  <c r="V807" i="12"/>
  <c r="V811" i="12"/>
  <c r="V815" i="12"/>
  <c r="V819" i="12"/>
  <c r="V823" i="12"/>
  <c r="V827" i="12"/>
  <c r="V831" i="12"/>
  <c r="V835" i="12"/>
  <c r="V839" i="12"/>
  <c r="V843" i="12"/>
  <c r="V847" i="12"/>
  <c r="V851" i="12"/>
  <c r="V855" i="12"/>
  <c r="X884" i="12"/>
  <c r="X888" i="12"/>
  <c r="W892" i="12"/>
  <c r="V896" i="12"/>
  <c r="X900" i="12"/>
  <c r="X904" i="12"/>
  <c r="W908" i="12"/>
  <c r="V912" i="12"/>
  <c r="X916" i="12"/>
  <c r="X920" i="12"/>
  <c r="W924" i="12"/>
  <c r="V928" i="12"/>
  <c r="X932" i="12"/>
  <c r="X936" i="12"/>
  <c r="W940" i="12"/>
  <c r="V944" i="12"/>
  <c r="X948" i="12"/>
  <c r="X952" i="12"/>
  <c r="X954" i="12"/>
  <c r="V958" i="12"/>
  <c r="V963" i="12"/>
  <c r="W967" i="12"/>
  <c r="V971" i="12"/>
  <c r="W980" i="12"/>
  <c r="V984" i="12"/>
  <c r="U988" i="12"/>
  <c r="U990" i="12"/>
  <c r="U992" i="12"/>
  <c r="V995" i="12"/>
  <c r="X1003" i="12"/>
  <c r="V1010" i="12"/>
  <c r="U1025" i="12"/>
  <c r="X672" i="12"/>
  <c r="X676" i="12"/>
  <c r="X680" i="12"/>
  <c r="X684" i="12"/>
  <c r="X688" i="12"/>
  <c r="X692" i="12"/>
  <c r="X696" i="12"/>
  <c r="X700" i="12"/>
  <c r="X704" i="12"/>
  <c r="X708" i="12"/>
  <c r="X712" i="12"/>
  <c r="X716" i="12"/>
  <c r="X720" i="12"/>
  <c r="X724" i="12"/>
  <c r="X728" i="12"/>
  <c r="X732" i="12"/>
  <c r="X736" i="12"/>
  <c r="X740" i="12"/>
  <c r="X744" i="12"/>
  <c r="X748" i="12"/>
  <c r="X752" i="12"/>
  <c r="X756" i="12"/>
  <c r="X760" i="12"/>
  <c r="X764" i="12"/>
  <c r="X768" i="12"/>
  <c r="X772" i="12"/>
  <c r="X776" i="12"/>
  <c r="X780" i="12"/>
  <c r="X784" i="12"/>
  <c r="X788" i="12"/>
  <c r="X792" i="12"/>
  <c r="X796" i="12"/>
  <c r="X800" i="12"/>
  <c r="X804" i="12"/>
  <c r="X808" i="12"/>
  <c r="X812" i="12"/>
  <c r="X816" i="12"/>
  <c r="X820" i="12"/>
  <c r="X824" i="12"/>
  <c r="X828" i="12"/>
  <c r="X832" i="12"/>
  <c r="X836" i="12"/>
  <c r="X840" i="12"/>
  <c r="X844" i="12"/>
  <c r="X848" i="12"/>
  <c r="X852" i="12"/>
  <c r="X856" i="12"/>
  <c r="X858" i="12"/>
  <c r="X860" i="12"/>
  <c r="X862" i="12"/>
  <c r="X864" i="12"/>
  <c r="X866" i="12"/>
  <c r="X868" i="12"/>
  <c r="X870" i="12"/>
  <c r="X872" i="12"/>
  <c r="X874" i="12"/>
  <c r="X876" i="12"/>
  <c r="X878" i="12"/>
  <c r="X880" i="12"/>
  <c r="X882" i="12"/>
  <c r="W886" i="12"/>
  <c r="W890" i="12"/>
  <c r="V895" i="12"/>
  <c r="X898" i="12"/>
  <c r="W902" i="12"/>
  <c r="W906" i="12"/>
  <c r="V911" i="12"/>
  <c r="X914" i="12"/>
  <c r="W918" i="12"/>
  <c r="W922" i="12"/>
  <c r="V927" i="12"/>
  <c r="X930" i="12"/>
  <c r="W934" i="12"/>
  <c r="W938" i="12"/>
  <c r="V943" i="12"/>
  <c r="X946" i="12"/>
  <c r="V951" i="12"/>
  <c r="V955" i="12"/>
  <c r="X959" i="12"/>
  <c r="W963" i="12"/>
  <c r="X967" i="12"/>
  <c r="W972" i="12"/>
  <c r="W976" i="12"/>
  <c r="U979" i="12"/>
  <c r="U982" i="12"/>
  <c r="U986" i="12"/>
  <c r="V989" i="12"/>
  <c r="V993" i="12"/>
  <c r="X1000" i="12"/>
  <c r="X1006" i="12"/>
  <c r="X1010" i="12"/>
  <c r="X1025" i="12"/>
  <c r="X631" i="12"/>
  <c r="X635" i="12"/>
  <c r="X639" i="12"/>
  <c r="X643" i="12"/>
  <c r="X647" i="12"/>
  <c r="X651" i="12"/>
  <c r="X655" i="12"/>
  <c r="X659" i="12"/>
  <c r="X663" i="12"/>
  <c r="X667" i="12"/>
  <c r="X671" i="12"/>
  <c r="X675" i="12"/>
  <c r="X679" i="12"/>
  <c r="X683" i="12"/>
  <c r="X687" i="12"/>
  <c r="X691" i="12"/>
  <c r="X695" i="12"/>
  <c r="X699" i="12"/>
  <c r="X703" i="12"/>
  <c r="X707" i="12"/>
  <c r="X711" i="12"/>
  <c r="X715" i="12"/>
  <c r="X719" i="12"/>
  <c r="X723" i="12"/>
  <c r="X727" i="12"/>
  <c r="X731" i="12"/>
  <c r="X735" i="12"/>
  <c r="X739" i="12"/>
  <c r="X743" i="12"/>
  <c r="X747" i="12"/>
  <c r="X751" i="12"/>
  <c r="X755" i="12"/>
  <c r="X759" i="12"/>
  <c r="X763" i="12"/>
  <c r="X767" i="12"/>
  <c r="X771" i="12"/>
  <c r="X775" i="12"/>
  <c r="X779" i="12"/>
  <c r="X783" i="12"/>
  <c r="X787" i="12"/>
  <c r="X791" i="12"/>
  <c r="X795" i="12"/>
  <c r="X799" i="12"/>
  <c r="X803" i="12"/>
  <c r="X807" i="12"/>
  <c r="X811" i="12"/>
  <c r="X815" i="12"/>
  <c r="X819" i="12"/>
  <c r="X823" i="12"/>
  <c r="X827" i="12"/>
  <c r="X831" i="12"/>
  <c r="X835" i="12"/>
  <c r="X839" i="12"/>
  <c r="X843" i="12"/>
  <c r="X847" i="12"/>
  <c r="X851" i="12"/>
  <c r="X855" i="12"/>
  <c r="V859" i="12"/>
  <c r="V863" i="12"/>
  <c r="V867" i="12"/>
  <c r="V871" i="12"/>
  <c r="V875" i="12"/>
  <c r="V879" i="12"/>
  <c r="V883" i="12"/>
  <c r="U887" i="12"/>
  <c r="U892" i="12"/>
  <c r="W895" i="12"/>
  <c r="V899" i="12"/>
  <c r="U903" i="12"/>
  <c r="U908" i="12"/>
  <c r="W911" i="12"/>
  <c r="V915" i="12"/>
  <c r="U919" i="12"/>
  <c r="U924" i="12"/>
  <c r="W927" i="12"/>
  <c r="V931" i="12"/>
  <c r="U935" i="12"/>
  <c r="U940" i="12"/>
  <c r="W943" i="12"/>
  <c r="V947" i="12"/>
  <c r="W951" i="12"/>
  <c r="W955" i="12"/>
  <c r="W961" i="12"/>
  <c r="X964" i="12"/>
  <c r="V968" i="12"/>
  <c r="U972" i="12"/>
  <c r="U974" i="12"/>
  <c r="U976" i="12"/>
  <c r="V979" i="12"/>
  <c r="W983" i="12"/>
  <c r="V987" i="12"/>
  <c r="U996" i="12"/>
  <c r="Y996" i="12" s="1"/>
  <c r="V1002" i="12"/>
  <c r="V1011" i="12"/>
  <c r="U1027" i="12"/>
  <c r="V550" i="12"/>
  <c r="W554" i="12"/>
  <c r="W559" i="12"/>
  <c r="U562" i="12"/>
  <c r="W565" i="12"/>
  <c r="X570" i="12"/>
  <c r="X576" i="12"/>
  <c r="W579" i="12"/>
  <c r="U585" i="12"/>
  <c r="Y585" i="12" s="1"/>
  <c r="W588" i="12"/>
  <c r="U594" i="12"/>
  <c r="W597" i="12"/>
  <c r="X602" i="12"/>
  <c r="W606" i="12"/>
  <c r="V611" i="12"/>
  <c r="U615" i="12"/>
  <c r="X618" i="12"/>
  <c r="W622" i="12"/>
  <c r="X626" i="12"/>
  <c r="X630" i="12"/>
  <c r="X634" i="12"/>
  <c r="X638" i="12"/>
  <c r="X642" i="12"/>
  <c r="X646" i="12"/>
  <c r="X650" i="12"/>
  <c r="X654" i="12"/>
  <c r="X658" i="12"/>
  <c r="X662" i="12"/>
  <c r="X666" i="12"/>
  <c r="X670" i="12"/>
  <c r="X674" i="12"/>
  <c r="X678" i="12"/>
  <c r="X682" i="12"/>
  <c r="X686" i="12"/>
  <c r="X690" i="12"/>
  <c r="X694" i="12"/>
  <c r="X698" i="12"/>
  <c r="X702" i="12"/>
  <c r="X706" i="12"/>
  <c r="X710" i="12"/>
  <c r="X714" i="12"/>
  <c r="X718" i="12"/>
  <c r="X722" i="12"/>
  <c r="X726" i="12"/>
  <c r="X730" i="12"/>
  <c r="X734" i="12"/>
  <c r="X738" i="12"/>
  <c r="X742" i="12"/>
  <c r="X746" i="12"/>
  <c r="X750" i="12"/>
  <c r="X754" i="12"/>
  <c r="X758" i="12"/>
  <c r="X762" i="12"/>
  <c r="X766" i="12"/>
  <c r="X770" i="12"/>
  <c r="X774" i="12"/>
  <c r="X778" i="12"/>
  <c r="X782" i="12"/>
  <c r="X786" i="12"/>
  <c r="X790" i="12"/>
  <c r="X794" i="12"/>
  <c r="X798" i="12"/>
  <c r="X802" i="12"/>
  <c r="X806" i="12"/>
  <c r="X810" i="12"/>
  <c r="X814" i="12"/>
  <c r="X818" i="12"/>
  <c r="X822" i="12"/>
  <c r="X826" i="12"/>
  <c r="X830" i="12"/>
  <c r="X834" i="12"/>
  <c r="X838" i="12"/>
  <c r="X842" i="12"/>
  <c r="X846" i="12"/>
  <c r="X850" i="12"/>
  <c r="X854" i="12"/>
  <c r="W858" i="12"/>
  <c r="W862" i="12"/>
  <c r="W866" i="12"/>
  <c r="W870" i="12"/>
  <c r="W874" i="12"/>
  <c r="W878" i="12"/>
  <c r="W882" i="12"/>
  <c r="V887" i="12"/>
  <c r="X890" i="12"/>
  <c r="W894" i="12"/>
  <c r="W898" i="12"/>
  <c r="V903" i="12"/>
  <c r="X906" i="12"/>
  <c r="W910" i="12"/>
  <c r="W914" i="12"/>
  <c r="V919" i="12"/>
  <c r="X922" i="12"/>
  <c r="W926" i="12"/>
  <c r="W930" i="12"/>
  <c r="V935" i="12"/>
  <c r="X938" i="12"/>
  <c r="W942" i="12"/>
  <c r="W946" i="12"/>
  <c r="U950" i="12"/>
  <c r="U956" i="12"/>
  <c r="U958" i="12"/>
  <c r="U962" i="12"/>
  <c r="V966" i="12"/>
  <c r="U970" i="12"/>
  <c r="V973" i="12"/>
  <c r="V977" i="12"/>
  <c r="X983" i="12"/>
  <c r="W988" i="12"/>
  <c r="W992" i="12"/>
  <c r="U995" i="12"/>
  <c r="Y995" i="12" s="1"/>
  <c r="W1002" i="12"/>
  <c r="X1007" i="12"/>
  <c r="X1011" i="12"/>
  <c r="X1015" i="12"/>
  <c r="X1019" i="12"/>
  <c r="X1027" i="12"/>
  <c r="X1031" i="12"/>
  <c r="X1035" i="12"/>
  <c r="X1039" i="12"/>
  <c r="X1059" i="12"/>
  <c r="X1063" i="12"/>
  <c r="X1067" i="12"/>
  <c r="X1071" i="12"/>
  <c r="X1075" i="12"/>
  <c r="X1079" i="12"/>
  <c r="X1083" i="12"/>
  <c r="X1087" i="12"/>
  <c r="X1091" i="12"/>
  <c r="X1095" i="12"/>
  <c r="X1099" i="12"/>
  <c r="X1103" i="12"/>
  <c r="X1107" i="12"/>
  <c r="X1111" i="12"/>
  <c r="X1115" i="12"/>
  <c r="X1119" i="12"/>
  <c r="X1123" i="12"/>
  <c r="X1127" i="12"/>
  <c r="X1131" i="12"/>
  <c r="X1135" i="12"/>
  <c r="X1139" i="12"/>
  <c r="X1143" i="12"/>
  <c r="X1147" i="12"/>
  <c r="X1151" i="12"/>
  <c r="X1155" i="12"/>
  <c r="X1159" i="12"/>
  <c r="X1163" i="12"/>
  <c r="X1167" i="12"/>
  <c r="X1171" i="12"/>
  <c r="X1175" i="12"/>
  <c r="X1179" i="12"/>
  <c r="X1183" i="12"/>
  <c r="X1187" i="12"/>
  <c r="X1191" i="12"/>
  <c r="X1195" i="12"/>
  <c r="X1199" i="12"/>
  <c r="X1203" i="12"/>
  <c r="X1207" i="12"/>
  <c r="X1211" i="12"/>
  <c r="U1216" i="12"/>
  <c r="V1221" i="12"/>
  <c r="X1227" i="12"/>
  <c r="V1232" i="12"/>
  <c r="V1237" i="12"/>
  <c r="V1243" i="12"/>
  <c r="V1248" i="12"/>
  <c r="V1253" i="12"/>
  <c r="V1259" i="12"/>
  <c r="V1264" i="12"/>
  <c r="V1269" i="12"/>
  <c r="V1275" i="12"/>
  <c r="V1280" i="12"/>
  <c r="V1285" i="12"/>
  <c r="V1291" i="12"/>
  <c r="V1296" i="12"/>
  <c r="U1301" i="12"/>
  <c r="W1307" i="12"/>
  <c r="X1312" i="12"/>
  <c r="U1317" i="12"/>
  <c r="W1323" i="12"/>
  <c r="X1328" i="12"/>
  <c r="U1333" i="12"/>
  <c r="W1339" i="12"/>
  <c r="X1344" i="12"/>
  <c r="U1349" i="12"/>
  <c r="W1355" i="12"/>
  <c r="X1360" i="12"/>
  <c r="U1365" i="12"/>
  <c r="W1371" i="12"/>
  <c r="X1376" i="12"/>
  <c r="U1381" i="12"/>
  <c r="W1387" i="12"/>
  <c r="X1392" i="12"/>
  <c r="U1397" i="12"/>
  <c r="W1403" i="12"/>
  <c r="X1408" i="12"/>
  <c r="U1413" i="12"/>
  <c r="W1419" i="12"/>
  <c r="X1424" i="12"/>
  <c r="U1429" i="12"/>
  <c r="W1435" i="12"/>
  <c r="U1441" i="12"/>
  <c r="X1452" i="12"/>
  <c r="X1464" i="12"/>
  <c r="V1000" i="12"/>
  <c r="W1013" i="12"/>
  <c r="U1019" i="12"/>
  <c r="V1027" i="12"/>
  <c r="U1035" i="12"/>
  <c r="W1043" i="12"/>
  <c r="W1051" i="12"/>
  <c r="U1059" i="12"/>
  <c r="U1067" i="12"/>
  <c r="U1075" i="12"/>
  <c r="U1083" i="12"/>
  <c r="U1091" i="12"/>
  <c r="U1099" i="12"/>
  <c r="U1107" i="12"/>
  <c r="U1115" i="12"/>
  <c r="U1123" i="12"/>
  <c r="V1132" i="12"/>
  <c r="V1148" i="12"/>
  <c r="V1164" i="12"/>
  <c r="V1180" i="12"/>
  <c r="V1196" i="12"/>
  <c r="V1212" i="12"/>
  <c r="V1228" i="12"/>
  <c r="V1313" i="12"/>
  <c r="V1329" i="12"/>
  <c r="V1345" i="12"/>
  <c r="U1131" i="12"/>
  <c r="U1135" i="12"/>
  <c r="U1139" i="12"/>
  <c r="U1143" i="12"/>
  <c r="U1147" i="12"/>
  <c r="U1151" i="12"/>
  <c r="U1155" i="12"/>
  <c r="U1159" i="12"/>
  <c r="U1163" i="12"/>
  <c r="U1167" i="12"/>
  <c r="U1171" i="12"/>
  <c r="U1175" i="12"/>
  <c r="U1179" i="12"/>
  <c r="U1183" i="12"/>
  <c r="U1187" i="12"/>
  <c r="U1191" i="12"/>
  <c r="U1195" i="12"/>
  <c r="U1199" i="12"/>
  <c r="U1203" i="12"/>
  <c r="U1207" i="12"/>
  <c r="U1211" i="12"/>
  <c r="U1215" i="12"/>
  <c r="U1219" i="12"/>
  <c r="U1223" i="12"/>
  <c r="U1227" i="12"/>
  <c r="U1300" i="12"/>
  <c r="U1304" i="12"/>
  <c r="U1308" i="12"/>
  <c r="U1312" i="12"/>
  <c r="U1316" i="12"/>
  <c r="U1320" i="12"/>
  <c r="U1324" i="12"/>
  <c r="U1328" i="12"/>
  <c r="U1332" i="12"/>
  <c r="U1336" i="12"/>
  <c r="U1340" i="12"/>
  <c r="U1344" i="12"/>
  <c r="U1348" i="12"/>
  <c r="U1352" i="12"/>
  <c r="U1356" i="12"/>
  <c r="U1360" i="12"/>
  <c r="U1364" i="12"/>
  <c r="U1368" i="12"/>
  <c r="U1372" i="12"/>
  <c r="U1376" i="12"/>
  <c r="U1380" i="12"/>
  <c r="U1384" i="12"/>
  <c r="U1388" i="12"/>
  <c r="U1392" i="12"/>
  <c r="U1396" i="12"/>
  <c r="U1400" i="12"/>
  <c r="U1404" i="12"/>
  <c r="U1408" i="12"/>
  <c r="U1412" i="12"/>
  <c r="U1416" i="12"/>
  <c r="U1420" i="12"/>
  <c r="U1424" i="12"/>
  <c r="U1428" i="12"/>
  <c r="U1432" i="12"/>
  <c r="U1436" i="12"/>
  <c r="V1442" i="12"/>
  <c r="V1450" i="12"/>
  <c r="V1458" i="12"/>
  <c r="V1466" i="12"/>
  <c r="V1470" i="12"/>
  <c r="V1474" i="12"/>
  <c r="V1478" i="12"/>
  <c r="U998" i="12"/>
  <c r="U1002" i="12"/>
  <c r="W1006" i="12"/>
  <c r="W1010" i="12"/>
  <c r="U1014" i="12"/>
  <c r="U1018" i="12"/>
  <c r="U1030" i="12"/>
  <c r="U1034" i="12"/>
  <c r="U1038" i="12"/>
  <c r="U1042" i="12"/>
  <c r="U1044" i="12"/>
  <c r="U1046" i="12"/>
  <c r="U1048" i="12"/>
  <c r="U1050" i="12"/>
  <c r="U1052" i="12"/>
  <c r="U1054" i="12"/>
  <c r="U1056" i="12"/>
  <c r="U1058" i="12"/>
  <c r="U1062" i="12"/>
  <c r="U1066" i="12"/>
  <c r="U1070" i="12"/>
  <c r="U1074" i="12"/>
  <c r="U1078" i="12"/>
  <c r="U1082" i="12"/>
  <c r="U1086" i="12"/>
  <c r="U1090" i="12"/>
  <c r="U1094" i="12"/>
  <c r="U1098" i="12"/>
  <c r="U1102" i="12"/>
  <c r="U1106" i="12"/>
  <c r="U1110" i="12"/>
  <c r="U1114" i="12"/>
  <c r="U1118" i="12"/>
  <c r="U1122" i="12"/>
  <c r="U1126" i="12"/>
  <c r="U1130" i="12"/>
  <c r="U1134" i="12"/>
  <c r="U1138" i="12"/>
  <c r="U1142" i="12"/>
  <c r="U1146" i="12"/>
  <c r="U1150" i="12"/>
  <c r="U1154" i="12"/>
  <c r="U1158" i="12"/>
  <c r="U1162" i="12"/>
  <c r="U1166" i="12"/>
  <c r="U1170" i="12"/>
  <c r="U1174" i="12"/>
  <c r="U1178" i="12"/>
  <c r="U1182" i="12"/>
  <c r="U1186" i="12"/>
  <c r="U1190" i="12"/>
  <c r="U1194" i="12"/>
  <c r="U1198" i="12"/>
  <c r="U1202" i="12"/>
  <c r="U1206" i="12"/>
  <c r="U1210" i="12"/>
  <c r="U1214" i="12"/>
  <c r="U1218" i="12"/>
  <c r="U1222" i="12"/>
  <c r="U1226" i="12"/>
  <c r="W1230" i="12"/>
  <c r="W1234" i="12"/>
  <c r="W1238" i="12"/>
  <c r="W1242" i="12"/>
  <c r="W1246" i="12"/>
  <c r="W1250" i="12"/>
  <c r="W1254" i="12"/>
  <c r="W1258" i="12"/>
  <c r="W1262" i="12"/>
  <c r="W1266" i="12"/>
  <c r="W1270" i="12"/>
  <c r="W1274" i="12"/>
  <c r="W1278" i="12"/>
  <c r="W1282" i="12"/>
  <c r="W1286" i="12"/>
  <c r="W1290" i="12"/>
  <c r="W1294" i="12"/>
  <c r="X1298" i="12"/>
  <c r="X1302" i="12"/>
  <c r="X1306" i="12"/>
  <c r="X1310" i="12"/>
  <c r="X1314" i="12"/>
  <c r="X1318" i="12"/>
  <c r="X1322" i="12"/>
  <c r="X1326" i="12"/>
  <c r="X1330" i="12"/>
  <c r="X1334" i="12"/>
  <c r="X1338" i="12"/>
  <c r="X1342" i="12"/>
  <c r="X1346" i="12"/>
  <c r="X1350" i="12"/>
  <c r="X1354" i="12"/>
  <c r="X1358" i="12"/>
  <c r="X1362" i="12"/>
  <c r="X1366" i="12"/>
  <c r="X1370" i="12"/>
  <c r="X1374" i="12"/>
  <c r="X1378" i="12"/>
  <c r="X1382" i="12"/>
  <c r="X1386" i="12"/>
  <c r="X1390" i="12"/>
  <c r="X1394" i="12"/>
  <c r="X1398" i="12"/>
  <c r="X1402" i="12"/>
  <c r="X1406" i="12"/>
  <c r="X1410" i="12"/>
  <c r="X1414" i="12"/>
  <c r="X1418" i="12"/>
  <c r="X1422" i="12"/>
  <c r="X1426" i="12"/>
  <c r="X1430" i="12"/>
  <c r="X1434" i="12"/>
  <c r="X1438" i="12"/>
  <c r="W1446" i="12"/>
  <c r="W1454" i="12"/>
  <c r="W1462" i="12"/>
  <c r="U1013" i="12"/>
  <c r="U1017" i="12"/>
  <c r="W1021" i="12"/>
  <c r="W1025" i="12"/>
  <c r="U1029" i="12"/>
  <c r="U1033" i="12"/>
  <c r="U1037" i="12"/>
  <c r="U1041" i="12"/>
  <c r="V1045" i="12"/>
  <c r="V1049" i="12"/>
  <c r="V1053" i="12"/>
  <c r="V1057" i="12"/>
  <c r="U1061" i="12"/>
  <c r="U1065" i="12"/>
  <c r="U1069" i="12"/>
  <c r="U1073" i="12"/>
  <c r="U1077" i="12"/>
  <c r="U1081" i="12"/>
  <c r="U1085" i="12"/>
  <c r="U1089" i="12"/>
  <c r="U1093" i="12"/>
  <c r="U1097" i="12"/>
  <c r="U1101" i="12"/>
  <c r="U1105" i="12"/>
  <c r="U1109" i="12"/>
  <c r="U1113" i="12"/>
  <c r="U1117" i="12"/>
  <c r="U1121" i="12"/>
  <c r="U1125" i="12"/>
  <c r="U1129" i="12"/>
  <c r="U1133" i="12"/>
  <c r="U1137" i="12"/>
  <c r="U1141" i="12"/>
  <c r="U1145" i="12"/>
  <c r="U1149" i="12"/>
  <c r="U1153" i="12"/>
  <c r="U1157" i="12"/>
  <c r="U1161" i="12"/>
  <c r="U1165" i="12"/>
  <c r="U1169" i="12"/>
  <c r="U1173" i="12"/>
  <c r="U1177" i="12"/>
  <c r="U1181" i="12"/>
  <c r="U1185" i="12"/>
  <c r="U1189" i="12"/>
  <c r="U1193" i="12"/>
  <c r="U1197" i="12"/>
  <c r="U1201" i="12"/>
  <c r="U1205" i="12"/>
  <c r="U1209" i="12"/>
  <c r="U1213" i="12"/>
  <c r="U1217" i="12"/>
  <c r="U1221" i="12"/>
  <c r="U1225" i="12"/>
  <c r="U1229" i="12"/>
  <c r="U1231" i="12"/>
  <c r="U1233" i="12"/>
  <c r="U1235" i="12"/>
  <c r="U1237" i="12"/>
  <c r="U1239" i="12"/>
  <c r="U1241" i="12"/>
  <c r="U1243" i="12"/>
  <c r="U1245" i="12"/>
  <c r="U1247" i="12"/>
  <c r="U1249" i="12"/>
  <c r="U1251" i="12"/>
  <c r="U1253" i="12"/>
  <c r="U1255" i="12"/>
  <c r="U1257" i="12"/>
  <c r="U1259" i="12"/>
  <c r="U1261" i="12"/>
  <c r="U1263" i="12"/>
  <c r="U1265" i="12"/>
  <c r="U1267" i="12"/>
  <c r="U1269" i="12"/>
  <c r="U1271" i="12"/>
  <c r="U1273" i="12"/>
  <c r="U1275" i="12"/>
  <c r="U1277" i="12"/>
  <c r="U1279" i="12"/>
  <c r="U1281" i="12"/>
  <c r="U1283" i="12"/>
  <c r="U1285" i="12"/>
  <c r="U1287" i="12"/>
  <c r="U1289" i="12"/>
  <c r="U1291" i="12"/>
  <c r="U1293" i="12"/>
  <c r="U1295" i="12"/>
  <c r="U1297" i="12"/>
  <c r="W1300" i="12"/>
  <c r="W1304" i="12"/>
  <c r="W1308" i="12"/>
  <c r="W1312" i="12"/>
  <c r="W1316" i="12"/>
  <c r="W1320" i="12"/>
  <c r="W1324" i="12"/>
  <c r="W1328" i="12"/>
  <c r="W1332" i="12"/>
  <c r="W1336" i="12"/>
  <c r="W1340" i="12"/>
  <c r="W1344" i="12"/>
  <c r="W1348" i="12"/>
  <c r="W1352" i="12"/>
  <c r="W1356" i="12"/>
  <c r="W1360" i="12"/>
  <c r="W1364" i="12"/>
  <c r="W1368" i="12"/>
  <c r="W1372" i="12"/>
  <c r="W1376" i="12"/>
  <c r="W1380" i="12"/>
  <c r="W1384" i="12"/>
  <c r="W1388" i="12"/>
  <c r="W1392" i="12"/>
  <c r="W1396" i="12"/>
  <c r="W1400" i="12"/>
  <c r="W1404" i="12"/>
  <c r="W1408" i="12"/>
  <c r="W1412" i="12"/>
  <c r="W1416" i="12"/>
  <c r="W1420" i="12"/>
  <c r="W1424" i="12"/>
  <c r="W1428" i="12"/>
  <c r="W1432" i="12"/>
  <c r="W1436" i="12"/>
  <c r="U1440" i="12"/>
  <c r="U1448" i="12"/>
  <c r="U1456" i="12"/>
  <c r="U1464" i="12"/>
  <c r="U1442" i="12"/>
  <c r="U1446" i="12"/>
  <c r="U1450" i="12"/>
  <c r="U1454" i="12"/>
  <c r="U1458" i="12"/>
  <c r="U1462" i="12"/>
  <c r="U1466" i="12"/>
  <c r="U1470" i="12"/>
  <c r="U1474" i="12"/>
  <c r="U1478" i="12"/>
  <c r="U1482" i="12"/>
  <c r="U1486" i="12"/>
  <c r="U1490" i="12"/>
  <c r="U1494" i="12"/>
  <c r="U1498" i="12"/>
  <c r="W1502" i="12"/>
  <c r="X1505" i="12"/>
  <c r="V1508" i="12"/>
  <c r="X1516" i="12"/>
  <c r="X1518" i="12"/>
  <c r="W1522" i="12"/>
  <c r="X1525" i="12"/>
  <c r="V1528" i="12"/>
  <c r="U1532" i="12"/>
  <c r="W1536" i="12"/>
  <c r="V1542" i="12"/>
  <c r="U1546" i="12"/>
  <c r="U1550" i="12"/>
  <c r="X1554" i="12"/>
  <c r="X1558" i="12"/>
  <c r="W1562" i="12"/>
  <c r="W1566" i="12"/>
  <c r="V1570" i="12"/>
  <c r="V1574" i="12"/>
  <c r="V1578" i="12"/>
  <c r="V1582" i="12"/>
  <c r="V1586" i="12"/>
  <c r="V1590" i="12"/>
  <c r="X1593" i="12"/>
  <c r="W1598" i="12"/>
  <c r="X1601" i="12"/>
  <c r="W1606" i="12"/>
  <c r="X1609" i="12"/>
  <c r="W1614" i="12"/>
  <c r="W1618" i="12"/>
  <c r="W1622" i="12"/>
  <c r="W1626" i="12"/>
  <c r="W1630" i="12"/>
  <c r="W1634" i="12"/>
  <c r="W1638" i="12"/>
  <c r="W1642" i="12"/>
  <c r="U1647" i="12"/>
  <c r="W1651" i="12"/>
  <c r="W1655" i="12"/>
  <c r="W1659" i="12"/>
  <c r="W1663" i="12"/>
  <c r="W1667" i="12"/>
  <c r="W1671" i="12"/>
  <c r="W1675" i="12"/>
  <c r="W1679" i="12"/>
  <c r="W1683" i="12"/>
  <c r="U1690" i="12"/>
  <c r="U1698" i="12"/>
  <c r="U1706" i="12"/>
  <c r="U1714" i="12"/>
  <c r="V1482" i="12"/>
  <c r="V1486" i="12"/>
  <c r="V1490" i="12"/>
  <c r="V1494" i="12"/>
  <c r="V1498" i="12"/>
  <c r="X1501" i="12"/>
  <c r="V1504" i="12"/>
  <c r="W1508" i="12"/>
  <c r="W1512" i="12"/>
  <c r="U1516" i="12"/>
  <c r="W1520" i="12"/>
  <c r="V1524" i="12"/>
  <c r="W1528" i="12"/>
  <c r="V1532" i="12"/>
  <c r="W1538" i="12"/>
  <c r="W1542" i="12"/>
  <c r="V1546" i="12"/>
  <c r="V1550" i="12"/>
  <c r="U1554" i="12"/>
  <c r="U1558" i="12"/>
  <c r="X1562" i="12"/>
  <c r="X1566" i="12"/>
  <c r="W1570" i="12"/>
  <c r="W1574" i="12"/>
  <c r="W1578" i="12"/>
  <c r="W1582" i="12"/>
  <c r="W1586" i="12"/>
  <c r="W1590" i="12"/>
  <c r="W1596" i="12"/>
  <c r="V1601" i="12"/>
  <c r="U1607" i="12"/>
  <c r="W1612" i="12"/>
  <c r="X1626" i="12"/>
  <c r="X1642" i="12"/>
  <c r="W1658" i="12"/>
  <c r="W1674" i="12"/>
  <c r="U1695" i="12"/>
  <c r="U1723" i="12"/>
  <c r="U1480" i="12"/>
  <c r="U1496" i="12"/>
  <c r="X1511" i="12"/>
  <c r="U1530" i="12"/>
  <c r="V1544" i="12"/>
  <c r="V1349" i="12"/>
  <c r="V1353" i="12"/>
  <c r="V1357" i="12"/>
  <c r="V1361" i="12"/>
  <c r="V1365" i="12"/>
  <c r="V1369" i="12"/>
  <c r="V1373" i="12"/>
  <c r="V1377" i="12"/>
  <c r="V1381" i="12"/>
  <c r="V1385" i="12"/>
  <c r="V1389" i="12"/>
  <c r="V1393" i="12"/>
  <c r="V1397" i="12"/>
  <c r="V1401" i="12"/>
  <c r="V1405" i="12"/>
  <c r="V1409" i="12"/>
  <c r="V1413" i="12"/>
  <c r="V1417" i="12"/>
  <c r="V1421" i="12"/>
  <c r="V1425" i="12"/>
  <c r="V1429" i="12"/>
  <c r="V1433" i="12"/>
  <c r="V1437" i="12"/>
  <c r="V1445" i="12"/>
  <c r="V1453" i="12"/>
  <c r="V1461" i="12"/>
  <c r="W1467" i="12"/>
  <c r="W1471" i="12"/>
  <c r="W1475" i="12"/>
  <c r="W1479" i="12"/>
  <c r="V999" i="12"/>
  <c r="V1003" i="12"/>
  <c r="W1007" i="12"/>
  <c r="W1011" i="12"/>
  <c r="V1015" i="12"/>
  <c r="V1019" i="12"/>
  <c r="V1031" i="12"/>
  <c r="V1035" i="12"/>
  <c r="V1039" i="12"/>
  <c r="X1042" i="12"/>
  <c r="X1044" i="12"/>
  <c r="X1046" i="12"/>
  <c r="X1048" i="12"/>
  <c r="X1050" i="12"/>
  <c r="X1052" i="12"/>
  <c r="X1054" i="12"/>
  <c r="X1056" i="12"/>
  <c r="V1059" i="12"/>
  <c r="V1063" i="12"/>
  <c r="V1067" i="12"/>
  <c r="V1071" i="12"/>
  <c r="V1075" i="12"/>
  <c r="V1079" i="12"/>
  <c r="V1083" i="12"/>
  <c r="V1087" i="12"/>
  <c r="V1091" i="12"/>
  <c r="V1095" i="12"/>
  <c r="V1099" i="12"/>
  <c r="V1103" i="12"/>
  <c r="V1107" i="12"/>
  <c r="V1111" i="12"/>
  <c r="V1115" i="12"/>
  <c r="V1119" i="12"/>
  <c r="V1123" i="12"/>
  <c r="V1127" i="12"/>
  <c r="V1131" i="12"/>
  <c r="V1135" i="12"/>
  <c r="V1139" i="12"/>
  <c r="V1143" i="12"/>
  <c r="V1147" i="12"/>
  <c r="V1151" i="12"/>
  <c r="V1155" i="12"/>
  <c r="V1159" i="12"/>
  <c r="V1163" i="12"/>
  <c r="V1167" i="12"/>
  <c r="V1171" i="12"/>
  <c r="V1175" i="12"/>
  <c r="V1179" i="12"/>
  <c r="V1183" i="12"/>
  <c r="V1187" i="12"/>
  <c r="V1191" i="12"/>
  <c r="V1195" i="12"/>
  <c r="V1199" i="12"/>
  <c r="V1203" i="12"/>
  <c r="V1207" i="12"/>
  <c r="V1211" i="12"/>
  <c r="V1215" i="12"/>
  <c r="V1219" i="12"/>
  <c r="V1223" i="12"/>
  <c r="V1227" i="12"/>
  <c r="W1231" i="12"/>
  <c r="W1235" i="12"/>
  <c r="W1239" i="12"/>
  <c r="W1243" i="12"/>
  <c r="W1247" i="12"/>
  <c r="W1251" i="12"/>
  <c r="W1255" i="12"/>
  <c r="W1259" i="12"/>
  <c r="W1263" i="12"/>
  <c r="W1267" i="12"/>
  <c r="W1271" i="12"/>
  <c r="W1275" i="12"/>
  <c r="W1279" i="12"/>
  <c r="W1283" i="12"/>
  <c r="W1287" i="12"/>
  <c r="W1291" i="12"/>
  <c r="W1295" i="12"/>
  <c r="U1299" i="12"/>
  <c r="U1303" i="12"/>
  <c r="U1307" i="12"/>
  <c r="U1311" i="12"/>
  <c r="U1315" i="12"/>
  <c r="U1319" i="12"/>
  <c r="U1323" i="12"/>
  <c r="U1327" i="12"/>
  <c r="U1331" i="12"/>
  <c r="U1335" i="12"/>
  <c r="U1339" i="12"/>
  <c r="U1343" i="12"/>
  <c r="U1347" i="12"/>
  <c r="U1351" i="12"/>
  <c r="U1355" i="12"/>
  <c r="U1359" i="12"/>
  <c r="U1363" i="12"/>
  <c r="U1367" i="12"/>
  <c r="U1371" i="12"/>
  <c r="U1375" i="12"/>
  <c r="U1379" i="12"/>
  <c r="U1383" i="12"/>
  <c r="U1387" i="12"/>
  <c r="U1391" i="12"/>
  <c r="U1395" i="12"/>
  <c r="U1399" i="12"/>
  <c r="U1403" i="12"/>
  <c r="U1407" i="12"/>
  <c r="U1411" i="12"/>
  <c r="U1415" i="12"/>
  <c r="U1419" i="12"/>
  <c r="U1423" i="12"/>
  <c r="U1427" i="12"/>
  <c r="U1431" i="12"/>
  <c r="U1435" i="12"/>
  <c r="W1439" i="12"/>
  <c r="W1447" i="12"/>
  <c r="W1455" i="12"/>
  <c r="W1463" i="12"/>
  <c r="V1014" i="12"/>
  <c r="V1018" i="12"/>
  <c r="W1022" i="12"/>
  <c r="W1026" i="12"/>
  <c r="V1030" i="12"/>
  <c r="V1034" i="12"/>
  <c r="V1038" i="12"/>
  <c r="V1042" i="12"/>
  <c r="V1046" i="12"/>
  <c r="V1050" i="12"/>
  <c r="V1054" i="12"/>
  <c r="V1058" i="12"/>
  <c r="V1062" i="12"/>
  <c r="V1066" i="12"/>
  <c r="V1070" i="12"/>
  <c r="V1074" i="12"/>
  <c r="V1078" i="12"/>
  <c r="V1082" i="12"/>
  <c r="V1086" i="12"/>
  <c r="V1090" i="12"/>
  <c r="V1094" i="12"/>
  <c r="V1098" i="12"/>
  <c r="V1102" i="12"/>
  <c r="V1106" i="12"/>
  <c r="V1110" i="12"/>
  <c r="V1114" i="12"/>
  <c r="V1118" i="12"/>
  <c r="V1122" i="12"/>
  <c r="V1126" i="12"/>
  <c r="V1130" i="12"/>
  <c r="V1134" i="12"/>
  <c r="V1138" i="12"/>
  <c r="V1142" i="12"/>
  <c r="V1146" i="12"/>
  <c r="V1150" i="12"/>
  <c r="V1154" i="12"/>
  <c r="V1158" i="12"/>
  <c r="V1162" i="12"/>
  <c r="V1166" i="12"/>
  <c r="V1170" i="12"/>
  <c r="V1174" i="12"/>
  <c r="V1178" i="12"/>
  <c r="V1182" i="12"/>
  <c r="V1186" i="12"/>
  <c r="V1190" i="12"/>
  <c r="V1194" i="12"/>
  <c r="V1198" i="12"/>
  <c r="V1202" i="12"/>
  <c r="V1206" i="12"/>
  <c r="V1210" i="12"/>
  <c r="V1214" i="12"/>
  <c r="V1218" i="12"/>
  <c r="V1222" i="12"/>
  <c r="V1226" i="12"/>
  <c r="X1229" i="12"/>
  <c r="X1231" i="12"/>
  <c r="X1233" i="12"/>
  <c r="X1235" i="12"/>
  <c r="X1237" i="12"/>
  <c r="X1239" i="12"/>
  <c r="X1241" i="12"/>
  <c r="X1243" i="12"/>
  <c r="X1245" i="12"/>
  <c r="X1247" i="12"/>
  <c r="X1249" i="12"/>
  <c r="X1251" i="12"/>
  <c r="X1253" i="12"/>
  <c r="X1255" i="12"/>
  <c r="X1257" i="12"/>
  <c r="X1259" i="12"/>
  <c r="X1261" i="12"/>
  <c r="X1263" i="12"/>
  <c r="X1265" i="12"/>
  <c r="X1267" i="12"/>
  <c r="X1269" i="12"/>
  <c r="X1271" i="12"/>
  <c r="X1273" i="12"/>
  <c r="X1275" i="12"/>
  <c r="X1277" i="12"/>
  <c r="X1279" i="12"/>
  <c r="X1281" i="12"/>
  <c r="X1283" i="12"/>
  <c r="X1285" i="12"/>
  <c r="X1287" i="12"/>
  <c r="X1289" i="12"/>
  <c r="X1291" i="12"/>
  <c r="X1293" i="12"/>
  <c r="X1295" i="12"/>
  <c r="X1297" i="12"/>
  <c r="X1301" i="12"/>
  <c r="X1305" i="12"/>
  <c r="X1309" i="12"/>
  <c r="X1313" i="12"/>
  <c r="X1317" i="12"/>
  <c r="X1321" i="12"/>
  <c r="X1325" i="12"/>
  <c r="X1329" i="12"/>
  <c r="X1333" i="12"/>
  <c r="X1337" i="12"/>
  <c r="X1341" i="12"/>
  <c r="X1345" i="12"/>
  <c r="X1349" i="12"/>
  <c r="X1353" i="12"/>
  <c r="X1357" i="12"/>
  <c r="X1361" i="12"/>
  <c r="X1365" i="12"/>
  <c r="X1369" i="12"/>
  <c r="X1373" i="12"/>
  <c r="X1377" i="12"/>
  <c r="X1381" i="12"/>
  <c r="X1385" i="12"/>
  <c r="X1389" i="12"/>
  <c r="X1393" i="12"/>
  <c r="X1397" i="12"/>
  <c r="X1401" i="12"/>
  <c r="X1405" i="12"/>
  <c r="X1409" i="12"/>
  <c r="X1413" i="12"/>
  <c r="X1417" i="12"/>
  <c r="X1421" i="12"/>
  <c r="X1425" i="12"/>
  <c r="X1429" i="12"/>
  <c r="X1433" i="12"/>
  <c r="X1437" i="12"/>
  <c r="X1443" i="12"/>
  <c r="X1451" i="12"/>
  <c r="X1459" i="12"/>
  <c r="V1439" i="12"/>
  <c r="V1443" i="12"/>
  <c r="V1447" i="12"/>
  <c r="V1451" i="12"/>
  <c r="V1455" i="12"/>
  <c r="V1459" i="12"/>
  <c r="V1463" i="12"/>
  <c r="V1467" i="12"/>
  <c r="V1471" i="12"/>
  <c r="V1475" i="12"/>
  <c r="V1479" i="12"/>
  <c r="V1483" i="12"/>
  <c r="V1487" i="12"/>
  <c r="V1491" i="12"/>
  <c r="V1495" i="12"/>
  <c r="V1499" i="12"/>
  <c r="X1503" i="12"/>
  <c r="U1506" i="12"/>
  <c r="V1513" i="12"/>
  <c r="U1517" i="12"/>
  <c r="U1519" i="12"/>
  <c r="X1523" i="12"/>
  <c r="U1526" i="12"/>
  <c r="V1529" i="12"/>
  <c r="V1533" i="12"/>
  <c r="W1539" i="12"/>
  <c r="W1543" i="12"/>
  <c r="V1547" i="12"/>
  <c r="V1551" i="12"/>
  <c r="U1555" i="12"/>
  <c r="U1559" i="12"/>
  <c r="X1563" i="12"/>
  <c r="X1567" i="12"/>
  <c r="W1571" i="12"/>
  <c r="W1575" i="12"/>
  <c r="W1579" i="12"/>
  <c r="W1583" i="12"/>
  <c r="W1587" i="12"/>
  <c r="W1591" i="12"/>
  <c r="U1594" i="12"/>
  <c r="W1599" i="12"/>
  <c r="U1602" i="12"/>
  <c r="W1607" i="12"/>
  <c r="U1610" i="12"/>
  <c r="X1615" i="12"/>
  <c r="X1619" i="12"/>
  <c r="X1623" i="12"/>
  <c r="X1627" i="12"/>
  <c r="X1631" i="12"/>
  <c r="X1635" i="12"/>
  <c r="X1639" i="12"/>
  <c r="X1643" i="12"/>
  <c r="V1648" i="12"/>
  <c r="X1652" i="12"/>
  <c r="X1656" i="12"/>
  <c r="X1660" i="12"/>
  <c r="X1664" i="12"/>
  <c r="X1668" i="12"/>
  <c r="X1672" i="12"/>
  <c r="X1676" i="12"/>
  <c r="X1680" i="12"/>
  <c r="X1685" i="12"/>
  <c r="X1693" i="12"/>
  <c r="X1701" i="12"/>
  <c r="X1709" i="12"/>
  <c r="X1717" i="12"/>
  <c r="W1483" i="12"/>
  <c r="W1487" i="12"/>
  <c r="W1491" i="12"/>
  <c r="W1495" i="12"/>
  <c r="W1499" i="12"/>
  <c r="U1502" i="12"/>
  <c r="V1505" i="12"/>
  <c r="W1509" i="12"/>
  <c r="W1513" i="12"/>
  <c r="V1517" i="12"/>
  <c r="W1521" i="12"/>
  <c r="V1525" i="12"/>
  <c r="W1529" i="12"/>
  <c r="W1535" i="12"/>
  <c r="X1539" i="12"/>
  <c r="X1543" i="12"/>
  <c r="W1547" i="12"/>
  <c r="W1551" i="12"/>
  <c r="V1555" i="12"/>
  <c r="V1559" i="12"/>
  <c r="U1563" i="12"/>
  <c r="U1567" i="12"/>
  <c r="X1571" i="12"/>
  <c r="X1575" i="12"/>
  <c r="X1579" i="12"/>
  <c r="X1583" i="12"/>
  <c r="X1587" i="12"/>
  <c r="X1591" i="12"/>
  <c r="X1598" i="12"/>
  <c r="V1602" i="12"/>
  <c r="X1607" i="12"/>
  <c r="X1614" i="12"/>
  <c r="X1630" i="12"/>
  <c r="V1646" i="12"/>
  <c r="W1662" i="12"/>
  <c r="W1678" i="12"/>
  <c r="U1703" i="12"/>
  <c r="U1468" i="12"/>
  <c r="U1484" i="12"/>
  <c r="U1500" i="12"/>
  <c r="U1514" i="12"/>
  <c r="W1534" i="12"/>
  <c r="U1548" i="12"/>
  <c r="V1021" i="12"/>
  <c r="V1025" i="12"/>
  <c r="W1029" i="12"/>
  <c r="W1033" i="12"/>
  <c r="W1037" i="12"/>
  <c r="W1041" i="12"/>
  <c r="W1045" i="12"/>
  <c r="W1049" i="12"/>
  <c r="W1053" i="12"/>
  <c r="W1057" i="12"/>
  <c r="W1061" i="12"/>
  <c r="W1065" i="12"/>
  <c r="W1069" i="12"/>
  <c r="W1073" i="12"/>
  <c r="W1077" i="12"/>
  <c r="W1081" i="12"/>
  <c r="W1085" i="12"/>
  <c r="W1089" i="12"/>
  <c r="W1093" i="12"/>
  <c r="W1097" i="12"/>
  <c r="W1101" i="12"/>
  <c r="W1105" i="12"/>
  <c r="W1109" i="12"/>
  <c r="W1113" i="12"/>
  <c r="W1117" i="12"/>
  <c r="W1121" i="12"/>
  <c r="W1125" i="12"/>
  <c r="W1129" i="12"/>
  <c r="W1133" i="12"/>
  <c r="W1137" i="12"/>
  <c r="W1141" i="12"/>
  <c r="W1145" i="12"/>
  <c r="W1149" i="12"/>
  <c r="W1153" i="12"/>
  <c r="W1157" i="12"/>
  <c r="W1161" i="12"/>
  <c r="W1165" i="12"/>
  <c r="W1169" i="12"/>
  <c r="W1173" i="12"/>
  <c r="W1177" i="12"/>
  <c r="W1181" i="12"/>
  <c r="W1185" i="12"/>
  <c r="W1189" i="12"/>
  <c r="W1193" i="12"/>
  <c r="W1197" i="12"/>
  <c r="W1201" i="12"/>
  <c r="W1205" i="12"/>
  <c r="W1209" i="12"/>
  <c r="W1213" i="12"/>
  <c r="W1217" i="12"/>
  <c r="W1221" i="12"/>
  <c r="W1225" i="12"/>
  <c r="W1298" i="12"/>
  <c r="W1302" i="12"/>
  <c r="W1306" i="12"/>
  <c r="W1310" i="12"/>
  <c r="W1314" i="12"/>
  <c r="W1318" i="12"/>
  <c r="W1322" i="12"/>
  <c r="W1326" i="12"/>
  <c r="W1330" i="12"/>
  <c r="W1334" i="12"/>
  <c r="W1338" i="12"/>
  <c r="W1342" i="12"/>
  <c r="W1346" i="12"/>
  <c r="W1350" i="12"/>
  <c r="W1354" i="12"/>
  <c r="W1358" i="12"/>
  <c r="W1362" i="12"/>
  <c r="W1366" i="12"/>
  <c r="W1370" i="12"/>
  <c r="W1374" i="12"/>
  <c r="W1378" i="12"/>
  <c r="W1382" i="12"/>
  <c r="W1386" i="12"/>
  <c r="W1390" i="12"/>
  <c r="W1394" i="12"/>
  <c r="W1398" i="12"/>
  <c r="W1402" i="12"/>
  <c r="W1406" i="12"/>
  <c r="W1410" i="12"/>
  <c r="W1414" i="12"/>
  <c r="W1418" i="12"/>
  <c r="W1422" i="12"/>
  <c r="W1426" i="12"/>
  <c r="W1430" i="12"/>
  <c r="W1434" i="12"/>
  <c r="W1438" i="12"/>
  <c r="V1446" i="12"/>
  <c r="V1454" i="12"/>
  <c r="V1462" i="12"/>
  <c r="X1468" i="12"/>
  <c r="X1472" i="12"/>
  <c r="X1476" i="12"/>
  <c r="X1480" i="12"/>
  <c r="W1000" i="12"/>
  <c r="W1004" i="12"/>
  <c r="W1008" i="12"/>
  <c r="W1012" i="12"/>
  <c r="W1016" i="12"/>
  <c r="W1028" i="12"/>
  <c r="W1032" i="12"/>
  <c r="W1036" i="12"/>
  <c r="W1040" i="12"/>
  <c r="U1043" i="12"/>
  <c r="U1045" i="12"/>
  <c r="U1047" i="12"/>
  <c r="U1049" i="12"/>
  <c r="U1051" i="12"/>
  <c r="U1053" i="12"/>
  <c r="U1055" i="12"/>
  <c r="U1057" i="12"/>
  <c r="W1060" i="12"/>
  <c r="W1064" i="12"/>
  <c r="W1068" i="12"/>
  <c r="W1072" i="12"/>
  <c r="W1076" i="12"/>
  <c r="W1080" i="12"/>
  <c r="W1084" i="12"/>
  <c r="W1088" i="12"/>
  <c r="W1092" i="12"/>
  <c r="W1096" i="12"/>
  <c r="W1100" i="12"/>
  <c r="W1104" i="12"/>
  <c r="W1108" i="12"/>
  <c r="W1112" i="12"/>
  <c r="W1116" i="12"/>
  <c r="W1120" i="12"/>
  <c r="W1124" i="12"/>
  <c r="W1128" i="12"/>
  <c r="W1132" i="12"/>
  <c r="W1136" i="12"/>
  <c r="W1140" i="12"/>
  <c r="W1144" i="12"/>
  <c r="W1148" i="12"/>
  <c r="W1152" i="12"/>
  <c r="W1156" i="12"/>
  <c r="W1160" i="12"/>
  <c r="W1164" i="12"/>
  <c r="W1168" i="12"/>
  <c r="W1172" i="12"/>
  <c r="W1176" i="12"/>
  <c r="W1180" i="12"/>
  <c r="W1184" i="12"/>
  <c r="W1188" i="12"/>
  <c r="W1192" i="12"/>
  <c r="W1196" i="12"/>
  <c r="W1200" i="12"/>
  <c r="W1204" i="12"/>
  <c r="W1208" i="12"/>
  <c r="W1212" i="12"/>
  <c r="W1216" i="12"/>
  <c r="W1220" i="12"/>
  <c r="W1224" i="12"/>
  <c r="W1228" i="12"/>
  <c r="W1232" i="12"/>
  <c r="W1236" i="12"/>
  <c r="W1240" i="12"/>
  <c r="W1244" i="12"/>
  <c r="W1248" i="12"/>
  <c r="W1252" i="12"/>
  <c r="W1256" i="12"/>
  <c r="W1260" i="12"/>
  <c r="W1264" i="12"/>
  <c r="W1268" i="12"/>
  <c r="W1272" i="12"/>
  <c r="W1276" i="12"/>
  <c r="W1280" i="12"/>
  <c r="W1284" i="12"/>
  <c r="W1288" i="12"/>
  <c r="W1292" i="12"/>
  <c r="W1296" i="12"/>
  <c r="V1300" i="12"/>
  <c r="V1304" i="12"/>
  <c r="V1308" i="12"/>
  <c r="V1312" i="12"/>
  <c r="V1316" i="12"/>
  <c r="V1320" i="12"/>
  <c r="V1324" i="12"/>
  <c r="V1328" i="12"/>
  <c r="V1332" i="12"/>
  <c r="V1336" i="12"/>
  <c r="V1340" i="12"/>
  <c r="V1344" i="12"/>
  <c r="V1348" i="12"/>
  <c r="V1352" i="12"/>
  <c r="V1356" i="12"/>
  <c r="V1360" i="12"/>
  <c r="V1364" i="12"/>
  <c r="V1368" i="12"/>
  <c r="V1372" i="12"/>
  <c r="V1376" i="12"/>
  <c r="V1380" i="12"/>
  <c r="V1384" i="12"/>
  <c r="V1388" i="12"/>
  <c r="V1392" i="12"/>
  <c r="V1396" i="12"/>
  <c r="V1400" i="12"/>
  <c r="V1404" i="12"/>
  <c r="V1408" i="12"/>
  <c r="V1412" i="12"/>
  <c r="V1416" i="12"/>
  <c r="V1420" i="12"/>
  <c r="V1424" i="12"/>
  <c r="V1428" i="12"/>
  <c r="V1432" i="12"/>
  <c r="V1436" i="12"/>
  <c r="W1442" i="12"/>
  <c r="W1450" i="12"/>
  <c r="W1458" i="12"/>
  <c r="U1012" i="12"/>
  <c r="W1015" i="12"/>
  <c r="W1019" i="12"/>
  <c r="W1023" i="12"/>
  <c r="W1027" i="12"/>
  <c r="W1031" i="12"/>
  <c r="W1035" i="12"/>
  <c r="W1039" i="12"/>
  <c r="V1043" i="12"/>
  <c r="V1047" i="12"/>
  <c r="V1051" i="12"/>
  <c r="V1055" i="12"/>
  <c r="W1059" i="12"/>
  <c r="W1063" i="12"/>
  <c r="W1067" i="12"/>
  <c r="W1071" i="12"/>
  <c r="W1075" i="12"/>
  <c r="W1079" i="12"/>
  <c r="W1083" i="12"/>
  <c r="W1087" i="12"/>
  <c r="W1091" i="12"/>
  <c r="W1095" i="12"/>
  <c r="W1099" i="12"/>
  <c r="W1103" i="12"/>
  <c r="W1107" i="12"/>
  <c r="W1111" i="12"/>
  <c r="W1115" i="12"/>
  <c r="W1119" i="12"/>
  <c r="W1123" i="12"/>
  <c r="W1127" i="12"/>
  <c r="W1131" i="12"/>
  <c r="W1135" i="12"/>
  <c r="W1139" i="12"/>
  <c r="W1143" i="12"/>
  <c r="W1147" i="12"/>
  <c r="W1151" i="12"/>
  <c r="W1155" i="12"/>
  <c r="W1159" i="12"/>
  <c r="W1163" i="12"/>
  <c r="W1167" i="12"/>
  <c r="W1171" i="12"/>
  <c r="W1175" i="12"/>
  <c r="W1179" i="12"/>
  <c r="W1183" i="12"/>
  <c r="W1187" i="12"/>
  <c r="W1191" i="12"/>
  <c r="W1195" i="12"/>
  <c r="W1199" i="12"/>
  <c r="W1203" i="12"/>
  <c r="W1207" i="12"/>
  <c r="W1211" i="12"/>
  <c r="W1215" i="12"/>
  <c r="W1219" i="12"/>
  <c r="W1223" i="12"/>
  <c r="W1227" i="12"/>
  <c r="U1230" i="12"/>
  <c r="U1232" i="12"/>
  <c r="U1234" i="12"/>
  <c r="U1236" i="12"/>
  <c r="U1238" i="12"/>
  <c r="U1240" i="12"/>
  <c r="U1242" i="12"/>
  <c r="U1244" i="12"/>
  <c r="U1246" i="12"/>
  <c r="U1248" i="12"/>
  <c r="U1250" i="12"/>
  <c r="U1252" i="12"/>
  <c r="U1254" i="12"/>
  <c r="U1256" i="12"/>
  <c r="U1258" i="12"/>
  <c r="U1260" i="12"/>
  <c r="U1262" i="12"/>
  <c r="U1264" i="12"/>
  <c r="U1266" i="12"/>
  <c r="U1268" i="12"/>
  <c r="U1270" i="12"/>
  <c r="U1272" i="12"/>
  <c r="U1274" i="12"/>
  <c r="U1276" i="12"/>
  <c r="U1278" i="12"/>
  <c r="U1280" i="12"/>
  <c r="U1282" i="12"/>
  <c r="U1284" i="12"/>
  <c r="U1286" i="12"/>
  <c r="U1288" i="12"/>
  <c r="U1290" i="12"/>
  <c r="U1292" i="12"/>
  <c r="U1294" i="12"/>
  <c r="U1296" i="12"/>
  <c r="U1298" i="12"/>
  <c r="U1302" i="12"/>
  <c r="U1306" i="12"/>
  <c r="U1310" i="12"/>
  <c r="U1314" i="12"/>
  <c r="U1318" i="12"/>
  <c r="U1322" i="12"/>
  <c r="U1326" i="12"/>
  <c r="U1330" i="12"/>
  <c r="U1334" i="12"/>
  <c r="U1338" i="12"/>
  <c r="U1342" i="12"/>
  <c r="U1346" i="12"/>
  <c r="U1350" i="12"/>
  <c r="U1354" i="12"/>
  <c r="U1358" i="12"/>
  <c r="U1362" i="12"/>
  <c r="U1366" i="12"/>
  <c r="U1370" i="12"/>
  <c r="U1374" i="12"/>
  <c r="U1378" i="12"/>
  <c r="U1382" i="12"/>
  <c r="U1386" i="12"/>
  <c r="U1390" i="12"/>
  <c r="U1394" i="12"/>
  <c r="U1398" i="12"/>
  <c r="U1402" i="12"/>
  <c r="U1406" i="12"/>
  <c r="U1410" i="12"/>
  <c r="U1414" i="12"/>
  <c r="U1418" i="12"/>
  <c r="U1422" i="12"/>
  <c r="U1426" i="12"/>
  <c r="U1430" i="12"/>
  <c r="U1434" i="12"/>
  <c r="U1438" i="12"/>
  <c r="U1444" i="12"/>
  <c r="U1452" i="12"/>
  <c r="U1460" i="12"/>
  <c r="W1440" i="12"/>
  <c r="W1444" i="12"/>
  <c r="W1448" i="12"/>
  <c r="W1452" i="12"/>
  <c r="W1456" i="12"/>
  <c r="W1460" i="12"/>
  <c r="W1464" i="12"/>
  <c r="W1468" i="12"/>
  <c r="W1472" i="12"/>
  <c r="W1476" i="12"/>
  <c r="W1480" i="12"/>
  <c r="W1484" i="12"/>
  <c r="W1488" i="12"/>
  <c r="W1492" i="12"/>
  <c r="W1496" i="12"/>
  <c r="W1500" i="12"/>
  <c r="U1504" i="12"/>
  <c r="X1506" i="12"/>
  <c r="W1514" i="12"/>
  <c r="X1517" i="12"/>
  <c r="V1520" i="12"/>
  <c r="U1524" i="12"/>
  <c r="X1526" i="12"/>
  <c r="W1530" i="12"/>
  <c r="V1534" i="12"/>
  <c r="X1540" i="12"/>
  <c r="X1544" i="12"/>
  <c r="W1548" i="12"/>
  <c r="W1552" i="12"/>
  <c r="V1556" i="12"/>
  <c r="V1560" i="12"/>
  <c r="U1564" i="12"/>
  <c r="U1568" i="12"/>
  <c r="X1572" i="12"/>
  <c r="X1576" i="12"/>
  <c r="X1580" i="12"/>
  <c r="X1584" i="12"/>
  <c r="X1588" i="12"/>
  <c r="X1592" i="12"/>
  <c r="V1595" i="12"/>
  <c r="X1600" i="12"/>
  <c r="V1603" i="12"/>
  <c r="X1608" i="12"/>
  <c r="V1611" i="12"/>
  <c r="U1616" i="12"/>
  <c r="U1620" i="12"/>
  <c r="U1624" i="12"/>
  <c r="U1628" i="12"/>
  <c r="U1632" i="12"/>
  <c r="U1636" i="12"/>
  <c r="U1640" i="12"/>
  <c r="U1644" i="12"/>
  <c r="V1649" i="12"/>
  <c r="U1653" i="12"/>
  <c r="U1657" i="12"/>
  <c r="U1661" i="12"/>
  <c r="U1665" i="12"/>
  <c r="U1669" i="12"/>
  <c r="U1673" i="12"/>
  <c r="U1677" i="12"/>
  <c r="U1681" i="12"/>
  <c r="U1686" i="12"/>
  <c r="U1694" i="12"/>
  <c r="U1702" i="12"/>
  <c r="U1710" i="12"/>
  <c r="U1718" i="12"/>
  <c r="X1484" i="12"/>
  <c r="X1488" i="12"/>
  <c r="X1492" i="12"/>
  <c r="X1496" i="12"/>
  <c r="X1500" i="12"/>
  <c r="X1502" i="12"/>
  <c r="V1506" i="12"/>
  <c r="W1510" i="12"/>
  <c r="X1514" i="12"/>
  <c r="V1518" i="12"/>
  <c r="X1522" i="12"/>
  <c r="V1526" i="12"/>
  <c r="X1530" i="12"/>
  <c r="X1536" i="12"/>
  <c r="U1540" i="12"/>
  <c r="U1544" i="12"/>
  <c r="X1548" i="12"/>
  <c r="X1552" i="12"/>
  <c r="W1556" i="12"/>
  <c r="W1560" i="12"/>
  <c r="V1564" i="12"/>
  <c r="V1568" i="12"/>
  <c r="U1572" i="12"/>
  <c r="U1576" i="12"/>
  <c r="U1580" i="12"/>
  <c r="U1584" i="12"/>
  <c r="U1588" i="12"/>
  <c r="V1593" i="12"/>
  <c r="U1599" i="12"/>
  <c r="W1604" i="12"/>
  <c r="V1609" i="12"/>
  <c r="X1618" i="12"/>
  <c r="X1634" i="12"/>
  <c r="X1650" i="12"/>
  <c r="W1666" i="12"/>
  <c r="W1682" i="12"/>
  <c r="U1711" i="12"/>
  <c r="U1472" i="12"/>
  <c r="U1488" i="12"/>
  <c r="W1504" i="12"/>
  <c r="X1520" i="12"/>
  <c r="X1537" i="12"/>
  <c r="U1552" i="12"/>
  <c r="W1214" i="12"/>
  <c r="W1218" i="12"/>
  <c r="W1222" i="12"/>
  <c r="W1226" i="12"/>
  <c r="V1230" i="12"/>
  <c r="V1234" i="12"/>
  <c r="V1238" i="12"/>
  <c r="V1242" i="12"/>
  <c r="V1246" i="12"/>
  <c r="V1250" i="12"/>
  <c r="V1254" i="12"/>
  <c r="V1258" i="12"/>
  <c r="V1262" i="12"/>
  <c r="V1266" i="12"/>
  <c r="V1270" i="12"/>
  <c r="V1274" i="12"/>
  <c r="V1278" i="12"/>
  <c r="V1282" i="12"/>
  <c r="V1286" i="12"/>
  <c r="V1290" i="12"/>
  <c r="V1294" i="12"/>
  <c r="V1298" i="12"/>
  <c r="V1302" i="12"/>
  <c r="V1306" i="12"/>
  <c r="V1310" i="12"/>
  <c r="V1314" i="12"/>
  <c r="V1318" i="12"/>
  <c r="V1322" i="12"/>
  <c r="V1326" i="12"/>
  <c r="V1330" i="12"/>
  <c r="V1334" i="12"/>
  <c r="V1338" i="12"/>
  <c r="V1342" i="12"/>
  <c r="V1346" i="12"/>
  <c r="V1350" i="12"/>
  <c r="V1354" i="12"/>
  <c r="V1358" i="12"/>
  <c r="V1362" i="12"/>
  <c r="V1366" i="12"/>
  <c r="V1370" i="12"/>
  <c r="V1374" i="12"/>
  <c r="V1378" i="12"/>
  <c r="V1382" i="12"/>
  <c r="V1386" i="12"/>
  <c r="V1390" i="12"/>
  <c r="V1394" i="12"/>
  <c r="V1398" i="12"/>
  <c r="V1402" i="12"/>
  <c r="V1406" i="12"/>
  <c r="V1410" i="12"/>
  <c r="V1414" i="12"/>
  <c r="V1418" i="12"/>
  <c r="V1422" i="12"/>
  <c r="V1426" i="12"/>
  <c r="V1430" i="12"/>
  <c r="V1434" i="12"/>
  <c r="V1438" i="12"/>
  <c r="U1445" i="12"/>
  <c r="U1453" i="12"/>
  <c r="U1461" i="12"/>
  <c r="X998" i="12"/>
  <c r="X1002" i="12"/>
  <c r="X1014" i="12"/>
  <c r="X1018" i="12"/>
  <c r="V1022" i="12"/>
  <c r="V1026" i="12"/>
  <c r="X1030" i="12"/>
  <c r="X1034" i="12"/>
  <c r="X1038" i="12"/>
  <c r="W1042" i="12"/>
  <c r="W1046" i="12"/>
  <c r="W1050" i="12"/>
  <c r="W1054" i="12"/>
  <c r="X1058" i="12"/>
  <c r="X1062" i="12"/>
  <c r="X1066" i="12"/>
  <c r="X1070" i="12"/>
  <c r="X1074" i="12"/>
  <c r="X1078" i="12"/>
  <c r="X1082" i="12"/>
  <c r="X1086" i="12"/>
  <c r="X1090" i="12"/>
  <c r="X1094" i="12"/>
  <c r="X1098" i="12"/>
  <c r="X1102" i="12"/>
  <c r="X1106" i="12"/>
  <c r="X1110" i="12"/>
  <c r="X1114" i="12"/>
  <c r="X1118" i="12"/>
  <c r="X1122" i="12"/>
  <c r="X1126" i="12"/>
  <c r="X1130" i="12"/>
  <c r="X1134" i="12"/>
  <c r="X1138" i="12"/>
  <c r="X1142" i="12"/>
  <c r="X1146" i="12"/>
  <c r="X1150" i="12"/>
  <c r="X1154" i="12"/>
  <c r="X1158" i="12"/>
  <c r="X1162" i="12"/>
  <c r="X1166" i="12"/>
  <c r="X1170" i="12"/>
  <c r="X1174" i="12"/>
  <c r="X1178" i="12"/>
  <c r="X1182" i="12"/>
  <c r="X1186" i="12"/>
  <c r="X1190" i="12"/>
  <c r="X1194" i="12"/>
  <c r="X1198" i="12"/>
  <c r="X1202" i="12"/>
  <c r="X1206" i="12"/>
  <c r="X1210" i="12"/>
  <c r="X1214" i="12"/>
  <c r="X1218" i="12"/>
  <c r="X1222" i="12"/>
  <c r="X1226" i="12"/>
  <c r="X1299" i="12"/>
  <c r="X1303" i="12"/>
  <c r="X1307" i="12"/>
  <c r="X1311" i="12"/>
  <c r="X1315" i="12"/>
  <c r="X1319" i="12"/>
  <c r="X1323" i="12"/>
  <c r="X1327" i="12"/>
  <c r="X1331" i="12"/>
  <c r="X1335" i="12"/>
  <c r="X1339" i="12"/>
  <c r="X1343" i="12"/>
  <c r="X1347" i="12"/>
  <c r="X1351" i="12"/>
  <c r="X1355" i="12"/>
  <c r="X1359" i="12"/>
  <c r="X1363" i="12"/>
  <c r="X1367" i="12"/>
  <c r="X1371" i="12"/>
  <c r="X1375" i="12"/>
  <c r="X1379" i="12"/>
  <c r="X1383" i="12"/>
  <c r="X1387" i="12"/>
  <c r="X1391" i="12"/>
  <c r="X1395" i="12"/>
  <c r="X1399" i="12"/>
  <c r="X1403" i="12"/>
  <c r="X1407" i="12"/>
  <c r="X1411" i="12"/>
  <c r="X1415" i="12"/>
  <c r="X1419" i="12"/>
  <c r="X1423" i="12"/>
  <c r="X1427" i="12"/>
  <c r="X1431" i="12"/>
  <c r="X1435" i="12"/>
  <c r="V1441" i="12"/>
  <c r="V1449" i="12"/>
  <c r="V1457" i="12"/>
  <c r="V1465" i="12"/>
  <c r="U1469" i="12"/>
  <c r="U1473" i="12"/>
  <c r="U1477" i="12"/>
  <c r="X997" i="12"/>
  <c r="X1001" i="12"/>
  <c r="W1005" i="12"/>
  <c r="W1009" i="12"/>
  <c r="X1013" i="12"/>
  <c r="X1017" i="12"/>
  <c r="X1029" i="12"/>
  <c r="X1033" i="12"/>
  <c r="X1037" i="12"/>
  <c r="X1041" i="12"/>
  <c r="X1043" i="12"/>
  <c r="X1045" i="12"/>
  <c r="X1047" i="12"/>
  <c r="X1049" i="12"/>
  <c r="X1051" i="12"/>
  <c r="X1053" i="12"/>
  <c r="X1055" i="12"/>
  <c r="X1057" i="12"/>
  <c r="X1061" i="12"/>
  <c r="X1065" i="12"/>
  <c r="X1069" i="12"/>
  <c r="X1073" i="12"/>
  <c r="X1077" i="12"/>
  <c r="X1081" i="12"/>
  <c r="X1085" i="12"/>
  <c r="X1089" i="12"/>
  <c r="X1093" i="12"/>
  <c r="X1097" i="12"/>
  <c r="X1101" i="12"/>
  <c r="X1105" i="12"/>
  <c r="X1109" i="12"/>
  <c r="X1113" i="12"/>
  <c r="X1117" i="12"/>
  <c r="X1121" i="12"/>
  <c r="X1125" i="12"/>
  <c r="X1129" i="12"/>
  <c r="X1133" i="12"/>
  <c r="X1137" i="12"/>
  <c r="X1141" i="12"/>
  <c r="X1145" i="12"/>
  <c r="X1149" i="12"/>
  <c r="X1153" i="12"/>
  <c r="X1157" i="12"/>
  <c r="X1161" i="12"/>
  <c r="X1165" i="12"/>
  <c r="X1169" i="12"/>
  <c r="X1173" i="12"/>
  <c r="X1177" i="12"/>
  <c r="X1181" i="12"/>
  <c r="X1185" i="12"/>
  <c r="X1189" i="12"/>
  <c r="X1193" i="12"/>
  <c r="X1197" i="12"/>
  <c r="X1201" i="12"/>
  <c r="X1205" i="12"/>
  <c r="X1209" i="12"/>
  <c r="X1213" i="12"/>
  <c r="X1217" i="12"/>
  <c r="X1221" i="12"/>
  <c r="X1225" i="12"/>
  <c r="W1229" i="12"/>
  <c r="W1233" i="12"/>
  <c r="W1237" i="12"/>
  <c r="W1241" i="12"/>
  <c r="W1245" i="12"/>
  <c r="W1249" i="12"/>
  <c r="W1253" i="12"/>
  <c r="W1257" i="12"/>
  <c r="W1261" i="12"/>
  <c r="W1265" i="12"/>
  <c r="W1269" i="12"/>
  <c r="W1273" i="12"/>
  <c r="W1277" i="12"/>
  <c r="W1281" i="12"/>
  <c r="W1285" i="12"/>
  <c r="W1289" i="12"/>
  <c r="W1293" i="12"/>
  <c r="W1297" i="12"/>
  <c r="W1301" i="12"/>
  <c r="W1305" i="12"/>
  <c r="W1309" i="12"/>
  <c r="W1313" i="12"/>
  <c r="W1317" i="12"/>
  <c r="W1321" i="12"/>
  <c r="W1325" i="12"/>
  <c r="W1329" i="12"/>
  <c r="W1333" i="12"/>
  <c r="W1337" i="12"/>
  <c r="W1341" i="12"/>
  <c r="W1345" i="12"/>
  <c r="W1349" i="12"/>
  <c r="W1353" i="12"/>
  <c r="W1357" i="12"/>
  <c r="W1361" i="12"/>
  <c r="W1365" i="12"/>
  <c r="W1369" i="12"/>
  <c r="W1373" i="12"/>
  <c r="W1377" i="12"/>
  <c r="W1381" i="12"/>
  <c r="W1385" i="12"/>
  <c r="W1389" i="12"/>
  <c r="W1393" i="12"/>
  <c r="W1397" i="12"/>
  <c r="W1401" i="12"/>
  <c r="W1405" i="12"/>
  <c r="W1409" i="12"/>
  <c r="W1413" i="12"/>
  <c r="W1417" i="12"/>
  <c r="W1421" i="12"/>
  <c r="W1425" i="12"/>
  <c r="W1429" i="12"/>
  <c r="W1433" i="12"/>
  <c r="W1437" i="12"/>
  <c r="W1443" i="12"/>
  <c r="W1451" i="12"/>
  <c r="W1459" i="12"/>
  <c r="X1012" i="12"/>
  <c r="X1016" i="12"/>
  <c r="W1020" i="12"/>
  <c r="W1024" i="12"/>
  <c r="X1028" i="12"/>
  <c r="X1032" i="12"/>
  <c r="X1036" i="12"/>
  <c r="X1040" i="12"/>
  <c r="V1044" i="12"/>
  <c r="V1048" i="12"/>
  <c r="V1052" i="12"/>
  <c r="V1056" i="12"/>
  <c r="X1060" i="12"/>
  <c r="X1064" i="12"/>
  <c r="X1068" i="12"/>
  <c r="X1072" i="12"/>
  <c r="X1076" i="12"/>
  <c r="X1080" i="12"/>
  <c r="X1084" i="12"/>
  <c r="X1088" i="12"/>
  <c r="X1092" i="12"/>
  <c r="X1096" i="12"/>
  <c r="X1100" i="12"/>
  <c r="X1104" i="12"/>
  <c r="X1108" i="12"/>
  <c r="X1112" i="12"/>
  <c r="X1116" i="12"/>
  <c r="X1120" i="12"/>
  <c r="X1124" i="12"/>
  <c r="X1128" i="12"/>
  <c r="X1132" i="12"/>
  <c r="X1136" i="12"/>
  <c r="X1140" i="12"/>
  <c r="X1144" i="12"/>
  <c r="X1148" i="12"/>
  <c r="X1152" i="12"/>
  <c r="X1156" i="12"/>
  <c r="X1160" i="12"/>
  <c r="X1164" i="12"/>
  <c r="X1168" i="12"/>
  <c r="X1172" i="12"/>
  <c r="X1176" i="12"/>
  <c r="X1180" i="12"/>
  <c r="X1184" i="12"/>
  <c r="X1188" i="12"/>
  <c r="X1192" i="12"/>
  <c r="X1196" i="12"/>
  <c r="X1200" i="12"/>
  <c r="X1204" i="12"/>
  <c r="X1208" i="12"/>
  <c r="X1212" i="12"/>
  <c r="X1216" i="12"/>
  <c r="X1220" i="12"/>
  <c r="X1224" i="12"/>
  <c r="X1228" i="12"/>
  <c r="X1230" i="12"/>
  <c r="X1232" i="12"/>
  <c r="X1234" i="12"/>
  <c r="X1236" i="12"/>
  <c r="X1238" i="12"/>
  <c r="X1240" i="12"/>
  <c r="X1242" i="12"/>
  <c r="X1244" i="12"/>
  <c r="X1246" i="12"/>
  <c r="X1248" i="12"/>
  <c r="X1250" i="12"/>
  <c r="X1252" i="12"/>
  <c r="X1254" i="12"/>
  <c r="X1256" i="12"/>
  <c r="X1258" i="12"/>
  <c r="X1260" i="12"/>
  <c r="X1262" i="12"/>
  <c r="X1264" i="12"/>
  <c r="X1266" i="12"/>
  <c r="X1268" i="12"/>
  <c r="X1270" i="12"/>
  <c r="X1272" i="12"/>
  <c r="X1274" i="12"/>
  <c r="X1276" i="12"/>
  <c r="X1278" i="12"/>
  <c r="X1280" i="12"/>
  <c r="X1282" i="12"/>
  <c r="X1284" i="12"/>
  <c r="X1286" i="12"/>
  <c r="X1288" i="12"/>
  <c r="X1290" i="12"/>
  <c r="X1292" i="12"/>
  <c r="X1294" i="12"/>
  <c r="X1296" i="12"/>
  <c r="V1299" i="12"/>
  <c r="V1303" i="12"/>
  <c r="V1307" i="12"/>
  <c r="V1311" i="12"/>
  <c r="V1315" i="12"/>
  <c r="V1319" i="12"/>
  <c r="V1323" i="12"/>
  <c r="V1327" i="12"/>
  <c r="V1331" i="12"/>
  <c r="V1335" i="12"/>
  <c r="V1339" i="12"/>
  <c r="V1343" i="12"/>
  <c r="V1347" i="12"/>
  <c r="V1351" i="12"/>
  <c r="V1355" i="12"/>
  <c r="V1359" i="12"/>
  <c r="V1363" i="12"/>
  <c r="V1367" i="12"/>
  <c r="V1371" i="12"/>
  <c r="V1375" i="12"/>
  <c r="V1379" i="12"/>
  <c r="V1383" i="12"/>
  <c r="V1387" i="12"/>
  <c r="V1391" i="12"/>
  <c r="V1395" i="12"/>
  <c r="V1399" i="12"/>
  <c r="V1403" i="12"/>
  <c r="V1407" i="12"/>
  <c r="V1411" i="12"/>
  <c r="V1415" i="12"/>
  <c r="V1419" i="12"/>
  <c r="V1423" i="12"/>
  <c r="V1427" i="12"/>
  <c r="V1431" i="12"/>
  <c r="V1435" i="12"/>
  <c r="X1439" i="12"/>
  <c r="X1447" i="12"/>
  <c r="X1455" i="12"/>
  <c r="X1463" i="12"/>
  <c r="X1441" i="12"/>
  <c r="X1445" i="12"/>
  <c r="X1449" i="12"/>
  <c r="X1453" i="12"/>
  <c r="X1457" i="12"/>
  <c r="X1461" i="12"/>
  <c r="X1465" i="12"/>
  <c r="X1469" i="12"/>
  <c r="X1473" i="12"/>
  <c r="X1477" i="12"/>
  <c r="X1481" i="12"/>
  <c r="X1485" i="12"/>
  <c r="X1489" i="12"/>
  <c r="X1493" i="12"/>
  <c r="X1497" i="12"/>
  <c r="W1501" i="12"/>
  <c r="U1505" i="12"/>
  <c r="U1507" i="12"/>
  <c r="W1515" i="12"/>
  <c r="U1518" i="12"/>
  <c r="V1521" i="12"/>
  <c r="U1525" i="12"/>
  <c r="U1527" i="12"/>
  <c r="X1531" i="12"/>
  <c r="V1535" i="12"/>
  <c r="U1541" i="12"/>
  <c r="X1545" i="12"/>
  <c r="X1549" i="12"/>
  <c r="W1553" i="12"/>
  <c r="W1557" i="12"/>
  <c r="V1561" i="12"/>
  <c r="V1565" i="12"/>
  <c r="U1569" i="12"/>
  <c r="U1573" i="12"/>
  <c r="U1577" i="12"/>
  <c r="U1581" i="12"/>
  <c r="U1585" i="12"/>
  <c r="U1589" i="12"/>
  <c r="U1593" i="12"/>
  <c r="V1596" i="12"/>
  <c r="U1601" i="12"/>
  <c r="V1604" i="12"/>
  <c r="U1609" i="12"/>
  <c r="V1612" i="12"/>
  <c r="V1617" i="12"/>
  <c r="V1621" i="12"/>
  <c r="V1625" i="12"/>
  <c r="V1629" i="12"/>
  <c r="V1633" i="12"/>
  <c r="V1637" i="12"/>
  <c r="V1641" i="12"/>
  <c r="V1645" i="12"/>
  <c r="W1650" i="12"/>
  <c r="V1654" i="12"/>
  <c r="V1658" i="12"/>
  <c r="V1662" i="12"/>
  <c r="V1666" i="12"/>
  <c r="V1670" i="12"/>
  <c r="V1674" i="12"/>
  <c r="V1678" i="12"/>
  <c r="V1682" i="12"/>
  <c r="X1689" i="12"/>
  <c r="X1697" i="12"/>
  <c r="X1705" i="12"/>
  <c r="X1713" i="12"/>
  <c r="U1481" i="12"/>
  <c r="U1485" i="12"/>
  <c r="U1489" i="12"/>
  <c r="U1493" i="12"/>
  <c r="U1497" i="12"/>
  <c r="U1501" i="12"/>
  <c r="U1503" i="12"/>
  <c r="V1507" i="12"/>
  <c r="W1511" i="12"/>
  <c r="X1515" i="12"/>
  <c r="V1519" i="12"/>
  <c r="U1523" i="12"/>
  <c r="V1527" i="12"/>
  <c r="U1531" i="12"/>
  <c r="W1537" i="12"/>
  <c r="V1541" i="12"/>
  <c r="U1545" i="12"/>
  <c r="U1549" i="12"/>
  <c r="X1553" i="12"/>
  <c r="X1557" i="12"/>
  <c r="W1561" i="12"/>
  <c r="W1565" i="12"/>
  <c r="V1569" i="12"/>
  <c r="V1573" i="12"/>
  <c r="V1577" i="12"/>
  <c r="V1581" i="12"/>
  <c r="V1585" i="12"/>
  <c r="V1589" i="12"/>
  <c r="V1594" i="12"/>
  <c r="X1599" i="12"/>
  <c r="X1606" i="12"/>
  <c r="V1610" i="12"/>
  <c r="X1622" i="12"/>
  <c r="X1638" i="12"/>
  <c r="W1654" i="12"/>
  <c r="W1670" i="12"/>
  <c r="U1687" i="12"/>
  <c r="U1719" i="12"/>
  <c r="U1476" i="12"/>
  <c r="U1492" i="12"/>
  <c r="X1509" i="12"/>
  <c r="W1524" i="12"/>
  <c r="V1540" i="12"/>
  <c r="X1556" i="12"/>
  <c r="U1592" i="12"/>
  <c r="W1597" i="12"/>
  <c r="U1600" i="12"/>
  <c r="W1605" i="12"/>
  <c r="U1608" i="12"/>
  <c r="W1613" i="12"/>
  <c r="W1617" i="12"/>
  <c r="W1621" i="12"/>
  <c r="W1625" i="12"/>
  <c r="W1629" i="12"/>
  <c r="W1633" i="12"/>
  <c r="W1637" i="12"/>
  <c r="W1641" i="12"/>
  <c r="W1645" i="12"/>
  <c r="W1649" i="12"/>
  <c r="V1653" i="12"/>
  <c r="V1657" i="12"/>
  <c r="V1661" i="12"/>
  <c r="V1665" i="12"/>
  <c r="V1669" i="12"/>
  <c r="V1673" i="12"/>
  <c r="V1677" i="12"/>
  <c r="V1681" i="12"/>
  <c r="X1686" i="12"/>
  <c r="X1694" i="12"/>
  <c r="X1702" i="12"/>
  <c r="X1710" i="12"/>
  <c r="X1718" i="12"/>
  <c r="X1722" i="12"/>
  <c r="X1467" i="12"/>
  <c r="X1471" i="12"/>
  <c r="X1475" i="12"/>
  <c r="X1479" i="12"/>
  <c r="X1483" i="12"/>
  <c r="X1487" i="12"/>
  <c r="X1491" i="12"/>
  <c r="X1495" i="12"/>
  <c r="X1499" i="12"/>
  <c r="V1503" i="12"/>
  <c r="U1509" i="12"/>
  <c r="U1511" i="12"/>
  <c r="X1513" i="12"/>
  <c r="W1519" i="12"/>
  <c r="V1523" i="12"/>
  <c r="X1529" i="12"/>
  <c r="W1533" i="12"/>
  <c r="U1537" i="12"/>
  <c r="U1539" i="12"/>
  <c r="U1543" i="12"/>
  <c r="X1547" i="12"/>
  <c r="X1551" i="12"/>
  <c r="W1555" i="12"/>
  <c r="W1559" i="12"/>
  <c r="V1563" i="12"/>
  <c r="V1567" i="12"/>
  <c r="U1571" i="12"/>
  <c r="U1575" i="12"/>
  <c r="U1579" i="12"/>
  <c r="U1583" i="12"/>
  <c r="U1587" i="12"/>
  <c r="U1591" i="12"/>
  <c r="X1596" i="12"/>
  <c r="V1599" i="12"/>
  <c r="X1604" i="12"/>
  <c r="V1607" i="12"/>
  <c r="X1612" i="12"/>
  <c r="V1615" i="12"/>
  <c r="V1619" i="12"/>
  <c r="V1623" i="12"/>
  <c r="V1627" i="12"/>
  <c r="V1631" i="12"/>
  <c r="V1635" i="12"/>
  <c r="V1639" i="12"/>
  <c r="V1643" i="12"/>
  <c r="X1648" i="12"/>
  <c r="V1652" i="12"/>
  <c r="V1656" i="12"/>
  <c r="V1660" i="12"/>
  <c r="V1664" i="12"/>
  <c r="V1668" i="12"/>
  <c r="V1672" i="12"/>
  <c r="V1676" i="12"/>
  <c r="V1680" i="12"/>
  <c r="W1684" i="12"/>
  <c r="V1692" i="12"/>
  <c r="V1700" i="12"/>
  <c r="V1708" i="12"/>
  <c r="V1716" i="12"/>
  <c r="X1442" i="12"/>
  <c r="X1446" i="12"/>
  <c r="X1450" i="12"/>
  <c r="X1454" i="12"/>
  <c r="Y1454" i="12" s="1"/>
  <c r="X1458" i="12"/>
  <c r="X1462" i="12"/>
  <c r="X1466" i="12"/>
  <c r="X1470" i="12"/>
  <c r="X1474" i="12"/>
  <c r="X1478" i="12"/>
  <c r="X1482" i="12"/>
  <c r="X1486" i="12"/>
  <c r="X1490" i="12"/>
  <c r="X1494" i="12"/>
  <c r="X1498" i="12"/>
  <c r="X1504" i="12"/>
  <c r="U1508" i="12"/>
  <c r="V1512" i="12"/>
  <c r="W1516" i="12"/>
  <c r="U1520" i="12"/>
  <c r="Y1520" i="12" s="1"/>
  <c r="X1524" i="12"/>
  <c r="U1528" i="12"/>
  <c r="X1532" i="12"/>
  <c r="X1534" i="12"/>
  <c r="V1538" i="12"/>
  <c r="U1542" i="12"/>
  <c r="X1546" i="12"/>
  <c r="X1550" i="12"/>
  <c r="W1554" i="12"/>
  <c r="W1558" i="12"/>
  <c r="V1562" i="12"/>
  <c r="V1566" i="12"/>
  <c r="U1570" i="12"/>
  <c r="U1574" i="12"/>
  <c r="U1578" i="12"/>
  <c r="U1582" i="12"/>
  <c r="U1586" i="12"/>
  <c r="U1590" i="12"/>
  <c r="X1594" i="12"/>
  <c r="V1597" i="12"/>
  <c r="X1602" i="12"/>
  <c r="V1605" i="12"/>
  <c r="X1610" i="12"/>
  <c r="V1613" i="12"/>
  <c r="U1617" i="12"/>
  <c r="U1621" i="12"/>
  <c r="U1625" i="12"/>
  <c r="U1629" i="12"/>
  <c r="U1633" i="12"/>
  <c r="U1637" i="12"/>
  <c r="U1641" i="12"/>
  <c r="U1645" i="12"/>
  <c r="X1647" i="12"/>
  <c r="V1651" i="12"/>
  <c r="V1655" i="12"/>
  <c r="V1659" i="12"/>
  <c r="V1663" i="12"/>
  <c r="V1667" i="12"/>
  <c r="V1671" i="12"/>
  <c r="V1675" i="12"/>
  <c r="V1679" i="12"/>
  <c r="V1683" i="12"/>
  <c r="W1689" i="12"/>
  <c r="W1697" i="12"/>
  <c r="W1705" i="12"/>
  <c r="W1713" i="12"/>
  <c r="V1685" i="12"/>
  <c r="V1689" i="12"/>
  <c r="V1693" i="12"/>
  <c r="V1697" i="12"/>
  <c r="V1701" i="12"/>
  <c r="V1705" i="12"/>
  <c r="V1709" i="12"/>
  <c r="V1713" i="12"/>
  <c r="V1717" i="12"/>
  <c r="V1721" i="12"/>
  <c r="V1725" i="12"/>
  <c r="V1729" i="12"/>
  <c r="V1733" i="12"/>
  <c r="V1737" i="12"/>
  <c r="V1741" i="12"/>
  <c r="V1745" i="12"/>
  <c r="V1749" i="12"/>
  <c r="V1753" i="12"/>
  <c r="V1757" i="12"/>
  <c r="V1761" i="12"/>
  <c r="V1765" i="12"/>
  <c r="V1769" i="12"/>
  <c r="V1773" i="12"/>
  <c r="V1777" i="12"/>
  <c r="V1781" i="12"/>
  <c r="V1785" i="12"/>
  <c r="V1789" i="12"/>
  <c r="W1796" i="12"/>
  <c r="V1800" i="12"/>
  <c r="U1804" i="12"/>
  <c r="X1808" i="12"/>
  <c r="W1812" i="12"/>
  <c r="V1816" i="12"/>
  <c r="V1820" i="12"/>
  <c r="V1824" i="12"/>
  <c r="V1828" i="12"/>
  <c r="V1832" i="12"/>
  <c r="V1836" i="12"/>
  <c r="V1840" i="12"/>
  <c r="W1847" i="12"/>
  <c r="W1854" i="12"/>
  <c r="X1858" i="12"/>
  <c r="X1862" i="12"/>
  <c r="V1867" i="12"/>
  <c r="V1872" i="12"/>
  <c r="V1876" i="12"/>
  <c r="V1880" i="12"/>
  <c r="V1884" i="12"/>
  <c r="V1888" i="12"/>
  <c r="V1892" i="12"/>
  <c r="V1896" i="12"/>
  <c r="V1900" i="12"/>
  <c r="V1904" i="12"/>
  <c r="V1908" i="12"/>
  <c r="V1912" i="12"/>
  <c r="V1916" i="12"/>
  <c r="V1920" i="12"/>
  <c r="V1927" i="12"/>
  <c r="V1935" i="12"/>
  <c r="W1725" i="12"/>
  <c r="W1729" i="12"/>
  <c r="W1733" i="12"/>
  <c r="W1737" i="12"/>
  <c r="W1741" i="12"/>
  <c r="W1745" i="12"/>
  <c r="W1749" i="12"/>
  <c r="W1753" i="12"/>
  <c r="W1757" i="12"/>
  <c r="W1761" i="12"/>
  <c r="W1765" i="12"/>
  <c r="W1769" i="12"/>
  <c r="W1773" i="12"/>
  <c r="W1777" i="12"/>
  <c r="W1781" i="12"/>
  <c r="W1785" i="12"/>
  <c r="W1789" i="12"/>
  <c r="U1792" i="12"/>
  <c r="U1794" i="12"/>
  <c r="U1796" i="12"/>
  <c r="V1799" i="12"/>
  <c r="U1803" i="12"/>
  <c r="X1807" i="12"/>
  <c r="W1811" i="12"/>
  <c r="V1815" i="12"/>
  <c r="V1819" i="12"/>
  <c r="V1823" i="12"/>
  <c r="V1827" i="12"/>
  <c r="V1831" i="12"/>
  <c r="V1835" i="12"/>
  <c r="V1839" i="12"/>
  <c r="X1843" i="12"/>
  <c r="X1847" i="12"/>
  <c r="V1851" i="12"/>
  <c r="U1854" i="12"/>
  <c r="U1856" i="12"/>
  <c r="U1858" i="12"/>
  <c r="U1862" i="12"/>
  <c r="U1866" i="12"/>
  <c r="U1870" i="12"/>
  <c r="U1874" i="12"/>
  <c r="U1878" i="12"/>
  <c r="U1882" i="12"/>
  <c r="U1886" i="12"/>
  <c r="U1890" i="12"/>
  <c r="U1894" i="12"/>
  <c r="U1898" i="12"/>
  <c r="U1902" i="12"/>
  <c r="U1906" i="12"/>
  <c r="U1910" i="12"/>
  <c r="U1914" i="12"/>
  <c r="U1918" i="12"/>
  <c r="U1922" i="12"/>
  <c r="U1926" i="12"/>
  <c r="U1930" i="12"/>
  <c r="U1934" i="12"/>
  <c r="U1938" i="12"/>
  <c r="W1720" i="12"/>
  <c r="W1724" i="12"/>
  <c r="W1728" i="12"/>
  <c r="W1732" i="12"/>
  <c r="W1736" i="12"/>
  <c r="W1740" i="12"/>
  <c r="W1744" i="12"/>
  <c r="W1748" i="12"/>
  <c r="W1752" i="12"/>
  <c r="W1756" i="12"/>
  <c r="W1760" i="12"/>
  <c r="W1764" i="12"/>
  <c r="W1768" i="12"/>
  <c r="W1772" i="12"/>
  <c r="W1776" i="12"/>
  <c r="W1780" i="12"/>
  <c r="W1784" i="12"/>
  <c r="W1788" i="12"/>
  <c r="V1793" i="12"/>
  <c r="W1799" i="12"/>
  <c r="V1803" i="12"/>
  <c r="U1807" i="12"/>
  <c r="X1811" i="12"/>
  <c r="W1815" i="12"/>
  <c r="W1819" i="12"/>
  <c r="W1823" i="12"/>
  <c r="W1827" i="12"/>
  <c r="W1831" i="12"/>
  <c r="W1835" i="12"/>
  <c r="W1839" i="12"/>
  <c r="X1842" i="12"/>
  <c r="U1845" i="12"/>
  <c r="U1848" i="12"/>
  <c r="W1851" i="12"/>
  <c r="V1856" i="12"/>
  <c r="X1860" i="12"/>
  <c r="X1864" i="12"/>
  <c r="V1870" i="12"/>
  <c r="V1874" i="12"/>
  <c r="V1878" i="12"/>
  <c r="V1882" i="12"/>
  <c r="V1886" i="12"/>
  <c r="V1890" i="12"/>
  <c r="V1894" i="12"/>
  <c r="V1898" i="12"/>
  <c r="V1902" i="12"/>
  <c r="V1906" i="12"/>
  <c r="V1910" i="12"/>
  <c r="V1914" i="12"/>
  <c r="V1918" i="12"/>
  <c r="V1922" i="12"/>
  <c r="V1930" i="12"/>
  <c r="V1938" i="12"/>
  <c r="W1687" i="12"/>
  <c r="W1691" i="12"/>
  <c r="W1695" i="12"/>
  <c r="W1699" i="12"/>
  <c r="W1703" i="12"/>
  <c r="W1707" i="12"/>
  <c r="W1711" i="12"/>
  <c r="W1715" i="12"/>
  <c r="W1719" i="12"/>
  <c r="W1723" i="12"/>
  <c r="W1727" i="12"/>
  <c r="W1731" i="12"/>
  <c r="W1735" i="12"/>
  <c r="W1739" i="12"/>
  <c r="W1743" i="12"/>
  <c r="W1747" i="12"/>
  <c r="W1751" i="12"/>
  <c r="W1755" i="12"/>
  <c r="W1759" i="12"/>
  <c r="W1763" i="12"/>
  <c r="W1767" i="12"/>
  <c r="W1771" i="12"/>
  <c r="W1775" i="12"/>
  <c r="W1779" i="12"/>
  <c r="W1783" i="12"/>
  <c r="W1787" i="12"/>
  <c r="W1791" i="12"/>
  <c r="W1795" i="12"/>
  <c r="X1799" i="12"/>
  <c r="W1803" i="12"/>
  <c r="V1807" i="12"/>
  <c r="U1811" i="12"/>
  <c r="X1815" i="12"/>
  <c r="X1819" i="12"/>
  <c r="X1823" i="12"/>
  <c r="X1827" i="12"/>
  <c r="X1831" i="12"/>
  <c r="X1835" i="12"/>
  <c r="X1839" i="12"/>
  <c r="V1843" i="12"/>
  <c r="V1847" i="12"/>
  <c r="X1850" i="12"/>
  <c r="V1853" i="12"/>
  <c r="V1861" i="12"/>
  <c r="V1865" i="12"/>
  <c r="U1869" i="12"/>
  <c r="V1873" i="12"/>
  <c r="V1877" i="12"/>
  <c r="V1881" i="12"/>
  <c r="V1885" i="12"/>
  <c r="V1889" i="12"/>
  <c r="V1893" i="12"/>
  <c r="V1897" i="12"/>
  <c r="V1901" i="12"/>
  <c r="V1905" i="12"/>
  <c r="V1909" i="12"/>
  <c r="V1913" i="12"/>
  <c r="V1917" i="12"/>
  <c r="V1921" i="12"/>
  <c r="U1925" i="12"/>
  <c r="U1929" i="12"/>
  <c r="U1933" i="12"/>
  <c r="U1937" i="12"/>
  <c r="U1941" i="12"/>
  <c r="V1944" i="12"/>
  <c r="V1948" i="12"/>
  <c r="V1952" i="12"/>
  <c r="V1956" i="12"/>
  <c r="V1960" i="12"/>
  <c r="W1964" i="12"/>
  <c r="U1968" i="12"/>
  <c r="U1972" i="12"/>
  <c r="W1975" i="12"/>
  <c r="X1978" i="12"/>
  <c r="W1983" i="12"/>
  <c r="X1986" i="12"/>
  <c r="W1991" i="12"/>
  <c r="X1994" i="12"/>
  <c r="W1999" i="12"/>
  <c r="X2002" i="12"/>
  <c r="X2006" i="12"/>
  <c r="W2011" i="12"/>
  <c r="W2015" i="12"/>
  <c r="X2018" i="12"/>
  <c r="X2022" i="12"/>
  <c r="W2027" i="12"/>
  <c r="W2031" i="12"/>
  <c r="X2034" i="12"/>
  <c r="V2039" i="12"/>
  <c r="V2043" i="12"/>
  <c r="V2050" i="12"/>
  <c r="V2058" i="12"/>
  <c r="X2064" i="12"/>
  <c r="X2068" i="12"/>
  <c r="X2072" i="12"/>
  <c r="X2076" i="12"/>
  <c r="X2080" i="12"/>
  <c r="X2084" i="12"/>
  <c r="X2088" i="12"/>
  <c r="X2092" i="12"/>
  <c r="U1868" i="12"/>
  <c r="W1960" i="12"/>
  <c r="U1963" i="12"/>
  <c r="U1965" i="12"/>
  <c r="V1968" i="12"/>
  <c r="V1972" i="12"/>
  <c r="U1976" i="12"/>
  <c r="V1979" i="12"/>
  <c r="U1984" i="12"/>
  <c r="V1987" i="12"/>
  <c r="U1992" i="12"/>
  <c r="V1995" i="12"/>
  <c r="U2000" i="12"/>
  <c r="V2003" i="12"/>
  <c r="V2007" i="12"/>
  <c r="U2012" i="12"/>
  <c r="U2016" i="12"/>
  <c r="V2019" i="12"/>
  <c r="V2023" i="12"/>
  <c r="U2028" i="12"/>
  <c r="U2032" i="12"/>
  <c r="V2035" i="12"/>
  <c r="X2039" i="12"/>
  <c r="X2044" i="12"/>
  <c r="X2048" i="12"/>
  <c r="X2052" i="12"/>
  <c r="X2056" i="12"/>
  <c r="W1922" i="12"/>
  <c r="W1926" i="12"/>
  <c r="W1930" i="12"/>
  <c r="W1934" i="12"/>
  <c r="W1938" i="12"/>
  <c r="W1942" i="12"/>
  <c r="W1946" i="12"/>
  <c r="W1950" i="12"/>
  <c r="W1954" i="12"/>
  <c r="W1958" i="12"/>
  <c r="V1962" i="12"/>
  <c r="U1966" i="12"/>
  <c r="U1970" i="12"/>
  <c r="U1975" i="12"/>
  <c r="W1980" i="12"/>
  <c r="U1983" i="12"/>
  <c r="W1988" i="12"/>
  <c r="U1991" i="12"/>
  <c r="W1996" i="12"/>
  <c r="U1999" i="12"/>
  <c r="X2004" i="12"/>
  <c r="W2008" i="12"/>
  <c r="U2011" i="12"/>
  <c r="U2015" i="12"/>
  <c r="X2020" i="12"/>
  <c r="W2024" i="12"/>
  <c r="U2027" i="12"/>
  <c r="U2031" i="12"/>
  <c r="X2036" i="12"/>
  <c r="W2041" i="12"/>
  <c r="W2045" i="12"/>
  <c r="W2053" i="12"/>
  <c r="U2061" i="12"/>
  <c r="X1943" i="12"/>
  <c r="X1945" i="12"/>
  <c r="X1947" i="12"/>
  <c r="X1949" i="12"/>
  <c r="X1951" i="12"/>
  <c r="X1953" i="12"/>
  <c r="X1955" i="12"/>
  <c r="X1957" i="12"/>
  <c r="V1961" i="12"/>
  <c r="U1969" i="12"/>
  <c r="X1973" i="12"/>
  <c r="W1978" i="12"/>
  <c r="U1981" i="12"/>
  <c r="W1986" i="12"/>
  <c r="U1989" i="12"/>
  <c r="W1994" i="12"/>
  <c r="U1997" i="12"/>
  <c r="W2002" i="12"/>
  <c r="W2006" i="12"/>
  <c r="U2009" i="12"/>
  <c r="X2013" i="12"/>
  <c r="W2018" i="12"/>
  <c r="W2022" i="12"/>
  <c r="U2025" i="12"/>
  <c r="X2029" i="12"/>
  <c r="W2034" i="12"/>
  <c r="U2039" i="12"/>
  <c r="U2050" i="12"/>
  <c r="X1560" i="12"/>
  <c r="W1564" i="12"/>
  <c r="W1568" i="12"/>
  <c r="V1572" i="12"/>
  <c r="V1576" i="12"/>
  <c r="V1580" i="12"/>
  <c r="V1584" i="12"/>
  <c r="V1588" i="12"/>
  <c r="V1592" i="12"/>
  <c r="U1597" i="12"/>
  <c r="V1600" i="12"/>
  <c r="U1605" i="12"/>
  <c r="V1608" i="12"/>
  <c r="U1613" i="12"/>
  <c r="W1616" i="12"/>
  <c r="W1620" i="12"/>
  <c r="W1624" i="12"/>
  <c r="W1628" i="12"/>
  <c r="W1632" i="12"/>
  <c r="W1636" i="12"/>
  <c r="W1640" i="12"/>
  <c r="W1644" i="12"/>
  <c r="X1649" i="12"/>
  <c r="W1653" i="12"/>
  <c r="W1657" i="12"/>
  <c r="W1661" i="12"/>
  <c r="W1665" i="12"/>
  <c r="W1669" i="12"/>
  <c r="W1673" i="12"/>
  <c r="W1677" i="12"/>
  <c r="W1681" i="12"/>
  <c r="V1687" i="12"/>
  <c r="V1695" i="12"/>
  <c r="V1703" i="12"/>
  <c r="V1711" i="12"/>
  <c r="U1439" i="12"/>
  <c r="U1443" i="12"/>
  <c r="Y1443" i="12" s="1"/>
  <c r="U1447" i="12"/>
  <c r="U1451" i="12"/>
  <c r="U1455" i="12"/>
  <c r="U1459" i="12"/>
  <c r="Y1459" i="12" s="1"/>
  <c r="U1463" i="12"/>
  <c r="U1467" i="12"/>
  <c r="Y1467" i="12" s="1"/>
  <c r="U1471" i="12"/>
  <c r="U1475" i="12"/>
  <c r="Y1475" i="12" s="1"/>
  <c r="U1479" i="12"/>
  <c r="U1483" i="12"/>
  <c r="U1487" i="12"/>
  <c r="U1491" i="12"/>
  <c r="U1495" i="12"/>
  <c r="U1499" i="12"/>
  <c r="W1505" i="12"/>
  <c r="V1509" i="12"/>
  <c r="U1513" i="12"/>
  <c r="W1517" i="12"/>
  <c r="U1521" i="12"/>
  <c r="W1525" i="12"/>
  <c r="U1529" i="12"/>
  <c r="U1533" i="12"/>
  <c r="U1535" i="12"/>
  <c r="V1539" i="12"/>
  <c r="V1543" i="12"/>
  <c r="U1547" i="12"/>
  <c r="U1551" i="12"/>
  <c r="X1555" i="12"/>
  <c r="X1559" i="12"/>
  <c r="W1563" i="12"/>
  <c r="W1567" i="12"/>
  <c r="V1571" i="12"/>
  <c r="V1575" i="12"/>
  <c r="V1579" i="12"/>
  <c r="V1583" i="12"/>
  <c r="V1587" i="12"/>
  <c r="V1591" i="12"/>
  <c r="U1595" i="12"/>
  <c r="V1598" i="12"/>
  <c r="U1603" i="12"/>
  <c r="V1606" i="12"/>
  <c r="U1611" i="12"/>
  <c r="V1614" i="12"/>
  <c r="V1618" i="12"/>
  <c r="V1622" i="12"/>
  <c r="V1626" i="12"/>
  <c r="V1630" i="12"/>
  <c r="V1634" i="12"/>
  <c r="V1638" i="12"/>
  <c r="V1642" i="12"/>
  <c r="X1645" i="12"/>
  <c r="U1648" i="12"/>
  <c r="W1652" i="12"/>
  <c r="W1656" i="12"/>
  <c r="W1660" i="12"/>
  <c r="W1664" i="12"/>
  <c r="W1668" i="12"/>
  <c r="W1672" i="12"/>
  <c r="W1676" i="12"/>
  <c r="W1680" i="12"/>
  <c r="X1684" i="12"/>
  <c r="W1692" i="12"/>
  <c r="W1700" i="12"/>
  <c r="W1708" i="12"/>
  <c r="W1716" i="12"/>
  <c r="W1686" i="12"/>
  <c r="W1690" i="12"/>
  <c r="W1694" i="12"/>
  <c r="W1698" i="12"/>
  <c r="W1702" i="12"/>
  <c r="W1706" i="12"/>
  <c r="W1710" i="12"/>
  <c r="W1714" i="12"/>
  <c r="W1718" i="12"/>
  <c r="W1722" i="12"/>
  <c r="W1726" i="12"/>
  <c r="W1730" i="12"/>
  <c r="W1734" i="12"/>
  <c r="W1738" i="12"/>
  <c r="W1742" i="12"/>
  <c r="W1746" i="12"/>
  <c r="W1750" i="12"/>
  <c r="W1754" i="12"/>
  <c r="W1758" i="12"/>
  <c r="W1762" i="12"/>
  <c r="W1766" i="12"/>
  <c r="W1770" i="12"/>
  <c r="W1774" i="12"/>
  <c r="W1778" i="12"/>
  <c r="W1782" i="12"/>
  <c r="W1786" i="12"/>
  <c r="W1790" i="12"/>
  <c r="X1797" i="12"/>
  <c r="W1801" i="12"/>
  <c r="V1805" i="12"/>
  <c r="U1809" i="12"/>
  <c r="X1813" i="12"/>
  <c r="W1817" i="12"/>
  <c r="W1821" i="12"/>
  <c r="W1825" i="12"/>
  <c r="W1829" i="12"/>
  <c r="W1833" i="12"/>
  <c r="W1837" i="12"/>
  <c r="W1841" i="12"/>
  <c r="W1849" i="12"/>
  <c r="W1855" i="12"/>
  <c r="U1859" i="12"/>
  <c r="U1863" i="12"/>
  <c r="W1869" i="12"/>
  <c r="W1873" i="12"/>
  <c r="W1877" i="12"/>
  <c r="W1881" i="12"/>
  <c r="W1885" i="12"/>
  <c r="W1889" i="12"/>
  <c r="W1893" i="12"/>
  <c r="W1897" i="12"/>
  <c r="W1901" i="12"/>
  <c r="W1905" i="12"/>
  <c r="W1909" i="12"/>
  <c r="W1913" i="12"/>
  <c r="W1917" i="12"/>
  <c r="W1921" i="12"/>
  <c r="V1929" i="12"/>
  <c r="V1937" i="12"/>
  <c r="X1726" i="12"/>
  <c r="X1730" i="12"/>
  <c r="X1734" i="12"/>
  <c r="X1738" i="12"/>
  <c r="X1742" i="12"/>
  <c r="X1746" i="12"/>
  <c r="X1750" i="12"/>
  <c r="X1754" i="12"/>
  <c r="X1758" i="12"/>
  <c r="X1762" i="12"/>
  <c r="X1766" i="12"/>
  <c r="X1770" i="12"/>
  <c r="X1774" i="12"/>
  <c r="X1778" i="12"/>
  <c r="X1782" i="12"/>
  <c r="X1786" i="12"/>
  <c r="X1790" i="12"/>
  <c r="X1792" i="12"/>
  <c r="X1794" i="12"/>
  <c r="X1796" i="12"/>
  <c r="W1800" i="12"/>
  <c r="V1804" i="12"/>
  <c r="U1808" i="12"/>
  <c r="X1812" i="12"/>
  <c r="W1816" i="12"/>
  <c r="W1820" i="12"/>
  <c r="W1824" i="12"/>
  <c r="W1828" i="12"/>
  <c r="W1832" i="12"/>
  <c r="W1836" i="12"/>
  <c r="W1840" i="12"/>
  <c r="W1844" i="12"/>
  <c r="W1848" i="12"/>
  <c r="V1852" i="12"/>
  <c r="X1854" i="12"/>
  <c r="X1856" i="12"/>
  <c r="V1859" i="12"/>
  <c r="V1863" i="12"/>
  <c r="W1867" i="12"/>
  <c r="V1871" i="12"/>
  <c r="V1875" i="12"/>
  <c r="V1879" i="12"/>
  <c r="V1883" i="12"/>
  <c r="V1887" i="12"/>
  <c r="V1891" i="12"/>
  <c r="V1895" i="12"/>
  <c r="V1899" i="12"/>
  <c r="V1903" i="12"/>
  <c r="V1907" i="12"/>
  <c r="V1911" i="12"/>
  <c r="V1915" i="12"/>
  <c r="V1919" i="12"/>
  <c r="X1923" i="12"/>
  <c r="X1927" i="12"/>
  <c r="X1931" i="12"/>
  <c r="X1935" i="12"/>
  <c r="X1939" i="12"/>
  <c r="X1721" i="12"/>
  <c r="X1725" i="12"/>
  <c r="X1729" i="12"/>
  <c r="X1733" i="12"/>
  <c r="X1737" i="12"/>
  <c r="X1741" i="12"/>
  <c r="X1745" i="12"/>
  <c r="X1749" i="12"/>
  <c r="X1753" i="12"/>
  <c r="X1757" i="12"/>
  <c r="X1761" i="12"/>
  <c r="X1765" i="12"/>
  <c r="X1769" i="12"/>
  <c r="X1773" i="12"/>
  <c r="X1777" i="12"/>
  <c r="X1781" i="12"/>
  <c r="X1785" i="12"/>
  <c r="X1789" i="12"/>
  <c r="V1795" i="12"/>
  <c r="X1800" i="12"/>
  <c r="W1804" i="12"/>
  <c r="V1808" i="12"/>
  <c r="U1812" i="12"/>
  <c r="X1816" i="12"/>
  <c r="X1820" i="12"/>
  <c r="X1824" i="12"/>
  <c r="X1828" i="12"/>
  <c r="X1832" i="12"/>
  <c r="X1836" i="12"/>
  <c r="X1840" i="12"/>
  <c r="U1843" i="12"/>
  <c r="U1846" i="12"/>
  <c r="X1848" i="12"/>
  <c r="U1853" i="12"/>
  <c r="V1857" i="12"/>
  <c r="U1861" i="12"/>
  <c r="U1865" i="12"/>
  <c r="W1871" i="12"/>
  <c r="W1875" i="12"/>
  <c r="W1879" i="12"/>
  <c r="W1883" i="12"/>
  <c r="W1887" i="12"/>
  <c r="W1891" i="12"/>
  <c r="W1895" i="12"/>
  <c r="W1899" i="12"/>
  <c r="W1903" i="12"/>
  <c r="W1907" i="12"/>
  <c r="W1911" i="12"/>
  <c r="W1915" i="12"/>
  <c r="W1919" i="12"/>
  <c r="V1924" i="12"/>
  <c r="V1932" i="12"/>
  <c r="V1940" i="12"/>
  <c r="X1688" i="12"/>
  <c r="X1692" i="12"/>
  <c r="X1696" i="12"/>
  <c r="X1700" i="12"/>
  <c r="X1704" i="12"/>
  <c r="X1708" i="12"/>
  <c r="X1712" i="12"/>
  <c r="X1716" i="12"/>
  <c r="X1720" i="12"/>
  <c r="X1724" i="12"/>
  <c r="X1728" i="12"/>
  <c r="X1732" i="12"/>
  <c r="X1736" i="12"/>
  <c r="X1740" i="12"/>
  <c r="X1744" i="12"/>
  <c r="X1748" i="12"/>
  <c r="X1752" i="12"/>
  <c r="X1756" i="12"/>
  <c r="X1760" i="12"/>
  <c r="X1764" i="12"/>
  <c r="X1768" i="12"/>
  <c r="X1772" i="12"/>
  <c r="X1776" i="12"/>
  <c r="X1780" i="12"/>
  <c r="X1784" i="12"/>
  <c r="X1788" i="12"/>
  <c r="V1792" i="12"/>
  <c r="V1796" i="12"/>
  <c r="U1800" i="12"/>
  <c r="X1804" i="12"/>
  <c r="W1808" i="12"/>
  <c r="V1812" i="12"/>
  <c r="U1816" i="12"/>
  <c r="Y1816" i="12" s="1"/>
  <c r="U1820" i="12"/>
  <c r="U1824" i="12"/>
  <c r="U1828" i="12"/>
  <c r="U1832" i="12"/>
  <c r="Y1832" i="12" s="1"/>
  <c r="U1836" i="12"/>
  <c r="U1840" i="12"/>
  <c r="V1844" i="12"/>
  <c r="V1848" i="12"/>
  <c r="X1851" i="12"/>
  <c r="W1858" i="12"/>
  <c r="W1862" i="12"/>
  <c r="X1866" i="12"/>
  <c r="W1870" i="12"/>
  <c r="W1874" i="12"/>
  <c r="W1878" i="12"/>
  <c r="W1882" i="12"/>
  <c r="W1886" i="12"/>
  <c r="W1890" i="12"/>
  <c r="W1894" i="12"/>
  <c r="W1898" i="12"/>
  <c r="W1902" i="12"/>
  <c r="W1906" i="12"/>
  <c r="W1910" i="12"/>
  <c r="W1914" i="12"/>
  <c r="W1918" i="12"/>
  <c r="X1922" i="12"/>
  <c r="X1926" i="12"/>
  <c r="X1930" i="12"/>
  <c r="X1934" i="12"/>
  <c r="X1938" i="12"/>
  <c r="V1941" i="12"/>
  <c r="V1945" i="12"/>
  <c r="V1949" i="12"/>
  <c r="V1953" i="12"/>
  <c r="V1957" i="12"/>
  <c r="W1961" i="12"/>
  <c r="W1965" i="12"/>
  <c r="V1969" i="12"/>
  <c r="X1972" i="12"/>
  <c r="W1976" i="12"/>
  <c r="U1979" i="12"/>
  <c r="W1984" i="12"/>
  <c r="U1987" i="12"/>
  <c r="W1992" i="12"/>
  <c r="U1995" i="12"/>
  <c r="W2000" i="12"/>
  <c r="U2003" i="12"/>
  <c r="U2007" i="12"/>
  <c r="X2012" i="12"/>
  <c r="W2016" i="12"/>
  <c r="U2019" i="12"/>
  <c r="U2023" i="12"/>
  <c r="X2028" i="12"/>
  <c r="W2032" i="12"/>
  <c r="U2035" i="12"/>
  <c r="X2040" i="12"/>
  <c r="W2044" i="12"/>
  <c r="W2052" i="12"/>
  <c r="V2059" i="12"/>
  <c r="U2065" i="12"/>
  <c r="U2069" i="12"/>
  <c r="U2073" i="12"/>
  <c r="U2077" i="12"/>
  <c r="U2081" i="12"/>
  <c r="U2085" i="12"/>
  <c r="U2089" i="12"/>
  <c r="U2093" i="12"/>
  <c r="V1869" i="12"/>
  <c r="X1961" i="12"/>
  <c r="X1963" i="12"/>
  <c r="X1965" i="12"/>
  <c r="W1969" i="12"/>
  <c r="V1973" i="12"/>
  <c r="X1976" i="12"/>
  <c r="W1981" i="12"/>
  <c r="X1984" i="12"/>
  <c r="W1989" i="12"/>
  <c r="X1992" i="12"/>
  <c r="W1997" i="12"/>
  <c r="X2000" i="12"/>
  <c r="W2004" i="12"/>
  <c r="W2009" i="12"/>
  <c r="V2013" i="12"/>
  <c r="X2016" i="12"/>
  <c r="W2020" i="12"/>
  <c r="W2025" i="12"/>
  <c r="V2029" i="12"/>
  <c r="X2032" i="12"/>
  <c r="W2036" i="12"/>
  <c r="U2040" i="12"/>
  <c r="U2045" i="12"/>
  <c r="U2049" i="12"/>
  <c r="U2053" i="12"/>
  <c r="U2057" i="12"/>
  <c r="W1923" i="12"/>
  <c r="W1927" i="12"/>
  <c r="W1931" i="12"/>
  <c r="W1935" i="12"/>
  <c r="W1939" i="12"/>
  <c r="W1943" i="12"/>
  <c r="W1947" i="12"/>
  <c r="W1951" i="12"/>
  <c r="W1955" i="12"/>
  <c r="X1959" i="12"/>
  <c r="V1963" i="12"/>
  <c r="V1967" i="12"/>
  <c r="V1971" i="12"/>
  <c r="V1976" i="12"/>
  <c r="X1981" i="12"/>
  <c r="V1984" i="12"/>
  <c r="X1989" i="12"/>
  <c r="V1992" i="12"/>
  <c r="X1997" i="12"/>
  <c r="V2000" i="12"/>
  <c r="U2005" i="12"/>
  <c r="X2009" i="12"/>
  <c r="V2012" i="12"/>
  <c r="V2016" i="12"/>
  <c r="U2021" i="12"/>
  <c r="X2025" i="12"/>
  <c r="V2028" i="12"/>
  <c r="V2032" i="12"/>
  <c r="U2037" i="12"/>
  <c r="V2042" i="12"/>
  <c r="V2047" i="12"/>
  <c r="V2055" i="12"/>
  <c r="U1942" i="12"/>
  <c r="U1944" i="12"/>
  <c r="U1946" i="12"/>
  <c r="U1948" i="12"/>
  <c r="U1950" i="12"/>
  <c r="U1952" i="12"/>
  <c r="U1954" i="12"/>
  <c r="U1956" i="12"/>
  <c r="X1958" i="12"/>
  <c r="V1966" i="12"/>
  <c r="V1970" i="12"/>
  <c r="U1974" i="12"/>
  <c r="X1979" i="12"/>
  <c r="V1982" i="12"/>
  <c r="X1987" i="12"/>
  <c r="V1990" i="12"/>
  <c r="X1995" i="12"/>
  <c r="V1998" i="12"/>
  <c r="X2003" i="12"/>
  <c r="X2007" i="12"/>
  <c r="V2010" i="12"/>
  <c r="U2014" i="12"/>
  <c r="X2019" i="12"/>
  <c r="X2023" i="12"/>
  <c r="V2026" i="12"/>
  <c r="U2030" i="12"/>
  <c r="X2035" i="12"/>
  <c r="U2046" i="12"/>
  <c r="W2051" i="12"/>
  <c r="U1615" i="12"/>
  <c r="U1619" i="12"/>
  <c r="U1623" i="12"/>
  <c r="U1627" i="12"/>
  <c r="U1631" i="12"/>
  <c r="U1635" i="12"/>
  <c r="U1639" i="12"/>
  <c r="U1643" i="12"/>
  <c r="V1647" i="12"/>
  <c r="X1651" i="12"/>
  <c r="X1655" i="12"/>
  <c r="X1659" i="12"/>
  <c r="X1663" i="12"/>
  <c r="X1667" i="12"/>
  <c r="X1671" i="12"/>
  <c r="X1675" i="12"/>
  <c r="X1679" i="12"/>
  <c r="X1683" i="12"/>
  <c r="X1690" i="12"/>
  <c r="X1698" i="12"/>
  <c r="X1706" i="12"/>
  <c r="X1714" i="12"/>
  <c r="V1720" i="12"/>
  <c r="V1724" i="12"/>
  <c r="V1469" i="12"/>
  <c r="V1473" i="12"/>
  <c r="V1477" i="12"/>
  <c r="V1481" i="12"/>
  <c r="V1485" i="12"/>
  <c r="V1489" i="12"/>
  <c r="V1493" i="12"/>
  <c r="V1497" i="12"/>
  <c r="V1501" i="12"/>
  <c r="W1507" i="12"/>
  <c r="U1510" i="12"/>
  <c r="U1512" i="12"/>
  <c r="U1515" i="12"/>
  <c r="X1521" i="12"/>
  <c r="W1527" i="12"/>
  <c r="V1531" i="12"/>
  <c r="X1535" i="12"/>
  <c r="U1538" i="12"/>
  <c r="W1541" i="12"/>
  <c r="V1545" i="12"/>
  <c r="V1549" i="12"/>
  <c r="U1553" i="12"/>
  <c r="U1557" i="12"/>
  <c r="X1561" i="12"/>
  <c r="X1565" i="12"/>
  <c r="W1569" i="12"/>
  <c r="W1573" i="12"/>
  <c r="W1577" i="12"/>
  <c r="W1581" i="12"/>
  <c r="W1585" i="12"/>
  <c r="W1589" i="12"/>
  <c r="W1594" i="12"/>
  <c r="X1597" i="12"/>
  <c r="W1602" i="12"/>
  <c r="X1605" i="12"/>
  <c r="W1610" i="12"/>
  <c r="X1613" i="12"/>
  <c r="X1617" i="12"/>
  <c r="X1621" i="12"/>
  <c r="X1625" i="12"/>
  <c r="X1629" i="12"/>
  <c r="X1633" i="12"/>
  <c r="X1637" i="12"/>
  <c r="X1641" i="12"/>
  <c r="W1646" i="12"/>
  <c r="U1650" i="12"/>
  <c r="X1654" i="12"/>
  <c r="X1658" i="12"/>
  <c r="X1662" i="12"/>
  <c r="X1666" i="12"/>
  <c r="X1670" i="12"/>
  <c r="X1674" i="12"/>
  <c r="X1678" i="12"/>
  <c r="X1682" i="12"/>
  <c r="V1688" i="12"/>
  <c r="V1696" i="12"/>
  <c r="V1704" i="12"/>
  <c r="V1712" i="12"/>
  <c r="V1440" i="12"/>
  <c r="V1444" i="12"/>
  <c r="V1448" i="12"/>
  <c r="V1452" i="12"/>
  <c r="V1456" i="12"/>
  <c r="V1460" i="12"/>
  <c r="V1464" i="12"/>
  <c r="V1468" i="12"/>
  <c r="V1472" i="12"/>
  <c r="V1476" i="12"/>
  <c r="V1480" i="12"/>
  <c r="V1484" i="12"/>
  <c r="V1488" i="12"/>
  <c r="V1492" i="12"/>
  <c r="V1496" i="12"/>
  <c r="V1500" i="12"/>
  <c r="W1506" i="12"/>
  <c r="V1510" i="12"/>
  <c r="V1514" i="12"/>
  <c r="W1518" i="12"/>
  <c r="V1522" i="12"/>
  <c r="W1526" i="12"/>
  <c r="V1530" i="12"/>
  <c r="X1533" i="12"/>
  <c r="V1536" i="12"/>
  <c r="W1540" i="12"/>
  <c r="W1544" i="12"/>
  <c r="V1548" i="12"/>
  <c r="V1552" i="12"/>
  <c r="U1556" i="12"/>
  <c r="U1560" i="12"/>
  <c r="X1564" i="12"/>
  <c r="X1568" i="12"/>
  <c r="W1572" i="12"/>
  <c r="W1576" i="12"/>
  <c r="W1580" i="12"/>
  <c r="W1584" i="12"/>
  <c r="W1588" i="12"/>
  <c r="W1592" i="12"/>
  <c r="X1595" i="12"/>
  <c r="W1600" i="12"/>
  <c r="X1603" i="12"/>
  <c r="W1608" i="12"/>
  <c r="X1611" i="12"/>
  <c r="W1615" i="12"/>
  <c r="W1619" i="12"/>
  <c r="W1623" i="12"/>
  <c r="W1627" i="12"/>
  <c r="W1631" i="12"/>
  <c r="W1635" i="12"/>
  <c r="W1639" i="12"/>
  <c r="W1643" i="12"/>
  <c r="U1646" i="12"/>
  <c r="U1649" i="12"/>
  <c r="Y1649" i="12" s="1"/>
  <c r="X1653" i="12"/>
  <c r="X1657" i="12"/>
  <c r="X1661" i="12"/>
  <c r="X1665" i="12"/>
  <c r="X1669" i="12"/>
  <c r="X1673" i="12"/>
  <c r="X1677" i="12"/>
  <c r="X1681" i="12"/>
  <c r="W1685" i="12"/>
  <c r="W1693" i="12"/>
  <c r="W1701" i="12"/>
  <c r="W1709" i="12"/>
  <c r="W1717" i="12"/>
  <c r="X1687" i="12"/>
  <c r="X1691" i="12"/>
  <c r="X1695" i="12"/>
  <c r="X1699" i="12"/>
  <c r="X1703" i="12"/>
  <c r="X1707" i="12"/>
  <c r="X1711" i="12"/>
  <c r="X1715" i="12"/>
  <c r="X1719" i="12"/>
  <c r="X1723" i="12"/>
  <c r="X1727" i="12"/>
  <c r="X1731" i="12"/>
  <c r="X1735" i="12"/>
  <c r="X1739" i="12"/>
  <c r="X1743" i="12"/>
  <c r="X1747" i="12"/>
  <c r="X1751" i="12"/>
  <c r="X1755" i="12"/>
  <c r="X1759" i="12"/>
  <c r="X1763" i="12"/>
  <c r="X1767" i="12"/>
  <c r="X1771" i="12"/>
  <c r="X1775" i="12"/>
  <c r="X1779" i="12"/>
  <c r="X1783" i="12"/>
  <c r="X1787" i="12"/>
  <c r="W1792" i="12"/>
  <c r="X1798" i="12"/>
  <c r="W1802" i="12"/>
  <c r="V1806" i="12"/>
  <c r="U1810" i="12"/>
  <c r="X1814" i="12"/>
  <c r="X1818" i="12"/>
  <c r="X1822" i="12"/>
  <c r="X1826" i="12"/>
  <c r="X1830" i="12"/>
  <c r="X1834" i="12"/>
  <c r="X1838" i="12"/>
  <c r="W1843" i="12"/>
  <c r="U1851" i="12"/>
  <c r="W1856" i="12"/>
  <c r="V1860" i="12"/>
  <c r="V1864" i="12"/>
  <c r="X1870" i="12"/>
  <c r="X1874" i="12"/>
  <c r="X1878" i="12"/>
  <c r="X1882" i="12"/>
  <c r="X1886" i="12"/>
  <c r="X1890" i="12"/>
  <c r="X1894" i="12"/>
  <c r="X1898" i="12"/>
  <c r="X1902" i="12"/>
  <c r="X1906" i="12"/>
  <c r="X1910" i="12"/>
  <c r="X1914" i="12"/>
  <c r="X1918" i="12"/>
  <c r="V1923" i="12"/>
  <c r="V1931" i="12"/>
  <c r="V1939" i="12"/>
  <c r="U1727" i="12"/>
  <c r="U1731" i="12"/>
  <c r="U1735" i="12"/>
  <c r="U1739" i="12"/>
  <c r="U1743" i="12"/>
  <c r="U1747" i="12"/>
  <c r="U1751" i="12"/>
  <c r="U1755" i="12"/>
  <c r="U1759" i="12"/>
  <c r="U1763" i="12"/>
  <c r="U1767" i="12"/>
  <c r="U1771" i="12"/>
  <c r="U1775" i="12"/>
  <c r="U1779" i="12"/>
  <c r="U1783" i="12"/>
  <c r="U1787" i="12"/>
  <c r="U1791" i="12"/>
  <c r="U1793" i="12"/>
  <c r="U1795" i="12"/>
  <c r="U1797" i="12"/>
  <c r="X1801" i="12"/>
  <c r="W1805" i="12"/>
  <c r="V1809" i="12"/>
  <c r="U1813" i="12"/>
  <c r="X1817" i="12"/>
  <c r="X1821" i="12"/>
  <c r="X1825" i="12"/>
  <c r="X1829" i="12"/>
  <c r="X1833" i="12"/>
  <c r="X1837" i="12"/>
  <c r="X1841" i="12"/>
  <c r="X1845" i="12"/>
  <c r="X1849" i="12"/>
  <c r="X1852" i="12"/>
  <c r="U1855" i="12"/>
  <c r="U1857" i="12"/>
  <c r="W1860" i="12"/>
  <c r="W1864" i="12"/>
  <c r="V1868" i="12"/>
  <c r="W1872" i="12"/>
  <c r="W1876" i="12"/>
  <c r="W1880" i="12"/>
  <c r="W1884" i="12"/>
  <c r="W1888" i="12"/>
  <c r="W1892" i="12"/>
  <c r="W1896" i="12"/>
  <c r="W1900" i="12"/>
  <c r="W1904" i="12"/>
  <c r="W1908" i="12"/>
  <c r="W1912" i="12"/>
  <c r="W1916" i="12"/>
  <c r="W1920" i="12"/>
  <c r="U1924" i="12"/>
  <c r="U1928" i="12"/>
  <c r="U1932" i="12"/>
  <c r="U1936" i="12"/>
  <c r="U1940" i="12"/>
  <c r="U1722" i="12"/>
  <c r="U1726" i="12"/>
  <c r="U1730" i="12"/>
  <c r="U1734" i="12"/>
  <c r="U1738" i="12"/>
  <c r="U1742" i="12"/>
  <c r="U1746" i="12"/>
  <c r="U1750" i="12"/>
  <c r="U1754" i="12"/>
  <c r="U1758" i="12"/>
  <c r="U1762" i="12"/>
  <c r="U1766" i="12"/>
  <c r="U1770" i="12"/>
  <c r="U1774" i="12"/>
  <c r="U1778" i="12"/>
  <c r="U1782" i="12"/>
  <c r="U1786" i="12"/>
  <c r="U1790" i="12"/>
  <c r="V1797" i="12"/>
  <c r="U1801" i="12"/>
  <c r="X1805" i="12"/>
  <c r="W1809" i="12"/>
  <c r="V1813" i="12"/>
  <c r="U1817" i="12"/>
  <c r="U1821" i="12"/>
  <c r="U1825" i="12"/>
  <c r="U1829" i="12"/>
  <c r="U1833" i="12"/>
  <c r="U1837" i="12"/>
  <c r="U1841" i="12"/>
  <c r="U1844" i="12"/>
  <c r="X1846" i="12"/>
  <c r="U1849" i="12"/>
  <c r="V1854" i="12"/>
  <c r="V1858" i="12"/>
  <c r="V1862" i="12"/>
  <c r="V1866" i="12"/>
  <c r="X1872" i="12"/>
  <c r="X1876" i="12"/>
  <c r="X1880" i="12"/>
  <c r="X1884" i="12"/>
  <c r="X1888" i="12"/>
  <c r="X1892" i="12"/>
  <c r="X1896" i="12"/>
  <c r="X1900" i="12"/>
  <c r="X1904" i="12"/>
  <c r="X1908" i="12"/>
  <c r="X1912" i="12"/>
  <c r="X1916" i="12"/>
  <c r="X1920" i="12"/>
  <c r="V1926" i="12"/>
  <c r="V1934" i="12"/>
  <c r="U1685" i="12"/>
  <c r="U1689" i="12"/>
  <c r="U1693" i="12"/>
  <c r="U1697" i="12"/>
  <c r="U1701" i="12"/>
  <c r="Y1701" i="12" s="1"/>
  <c r="U1705" i="12"/>
  <c r="U1709" i="12"/>
  <c r="Y1709" i="12" s="1"/>
  <c r="U1713" i="12"/>
  <c r="U1717" i="12"/>
  <c r="Y1717" i="12" s="1"/>
  <c r="U1721" i="12"/>
  <c r="U1725" i="12"/>
  <c r="Y1725" i="12" s="1"/>
  <c r="U1729" i="12"/>
  <c r="U1733" i="12"/>
  <c r="Y1733" i="12" s="1"/>
  <c r="U1737" i="12"/>
  <c r="U1741" i="12"/>
  <c r="Y1741" i="12" s="1"/>
  <c r="U1745" i="12"/>
  <c r="U1749" i="12"/>
  <c r="Y1749" i="12" s="1"/>
  <c r="U1753" i="12"/>
  <c r="U1757" i="12"/>
  <c r="Y1757" i="12" s="1"/>
  <c r="U1761" i="12"/>
  <c r="U1765" i="12"/>
  <c r="Y1765" i="12" s="1"/>
  <c r="U1769" i="12"/>
  <c r="U1773" i="12"/>
  <c r="Y1773" i="12" s="1"/>
  <c r="U1777" i="12"/>
  <c r="U1781" i="12"/>
  <c r="Y1781" i="12" s="1"/>
  <c r="U1785" i="12"/>
  <c r="U1789" i="12"/>
  <c r="Y1789" i="12" s="1"/>
  <c r="W1793" i="12"/>
  <c r="W1797" i="12"/>
  <c r="V1801" i="12"/>
  <c r="U1805" i="12"/>
  <c r="X1809" i="12"/>
  <c r="W1813" i="12"/>
  <c r="V1817" i="12"/>
  <c r="V1821" i="12"/>
  <c r="V1825" i="12"/>
  <c r="V1829" i="12"/>
  <c r="V1833" i="12"/>
  <c r="V1837" i="12"/>
  <c r="V1841" i="12"/>
  <c r="V1845" i="12"/>
  <c r="V1849" i="12"/>
  <c r="U1852" i="12"/>
  <c r="X1859" i="12"/>
  <c r="X1863" i="12"/>
  <c r="U1867" i="12"/>
  <c r="X1871" i="12"/>
  <c r="X1875" i="12"/>
  <c r="X1879" i="12"/>
  <c r="X1883" i="12"/>
  <c r="X1887" i="12"/>
  <c r="X1891" i="12"/>
  <c r="X1895" i="12"/>
  <c r="X1899" i="12"/>
  <c r="X1903" i="12"/>
  <c r="X1907" i="12"/>
  <c r="X1911" i="12"/>
  <c r="X1915" i="12"/>
  <c r="X1919" i="12"/>
  <c r="U1923" i="12"/>
  <c r="U1927" i="12"/>
  <c r="U1931" i="12"/>
  <c r="U1935" i="12"/>
  <c r="U1939" i="12"/>
  <c r="V1942" i="12"/>
  <c r="V1946" i="12"/>
  <c r="V1950" i="12"/>
  <c r="V1954" i="12"/>
  <c r="U1958" i="12"/>
  <c r="W1962" i="12"/>
  <c r="W1966" i="12"/>
  <c r="W1970" i="12"/>
  <c r="U1973" i="12"/>
  <c r="X1977" i="12"/>
  <c r="V1980" i="12"/>
  <c r="X1985" i="12"/>
  <c r="V1988" i="12"/>
  <c r="X1993" i="12"/>
  <c r="V1996" i="12"/>
  <c r="X2001" i="12"/>
  <c r="V2004" i="12"/>
  <c r="V2008" i="12"/>
  <c r="U2013" i="12"/>
  <c r="X2017" i="12"/>
  <c r="V2020" i="12"/>
  <c r="V2024" i="12"/>
  <c r="U2029" i="12"/>
  <c r="X2033" i="12"/>
  <c r="V2036" i="12"/>
  <c r="U2041" i="12"/>
  <c r="V2046" i="12"/>
  <c r="V2054" i="12"/>
  <c r="V2062" i="12"/>
  <c r="V2066" i="12"/>
  <c r="V2070" i="12"/>
  <c r="V2074" i="12"/>
  <c r="V2078" i="12"/>
  <c r="V2082" i="12"/>
  <c r="V2086" i="12"/>
  <c r="V2090" i="12"/>
  <c r="W1866" i="12"/>
  <c r="V1958" i="12"/>
  <c r="U1962" i="12"/>
  <c r="U1964" i="12"/>
  <c r="X1966" i="12"/>
  <c r="X1970" i="12"/>
  <c r="W1974" i="12"/>
  <c r="U1977" i="12"/>
  <c r="W1982" i="12"/>
  <c r="U1985" i="12"/>
  <c r="W1990" i="12"/>
  <c r="U1993" i="12"/>
  <c r="W1998" i="12"/>
  <c r="U2001" i="12"/>
  <c r="X2005" i="12"/>
  <c r="W2010" i="12"/>
  <c r="W2014" i="12"/>
  <c r="U2017" i="12"/>
  <c r="X2021" i="12"/>
  <c r="W2026" i="12"/>
  <c r="W2030" i="12"/>
  <c r="U2033" i="12"/>
  <c r="X2037" i="12"/>
  <c r="V2041" i="12"/>
  <c r="X2046" i="12"/>
  <c r="X2050" i="12"/>
  <c r="X2054" i="12"/>
  <c r="W2059" i="12"/>
  <c r="W1924" i="12"/>
  <c r="W1928" i="12"/>
  <c r="W1932" i="12"/>
  <c r="W1936" i="12"/>
  <c r="W1940" i="12"/>
  <c r="W1944" i="12"/>
  <c r="W1948" i="12"/>
  <c r="W1952" i="12"/>
  <c r="W1956" i="12"/>
  <c r="X1960" i="12"/>
  <c r="V1964" i="12"/>
  <c r="W1968" i="12"/>
  <c r="W1973" i="12"/>
  <c r="V1977" i="12"/>
  <c r="U1982" i="12"/>
  <c r="V1985" i="12"/>
  <c r="U1990" i="12"/>
  <c r="V1993" i="12"/>
  <c r="U1998" i="12"/>
  <c r="V2001" i="12"/>
  <c r="V2006" i="12"/>
  <c r="U2010" i="12"/>
  <c r="W2013" i="12"/>
  <c r="V2017" i="12"/>
  <c r="V2022" i="12"/>
  <c r="U2026" i="12"/>
  <c r="W2029" i="12"/>
  <c r="V2033" i="12"/>
  <c r="W2038" i="12"/>
  <c r="X2043" i="12"/>
  <c r="W2049" i="12"/>
  <c r="W2057" i="12"/>
  <c r="X1942" i="12"/>
  <c r="X1944" i="12"/>
  <c r="X1946" i="12"/>
  <c r="X1948" i="12"/>
  <c r="X1950" i="12"/>
  <c r="X1952" i="12"/>
  <c r="X1954" i="12"/>
  <c r="X1956" i="12"/>
  <c r="U1959" i="12"/>
  <c r="W1967" i="12"/>
  <c r="W1971" i="12"/>
  <c r="V1975" i="12"/>
  <c r="U1980" i="12"/>
  <c r="V1983" i="12"/>
  <c r="U1988" i="12"/>
  <c r="V1991" i="12"/>
  <c r="U1996" i="12"/>
  <c r="V1999" i="12"/>
  <c r="U2004" i="12"/>
  <c r="U2008" i="12"/>
  <c r="V2011" i="12"/>
  <c r="V2015" i="12"/>
  <c r="U2020" i="12"/>
  <c r="U2024" i="12"/>
  <c r="V2027" i="12"/>
  <c r="V2031" i="12"/>
  <c r="V2037" i="12"/>
  <c r="W2047" i="12"/>
  <c r="V2052" i="12"/>
  <c r="V1616" i="12"/>
  <c r="V1620" i="12"/>
  <c r="V1624" i="12"/>
  <c r="V1628" i="12"/>
  <c r="V1632" i="12"/>
  <c r="V1636" i="12"/>
  <c r="V1640" i="12"/>
  <c r="V1644" i="12"/>
  <c r="W1648" i="12"/>
  <c r="U1652" i="12"/>
  <c r="U1656" i="12"/>
  <c r="U1660" i="12"/>
  <c r="U1664" i="12"/>
  <c r="U1668" i="12"/>
  <c r="U1672" i="12"/>
  <c r="U1676" i="12"/>
  <c r="U1680" i="12"/>
  <c r="V1684" i="12"/>
  <c r="U1691" i="12"/>
  <c r="U1699" i="12"/>
  <c r="U1707" i="12"/>
  <c r="U1715" i="12"/>
  <c r="W1721" i="12"/>
  <c r="W1466" i="12"/>
  <c r="W1470" i="12"/>
  <c r="W1474" i="12"/>
  <c r="W1478" i="12"/>
  <c r="W1482" i="12"/>
  <c r="W1486" i="12"/>
  <c r="W1490" i="12"/>
  <c r="W1494" i="12"/>
  <c r="W1498" i="12"/>
  <c r="V1502" i="12"/>
  <c r="X1508" i="12"/>
  <c r="X1510" i="12"/>
  <c r="X1512" i="12"/>
  <c r="V1516" i="12"/>
  <c r="U1522" i="12"/>
  <c r="Y1522" i="12" s="1"/>
  <c r="X1528" i="12"/>
  <c r="W1532" i="12"/>
  <c r="U1536" i="12"/>
  <c r="X1538" i="12"/>
  <c r="X1542" i="12"/>
  <c r="W1546" i="12"/>
  <c r="W1550" i="12"/>
  <c r="V1554" i="12"/>
  <c r="V1558" i="12"/>
  <c r="U1562" i="12"/>
  <c r="U1566" i="12"/>
  <c r="X1570" i="12"/>
  <c r="X1574" i="12"/>
  <c r="X1578" i="12"/>
  <c r="X1582" i="12"/>
  <c r="X1586" i="12"/>
  <c r="X1590" i="12"/>
  <c r="W1595" i="12"/>
  <c r="U1598" i="12"/>
  <c r="W1603" i="12"/>
  <c r="U1606" i="12"/>
  <c r="W1611" i="12"/>
  <c r="U1614" i="12"/>
  <c r="U1618" i="12"/>
  <c r="U1622" i="12"/>
  <c r="U1626" i="12"/>
  <c r="U1630" i="12"/>
  <c r="U1634" i="12"/>
  <c r="U1638" i="12"/>
  <c r="U1642" i="12"/>
  <c r="W1647" i="12"/>
  <c r="U1651" i="12"/>
  <c r="U1655" i="12"/>
  <c r="U1659" i="12"/>
  <c r="U1663" i="12"/>
  <c r="U1667" i="12"/>
  <c r="U1671" i="12"/>
  <c r="U1675" i="12"/>
  <c r="U1679" i="12"/>
  <c r="U1683" i="12"/>
  <c r="V1691" i="12"/>
  <c r="V1699" i="12"/>
  <c r="V1707" i="12"/>
  <c r="V1715" i="12"/>
  <c r="W1441" i="12"/>
  <c r="W1445" i="12"/>
  <c r="W1449" i="12"/>
  <c r="W1453" i="12"/>
  <c r="W1457" i="12"/>
  <c r="W1461" i="12"/>
  <c r="W1465" i="12"/>
  <c r="W1469" i="12"/>
  <c r="W1473" i="12"/>
  <c r="W1477" i="12"/>
  <c r="W1481" i="12"/>
  <c r="W1485" i="12"/>
  <c r="W1489" i="12"/>
  <c r="W1493" i="12"/>
  <c r="W1497" i="12"/>
  <c r="W1503" i="12"/>
  <c r="X1507" i="12"/>
  <c r="V1511" i="12"/>
  <c r="V1515" i="12"/>
  <c r="X1519" i="12"/>
  <c r="W1523" i="12"/>
  <c r="X1527" i="12"/>
  <c r="W1531" i="12"/>
  <c r="U1534" i="12"/>
  <c r="V1537" i="12"/>
  <c r="X1541" i="12"/>
  <c r="W1545" i="12"/>
  <c r="W1549" i="12"/>
  <c r="V1553" i="12"/>
  <c r="V1557" i="12"/>
  <c r="U1561" i="12"/>
  <c r="U1565" i="12"/>
  <c r="Y1565" i="12" s="1"/>
  <c r="X1569" i="12"/>
  <c r="X1573" i="12"/>
  <c r="X1577" i="12"/>
  <c r="X1581" i="12"/>
  <c r="X1585" i="12"/>
  <c r="X1589" i="12"/>
  <c r="W1593" i="12"/>
  <c r="U1596" i="12"/>
  <c r="Y1596" i="12" s="1"/>
  <c r="W1601" i="12"/>
  <c r="U1604" i="12"/>
  <c r="Y1604" i="12" s="1"/>
  <c r="W1609" i="12"/>
  <c r="U1612" i="12"/>
  <c r="Y1612" i="12" s="1"/>
  <c r="X1616" i="12"/>
  <c r="X1620" i="12"/>
  <c r="X1624" i="12"/>
  <c r="X1628" i="12"/>
  <c r="X1632" i="12"/>
  <c r="X1636" i="12"/>
  <c r="X1640" i="12"/>
  <c r="X1644" i="12"/>
  <c r="X1646" i="12"/>
  <c r="V1650" i="12"/>
  <c r="U1654" i="12"/>
  <c r="Y1654" i="12" s="1"/>
  <c r="U1658" i="12"/>
  <c r="U1662" i="12"/>
  <c r="U1666" i="12"/>
  <c r="Y1666" i="12" s="1"/>
  <c r="U1670" i="12"/>
  <c r="U1674" i="12"/>
  <c r="Y1674" i="12" s="1"/>
  <c r="U1678" i="12"/>
  <c r="Y1678" i="12" s="1"/>
  <c r="U1682" i="12"/>
  <c r="W1688" i="12"/>
  <c r="W1696" i="12"/>
  <c r="W1704" i="12"/>
  <c r="W1712" i="12"/>
  <c r="U1684" i="12"/>
  <c r="U1688" i="12"/>
  <c r="Y1688" i="12" s="1"/>
  <c r="U1692" i="12"/>
  <c r="U1696" i="12"/>
  <c r="U1700" i="12"/>
  <c r="U1704" i="12"/>
  <c r="Y1704" i="12" s="1"/>
  <c r="U1708" i="12"/>
  <c r="U1712" i="12"/>
  <c r="Y1712" i="12" s="1"/>
  <c r="U1716" i="12"/>
  <c r="U1720" i="12"/>
  <c r="Y1720" i="12" s="1"/>
  <c r="U1724" i="12"/>
  <c r="U1728" i="12"/>
  <c r="Y1728" i="12" s="1"/>
  <c r="U1732" i="12"/>
  <c r="U1736" i="12"/>
  <c r="Y1736" i="12" s="1"/>
  <c r="U1740" i="12"/>
  <c r="U1744" i="12"/>
  <c r="Y1744" i="12" s="1"/>
  <c r="U1748" i="12"/>
  <c r="U1752" i="12"/>
  <c r="Y1752" i="12" s="1"/>
  <c r="U1756" i="12"/>
  <c r="U1760" i="12"/>
  <c r="Y1760" i="12" s="1"/>
  <c r="U1764" i="12"/>
  <c r="U1768" i="12"/>
  <c r="Y1768" i="12" s="1"/>
  <c r="U1772" i="12"/>
  <c r="U1776" i="12"/>
  <c r="Y1776" i="12" s="1"/>
  <c r="U1780" i="12"/>
  <c r="U1784" i="12"/>
  <c r="Y1784" i="12" s="1"/>
  <c r="U1788" i="12"/>
  <c r="W1794" i="12"/>
  <c r="U1799" i="12"/>
  <c r="X1803" i="12"/>
  <c r="W1807" i="12"/>
  <c r="V1811" i="12"/>
  <c r="U1815" i="12"/>
  <c r="U1819" i="12"/>
  <c r="Y1819" i="12" s="1"/>
  <c r="U1823" i="12"/>
  <c r="U1827" i="12"/>
  <c r="Y1827" i="12" s="1"/>
  <c r="U1831" i="12"/>
  <c r="U1835" i="12"/>
  <c r="Y1835" i="12" s="1"/>
  <c r="U1839" i="12"/>
  <c r="W1845" i="12"/>
  <c r="W1853" i="12"/>
  <c r="W1857" i="12"/>
  <c r="W1861" i="12"/>
  <c r="W1865" i="12"/>
  <c r="U1871" i="12"/>
  <c r="U1875" i="12"/>
  <c r="U1879" i="12"/>
  <c r="U1883" i="12"/>
  <c r="U1887" i="12"/>
  <c r="U1891" i="12"/>
  <c r="U1895" i="12"/>
  <c r="U1899" i="12"/>
  <c r="U1903" i="12"/>
  <c r="U1907" i="12"/>
  <c r="U1911" i="12"/>
  <c r="U1915" i="12"/>
  <c r="U1919" i="12"/>
  <c r="V1925" i="12"/>
  <c r="V1933" i="12"/>
  <c r="X1941" i="12"/>
  <c r="V1728" i="12"/>
  <c r="V1732" i="12"/>
  <c r="V1736" i="12"/>
  <c r="V1740" i="12"/>
  <c r="V1744" i="12"/>
  <c r="V1748" i="12"/>
  <c r="V1752" i="12"/>
  <c r="V1756" i="12"/>
  <c r="V1760" i="12"/>
  <c r="V1764" i="12"/>
  <c r="V1768" i="12"/>
  <c r="V1772" i="12"/>
  <c r="V1776" i="12"/>
  <c r="V1780" i="12"/>
  <c r="V1784" i="12"/>
  <c r="V1788" i="12"/>
  <c r="X1791" i="12"/>
  <c r="X1793" i="12"/>
  <c r="X1795" i="12"/>
  <c r="U1798" i="12"/>
  <c r="X1802" i="12"/>
  <c r="W1806" i="12"/>
  <c r="V1810" i="12"/>
  <c r="U1814" i="12"/>
  <c r="U1818" i="12"/>
  <c r="U1822" i="12"/>
  <c r="U1826" i="12"/>
  <c r="U1830" i="12"/>
  <c r="U1834" i="12"/>
  <c r="U1838" i="12"/>
  <c r="W1842" i="12"/>
  <c r="W1846" i="12"/>
  <c r="W1850" i="12"/>
  <c r="X1853" i="12"/>
  <c r="X1855" i="12"/>
  <c r="X1857" i="12"/>
  <c r="X1861" i="12"/>
  <c r="X1865" i="12"/>
  <c r="X1869" i="12"/>
  <c r="X1873" i="12"/>
  <c r="X1877" i="12"/>
  <c r="X1881" i="12"/>
  <c r="X1885" i="12"/>
  <c r="X1889" i="12"/>
  <c r="X1893" i="12"/>
  <c r="X1897" i="12"/>
  <c r="X1901" i="12"/>
  <c r="X1905" i="12"/>
  <c r="X1909" i="12"/>
  <c r="X1913" i="12"/>
  <c r="X1917" i="12"/>
  <c r="X1921" i="12"/>
  <c r="X1925" i="12"/>
  <c r="X1929" i="12"/>
  <c r="X1933" i="12"/>
  <c r="X1937" i="12"/>
  <c r="V1719" i="12"/>
  <c r="V1723" i="12"/>
  <c r="V1727" i="12"/>
  <c r="V1731" i="12"/>
  <c r="V1735" i="12"/>
  <c r="V1739" i="12"/>
  <c r="V1743" i="12"/>
  <c r="V1747" i="12"/>
  <c r="V1751" i="12"/>
  <c r="V1755" i="12"/>
  <c r="V1759" i="12"/>
  <c r="V1763" i="12"/>
  <c r="V1767" i="12"/>
  <c r="V1771" i="12"/>
  <c r="V1775" i="12"/>
  <c r="V1779" i="12"/>
  <c r="V1783" i="12"/>
  <c r="V1787" i="12"/>
  <c r="V1791" i="12"/>
  <c r="V1798" i="12"/>
  <c r="U1802" i="12"/>
  <c r="X1806" i="12"/>
  <c r="W1810" i="12"/>
  <c r="V1814" i="12"/>
  <c r="V1818" i="12"/>
  <c r="V1822" i="12"/>
  <c r="V1826" i="12"/>
  <c r="V1830" i="12"/>
  <c r="V1834" i="12"/>
  <c r="V1838" i="12"/>
  <c r="U1842" i="12"/>
  <c r="X1844" i="12"/>
  <c r="U1847" i="12"/>
  <c r="U1850" i="12"/>
  <c r="Y1850" i="12" s="1"/>
  <c r="V1855" i="12"/>
  <c r="W1859" i="12"/>
  <c r="W1863" i="12"/>
  <c r="W1868" i="12"/>
  <c r="U1873" i="12"/>
  <c r="U1877" i="12"/>
  <c r="Y1877" i="12" s="1"/>
  <c r="U1881" i="12"/>
  <c r="U1885" i="12"/>
  <c r="Y1885" i="12" s="1"/>
  <c r="U1889" i="12"/>
  <c r="U1893" i="12"/>
  <c r="Y1893" i="12" s="1"/>
  <c r="U1897" i="12"/>
  <c r="U1901" i="12"/>
  <c r="Y1901" i="12" s="1"/>
  <c r="U1905" i="12"/>
  <c r="U1909" i="12"/>
  <c r="Y1909" i="12" s="1"/>
  <c r="U1913" i="12"/>
  <c r="U1917" i="12"/>
  <c r="Y1917" i="12" s="1"/>
  <c r="U1921" i="12"/>
  <c r="V1928" i="12"/>
  <c r="V1936" i="12"/>
  <c r="V1686" i="12"/>
  <c r="V1690" i="12"/>
  <c r="V1694" i="12"/>
  <c r="V1698" i="12"/>
  <c r="V1702" i="12"/>
  <c r="V1706" i="12"/>
  <c r="V1710" i="12"/>
  <c r="V1714" i="12"/>
  <c r="V1718" i="12"/>
  <c r="V1722" i="12"/>
  <c r="V1726" i="12"/>
  <c r="V1730" i="12"/>
  <c r="V1734" i="12"/>
  <c r="V1738" i="12"/>
  <c r="V1742" i="12"/>
  <c r="V1746" i="12"/>
  <c r="V1750" i="12"/>
  <c r="V1754" i="12"/>
  <c r="V1758" i="12"/>
  <c r="V1762" i="12"/>
  <c r="V1766" i="12"/>
  <c r="V1770" i="12"/>
  <c r="V1774" i="12"/>
  <c r="V1778" i="12"/>
  <c r="V1782" i="12"/>
  <c r="V1786" i="12"/>
  <c r="V1790" i="12"/>
  <c r="V1794" i="12"/>
  <c r="W1798" i="12"/>
  <c r="V1802" i="12"/>
  <c r="U1806" i="12"/>
  <c r="X1810" i="12"/>
  <c r="W1814" i="12"/>
  <c r="W1818" i="12"/>
  <c r="W1822" i="12"/>
  <c r="W1826" i="12"/>
  <c r="W1830" i="12"/>
  <c r="W1834" i="12"/>
  <c r="W1838" i="12"/>
  <c r="V1842" i="12"/>
  <c r="V1846" i="12"/>
  <c r="V1850" i="12"/>
  <c r="W1852" i="12"/>
  <c r="U1860" i="12"/>
  <c r="U1864" i="12"/>
  <c r="X1868" i="12"/>
  <c r="U1872" i="12"/>
  <c r="U1876" i="12"/>
  <c r="U1880" i="12"/>
  <c r="U1884" i="12"/>
  <c r="U1888" i="12"/>
  <c r="U1892" i="12"/>
  <c r="U1896" i="12"/>
  <c r="U1900" i="12"/>
  <c r="U1904" i="12"/>
  <c r="U1908" i="12"/>
  <c r="U1912" i="12"/>
  <c r="U1916" i="12"/>
  <c r="U1920" i="12"/>
  <c r="X1924" i="12"/>
  <c r="X1928" i="12"/>
  <c r="X1932" i="12"/>
  <c r="X1936" i="12"/>
  <c r="X1940" i="12"/>
  <c r="V1943" i="12"/>
  <c r="V1947" i="12"/>
  <c r="V1951" i="12"/>
  <c r="V1955" i="12"/>
  <c r="V1959" i="12"/>
  <c r="W1963" i="12"/>
  <c r="X1967" i="12"/>
  <c r="X1971" i="12"/>
  <c r="V1974" i="12"/>
  <c r="U1978" i="12"/>
  <c r="V1981" i="12"/>
  <c r="U1986" i="12"/>
  <c r="V1989" i="12"/>
  <c r="U1994" i="12"/>
  <c r="V1997" i="12"/>
  <c r="U2002" i="12"/>
  <c r="W2005" i="12"/>
  <c r="V2009" i="12"/>
  <c r="V2014" i="12"/>
  <c r="U2018" i="12"/>
  <c r="W2021" i="12"/>
  <c r="V2025" i="12"/>
  <c r="V2030" i="12"/>
  <c r="U2034" i="12"/>
  <c r="W2037" i="12"/>
  <c r="W2042" i="12"/>
  <c r="W2048" i="12"/>
  <c r="W2056" i="12"/>
  <c r="W2063" i="12"/>
  <c r="W2067" i="12"/>
  <c r="W2071" i="12"/>
  <c r="W2075" i="12"/>
  <c r="W2079" i="12"/>
  <c r="W2083" i="12"/>
  <c r="W2087" i="12"/>
  <c r="W2091" i="12"/>
  <c r="X1867" i="12"/>
  <c r="W1959" i="12"/>
  <c r="X1962" i="12"/>
  <c r="X1964" i="12"/>
  <c r="U1967" i="12"/>
  <c r="U1971" i="12"/>
  <c r="X1975" i="12"/>
  <c r="V1978" i="12"/>
  <c r="X1983" i="12"/>
  <c r="V1986" i="12"/>
  <c r="X1991" i="12"/>
  <c r="V1994" i="12"/>
  <c r="X1999" i="12"/>
  <c r="V2002" i="12"/>
  <c r="U2006" i="12"/>
  <c r="X2011" i="12"/>
  <c r="X2015" i="12"/>
  <c r="V2018" i="12"/>
  <c r="U2022" i="12"/>
  <c r="X2027" i="12"/>
  <c r="X2031" i="12"/>
  <c r="V2034" i="12"/>
  <c r="U2038" i="12"/>
  <c r="W2043" i="12"/>
  <c r="U2047" i="12"/>
  <c r="U2051" i="12"/>
  <c r="U2055" i="12"/>
  <c r="W2060" i="12"/>
  <c r="W1925" i="12"/>
  <c r="W1929" i="12"/>
  <c r="W1933" i="12"/>
  <c r="W1937" i="12"/>
  <c r="W1941" i="12"/>
  <c r="W1945" i="12"/>
  <c r="W1949" i="12"/>
  <c r="W1953" i="12"/>
  <c r="W1957" i="12"/>
  <c r="U1961" i="12"/>
  <c r="V1965" i="12"/>
  <c r="X1969" i="12"/>
  <c r="X1974" i="12"/>
  <c r="W1979" i="12"/>
  <c r="X1982" i="12"/>
  <c r="W1987" i="12"/>
  <c r="X1990" i="12"/>
  <c r="W1995" i="12"/>
  <c r="X1998" i="12"/>
  <c r="W2003" i="12"/>
  <c r="W2007" i="12"/>
  <c r="X2010" i="12"/>
  <c r="X2014" i="12"/>
  <c r="W2019" i="12"/>
  <c r="W2023" i="12"/>
  <c r="X2026" i="12"/>
  <c r="X2030" i="12"/>
  <c r="W2035" i="12"/>
  <c r="V2040" i="12"/>
  <c r="U2044" i="12"/>
  <c r="V2051" i="12"/>
  <c r="X2060" i="12"/>
  <c r="U1943" i="12"/>
  <c r="U1945" i="12"/>
  <c r="Y1945" i="12" s="1"/>
  <c r="U1947" i="12"/>
  <c r="U1949" i="12"/>
  <c r="U1951" i="12"/>
  <c r="U1953" i="12"/>
  <c r="U1955" i="12"/>
  <c r="U1957" i="12"/>
  <c r="U1960" i="12"/>
  <c r="X1968" i="12"/>
  <c r="W1972" i="12"/>
  <c r="W1977" i="12"/>
  <c r="X1980" i="12"/>
  <c r="W1985" i="12"/>
  <c r="X1988" i="12"/>
  <c r="W1993" i="12"/>
  <c r="X1996" i="12"/>
  <c r="W2001" i="12"/>
  <c r="V2005" i="12"/>
  <c r="X2008" i="12"/>
  <c r="W2012" i="12"/>
  <c r="W2017" i="12"/>
  <c r="V2021" i="12"/>
  <c r="X2024" i="12"/>
  <c r="W2028" i="12"/>
  <c r="W2033" i="12"/>
  <c r="X2038" i="12"/>
  <c r="V2048" i="12"/>
  <c r="U2054" i="12"/>
  <c r="W2055" i="12"/>
  <c r="X2061" i="12"/>
  <c r="V2060" i="12"/>
  <c r="V2064" i="12"/>
  <c r="V2068" i="12"/>
  <c r="V2072" i="12"/>
  <c r="V2076" i="12"/>
  <c r="V2080" i="12"/>
  <c r="V2084" i="12"/>
  <c r="V2088" i="12"/>
  <c r="V2092" i="12"/>
  <c r="V2096" i="12"/>
  <c r="V2100" i="12"/>
  <c r="V2104" i="12"/>
  <c r="V2108" i="12"/>
  <c r="V2112" i="12"/>
  <c r="V2116" i="12"/>
  <c r="V2120" i="12"/>
  <c r="V2124" i="12"/>
  <c r="V2128" i="12"/>
  <c r="V2132" i="12"/>
  <c r="V2136" i="12"/>
  <c r="V2140" i="12"/>
  <c r="V2144" i="12"/>
  <c r="V2148" i="12"/>
  <c r="U2152" i="12"/>
  <c r="X2155" i="12"/>
  <c r="V2159" i="12"/>
  <c r="V2164" i="12"/>
  <c r="U2168" i="12"/>
  <c r="W2172" i="12"/>
  <c r="W2176" i="12"/>
  <c r="W2180" i="12"/>
  <c r="V2184" i="12"/>
  <c r="V2188" i="12"/>
  <c r="V2192" i="12"/>
  <c r="V2196" i="12"/>
  <c r="V2200" i="12"/>
  <c r="V2204" i="12"/>
  <c r="V2208" i="12"/>
  <c r="V2212" i="12"/>
  <c r="V2219" i="12"/>
  <c r="V2227" i="12"/>
  <c r="V2235" i="12"/>
  <c r="V2243" i="12"/>
  <c r="V2251" i="12"/>
  <c r="V2259" i="12"/>
  <c r="U2265" i="12"/>
  <c r="W2269" i="12"/>
  <c r="X2277" i="12"/>
  <c r="X2281" i="12"/>
  <c r="X2285" i="12"/>
  <c r="W2289" i="12"/>
  <c r="W2293" i="12"/>
  <c r="W2297" i="12"/>
  <c r="W2301" i="12"/>
  <c r="W2305" i="12"/>
  <c r="W2309" i="12"/>
  <c r="X2313" i="12"/>
  <c r="X2317" i="12"/>
  <c r="X2322" i="12"/>
  <c r="W2326" i="12"/>
  <c r="W2064" i="12"/>
  <c r="W2068" i="12"/>
  <c r="W2072" i="12"/>
  <c r="W2076" i="12"/>
  <c r="W2080" i="12"/>
  <c r="W2084" i="12"/>
  <c r="W2088" i="12"/>
  <c r="W2092" i="12"/>
  <c r="W2096" i="12"/>
  <c r="W2100" i="12"/>
  <c r="W2104" i="12"/>
  <c r="W2108" i="12"/>
  <c r="W2112" i="12"/>
  <c r="W2116" i="12"/>
  <c r="W2120" i="12"/>
  <c r="W2124" i="12"/>
  <c r="W2128" i="12"/>
  <c r="W2132" i="12"/>
  <c r="W2136" i="12"/>
  <c r="W2140" i="12"/>
  <c r="W2144" i="12"/>
  <c r="W2148" i="12"/>
  <c r="U2151" i="12"/>
  <c r="U2155" i="12"/>
  <c r="W2160" i="12"/>
  <c r="W2164" i="12"/>
  <c r="U2167" i="12"/>
  <c r="U2171" i="12"/>
  <c r="U2174" i="12"/>
  <c r="X2176" i="12"/>
  <c r="U2179" i="12"/>
  <c r="U2182" i="12"/>
  <c r="U2186" i="12"/>
  <c r="U2190" i="12"/>
  <c r="U2194" i="12"/>
  <c r="U2198" i="12"/>
  <c r="U2202" i="12"/>
  <c r="U2206" i="12"/>
  <c r="U2210" i="12"/>
  <c r="U2214" i="12"/>
  <c r="U2218" i="12"/>
  <c r="U2222" i="12"/>
  <c r="U2226" i="12"/>
  <c r="U2230" i="12"/>
  <c r="U2234" i="12"/>
  <c r="U2238" i="12"/>
  <c r="U2242" i="12"/>
  <c r="U2246" i="12"/>
  <c r="U2250" i="12"/>
  <c r="U2254" i="12"/>
  <c r="U2258" i="12"/>
  <c r="U2262" i="12"/>
  <c r="V2266" i="12"/>
  <c r="X2272" i="12"/>
  <c r="W2278" i="12"/>
  <c r="W2286" i="12"/>
  <c r="W2331" i="12"/>
  <c r="V2094" i="12"/>
  <c r="V2098" i="12"/>
  <c r="V2102" i="12"/>
  <c r="V2106" i="12"/>
  <c r="V2110" i="12"/>
  <c r="V2114" i="12"/>
  <c r="V2118" i="12"/>
  <c r="V2122" i="12"/>
  <c r="V2126" i="12"/>
  <c r="V2130" i="12"/>
  <c r="V2134" i="12"/>
  <c r="V2138" i="12"/>
  <c r="V2142" i="12"/>
  <c r="V2146" i="12"/>
  <c r="V2150" i="12"/>
  <c r="V2155" i="12"/>
  <c r="X2159" i="12"/>
  <c r="X2162" i="12"/>
  <c r="V2166" i="12"/>
  <c r="U2170" i="12"/>
  <c r="V2174" i="12"/>
  <c r="V2178" i="12"/>
  <c r="V2182" i="12"/>
  <c r="V2186" i="12"/>
  <c r="V2190" i="12"/>
  <c r="V2194" i="12"/>
  <c r="V2198" i="12"/>
  <c r="V2202" i="12"/>
  <c r="V2206" i="12"/>
  <c r="V2210" i="12"/>
  <c r="W2214" i="12"/>
  <c r="W2222" i="12"/>
  <c r="W2230" i="12"/>
  <c r="W2238" i="12"/>
  <c r="W2246" i="12"/>
  <c r="W2254" i="12"/>
  <c r="W2262" i="12"/>
  <c r="X2270" i="12"/>
  <c r="U2275" i="12"/>
  <c r="U2279" i="12"/>
  <c r="U2283" i="12"/>
  <c r="U2287" i="12"/>
  <c r="V2337" i="12"/>
  <c r="W2039" i="12"/>
  <c r="X2042" i="12"/>
  <c r="W2046" i="12"/>
  <c r="W2050" i="12"/>
  <c r="W2054" i="12"/>
  <c r="W2058" i="12"/>
  <c r="W2062" i="12"/>
  <c r="W2066" i="12"/>
  <c r="W2070" i="12"/>
  <c r="W2074" i="12"/>
  <c r="W2078" i="12"/>
  <c r="W2082" i="12"/>
  <c r="W2086" i="12"/>
  <c r="W2090" i="12"/>
  <c r="W2094" i="12"/>
  <c r="W2098" i="12"/>
  <c r="W2102" i="12"/>
  <c r="W2106" i="12"/>
  <c r="W2110" i="12"/>
  <c r="W2114" i="12"/>
  <c r="W2118" i="12"/>
  <c r="W2122" i="12"/>
  <c r="W2126" i="12"/>
  <c r="W2130" i="12"/>
  <c r="W2134" i="12"/>
  <c r="W2138" i="12"/>
  <c r="W2142" i="12"/>
  <c r="X2147" i="12"/>
  <c r="W2153" i="12"/>
  <c r="U2158" i="12"/>
  <c r="U2163" i="12"/>
  <c r="U2169" i="12"/>
  <c r="V2177" i="12"/>
  <c r="V2185" i="12"/>
  <c r="W2190" i="12"/>
  <c r="X2195" i="12"/>
  <c r="V2201" i="12"/>
  <c r="W2206" i="12"/>
  <c r="X2211" i="12"/>
  <c r="V2217" i="12"/>
  <c r="X2222" i="12"/>
  <c r="U2227" i="12"/>
  <c r="V2233" i="12"/>
  <c r="X2238" i="12"/>
  <c r="U2243" i="12"/>
  <c r="V2249" i="12"/>
  <c r="X2254" i="12"/>
  <c r="U2259" i="12"/>
  <c r="X2266" i="12"/>
  <c r="W2275" i="12"/>
  <c r="W2285" i="12"/>
  <c r="U2344" i="12"/>
  <c r="U2349" i="12"/>
  <c r="V2354" i="12"/>
  <c r="X2360" i="12"/>
  <c r="U2364" i="12"/>
  <c r="U2370" i="12"/>
  <c r="W2381" i="12"/>
  <c r="V2391" i="12"/>
  <c r="V2439" i="12"/>
  <c r="W2445" i="12"/>
  <c r="W2450" i="12"/>
  <c r="V2457" i="12"/>
  <c r="W2610" i="12"/>
  <c r="W2631" i="12"/>
  <c r="X2653" i="12"/>
  <c r="X2298" i="12"/>
  <c r="U2309" i="12"/>
  <c r="U2326" i="12"/>
  <c r="U2347" i="12"/>
  <c r="X2368" i="12"/>
  <c r="V2396" i="12"/>
  <c r="V2516" i="12"/>
  <c r="V2287" i="12"/>
  <c r="V2308" i="12"/>
  <c r="X2330" i="12"/>
  <c r="V2352" i="12"/>
  <c r="V2376" i="12"/>
  <c r="U2416" i="12"/>
  <c r="X2228" i="12"/>
  <c r="U2249" i="12"/>
  <c r="U2315" i="12"/>
  <c r="W2348" i="12"/>
  <c r="W2424" i="12"/>
  <c r="W2401" i="12"/>
  <c r="V2452" i="12"/>
  <c r="W2389" i="12"/>
  <c r="V2455" i="12"/>
  <c r="V2383" i="12"/>
  <c r="V2445" i="12"/>
  <c r="U2468" i="12"/>
  <c r="X2564" i="12"/>
  <c r="U2518" i="12"/>
  <c r="V2056" i="12"/>
  <c r="U2062" i="12"/>
  <c r="W2061" i="12"/>
  <c r="W2065" i="12"/>
  <c r="W2069" i="12"/>
  <c r="W2073" i="12"/>
  <c r="W2077" i="12"/>
  <c r="W2081" i="12"/>
  <c r="W2085" i="12"/>
  <c r="W2089" i="12"/>
  <c r="W2093" i="12"/>
  <c r="W2097" i="12"/>
  <c r="W2101" i="12"/>
  <c r="W2105" i="12"/>
  <c r="W2109" i="12"/>
  <c r="W2113" i="12"/>
  <c r="W2117" i="12"/>
  <c r="W2121" i="12"/>
  <c r="W2125" i="12"/>
  <c r="W2129" i="12"/>
  <c r="W2133" i="12"/>
  <c r="W2137" i="12"/>
  <c r="W2141" i="12"/>
  <c r="W2145" i="12"/>
  <c r="W2149" i="12"/>
  <c r="X2152" i="12"/>
  <c r="X2156" i="12"/>
  <c r="V2161" i="12"/>
  <c r="W2165" i="12"/>
  <c r="V2169" i="12"/>
  <c r="W2173" i="12"/>
  <c r="W2177" i="12"/>
  <c r="W2181" i="12"/>
  <c r="W2185" i="12"/>
  <c r="W2189" i="12"/>
  <c r="W2193" i="12"/>
  <c r="W2197" i="12"/>
  <c r="W2201" i="12"/>
  <c r="W2205" i="12"/>
  <c r="W2209" i="12"/>
  <c r="W2213" i="12"/>
  <c r="W2221" i="12"/>
  <c r="W2229" i="12"/>
  <c r="W2237" i="12"/>
  <c r="W2245" i="12"/>
  <c r="W2253" i="12"/>
  <c r="W2261" i="12"/>
  <c r="U2266" i="12"/>
  <c r="V2272" i="12"/>
  <c r="U2278" i="12"/>
  <c r="U2282" i="12"/>
  <c r="U2286" i="12"/>
  <c r="W2290" i="12"/>
  <c r="W2294" i="12"/>
  <c r="W2298" i="12"/>
  <c r="W2302" i="12"/>
  <c r="W2306" i="12"/>
  <c r="W2310" i="12"/>
  <c r="U2314" i="12"/>
  <c r="U2318" i="12"/>
  <c r="U2323" i="12"/>
  <c r="X2327" i="12"/>
  <c r="X2065" i="12"/>
  <c r="X2069" i="12"/>
  <c r="X2073" i="12"/>
  <c r="X2077" i="12"/>
  <c r="X2081" i="12"/>
  <c r="X2085" i="12"/>
  <c r="X2089" i="12"/>
  <c r="X2093" i="12"/>
  <c r="X2097" i="12"/>
  <c r="X2101" i="12"/>
  <c r="X2105" i="12"/>
  <c r="X2109" i="12"/>
  <c r="X2113" i="12"/>
  <c r="X2117" i="12"/>
  <c r="X2121" i="12"/>
  <c r="X2125" i="12"/>
  <c r="X2129" i="12"/>
  <c r="X2133" i="12"/>
  <c r="X2137" i="12"/>
  <c r="X2141" i="12"/>
  <c r="X2145" i="12"/>
  <c r="X2149" i="12"/>
  <c r="V2152" i="12"/>
  <c r="U2156" i="12"/>
  <c r="W2161" i="12"/>
  <c r="X2165" i="12"/>
  <c r="V2168" i="12"/>
  <c r="X2171" i="12"/>
  <c r="X2174" i="12"/>
  <c r="X2177" i="12"/>
  <c r="X2179" i="12"/>
  <c r="V2183" i="12"/>
  <c r="V2187" i="12"/>
  <c r="V2191" i="12"/>
  <c r="V2195" i="12"/>
  <c r="V2199" i="12"/>
  <c r="V2203" i="12"/>
  <c r="V2207" i="12"/>
  <c r="V2211" i="12"/>
  <c r="X2215" i="12"/>
  <c r="X2219" i="12"/>
  <c r="X2223" i="12"/>
  <c r="X2227" i="12"/>
  <c r="X2231" i="12"/>
  <c r="X2235" i="12"/>
  <c r="X2239" i="12"/>
  <c r="X2243" i="12"/>
  <c r="X2247" i="12"/>
  <c r="X2251" i="12"/>
  <c r="X2255" i="12"/>
  <c r="X2259" i="12"/>
  <c r="X2263" i="12"/>
  <c r="W2267" i="12"/>
  <c r="U2273" i="12"/>
  <c r="W2280" i="12"/>
  <c r="X2328" i="12"/>
  <c r="W2332" i="12"/>
  <c r="W2095" i="12"/>
  <c r="W2099" i="12"/>
  <c r="W2103" i="12"/>
  <c r="W2107" i="12"/>
  <c r="W2111" i="12"/>
  <c r="W2115" i="12"/>
  <c r="W2119" i="12"/>
  <c r="W2123" i="12"/>
  <c r="W2127" i="12"/>
  <c r="W2131" i="12"/>
  <c r="W2135" i="12"/>
  <c r="W2139" i="12"/>
  <c r="W2143" i="12"/>
  <c r="W2147" i="12"/>
  <c r="V2151" i="12"/>
  <c r="V2156" i="12"/>
  <c r="U2160" i="12"/>
  <c r="X2163" i="12"/>
  <c r="V2167" i="12"/>
  <c r="V2171" i="12"/>
  <c r="V2175" i="12"/>
  <c r="V2179" i="12"/>
  <c r="W2183" i="12"/>
  <c r="W2187" i="12"/>
  <c r="W2191" i="12"/>
  <c r="W2195" i="12"/>
  <c r="W2199" i="12"/>
  <c r="W2203" i="12"/>
  <c r="W2207" i="12"/>
  <c r="W2211" i="12"/>
  <c r="V2216" i="12"/>
  <c r="V2224" i="12"/>
  <c r="V2232" i="12"/>
  <c r="V2240" i="12"/>
  <c r="V2248" i="12"/>
  <c r="V2256" i="12"/>
  <c r="V2264" i="12"/>
  <c r="U2271" i="12"/>
  <c r="X2276" i="12"/>
  <c r="X2280" i="12"/>
  <c r="X2284" i="12"/>
  <c r="X2334" i="12"/>
  <c r="W2338" i="12"/>
  <c r="W2040" i="12"/>
  <c r="U2043" i="12"/>
  <c r="Y2043" i="12" s="1"/>
  <c r="X2047" i="12"/>
  <c r="X2051" i="12"/>
  <c r="X2055" i="12"/>
  <c r="X2059" i="12"/>
  <c r="X2063" i="12"/>
  <c r="X2067" i="12"/>
  <c r="X2071" i="12"/>
  <c r="X2075" i="12"/>
  <c r="X2079" i="12"/>
  <c r="X2083" i="12"/>
  <c r="X2087" i="12"/>
  <c r="X2091" i="12"/>
  <c r="X2095" i="12"/>
  <c r="X2099" i="12"/>
  <c r="X2103" i="12"/>
  <c r="X2107" i="12"/>
  <c r="X2111" i="12"/>
  <c r="X2115" i="12"/>
  <c r="X2119" i="12"/>
  <c r="X2123" i="12"/>
  <c r="X2127" i="12"/>
  <c r="X2131" i="12"/>
  <c r="X2135" i="12"/>
  <c r="X2139" i="12"/>
  <c r="X2143" i="12"/>
  <c r="U2148" i="12"/>
  <c r="W2154" i="12"/>
  <c r="U2159" i="12"/>
  <c r="U2164" i="12"/>
  <c r="V2170" i="12"/>
  <c r="V2181" i="12"/>
  <c r="W2186" i="12"/>
  <c r="X2191" i="12"/>
  <c r="V2197" i="12"/>
  <c r="W2202" i="12"/>
  <c r="X2207" i="12"/>
  <c r="V2213" i="12"/>
  <c r="X2218" i="12"/>
  <c r="U2223" i="12"/>
  <c r="V2229" i="12"/>
  <c r="X2234" i="12"/>
  <c r="U2239" i="12"/>
  <c r="V2245" i="12"/>
  <c r="X2250" i="12"/>
  <c r="U2255" i="12"/>
  <c r="V2261" i="12"/>
  <c r="X2271" i="12"/>
  <c r="W2277" i="12"/>
  <c r="U2340" i="12"/>
  <c r="V2345" i="12"/>
  <c r="V2350" i="12"/>
  <c r="W2356" i="12"/>
  <c r="W2361" i="12"/>
  <c r="V2365" i="12"/>
  <c r="X2372" i="12"/>
  <c r="X2382" i="12"/>
  <c r="V2393" i="12"/>
  <c r="X2441" i="12"/>
  <c r="W2446" i="12"/>
  <c r="X2451" i="12"/>
  <c r="W2458" i="12"/>
  <c r="W2615" i="12"/>
  <c r="X2636" i="12"/>
  <c r="X2290" i="12"/>
  <c r="U2301" i="12"/>
  <c r="X2311" i="12"/>
  <c r="X2331" i="12"/>
  <c r="U2352" i="12"/>
  <c r="W2374" i="12"/>
  <c r="W2403" i="12"/>
  <c r="U2269" i="12"/>
  <c r="V2292" i="12"/>
  <c r="W2314" i="12"/>
  <c r="W2336" i="12"/>
  <c r="U2357" i="12"/>
  <c r="V2388" i="12"/>
  <c r="U2421" i="12"/>
  <c r="U2233" i="12"/>
  <c r="W2255" i="12"/>
  <c r="X2323" i="12"/>
  <c r="V2358" i="12"/>
  <c r="W2435" i="12"/>
  <c r="W2412" i="12"/>
  <c r="U2473" i="12"/>
  <c r="X2407" i="12"/>
  <c r="V2482" i="12"/>
  <c r="W2397" i="12"/>
  <c r="U2461" i="12"/>
  <c r="U2484" i="12"/>
  <c r="V2535" i="12"/>
  <c r="U2549" i="12"/>
  <c r="U2036" i="12"/>
  <c r="X2045" i="12"/>
  <c r="X2049" i="12"/>
  <c r="X2053" i="12"/>
  <c r="X2057" i="12"/>
  <c r="X2058" i="12"/>
  <c r="X2062" i="12"/>
  <c r="X2066" i="12"/>
  <c r="X2070" i="12"/>
  <c r="X2074" i="12"/>
  <c r="X2078" i="12"/>
  <c r="X2082" i="12"/>
  <c r="X2086" i="12"/>
  <c r="X2090" i="12"/>
  <c r="X2094" i="12"/>
  <c r="X2098" i="12"/>
  <c r="X2102" i="12"/>
  <c r="X2106" i="12"/>
  <c r="X2110" i="12"/>
  <c r="X2114" i="12"/>
  <c r="X2118" i="12"/>
  <c r="X2122" i="12"/>
  <c r="X2126" i="12"/>
  <c r="X2130" i="12"/>
  <c r="X2134" i="12"/>
  <c r="X2138" i="12"/>
  <c r="X2142" i="12"/>
  <c r="X2146" i="12"/>
  <c r="W2150" i="12"/>
  <c r="X2153" i="12"/>
  <c r="U2157" i="12"/>
  <c r="V2162" i="12"/>
  <c r="W2166" i="12"/>
  <c r="W2170" i="12"/>
  <c r="W2174" i="12"/>
  <c r="W2178" i="12"/>
  <c r="X2182" i="12"/>
  <c r="X2186" i="12"/>
  <c r="X2190" i="12"/>
  <c r="X2194" i="12"/>
  <c r="X2198" i="12"/>
  <c r="X2202" i="12"/>
  <c r="X2206" i="12"/>
  <c r="X2210" i="12"/>
  <c r="V2215" i="12"/>
  <c r="V2223" i="12"/>
  <c r="V2231" i="12"/>
  <c r="V2239" i="12"/>
  <c r="V2247" i="12"/>
  <c r="V2255" i="12"/>
  <c r="V2263" i="12"/>
  <c r="U2267" i="12"/>
  <c r="X2275" i="12"/>
  <c r="X2279" i="12"/>
  <c r="X2283" i="12"/>
  <c r="X2287" i="12"/>
  <c r="W2291" i="12"/>
  <c r="W2295" i="12"/>
  <c r="W2299" i="12"/>
  <c r="W2303" i="12"/>
  <c r="W2307" i="12"/>
  <c r="W2311" i="12"/>
  <c r="V2315" i="12"/>
  <c r="V2319" i="12"/>
  <c r="V2324" i="12"/>
  <c r="U2328" i="12"/>
  <c r="U2066" i="12"/>
  <c r="U2070" i="12"/>
  <c r="U2074" i="12"/>
  <c r="U2078" i="12"/>
  <c r="U2082" i="12"/>
  <c r="U2086" i="12"/>
  <c r="U2090" i="12"/>
  <c r="U2094" i="12"/>
  <c r="Y2094" i="12" s="1"/>
  <c r="U2098" i="12"/>
  <c r="U2102" i="12"/>
  <c r="U2106" i="12"/>
  <c r="U2110" i="12"/>
  <c r="Y2110" i="12" s="1"/>
  <c r="U2114" i="12"/>
  <c r="U2118" i="12"/>
  <c r="U2122" i="12"/>
  <c r="U2126" i="12"/>
  <c r="Y2126" i="12" s="1"/>
  <c r="U2130" i="12"/>
  <c r="U2134" i="12"/>
  <c r="U2138" i="12"/>
  <c r="U2142" i="12"/>
  <c r="Y2142" i="12" s="1"/>
  <c r="U2146" i="12"/>
  <c r="U2150" i="12"/>
  <c r="U2153" i="12"/>
  <c r="V2157" i="12"/>
  <c r="W2162" i="12"/>
  <c r="U2166" i="12"/>
  <c r="W2169" i="12"/>
  <c r="X2172" i="12"/>
  <c r="U2175" i="12"/>
  <c r="U2178" i="12"/>
  <c r="X2180" i="12"/>
  <c r="W2184" i="12"/>
  <c r="W2188" i="12"/>
  <c r="W2192" i="12"/>
  <c r="W2196" i="12"/>
  <c r="W2200" i="12"/>
  <c r="W2204" i="12"/>
  <c r="W2208" i="12"/>
  <c r="W2212" i="12"/>
  <c r="U2216" i="12"/>
  <c r="U2220" i="12"/>
  <c r="U2224" i="12"/>
  <c r="U2228" i="12"/>
  <c r="U2232" i="12"/>
  <c r="U2236" i="12"/>
  <c r="U2240" i="12"/>
  <c r="U2244" i="12"/>
  <c r="U2248" i="12"/>
  <c r="U2252" i="12"/>
  <c r="U2256" i="12"/>
  <c r="U2260" i="12"/>
  <c r="U2264" i="12"/>
  <c r="X2269" i="12"/>
  <c r="W2274" i="12"/>
  <c r="W2282" i="12"/>
  <c r="U2329" i="12"/>
  <c r="X2333" i="12"/>
  <c r="X2096" i="12"/>
  <c r="X2100" i="12"/>
  <c r="X2104" i="12"/>
  <c r="X2108" i="12"/>
  <c r="X2112" i="12"/>
  <c r="X2116" i="12"/>
  <c r="X2120" i="12"/>
  <c r="X2124" i="12"/>
  <c r="X2128" i="12"/>
  <c r="X2132" i="12"/>
  <c r="X2136" i="12"/>
  <c r="X2140" i="12"/>
  <c r="X2144" i="12"/>
  <c r="X2148" i="12"/>
  <c r="V2153" i="12"/>
  <c r="W2157" i="12"/>
  <c r="X2160" i="12"/>
  <c r="X2164" i="12"/>
  <c r="W2168" i="12"/>
  <c r="U2172" i="12"/>
  <c r="U2176" i="12"/>
  <c r="U2180" i="12"/>
  <c r="X2184" i="12"/>
  <c r="X2188" i="12"/>
  <c r="X2192" i="12"/>
  <c r="X2196" i="12"/>
  <c r="X2200" i="12"/>
  <c r="X2204" i="12"/>
  <c r="X2208" i="12"/>
  <c r="X2212" i="12"/>
  <c r="W2218" i="12"/>
  <c r="W2226" i="12"/>
  <c r="W2234" i="12"/>
  <c r="W2242" i="12"/>
  <c r="W2250" i="12"/>
  <c r="W2258" i="12"/>
  <c r="W2266" i="12"/>
  <c r="V2273" i="12"/>
  <c r="U2277" i="12"/>
  <c r="U2281" i="12"/>
  <c r="U2285" i="12"/>
  <c r="U2335" i="12"/>
  <c r="X2339" i="12"/>
  <c r="X2041" i="12"/>
  <c r="V2044" i="12"/>
  <c r="U2048" i="12"/>
  <c r="U2052" i="12"/>
  <c r="U2056" i="12"/>
  <c r="U2060" i="12"/>
  <c r="Y2060" i="12" s="1"/>
  <c r="U2064" i="12"/>
  <c r="U2068" i="12"/>
  <c r="Y2068" i="12" s="1"/>
  <c r="U2072" i="12"/>
  <c r="U2076" i="12"/>
  <c r="Y2076" i="12" s="1"/>
  <c r="U2080" i="12"/>
  <c r="U2084" i="12"/>
  <c r="Y2084" i="12" s="1"/>
  <c r="U2088" i="12"/>
  <c r="U2092" i="12"/>
  <c r="Y2092" i="12" s="1"/>
  <c r="U2096" i="12"/>
  <c r="U2100" i="12"/>
  <c r="U2104" i="12"/>
  <c r="U2108" i="12"/>
  <c r="Y2108" i="12" s="1"/>
  <c r="U2112" i="12"/>
  <c r="U2116" i="12"/>
  <c r="U2120" i="12"/>
  <c r="U2124" i="12"/>
  <c r="Y2124" i="12" s="1"/>
  <c r="U2128" i="12"/>
  <c r="U2132" i="12"/>
  <c r="U2136" i="12"/>
  <c r="U2140" i="12"/>
  <c r="Y2140" i="12" s="1"/>
  <c r="U2144" i="12"/>
  <c r="V2149" i="12"/>
  <c r="W2156" i="12"/>
  <c r="V2160" i="12"/>
  <c r="V2165" i="12"/>
  <c r="V2173" i="12"/>
  <c r="W2182" i="12"/>
  <c r="X2187" i="12"/>
  <c r="V2193" i="12"/>
  <c r="W2198" i="12"/>
  <c r="X2203" i="12"/>
  <c r="V2209" i="12"/>
  <c r="X2214" i="12"/>
  <c r="U2219" i="12"/>
  <c r="V2225" i="12"/>
  <c r="X2230" i="12"/>
  <c r="U2235" i="12"/>
  <c r="V2241" i="12"/>
  <c r="X2246" i="12"/>
  <c r="U2251" i="12"/>
  <c r="V2257" i="12"/>
  <c r="X2262" i="12"/>
  <c r="U2272" i="12"/>
  <c r="W2281" i="12"/>
  <c r="V2341" i="12"/>
  <c r="W2346" i="12"/>
  <c r="X2352" i="12"/>
  <c r="W2357" i="12"/>
  <c r="X2362" i="12"/>
  <c r="V2367" i="12"/>
  <c r="U2373" i="12"/>
  <c r="X2383" i="12"/>
  <c r="X2397" i="12"/>
  <c r="X2442" i="12"/>
  <c r="X2447" i="12"/>
  <c r="V2453" i="12"/>
  <c r="X2459" i="12"/>
  <c r="X2620" i="12"/>
  <c r="V2642" i="12"/>
  <c r="U2293" i="12"/>
  <c r="X2303" i="12"/>
  <c r="X2316" i="12"/>
  <c r="V2335" i="12"/>
  <c r="X2357" i="12"/>
  <c r="V2380" i="12"/>
  <c r="W2475" i="12"/>
  <c r="V2276" i="12"/>
  <c r="V2298" i="12"/>
  <c r="X2319" i="12"/>
  <c r="X2341" i="12"/>
  <c r="W2364" i="12"/>
  <c r="U2397" i="12"/>
  <c r="U2217" i="12"/>
  <c r="W2239" i="12"/>
  <c r="X2260" i="12"/>
  <c r="W2333" i="12"/>
  <c r="X2369" i="12"/>
  <c r="W2495" i="12"/>
  <c r="V2422" i="12"/>
  <c r="U2505" i="12"/>
  <c r="X2423" i="12"/>
  <c r="V2514" i="12"/>
  <c r="V2413" i="12"/>
  <c r="U2491" i="12"/>
  <c r="U2500" i="12"/>
  <c r="X2588" i="12"/>
  <c r="V2603" i="12"/>
  <c r="U2058" i="12"/>
  <c r="U2059" i="12"/>
  <c r="U2063" i="12"/>
  <c r="U2067" i="12"/>
  <c r="U2071" i="12"/>
  <c r="Y2071" i="12" s="1"/>
  <c r="U2075" i="12"/>
  <c r="U2079" i="12"/>
  <c r="U2083" i="12"/>
  <c r="U2087" i="12"/>
  <c r="Y2087" i="12" s="1"/>
  <c r="U2091" i="12"/>
  <c r="U2095" i="12"/>
  <c r="U2099" i="12"/>
  <c r="U2103" i="12"/>
  <c r="Y2103" i="12" s="1"/>
  <c r="U2107" i="12"/>
  <c r="U2111" i="12"/>
  <c r="U2115" i="12"/>
  <c r="U2119" i="12"/>
  <c r="Y2119" i="12" s="1"/>
  <c r="U2123" i="12"/>
  <c r="U2127" i="12"/>
  <c r="U2131" i="12"/>
  <c r="U2135" i="12"/>
  <c r="Y2135" i="12" s="1"/>
  <c r="U2139" i="12"/>
  <c r="U2143" i="12"/>
  <c r="U2147" i="12"/>
  <c r="X2151" i="12"/>
  <c r="X2154" i="12"/>
  <c r="V2158" i="12"/>
  <c r="V2163" i="12"/>
  <c r="X2167" i="12"/>
  <c r="W2171" i="12"/>
  <c r="W2175" i="12"/>
  <c r="W2179" i="12"/>
  <c r="U2183" i="12"/>
  <c r="U2187" i="12"/>
  <c r="U2191" i="12"/>
  <c r="U2195" i="12"/>
  <c r="U2199" i="12"/>
  <c r="U2203" i="12"/>
  <c r="U2207" i="12"/>
  <c r="U2211" i="12"/>
  <c r="W2217" i="12"/>
  <c r="W2225" i="12"/>
  <c r="W2233" i="12"/>
  <c r="W2241" i="12"/>
  <c r="W2249" i="12"/>
  <c r="W2257" i="12"/>
  <c r="X2264" i="12"/>
  <c r="W2268" i="12"/>
  <c r="U2276" i="12"/>
  <c r="Y2276" i="12" s="1"/>
  <c r="U2280" i="12"/>
  <c r="U2284" i="12"/>
  <c r="W2288" i="12"/>
  <c r="W2292" i="12"/>
  <c r="W2296" i="12"/>
  <c r="W2300" i="12"/>
  <c r="W2304" i="12"/>
  <c r="W2308" i="12"/>
  <c r="W2312" i="12"/>
  <c r="W2316" i="12"/>
  <c r="W2321" i="12"/>
  <c r="W2325" i="12"/>
  <c r="V2063" i="12"/>
  <c r="V2067" i="12"/>
  <c r="V2071" i="12"/>
  <c r="V2075" i="12"/>
  <c r="V2079" i="12"/>
  <c r="V2083" i="12"/>
  <c r="V2087" i="12"/>
  <c r="V2091" i="12"/>
  <c r="V2095" i="12"/>
  <c r="V2099" i="12"/>
  <c r="V2103" i="12"/>
  <c r="V2107" i="12"/>
  <c r="V2111" i="12"/>
  <c r="V2115" i="12"/>
  <c r="V2119" i="12"/>
  <c r="V2123" i="12"/>
  <c r="V2127" i="12"/>
  <c r="V2131" i="12"/>
  <c r="V2135" i="12"/>
  <c r="V2139" i="12"/>
  <c r="V2143" i="12"/>
  <c r="V2147" i="12"/>
  <c r="X2150" i="12"/>
  <c r="U2154" i="12"/>
  <c r="W2159" i="12"/>
  <c r="W2163" i="12"/>
  <c r="X2166" i="12"/>
  <c r="X2170" i="12"/>
  <c r="X2173" i="12"/>
  <c r="X2175" i="12"/>
  <c r="X2178" i="12"/>
  <c r="X2181" i="12"/>
  <c r="X2185" i="12"/>
  <c r="X2189" i="12"/>
  <c r="X2193" i="12"/>
  <c r="X2197" i="12"/>
  <c r="X2201" i="12"/>
  <c r="X2205" i="12"/>
  <c r="X2209" i="12"/>
  <c r="X2213" i="12"/>
  <c r="X2217" i="12"/>
  <c r="X2221" i="12"/>
  <c r="X2225" i="12"/>
  <c r="X2229" i="12"/>
  <c r="X2233" i="12"/>
  <c r="X2237" i="12"/>
  <c r="X2241" i="12"/>
  <c r="X2245" i="12"/>
  <c r="X2249" i="12"/>
  <c r="X2253" i="12"/>
  <c r="X2257" i="12"/>
  <c r="X2261" i="12"/>
  <c r="V2265" i="12"/>
  <c r="W2270" i="12"/>
  <c r="W2276" i="12"/>
  <c r="W2284" i="12"/>
  <c r="V2330" i="12"/>
  <c r="U2334" i="12"/>
  <c r="U2097" i="12"/>
  <c r="U2101" i="12"/>
  <c r="U2105" i="12"/>
  <c r="U2109" i="12"/>
  <c r="U2113" i="12"/>
  <c r="U2117" i="12"/>
  <c r="U2121" i="12"/>
  <c r="U2125" i="12"/>
  <c r="U2129" i="12"/>
  <c r="U2133" i="12"/>
  <c r="U2137" i="12"/>
  <c r="U2141" i="12"/>
  <c r="U2145" i="12"/>
  <c r="U2149" i="12"/>
  <c r="V2154" i="12"/>
  <c r="W2158" i="12"/>
  <c r="X2161" i="12"/>
  <c r="U2165" i="12"/>
  <c r="X2169" i="12"/>
  <c r="U2173" i="12"/>
  <c r="U2177" i="12"/>
  <c r="U2181" i="12"/>
  <c r="U2185" i="12"/>
  <c r="U2189" i="12"/>
  <c r="U2193" i="12"/>
  <c r="U2197" i="12"/>
  <c r="U2201" i="12"/>
  <c r="Y2201" i="12" s="1"/>
  <c r="U2205" i="12"/>
  <c r="U2209" i="12"/>
  <c r="U2213" i="12"/>
  <c r="V2220" i="12"/>
  <c r="V2228" i="12"/>
  <c r="V2236" i="12"/>
  <c r="V2244" i="12"/>
  <c r="V2252" i="12"/>
  <c r="V2260" i="12"/>
  <c r="X2267" i="12"/>
  <c r="X2274" i="12"/>
  <c r="X2278" i="12"/>
  <c r="X2282" i="12"/>
  <c r="X2286" i="12"/>
  <c r="V2336" i="12"/>
  <c r="V2038" i="12"/>
  <c r="U2042" i="12"/>
  <c r="Y2042" i="12" s="1"/>
  <c r="V2045" i="12"/>
  <c r="V2049" i="12"/>
  <c r="V2053" i="12"/>
  <c r="V2057" i="12"/>
  <c r="V2061" i="12"/>
  <c r="V2065" i="12"/>
  <c r="V2069" i="12"/>
  <c r="V2073" i="12"/>
  <c r="V2077" i="12"/>
  <c r="V2081" i="12"/>
  <c r="V2085" i="12"/>
  <c r="V2089" i="12"/>
  <c r="V2093" i="12"/>
  <c r="V2097" i="12"/>
  <c r="V2101" i="12"/>
  <c r="V2105" i="12"/>
  <c r="V2109" i="12"/>
  <c r="V2113" i="12"/>
  <c r="V2117" i="12"/>
  <c r="V2121" i="12"/>
  <c r="V2125" i="12"/>
  <c r="V2129" i="12"/>
  <c r="V2133" i="12"/>
  <c r="V2137" i="12"/>
  <c r="V2141" i="12"/>
  <c r="V2145" i="12"/>
  <c r="W2152" i="12"/>
  <c r="X2157" i="12"/>
  <c r="U2161" i="12"/>
  <c r="X2168" i="12"/>
  <c r="V2176" i="12"/>
  <c r="X2183" i="12"/>
  <c r="V2189" i="12"/>
  <c r="W2194" i="12"/>
  <c r="X2199" i="12"/>
  <c r="V2205" i="12"/>
  <c r="W2210" i="12"/>
  <c r="U2215" i="12"/>
  <c r="V2221" i="12"/>
  <c r="X2226" i="12"/>
  <c r="U2231" i="12"/>
  <c r="V2237" i="12"/>
  <c r="X2242" i="12"/>
  <c r="U2247" i="12"/>
  <c r="V2253" i="12"/>
  <c r="X2258" i="12"/>
  <c r="U2263" i="12"/>
  <c r="U2274" i="12"/>
  <c r="W2283" i="12"/>
  <c r="W2342" i="12"/>
  <c r="X2348" i="12"/>
  <c r="U2353" i="12"/>
  <c r="W2358" i="12"/>
  <c r="X2363" i="12"/>
  <c r="W2368" i="12"/>
  <c r="V2374" i="12"/>
  <c r="V2389" i="12"/>
  <c r="U2438" i="12"/>
  <c r="U2443" i="12"/>
  <c r="V2449" i="12"/>
  <c r="W2454" i="12"/>
  <c r="U2573" i="12"/>
  <c r="V2626" i="12"/>
  <c r="W2647" i="12"/>
  <c r="X2295" i="12"/>
  <c r="X2306" i="12"/>
  <c r="X2321" i="12"/>
  <c r="W2341" i="12"/>
  <c r="U2362" i="12"/>
  <c r="U2388" i="12"/>
  <c r="V2492" i="12"/>
  <c r="V2282" i="12"/>
  <c r="V2303" i="12"/>
  <c r="W2323" i="12"/>
  <c r="V2347" i="12"/>
  <c r="X2370" i="12"/>
  <c r="X2410" i="12"/>
  <c r="W2223" i="12"/>
  <c r="X2244" i="12"/>
  <c r="V2268" i="12"/>
  <c r="X2340" i="12"/>
  <c r="W2382" i="12"/>
  <c r="X2558" i="12"/>
  <c r="U2436" i="12"/>
  <c r="W2531" i="12"/>
  <c r="X2439" i="12"/>
  <c r="U2594" i="12"/>
  <c r="V2429" i="12"/>
  <c r="U2523" i="12"/>
  <c r="V2529" i="12"/>
  <c r="U2486" i="12"/>
  <c r="W2634" i="12"/>
  <c r="X2572" i="12"/>
  <c r="X2612" i="12"/>
  <c r="V2618" i="12"/>
  <c r="W2623" i="12"/>
  <c r="X2628" i="12"/>
  <c r="V2634" i="12"/>
  <c r="W2639" i="12"/>
  <c r="X2644" i="12"/>
  <c r="V2650" i="12"/>
  <c r="U2289" i="12"/>
  <c r="X2291" i="12"/>
  <c r="X2294" i="12"/>
  <c r="U2297" i="12"/>
  <c r="X2299" i="12"/>
  <c r="X2302" i="12"/>
  <c r="U2305" i="12"/>
  <c r="X2307" i="12"/>
  <c r="X2310" i="12"/>
  <c r="U2313" i="12"/>
  <c r="V2318" i="12"/>
  <c r="W2324" i="12"/>
  <c r="V2328" i="12"/>
  <c r="X2332" i="12"/>
  <c r="U2339" i="12"/>
  <c r="V2344" i="12"/>
  <c r="V2349" i="12"/>
  <c r="X2355" i="12"/>
  <c r="U2360" i="12"/>
  <c r="V2364" i="12"/>
  <c r="W2371" i="12"/>
  <c r="X2377" i="12"/>
  <c r="U2383" i="12"/>
  <c r="X2393" i="12"/>
  <c r="U2400" i="12"/>
  <c r="U2405" i="12"/>
  <c r="V2484" i="12"/>
  <c r="W2507" i="12"/>
  <c r="V2524" i="12"/>
  <c r="V2274" i="12"/>
  <c r="V2279" i="12"/>
  <c r="V2284" i="12"/>
  <c r="V2290" i="12"/>
  <c r="V2295" i="12"/>
  <c r="V2300" i="12"/>
  <c r="V2306" i="12"/>
  <c r="V2311" i="12"/>
  <c r="U2316" i="12"/>
  <c r="U2321" i="12"/>
  <c r="V2326" i="12"/>
  <c r="V2332" i="12"/>
  <c r="V2339" i="12"/>
  <c r="W2344" i="12"/>
  <c r="W2349" i="12"/>
  <c r="U2355" i="12"/>
  <c r="V2360" i="12"/>
  <c r="X2366" i="12"/>
  <c r="W2373" i="12"/>
  <c r="U2382" i="12"/>
  <c r="V2392" i="12"/>
  <c r="W2408" i="12"/>
  <c r="W2413" i="12"/>
  <c r="V2418" i="12"/>
  <c r="W2215" i="12"/>
  <c r="X2220" i="12"/>
  <c r="U2225" i="12"/>
  <c r="W2231" i="12"/>
  <c r="X2236" i="12"/>
  <c r="U2241" i="12"/>
  <c r="Y2241" i="12" s="1"/>
  <c r="W2247" i="12"/>
  <c r="X2252" i="12"/>
  <c r="U2257" i="12"/>
  <c r="W2263" i="12"/>
  <c r="W2272" i="12"/>
  <c r="U2319" i="12"/>
  <c r="W2328" i="12"/>
  <c r="X2336" i="12"/>
  <c r="X2344" i="12"/>
  <c r="X2353" i="12"/>
  <c r="U2365" i="12"/>
  <c r="W2376" i="12"/>
  <c r="U2391" i="12"/>
  <c r="W2430" i="12"/>
  <c r="W2471" i="12"/>
  <c r="V2512" i="12"/>
  <c r="X2599" i="12"/>
  <c r="V2406" i="12"/>
  <c r="W2417" i="12"/>
  <c r="W2428" i="12"/>
  <c r="W2444" i="12"/>
  <c r="V2460" i="12"/>
  <c r="U2489" i="12"/>
  <c r="U2521" i="12"/>
  <c r="W2587" i="12"/>
  <c r="V2399" i="12"/>
  <c r="V2415" i="12"/>
  <c r="V2431" i="12"/>
  <c r="V2447" i="12"/>
  <c r="V2466" i="12"/>
  <c r="V2498" i="12"/>
  <c r="X2551" i="12"/>
  <c r="X2376" i="12"/>
  <c r="X2390" i="12"/>
  <c r="X2405" i="12"/>
  <c r="X2421" i="12"/>
  <c r="X2437" i="12"/>
  <c r="U2453" i="12"/>
  <c r="U2475" i="12"/>
  <c r="U2507" i="12"/>
  <c r="U2603" i="12"/>
  <c r="U2476" i="12"/>
  <c r="U2492" i="12"/>
  <c r="V2513" i="12"/>
  <c r="V2545" i="12"/>
  <c r="U2595" i="12"/>
  <c r="U2562" i="12"/>
  <c r="U2470" i="12"/>
  <c r="U2502" i="12"/>
  <c r="U2534" i="12"/>
  <c r="W2575" i="12"/>
  <c r="W2618" i="12"/>
  <c r="W2650" i="12"/>
  <c r="W2595" i="12"/>
  <c r="V2628" i="12"/>
  <c r="X2540" i="12"/>
  <c r="W2573" i="12"/>
  <c r="X2605" i="12"/>
  <c r="U2638" i="12"/>
  <c r="V2614" i="12"/>
  <c r="W2619" i="12"/>
  <c r="X2624" i="12"/>
  <c r="V2630" i="12"/>
  <c r="W2635" i="12"/>
  <c r="X2640" i="12"/>
  <c r="V2646" i="12"/>
  <c r="W2651" i="12"/>
  <c r="X2289" i="12"/>
  <c r="X2292" i="12"/>
  <c r="U2295" i="12"/>
  <c r="X2297" i="12"/>
  <c r="X2300" i="12"/>
  <c r="U2303" i="12"/>
  <c r="X2305" i="12"/>
  <c r="X2308" i="12"/>
  <c r="U2311" i="12"/>
  <c r="V2314" i="12"/>
  <c r="W2320" i="12"/>
  <c r="X2325" i="12"/>
  <c r="V2329" i="12"/>
  <c r="V2334" i="12"/>
  <c r="V2340" i="12"/>
  <c r="W2345" i="12"/>
  <c r="X2351" i="12"/>
  <c r="X2356" i="12"/>
  <c r="U2361" i="12"/>
  <c r="W2366" i="12"/>
  <c r="V2373" i="12"/>
  <c r="V2378" i="12"/>
  <c r="U2385" i="12"/>
  <c r="U2394" i="12"/>
  <c r="V2401" i="12"/>
  <c r="V2468" i="12"/>
  <c r="W2491" i="12"/>
  <c r="V2508" i="12"/>
  <c r="X2268" i="12"/>
  <c r="V2275" i="12"/>
  <c r="V2280" i="12"/>
  <c r="V2286" i="12"/>
  <c r="V2291" i="12"/>
  <c r="V2296" i="12"/>
  <c r="V2302" i="12"/>
  <c r="V2307" i="12"/>
  <c r="V2312" i="12"/>
  <c r="W2318" i="12"/>
  <c r="V2322" i="12"/>
  <c r="V2327" i="12"/>
  <c r="W2335" i="12"/>
  <c r="W2340" i="12"/>
  <c r="X2345" i="12"/>
  <c r="U2351" i="12"/>
  <c r="U2356" i="12"/>
  <c r="V2361" i="12"/>
  <c r="V2369" i="12"/>
  <c r="U2375" i="12"/>
  <c r="X2385" i="12"/>
  <c r="V2395" i="12"/>
  <c r="X2409" i="12"/>
  <c r="W2414" i="12"/>
  <c r="X2420" i="12"/>
  <c r="X2216" i="12"/>
  <c r="U2221" i="12"/>
  <c r="W2227" i="12"/>
  <c r="X2232" i="12"/>
  <c r="U2237" i="12"/>
  <c r="W2243" i="12"/>
  <c r="X2248" i="12"/>
  <c r="U2253" i="12"/>
  <c r="Y2253" i="12" s="1"/>
  <c r="W2259" i="12"/>
  <c r="W2264" i="12"/>
  <c r="W2273" i="12"/>
  <c r="V2320" i="12"/>
  <c r="X2329" i="12"/>
  <c r="U2337" i="12"/>
  <c r="U2345" i="12"/>
  <c r="U2354" i="12"/>
  <c r="U2366" i="12"/>
  <c r="X2378" i="12"/>
  <c r="U2393" i="12"/>
  <c r="X2431" i="12"/>
  <c r="W2479" i="12"/>
  <c r="W2519" i="12"/>
  <c r="U2600" i="12"/>
  <c r="X2408" i="12"/>
  <c r="W2418" i="12"/>
  <c r="X2429" i="12"/>
  <c r="X2445" i="12"/>
  <c r="X2461" i="12"/>
  <c r="X2492" i="12"/>
  <c r="X2524" i="12"/>
  <c r="V2596" i="12"/>
  <c r="W2400" i="12"/>
  <c r="W2416" i="12"/>
  <c r="W2432" i="12"/>
  <c r="W2448" i="12"/>
  <c r="W2469" i="12"/>
  <c r="W2501" i="12"/>
  <c r="U2552" i="12"/>
  <c r="U2377" i="12"/>
  <c r="X2391" i="12"/>
  <c r="X2406" i="12"/>
  <c r="X2422" i="12"/>
  <c r="X2438" i="12"/>
  <c r="V2454" i="12"/>
  <c r="X2478" i="12"/>
  <c r="X2510" i="12"/>
  <c r="V2461" i="12"/>
  <c r="V2477" i="12"/>
  <c r="V2493" i="12"/>
  <c r="V2517" i="12"/>
  <c r="X2550" i="12"/>
  <c r="U2601" i="12"/>
  <c r="X2567" i="12"/>
  <c r="U2474" i="12"/>
  <c r="U2506" i="12"/>
  <c r="U2538" i="12"/>
  <c r="W2581" i="12"/>
  <c r="W2622" i="12"/>
  <c r="U2653" i="12"/>
  <c r="V2599" i="12"/>
  <c r="V2632" i="12"/>
  <c r="X2544" i="12"/>
  <c r="W2577" i="12"/>
  <c r="W2609" i="12"/>
  <c r="U2642" i="12"/>
  <c r="W2579" i="12"/>
  <c r="V2612" i="12"/>
  <c r="V2644" i="12"/>
  <c r="V2556" i="12"/>
  <c r="W2589" i="12"/>
  <c r="U2622" i="12"/>
  <c r="X2455" i="12"/>
  <c r="W2461" i="12"/>
  <c r="W2611" i="12"/>
  <c r="X2616" i="12"/>
  <c r="V2622" i="12"/>
  <c r="W2627" i="12"/>
  <c r="X2632" i="12"/>
  <c r="V2638" i="12"/>
  <c r="W2643" i="12"/>
  <c r="X2648" i="12"/>
  <c r="X2288" i="12"/>
  <c r="U2291" i="12"/>
  <c r="X2293" i="12"/>
  <c r="X2296" i="12"/>
  <c r="U2299" i="12"/>
  <c r="X2301" i="12"/>
  <c r="X2304" i="12"/>
  <c r="U2307" i="12"/>
  <c r="X2309" i="12"/>
  <c r="X2312" i="12"/>
  <c r="U2317" i="12"/>
  <c r="U2322" i="12"/>
  <c r="U2327" i="12"/>
  <c r="U2332" i="12"/>
  <c r="W2337" i="12"/>
  <c r="U2343" i="12"/>
  <c r="U2348" i="12"/>
  <c r="V2353" i="12"/>
  <c r="U2359" i="12"/>
  <c r="V2363" i="12"/>
  <c r="U2369" i="12"/>
  <c r="U2376" i="12"/>
  <c r="X2381" i="12"/>
  <c r="U2390" i="12"/>
  <c r="X2399" i="12"/>
  <c r="X2404" i="12"/>
  <c r="V2476" i="12"/>
  <c r="V2500" i="12"/>
  <c r="W2523" i="12"/>
  <c r="U2270" i="12"/>
  <c r="V2278" i="12"/>
  <c r="V2283" i="12"/>
  <c r="V2288" i="12"/>
  <c r="V2294" i="12"/>
  <c r="V2299" i="12"/>
  <c r="V2304" i="12"/>
  <c r="V2310" i="12"/>
  <c r="X2315" i="12"/>
  <c r="U2320" i="12"/>
  <c r="U2325" i="12"/>
  <c r="U2331" i="12"/>
  <c r="X2337" i="12"/>
  <c r="V2343" i="12"/>
  <c r="V2348" i="12"/>
  <c r="W2353" i="12"/>
  <c r="V2359" i="12"/>
  <c r="X2365" i="12"/>
  <c r="X2371" i="12"/>
  <c r="W2380" i="12"/>
  <c r="V2390" i="12"/>
  <c r="U2406" i="12"/>
  <c r="V2412" i="12"/>
  <c r="V2417" i="12"/>
  <c r="V2536" i="12"/>
  <c r="W2219" i="12"/>
  <c r="X2224" i="12"/>
  <c r="U2229" i="12"/>
  <c r="W2235" i="12"/>
  <c r="X2240" i="12"/>
  <c r="U2245" i="12"/>
  <c r="W2251" i="12"/>
  <c r="X2256" i="12"/>
  <c r="U2261" i="12"/>
  <c r="V2269" i="12"/>
  <c r="V2316" i="12"/>
  <c r="U2324" i="12"/>
  <c r="W2334" i="12"/>
  <c r="U2341" i="12"/>
  <c r="X2349" i="12"/>
  <c r="W2360" i="12"/>
  <c r="U2371" i="12"/>
  <c r="W2383" i="12"/>
  <c r="X2426" i="12"/>
  <c r="X2436" i="12"/>
  <c r="V2496" i="12"/>
  <c r="V2561" i="12"/>
  <c r="W2402" i="12"/>
  <c r="X2413" i="12"/>
  <c r="X2424" i="12"/>
  <c r="V2437" i="12"/>
  <c r="W2453" i="12"/>
  <c r="X2476" i="12"/>
  <c r="X2508" i="12"/>
  <c r="X2532" i="12"/>
  <c r="W2390" i="12"/>
  <c r="U2408" i="12"/>
  <c r="U2424" i="12"/>
  <c r="U2440" i="12"/>
  <c r="W2456" i="12"/>
  <c r="W2485" i="12"/>
  <c r="W2517" i="12"/>
  <c r="V2368" i="12"/>
  <c r="V2384" i="12"/>
  <c r="W2398" i="12"/>
  <c r="V2414" i="12"/>
  <c r="V2430" i="12"/>
  <c r="V2446" i="12"/>
  <c r="X2462" i="12"/>
  <c r="X2494" i="12"/>
  <c r="W2538" i="12"/>
  <c r="V2469" i="12"/>
  <c r="V2485" i="12"/>
  <c r="V2501" i="12"/>
  <c r="V2533" i="12"/>
  <c r="X2569" i="12"/>
  <c r="V2543" i="12"/>
  <c r="V2595" i="12"/>
  <c r="U2490" i="12"/>
  <c r="U2522" i="12"/>
  <c r="V2555" i="12"/>
  <c r="U2607" i="12"/>
  <c r="W2638" i="12"/>
  <c r="V2583" i="12"/>
  <c r="V2616" i="12"/>
  <c r="V2648" i="12"/>
  <c r="X2560" i="12"/>
  <c r="W2593" i="12"/>
  <c r="U2626" i="12"/>
  <c r="W2265" i="12"/>
  <c r="V2270" i="12"/>
  <c r="W2313" i="12"/>
  <c r="W2317" i="12"/>
  <c r="V2321" i="12"/>
  <c r="V2325" i="12"/>
  <c r="U2330" i="12"/>
  <c r="X2335" i="12"/>
  <c r="V2338" i="12"/>
  <c r="V2342" i="12"/>
  <c r="V2346" i="12"/>
  <c r="U2350" i="12"/>
  <c r="V2356" i="12"/>
  <c r="W2362" i="12"/>
  <c r="U2367" i="12"/>
  <c r="U2374" i="12"/>
  <c r="V2379" i="12"/>
  <c r="V2386" i="12"/>
  <c r="U2422" i="12"/>
  <c r="U2427" i="12"/>
  <c r="U2432" i="12"/>
  <c r="W2463" i="12"/>
  <c r="V2480" i="12"/>
  <c r="W2503" i="12"/>
  <c r="V2544" i="12"/>
  <c r="X2562" i="12"/>
  <c r="U2398" i="12"/>
  <c r="U2404" i="12"/>
  <c r="U2409" i="12"/>
  <c r="X2414" i="12"/>
  <c r="U2420" i="12"/>
  <c r="U2425" i="12"/>
  <c r="V2432" i="12"/>
  <c r="X2440" i="12"/>
  <c r="V2448" i="12"/>
  <c r="V2456" i="12"/>
  <c r="U2465" i="12"/>
  <c r="U2481" i="12"/>
  <c r="U2497" i="12"/>
  <c r="U2513" i="12"/>
  <c r="W2527" i="12"/>
  <c r="W2542" i="12"/>
  <c r="V2385" i="12"/>
  <c r="W2394" i="12"/>
  <c r="U2403" i="12"/>
  <c r="W2411" i="12"/>
  <c r="U2419" i="12"/>
  <c r="W2427" i="12"/>
  <c r="U2435" i="12"/>
  <c r="W2443" i="12"/>
  <c r="V2451" i="12"/>
  <c r="V2459" i="12"/>
  <c r="V2474" i="12"/>
  <c r="V2490" i="12"/>
  <c r="V2506" i="12"/>
  <c r="V2522" i="12"/>
  <c r="U2569" i="12"/>
  <c r="W2372" i="12"/>
  <c r="X2379" i="12"/>
  <c r="U2387" i="12"/>
  <c r="X2394" i="12"/>
  <c r="U2401" i="12"/>
  <c r="W2409" i="12"/>
  <c r="U2417" i="12"/>
  <c r="W2425" i="12"/>
  <c r="U2433" i="12"/>
  <c r="W2441" i="12"/>
  <c r="U2449" i="12"/>
  <c r="U2457" i="12"/>
  <c r="U2467" i="12"/>
  <c r="U2483" i="12"/>
  <c r="U2499" i="12"/>
  <c r="U2515" i="12"/>
  <c r="X2582" i="12"/>
  <c r="U2464" i="12"/>
  <c r="U2472" i="12"/>
  <c r="U2480" i="12"/>
  <c r="U2488" i="12"/>
  <c r="U2496" i="12"/>
  <c r="V2505" i="12"/>
  <c r="V2521" i="12"/>
  <c r="V2537" i="12"/>
  <c r="U2554" i="12"/>
  <c r="X2579" i="12"/>
  <c r="X2526" i="12"/>
  <c r="U2550" i="12"/>
  <c r="V2574" i="12"/>
  <c r="U2606" i="12"/>
  <c r="U2478" i="12"/>
  <c r="U2494" i="12"/>
  <c r="U2510" i="12"/>
  <c r="U2526" i="12"/>
  <c r="U2542" i="12"/>
  <c r="W2560" i="12"/>
  <c r="X2589" i="12"/>
  <c r="X2610" i="12"/>
  <c r="W2626" i="12"/>
  <c r="W2642" i="12"/>
  <c r="X2571" i="12"/>
  <c r="X2587" i="12"/>
  <c r="W2603" i="12"/>
  <c r="V2620" i="12"/>
  <c r="V2636" i="12"/>
  <c r="V2652" i="12"/>
  <c r="W2548" i="12"/>
  <c r="X2565" i="12"/>
  <c r="V2582" i="12"/>
  <c r="V2598" i="12"/>
  <c r="U2614" i="12"/>
  <c r="U2630" i="12"/>
  <c r="U2646" i="12"/>
  <c r="W2146" i="12"/>
  <c r="W2151" i="12"/>
  <c r="W2155" i="12"/>
  <c r="X2158" i="12"/>
  <c r="U2162" i="12"/>
  <c r="W2167" i="12"/>
  <c r="V2172" i="12"/>
  <c r="V2180" i="12"/>
  <c r="U2184" i="12"/>
  <c r="U2188" i="12"/>
  <c r="Y2188" i="12" s="1"/>
  <c r="U2192" i="12"/>
  <c r="U2196" i="12"/>
  <c r="U2200" i="12"/>
  <c r="U2204" i="12"/>
  <c r="Y2204" i="12" s="1"/>
  <c r="U2208" i="12"/>
  <c r="U2212" i="12"/>
  <c r="W2216" i="12"/>
  <c r="W2220" i="12"/>
  <c r="W2224" i="12"/>
  <c r="W2228" i="12"/>
  <c r="W2232" i="12"/>
  <c r="W2236" i="12"/>
  <c r="W2240" i="12"/>
  <c r="W2244" i="12"/>
  <c r="W2248" i="12"/>
  <c r="W2252" i="12"/>
  <c r="W2256" i="12"/>
  <c r="W2260" i="12"/>
  <c r="X2265" i="12"/>
  <c r="X2273" i="12"/>
  <c r="W2279" i="12"/>
  <c r="W2287" i="12"/>
  <c r="X2343" i="12"/>
  <c r="X2347" i="12"/>
  <c r="W2351" i="12"/>
  <c r="W2355" i="12"/>
  <c r="X2359" i="12"/>
  <c r="U2363" i="12"/>
  <c r="V2366" i="12"/>
  <c r="V2371" i="12"/>
  <c r="W2377" i="12"/>
  <c r="W2384" i="12"/>
  <c r="U2396" i="12"/>
  <c r="W2440" i="12"/>
  <c r="V2444" i="12"/>
  <c r="U2448" i="12"/>
  <c r="U2452" i="12"/>
  <c r="U2456" i="12"/>
  <c r="U2460" i="12"/>
  <c r="X2609" i="12"/>
  <c r="U2613" i="12"/>
  <c r="U2617" i="12"/>
  <c r="U2621" i="12"/>
  <c r="U2625" i="12"/>
  <c r="U2629" i="12"/>
  <c r="U2633" i="12"/>
  <c r="U2637" i="12"/>
  <c r="U2641" i="12"/>
  <c r="U2645" i="12"/>
  <c r="U2649" i="12"/>
  <c r="U2288" i="12"/>
  <c r="U2290" i="12"/>
  <c r="U2292" i="12"/>
  <c r="U2294" i="12"/>
  <c r="U2296" i="12"/>
  <c r="Y2296" i="12" s="1"/>
  <c r="U2298" i="12"/>
  <c r="U2300" i="12"/>
  <c r="U2302" i="12"/>
  <c r="U2304" i="12"/>
  <c r="U2306" i="12"/>
  <c r="U2308" i="12"/>
  <c r="U2310" i="12"/>
  <c r="Y2310" i="12" s="1"/>
  <c r="U2312" i="12"/>
  <c r="W2315" i="12"/>
  <c r="W2319" i="12"/>
  <c r="V2323" i="12"/>
  <c r="X2326" i="12"/>
  <c r="W2330" i="12"/>
  <c r="U2333" i="12"/>
  <c r="X2338" i="12"/>
  <c r="X2342" i="12"/>
  <c r="X2346" i="12"/>
  <c r="W2350" i="12"/>
  <c r="W2354" i="12"/>
  <c r="X2358" i="12"/>
  <c r="X2361" i="12"/>
  <c r="W2365" i="12"/>
  <c r="V2370" i="12"/>
  <c r="X2375" i="12"/>
  <c r="W2379" i="12"/>
  <c r="X2384" i="12"/>
  <c r="U2392" i="12"/>
  <c r="X2398" i="12"/>
  <c r="V2402" i="12"/>
  <c r="W2467" i="12"/>
  <c r="W2483" i="12"/>
  <c r="W2499" i="12"/>
  <c r="W2515" i="12"/>
  <c r="U2268" i="12"/>
  <c r="V2271" i="12"/>
  <c r="V2277" i="12"/>
  <c r="V2281" i="12"/>
  <c r="V2285" i="12"/>
  <c r="V2289" i="12"/>
  <c r="V2293" i="12"/>
  <c r="V2297" i="12"/>
  <c r="V2301" i="12"/>
  <c r="V2305" i="12"/>
  <c r="V2309" i="12"/>
  <c r="V2313" i="12"/>
  <c r="V2317" i="12"/>
  <c r="X2320" i="12"/>
  <c r="X2324" i="12"/>
  <c r="W2329" i="12"/>
  <c r="V2333" i="12"/>
  <c r="U2338" i="12"/>
  <c r="U2342" i="12"/>
  <c r="U2346" i="12"/>
  <c r="X2350" i="12"/>
  <c r="X2354" i="12"/>
  <c r="U2358" i="12"/>
  <c r="V2362" i="12"/>
  <c r="W2367" i="12"/>
  <c r="U2372" i="12"/>
  <c r="W2378" i="12"/>
  <c r="U2386" i="12"/>
  <c r="V2394" i="12"/>
  <c r="V2407" i="12"/>
  <c r="U2411" i="12"/>
  <c r="X2415" i="12"/>
  <c r="W2419" i="12"/>
  <c r="V2214" i="12"/>
  <c r="V2218" i="12"/>
  <c r="V2222" i="12"/>
  <c r="V2226" i="12"/>
  <c r="V2230" i="12"/>
  <c r="V2234" i="12"/>
  <c r="V2238" i="12"/>
  <c r="V2242" i="12"/>
  <c r="V2246" i="12"/>
  <c r="V2250" i="12"/>
  <c r="V2254" i="12"/>
  <c r="V2258" i="12"/>
  <c r="V2262" i="12"/>
  <c r="V2267" i="12"/>
  <c r="W2271" i="12"/>
  <c r="X2314" i="12"/>
  <c r="X2318" i="12"/>
  <c r="W2322" i="12"/>
  <c r="W2327" i="12"/>
  <c r="V2331" i="12"/>
  <c r="U2336" i="12"/>
  <c r="W2339" i="12"/>
  <c r="W2343" i="12"/>
  <c r="W2347" i="12"/>
  <c r="W2352" i="12"/>
  <c r="V2357" i="12"/>
  <c r="W2363" i="12"/>
  <c r="U2368" i="12"/>
  <c r="V2375" i="12"/>
  <c r="X2380" i="12"/>
  <c r="U2389" i="12"/>
  <c r="V2423" i="12"/>
  <c r="V2428" i="12"/>
  <c r="V2434" i="12"/>
  <c r="V2464" i="12"/>
  <c r="W2487" i="12"/>
  <c r="W2511" i="12"/>
  <c r="V2557" i="12"/>
  <c r="U2563" i="12"/>
  <c r="V2400" i="12"/>
  <c r="V2405" i="12"/>
  <c r="U2410" i="12"/>
  <c r="V2416" i="12"/>
  <c r="V2421" i="12"/>
  <c r="U2426" i="12"/>
  <c r="W2433" i="12"/>
  <c r="U2441" i="12"/>
  <c r="W2449" i="12"/>
  <c r="W2457" i="12"/>
  <c r="X2468" i="12"/>
  <c r="X2484" i="12"/>
  <c r="X2500" i="12"/>
  <c r="X2516" i="12"/>
  <c r="X2528" i="12"/>
  <c r="W2555" i="12"/>
  <c r="W2386" i="12"/>
  <c r="W2395" i="12"/>
  <c r="V2404" i="12"/>
  <c r="X2412" i="12"/>
  <c r="V2420" i="12"/>
  <c r="X2428" i="12"/>
  <c r="V2436" i="12"/>
  <c r="X2444" i="12"/>
  <c r="W2452" i="12"/>
  <c r="W2460" i="12"/>
  <c r="W2477" i="12"/>
  <c r="W2493" i="12"/>
  <c r="W2509" i="12"/>
  <c r="V2540" i="12"/>
  <c r="X2576" i="12"/>
  <c r="X2373" i="12"/>
  <c r="U2380" i="12"/>
  <c r="X2387" i="12"/>
  <c r="U2395" i="12"/>
  <c r="U2402" i="12"/>
  <c r="W2410" i="12"/>
  <c r="U2418" i="12"/>
  <c r="W2426" i="12"/>
  <c r="U2434" i="12"/>
  <c r="W2442" i="12"/>
  <c r="V2450" i="12"/>
  <c r="V2458" i="12"/>
  <c r="X2470" i="12"/>
  <c r="X2486" i="12"/>
  <c r="X2502" i="12"/>
  <c r="X2518" i="12"/>
  <c r="U2583" i="12"/>
  <c r="V2465" i="12"/>
  <c r="V2473" i="12"/>
  <c r="V2481" i="12"/>
  <c r="V2489" i="12"/>
  <c r="V2497" i="12"/>
  <c r="V2509" i="12"/>
  <c r="V2525" i="12"/>
  <c r="V2541" i="12"/>
  <c r="U2558" i="12"/>
  <c r="W2588" i="12"/>
  <c r="X2530" i="12"/>
  <c r="V2558" i="12"/>
  <c r="V2580" i="12"/>
  <c r="U2466" i="12"/>
  <c r="U2482" i="12"/>
  <c r="U2498" i="12"/>
  <c r="U2514" i="12"/>
  <c r="U2530" i="12"/>
  <c r="U2546" i="12"/>
  <c r="V2566" i="12"/>
  <c r="V2602" i="12"/>
  <c r="W2614" i="12"/>
  <c r="W2630" i="12"/>
  <c r="W2646" i="12"/>
  <c r="X2575" i="12"/>
  <c r="X2591" i="12"/>
  <c r="V2608" i="12"/>
  <c r="V2624" i="12"/>
  <c r="V2640" i="12"/>
  <c r="X2536" i="12"/>
  <c r="W2552" i="12"/>
  <c r="W2569" i="12"/>
  <c r="X2585" i="12"/>
  <c r="U2602" i="12"/>
  <c r="U2618" i="12"/>
  <c r="U2634" i="12"/>
  <c r="U2650" i="12"/>
  <c r="X2430" i="12"/>
  <c r="W2434" i="12"/>
  <c r="V2438" i="12"/>
  <c r="U2442" i="12"/>
  <c r="X2446" i="12"/>
  <c r="X2450" i="12"/>
  <c r="X2454" i="12"/>
  <c r="X2458" i="12"/>
  <c r="U2462" i="12"/>
  <c r="U2469" i="12"/>
  <c r="U2477" i="12"/>
  <c r="U2485" i="12"/>
  <c r="U2493" i="12"/>
  <c r="U2501" i="12"/>
  <c r="U2509" i="12"/>
  <c r="U2517" i="12"/>
  <c r="U2525" i="12"/>
  <c r="U2529" i="12"/>
  <c r="U2533" i="12"/>
  <c r="V2579" i="12"/>
  <c r="V2597" i="12"/>
  <c r="W2387" i="12"/>
  <c r="W2391" i="12"/>
  <c r="W2396" i="12"/>
  <c r="X2401" i="12"/>
  <c r="W2405" i="12"/>
  <c r="V2409" i="12"/>
  <c r="U2413" i="12"/>
  <c r="X2417" i="12"/>
  <c r="W2421" i="12"/>
  <c r="V2425" i="12"/>
  <c r="U2429" i="12"/>
  <c r="X2433" i="12"/>
  <c r="W2437" i="12"/>
  <c r="V2441" i="12"/>
  <c r="U2445" i="12"/>
  <c r="X2449" i="12"/>
  <c r="X2453" i="12"/>
  <c r="X2457" i="12"/>
  <c r="V2462" i="12"/>
  <c r="V2470" i="12"/>
  <c r="V2478" i="12"/>
  <c r="V2486" i="12"/>
  <c r="V2494" i="12"/>
  <c r="V2502" i="12"/>
  <c r="V2510" i="12"/>
  <c r="V2518" i="12"/>
  <c r="V2549" i="12"/>
  <c r="V2553" i="12"/>
  <c r="U2577" i="12"/>
  <c r="W2369" i="12"/>
  <c r="X2374" i="12"/>
  <c r="U2378" i="12"/>
  <c r="V2381" i="12"/>
  <c r="W2385" i="12"/>
  <c r="X2388" i="12"/>
  <c r="X2392" i="12"/>
  <c r="X2395" i="12"/>
  <c r="W2399" i="12"/>
  <c r="V2403" i="12"/>
  <c r="U2407" i="12"/>
  <c r="X2411" i="12"/>
  <c r="W2415" i="12"/>
  <c r="V2419" i="12"/>
  <c r="U2423" i="12"/>
  <c r="X2427" i="12"/>
  <c r="W2431" i="12"/>
  <c r="V2435" i="12"/>
  <c r="U2439" i="12"/>
  <c r="Y2439" i="12" s="1"/>
  <c r="X2443" i="12"/>
  <c r="W2447" i="12"/>
  <c r="W2451" i="12"/>
  <c r="W2455" i="12"/>
  <c r="W2459" i="12"/>
  <c r="U2463" i="12"/>
  <c r="U2471" i="12"/>
  <c r="U2479" i="12"/>
  <c r="U2487" i="12"/>
  <c r="U2495" i="12"/>
  <c r="U2503" i="12"/>
  <c r="U2511" i="12"/>
  <c r="U2519" i="12"/>
  <c r="W2546" i="12"/>
  <c r="V2590" i="12"/>
  <c r="W2462" i="12"/>
  <c r="W2466" i="12"/>
  <c r="W2470" i="12"/>
  <c r="W2474" i="12"/>
  <c r="W2478" i="12"/>
  <c r="W2482" i="12"/>
  <c r="W2486" i="12"/>
  <c r="W2490" i="12"/>
  <c r="W2494" i="12"/>
  <c r="W2498" i="12"/>
  <c r="W2502" i="12"/>
  <c r="W2506" i="12"/>
  <c r="W2510" i="12"/>
  <c r="W2514" i="12"/>
  <c r="W2518" i="12"/>
  <c r="W2522" i="12"/>
  <c r="W2526" i="12"/>
  <c r="W2530" i="12"/>
  <c r="X2534" i="12"/>
  <c r="X2538" i="12"/>
  <c r="X2542" i="12"/>
  <c r="X2546" i="12"/>
  <c r="U2551" i="12"/>
  <c r="X2555" i="12"/>
  <c r="V2559" i="12"/>
  <c r="U2565" i="12"/>
  <c r="U2570" i="12"/>
  <c r="U2580" i="12"/>
  <c r="W2591" i="12"/>
  <c r="W2597" i="12"/>
  <c r="X2604" i="12"/>
  <c r="U2527" i="12"/>
  <c r="U2531" i="12"/>
  <c r="W2537" i="12"/>
  <c r="W2545" i="12"/>
  <c r="V2551" i="12"/>
  <c r="W2559" i="12"/>
  <c r="X2563" i="12"/>
  <c r="U2568" i="12"/>
  <c r="V2575" i="12"/>
  <c r="V2581" i="12"/>
  <c r="U2589" i="12"/>
  <c r="X2598" i="12"/>
  <c r="V2463" i="12"/>
  <c r="V2467" i="12"/>
  <c r="V2471" i="12"/>
  <c r="V2475" i="12"/>
  <c r="V2479" i="12"/>
  <c r="V2483" i="12"/>
  <c r="V2487" i="12"/>
  <c r="V2491" i="12"/>
  <c r="V2495" i="12"/>
  <c r="V2499" i="12"/>
  <c r="V2503" i="12"/>
  <c r="V2507" i="12"/>
  <c r="V2511" i="12"/>
  <c r="V2515" i="12"/>
  <c r="V2519" i="12"/>
  <c r="V2523" i="12"/>
  <c r="V2527" i="12"/>
  <c r="V2531" i="12"/>
  <c r="X2535" i="12"/>
  <c r="X2539" i="12"/>
  <c r="X2543" i="12"/>
  <c r="X2547" i="12"/>
  <c r="X2552" i="12"/>
  <c r="X2556" i="12"/>
  <c r="W2562" i="12"/>
  <c r="W2568" i="12"/>
  <c r="W2576" i="12"/>
  <c r="W2582" i="12"/>
  <c r="U2590" i="12"/>
  <c r="X2606" i="12"/>
  <c r="V2604" i="12"/>
  <c r="X2608" i="12"/>
  <c r="X2611" i="12"/>
  <c r="X2615" i="12"/>
  <c r="X2619" i="12"/>
  <c r="X2623" i="12"/>
  <c r="X2627" i="12"/>
  <c r="X2631" i="12"/>
  <c r="X2635" i="12"/>
  <c r="X2639" i="12"/>
  <c r="X2643" i="12"/>
  <c r="X2647" i="12"/>
  <c r="X2651" i="12"/>
  <c r="U2567" i="12"/>
  <c r="U2572" i="12"/>
  <c r="U2576" i="12"/>
  <c r="W2580" i="12"/>
  <c r="W2584" i="12"/>
  <c r="U2588" i="12"/>
  <c r="U2592" i="12"/>
  <c r="W2596" i="12"/>
  <c r="V2600" i="12"/>
  <c r="W2604" i="12"/>
  <c r="V2609" i="12"/>
  <c r="W2613" i="12"/>
  <c r="W2617" i="12"/>
  <c r="W2621" i="12"/>
  <c r="W2625" i="12"/>
  <c r="W2629" i="12"/>
  <c r="W2633" i="12"/>
  <c r="W2637" i="12"/>
  <c r="W2641" i="12"/>
  <c r="W2645" i="12"/>
  <c r="W2649" i="12"/>
  <c r="V2653" i="12"/>
  <c r="U2537" i="12"/>
  <c r="U2541" i="12"/>
  <c r="U2545" i="12"/>
  <c r="W2549" i="12"/>
  <c r="W2553" i="12"/>
  <c r="W2557" i="12"/>
  <c r="U2561" i="12"/>
  <c r="U2566" i="12"/>
  <c r="X2570" i="12"/>
  <c r="X2574" i="12"/>
  <c r="W2578" i="12"/>
  <c r="W2583" i="12"/>
  <c r="U2586" i="12"/>
  <c r="X2590" i="12"/>
  <c r="W2594" i="12"/>
  <c r="W2599" i="12"/>
  <c r="X2602" i="12"/>
  <c r="W2606" i="12"/>
  <c r="V2611" i="12"/>
  <c r="V2615" i="12"/>
  <c r="V2619" i="12"/>
  <c r="V2623" i="12"/>
  <c r="V2627" i="12"/>
  <c r="V2631" i="12"/>
  <c r="V2635" i="12"/>
  <c r="V2639" i="12"/>
  <c r="V2643" i="12"/>
  <c r="V2647" i="12"/>
  <c r="V2651" i="12"/>
  <c r="V2351" i="12"/>
  <c r="V2355" i="12"/>
  <c r="W2359" i="12"/>
  <c r="X2364" i="12"/>
  <c r="X2367" i="12"/>
  <c r="V2372" i="12"/>
  <c r="V2377" i="12"/>
  <c r="U2381" i="12"/>
  <c r="V2387" i="12"/>
  <c r="V2397" i="12"/>
  <c r="X2425" i="12"/>
  <c r="W2429" i="12"/>
  <c r="V2433" i="12"/>
  <c r="U2437" i="12"/>
  <c r="V2472" i="12"/>
  <c r="V2488" i="12"/>
  <c r="V2504" i="12"/>
  <c r="V2520" i="12"/>
  <c r="U2559" i="12"/>
  <c r="W2564" i="12"/>
  <c r="U2399" i="12"/>
  <c r="X2403" i="12"/>
  <c r="W2407" i="12"/>
  <c r="V2411" i="12"/>
  <c r="U2415" i="12"/>
  <c r="X2419" i="12"/>
  <c r="W2423" i="12"/>
  <c r="V2427" i="12"/>
  <c r="U2431" i="12"/>
  <c r="X2435" i="12"/>
  <c r="W2439" i="12"/>
  <c r="V2443" i="12"/>
  <c r="U2447" i="12"/>
  <c r="U2451" i="12"/>
  <c r="U2455" i="12"/>
  <c r="U2459" i="12"/>
  <c r="X2464" i="12"/>
  <c r="X2472" i="12"/>
  <c r="X2480" i="12"/>
  <c r="X2488" i="12"/>
  <c r="X2496" i="12"/>
  <c r="X2504" i="12"/>
  <c r="X2512" i="12"/>
  <c r="X2520" i="12"/>
  <c r="V2526" i="12"/>
  <c r="V2530" i="12"/>
  <c r="W2534" i="12"/>
  <c r="W2586" i="12"/>
  <c r="U2384" i="12"/>
  <c r="W2388" i="12"/>
  <c r="W2392" i="12"/>
  <c r="V2398" i="12"/>
  <c r="X2402" i="12"/>
  <c r="W2406" i="12"/>
  <c r="V2410" i="12"/>
  <c r="U2414" i="12"/>
  <c r="X2418" i="12"/>
  <c r="W2422" i="12"/>
  <c r="V2426" i="12"/>
  <c r="U2430" i="12"/>
  <c r="Y2430" i="12" s="1"/>
  <c r="X2434" i="12"/>
  <c r="W2438" i="12"/>
  <c r="V2442" i="12"/>
  <c r="U2446" i="12"/>
  <c r="Y2446" i="12" s="1"/>
  <c r="U2450" i="12"/>
  <c r="U2454" i="12"/>
  <c r="Y2454" i="12" s="1"/>
  <c r="U2458" i="12"/>
  <c r="W2465" i="12"/>
  <c r="W2473" i="12"/>
  <c r="W2481" i="12"/>
  <c r="W2489" i="12"/>
  <c r="W2497" i="12"/>
  <c r="W2505" i="12"/>
  <c r="W2513" i="12"/>
  <c r="W2521" i="12"/>
  <c r="W2550" i="12"/>
  <c r="X2568" i="12"/>
  <c r="X2593" i="12"/>
  <c r="W2370" i="12"/>
  <c r="W2375" i="12"/>
  <c r="U2379" i="12"/>
  <c r="V2382" i="12"/>
  <c r="X2386" i="12"/>
  <c r="X2389" i="12"/>
  <c r="W2393" i="12"/>
  <c r="X2396" i="12"/>
  <c r="X2400" i="12"/>
  <c r="W2404" i="12"/>
  <c r="V2408" i="12"/>
  <c r="U2412" i="12"/>
  <c r="X2416" i="12"/>
  <c r="W2420" i="12"/>
  <c r="V2424" i="12"/>
  <c r="U2428" i="12"/>
  <c r="X2432" i="12"/>
  <c r="W2436" i="12"/>
  <c r="V2440" i="12"/>
  <c r="U2444" i="12"/>
  <c r="X2448" i="12"/>
  <c r="X2452" i="12"/>
  <c r="X2456" i="12"/>
  <c r="X2460" i="12"/>
  <c r="X2466" i="12"/>
  <c r="X2474" i="12"/>
  <c r="X2482" i="12"/>
  <c r="X2490" i="12"/>
  <c r="X2498" i="12"/>
  <c r="X2506" i="12"/>
  <c r="X2514" i="12"/>
  <c r="X2522" i="12"/>
  <c r="W2566" i="12"/>
  <c r="V2591" i="12"/>
  <c r="X2463" i="12"/>
  <c r="X2467" i="12"/>
  <c r="X2471" i="12"/>
  <c r="X2475" i="12"/>
  <c r="X2479" i="12"/>
  <c r="X2483" i="12"/>
  <c r="X2487" i="12"/>
  <c r="X2491" i="12"/>
  <c r="X2495" i="12"/>
  <c r="X2499" i="12"/>
  <c r="X2503" i="12"/>
  <c r="X2507" i="12"/>
  <c r="X2511" i="12"/>
  <c r="X2515" i="12"/>
  <c r="X2519" i="12"/>
  <c r="X2523" i="12"/>
  <c r="X2527" i="12"/>
  <c r="X2531" i="12"/>
  <c r="U2535" i="12"/>
  <c r="U2539" i="12"/>
  <c r="U2543" i="12"/>
  <c r="U2547" i="12"/>
  <c r="V2552" i="12"/>
  <c r="U2556" i="12"/>
  <c r="W2561" i="12"/>
  <c r="X2566" i="12"/>
  <c r="X2573" i="12"/>
  <c r="X2583" i="12"/>
  <c r="W2592" i="12"/>
  <c r="W2598" i="12"/>
  <c r="U2605" i="12"/>
  <c r="V2528" i="12"/>
  <c r="V2532" i="12"/>
  <c r="V2539" i="12"/>
  <c r="V2547" i="12"/>
  <c r="V2554" i="12"/>
  <c r="V2560" i="12"/>
  <c r="U2564" i="12"/>
  <c r="V2570" i="12"/>
  <c r="X2577" i="12"/>
  <c r="V2584" i="12"/>
  <c r="X2592" i="12"/>
  <c r="U2599" i="12"/>
  <c r="W2464" i="12"/>
  <c r="W2468" i="12"/>
  <c r="W2472" i="12"/>
  <c r="W2476" i="12"/>
  <c r="W2480" i="12"/>
  <c r="W2484" i="12"/>
  <c r="W2488" i="12"/>
  <c r="W2492" i="12"/>
  <c r="W2496" i="12"/>
  <c r="W2500" i="12"/>
  <c r="W2504" i="12"/>
  <c r="W2508" i="12"/>
  <c r="W2512" i="12"/>
  <c r="W2516" i="12"/>
  <c r="W2520" i="12"/>
  <c r="W2524" i="12"/>
  <c r="W2528" i="12"/>
  <c r="W2532" i="12"/>
  <c r="U2536" i="12"/>
  <c r="U2540" i="12"/>
  <c r="U2544" i="12"/>
  <c r="U2548" i="12"/>
  <c r="U2553" i="12"/>
  <c r="U2557" i="12"/>
  <c r="V2564" i="12"/>
  <c r="W2571" i="12"/>
  <c r="X2578" i="12"/>
  <c r="W2585" i="12"/>
  <c r="X2595" i="12"/>
  <c r="X2607" i="12"/>
  <c r="V2605" i="12"/>
  <c r="U2609" i="12"/>
  <c r="U2612" i="12"/>
  <c r="U2616" i="12"/>
  <c r="U2620" i="12"/>
  <c r="U2624" i="12"/>
  <c r="U2628" i="12"/>
  <c r="U2632" i="12"/>
  <c r="U2636" i="12"/>
  <c r="U2640" i="12"/>
  <c r="U2644" i="12"/>
  <c r="U2648" i="12"/>
  <c r="U2652" i="12"/>
  <c r="V2569" i="12"/>
  <c r="V2573" i="12"/>
  <c r="V2577" i="12"/>
  <c r="X2581" i="12"/>
  <c r="X2586" i="12"/>
  <c r="V2589" i="12"/>
  <c r="V2593" i="12"/>
  <c r="X2597" i="12"/>
  <c r="W2601" i="12"/>
  <c r="W2605" i="12"/>
  <c r="V2610" i="12"/>
  <c r="X2614" i="12"/>
  <c r="X2618" i="12"/>
  <c r="X2622" i="12"/>
  <c r="X2626" i="12"/>
  <c r="X2630" i="12"/>
  <c r="X2634" i="12"/>
  <c r="X2638" i="12"/>
  <c r="X2642" i="12"/>
  <c r="X2646" i="12"/>
  <c r="X2650" i="12"/>
  <c r="V2534" i="12"/>
  <c r="V2538" i="12"/>
  <c r="V2542" i="12"/>
  <c r="V2546" i="12"/>
  <c r="V2550" i="12"/>
  <c r="X2554" i="12"/>
  <c r="X2559" i="12"/>
  <c r="V2562" i="12"/>
  <c r="V2567" i="12"/>
  <c r="U2571" i="12"/>
  <c r="U2575" i="12"/>
  <c r="X2580" i="12"/>
  <c r="X2584" i="12"/>
  <c r="V2587" i="12"/>
  <c r="U2591" i="12"/>
  <c r="X2596" i="12"/>
  <c r="W2600" i="12"/>
  <c r="X2603" i="12"/>
  <c r="W2607" i="12"/>
  <c r="W2612" i="12"/>
  <c r="W2616" i="12"/>
  <c r="W2620" i="12"/>
  <c r="W2624" i="12"/>
  <c r="W2628" i="12"/>
  <c r="W2632" i="12"/>
  <c r="W2636" i="12"/>
  <c r="W2640" i="12"/>
  <c r="W2644" i="12"/>
  <c r="W2648" i="12"/>
  <c r="W2652" i="12"/>
  <c r="U2504" i="12"/>
  <c r="U2508" i="12"/>
  <c r="U2512" i="12"/>
  <c r="U2516" i="12"/>
  <c r="U2520" i="12"/>
  <c r="U2524" i="12"/>
  <c r="U2528" i="12"/>
  <c r="U2532" i="12"/>
  <c r="Y2532" i="12" s="1"/>
  <c r="W2536" i="12"/>
  <c r="W2540" i="12"/>
  <c r="W2544" i="12"/>
  <c r="V2548" i="12"/>
  <c r="X2553" i="12"/>
  <c r="X2557" i="12"/>
  <c r="V2563" i="12"/>
  <c r="W2567" i="12"/>
  <c r="U2574" i="12"/>
  <c r="U2584" i="12"/>
  <c r="X2594" i="12"/>
  <c r="X2600" i="12"/>
  <c r="W2525" i="12"/>
  <c r="W2529" i="12"/>
  <c r="W2533" i="12"/>
  <c r="W2541" i="12"/>
  <c r="X2549" i="12"/>
  <c r="W2556" i="12"/>
  <c r="X2561" i="12"/>
  <c r="V2565" i="12"/>
  <c r="V2571" i="12"/>
  <c r="U2578" i="12"/>
  <c r="V2585" i="12"/>
  <c r="U2593" i="12"/>
  <c r="V2601" i="12"/>
  <c r="X2465" i="12"/>
  <c r="X2469" i="12"/>
  <c r="X2473" i="12"/>
  <c r="X2477" i="12"/>
  <c r="X2481" i="12"/>
  <c r="X2485" i="12"/>
  <c r="X2489" i="12"/>
  <c r="X2493" i="12"/>
  <c r="X2497" i="12"/>
  <c r="X2501" i="12"/>
  <c r="X2505" i="12"/>
  <c r="X2509" i="12"/>
  <c r="X2513" i="12"/>
  <c r="X2517" i="12"/>
  <c r="X2521" i="12"/>
  <c r="X2525" i="12"/>
  <c r="X2529" i="12"/>
  <c r="X2533" i="12"/>
  <c r="X2537" i="12"/>
  <c r="X2541" i="12"/>
  <c r="X2545" i="12"/>
  <c r="X2548" i="12"/>
  <c r="W2554" i="12"/>
  <c r="W2558" i="12"/>
  <c r="W2565" i="12"/>
  <c r="W2572" i="12"/>
  <c r="U2579" i="12"/>
  <c r="V2586" i="12"/>
  <c r="U2596" i="12"/>
  <c r="U2608" i="12"/>
  <c r="V2606" i="12"/>
  <c r="U2610" i="12"/>
  <c r="V2613" i="12"/>
  <c r="V2617" i="12"/>
  <c r="V2621" i="12"/>
  <c r="V2625" i="12"/>
  <c r="V2629" i="12"/>
  <c r="V2633" i="12"/>
  <c r="V2637" i="12"/>
  <c r="V2641" i="12"/>
  <c r="V2645" i="12"/>
  <c r="V2649" i="12"/>
  <c r="X2652" i="12"/>
  <c r="W2570" i="12"/>
  <c r="W2574" i="12"/>
  <c r="V2578" i="12"/>
  <c r="U2582" i="12"/>
  <c r="U2587" i="12"/>
  <c r="W2590" i="12"/>
  <c r="V2594" i="12"/>
  <c r="U2598" i="12"/>
  <c r="W2602" i="12"/>
  <c r="V2607" i="12"/>
  <c r="U2611" i="12"/>
  <c r="U2615" i="12"/>
  <c r="U2619" i="12"/>
  <c r="U2623" i="12"/>
  <c r="U2627" i="12"/>
  <c r="U2631" i="12"/>
  <c r="U2635" i="12"/>
  <c r="U2639" i="12"/>
  <c r="U2643" i="12"/>
  <c r="U2647" i="12"/>
  <c r="U2651" i="12"/>
  <c r="W2535" i="12"/>
  <c r="W2539" i="12"/>
  <c r="W2543" i="12"/>
  <c r="W2547" i="12"/>
  <c r="W2551" i="12"/>
  <c r="U2555" i="12"/>
  <c r="U2560" i="12"/>
  <c r="Y2560" i="12" s="1"/>
  <c r="W2563" i="12"/>
  <c r="V2568" i="12"/>
  <c r="V2572" i="12"/>
  <c r="V2576" i="12"/>
  <c r="U2581" i="12"/>
  <c r="U2585" i="12"/>
  <c r="V2588" i="12"/>
  <c r="V2592" i="12"/>
  <c r="U2597" i="12"/>
  <c r="X2601" i="12"/>
  <c r="U2604" i="12"/>
  <c r="W2608" i="12"/>
  <c r="X2613" i="12"/>
  <c r="X2617" i="12"/>
  <c r="X2621" i="12"/>
  <c r="X2625" i="12"/>
  <c r="X2629" i="12"/>
  <c r="X2633" i="12"/>
  <c r="X2637" i="12"/>
  <c r="X2641" i="12"/>
  <c r="X2645" i="12"/>
  <c r="X2649" i="12"/>
  <c r="W2653" i="12"/>
  <c r="G6" i="14"/>
  <c r="G4" i="14"/>
  <c r="G7" i="14"/>
  <c r="G3" i="14"/>
  <c r="G5" i="14"/>
  <c r="G8" i="14"/>
  <c r="W102" i="3"/>
  <c r="W38" i="3"/>
  <c r="W73" i="3"/>
  <c r="G29" i="14"/>
  <c r="G11" i="14"/>
  <c r="G2" i="14"/>
  <c r="W62" i="3"/>
  <c r="W65" i="3"/>
  <c r="G28" i="14"/>
  <c r="G27" i="14"/>
  <c r="W70" i="3"/>
  <c r="W105" i="3"/>
  <c r="W41" i="3"/>
  <c r="G24" i="14"/>
  <c r="W94" i="3"/>
  <c r="W30" i="3"/>
  <c r="W97" i="3"/>
  <c r="W33" i="3"/>
  <c r="G12" i="14"/>
  <c r="W110" i="3"/>
  <c r="W86" i="3"/>
  <c r="W54" i="3"/>
  <c r="W22" i="3"/>
  <c r="W89" i="3"/>
  <c r="W57" i="3"/>
  <c r="W25" i="3"/>
  <c r="G43" i="14"/>
  <c r="W104" i="3"/>
  <c r="W78" i="3"/>
  <c r="W46" i="3"/>
  <c r="W14" i="3"/>
  <c r="W81" i="3"/>
  <c r="W49" i="3"/>
  <c r="W17" i="3"/>
  <c r="G38" i="14"/>
  <c r="G19" i="14"/>
  <c r="W108" i="3"/>
  <c r="W100" i="3"/>
  <c r="W92" i="3"/>
  <c r="W84" i="3"/>
  <c r="W76" i="3"/>
  <c r="W68" i="3"/>
  <c r="W60" i="3"/>
  <c r="W52" i="3"/>
  <c r="W44" i="3"/>
  <c r="W36" i="3"/>
  <c r="W28" i="3"/>
  <c r="W20" i="3"/>
  <c r="W12" i="3"/>
  <c r="W103" i="3"/>
  <c r="W95" i="3"/>
  <c r="W87" i="3"/>
  <c r="W79" i="3"/>
  <c r="W71" i="3"/>
  <c r="W63" i="3"/>
  <c r="W55" i="3"/>
  <c r="W47" i="3"/>
  <c r="W39" i="3"/>
  <c r="W31" i="3"/>
  <c r="W23" i="3"/>
  <c r="W15" i="3"/>
  <c r="G40" i="14"/>
  <c r="G22" i="14"/>
  <c r="G37" i="14"/>
  <c r="G34" i="14"/>
  <c r="G20" i="14"/>
  <c r="G41" i="14"/>
  <c r="G25" i="14"/>
  <c r="G17" i="14"/>
  <c r="G9" i="14"/>
  <c r="W106" i="3"/>
  <c r="W98" i="3"/>
  <c r="W90" i="3"/>
  <c r="W82" i="3"/>
  <c r="W74" i="3"/>
  <c r="W66" i="3"/>
  <c r="W58" i="3"/>
  <c r="W50" i="3"/>
  <c r="W42" i="3"/>
  <c r="W34" i="3"/>
  <c r="W26" i="3"/>
  <c r="W18" i="3"/>
  <c r="W109" i="3"/>
  <c r="W101" i="3"/>
  <c r="W93" i="3"/>
  <c r="W85" i="3"/>
  <c r="W77" i="3"/>
  <c r="W69" i="3"/>
  <c r="W61" i="3"/>
  <c r="W53" i="3"/>
  <c r="W45" i="3"/>
  <c r="W37" i="3"/>
  <c r="W29" i="3"/>
  <c r="W21" i="3"/>
  <c r="W13" i="3"/>
  <c r="G36" i="14"/>
  <c r="G16" i="14"/>
  <c r="G33" i="14"/>
  <c r="G30" i="14"/>
  <c r="G18" i="14"/>
  <c r="G35" i="14"/>
  <c r="G23" i="14"/>
  <c r="G15" i="14"/>
  <c r="W96" i="3"/>
  <c r="W88" i="3"/>
  <c r="W80" i="3"/>
  <c r="W72" i="3"/>
  <c r="W64" i="3"/>
  <c r="W56" i="3"/>
  <c r="W48" i="3"/>
  <c r="W40" i="3"/>
  <c r="W32" i="3"/>
  <c r="W24" i="3"/>
  <c r="W16" i="3"/>
  <c r="W107" i="3"/>
  <c r="W99" i="3"/>
  <c r="W91" i="3"/>
  <c r="W83" i="3"/>
  <c r="W75" i="3"/>
  <c r="W67" i="3"/>
  <c r="W59" i="3"/>
  <c r="W51" i="3"/>
  <c r="W43" i="3"/>
  <c r="W35" i="3"/>
  <c r="W27" i="3"/>
  <c r="W19" i="3"/>
  <c r="G39" i="14"/>
  <c r="G32" i="14"/>
  <c r="G10" i="14"/>
  <c r="G42" i="14"/>
  <c r="G26" i="14"/>
  <c r="G14" i="14"/>
  <c r="G31" i="14"/>
  <c r="G21" i="14"/>
  <c r="G13" i="14"/>
  <c r="AF6" i="3"/>
  <c r="AF74" i="3"/>
  <c r="AF56" i="3"/>
  <c r="AF40" i="3"/>
  <c r="AF24" i="3"/>
  <c r="AF110" i="3"/>
  <c r="AF82" i="3"/>
  <c r="AF97" i="3"/>
  <c r="AF81" i="3"/>
  <c r="AF65" i="3"/>
  <c r="AF49" i="3"/>
  <c r="AF33" i="3"/>
  <c r="AF17" i="3"/>
  <c r="AF12" i="3"/>
  <c r="AF84" i="3"/>
  <c r="AF62" i="3"/>
  <c r="AF46" i="3"/>
  <c r="AF30" i="3"/>
  <c r="AF14" i="3"/>
  <c r="AF92" i="3"/>
  <c r="AF103" i="3"/>
  <c r="AF87" i="3"/>
  <c r="AF71" i="3"/>
  <c r="AF55" i="3"/>
  <c r="AF39" i="3"/>
  <c r="AF23" i="3"/>
  <c r="AF9" i="3"/>
  <c r="AF100" i="3"/>
  <c r="AF80" i="3"/>
  <c r="AF68" i="3"/>
  <c r="AF60" i="3"/>
  <c r="AF52" i="3"/>
  <c r="AF44" i="3"/>
  <c r="AF36" i="3"/>
  <c r="AF28" i="3"/>
  <c r="AF20" i="3"/>
  <c r="AF106" i="3"/>
  <c r="AF102" i="3"/>
  <c r="AF90" i="3"/>
  <c r="AF109" i="3"/>
  <c r="AF101" i="3"/>
  <c r="AF93" i="3"/>
  <c r="AF85" i="3"/>
  <c r="AF77" i="3"/>
  <c r="AF69" i="3"/>
  <c r="AF61" i="3"/>
  <c r="AF53" i="3"/>
  <c r="AF45" i="3"/>
  <c r="AF37" i="3"/>
  <c r="AF29" i="3"/>
  <c r="AF21" i="3"/>
  <c r="B8" i="3"/>
  <c r="AF10" i="3"/>
  <c r="AF8" i="3"/>
  <c r="AF88" i="3"/>
  <c r="AF64" i="3"/>
  <c r="AF48" i="3"/>
  <c r="AF32" i="3"/>
  <c r="AF16" i="3"/>
  <c r="AF96" i="3"/>
  <c r="AF105" i="3"/>
  <c r="AF89" i="3"/>
  <c r="AF73" i="3"/>
  <c r="AF57" i="3"/>
  <c r="AF41" i="3"/>
  <c r="AF25" i="3"/>
  <c r="AF11" i="3"/>
  <c r="AF108" i="3"/>
  <c r="AF70" i="3"/>
  <c r="AF54" i="3"/>
  <c r="AF38" i="3"/>
  <c r="AF22" i="3"/>
  <c r="AF104" i="3"/>
  <c r="AF78" i="3"/>
  <c r="AF95" i="3"/>
  <c r="AF79" i="3"/>
  <c r="AF63" i="3"/>
  <c r="AF47" i="3"/>
  <c r="AF31" i="3"/>
  <c r="AF15" i="3"/>
  <c r="AF13" i="3"/>
  <c r="AF94" i="3"/>
  <c r="AF76" i="3"/>
  <c r="AF66" i="3"/>
  <c r="AF58" i="3"/>
  <c r="AF50" i="3"/>
  <c r="AF42" i="3"/>
  <c r="AF34" i="3"/>
  <c r="AF26" i="3"/>
  <c r="AF18" i="3"/>
  <c r="AF72" i="3"/>
  <c r="AF98" i="3"/>
  <c r="AF86" i="3"/>
  <c r="AF107" i="3"/>
  <c r="AF99" i="3"/>
  <c r="AF91" i="3"/>
  <c r="AF83" i="3"/>
  <c r="AF75" i="3"/>
  <c r="AF67" i="3"/>
  <c r="AF59" i="3"/>
  <c r="AF51" i="3"/>
  <c r="AF43" i="3"/>
  <c r="AF35" i="3"/>
  <c r="AF27" i="3"/>
  <c r="AF19" i="3"/>
  <c r="B9" i="3"/>
  <c r="AF7" i="3"/>
  <c r="Y225" i="12" l="1"/>
  <c r="Y974" i="12"/>
  <c r="Y990" i="12"/>
  <c r="Y4" i="12"/>
  <c r="Y577" i="12"/>
  <c r="Y179" i="12"/>
  <c r="Y574" i="12"/>
  <c r="Y248" i="12"/>
  <c r="Y601" i="12"/>
  <c r="Y536" i="12"/>
  <c r="Y472" i="12"/>
  <c r="Y408" i="12"/>
  <c r="Y214" i="12"/>
  <c r="Y590" i="12"/>
  <c r="Y272" i="12"/>
  <c r="Y240" i="12"/>
  <c r="Y2178" i="12"/>
  <c r="Y1685" i="12"/>
  <c r="Y1849" i="12"/>
  <c r="Y1800" i="12"/>
  <c r="Y1679" i="12"/>
  <c r="Y1663" i="12"/>
  <c r="Y1630" i="12"/>
  <c r="Y1614" i="12"/>
  <c r="Y1598" i="12"/>
  <c r="Y591" i="12"/>
  <c r="Y393" i="12"/>
  <c r="Y241" i="12"/>
  <c r="Y615" i="12"/>
  <c r="Y562" i="12"/>
  <c r="Y284" i="12"/>
  <c r="Y194" i="12"/>
  <c r="Y311" i="12"/>
  <c r="Y295" i="12"/>
  <c r="Y2412" i="12"/>
  <c r="Y1960" i="12"/>
  <c r="Y1943" i="12"/>
  <c r="Y1907" i="12"/>
  <c r="Y1891" i="12"/>
  <c r="Y1875" i="12"/>
  <c r="Y1658" i="12"/>
  <c r="Y1534" i="12"/>
  <c r="Y1668" i="12"/>
  <c r="Y1652" i="12"/>
  <c r="Y1547" i="12"/>
  <c r="Y1499" i="12"/>
  <c r="Y1483" i="12"/>
  <c r="Y1451" i="12"/>
  <c r="Y962" i="12"/>
  <c r="Y594" i="12"/>
  <c r="Y972" i="12"/>
  <c r="Y940" i="12"/>
  <c r="Y924" i="12"/>
  <c r="Y908" i="12"/>
  <c r="Y892" i="12"/>
  <c r="Y564" i="12"/>
  <c r="Y619" i="12"/>
  <c r="Y345" i="12"/>
  <c r="Y456" i="12"/>
  <c r="Y440" i="12"/>
  <c r="Y424" i="12"/>
  <c r="Y496" i="12"/>
  <c r="Y387" i="12"/>
  <c r="Y2628" i="12"/>
  <c r="Y2479" i="12"/>
  <c r="Y2426" i="12"/>
  <c r="Y2302" i="12"/>
  <c r="Y2456" i="12"/>
  <c r="Y2212" i="12"/>
  <c r="Y2196" i="12"/>
  <c r="Y2229" i="12"/>
  <c r="Y2331" i="12"/>
  <c r="Y2348" i="12"/>
  <c r="Y2319" i="12"/>
  <c r="Y2215" i="12"/>
  <c r="Y2154" i="12"/>
  <c r="Y2199" i="12"/>
  <c r="Y2166" i="12"/>
  <c r="Y2150" i="12"/>
  <c r="Y2134" i="12"/>
  <c r="Y2118" i="12"/>
  <c r="Y2102" i="12"/>
  <c r="Y2528" i="12"/>
  <c r="Y2612" i="12"/>
  <c r="Y2459" i="12"/>
  <c r="Y2537" i="12"/>
  <c r="Y2576" i="12"/>
  <c r="Y2511" i="12"/>
  <c r="Y2423" i="12"/>
  <c r="Y2378" i="12"/>
  <c r="Y2466" i="12"/>
  <c r="Y2418" i="12"/>
  <c r="Y2596" i="12"/>
  <c r="Y2413" i="12"/>
  <c r="Y2368" i="12"/>
  <c r="Y2307" i="12"/>
  <c r="Y2225" i="12"/>
  <c r="Y2193" i="12"/>
  <c r="Y2177" i="12"/>
  <c r="Y2504" i="12"/>
  <c r="Y2575" i="12"/>
  <c r="Y2444" i="12"/>
  <c r="Y2437" i="12"/>
  <c r="Y2207" i="12"/>
  <c r="Y2191" i="12"/>
  <c r="Y2143" i="12"/>
  <c r="Y2127" i="12"/>
  <c r="Y2111" i="12"/>
  <c r="Y2095" i="12"/>
  <c r="Y2079" i="12"/>
  <c r="Y2063" i="12"/>
  <c r="Y2132" i="12"/>
  <c r="Y2116" i="12"/>
  <c r="Y2100" i="12"/>
  <c r="Y2164" i="12"/>
  <c r="Y2054" i="12"/>
  <c r="Y1426" i="12"/>
  <c r="Y1410" i="12"/>
  <c r="Y1394" i="12"/>
  <c r="Y463" i="12"/>
  <c r="Y1953" i="12"/>
  <c r="Y415" i="12"/>
  <c r="Y1378" i="12"/>
  <c r="Y1362" i="12"/>
  <c r="Y1346" i="12"/>
  <c r="Y344" i="12"/>
  <c r="Y2552" i="12"/>
  <c r="Y2505" i="12"/>
  <c r="Y2256" i="12"/>
  <c r="Y2224" i="12"/>
  <c r="Y2267" i="12"/>
  <c r="Y2269" i="12"/>
  <c r="Y2169" i="12"/>
  <c r="Y2155" i="12"/>
  <c r="Y1786" i="12"/>
  <c r="Y1770" i="12"/>
  <c r="Y1754" i="12"/>
  <c r="Y1738" i="12"/>
  <c r="Y1722" i="12"/>
  <c r="Y1553" i="12"/>
  <c r="Y1809" i="12"/>
  <c r="Y2032" i="12"/>
  <c r="Y2016" i="12"/>
  <c r="Y2000" i="12"/>
  <c r="Y1984" i="12"/>
  <c r="Y1434" i="12"/>
  <c r="Y1418" i="12"/>
  <c r="Y1402" i="12"/>
  <c r="Y1386" i="12"/>
  <c r="Y1370" i="12"/>
  <c r="Y1354" i="12"/>
  <c r="Y1338" i="12"/>
  <c r="Y1322" i="12"/>
  <c r="Y1306" i="12"/>
  <c r="Y1053" i="12"/>
  <c r="Y1994" i="12"/>
  <c r="Y1978" i="12"/>
  <c r="Y1842" i="12"/>
  <c r="Y2604" i="12"/>
  <c r="Y2555" i="12"/>
  <c r="Y2627" i="12"/>
  <c r="Y2608" i="12"/>
  <c r="Y2512" i="12"/>
  <c r="Y2644" i="12"/>
  <c r="Y2592" i="12"/>
  <c r="Y2531" i="12"/>
  <c r="Y2407" i="12"/>
  <c r="Y2525" i="12"/>
  <c r="Y2493" i="12"/>
  <c r="Y2530" i="12"/>
  <c r="Y2336" i="12"/>
  <c r="Y2372" i="12"/>
  <c r="Y2338" i="12"/>
  <c r="Y2646" i="12"/>
  <c r="Y2419" i="12"/>
  <c r="Y2367" i="12"/>
  <c r="Y2330" i="12"/>
  <c r="Y2522" i="12"/>
  <c r="Y2327" i="12"/>
  <c r="Y2299" i="12"/>
  <c r="Y2337" i="12"/>
  <c r="Y2221" i="12"/>
  <c r="Y2361" i="12"/>
  <c r="Y2295" i="12"/>
  <c r="Y2643" i="12"/>
  <c r="Y2611" i="12"/>
  <c r="Y2556" i="12"/>
  <c r="Y2414" i="12"/>
  <c r="Y2381" i="12"/>
  <c r="Y2294" i="12"/>
  <c r="Y2422" i="12"/>
  <c r="Y2369" i="12"/>
  <c r="Y2598" i="12"/>
  <c r="Y2447" i="12"/>
  <c r="Y2431" i="12"/>
  <c r="Y2415" i="12"/>
  <c r="Y2358" i="12"/>
  <c r="Y2312" i="12"/>
  <c r="Y2304" i="12"/>
  <c r="Y2291" i="12"/>
  <c r="Y2185" i="12"/>
  <c r="Y2059" i="12"/>
  <c r="Y2080" i="12"/>
  <c r="Y2064" i="12"/>
  <c r="Y1860" i="12"/>
  <c r="Y1700" i="12"/>
  <c r="Y1561" i="12"/>
  <c r="Y319" i="12"/>
  <c r="Y303" i="12"/>
  <c r="Y287" i="12"/>
  <c r="Y354" i="12"/>
  <c r="Y386" i="12"/>
  <c r="Y2176" i="12"/>
  <c r="Y1915" i="12"/>
  <c r="Y1899" i="12"/>
  <c r="Y1883" i="12"/>
  <c r="Y1696" i="12"/>
  <c r="Y1682" i="12"/>
  <c r="Y1675" i="12"/>
  <c r="Y1659" i="12"/>
  <c r="Y1642" i="12"/>
  <c r="Y1626" i="12"/>
  <c r="Y1562" i="12"/>
  <c r="Y1676" i="12"/>
  <c r="Y1660" i="12"/>
  <c r="Y1996" i="12"/>
  <c r="Y1980" i="12"/>
  <c r="Y1959" i="12"/>
  <c r="Y1990" i="12"/>
  <c r="Y1958" i="12"/>
  <c r="Y1927" i="12"/>
  <c r="Y1837" i="12"/>
  <c r="Y1821" i="12"/>
  <c r="Y1793" i="12"/>
  <c r="Y1538" i="12"/>
  <c r="Y1635" i="12"/>
  <c r="Y1619" i="12"/>
  <c r="Y1954" i="12"/>
  <c r="Y1946" i="12"/>
  <c r="Y1995" i="12"/>
  <c r="Y1979" i="12"/>
  <c r="Y1836" i="12"/>
  <c r="Y1820" i="12"/>
  <c r="Y1843" i="12"/>
  <c r="Y1812" i="12"/>
  <c r="Y1648" i="12"/>
  <c r="Y1603" i="12"/>
  <c r="Y1491" i="12"/>
  <c r="Y1930" i="12"/>
  <c r="Y1914" i="12"/>
  <c r="Y1898" i="12"/>
  <c r="Y1882" i="12"/>
  <c r="Y1854" i="12"/>
  <c r="Y1645" i="12"/>
  <c r="Y1629" i="12"/>
  <c r="Y1582" i="12"/>
  <c r="Y1492" i="12"/>
  <c r="Y1505" i="12"/>
  <c r="Y1472" i="12"/>
  <c r="Y1584" i="12"/>
  <c r="Y1677" i="12"/>
  <c r="Y1661" i="12"/>
  <c r="Y1294" i="12"/>
  <c r="Y1278" i="12"/>
  <c r="Y1262" i="12"/>
  <c r="Y1246" i="12"/>
  <c r="Y1230" i="12"/>
  <c r="Y1045" i="12"/>
  <c r="Y1427" i="12"/>
  <c r="Y1411" i="12"/>
  <c r="Y1395" i="12"/>
  <c r="Y1379" i="12"/>
  <c r="Y1363" i="12"/>
  <c r="Y1347" i="12"/>
  <c r="Y1331" i="12"/>
  <c r="Y1315" i="12"/>
  <c r="Y1299" i="12"/>
  <c r="Y970" i="12"/>
  <c r="Y956" i="12"/>
  <c r="Y976" i="12"/>
  <c r="Y979" i="12"/>
  <c r="Y992" i="12"/>
  <c r="Y552" i="12"/>
  <c r="Y534" i="12"/>
  <c r="Y353" i="12"/>
  <c r="Y275" i="12"/>
  <c r="Y598" i="12"/>
  <c r="Y566" i="12"/>
  <c r="Y432" i="12"/>
  <c r="Y528" i="12"/>
  <c r="Y283" i="12"/>
  <c r="Y217" i="12"/>
  <c r="Y27" i="12"/>
  <c r="Y2476" i="12"/>
  <c r="Y2382" i="12"/>
  <c r="Y2400" i="12"/>
  <c r="Y2388" i="12"/>
  <c r="Y2438" i="12"/>
  <c r="Y2213" i="12"/>
  <c r="Y2197" i="12"/>
  <c r="Y2181" i="12"/>
  <c r="Y2165" i="12"/>
  <c r="Y2149" i="12"/>
  <c r="Y2133" i="12"/>
  <c r="Y2117" i="12"/>
  <c r="Y2101" i="12"/>
  <c r="Y2183" i="12"/>
  <c r="Y2058" i="12"/>
  <c r="Y2397" i="12"/>
  <c r="Y2293" i="12"/>
  <c r="Y2285" i="12"/>
  <c r="Y2240" i="12"/>
  <c r="Y2086" i="12"/>
  <c r="Y2070" i="12"/>
  <c r="Y2282" i="12"/>
  <c r="Y2344" i="12"/>
  <c r="Y2259" i="12"/>
  <c r="Y2275" i="12"/>
  <c r="Y2152" i="12"/>
  <c r="Y1955" i="12"/>
  <c r="Y1947" i="12"/>
  <c r="Y2022" i="12"/>
  <c r="Y2006" i="12"/>
  <c r="Y1920" i="12"/>
  <c r="Y1904" i="12"/>
  <c r="Y1888" i="12"/>
  <c r="Y1872" i="12"/>
  <c r="Y1806" i="12"/>
  <c r="Y2639" i="12"/>
  <c r="Y2623" i="12"/>
  <c r="Y2508" i="12"/>
  <c r="Y2640" i="12"/>
  <c r="Y2599" i="12"/>
  <c r="Y2458" i="12"/>
  <c r="Y2445" i="12"/>
  <c r="Y2268" i="12"/>
  <c r="Y2300" i="12"/>
  <c r="Y2341" i="12"/>
  <c r="Y2211" i="12"/>
  <c r="Y2131" i="12"/>
  <c r="Y2115" i="12"/>
  <c r="Y2099" i="12"/>
  <c r="Y2083" i="12"/>
  <c r="Y2067" i="12"/>
  <c r="Y1971" i="12"/>
  <c r="Y1662" i="12"/>
  <c r="Y1671" i="12"/>
  <c r="Y1655" i="12"/>
  <c r="Y1638" i="12"/>
  <c r="Y1622" i="12"/>
  <c r="Y1606" i="12"/>
  <c r="Y1672" i="12"/>
  <c r="Y1656" i="12"/>
  <c r="Y1939" i="12"/>
  <c r="Y1833" i="12"/>
  <c r="Y1817" i="12"/>
  <c r="Y1801" i="12"/>
  <c r="Y1631" i="12"/>
  <c r="Y1615" i="12"/>
  <c r="Y1551" i="12"/>
  <c r="Y1487" i="12"/>
  <c r="Y1455" i="12"/>
  <c r="Y401" i="12"/>
  <c r="Y385" i="12"/>
  <c r="Y569" i="12"/>
  <c r="Y489" i="12"/>
  <c r="Y540" i="12"/>
  <c r="Y476" i="12"/>
  <c r="Y218" i="12"/>
  <c r="Y352" i="12"/>
  <c r="Y242" i="12"/>
  <c r="Y226" i="12"/>
  <c r="Y210" i="12"/>
  <c r="Y342" i="12"/>
  <c r="Y260" i="12"/>
  <c r="Y233" i="12"/>
  <c r="Y346" i="12"/>
  <c r="Y224" i="12"/>
  <c r="Y1295" i="12"/>
  <c r="Y1287" i="12"/>
  <c r="Y1279" i="12"/>
  <c r="Y1271" i="12"/>
  <c r="Y1263" i="12"/>
  <c r="Y1255" i="12"/>
  <c r="Y1247" i="12"/>
  <c r="Y1239" i="12"/>
  <c r="Y1231" i="12"/>
  <c r="Y934" i="12"/>
  <c r="Y918" i="12"/>
  <c r="Y902" i="12"/>
  <c r="Y886" i="12"/>
  <c r="Y317" i="12"/>
  <c r="Y301" i="12"/>
  <c r="Y2544" i="12"/>
  <c r="Y2602" i="12"/>
  <c r="Y2392" i="12"/>
  <c r="Y2633" i="12"/>
  <c r="Y2554" i="12"/>
  <c r="Y2483" i="12"/>
  <c r="Y2420" i="12"/>
  <c r="Y2453" i="12"/>
  <c r="C8" i="3"/>
  <c r="Y2597" i="12"/>
  <c r="Y2581" i="12"/>
  <c r="Y2651" i="12"/>
  <c r="Y2635" i="12"/>
  <c r="Y2619" i="12"/>
  <c r="Y2587" i="12"/>
  <c r="Y2610" i="12"/>
  <c r="Y2574" i="12"/>
  <c r="Y2520" i="12"/>
  <c r="Y2591" i="12"/>
  <c r="Y2652" i="12"/>
  <c r="Y2636" i="12"/>
  <c r="Y2620" i="12"/>
  <c r="Y2553" i="12"/>
  <c r="Y2536" i="12"/>
  <c r="Y2564" i="12"/>
  <c r="Y2547" i="12"/>
  <c r="Y2428" i="12"/>
  <c r="Y2586" i="12"/>
  <c r="Y2617" i="12"/>
  <c r="Y2474" i="12"/>
  <c r="Y2595" i="12"/>
  <c r="C9" i="3"/>
  <c r="Y2647" i="12"/>
  <c r="Y2631" i="12"/>
  <c r="Y2615" i="12"/>
  <c r="Y2582" i="12"/>
  <c r="Y2579" i="12"/>
  <c r="Y2593" i="12"/>
  <c r="Y2516" i="12"/>
  <c r="Y2571" i="12"/>
  <c r="Y2648" i="12"/>
  <c r="Y2632" i="12"/>
  <c r="Y2616" i="12"/>
  <c r="Y2548" i="12"/>
  <c r="Y2543" i="12"/>
  <c r="Y2379" i="12"/>
  <c r="Y2450" i="12"/>
  <c r="Y2384" i="12"/>
  <c r="Y2539" i="12"/>
  <c r="Y2496" i="12"/>
  <c r="Y2398" i="12"/>
  <c r="Y2355" i="12"/>
  <c r="Y2573" i="12"/>
  <c r="Y2491" i="12"/>
  <c r="Y2251" i="12"/>
  <c r="Y2462" i="12"/>
  <c r="Y2649" i="12"/>
  <c r="Y2510" i="12"/>
  <c r="Y2464" i="12"/>
  <c r="Y2497" i="12"/>
  <c r="Y2385" i="12"/>
  <c r="Y2534" i="12"/>
  <c r="Y2289" i="12"/>
  <c r="Y2585" i="12"/>
  <c r="Y2578" i="12"/>
  <c r="Y2584" i="12"/>
  <c r="Y2524" i="12"/>
  <c r="Y2624" i="12"/>
  <c r="Y2609" i="12"/>
  <c r="Y2557" i="12"/>
  <c r="Y2540" i="12"/>
  <c r="Y2605" i="12"/>
  <c r="Y2535" i="12"/>
  <c r="Y2455" i="12"/>
  <c r="Y2559" i="12"/>
  <c r="Y2566" i="12"/>
  <c r="Y2588" i="12"/>
  <c r="Y2572" i="12"/>
  <c r="Y2590" i="12"/>
  <c r="Y2527" i="12"/>
  <c r="Y2580" i="12"/>
  <c r="Y2503" i="12"/>
  <c r="Y2451" i="12"/>
  <c r="Y2561" i="12"/>
  <c r="Y2545" i="12"/>
  <c r="Y2567" i="12"/>
  <c r="Y2568" i="12"/>
  <c r="Y2570" i="12"/>
  <c r="Y2551" i="12"/>
  <c r="Y2495" i="12"/>
  <c r="Y2463" i="12"/>
  <c r="Y2533" i="12"/>
  <c r="Y2509" i="12"/>
  <c r="Y2477" i="12"/>
  <c r="Y2634" i="12"/>
  <c r="Y2498" i="12"/>
  <c r="Y2583" i="12"/>
  <c r="Y2434" i="12"/>
  <c r="Y2402" i="12"/>
  <c r="Y2441" i="12"/>
  <c r="Y2563" i="12"/>
  <c r="Y2389" i="12"/>
  <c r="Y2386" i="12"/>
  <c r="Y2346" i="12"/>
  <c r="Y2306" i="12"/>
  <c r="Y2298" i="12"/>
  <c r="Y2290" i="12"/>
  <c r="Y2641" i="12"/>
  <c r="Y2625" i="12"/>
  <c r="Y2448" i="12"/>
  <c r="Y2363" i="12"/>
  <c r="Y2614" i="12"/>
  <c r="Y2542" i="12"/>
  <c r="Y2478" i="12"/>
  <c r="Y2480" i="12"/>
  <c r="Y2515" i="12"/>
  <c r="Y2457" i="12"/>
  <c r="Y2569" i="12"/>
  <c r="Y2435" i="12"/>
  <c r="Y2403" i="12"/>
  <c r="Y2465" i="12"/>
  <c r="Y2409" i="12"/>
  <c r="Y2432" i="12"/>
  <c r="Y2607" i="12"/>
  <c r="Y2424" i="12"/>
  <c r="Y2371" i="12"/>
  <c r="Y2261" i="12"/>
  <c r="Y2406" i="12"/>
  <c r="Y2320" i="12"/>
  <c r="Y2359" i="12"/>
  <c r="Y2317" i="12"/>
  <c r="Y2538" i="12"/>
  <c r="Y2601" i="12"/>
  <c r="Y2354" i="12"/>
  <c r="Y2356" i="12"/>
  <c r="Y2311" i="12"/>
  <c r="Y2470" i="12"/>
  <c r="Y2507" i="12"/>
  <c r="Y2521" i="12"/>
  <c r="Y2321" i="12"/>
  <c r="Y2383" i="12"/>
  <c r="Y2360" i="12"/>
  <c r="Y2339" i="12"/>
  <c r="Y2305" i="12"/>
  <c r="Y2436" i="12"/>
  <c r="Y2353" i="12"/>
  <c r="Y2274" i="12"/>
  <c r="Y2247" i="12"/>
  <c r="Y2205" i="12"/>
  <c r="Y2189" i="12"/>
  <c r="Y2173" i="12"/>
  <c r="Y2141" i="12"/>
  <c r="Y2125" i="12"/>
  <c r="Y2109" i="12"/>
  <c r="Y2334" i="12"/>
  <c r="Y2284" i="12"/>
  <c r="Y2219" i="12"/>
  <c r="Y2052" i="12"/>
  <c r="Y2277" i="12"/>
  <c r="Y2329" i="12"/>
  <c r="Y2264" i="12"/>
  <c r="Y2248" i="12"/>
  <c r="Y2232" i="12"/>
  <c r="Y2216" i="12"/>
  <c r="Y2078" i="12"/>
  <c r="Y2328" i="12"/>
  <c r="Y2484" i="12"/>
  <c r="Y2421" i="12"/>
  <c r="Y2301" i="12"/>
  <c r="Y2340" i="12"/>
  <c r="Y2255" i="12"/>
  <c r="Y2271" i="12"/>
  <c r="Y2323" i="12"/>
  <c r="Y2399" i="12"/>
  <c r="Y2541" i="12"/>
  <c r="Y2589" i="12"/>
  <c r="Y2565" i="12"/>
  <c r="Y2519" i="12"/>
  <c r="Y2487" i="12"/>
  <c r="Y2577" i="12"/>
  <c r="Y2529" i="12"/>
  <c r="Y2501" i="12"/>
  <c r="Y2469" i="12"/>
  <c r="Y2618" i="12"/>
  <c r="Y2546" i="12"/>
  <c r="Y2482" i="12"/>
  <c r="Y2395" i="12"/>
  <c r="Y2410" i="12"/>
  <c r="Y2411" i="12"/>
  <c r="Y2342" i="12"/>
  <c r="Y2288" i="12"/>
  <c r="Y2637" i="12"/>
  <c r="Y2621" i="12"/>
  <c r="Y2460" i="12"/>
  <c r="Y2200" i="12"/>
  <c r="Y2184" i="12"/>
  <c r="Y2162" i="12"/>
  <c r="Y2526" i="12"/>
  <c r="Y2606" i="12"/>
  <c r="Y2472" i="12"/>
  <c r="Y2499" i="12"/>
  <c r="Y2449" i="12"/>
  <c r="Y2417" i="12"/>
  <c r="Y2387" i="12"/>
  <c r="Y2513" i="12"/>
  <c r="Y2425" i="12"/>
  <c r="Y2404" i="12"/>
  <c r="Y2427" i="12"/>
  <c r="Y2374" i="12"/>
  <c r="Y2350" i="12"/>
  <c r="Y2626" i="12"/>
  <c r="Y2408" i="12"/>
  <c r="Y2324" i="12"/>
  <c r="Y2270" i="12"/>
  <c r="Y2376" i="12"/>
  <c r="Y2332" i="12"/>
  <c r="Y2622" i="12"/>
  <c r="Y2653" i="12"/>
  <c r="Y2506" i="12"/>
  <c r="Y2377" i="12"/>
  <c r="Y2600" i="12"/>
  <c r="Y2393" i="12"/>
  <c r="Y2345" i="12"/>
  <c r="Y2375" i="12"/>
  <c r="Y2351" i="12"/>
  <c r="Y2394" i="12"/>
  <c r="Y2638" i="12"/>
  <c r="Y2562" i="12"/>
  <c r="Y2492" i="12"/>
  <c r="Y2475" i="12"/>
  <c r="Y2489" i="12"/>
  <c r="Y2365" i="12"/>
  <c r="Y2257" i="12"/>
  <c r="Y2316" i="12"/>
  <c r="Y2405" i="12"/>
  <c r="Y2313" i="12"/>
  <c r="Y2486" i="12"/>
  <c r="Y2594" i="12"/>
  <c r="Y2443" i="12"/>
  <c r="Y2263" i="12"/>
  <c r="Y2137" i="12"/>
  <c r="Y2121" i="12"/>
  <c r="Y2105" i="12"/>
  <c r="Y2280" i="12"/>
  <c r="Y2203" i="12"/>
  <c r="Y2187" i="12"/>
  <c r="Y2139" i="12"/>
  <c r="Y2123" i="12"/>
  <c r="Y2107" i="12"/>
  <c r="Y2091" i="12"/>
  <c r="Y2075" i="12"/>
  <c r="Y2500" i="12"/>
  <c r="Y2217" i="12"/>
  <c r="Y2235" i="12"/>
  <c r="Y2144" i="12"/>
  <c r="Y2128" i="12"/>
  <c r="Y2112" i="12"/>
  <c r="Y2096" i="12"/>
  <c r="Y2549" i="12"/>
  <c r="Y2357" i="12"/>
  <c r="Y2223" i="12"/>
  <c r="Y2314" i="12"/>
  <c r="Y2309" i="12"/>
  <c r="Y2364" i="12"/>
  <c r="Y2262" i="12"/>
  <c r="Y2246" i="12"/>
  <c r="Y2230" i="12"/>
  <c r="Y2214" i="12"/>
  <c r="Y2198" i="12"/>
  <c r="Y2182" i="12"/>
  <c r="Y2171" i="12"/>
  <c r="Y2168" i="12"/>
  <c r="Y2055" i="12"/>
  <c r="Y2038" i="12"/>
  <c r="Y1830" i="12"/>
  <c r="Y1814" i="12"/>
  <c r="Y1798" i="12"/>
  <c r="Y1699" i="12"/>
  <c r="Y1973" i="12"/>
  <c r="Y2471" i="12"/>
  <c r="Y2429" i="12"/>
  <c r="Y2517" i="12"/>
  <c r="Y2485" i="12"/>
  <c r="Y2442" i="12"/>
  <c r="Y2650" i="12"/>
  <c r="Y2514" i="12"/>
  <c r="Y2558" i="12"/>
  <c r="Y2380" i="12"/>
  <c r="Y2333" i="12"/>
  <c r="Y2308" i="12"/>
  <c r="Y2292" i="12"/>
  <c r="Y2645" i="12"/>
  <c r="Y2629" i="12"/>
  <c r="Y2613" i="12"/>
  <c r="Y2452" i="12"/>
  <c r="Y2396" i="12"/>
  <c r="Y2208" i="12"/>
  <c r="Y2192" i="12"/>
  <c r="Y2630" i="12"/>
  <c r="Y2494" i="12"/>
  <c r="Y2550" i="12"/>
  <c r="Y2488" i="12"/>
  <c r="Y2467" i="12"/>
  <c r="Y2433" i="12"/>
  <c r="Y2401" i="12"/>
  <c r="Y2481" i="12"/>
  <c r="Y2490" i="12"/>
  <c r="Y2440" i="12"/>
  <c r="Y2245" i="12"/>
  <c r="Y2325" i="12"/>
  <c r="Y2390" i="12"/>
  <c r="Y2343" i="12"/>
  <c r="Y2322" i="12"/>
  <c r="Y2642" i="12"/>
  <c r="Y2366" i="12"/>
  <c r="Y2237" i="12"/>
  <c r="Y2303" i="12"/>
  <c r="Y2502" i="12"/>
  <c r="Y2603" i="12"/>
  <c r="Y2391" i="12"/>
  <c r="Y2297" i="12"/>
  <c r="Y2523" i="12"/>
  <c r="Y2362" i="12"/>
  <c r="Y2231" i="12"/>
  <c r="Y2161" i="12"/>
  <c r="Y2209" i="12"/>
  <c r="Y2145" i="12"/>
  <c r="Y2129" i="12"/>
  <c r="Y2113" i="12"/>
  <c r="Y2097" i="12"/>
  <c r="Y2195" i="12"/>
  <c r="Y2147" i="12"/>
  <c r="Y2373" i="12"/>
  <c r="Y2272" i="12"/>
  <c r="Y2136" i="12"/>
  <c r="Y2120" i="12"/>
  <c r="Y2104" i="12"/>
  <c r="Y2088" i="12"/>
  <c r="Y2315" i="12"/>
  <c r="Y2347" i="12"/>
  <c r="Y2227" i="12"/>
  <c r="Y2158" i="12"/>
  <c r="Y2283" i="12"/>
  <c r="Y2254" i="12"/>
  <c r="Y2238" i="12"/>
  <c r="Y2222" i="12"/>
  <c r="Y2206" i="12"/>
  <c r="Y2190" i="12"/>
  <c r="Y2265" i="12"/>
  <c r="Y1951" i="12"/>
  <c r="Y2047" i="12"/>
  <c r="Y1967" i="12"/>
  <c r="Y1912" i="12"/>
  <c r="Y1896" i="12"/>
  <c r="Y1880" i="12"/>
  <c r="Y1864" i="12"/>
  <c r="Y1838" i="12"/>
  <c r="Y1822" i="12"/>
  <c r="Y1683" i="12"/>
  <c r="Y1667" i="12"/>
  <c r="Y1651" i="12"/>
  <c r="Y1715" i="12"/>
  <c r="Y2020" i="12"/>
  <c r="Y2004" i="12"/>
  <c r="Y1988" i="12"/>
  <c r="Y1998" i="12"/>
  <c r="Y1982" i="12"/>
  <c r="Y1962" i="12"/>
  <c r="Y1852" i="12"/>
  <c r="Y1805" i="12"/>
  <c r="Y1693" i="12"/>
  <c r="Y1829" i="12"/>
  <c r="Y1778" i="12"/>
  <c r="Y1762" i="12"/>
  <c r="Y1746" i="12"/>
  <c r="Y1730" i="12"/>
  <c r="Y1936" i="12"/>
  <c r="Y1813" i="12"/>
  <c r="Y1797" i="12"/>
  <c r="Y1787" i="12"/>
  <c r="Y1771" i="12"/>
  <c r="Y1755" i="12"/>
  <c r="Y1739" i="12"/>
  <c r="Y1810" i="12"/>
  <c r="Y1512" i="12"/>
  <c r="Y1643" i="12"/>
  <c r="Y1627" i="12"/>
  <c r="Y1950" i="12"/>
  <c r="Y2037" i="12"/>
  <c r="Y2021" i="12"/>
  <c r="Y2005" i="12"/>
  <c r="Y2045" i="12"/>
  <c r="Y2093" i="12"/>
  <c r="Y2077" i="12"/>
  <c r="Y2035" i="12"/>
  <c r="Y2019" i="12"/>
  <c r="Y2003" i="12"/>
  <c r="Y1987" i="12"/>
  <c r="Y1533" i="12"/>
  <c r="Y1989" i="12"/>
  <c r="Y2031" i="12"/>
  <c r="Y2015" i="12"/>
  <c r="Y1999" i="12"/>
  <c r="Y1983" i="12"/>
  <c r="Y1966" i="12"/>
  <c r="Y1963" i="12"/>
  <c r="Y1845" i="12"/>
  <c r="Y1590" i="12"/>
  <c r="Y1574" i="12"/>
  <c r="Y1542" i="12"/>
  <c r="Y1528" i="12"/>
  <c r="Y1549" i="12"/>
  <c r="Y1531" i="12"/>
  <c r="Y1501" i="12"/>
  <c r="Y1485" i="12"/>
  <c r="Y1609" i="12"/>
  <c r="Y1593" i="12"/>
  <c r="Y1577" i="12"/>
  <c r="Y1527" i="12"/>
  <c r="Y1330" i="12"/>
  <c r="Y1314" i="12"/>
  <c r="Y1298" i="12"/>
  <c r="Y26" i="12"/>
  <c r="Y2048" i="12"/>
  <c r="Y2335" i="12"/>
  <c r="Y2180" i="12"/>
  <c r="Y2260" i="12"/>
  <c r="Y2244" i="12"/>
  <c r="Y2228" i="12"/>
  <c r="Y2153" i="12"/>
  <c r="Y2138" i="12"/>
  <c r="Y2122" i="12"/>
  <c r="Y2106" i="12"/>
  <c r="Y2090" i="12"/>
  <c r="Y2074" i="12"/>
  <c r="Y2036" i="12"/>
  <c r="Y2461" i="12"/>
  <c r="Y2473" i="12"/>
  <c r="Y2352" i="12"/>
  <c r="Y2159" i="12"/>
  <c r="Y2160" i="12"/>
  <c r="Y2273" i="12"/>
  <c r="Y2318" i="12"/>
  <c r="Y2286" i="12"/>
  <c r="Y2266" i="12"/>
  <c r="Y2518" i="12"/>
  <c r="Y2249" i="12"/>
  <c r="Y2326" i="12"/>
  <c r="Y2370" i="12"/>
  <c r="Y2349" i="12"/>
  <c r="Y2243" i="12"/>
  <c r="Y2279" i="12"/>
  <c r="Y2170" i="12"/>
  <c r="Y2250" i="12"/>
  <c r="Y2234" i="12"/>
  <c r="Y2218" i="12"/>
  <c r="Y2202" i="12"/>
  <c r="Y2186" i="12"/>
  <c r="Y2174" i="12"/>
  <c r="Y1957" i="12"/>
  <c r="Y2034" i="12"/>
  <c r="Y2018" i="12"/>
  <c r="Y2002" i="12"/>
  <c r="Y1986" i="12"/>
  <c r="Y1802" i="12"/>
  <c r="Y1834" i="12"/>
  <c r="Y1818" i="12"/>
  <c r="Y1780" i="12"/>
  <c r="Y1764" i="12"/>
  <c r="Y1748" i="12"/>
  <c r="Y1732" i="12"/>
  <c r="Y1707" i="12"/>
  <c r="Y2026" i="12"/>
  <c r="Y2010" i="12"/>
  <c r="Y2033" i="12"/>
  <c r="Y2017" i="12"/>
  <c r="Y2001" i="12"/>
  <c r="Y1985" i="12"/>
  <c r="Y1931" i="12"/>
  <c r="Y1867" i="12"/>
  <c r="Y1932" i="12"/>
  <c r="Y1646" i="12"/>
  <c r="Y1510" i="12"/>
  <c r="Y1639" i="12"/>
  <c r="Y1623" i="12"/>
  <c r="Y2046" i="12"/>
  <c r="Y1974" i="12"/>
  <c r="Y1956" i="12"/>
  <c r="Y1948" i="12"/>
  <c r="Y2057" i="12"/>
  <c r="Y2040" i="12"/>
  <c r="Y2089" i="12"/>
  <c r="Y2073" i="12"/>
  <c r="Y1861" i="12"/>
  <c r="Y1846" i="12"/>
  <c r="Y2027" i="12"/>
  <c r="Y2011" i="12"/>
  <c r="Y1933" i="12"/>
  <c r="Y1508" i="12"/>
  <c r="Y1511" i="12"/>
  <c r="Y935" i="12"/>
  <c r="Y919" i="12"/>
  <c r="Y903" i="12"/>
  <c r="Y1928" i="12"/>
  <c r="Y1779" i="12"/>
  <c r="Y1763" i="12"/>
  <c r="Y1747" i="12"/>
  <c r="Y1731" i="12"/>
  <c r="Y1650" i="12"/>
  <c r="Y2053" i="12"/>
  <c r="Y2085" i="12"/>
  <c r="Y2069" i="12"/>
  <c r="Y1863" i="12"/>
  <c r="Y1997" i="12"/>
  <c r="Y1981" i="12"/>
  <c r="Y1991" i="12"/>
  <c r="Y1975" i="12"/>
  <c r="Y1868" i="12"/>
  <c r="Y1929" i="12"/>
  <c r="Y1807" i="12"/>
  <c r="Y1866" i="12"/>
  <c r="Y1794" i="12"/>
  <c r="Y1493" i="12"/>
  <c r="Y1601" i="12"/>
  <c r="Y1585" i="12"/>
  <c r="Y1569" i="12"/>
  <c r="Y1453" i="12"/>
  <c r="Y1702" i="12"/>
  <c r="Y1644" i="12"/>
  <c r="Y1628" i="12"/>
  <c r="Y1564" i="12"/>
  <c r="Y1460" i="12"/>
  <c r="Y1514" i="12"/>
  <c r="Y1559" i="12"/>
  <c r="Y1526" i="12"/>
  <c r="Y1480" i="12"/>
  <c r="Y1554" i="12"/>
  <c r="Y1647" i="12"/>
  <c r="Y1532" i="12"/>
  <c r="Y1464" i="12"/>
  <c r="Y1099" i="12"/>
  <c r="Y1067" i="12"/>
  <c r="Y1035" i="12"/>
  <c r="Y880" i="12"/>
  <c r="Y872" i="12"/>
  <c r="Y864" i="12"/>
  <c r="Y954" i="12"/>
  <c r="Y850" i="12"/>
  <c r="Y834" i="12"/>
  <c r="Y818" i="12"/>
  <c r="Y802" i="12"/>
  <c r="Y786" i="12"/>
  <c r="Y770" i="12"/>
  <c r="Y994" i="12"/>
  <c r="Y668" i="12"/>
  <c r="Y652" i="12"/>
  <c r="Y636" i="12"/>
  <c r="Y464" i="12"/>
  <c r="Y416" i="12"/>
  <c r="Y2072" i="12"/>
  <c r="Y2056" i="12"/>
  <c r="Y2281" i="12"/>
  <c r="Y2172" i="12"/>
  <c r="Y2252" i="12"/>
  <c r="Y2236" i="12"/>
  <c r="Y2220" i="12"/>
  <c r="Y2175" i="12"/>
  <c r="Y2146" i="12"/>
  <c r="Y2130" i="12"/>
  <c r="Y2114" i="12"/>
  <c r="Y2098" i="12"/>
  <c r="Y2082" i="12"/>
  <c r="Y2066" i="12"/>
  <c r="Y2157" i="12"/>
  <c r="Y2233" i="12"/>
  <c r="Y2239" i="12"/>
  <c r="Y2148" i="12"/>
  <c r="Y2156" i="12"/>
  <c r="Y2278" i="12"/>
  <c r="Y2062" i="12"/>
  <c r="Y2468" i="12"/>
  <c r="Y2416" i="12"/>
  <c r="Y2163" i="12"/>
  <c r="Y2287" i="12"/>
  <c r="Y2258" i="12"/>
  <c r="Y2242" i="12"/>
  <c r="Y2226" i="12"/>
  <c r="Y2210" i="12"/>
  <c r="Y2194" i="12"/>
  <c r="Y2179" i="12"/>
  <c r="Y2167" i="12"/>
  <c r="Y2151" i="12"/>
  <c r="Y2044" i="12"/>
  <c r="Y2051" i="12"/>
  <c r="Y1916" i="12"/>
  <c r="Y1900" i="12"/>
  <c r="Y1884" i="12"/>
  <c r="Y1921" i="12"/>
  <c r="Y1905" i="12"/>
  <c r="Y1889" i="12"/>
  <c r="Y1873" i="12"/>
  <c r="Y1826" i="12"/>
  <c r="Y1911" i="12"/>
  <c r="Y1895" i="12"/>
  <c r="Y1879" i="12"/>
  <c r="Y1691" i="12"/>
  <c r="Y1993" i="12"/>
  <c r="Y1977" i="12"/>
  <c r="Y1964" i="12"/>
  <c r="Y1923" i="12"/>
  <c r="Y1782" i="12"/>
  <c r="Y1766" i="12"/>
  <c r="Y1750" i="12"/>
  <c r="Y1734" i="12"/>
  <c r="Y1940" i="12"/>
  <c r="Y1791" i="12"/>
  <c r="Y1775" i="12"/>
  <c r="Y1759" i="12"/>
  <c r="Y1743" i="12"/>
  <c r="Y1727" i="12"/>
  <c r="Y1515" i="12"/>
  <c r="Y2030" i="12"/>
  <c r="Y2014" i="12"/>
  <c r="Y1952" i="12"/>
  <c r="Y2049" i="12"/>
  <c r="Y2081" i="12"/>
  <c r="Y2065" i="12"/>
  <c r="Y2023" i="12"/>
  <c r="Y2007" i="12"/>
  <c r="Y1853" i="12"/>
  <c r="Y1859" i="12"/>
  <c r="Y2025" i="12"/>
  <c r="Y2009" i="12"/>
  <c r="Y2061" i="12"/>
  <c r="Y1970" i="12"/>
  <c r="Y2028" i="12"/>
  <c r="Y1925" i="12"/>
  <c r="Y1578" i="12"/>
  <c r="Y1634" i="12"/>
  <c r="Y1618" i="12"/>
  <c r="Y1556" i="12"/>
  <c r="Y1611" i="12"/>
  <c r="Y1595" i="12"/>
  <c r="Y1282" i="12"/>
  <c r="Y1266" i="12"/>
  <c r="Y1250" i="12"/>
  <c r="Y1234" i="12"/>
  <c r="Y1049" i="12"/>
  <c r="Y579" i="12"/>
  <c r="Y570" i="12"/>
  <c r="Y966" i="12"/>
  <c r="Y876" i="12"/>
  <c r="Y868" i="12"/>
  <c r="Y247" i="12"/>
  <c r="Y231" i="12"/>
  <c r="Y431" i="12"/>
  <c r="Y1908" i="12"/>
  <c r="Y1892" i="12"/>
  <c r="Y1876" i="12"/>
  <c r="Y1536" i="12"/>
  <c r="Y887" i="12"/>
  <c r="Y754" i="12"/>
  <c r="Y738" i="12"/>
  <c r="Y722" i="12"/>
  <c r="Y706" i="12"/>
  <c r="Y690" i="12"/>
  <c r="Y674" i="12"/>
  <c r="Y658" i="12"/>
  <c r="Y642" i="12"/>
  <c r="Y626" i="12"/>
  <c r="Y936" i="12"/>
  <c r="Y920" i="12"/>
  <c r="Y904" i="12"/>
  <c r="Y888" i="12"/>
  <c r="Y239" i="12"/>
  <c r="Y208" i="12"/>
  <c r="Y332" i="12"/>
  <c r="Y458" i="12"/>
  <c r="Y426" i="12"/>
  <c r="Y395" i="12"/>
  <c r="Y538" i="12"/>
  <c r="Y506" i="12"/>
  <c r="Y474" i="12"/>
  <c r="Y313" i="12"/>
  <c r="Y297" i="12"/>
  <c r="Y545" i="12"/>
  <c r="Y513" i="12"/>
  <c r="Y481" i="12"/>
  <c r="Y205" i="12"/>
  <c r="Y1961" i="12"/>
  <c r="Y1839" i="12"/>
  <c r="Y1823" i="12"/>
  <c r="Y1713" i="12"/>
  <c r="Y1811" i="12"/>
  <c r="Y1477" i="12"/>
  <c r="Y1949" i="12"/>
  <c r="Y1913" i="12"/>
  <c r="Y1897" i="12"/>
  <c r="Y1881" i="12"/>
  <c r="Y1847" i="12"/>
  <c r="Y1919" i="12"/>
  <c r="Y1903" i="12"/>
  <c r="Y1887" i="12"/>
  <c r="Y1871" i="12"/>
  <c r="Y1831" i="12"/>
  <c r="Y1815" i="12"/>
  <c r="Y1799" i="12"/>
  <c r="Y1716" i="12"/>
  <c r="Y1684" i="12"/>
  <c r="Y1670" i="12"/>
  <c r="Y1566" i="12"/>
  <c r="Y1680" i="12"/>
  <c r="Y1664" i="12"/>
  <c r="Y2041" i="12"/>
  <c r="Y1785" i="12"/>
  <c r="Y1769" i="12"/>
  <c r="Y1753" i="12"/>
  <c r="Y1737" i="12"/>
  <c r="Y1721" i="12"/>
  <c r="Y1705" i="12"/>
  <c r="Y1689" i="12"/>
  <c r="Y1841" i="12"/>
  <c r="Y1825" i="12"/>
  <c r="Y1790" i="12"/>
  <c r="Y1774" i="12"/>
  <c r="Y1758" i="12"/>
  <c r="Y1742" i="12"/>
  <c r="Y1726" i="12"/>
  <c r="Y1855" i="12"/>
  <c r="Y1795" i="12"/>
  <c r="Y1783" i="12"/>
  <c r="Y1767" i="12"/>
  <c r="Y1751" i="12"/>
  <c r="Y1735" i="12"/>
  <c r="Y1557" i="12"/>
  <c r="Y1840" i="12"/>
  <c r="Y1824" i="12"/>
  <c r="Y1804" i="12"/>
  <c r="Y1587" i="12"/>
  <c r="Y1571" i="12"/>
  <c r="Y1539" i="12"/>
  <c r="Y1509" i="12"/>
  <c r="Y1523" i="12"/>
  <c r="Y1286" i="12"/>
  <c r="Y1270" i="12"/>
  <c r="Y1254" i="12"/>
  <c r="Y1238" i="12"/>
  <c r="Y1703" i="12"/>
  <c r="Y1563" i="12"/>
  <c r="Y1788" i="12"/>
  <c r="Y1772" i="12"/>
  <c r="Y1756" i="12"/>
  <c r="Y1740" i="12"/>
  <c r="Y1724" i="12"/>
  <c r="Y1708" i="12"/>
  <c r="Y1692" i="12"/>
  <c r="Y2024" i="12"/>
  <c r="Y2008" i="12"/>
  <c r="Y1777" i="12"/>
  <c r="Y1761" i="12"/>
  <c r="Y1745" i="12"/>
  <c r="Y1729" i="12"/>
  <c r="Y1697" i="12"/>
  <c r="Y1924" i="12"/>
  <c r="Y1851" i="12"/>
  <c r="Y1560" i="12"/>
  <c r="Y1944" i="12"/>
  <c r="Y1808" i="12"/>
  <c r="Y1535" i="12"/>
  <c r="Y2029" i="12"/>
  <c r="Y2013" i="12"/>
  <c r="Y1935" i="12"/>
  <c r="Y1844" i="12"/>
  <c r="Y1857" i="12"/>
  <c r="Y1942" i="12"/>
  <c r="Y1828" i="12"/>
  <c r="Y1865" i="12"/>
  <c r="Y2039" i="12"/>
  <c r="Y1992" i="12"/>
  <c r="Y1976" i="12"/>
  <c r="Y1968" i="12"/>
  <c r="Y1937" i="12"/>
  <c r="Y1529" i="12"/>
  <c r="Y1513" i="12"/>
  <c r="Y1495" i="12"/>
  <c r="Y1479" i="12"/>
  <c r="Y1463" i="12"/>
  <c r="Y1447" i="12"/>
  <c r="Y1613" i="12"/>
  <c r="Y1597" i="12"/>
  <c r="Y1969" i="12"/>
  <c r="Y1869" i="12"/>
  <c r="Y1934" i="12"/>
  <c r="Y1918" i="12"/>
  <c r="Y1902" i="12"/>
  <c r="Y1886" i="12"/>
  <c r="Y1870" i="12"/>
  <c r="Y1856" i="12"/>
  <c r="Y1796" i="12"/>
  <c r="Y1633" i="12"/>
  <c r="Y1617" i="12"/>
  <c r="Y1586" i="12"/>
  <c r="Y1570" i="12"/>
  <c r="Y1591" i="12"/>
  <c r="Y1575" i="12"/>
  <c r="Y1543" i="12"/>
  <c r="Y1608" i="12"/>
  <c r="Y1592" i="12"/>
  <c r="Y1687" i="12"/>
  <c r="Y1545" i="12"/>
  <c r="Y1497" i="12"/>
  <c r="Y1481" i="12"/>
  <c r="Y1589" i="12"/>
  <c r="Y1573" i="12"/>
  <c r="Y1541" i="12"/>
  <c r="Y1525" i="12"/>
  <c r="Y1507" i="12"/>
  <c r="Y1469" i="12"/>
  <c r="Y1461" i="12"/>
  <c r="Y1552" i="12"/>
  <c r="Y1488" i="12"/>
  <c r="Y1588" i="12"/>
  <c r="Y1572" i="12"/>
  <c r="Y1540" i="12"/>
  <c r="Y1710" i="12"/>
  <c r="Y1681" i="12"/>
  <c r="Y1665" i="12"/>
  <c r="Y1632" i="12"/>
  <c r="Y1616" i="12"/>
  <c r="Y1568" i="12"/>
  <c r="Y1504" i="12"/>
  <c r="Y1438" i="12"/>
  <c r="Y1422" i="12"/>
  <c r="Y1406" i="12"/>
  <c r="Y1390" i="12"/>
  <c r="Y1374" i="12"/>
  <c r="Y1358" i="12"/>
  <c r="Y1342" i="12"/>
  <c r="Y1326" i="12"/>
  <c r="Y1310" i="12"/>
  <c r="Y1296" i="12"/>
  <c r="Y1288" i="12"/>
  <c r="Y1280" i="12"/>
  <c r="Y1272" i="12"/>
  <c r="Y1264" i="12"/>
  <c r="Y1256" i="12"/>
  <c r="Y1248" i="12"/>
  <c r="Y1240" i="12"/>
  <c r="Y1232" i="12"/>
  <c r="Y1012" i="12"/>
  <c r="Y1055" i="12"/>
  <c r="Y1047" i="12"/>
  <c r="Y1468" i="12"/>
  <c r="Y1567" i="12"/>
  <c r="Y1502" i="12"/>
  <c r="Y1610" i="12"/>
  <c r="Y1594" i="12"/>
  <c r="Y1517" i="12"/>
  <c r="Y1431" i="12"/>
  <c r="Y1415" i="12"/>
  <c r="Y1399" i="12"/>
  <c r="Y1383" i="12"/>
  <c r="Y1367" i="12"/>
  <c r="Y1351" i="12"/>
  <c r="Y1335" i="12"/>
  <c r="Y1319" i="12"/>
  <c r="Y1303" i="12"/>
  <c r="Y1496" i="12"/>
  <c r="Y1558" i="12"/>
  <c r="Y1714" i="12"/>
  <c r="Y1490" i="12"/>
  <c r="Y1474" i="12"/>
  <c r="Y1458" i="12"/>
  <c r="Y1442" i="12"/>
  <c r="Y1440" i="12"/>
  <c r="Y1297" i="12"/>
  <c r="Y1289" i="12"/>
  <c r="Y1281" i="12"/>
  <c r="Y1273" i="12"/>
  <c r="Y1265" i="12"/>
  <c r="Y1257" i="12"/>
  <c r="Y1249" i="12"/>
  <c r="Y1241" i="12"/>
  <c r="Y1233" i="12"/>
  <c r="Y1221" i="12"/>
  <c r="Y1205" i="12"/>
  <c r="Y1189" i="12"/>
  <c r="Y1173" i="12"/>
  <c r="Y1157" i="12"/>
  <c r="Y1141" i="12"/>
  <c r="Y1125" i="12"/>
  <c r="Y1109" i="12"/>
  <c r="Y1093" i="12"/>
  <c r="Y1077" i="12"/>
  <c r="Y1061" i="12"/>
  <c r="Y1029" i="12"/>
  <c r="Y1013" i="12"/>
  <c r="Y1214" i="12"/>
  <c r="Y1198" i="12"/>
  <c r="Y1182" i="12"/>
  <c r="Y1166" i="12"/>
  <c r="Y1150" i="12"/>
  <c r="Y1134" i="12"/>
  <c r="Y1118" i="12"/>
  <c r="Y1102" i="12"/>
  <c r="Y1086" i="12"/>
  <c r="Y1070" i="12"/>
  <c r="Y1056" i="12"/>
  <c r="Y1048" i="12"/>
  <c r="Y1038" i="12"/>
  <c r="Y1014" i="12"/>
  <c r="Y998" i="12"/>
  <c r="Y1436" i="12"/>
  <c r="Y1420" i="12"/>
  <c r="Y1404" i="12"/>
  <c r="Y1388" i="12"/>
  <c r="Y1372" i="12"/>
  <c r="Y1356" i="12"/>
  <c r="Y1340" i="12"/>
  <c r="Y1324" i="12"/>
  <c r="Y1308" i="12"/>
  <c r="Y1223" i="12"/>
  <c r="Y1207" i="12"/>
  <c r="Y1191" i="12"/>
  <c r="Y1175" i="12"/>
  <c r="Y1159" i="12"/>
  <c r="Y1143" i="12"/>
  <c r="Y1107" i="12"/>
  <c r="Y1075" i="12"/>
  <c r="Y1441" i="12"/>
  <c r="Y1397" i="12"/>
  <c r="Y1333" i="12"/>
  <c r="Y958" i="12"/>
  <c r="Y982" i="12"/>
  <c r="Y1607" i="12"/>
  <c r="Y1706" i="12"/>
  <c r="Y1550" i="12"/>
  <c r="Y1486" i="12"/>
  <c r="Y1470" i="12"/>
  <c r="Y1217" i="12"/>
  <c r="Y1201" i="12"/>
  <c r="Y1185" i="12"/>
  <c r="Y1169" i="12"/>
  <c r="Y1153" i="12"/>
  <c r="Y1137" i="12"/>
  <c r="Y1121" i="12"/>
  <c r="Y1105" i="12"/>
  <c r="Y1089" i="12"/>
  <c r="Y1073" i="12"/>
  <c r="Y1041" i="12"/>
  <c r="Y1226" i="12"/>
  <c r="Y1210" i="12"/>
  <c r="Y1194" i="12"/>
  <c r="Y1178" i="12"/>
  <c r="Y1162" i="12"/>
  <c r="Y1146" i="12"/>
  <c r="Y1130" i="12"/>
  <c r="Y1114" i="12"/>
  <c r="Y1098" i="12"/>
  <c r="Y1082" i="12"/>
  <c r="Y1066" i="12"/>
  <c r="Y1054" i="12"/>
  <c r="Y1046" i="12"/>
  <c r="Y1034" i="12"/>
  <c r="Y1432" i="12"/>
  <c r="Y1416" i="12"/>
  <c r="Y1400" i="12"/>
  <c r="Y1384" i="12"/>
  <c r="Y1368" i="12"/>
  <c r="Y1352" i="12"/>
  <c r="Y1336" i="12"/>
  <c r="Y1320" i="12"/>
  <c r="Y1304" i="12"/>
  <c r="Y1219" i="12"/>
  <c r="Y1203" i="12"/>
  <c r="Y1187" i="12"/>
  <c r="Y1171" i="12"/>
  <c r="Y1155" i="12"/>
  <c r="Y1139" i="12"/>
  <c r="Y1413" i="12"/>
  <c r="Y1349" i="12"/>
  <c r="Y1025" i="12"/>
  <c r="Y1385" i="12"/>
  <c r="Y1321" i="12"/>
  <c r="Y1009" i="12"/>
  <c r="Y942" i="12"/>
  <c r="Y926" i="12"/>
  <c r="Y910" i="12"/>
  <c r="Y894" i="12"/>
  <c r="Y1111" i="12"/>
  <c r="Y1079" i="12"/>
  <c r="Y1421" i="12"/>
  <c r="Y1357" i="12"/>
  <c r="Y944" i="12"/>
  <c r="Y928" i="12"/>
  <c r="Y912" i="12"/>
  <c r="Y896" i="12"/>
  <c r="Y1425" i="12"/>
  <c r="Y1361" i="12"/>
  <c r="Y1212" i="12"/>
  <c r="Y1196" i="12"/>
  <c r="Y1180" i="12"/>
  <c r="Y1164" i="12"/>
  <c r="Y1148" i="12"/>
  <c r="Y1132" i="12"/>
  <c r="Y1116" i="12"/>
  <c r="Y1100" i="12"/>
  <c r="Y1084" i="12"/>
  <c r="Y1068" i="12"/>
  <c r="Y1036" i="12"/>
  <c r="Y1016" i="12"/>
  <c r="Y851" i="12"/>
  <c r="Y835" i="12"/>
  <c r="Y819" i="12"/>
  <c r="Y803" i="12"/>
  <c r="Y787" i="12"/>
  <c r="Y771" i="12"/>
  <c r="Y755" i="12"/>
  <c r="Y739" i="12"/>
  <c r="Y1521" i="12"/>
  <c r="Y1471" i="12"/>
  <c r="Y1439" i="12"/>
  <c r="Y1605" i="12"/>
  <c r="Y2050" i="12"/>
  <c r="Y2012" i="12"/>
  <c r="Y1965" i="12"/>
  <c r="Y1972" i="12"/>
  <c r="Y1941" i="12"/>
  <c r="Y1848" i="12"/>
  <c r="Y1926" i="12"/>
  <c r="Y1910" i="12"/>
  <c r="Y1894" i="12"/>
  <c r="Y1878" i="12"/>
  <c r="Y1862" i="12"/>
  <c r="Y1803" i="12"/>
  <c r="Y1792" i="12"/>
  <c r="Y1641" i="12"/>
  <c r="Y1625" i="12"/>
  <c r="Y1583" i="12"/>
  <c r="Y1537" i="12"/>
  <c r="Y1600" i="12"/>
  <c r="Y1476" i="12"/>
  <c r="Y1503" i="12"/>
  <c r="Y1489" i="12"/>
  <c r="Y1581" i="12"/>
  <c r="Y1518" i="12"/>
  <c r="Y1445" i="12"/>
  <c r="Y1711" i="12"/>
  <c r="Y1599" i="12"/>
  <c r="Y1580" i="12"/>
  <c r="Y1694" i="12"/>
  <c r="Y1673" i="12"/>
  <c r="Y1657" i="12"/>
  <c r="Y1640" i="12"/>
  <c r="Y1624" i="12"/>
  <c r="Y1452" i="12"/>
  <c r="Y1430" i="12"/>
  <c r="Y1414" i="12"/>
  <c r="Y1398" i="12"/>
  <c r="Y1382" i="12"/>
  <c r="Y1366" i="12"/>
  <c r="Y1350" i="12"/>
  <c r="Y1334" i="12"/>
  <c r="Y1318" i="12"/>
  <c r="Y1302" i="12"/>
  <c r="Y1292" i="12"/>
  <c r="Y1284" i="12"/>
  <c r="Y1276" i="12"/>
  <c r="Y1268" i="12"/>
  <c r="Y1260" i="12"/>
  <c r="Y1252" i="12"/>
  <c r="Y1244" i="12"/>
  <c r="Y1236" i="12"/>
  <c r="Y1051" i="12"/>
  <c r="Y1043" i="12"/>
  <c r="Y1500" i="12"/>
  <c r="Y1602" i="12"/>
  <c r="Y1555" i="12"/>
  <c r="Y1506" i="12"/>
  <c r="Y1423" i="12"/>
  <c r="Y1407" i="12"/>
  <c r="Y1391" i="12"/>
  <c r="Y1375" i="12"/>
  <c r="Y1359" i="12"/>
  <c r="Y1343" i="12"/>
  <c r="Y1327" i="12"/>
  <c r="Y1311" i="12"/>
  <c r="Y1530" i="12"/>
  <c r="Y1723" i="12"/>
  <c r="Y1516" i="12"/>
  <c r="Y1698" i="12"/>
  <c r="Y1546" i="12"/>
  <c r="Y1498" i="12"/>
  <c r="Y1482" i="12"/>
  <c r="Y1466" i="12"/>
  <c r="Y1450" i="12"/>
  <c r="Y1456" i="12"/>
  <c r="Y1293" i="12"/>
  <c r="Y1285" i="12"/>
  <c r="Y1277" i="12"/>
  <c r="Y1269" i="12"/>
  <c r="Y1261" i="12"/>
  <c r="Y1253" i="12"/>
  <c r="Y1245" i="12"/>
  <c r="Y1237" i="12"/>
  <c r="Y1229" i="12"/>
  <c r="Y1213" i="12"/>
  <c r="Y1197" i="12"/>
  <c r="Y1181" i="12"/>
  <c r="Y1165" i="12"/>
  <c r="Y1149" i="12"/>
  <c r="Y1133" i="12"/>
  <c r="Y1117" i="12"/>
  <c r="Y1101" i="12"/>
  <c r="Y1085" i="12"/>
  <c r="Y1069" i="12"/>
  <c r="Y1037" i="12"/>
  <c r="Y1222" i="12"/>
  <c r="Y1206" i="12"/>
  <c r="Y1190" i="12"/>
  <c r="Y1174" i="12"/>
  <c r="Y1158" i="12"/>
  <c r="Y1142" i="12"/>
  <c r="Y1126" i="12"/>
  <c r="Y1110" i="12"/>
  <c r="Y1094" i="12"/>
  <c r="Y1078" i="12"/>
  <c r="Y1062" i="12"/>
  <c r="Y1052" i="12"/>
  <c r="Y1044" i="12"/>
  <c r="Y1030" i="12"/>
  <c r="Y1428" i="12"/>
  <c r="Y1412" i="12"/>
  <c r="Y1396" i="12"/>
  <c r="Y1380" i="12"/>
  <c r="Y1364" i="12"/>
  <c r="Y1348" i="12"/>
  <c r="Y1332" i="12"/>
  <c r="Y1316" i="12"/>
  <c r="Y1300" i="12"/>
  <c r="Y1215" i="12"/>
  <c r="Y1199" i="12"/>
  <c r="Y1183" i="12"/>
  <c r="Y1167" i="12"/>
  <c r="Y1151" i="12"/>
  <c r="Y1135" i="12"/>
  <c r="Y1123" i="12"/>
  <c r="Y1091" i="12"/>
  <c r="Y1059" i="12"/>
  <c r="Y1429" i="12"/>
  <c r="Y1365" i="12"/>
  <c r="Y1301" i="12"/>
  <c r="Y1216" i="12"/>
  <c r="Y950" i="12"/>
  <c r="Y1027" i="12"/>
  <c r="Y1938" i="12"/>
  <c r="Y1922" i="12"/>
  <c r="Y1906" i="12"/>
  <c r="Y1890" i="12"/>
  <c r="Y1874" i="12"/>
  <c r="Y1858" i="12"/>
  <c r="Y1637" i="12"/>
  <c r="Y1621" i="12"/>
  <c r="Y1579" i="12"/>
  <c r="Y1719" i="12"/>
  <c r="Y1473" i="12"/>
  <c r="Y1576" i="12"/>
  <c r="Y1544" i="12"/>
  <c r="Y1718" i="12"/>
  <c r="Y1686" i="12"/>
  <c r="Y1669" i="12"/>
  <c r="Y1653" i="12"/>
  <c r="Y1636" i="12"/>
  <c r="Y1620" i="12"/>
  <c r="Y1524" i="12"/>
  <c r="Y1444" i="12"/>
  <c r="Y1290" i="12"/>
  <c r="Y1274" i="12"/>
  <c r="Y1258" i="12"/>
  <c r="Y1242" i="12"/>
  <c r="Y1057" i="12"/>
  <c r="Y1548" i="12"/>
  <c r="Y1484" i="12"/>
  <c r="Y1519" i="12"/>
  <c r="Y1435" i="12"/>
  <c r="Y1419" i="12"/>
  <c r="Y1403" i="12"/>
  <c r="Y1387" i="12"/>
  <c r="Y1371" i="12"/>
  <c r="Y1355" i="12"/>
  <c r="Y1339" i="12"/>
  <c r="Y1323" i="12"/>
  <c r="Y1307" i="12"/>
  <c r="Y1695" i="12"/>
  <c r="Y1690" i="12"/>
  <c r="Y1494" i="12"/>
  <c r="Y1478" i="12"/>
  <c r="Y1462" i="12"/>
  <c r="Y1446" i="12"/>
  <c r="Y1448" i="12"/>
  <c r="Y1291" i="12"/>
  <c r="Y1283" i="12"/>
  <c r="Y1275" i="12"/>
  <c r="Y1267" i="12"/>
  <c r="Y1259" i="12"/>
  <c r="Y1251" i="12"/>
  <c r="Y1243" i="12"/>
  <c r="Y1235" i="12"/>
  <c r="Y1225" i="12"/>
  <c r="Y1209" i="12"/>
  <c r="Y1193" i="12"/>
  <c r="Y1177" i="12"/>
  <c r="Y1161" i="12"/>
  <c r="Y1145" i="12"/>
  <c r="Y1129" i="12"/>
  <c r="Y1113" i="12"/>
  <c r="Y1097" i="12"/>
  <c r="Y1081" i="12"/>
  <c r="Y1065" i="12"/>
  <c r="Y1033" i="12"/>
  <c r="Y1017" i="12"/>
  <c r="Y1218" i="12"/>
  <c r="Y1202" i="12"/>
  <c r="Y1186" i="12"/>
  <c r="Y1170" i="12"/>
  <c r="Y1154" i="12"/>
  <c r="Y1138" i="12"/>
  <c r="Y1122" i="12"/>
  <c r="Y1106" i="12"/>
  <c r="Y1090" i="12"/>
  <c r="Y1074" i="12"/>
  <c r="Y1058" i="12"/>
  <c r="Y1050" i="12"/>
  <c r="Y1042" i="12"/>
  <c r="Y1018" i="12"/>
  <c r="Y1002" i="12"/>
  <c r="Y1424" i="12"/>
  <c r="Y1408" i="12"/>
  <c r="Y1392" i="12"/>
  <c r="Y1376" i="12"/>
  <c r="Y1360" i="12"/>
  <c r="Y1344" i="12"/>
  <c r="Y1328" i="12"/>
  <c r="Y1312" i="12"/>
  <c r="Y1227" i="12"/>
  <c r="Y1211" i="12"/>
  <c r="Y1195" i="12"/>
  <c r="Y1179" i="12"/>
  <c r="Y1163" i="12"/>
  <c r="Y1147" i="12"/>
  <c r="Y1131" i="12"/>
  <c r="Y1115" i="12"/>
  <c r="Y1083" i="12"/>
  <c r="Y1019" i="12"/>
  <c r="Y1381" i="12"/>
  <c r="Y1317" i="12"/>
  <c r="Y986" i="12"/>
  <c r="Y988" i="12"/>
  <c r="Y1417" i="12"/>
  <c r="Y1353" i="12"/>
  <c r="Y1010" i="12"/>
  <c r="Y967" i="12"/>
  <c r="Y997" i="12"/>
  <c r="Y981" i="12"/>
  <c r="Y999" i="12"/>
  <c r="Y1433" i="12"/>
  <c r="Y1369" i="12"/>
  <c r="Y1305" i="12"/>
  <c r="Y1220" i="12"/>
  <c r="Y1024" i="12"/>
  <c r="Y1006" i="12"/>
  <c r="Y938" i="12"/>
  <c r="Y922" i="12"/>
  <c r="Y906" i="12"/>
  <c r="Y890" i="12"/>
  <c r="Y618" i="12"/>
  <c r="Y602" i="12"/>
  <c r="Y964" i="12"/>
  <c r="Y1022" i="12"/>
  <c r="Y946" i="12"/>
  <c r="Y930" i="12"/>
  <c r="Y914" i="12"/>
  <c r="Y898" i="12"/>
  <c r="Y882" i="12"/>
  <c r="Y874" i="12"/>
  <c r="Y866" i="12"/>
  <c r="Y858" i="12"/>
  <c r="Y943" i="12"/>
  <c r="Y927" i="12"/>
  <c r="Y911" i="12"/>
  <c r="Y895" i="12"/>
  <c r="Y854" i="12"/>
  <c r="Y838" i="12"/>
  <c r="Y822" i="12"/>
  <c r="Y806" i="12"/>
  <c r="Y790" i="12"/>
  <c r="Y774" i="12"/>
  <c r="Y758" i="12"/>
  <c r="Y742" i="12"/>
  <c r="Y726" i="12"/>
  <c r="Y710" i="12"/>
  <c r="Y694" i="12"/>
  <c r="Y678" i="12"/>
  <c r="Y662" i="12"/>
  <c r="Y646" i="12"/>
  <c r="Y630" i="12"/>
  <c r="Y1119" i="12"/>
  <c r="Y1087" i="12"/>
  <c r="Y1457" i="12"/>
  <c r="Y1405" i="12"/>
  <c r="Y1341" i="12"/>
  <c r="Y963" i="12"/>
  <c r="Y578" i="12"/>
  <c r="Y561" i="12"/>
  <c r="Y1023" i="12"/>
  <c r="Y985" i="12"/>
  <c r="Y973" i="12"/>
  <c r="Y959" i="12"/>
  <c r="Y941" i="12"/>
  <c r="Y925" i="12"/>
  <c r="Y909" i="12"/>
  <c r="Y893" i="12"/>
  <c r="Y987" i="12"/>
  <c r="Y1465" i="12"/>
  <c r="Y1409" i="12"/>
  <c r="Y1345" i="12"/>
  <c r="Y1200" i="12"/>
  <c r="Y1184" i="12"/>
  <c r="Y1168" i="12"/>
  <c r="Y1152" i="12"/>
  <c r="Y1136" i="12"/>
  <c r="Y1120" i="12"/>
  <c r="Y1104" i="12"/>
  <c r="Y1088" i="12"/>
  <c r="Y1072" i="12"/>
  <c r="Y1040" i="12"/>
  <c r="Y1020" i="12"/>
  <c r="Y984" i="12"/>
  <c r="Y855" i="12"/>
  <c r="Y839" i="12"/>
  <c r="Y823" i="12"/>
  <c r="Y807" i="12"/>
  <c r="Y791" i="12"/>
  <c r="Y775" i="12"/>
  <c r="Y759" i="12"/>
  <c r="Y743" i="12"/>
  <c r="Y727" i="12"/>
  <c r="Y711" i="12"/>
  <c r="Y695" i="12"/>
  <c r="Y679" i="12"/>
  <c r="Y663" i="12"/>
  <c r="Y647" i="12"/>
  <c r="Y631" i="12"/>
  <c r="Y848" i="12"/>
  <c r="Y832" i="12"/>
  <c r="Y816" i="12"/>
  <c r="Y723" i="12"/>
  <c r="Y707" i="12"/>
  <c r="Y691" i="12"/>
  <c r="Y675" i="12"/>
  <c r="Y659" i="12"/>
  <c r="Y643" i="12"/>
  <c r="Y627" i="12"/>
  <c r="Y844" i="12"/>
  <c r="Y828" i="12"/>
  <c r="Y812" i="12"/>
  <c r="Y796" i="12"/>
  <c r="Y780" i="12"/>
  <c r="Y764" i="12"/>
  <c r="Y748" i="12"/>
  <c r="Y732" i="12"/>
  <c r="Y716" i="12"/>
  <c r="Y700" i="12"/>
  <c r="Y684" i="12"/>
  <c r="Y1007" i="12"/>
  <c r="Y879" i="12"/>
  <c r="Y871" i="12"/>
  <c r="Y863" i="12"/>
  <c r="Y853" i="12"/>
  <c r="Y837" i="12"/>
  <c r="Y821" i="12"/>
  <c r="Y805" i="12"/>
  <c r="Y789" i="12"/>
  <c r="Y773" i="12"/>
  <c r="Y757" i="12"/>
  <c r="Y741" i="12"/>
  <c r="Y725" i="12"/>
  <c r="Y709" i="12"/>
  <c r="Y693" i="12"/>
  <c r="Y677" i="12"/>
  <c r="Y1004" i="12"/>
  <c r="Y953" i="12"/>
  <c r="Y937" i="12"/>
  <c r="Y921" i="12"/>
  <c r="Y905" i="12"/>
  <c r="Y889" i="12"/>
  <c r="Y572" i="12"/>
  <c r="Y543" i="12"/>
  <c r="Y511" i="12"/>
  <c r="Y479" i="12"/>
  <c r="Y448" i="12"/>
  <c r="Y625" i="12"/>
  <c r="Y335" i="12"/>
  <c r="Y469" i="12"/>
  <c r="Y453" i="12"/>
  <c r="Y437" i="12"/>
  <c r="Y596" i="12"/>
  <c r="Y575" i="12"/>
  <c r="Y1449" i="12"/>
  <c r="Y1401" i="12"/>
  <c r="Y1337" i="12"/>
  <c r="Y593" i="12"/>
  <c r="Y1005" i="12"/>
  <c r="Y878" i="12"/>
  <c r="Y870" i="12"/>
  <c r="Y862" i="12"/>
  <c r="Y1000" i="12"/>
  <c r="Y951" i="12"/>
  <c r="Y846" i="12"/>
  <c r="Y830" i="12"/>
  <c r="Y814" i="12"/>
  <c r="Y798" i="12"/>
  <c r="Y782" i="12"/>
  <c r="Y766" i="12"/>
  <c r="Y750" i="12"/>
  <c r="Y734" i="12"/>
  <c r="Y718" i="12"/>
  <c r="Y702" i="12"/>
  <c r="Y686" i="12"/>
  <c r="Y670" i="12"/>
  <c r="Y654" i="12"/>
  <c r="Y638" i="12"/>
  <c r="Y1103" i="12"/>
  <c r="Y1071" i="12"/>
  <c r="Y1039" i="12"/>
  <c r="Y1003" i="12"/>
  <c r="Y1437" i="12"/>
  <c r="Y1373" i="12"/>
  <c r="Y1309" i="12"/>
  <c r="Y1224" i="12"/>
  <c r="Y971" i="12"/>
  <c r="Y957" i="12"/>
  <c r="Y620" i="12"/>
  <c r="Y604" i="12"/>
  <c r="Y977" i="12"/>
  <c r="Y1015" i="12"/>
  <c r="Y1377" i="12"/>
  <c r="Y1313" i="12"/>
  <c r="Y1228" i="12"/>
  <c r="Y1208" i="12"/>
  <c r="Y1192" i="12"/>
  <c r="Y1176" i="12"/>
  <c r="Y1160" i="12"/>
  <c r="Y1144" i="12"/>
  <c r="Y1128" i="12"/>
  <c r="Y1112" i="12"/>
  <c r="Y1096" i="12"/>
  <c r="Y1080" i="12"/>
  <c r="Y1064" i="12"/>
  <c r="Y1032" i="12"/>
  <c r="Y847" i="12"/>
  <c r="Y831" i="12"/>
  <c r="Y815" i="12"/>
  <c r="Y799" i="12"/>
  <c r="Y783" i="12"/>
  <c r="Y767" i="12"/>
  <c r="Y751" i="12"/>
  <c r="Y735" i="12"/>
  <c r="Y719" i="12"/>
  <c r="Y703" i="12"/>
  <c r="Y687" i="12"/>
  <c r="Y671" i="12"/>
  <c r="Y655" i="12"/>
  <c r="Y639" i="12"/>
  <c r="Y980" i="12"/>
  <c r="Y856" i="12"/>
  <c r="Y840" i="12"/>
  <c r="Y824" i="12"/>
  <c r="Y808" i="12"/>
  <c r="Y792" i="12"/>
  <c r="Y776" i="12"/>
  <c r="Y760" i="12"/>
  <c r="Y744" i="12"/>
  <c r="Y728" i="12"/>
  <c r="Y712" i="12"/>
  <c r="Y696" i="12"/>
  <c r="Y680" i="12"/>
  <c r="Y664" i="12"/>
  <c r="Y648" i="12"/>
  <c r="Y632" i="12"/>
  <c r="Y860" i="12"/>
  <c r="Y983" i="12"/>
  <c r="Y961" i="12"/>
  <c r="Y948" i="12"/>
  <c r="Y932" i="12"/>
  <c r="Y916" i="12"/>
  <c r="Y900" i="12"/>
  <c r="Y884" i="12"/>
  <c r="Y842" i="12"/>
  <c r="Y826" i="12"/>
  <c r="Y810" i="12"/>
  <c r="Y794" i="12"/>
  <c r="Y778" i="12"/>
  <c r="Y762" i="12"/>
  <c r="Y746" i="12"/>
  <c r="Y730" i="12"/>
  <c r="Y714" i="12"/>
  <c r="Y698" i="12"/>
  <c r="Y682" i="12"/>
  <c r="Y666" i="12"/>
  <c r="Y650" i="12"/>
  <c r="Y634" i="12"/>
  <c r="Y1127" i="12"/>
  <c r="Y1095" i="12"/>
  <c r="Y1063" i="12"/>
  <c r="Y1031" i="12"/>
  <c r="Y1389" i="12"/>
  <c r="Y1325" i="12"/>
  <c r="Y952" i="12"/>
  <c r="Y617" i="12"/>
  <c r="Y975" i="12"/>
  <c r="Y945" i="12"/>
  <c r="Y929" i="12"/>
  <c r="Y913" i="12"/>
  <c r="Y897" i="12"/>
  <c r="Y978" i="12"/>
  <c r="Y1393" i="12"/>
  <c r="Y1329" i="12"/>
  <c r="Y1204" i="12"/>
  <c r="Y1188" i="12"/>
  <c r="Y1172" i="12"/>
  <c r="Y1156" i="12"/>
  <c r="Y1140" i="12"/>
  <c r="Y1124" i="12"/>
  <c r="Y1108" i="12"/>
  <c r="Y1092" i="12"/>
  <c r="Y1076" i="12"/>
  <c r="Y1060" i="12"/>
  <c r="Y1028" i="12"/>
  <c r="Y1008" i="12"/>
  <c r="Y939" i="12"/>
  <c r="Y923" i="12"/>
  <c r="Y907" i="12"/>
  <c r="Y891" i="12"/>
  <c r="Y843" i="12"/>
  <c r="Y827" i="12"/>
  <c r="Y811" i="12"/>
  <c r="Y795" i="12"/>
  <c r="Y779" i="12"/>
  <c r="Y763" i="12"/>
  <c r="Y747" i="12"/>
  <c r="Y731" i="12"/>
  <c r="Y715" i="12"/>
  <c r="Y699" i="12"/>
  <c r="Y683" i="12"/>
  <c r="Y667" i="12"/>
  <c r="Y651" i="12"/>
  <c r="Y635" i="12"/>
  <c r="Y586" i="12"/>
  <c r="Y965" i="12"/>
  <c r="Y852" i="12"/>
  <c r="Y836" i="12"/>
  <c r="Y820" i="12"/>
  <c r="Y804" i="12"/>
  <c r="Y788" i="12"/>
  <c r="Y772" i="12"/>
  <c r="Y756" i="12"/>
  <c r="Y740" i="12"/>
  <c r="Y724" i="12"/>
  <c r="Y708" i="12"/>
  <c r="Y692" i="12"/>
  <c r="Y676" i="12"/>
  <c r="Y660" i="12"/>
  <c r="Y644" i="12"/>
  <c r="Y1026" i="12"/>
  <c r="Y800" i="12"/>
  <c r="Y784" i="12"/>
  <c r="Y768" i="12"/>
  <c r="Y752" i="12"/>
  <c r="Y736" i="12"/>
  <c r="Y720" i="12"/>
  <c r="Y704" i="12"/>
  <c r="Y688" i="12"/>
  <c r="Y672" i="12"/>
  <c r="Y656" i="12"/>
  <c r="Y640" i="12"/>
  <c r="Y1011" i="12"/>
  <c r="Y960" i="12"/>
  <c r="Y881" i="12"/>
  <c r="Y873" i="12"/>
  <c r="Y865" i="12"/>
  <c r="Y857" i="12"/>
  <c r="Y841" i="12"/>
  <c r="Y825" i="12"/>
  <c r="Y809" i="12"/>
  <c r="Y793" i="12"/>
  <c r="Y777" i="12"/>
  <c r="Y761" i="12"/>
  <c r="Y745" i="12"/>
  <c r="Y729" i="12"/>
  <c r="Y713" i="12"/>
  <c r="Y697" i="12"/>
  <c r="Y681" i="12"/>
  <c r="Y955" i="12"/>
  <c r="Y621" i="12"/>
  <c r="Y521" i="12"/>
  <c r="Y411" i="12"/>
  <c r="Y573" i="12"/>
  <c r="Y420" i="12"/>
  <c r="Y356" i="12"/>
  <c r="Y259" i="12"/>
  <c r="Y404" i="12"/>
  <c r="Y388" i="12"/>
  <c r="Y372" i="12"/>
  <c r="Y581" i="12"/>
  <c r="Y555" i="12"/>
  <c r="Y520" i="12"/>
  <c r="Y488" i="12"/>
  <c r="Y265" i="12"/>
  <c r="Y234" i="12"/>
  <c r="Y202" i="12"/>
  <c r="Y186" i="12"/>
  <c r="Y571" i="12"/>
  <c r="Y533" i="12"/>
  <c r="Y211" i="12"/>
  <c r="Y178" i="12"/>
  <c r="Y542" i="12"/>
  <c r="Y529" i="12"/>
  <c r="Y510" i="12"/>
  <c r="Y497" i="12"/>
  <c r="Y478" i="12"/>
  <c r="Y334" i="12"/>
  <c r="Y270" i="12"/>
  <c r="Y254" i="12"/>
  <c r="Y238" i="12"/>
  <c r="Y592" i="12"/>
  <c r="Y558" i="12"/>
  <c r="Y350" i="12"/>
  <c r="Y548" i="12"/>
  <c r="Y261" i="12"/>
  <c r="Y568" i="12"/>
  <c r="Y308" i="12"/>
  <c r="Y292" i="12"/>
  <c r="Y276" i="12"/>
  <c r="Y245" i="12"/>
  <c r="Y229" i="12"/>
  <c r="Y181" i="12"/>
  <c r="Y465" i="12"/>
  <c r="Y449" i="12"/>
  <c r="Y433" i="12"/>
  <c r="Y370" i="12"/>
  <c r="Y355" i="12"/>
  <c r="Y257" i="12"/>
  <c r="Y661" i="12"/>
  <c r="Y645" i="12"/>
  <c r="Y629" i="12"/>
  <c r="Y599" i="12"/>
  <c r="Y567" i="12"/>
  <c r="Y544" i="12"/>
  <c r="Y512" i="12"/>
  <c r="Y21" i="12"/>
  <c r="Y605" i="12"/>
  <c r="Y223" i="12"/>
  <c r="Y623" i="12"/>
  <c r="Y539" i="12"/>
  <c r="Y507" i="12"/>
  <c r="Y475" i="12"/>
  <c r="Y442" i="12"/>
  <c r="Y379" i="12"/>
  <c r="Y363" i="12"/>
  <c r="Y459" i="12"/>
  <c r="Y443" i="12"/>
  <c r="Y427" i="12"/>
  <c r="Y526" i="12"/>
  <c r="Y494" i="12"/>
  <c r="Y337" i="12"/>
  <c r="Y273" i="12"/>
  <c r="Y608" i="12"/>
  <c r="Y588" i="12"/>
  <c r="Y600" i="12"/>
  <c r="Y532" i="12"/>
  <c r="Y490" i="12"/>
  <c r="Y177" i="12"/>
  <c r="Y318" i="12"/>
  <c r="Y302" i="12"/>
  <c r="Y286" i="12"/>
  <c r="Y657" i="12"/>
  <c r="Y641" i="12"/>
  <c r="Y468" i="12"/>
  <c r="Y1001" i="12"/>
  <c r="Y968" i="12"/>
  <c r="Y877" i="12"/>
  <c r="Y869" i="12"/>
  <c r="Y861" i="12"/>
  <c r="Y849" i="12"/>
  <c r="Y833" i="12"/>
  <c r="Y817" i="12"/>
  <c r="Y801" i="12"/>
  <c r="Y785" i="12"/>
  <c r="Y769" i="12"/>
  <c r="Y753" i="12"/>
  <c r="Y737" i="12"/>
  <c r="Y721" i="12"/>
  <c r="Y705" i="12"/>
  <c r="Y689" i="12"/>
  <c r="Y673" i="12"/>
  <c r="Y949" i="12"/>
  <c r="Y933" i="12"/>
  <c r="Y917" i="12"/>
  <c r="Y901" i="12"/>
  <c r="Y885" i="12"/>
  <c r="Y1021" i="12"/>
  <c r="Y606" i="12"/>
  <c r="Y587" i="12"/>
  <c r="Y400" i="12"/>
  <c r="Y589" i="12"/>
  <c r="Y560" i="12"/>
  <c r="Y508" i="12"/>
  <c r="Y348" i="12"/>
  <c r="Y616" i="12"/>
  <c r="Y396" i="12"/>
  <c r="Y380" i="12"/>
  <c r="Y364" i="12"/>
  <c r="Y597" i="12"/>
  <c r="Y565" i="12"/>
  <c r="Y527" i="12"/>
  <c r="Y495" i="12"/>
  <c r="Y989" i="12"/>
  <c r="Y580" i="12"/>
  <c r="Y501" i="12"/>
  <c r="Y281" i="12"/>
  <c r="Y203" i="12"/>
  <c r="Y614" i="12"/>
  <c r="Y326" i="12"/>
  <c r="Y246" i="12"/>
  <c r="Y230" i="12"/>
  <c r="Y610" i="12"/>
  <c r="Y576" i="12"/>
  <c r="Y517" i="12"/>
  <c r="Y485" i="12"/>
  <c r="Y559" i="12"/>
  <c r="Y523" i="12"/>
  <c r="Y491" i="12"/>
  <c r="Y13" i="12"/>
  <c r="Y603" i="12"/>
  <c r="Y419" i="12"/>
  <c r="Y316" i="12"/>
  <c r="Y300" i="12"/>
  <c r="Y268" i="12"/>
  <c r="Y252" i="12"/>
  <c r="Y237" i="12"/>
  <c r="Y189" i="12"/>
  <c r="Y457" i="12"/>
  <c r="Y441" i="12"/>
  <c r="Y425" i="12"/>
  <c r="Y394" i="12"/>
  <c r="Y378" i="12"/>
  <c r="Y362" i="12"/>
  <c r="Y347" i="12"/>
  <c r="Y282" i="12"/>
  <c r="Y216" i="12"/>
  <c r="Y653" i="12"/>
  <c r="Y637" i="12"/>
  <c r="Y583" i="12"/>
  <c r="Y553" i="12"/>
  <c r="Y519" i="12"/>
  <c r="Y487" i="12"/>
  <c r="Y328" i="12"/>
  <c r="Y312" i="12"/>
  <c r="Y296" i="12"/>
  <c r="Y399" i="12"/>
  <c r="Y383" i="12"/>
  <c r="Y367" i="12"/>
  <c r="Y351" i="12"/>
  <c r="Y947" i="12"/>
  <c r="Y931" i="12"/>
  <c r="Y915" i="12"/>
  <c r="Y899" i="12"/>
  <c r="Y883" i="12"/>
  <c r="Y875" i="12"/>
  <c r="Y867" i="12"/>
  <c r="Y859" i="12"/>
  <c r="Y845" i="12"/>
  <c r="Y829" i="12"/>
  <c r="Y813" i="12"/>
  <c r="Y797" i="12"/>
  <c r="Y781" i="12"/>
  <c r="Y765" i="12"/>
  <c r="Y749" i="12"/>
  <c r="Y733" i="12"/>
  <c r="Y717" i="12"/>
  <c r="Y701" i="12"/>
  <c r="Y685" i="12"/>
  <c r="Y669" i="12"/>
  <c r="Y991" i="12"/>
  <c r="Y563" i="12"/>
  <c r="Y584" i="12"/>
  <c r="Y251" i="12"/>
  <c r="Y582" i="12"/>
  <c r="Y551" i="12"/>
  <c r="Y327" i="12"/>
  <c r="Y278" i="12"/>
  <c r="Y524" i="12"/>
  <c r="Y492" i="12"/>
  <c r="Y461" i="12"/>
  <c r="Y445" i="12"/>
  <c r="Y429" i="12"/>
  <c r="Y222" i="12"/>
  <c r="Y17" i="12"/>
  <c r="Y199" i="12"/>
  <c r="Y969" i="12"/>
  <c r="Y595" i="12"/>
  <c r="Y340" i="12"/>
  <c r="Y324" i="12"/>
  <c r="Y309" i="12"/>
  <c r="Y293" i="12"/>
  <c r="Y466" i="12"/>
  <c r="Y450" i="12"/>
  <c r="Y434" i="12"/>
  <c r="Y403" i="12"/>
  <c r="Y371" i="12"/>
  <c r="Y258" i="12"/>
  <c r="Y467" i="12"/>
  <c r="Y451" i="12"/>
  <c r="Y435" i="12"/>
  <c r="Y321" i="12"/>
  <c r="Y305" i="12"/>
  <c r="Y289" i="12"/>
  <c r="Y611" i="12"/>
  <c r="Y554" i="12"/>
  <c r="Y329" i="12"/>
  <c r="Y264" i="12"/>
  <c r="Y249" i="12"/>
  <c r="Y193" i="12"/>
  <c r="Y624" i="12"/>
  <c r="Y522" i="12"/>
  <c r="Y500" i="12"/>
  <c r="Y392" i="12"/>
  <c r="Y280" i="12"/>
  <c r="Y310" i="12"/>
  <c r="Y294" i="12"/>
  <c r="Y213" i="12"/>
  <c r="Y665" i="12"/>
  <c r="Y649" i="12"/>
  <c r="Y633" i="12"/>
  <c r="Y516" i="12"/>
  <c r="Y484" i="12"/>
  <c r="Y460" i="12"/>
  <c r="Y444" i="12"/>
  <c r="Y428" i="12"/>
  <c r="Y315" i="12"/>
  <c r="Y299" i="12"/>
  <c r="Y267" i="12"/>
  <c r="Y221" i="12"/>
  <c r="Y480" i="12"/>
  <c r="Y336" i="12"/>
  <c r="Y320" i="12"/>
  <c r="Y304" i="12"/>
  <c r="Y288" i="12"/>
  <c r="Y391" i="12"/>
  <c r="Y375" i="12"/>
  <c r="Y359" i="12"/>
  <c r="Y343" i="12"/>
  <c r="Y279" i="12"/>
  <c r="Y201" i="12"/>
  <c r="Y556" i="12"/>
  <c r="Y531" i="12"/>
  <c r="Y423" i="12"/>
  <c r="Y541" i="12"/>
  <c r="Y509" i="12"/>
  <c r="Y477" i="12"/>
  <c r="Y333" i="12"/>
  <c r="Y285" i="12"/>
  <c r="Y269" i="12"/>
  <c r="Y253" i="12"/>
  <c r="Y219" i="12"/>
  <c r="Y413" i="12"/>
  <c r="Y397" i="12"/>
  <c r="Y381" i="12"/>
  <c r="Y365" i="12"/>
  <c r="Y349" i="12"/>
  <c r="Y628" i="12"/>
  <c r="Y546" i="12"/>
  <c r="Y514" i="12"/>
  <c r="Y482" i="12"/>
  <c r="Y418" i="12"/>
  <c r="Y338" i="12"/>
  <c r="Y322" i="12"/>
  <c r="Y306" i="12"/>
  <c r="Y290" i="12"/>
  <c r="Y274" i="12"/>
  <c r="Y243" i="12"/>
  <c r="Y227" i="12"/>
  <c r="Y195" i="12"/>
  <c r="Y7" i="12"/>
  <c r="Y172" i="12"/>
  <c r="Y156" i="12"/>
  <c r="Y140" i="12"/>
  <c r="Y124" i="12"/>
  <c r="Y108" i="12"/>
  <c r="Y92" i="12"/>
  <c r="Y76" i="12"/>
  <c r="Y60" i="12"/>
  <c r="Y44" i="12"/>
  <c r="Y25" i="12"/>
  <c r="Y5" i="12"/>
  <c r="Y198" i="12"/>
  <c r="Y167" i="12"/>
  <c r="Y151" i="12"/>
  <c r="Y135" i="12"/>
  <c r="Y119" i="12"/>
  <c r="Y103" i="12"/>
  <c r="Y87" i="12"/>
  <c r="Y71" i="12"/>
  <c r="Y55" i="12"/>
  <c r="Y39" i="12"/>
  <c r="Y170" i="12"/>
  <c r="Y154" i="12"/>
  <c r="Y138" i="12"/>
  <c r="Y122" i="12"/>
  <c r="Y106" i="12"/>
  <c r="Y90" i="12"/>
  <c r="Y74" i="12"/>
  <c r="Y58" i="12"/>
  <c r="Y42" i="12"/>
  <c r="Y18" i="12"/>
  <c r="Y191" i="12"/>
  <c r="Y183" i="12"/>
  <c r="Y173" i="12"/>
  <c r="Y157" i="12"/>
  <c r="Y141" i="12"/>
  <c r="Y125" i="12"/>
  <c r="Y109" i="12"/>
  <c r="Y93" i="12"/>
  <c r="Y77" i="12"/>
  <c r="Y61" i="12"/>
  <c r="Y45" i="12"/>
  <c r="Y28" i="12"/>
  <c r="Y10" i="12"/>
  <c r="Y452" i="12"/>
  <c r="Y436" i="12"/>
  <c r="Y307" i="12"/>
  <c r="Y291" i="12"/>
  <c r="Y220" i="12"/>
  <c r="Y993" i="12"/>
  <c r="Y549" i="12"/>
  <c r="Y503" i="12"/>
  <c r="Y439" i="12"/>
  <c r="Y377" i="12"/>
  <c r="Y361" i="12"/>
  <c r="Y331" i="12"/>
  <c r="Y236" i="12"/>
  <c r="Y204" i="12"/>
  <c r="Y188" i="12"/>
  <c r="Y557" i="12"/>
  <c r="Y612" i="12"/>
  <c r="Y537" i="12"/>
  <c r="Y518" i="12"/>
  <c r="Y505" i="12"/>
  <c r="Y486" i="12"/>
  <c r="Y473" i="12"/>
  <c r="Y409" i="12"/>
  <c r="Y525" i="12"/>
  <c r="Y493" i="12"/>
  <c r="Y462" i="12"/>
  <c r="Y446" i="12"/>
  <c r="Y430" i="12"/>
  <c r="Y414" i="12"/>
  <c r="Y398" i="12"/>
  <c r="Y382" i="12"/>
  <c r="Y366" i="12"/>
  <c r="Y20" i="12"/>
  <c r="Y232" i="12"/>
  <c r="Y168" i="12"/>
  <c r="Y152" i="12"/>
  <c r="Y136" i="12"/>
  <c r="Y120" i="12"/>
  <c r="Y104" i="12"/>
  <c r="Y88" i="12"/>
  <c r="Y72" i="12"/>
  <c r="Y56" i="12"/>
  <c r="Y40" i="12"/>
  <c r="Y8" i="12"/>
  <c r="Y14" i="12"/>
  <c r="Y185" i="12"/>
  <c r="Y163" i="12"/>
  <c r="Y147" i="12"/>
  <c r="Y131" i="12"/>
  <c r="Y115" i="12"/>
  <c r="Y99" i="12"/>
  <c r="Y83" i="12"/>
  <c r="Y67" i="12"/>
  <c r="Y51" i="12"/>
  <c r="Y35" i="12"/>
  <c r="Y166" i="12"/>
  <c r="Y150" i="12"/>
  <c r="Y134" i="12"/>
  <c r="Y118" i="12"/>
  <c r="Y102" i="12"/>
  <c r="Y86" i="12"/>
  <c r="Y70" i="12"/>
  <c r="Y54" i="12"/>
  <c r="Y38" i="12"/>
  <c r="Y182" i="12"/>
  <c r="Y169" i="12"/>
  <c r="Y153" i="12"/>
  <c r="Y137" i="12"/>
  <c r="Y121" i="12"/>
  <c r="Y105" i="12"/>
  <c r="Y89" i="12"/>
  <c r="Y73" i="12"/>
  <c r="Y57" i="12"/>
  <c r="Y41" i="12"/>
  <c r="Y12" i="12"/>
  <c r="Y209" i="12"/>
  <c r="Y24" i="12"/>
  <c r="Y622" i="12"/>
  <c r="Y499" i="12"/>
  <c r="Y455" i="12"/>
  <c r="Y550" i="12"/>
  <c r="Y341" i="12"/>
  <c r="Y325" i="12"/>
  <c r="Y277" i="12"/>
  <c r="Y547" i="12"/>
  <c r="Y515" i="12"/>
  <c r="Y483" i="12"/>
  <c r="Y421" i="12"/>
  <c r="Y405" i="12"/>
  <c r="Y389" i="12"/>
  <c r="Y373" i="12"/>
  <c r="Y357" i="12"/>
  <c r="Y613" i="12"/>
  <c r="Y410" i="12"/>
  <c r="Y330" i="12"/>
  <c r="Y314" i="12"/>
  <c r="Y298" i="12"/>
  <c r="Y266" i="12"/>
  <c r="Y250" i="12"/>
  <c r="Y235" i="12"/>
  <c r="Y187" i="12"/>
  <c r="Y197" i="12"/>
  <c r="Y6" i="12"/>
  <c r="Y164" i="12"/>
  <c r="Y148" i="12"/>
  <c r="Y132" i="12"/>
  <c r="Y116" i="12"/>
  <c r="Y100" i="12"/>
  <c r="Y84" i="12"/>
  <c r="Y68" i="12"/>
  <c r="Y52" i="12"/>
  <c r="Y36" i="12"/>
  <c r="Y2" i="12"/>
  <c r="Y11" i="12"/>
  <c r="Y175" i="12"/>
  <c r="Y159" i="12"/>
  <c r="Y143" i="12"/>
  <c r="Y127" i="12"/>
  <c r="Y111" i="12"/>
  <c r="Y95" i="12"/>
  <c r="Y79" i="12"/>
  <c r="Y63" i="12"/>
  <c r="Y47" i="12"/>
  <c r="Y30" i="12"/>
  <c r="Y200" i="12"/>
  <c r="Y15" i="12"/>
  <c r="Y162" i="12"/>
  <c r="Y146" i="12"/>
  <c r="Y130" i="12"/>
  <c r="Y114" i="12"/>
  <c r="Y98" i="12"/>
  <c r="Y82" i="12"/>
  <c r="Y66" i="12"/>
  <c r="Y50" i="12"/>
  <c r="Y34" i="12"/>
  <c r="Y176" i="12"/>
  <c r="Y31" i="12"/>
  <c r="Y192" i="12"/>
  <c r="Y165" i="12"/>
  <c r="Y149" i="12"/>
  <c r="Y133" i="12"/>
  <c r="Y117" i="12"/>
  <c r="Y101" i="12"/>
  <c r="Y85" i="12"/>
  <c r="Y69" i="12"/>
  <c r="Y53" i="12"/>
  <c r="Y37" i="12"/>
  <c r="Y207" i="12"/>
  <c r="Y3" i="12"/>
  <c r="Y9" i="12"/>
  <c r="Y609" i="12"/>
  <c r="Y535" i="12"/>
  <c r="Y471" i="12"/>
  <c r="Y407" i="12"/>
  <c r="Y369" i="12"/>
  <c r="Y339" i="12"/>
  <c r="Y323" i="12"/>
  <c r="Y244" i="12"/>
  <c r="Y228" i="12"/>
  <c r="Y212" i="12"/>
  <c r="Y196" i="12"/>
  <c r="Y180" i="12"/>
  <c r="Y530" i="12"/>
  <c r="Y498" i="12"/>
  <c r="Y256" i="12"/>
  <c r="Y417" i="12"/>
  <c r="Y271" i="12"/>
  <c r="Y255" i="12"/>
  <c r="Y607" i="12"/>
  <c r="Y470" i="12"/>
  <c r="Y454" i="12"/>
  <c r="Y438" i="12"/>
  <c r="Y422" i="12"/>
  <c r="Y406" i="12"/>
  <c r="Y390" i="12"/>
  <c r="Y374" i="12"/>
  <c r="Y358" i="12"/>
  <c r="Y262" i="12"/>
  <c r="Y16" i="12"/>
  <c r="Y160" i="12"/>
  <c r="Y144" i="12"/>
  <c r="Y128" i="12"/>
  <c r="Y112" i="12"/>
  <c r="Y96" i="12"/>
  <c r="Y80" i="12"/>
  <c r="Y64" i="12"/>
  <c r="Y48" i="12"/>
  <c r="Y32" i="12"/>
  <c r="Y19" i="12"/>
  <c r="Y215" i="12"/>
  <c r="Y171" i="12"/>
  <c r="Y155" i="12"/>
  <c r="Y139" i="12"/>
  <c r="Y123" i="12"/>
  <c r="Y107" i="12"/>
  <c r="Y91" i="12"/>
  <c r="Y75" i="12"/>
  <c r="Y59" i="12"/>
  <c r="Y43" i="12"/>
  <c r="Y22" i="12"/>
  <c r="Y190" i="12"/>
  <c r="Y174" i="12"/>
  <c r="Y158" i="12"/>
  <c r="Y142" i="12"/>
  <c r="Y126" i="12"/>
  <c r="Y110" i="12"/>
  <c r="Y94" i="12"/>
  <c r="Y78" i="12"/>
  <c r="Y62" i="12"/>
  <c r="Y46" i="12"/>
  <c r="Y29" i="12"/>
  <c r="Y161" i="12"/>
  <c r="Y145" i="12"/>
  <c r="Y129" i="12"/>
  <c r="Y113" i="12"/>
  <c r="Y97" i="12"/>
  <c r="Y81" i="12"/>
  <c r="Y65" i="12"/>
  <c r="Y49" i="12"/>
  <c r="Y33" i="12"/>
  <c r="Y23" i="12"/>
  <c r="C7" i="3"/>
  <c r="C19" i="3"/>
  <c r="C27" i="3"/>
  <c r="C35" i="3"/>
  <c r="C51" i="3"/>
  <c r="C59" i="3"/>
  <c r="C67" i="3"/>
  <c r="C75" i="3"/>
  <c r="C83" i="3"/>
  <c r="C91" i="3"/>
  <c r="C99" i="3"/>
  <c r="C107" i="3"/>
  <c r="C86" i="3"/>
  <c r="C98" i="3"/>
  <c r="C72" i="3"/>
  <c r="C18" i="3"/>
  <c r="C26" i="3"/>
  <c r="C34" i="3"/>
  <c r="C50" i="3"/>
  <c r="C58" i="3"/>
  <c r="C66" i="3"/>
  <c r="C76" i="3"/>
  <c r="C94" i="3"/>
  <c r="C13" i="3"/>
  <c r="C15" i="3"/>
  <c r="C31" i="3"/>
  <c r="C47" i="3"/>
  <c r="C63" i="3"/>
  <c r="C79" i="3"/>
  <c r="C95" i="3"/>
  <c r="C78" i="3"/>
  <c r="C104" i="3"/>
  <c r="C22" i="3"/>
  <c r="C38" i="3"/>
  <c r="C54" i="3"/>
  <c r="C70" i="3"/>
  <c r="C108" i="3"/>
  <c r="C11" i="3"/>
  <c r="C25" i="3"/>
  <c r="C41" i="3"/>
  <c r="C57" i="3"/>
  <c r="C73" i="3"/>
  <c r="C89" i="3"/>
  <c r="C105" i="3"/>
  <c r="C96" i="3"/>
  <c r="C16" i="3"/>
  <c r="C32" i="3"/>
  <c r="C48" i="3"/>
  <c r="C64" i="3"/>
  <c r="C88" i="3"/>
  <c r="C10" i="3"/>
  <c r="C21" i="3"/>
  <c r="C29" i="3"/>
  <c r="C37" i="3"/>
  <c r="C45" i="3"/>
  <c r="C53" i="3"/>
  <c r="C61" i="3"/>
  <c r="C69" i="3"/>
  <c r="C77" i="3"/>
  <c r="C85" i="3"/>
  <c r="C93" i="3"/>
  <c r="C101" i="3"/>
  <c r="C109" i="3"/>
  <c r="C90" i="3"/>
  <c r="C102" i="3"/>
  <c r="C106" i="3"/>
  <c r="C20" i="3"/>
  <c r="C28" i="3"/>
  <c r="C36" i="3"/>
  <c r="C52" i="3"/>
  <c r="C60" i="3"/>
  <c r="C68" i="3"/>
  <c r="C80" i="3"/>
  <c r="C100" i="3"/>
  <c r="C23" i="3"/>
  <c r="C39" i="3"/>
  <c r="C55" i="3"/>
  <c r="C71" i="3"/>
  <c r="C87" i="3"/>
  <c r="C103" i="3"/>
  <c r="C92" i="3"/>
  <c r="C14" i="3"/>
  <c r="C30" i="3"/>
  <c r="C46" i="3"/>
  <c r="C62" i="3"/>
  <c r="C84" i="3"/>
  <c r="C12" i="3"/>
  <c r="C17" i="3"/>
  <c r="C33" i="3"/>
  <c r="C49" i="3"/>
  <c r="C65" i="3"/>
  <c r="C81" i="3"/>
  <c r="C97" i="3"/>
  <c r="C82" i="3"/>
  <c r="C110" i="3"/>
  <c r="C24" i="3"/>
  <c r="C40" i="3"/>
  <c r="C56" i="3"/>
  <c r="C74" i="3"/>
  <c r="C6" i="3"/>
  <c r="F27" i="3" a="1"/>
  <c r="E35" i="3" a="1"/>
  <c r="F51" i="3" a="1"/>
  <c r="F59" i="3" a="1"/>
  <c r="F83" i="3" a="1"/>
  <c r="F91" i="3" a="1"/>
  <c r="F86" i="3" a="1"/>
  <c r="F98" i="3" a="1"/>
  <c r="F18" i="3" a="1"/>
  <c r="E34" i="3" a="1"/>
  <c r="F50" i="3" a="1"/>
  <c r="F58" i="3" a="1"/>
  <c r="F94" i="3" a="1"/>
  <c r="E13" i="3" a="1"/>
  <c r="F47" i="3" a="1"/>
  <c r="E78" i="3" a="1"/>
  <c r="F54" i="3" a="1"/>
  <c r="F70" i="3" a="1"/>
  <c r="F25" i="3" a="1"/>
  <c r="E41" i="3" a="1"/>
  <c r="F89" i="3" a="1"/>
  <c r="E105" i="3" a="1"/>
  <c r="E32" i="3" a="1"/>
  <c r="F8" i="3" a="1"/>
  <c r="F29" i="3" a="1"/>
  <c r="F37" i="3" a="1"/>
  <c r="F61" i="3" a="1"/>
  <c r="F69" i="3" a="1"/>
  <c r="E101" i="3" a="1"/>
  <c r="F102" i="3" a="1"/>
  <c r="E106" i="3" a="1"/>
  <c r="E28" i="3" a="1"/>
  <c r="E36" i="3" a="1"/>
  <c r="F60" i="3" a="1"/>
  <c r="E100" i="3" a="1"/>
  <c r="F9" i="3" a="1"/>
  <c r="E55" i="3" a="1"/>
  <c r="E71" i="3" a="1"/>
  <c r="E92" i="3" a="1"/>
  <c r="E14" i="3" a="1"/>
  <c r="E46" i="3" a="1"/>
  <c r="F62" i="3" a="1"/>
  <c r="E84" i="3" a="1"/>
  <c r="F33" i="3" a="1"/>
  <c r="F97" i="3" a="1"/>
  <c r="F82" i="3" a="1"/>
  <c r="F24" i="3" a="1"/>
  <c r="E40" i="3" a="1"/>
  <c r="F56" i="3" a="1"/>
  <c r="F6" i="3" a="1"/>
  <c r="F40" i="3" a="1"/>
  <c r="F110" i="3" a="1"/>
  <c r="E7" i="3" a="1"/>
  <c r="E19" i="3" a="1"/>
  <c r="E27" i="3" a="1"/>
  <c r="E43" i="3" a="1"/>
  <c r="E51" i="3" a="1"/>
  <c r="F75" i="3" a="1"/>
  <c r="E83" i="3" a="1"/>
  <c r="F107" i="3" a="1"/>
  <c r="E18" i="3" a="1"/>
  <c r="F26" i="3" a="1"/>
  <c r="E42" i="3" a="1"/>
  <c r="E50" i="3" a="1"/>
  <c r="F76" i="3" a="1"/>
  <c r="E94" i="3" a="1"/>
  <c r="E15" i="3" a="1"/>
  <c r="F31" i="3" a="1"/>
  <c r="E47" i="3" a="1"/>
  <c r="F95" i="3" a="1"/>
  <c r="F78" i="3" a="1"/>
  <c r="F22" i="3" a="1"/>
  <c r="E38" i="3" a="1"/>
  <c r="E54" i="3" a="1"/>
  <c r="E108" i="3" a="1"/>
  <c r="E11" i="3" a="1"/>
  <c r="E25" i="3" a="1"/>
  <c r="F57" i="3" a="1"/>
  <c r="E73" i="3" a="1"/>
  <c r="E96" i="3" a="1"/>
  <c r="F16" i="3" a="1"/>
  <c r="E88" i="3" a="1"/>
  <c r="F21" i="3" a="1"/>
  <c r="E29" i="3" a="1"/>
  <c r="F45" i="3" a="1"/>
  <c r="F53" i="3" a="1"/>
  <c r="E61" i="3" a="1"/>
  <c r="E77" i="3" a="1"/>
  <c r="E85" i="3" a="1"/>
  <c r="F93" i="3" a="1"/>
  <c r="F90" i="3" a="1"/>
  <c r="E102" i="3" a="1"/>
  <c r="F36" i="3" a="1"/>
  <c r="F52" i="3" a="1"/>
  <c r="E60" i="3" a="1"/>
  <c r="F100" i="3" a="1"/>
  <c r="E39" i="3" a="1"/>
  <c r="F55" i="3" a="1"/>
  <c r="E87" i="3" a="1"/>
  <c r="E103" i="3" a="1"/>
  <c r="F46" i="3" a="1"/>
  <c r="E62" i="3" a="1"/>
  <c r="F17" i="3" a="1"/>
  <c r="E33" i="3" a="1"/>
  <c r="F81" i="3" a="1"/>
  <c r="E24" i="3" a="1"/>
  <c r="E6" i="3" a="1"/>
  <c r="E74" i="3" a="1"/>
  <c r="F7" i="3" a="1"/>
  <c r="F19" i="3" a="1"/>
  <c r="F43" i="3" a="1"/>
  <c r="F67" i="3" a="1"/>
  <c r="E75" i="3" a="1"/>
  <c r="E99" i="3" a="1"/>
  <c r="E107" i="3" a="1"/>
  <c r="E98" i="3" a="1"/>
  <c r="E72" i="3" a="1"/>
  <c r="F42" i="3" a="1"/>
  <c r="E66" i="3" a="1"/>
  <c r="E76" i="3" a="1"/>
  <c r="E31" i="3" a="1"/>
  <c r="F63" i="3" a="1"/>
  <c r="E79" i="3" a="1"/>
  <c r="E95" i="3" a="1"/>
  <c r="E104" i="3" a="1"/>
  <c r="E22" i="3" a="1"/>
  <c r="F38" i="3" a="1"/>
  <c r="E70" i="3" a="1"/>
  <c r="F11" i="3" a="1"/>
  <c r="F73" i="3" a="1"/>
  <c r="E16" i="3" a="1"/>
  <c r="E48" i="3" a="1"/>
  <c r="E64" i="3" a="1"/>
  <c r="F88" i="3" a="1"/>
  <c r="F10" i="3" a="1"/>
  <c r="E21" i="3" a="1"/>
  <c r="E53" i="3" a="1"/>
  <c r="F85" i="3" a="1"/>
  <c r="E109" i="3" a="1"/>
  <c r="E90" i="3" a="1"/>
  <c r="F20" i="3" a="1"/>
  <c r="F28" i="3" a="1"/>
  <c r="E44" i="3" a="1"/>
  <c r="E52" i="3" a="1"/>
  <c r="F68" i="3" a="1"/>
  <c r="E80" i="3" a="1"/>
  <c r="E23" i="3" a="1"/>
  <c r="F39" i="3" a="1"/>
  <c r="F87" i="3" a="1"/>
  <c r="F103" i="3" a="1"/>
  <c r="E30" i="3" a="1"/>
  <c r="F84" i="3" a="1"/>
  <c r="E12" i="3" a="1"/>
  <c r="E17" i="3" a="1"/>
  <c r="E49" i="3" a="1"/>
  <c r="F65" i="3" a="1"/>
  <c r="E81" i="3" a="1"/>
  <c r="F35" i="3" a="1"/>
  <c r="E59" i="3" a="1"/>
  <c r="E67" i="3" a="1"/>
  <c r="E91" i="3" a="1"/>
  <c r="F99" i="3" a="1"/>
  <c r="E86" i="3" a="1"/>
  <c r="F72" i="3" a="1"/>
  <c r="E26" i="3" a="1"/>
  <c r="F34" i="3" a="1"/>
  <c r="E58" i="3" a="1"/>
  <c r="F66" i="3" a="1"/>
  <c r="F13" i="3" a="1"/>
  <c r="F15" i="3" a="1"/>
  <c r="E63" i="3" a="1"/>
  <c r="F79" i="3" a="1"/>
  <c r="F104" i="3" a="1"/>
  <c r="F108" i="3" a="1"/>
  <c r="F41" i="3" a="1"/>
  <c r="E57" i="3" a="1"/>
  <c r="E89" i="3" a="1"/>
  <c r="F105" i="3" a="1"/>
  <c r="F96" i="3" a="1"/>
  <c r="F32" i="3" a="1"/>
  <c r="F48" i="3" a="1"/>
  <c r="F64" i="3" a="1"/>
  <c r="E8" i="3" a="1"/>
  <c r="E10" i="3" a="1"/>
  <c r="E37" i="3" a="1"/>
  <c r="E45" i="3" a="1"/>
  <c r="E69" i="3" a="1"/>
  <c r="F77" i="3" a="1"/>
  <c r="E93" i="3" a="1"/>
  <c r="F101" i="3" a="1"/>
  <c r="F109" i="3" a="1"/>
  <c r="F106" i="3" a="1"/>
  <c r="E20" i="3" a="1"/>
  <c r="F44" i="3" a="1"/>
  <c r="E68" i="3" a="1"/>
  <c r="F80" i="3" a="1"/>
  <c r="E9" i="3" a="1"/>
  <c r="F23" i="3" a="1"/>
  <c r="F71" i="3" a="1"/>
  <c r="F92" i="3" a="1"/>
  <c r="F14" i="3" a="1"/>
  <c r="F30" i="3" a="1"/>
  <c r="F12" i="3" a="1"/>
  <c r="F49" i="3" a="1"/>
  <c r="E65" i="3" a="1"/>
  <c r="E97" i="3" a="1"/>
  <c r="E82" i="3" a="1"/>
  <c r="E110" i="3" a="1"/>
  <c r="E56" i="3" a="1"/>
  <c r="F74" i="3" a="1"/>
  <c r="F74" i="3" l="1"/>
  <c r="E56" i="3"/>
  <c r="E110" i="3"/>
  <c r="E82" i="3"/>
  <c r="E97" i="3"/>
  <c r="E65" i="3"/>
  <c r="F49" i="3"/>
  <c r="F12" i="3"/>
  <c r="F30" i="3"/>
  <c r="F14" i="3"/>
  <c r="F92" i="3"/>
  <c r="F71" i="3"/>
  <c r="F23" i="3"/>
  <c r="E9" i="3"/>
  <c r="F80" i="3"/>
  <c r="E68" i="3"/>
  <c r="F44" i="3"/>
  <c r="E20" i="3"/>
  <c r="F106" i="3"/>
  <c r="F109" i="3"/>
  <c r="F101" i="3"/>
  <c r="E93" i="3"/>
  <c r="F77" i="3"/>
  <c r="E69" i="3"/>
  <c r="E45" i="3"/>
  <c r="E37" i="3"/>
  <c r="E10" i="3"/>
  <c r="E8" i="3"/>
  <c r="F64" i="3"/>
  <c r="F48" i="3"/>
  <c r="F32" i="3"/>
  <c r="F96" i="3"/>
  <c r="F105" i="3"/>
  <c r="E89" i="3"/>
  <c r="E57" i="3"/>
  <c r="F41" i="3"/>
  <c r="F108" i="3"/>
  <c r="F104" i="3"/>
  <c r="F79" i="3"/>
  <c r="E63" i="3"/>
  <c r="F15" i="3"/>
  <c r="F13" i="3"/>
  <c r="F66" i="3"/>
  <c r="E58" i="3"/>
  <c r="F34" i="3"/>
  <c r="E26" i="3"/>
  <c r="F72" i="3"/>
  <c r="E86" i="3"/>
  <c r="F99" i="3"/>
  <c r="E91" i="3"/>
  <c r="E67" i="3"/>
  <c r="E59" i="3"/>
  <c r="F35" i="3"/>
  <c r="E81" i="3"/>
  <c r="F65" i="3"/>
  <c r="E49" i="3"/>
  <c r="E17" i="3"/>
  <c r="E12" i="3"/>
  <c r="F84" i="3"/>
  <c r="E30" i="3"/>
  <c r="F103" i="3"/>
  <c r="F87" i="3"/>
  <c r="F39" i="3"/>
  <c r="E23" i="3"/>
  <c r="E80" i="3"/>
  <c r="F68" i="3"/>
  <c r="E52" i="3"/>
  <c r="E44" i="3"/>
  <c r="F28" i="3"/>
  <c r="F20" i="3"/>
  <c r="E90" i="3"/>
  <c r="E109" i="3"/>
  <c r="F85" i="3"/>
  <c r="E53" i="3"/>
  <c r="E21" i="3"/>
  <c r="F10" i="3"/>
  <c r="F88" i="3"/>
  <c r="E64" i="3"/>
  <c r="E48" i="3"/>
  <c r="E16" i="3"/>
  <c r="F73" i="3"/>
  <c r="F11" i="3"/>
  <c r="E70" i="3"/>
  <c r="F38" i="3"/>
  <c r="E22" i="3"/>
  <c r="E104" i="3"/>
  <c r="E95" i="3"/>
  <c r="E79" i="3"/>
  <c r="F63" i="3"/>
  <c r="E31" i="3"/>
  <c r="E76" i="3"/>
  <c r="E66" i="3"/>
  <c r="F42" i="3"/>
  <c r="E72" i="3"/>
  <c r="E98" i="3"/>
  <c r="E107" i="3"/>
  <c r="E99" i="3"/>
  <c r="E75" i="3"/>
  <c r="F67" i="3"/>
  <c r="F43" i="3"/>
  <c r="F19" i="3"/>
  <c r="F7" i="3"/>
  <c r="E74" i="3"/>
  <c r="E6" i="3"/>
  <c r="E24" i="3"/>
  <c r="F81" i="3"/>
  <c r="E33" i="3"/>
  <c r="F17" i="3"/>
  <c r="E62" i="3"/>
  <c r="F46" i="3"/>
  <c r="E103" i="3"/>
  <c r="E87" i="3"/>
  <c r="F55" i="3"/>
  <c r="E39" i="3"/>
  <c r="F100" i="3"/>
  <c r="E60" i="3"/>
  <c r="F52" i="3"/>
  <c r="F36" i="3"/>
  <c r="E102" i="3"/>
  <c r="F90" i="3"/>
  <c r="F93" i="3"/>
  <c r="E85" i="3"/>
  <c r="E77" i="3"/>
  <c r="E61" i="3"/>
  <c r="F53" i="3"/>
  <c r="F45" i="3"/>
  <c r="E29" i="3"/>
  <c r="F21" i="3"/>
  <c r="E88" i="3"/>
  <c r="F16" i="3"/>
  <c r="E96" i="3"/>
  <c r="E73" i="3"/>
  <c r="F57" i="3"/>
  <c r="E25" i="3"/>
  <c r="E11" i="3"/>
  <c r="E108" i="3"/>
  <c r="E54" i="3"/>
  <c r="E38" i="3"/>
  <c r="F22" i="3"/>
  <c r="F78" i="3"/>
  <c r="F95" i="3"/>
  <c r="E47" i="3"/>
  <c r="F31" i="3"/>
  <c r="E15" i="3"/>
  <c r="E94" i="3"/>
  <c r="F76" i="3"/>
  <c r="E50" i="3"/>
  <c r="E42" i="3"/>
  <c r="F26" i="3"/>
  <c r="E18" i="3"/>
  <c r="F107" i="3"/>
  <c r="E83" i="3"/>
  <c r="F75" i="3"/>
  <c r="E51" i="3"/>
  <c r="E43" i="3"/>
  <c r="E27" i="3"/>
  <c r="E19" i="3"/>
  <c r="E7" i="3"/>
  <c r="F110" i="3"/>
  <c r="F40" i="3"/>
  <c r="F6" i="3"/>
  <c r="F56" i="3"/>
  <c r="E40" i="3"/>
  <c r="F24" i="3"/>
  <c r="F82" i="3"/>
  <c r="F97" i="3"/>
  <c r="F33" i="3"/>
  <c r="E84" i="3"/>
  <c r="F62" i="3"/>
  <c r="E46" i="3"/>
  <c r="E14" i="3"/>
  <c r="E92" i="3"/>
  <c r="E71" i="3"/>
  <c r="E55" i="3"/>
  <c r="F9" i="3"/>
  <c r="E100" i="3"/>
  <c r="F60" i="3"/>
  <c r="E36" i="3"/>
  <c r="E28" i="3"/>
  <c r="E106" i="3"/>
  <c r="F102" i="3"/>
  <c r="E101" i="3"/>
  <c r="F69" i="3"/>
  <c r="F61" i="3"/>
  <c r="F37" i="3"/>
  <c r="F29" i="3"/>
  <c r="F8" i="3"/>
  <c r="E32" i="3"/>
  <c r="E105" i="3"/>
  <c r="F89" i="3"/>
  <c r="E41" i="3"/>
  <c r="F25" i="3"/>
  <c r="F70" i="3"/>
  <c r="F54" i="3"/>
  <c r="E78" i="3"/>
  <c r="F47" i="3"/>
  <c r="E13" i="3"/>
  <c r="F94" i="3"/>
  <c r="F58" i="3"/>
  <c r="F50" i="3"/>
  <c r="E34" i="3"/>
  <c r="F18" i="3"/>
  <c r="F98" i="3"/>
  <c r="F86" i="3"/>
  <c r="F91" i="3"/>
  <c r="F83" i="3"/>
  <c r="F59" i="3"/>
  <c r="F51" i="3"/>
  <c r="E35" i="3"/>
  <c r="F27" i="3"/>
  <c r="AI2" i="12"/>
  <c r="AJ2" i="12"/>
  <c r="AK2" i="12" l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<sst xmlns="http://schemas.openxmlformats.org/spreadsheetml/2006/main" count="27925" uniqueCount="2854">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</sst>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42">
    <dxf>
      <font>
        <color rgb="FFFF0000"/>
      </font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41"/>
    <tableColumn id="19" xr3:uid="{D4EDF782-865A-4AD9-9AB0-342BB5B90AFD}" name="coil_used" dataDxfId="40"/>
    <tableColumn id="20" xr3:uid="{3A14C945-8A77-406C-B98E-3993FAD82B28}" name="wire_type" dataDxfId="39"/>
    <tableColumn id="21" xr3:uid="{D73CFAFE-DA60-4FB2-AAD2-E68BDAD81453}" name="Unc. From reading 1" dataDxfId="38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7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6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35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34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33">
      <calculatedColumnFormula>Table1[[#This Row],[Range1_High]]&lt;=Table1[[#This Row],[Range1_Low]]</calculatedColumnFormula>
    </tableColumn>
    <tableColumn id="27" xr3:uid="{396EB742-4260-4F8B-97D1-4CB06270B2F5}" name="1" dataDxfId="32"/>
    <tableColumn id="28" xr3:uid="{83C9512F-F56B-469A-BB45-FD8F337DC432}" name="2" dataDxfId="31"/>
    <tableColumn id="29" xr3:uid="{402889EE-B4AF-495B-BC29-203E930B77A3}" name="3" dataDxfId="30"/>
    <tableColumn id="30" xr3:uid="{FC6A6EAB-A3FE-4094-A6E8-A76F0A121557}" name="4" dataDxfId="29"/>
    <tableColumn id="31" xr3:uid="{70F45D0E-7463-40F9-9019-A01C47A94DD6}" name="5" dataDxfId="28"/>
    <tableColumn id="32" xr3:uid="{211BFDF4-4382-481D-8D19-74784E161571}" name="Range2_Value" dataDxfId="27">
      <calculatedColumnFormula>AVERAGE(Table1[[#This Row],[Range2_Low]:[Range2_High]])</calculatedColumnFormula>
    </tableColumn>
    <tableColumn id="33" xr3:uid="{61441311-CB29-4298-905D-0496C8B7C2DB}" name="Nominal" dataDxfId="26">
      <calculatedColumnFormula>AVERAGE(Table1[[#This Row],[Range1_Low]:[Range1_High]])</calculatedColumnFormula>
    </tableColumn>
    <tableColumn id="34" xr3:uid="{F782166B-7E92-4150-BA93-A87592D6264E}" name="Tolerance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24" tableBorderDxfId="23">
  <autoFilter ref="A1:G43" xr:uid="{42CF0676-E9A5-4A1E-932D-76CCED49199E}"/>
  <tableColumns count="7">
    <tableColumn id="1" xr3:uid="{FA89DE0C-B134-4CE1-9B06-35942C8D876C}" name="Item" dataDxfId="22"/>
    <tableColumn id="2" xr3:uid="{A49F36E4-1EAD-4E4C-9B3D-A22204ADB7A1}" name="special" dataDxfId="21"/>
    <tableColumn id="3" xr3:uid="{3A744755-36EB-4CA2-B58C-C33BB74AEE67}" name="coil_used" dataDxfId="20"/>
    <tableColumn id="4" xr3:uid="{8764BABD-4DA8-4906-8D66-1E5D5CABF326}" name="wire_type" dataDxfId="19"/>
    <tableColumn id="5" xr3:uid="{C501DFC8-BDE8-4E94-8BCE-04683368B747}" name="meas_unit" dataDxfId="18"/>
    <tableColumn id="6" xr3:uid="{0EEF9442-EF9A-4F1B-870B-457F3BE24FB7}" name="secondary_unit" dataDxfId="17"/>
    <tableColumn id="7" xr3:uid="{40191247-7EEA-4E3E-9999-335197959E5F}" name="Polarity" dataDxfId="16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 dataDxfId="15"/>
    <tableColumn id="2" xr3:uid="{BB172C60-529D-4396-AA73-9C19FA1C5155}" name="Item" dataDxfId="14"/>
    <tableColumn id="3" xr3:uid="{E9C1A59A-ED27-4B88-9B1E-29A6D97D3E2A}" name="Range1_Low" dataDxfId="13"/>
    <tableColumn id="4" xr3:uid="{2A1EFD98-5873-4087-AED3-C50A413162E1}" name="Range1_High" dataDxfId="12"/>
    <tableColumn id="5" xr3:uid="{0846A209-7F8E-4ACE-A8B8-D0ACB5864346}" name="Res" dataDxfId="11"/>
    <tableColumn id="6" xr3:uid="{FB580057-7846-4706-A622-0CCD9BE8AA37}" name="Meas_Units" dataDxfId="10"/>
    <tableColumn id="7" xr3:uid="{B077B238-F3B3-43B6-9A1A-AACF06D12F00}" name="Uncert_Units" dataDxfId="9"/>
    <tableColumn id="8" xr3:uid="{E53EC664-50D0-4DD7-B23D-1E0E75075DCC}" name="Range2_Low" dataDxfId="8"/>
    <tableColumn id="9" xr3:uid="{B1743536-2D05-4455-8603-D33D6210DE61}" name="Range2_High" dataDxfId="7"/>
    <tableColumn id="10" xr3:uid="{8E230881-6475-4AEE-9D0D-E23679337D61}" name="Range2_Units" dataDxfId="6"/>
    <tableColumn id="11" xr3:uid="{E0886CC1-10E8-4A15-9132-96F22EC633E4}" name="Base" dataDxfId="5"/>
    <tableColumn id="12" xr3:uid="{A4F44AC5-CC84-40FC-8833-CD9CD9BCE922}" name="Mult" dataDxfId="4"/>
    <tableColumn id="13" xr3:uid="{B174B1F2-1ECC-4947-8DCA-3F7BAC37D208}" name="Base2" dataDxfId="3"/>
    <tableColumn id="14" xr3:uid="{375A20EF-FEE9-426C-8FF8-E4C930BF5D2C}" name="Mult2" dataDxfId="2"/>
    <tableColumn id="15" xr3:uid="{DD350654-D067-4C74-B6CC-3900EC0CD7E9}" name="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E8" sqref="E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9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5"/>
      <c r="I1" s="67"/>
      <c r="J1" s="44"/>
      <c r="K1" s="112" t="s">
        <v>189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05" t="s">
        <v>67</v>
      </c>
      <c r="C2" s="106"/>
      <c r="D2" s="106"/>
      <c r="E2" s="68"/>
      <c r="F2" s="12"/>
      <c r="G2" s="36"/>
      <c r="H2" s="76"/>
      <c r="I2" s="61"/>
      <c r="J2" s="45"/>
      <c r="K2" s="112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4" t="s">
        <v>27</v>
      </c>
      <c r="E3" s="97">
        <f ca="1">TODAY()</f>
        <v>45160</v>
      </c>
      <c r="F3" s="16"/>
      <c r="G3" s="36"/>
      <c r="H3" s="76"/>
      <c r="I3" s="61"/>
      <c r="J3" s="45"/>
      <c r="K3" s="89">
        <v>45160.719166666669</v>
      </c>
      <c r="L3" s="5"/>
      <c r="M3" s="5"/>
      <c r="N3" s="5"/>
      <c r="O3" s="5"/>
      <c r="P3" s="6"/>
      <c r="S3" s="107" t="s">
        <v>28</v>
      </c>
      <c r="T3" s="38"/>
      <c r="U3" s="8"/>
      <c r="V3" s="9"/>
      <c r="W3" s="8"/>
      <c r="X3" s="8" t="s">
        <v>2853</v>
      </c>
      <c r="Y3" s="8"/>
      <c r="Z3" s="8"/>
      <c r="AA3" s="8"/>
      <c r="AB3" s="8"/>
      <c r="AC3" s="8" t="s">
        <v>11</v>
      </c>
      <c r="AD3" s="8"/>
      <c r="AE3" s="7"/>
      <c r="AF3" s="103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6"/>
      <c r="I4" s="61"/>
      <c r="J4" s="45"/>
      <c r="K4" s="17"/>
      <c r="L4" s="34" t="s">
        <v>2852</v>
      </c>
      <c r="M4" s="5"/>
      <c r="N4" s="5"/>
      <c r="O4" s="5"/>
      <c r="P4" s="6"/>
      <c r="S4" s="108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03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7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09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10" t="s">
        <v>44</v>
      </c>
      <c r="AE5" s="111"/>
      <c r="AF5" s="104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5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:H6">IFERROR(CalcUnc(D6,I6,J6,Q6,R6,T6,V6,AC6,AD6,L6:P6,X6,Y6),"")</f>
        <v>9.2 V</v>
      </c>
      <c r="H6" s="78" t="str">
        <v/>
      </c>
      <c r="I6" s="48"/>
      <c r="J6" s="33" t="s">
        <v>68</v>
      </c>
      <c r="K6" s="30"/>
      <c r="L6" s="100">
        <v>66.900000000000006</v>
      </c>
      <c r="M6" s="101"/>
      <c r="N6" s="101"/>
      <c r="O6" s="101"/>
      <c r="P6" s="102"/>
      <c r="Q6" s="7" t="s">
        <v>153</v>
      </c>
      <c r="S6" s="7"/>
      <c r="T6" s="92">
        <v>0.1</v>
      </c>
      <c r="U6" s="31">
        <v>60</v>
      </c>
      <c r="V6" s="9" t="s">
        <v>183</v>
      </c>
      <c r="W6" s="27" t="str" cm="1">
        <f t="array" ref="W6">GetPolarity(V6,AD6)</f>
        <v>DC</v>
      </c>
      <c r="X6" s="32">
        <v>67</v>
      </c>
      <c r="Y6" s="90">
        <v>2</v>
      </c>
      <c r="Z6" s="93">
        <f>IF(T6&lt;&gt;"",ROUND(X6+Y6,-LOG10(T6)),"")</f>
        <v>69</v>
      </c>
      <c r="AA6" s="93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6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:H7">IFERROR(CalcUnc(D7,I7,J7,Q7,R7,T7,V7,AC7,AD7,L7:P7,X7,Y7),"")</f>
        <v>2.5 mV</v>
      </c>
      <c r="H7" s="78" t="str">
        <v/>
      </c>
      <c r="I7" s="48"/>
      <c r="J7" s="33" t="s">
        <v>54</v>
      </c>
      <c r="K7" s="30"/>
      <c r="L7" s="100">
        <v>4.9980000000000002</v>
      </c>
      <c r="M7" s="101"/>
      <c r="N7" s="101"/>
      <c r="O7" s="101"/>
      <c r="P7" s="102"/>
      <c r="S7" s="7"/>
      <c r="T7" s="92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90">
        <v>5.2999999999999999E-2</v>
      </c>
      <c r="Z7" s="93">
        <f t="shared" ref="Z7:Z70" si="0">IF(T7&lt;&gt;"",ROUND(X7+Y7,-LOG10(T7)),"")</f>
        <v>5.0529999999999999</v>
      </c>
      <c r="AA7" s="93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5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:H8">IFERROR(CalcUnc(D8,I8,J8,Q8,R8,T8,V8,AC8,AD8,L8:P8,X8,Y8),"")</f>
        <v>2.5 mV</v>
      </c>
      <c r="H8" s="78" t="str">
        <v/>
      </c>
      <c r="I8" s="48"/>
      <c r="J8" s="33" t="s">
        <v>54</v>
      </c>
      <c r="K8" s="30"/>
      <c r="L8" s="100">
        <v>4.9589999999999996</v>
      </c>
      <c r="M8" s="101"/>
      <c r="N8" s="101"/>
      <c r="O8" s="101"/>
      <c r="P8" s="102"/>
      <c r="S8" s="7"/>
      <c r="T8" s="92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90">
        <v>0.10299999999999999</v>
      </c>
      <c r="Z8" s="93">
        <f t="shared" si="0"/>
        <v>5.1029999999999998</v>
      </c>
      <c r="AA8" s="93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6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:H9">IFERROR(CalcUnc(D9,I9,J9,Q9,R9,T9,V9,AC9,AD9,L9:P9,X9,Y9),"")</f>
        <v>58 mV</v>
      </c>
      <c r="H9" s="78" t="str">
        <v/>
      </c>
      <c r="I9" s="48"/>
      <c r="J9" s="33" t="s">
        <v>54</v>
      </c>
      <c r="K9" s="30"/>
      <c r="L9" s="100">
        <v>49.98</v>
      </c>
      <c r="M9" s="101"/>
      <c r="N9" s="101"/>
      <c r="O9" s="101"/>
      <c r="P9" s="102"/>
      <c r="S9" s="7"/>
      <c r="T9" s="92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90">
        <v>0.53</v>
      </c>
      <c r="Z9" s="93">
        <f t="shared" si="0"/>
        <v>50.53</v>
      </c>
      <c r="AA9" s="93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5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:H10">IFERROR(CalcUnc(D10,I10,J10,Q10,R10,T10,V10,AC10,AD10,L10:P10,X10,Y10),"")</f>
        <v>58 mV</v>
      </c>
      <c r="H10" s="78" t="str">
        <v/>
      </c>
      <c r="I10" s="48"/>
      <c r="J10" s="33" t="s">
        <v>54</v>
      </c>
      <c r="K10" s="30"/>
      <c r="L10" s="100">
        <v>50.12</v>
      </c>
      <c r="M10" s="101"/>
      <c r="N10" s="101"/>
      <c r="O10" s="101"/>
      <c r="P10" s="102"/>
      <c r="S10" s="7"/>
      <c r="T10" s="92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90">
        <v>1.03</v>
      </c>
      <c r="Z10" s="93">
        <f t="shared" si="0"/>
        <v>51.03</v>
      </c>
      <c r="AA10" s="93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6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:H11">IFERROR(CalcUnc(D11,I11,J11,Q11,R11,T11,V11,AC11,AD11,L11:P11,X11,Y11),"")</f>
        <v>190 mV</v>
      </c>
      <c r="H11" s="78" t="str">
        <v/>
      </c>
      <c r="I11" s="48"/>
      <c r="J11" s="33" t="s">
        <v>54</v>
      </c>
      <c r="K11" s="30"/>
      <c r="L11" s="100">
        <v>300.2</v>
      </c>
      <c r="M11" s="101"/>
      <c r="N11" s="101"/>
      <c r="O11" s="101"/>
      <c r="P11" s="102"/>
      <c r="S11" s="7"/>
      <c r="T11" s="92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90">
        <v>3.3</v>
      </c>
      <c r="Z11" s="93">
        <f t="shared" si="0"/>
        <v>303.3</v>
      </c>
      <c r="AA11" s="93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5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:H12">IFERROR(CalcUnc(D12,I12,J12,Q12,R12,T12,V12,AC12,AD12,L12:P12,X12,Y12),"")</f>
        <v>670 mV</v>
      </c>
      <c r="H12" s="78" t="str">
        <v/>
      </c>
      <c r="I12" s="48"/>
      <c r="J12" s="33" t="s">
        <v>54</v>
      </c>
      <c r="K12" s="30"/>
      <c r="L12" s="100">
        <v>501.1</v>
      </c>
      <c r="M12" s="100"/>
      <c r="N12" s="101"/>
      <c r="O12" s="101"/>
      <c r="P12" s="102"/>
      <c r="S12" s="7"/>
      <c r="T12" s="92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90">
        <v>5.3</v>
      </c>
      <c r="Z12" s="93">
        <f t="shared" si="0"/>
        <v>505.3</v>
      </c>
      <c r="AA12" s="93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6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:H13">IFERROR(CalcUnc(D13,I13,J13,Q13,R13,T13,V13,AC13,AD13,L13:P13,X13,Y13),"")</f>
        <v>670 mV</v>
      </c>
      <c r="H13" s="78" t="str">
        <v/>
      </c>
      <c r="I13" s="48"/>
      <c r="J13" s="33" t="s">
        <v>54</v>
      </c>
      <c r="K13" s="30"/>
      <c r="L13" s="100">
        <v>501</v>
      </c>
      <c r="M13" s="101"/>
      <c r="N13" s="101"/>
      <c r="O13" s="101"/>
      <c r="P13" s="102"/>
      <c r="S13" s="7"/>
      <c r="T13" s="92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93">
        <f t="shared" si="0"/>
        <v>510.3</v>
      </c>
      <c r="AA13" s="93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5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:H14">IFERROR(CalcUnc(D14,I14,J14,Q14,R14,T14,V14,AC14,AD14,L14:P14,X14,Y14),"")</f>
        <v>5800 mV</v>
      </c>
      <c r="H14" s="78" t="str">
        <v/>
      </c>
      <c r="I14" s="48"/>
      <c r="J14" s="33" t="s">
        <v>54</v>
      </c>
      <c r="K14" s="30"/>
      <c r="L14" s="100">
        <v>1002</v>
      </c>
      <c r="M14" s="101"/>
      <c r="N14" s="101"/>
      <c r="O14" s="101"/>
      <c r="P14" s="102"/>
      <c r="S14" s="7"/>
      <c r="T14" s="92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93">
        <f t="shared" si="0"/>
        <v>1013</v>
      </c>
      <c r="AA14" s="93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6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8"/>
      <c r="I15" s="48"/>
      <c r="J15" s="33"/>
      <c r="K15" s="30"/>
      <c r="L15" s="100"/>
      <c r="M15" s="101"/>
      <c r="N15" s="101"/>
      <c r="O15" s="101"/>
      <c r="P15" s="102"/>
      <c r="S15" s="7"/>
      <c r="T15" s="92"/>
      <c r="U15" s="31"/>
      <c r="V15" s="26"/>
      <c r="W15" s="27" t="str" cm="1">
        <f t="array" ref="W15">GetPolarity(V15,AD15)</f>
        <v/>
      </c>
      <c r="X15" s="32"/>
      <c r="Y15" s="31"/>
      <c r="Z15" s="93" t="str">
        <f t="shared" si="0"/>
        <v/>
      </c>
      <c r="AA15" s="93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5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8"/>
      <c r="I16" s="48"/>
      <c r="J16" s="33"/>
      <c r="K16" s="30"/>
      <c r="L16" s="100"/>
      <c r="M16" s="101"/>
      <c r="N16" s="101"/>
      <c r="O16" s="101"/>
      <c r="P16" s="102"/>
      <c r="S16" s="7"/>
      <c r="T16" s="92"/>
      <c r="U16" s="31"/>
      <c r="V16" s="26"/>
      <c r="W16" s="27" t="str" cm="1">
        <f t="array" ref="W16">GetPolarity(V16,AD16)</f>
        <v/>
      </c>
      <c r="X16" s="32"/>
      <c r="Y16" s="31"/>
      <c r="Z16" s="93" t="str">
        <f t="shared" si="0"/>
        <v/>
      </c>
      <c r="AA16" s="93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6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:H17">IFERROR(CalcUnc(D17,I17,J17,Q17,R17,T17,V17,AC17,AD17,L17:P17,X17,Y17),"")</f>
        <v/>
      </c>
      <c r="H17" s="78" t="str">
        <v/>
      </c>
      <c r="I17" s="48"/>
      <c r="J17" s="33" t="s">
        <v>54</v>
      </c>
      <c r="K17" s="30"/>
      <c r="L17" s="100">
        <v>5</v>
      </c>
      <c r="M17" s="101"/>
      <c r="N17" s="101"/>
      <c r="O17" s="101"/>
      <c r="P17" s="102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93" t="str">
        <f t="shared" si="0"/>
        <v/>
      </c>
      <c r="AA17" s="93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5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:H18">IFERROR(CalcUnc(D18,I18,J18,Q18,R18,T18,V18,AC18,AD18,L18:P18,X18,Y18),"")</f>
        <v>62 mV</v>
      </c>
      <c r="H18" s="78" t="str">
        <v/>
      </c>
      <c r="I18" s="48"/>
      <c r="J18" s="33" t="s">
        <v>54</v>
      </c>
      <c r="K18" s="30"/>
      <c r="L18" s="100">
        <v>300</v>
      </c>
      <c r="M18" s="101"/>
      <c r="N18" s="101"/>
      <c r="O18" s="101"/>
      <c r="P18" s="102"/>
      <c r="S18" s="7"/>
      <c r="T18" s="92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93">
        <f t="shared" si="0"/>
        <v>300.5</v>
      </c>
      <c r="AA18" s="93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6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:H19">IFERROR(CalcUnc(D19,I19,J19,Q19,R19,T19,V19,AC19,AD19,L19:P19,X19,Y19),"")</f>
        <v>580 mV</v>
      </c>
      <c r="H19" s="78" t="str">
        <v/>
      </c>
      <c r="I19" s="48"/>
      <c r="J19" s="33" t="s">
        <v>54</v>
      </c>
      <c r="K19" s="30"/>
      <c r="L19" s="100">
        <v>1000</v>
      </c>
      <c r="M19" s="101"/>
      <c r="N19" s="101"/>
      <c r="O19" s="101"/>
      <c r="P19" s="102"/>
      <c r="S19" s="7"/>
      <c r="T19" s="92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93">
        <f t="shared" si="0"/>
        <v>1003</v>
      </c>
      <c r="AA19" s="93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5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:H20">IFERROR(CalcUnc(D20,I20,J20,Q20,R20,T20,V20,AC20,AD20,L20:P20,X20,Y20),"")</f>
        <v>580 mV</v>
      </c>
      <c r="H20" s="78" t="str">
        <v/>
      </c>
      <c r="I20" s="48"/>
      <c r="J20" s="33" t="s">
        <v>54</v>
      </c>
      <c r="K20" s="30"/>
      <c r="L20" s="100">
        <v>-1000</v>
      </c>
      <c r="M20" s="101"/>
      <c r="N20" s="101"/>
      <c r="O20" s="101"/>
      <c r="P20" s="102"/>
      <c r="S20" s="7"/>
      <c r="T20" s="92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93">
        <f t="shared" si="0"/>
        <v>-997</v>
      </c>
      <c r="AA20" s="93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6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8"/>
      <c r="I21" s="48"/>
      <c r="J21" s="33"/>
      <c r="K21" s="30"/>
      <c r="L21" s="100"/>
      <c r="M21" s="101"/>
      <c r="N21" s="101"/>
      <c r="O21" s="101"/>
      <c r="P21" s="102"/>
      <c r="S21" s="7"/>
      <c r="T21" s="92"/>
      <c r="U21" s="31"/>
      <c r="V21" s="26"/>
      <c r="W21" s="27" t="str" cm="1">
        <f t="array" ref="W21">GetPolarity(V21,AD21)</f>
        <v/>
      </c>
      <c r="X21" s="32"/>
      <c r="Y21" s="31"/>
      <c r="Z21" s="93" t="str">
        <f t="shared" si="0"/>
        <v/>
      </c>
      <c r="AA21" s="93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5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8"/>
      <c r="I22" s="48"/>
      <c r="J22" s="33"/>
      <c r="K22" s="30"/>
      <c r="L22" s="100"/>
      <c r="M22" s="101"/>
      <c r="N22" s="101"/>
      <c r="O22" s="101"/>
      <c r="P22" s="102"/>
      <c r="S22" s="7"/>
      <c r="T22" s="92"/>
      <c r="U22" s="31"/>
      <c r="V22" s="26"/>
      <c r="W22" s="27" t="str" cm="1">
        <f t="array" ref="W22">GetPolarity(V22,AD22)</f>
        <v/>
      </c>
      <c r="X22" s="32"/>
      <c r="Y22" s="31"/>
      <c r="Z22" s="93" t="str">
        <f t="shared" si="0"/>
        <v/>
      </c>
      <c r="AA22" s="93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6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:H23">IFERROR(CalcUnc(D23,I23,J23,Q23,R23,T23,V23,AC23,AD23,L23:P23,X23,Y23),"")</f>
        <v>59 µV</v>
      </c>
      <c r="H23" s="78" t="str">
        <v/>
      </c>
      <c r="I23" s="48"/>
      <c r="J23" s="33" t="s">
        <v>54</v>
      </c>
      <c r="K23" s="30"/>
      <c r="L23" s="100">
        <v>30</v>
      </c>
      <c r="M23" s="101"/>
      <c r="N23" s="101"/>
      <c r="O23" s="101"/>
      <c r="P23" s="102"/>
      <c r="S23" s="7"/>
      <c r="T23" s="92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93">
        <f t="shared" si="0"/>
        <v>30.2</v>
      </c>
      <c r="AA23" s="93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5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:H24">IFERROR(CalcUnc(D24,I24,J24,Q24,R24,T24,V24,AC24,AD24,L24:P24,X24,Y24),"")</f>
        <v>63 µV</v>
      </c>
      <c r="H24" s="78" t="str">
        <v/>
      </c>
      <c r="I24" s="48"/>
      <c r="J24" s="33" t="s">
        <v>54</v>
      </c>
      <c r="K24" s="30"/>
      <c r="L24" s="100">
        <v>-299.89999999999998</v>
      </c>
      <c r="M24" s="101"/>
      <c r="N24" s="101"/>
      <c r="O24" s="101"/>
      <c r="P24" s="102"/>
      <c r="S24" s="7"/>
      <c r="T24" s="92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93">
        <f t="shared" si="0"/>
        <v>-299.5</v>
      </c>
      <c r="AA24" s="93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6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:H25">IFERROR(CalcUnc(D25,I25,J25,Q25,R25,T25,V25,AC25,AD25,L25:P25,X25,Y25),"")</f>
        <v>76 µV</v>
      </c>
      <c r="H25" s="78" t="str">
        <v/>
      </c>
      <c r="I25" s="48"/>
      <c r="J25" s="33" t="s">
        <v>54</v>
      </c>
      <c r="K25" s="30"/>
      <c r="L25" s="100">
        <v>599.9</v>
      </c>
      <c r="M25" s="101"/>
      <c r="N25" s="101"/>
      <c r="O25" s="101"/>
      <c r="P25" s="102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93">
        <f t="shared" si="0"/>
        <v>600.70000000000005</v>
      </c>
      <c r="AA25" s="93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5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:H26">IFERROR(CalcUnc(D26,I26,J26,Q26,R26,T26,V26,AC26,AD26,L26:P26,X26,Y26),"")</f>
        <v>97 mΩ</v>
      </c>
      <c r="H26" s="78" t="str">
        <v/>
      </c>
      <c r="I26" s="48"/>
      <c r="J26" s="33" t="s">
        <v>54</v>
      </c>
      <c r="K26" s="30"/>
      <c r="L26" s="100">
        <v>500.2</v>
      </c>
      <c r="M26" s="101"/>
      <c r="N26" s="101"/>
      <c r="O26" s="101"/>
      <c r="P26" s="102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93">
        <f t="shared" si="0"/>
        <v>504.7</v>
      </c>
      <c r="AA26" s="93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6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:H27">IFERROR(CalcUnc(D27,I27,J27,Q27,R27,T27,V27,AC27,AD27,L27:P27,X27,Y27),"")</f>
        <v>26 kΩ</v>
      </c>
      <c r="H27" s="78" t="str">
        <v/>
      </c>
      <c r="I27" s="48"/>
      <c r="J27" s="33" t="s">
        <v>54</v>
      </c>
      <c r="K27" s="30"/>
      <c r="L27" s="100">
        <v>19</v>
      </c>
      <c r="M27" s="101"/>
      <c r="N27" s="101"/>
      <c r="O27" s="101"/>
      <c r="P27" s="102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93">
        <f t="shared" si="0"/>
        <v>19.32</v>
      </c>
      <c r="AA27" s="93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5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:H28">IFERROR(CalcUnc(D28,I28,J28,Q28,R28,T28,V28,AC28,AD28,L28:P28,X28,Y28),"")</f>
        <v>3.8 nF</v>
      </c>
      <c r="H28" s="78" t="str">
        <v/>
      </c>
      <c r="I28" s="48"/>
      <c r="J28" s="33" t="s">
        <v>54</v>
      </c>
      <c r="K28" s="30"/>
      <c r="L28" s="100">
        <v>900</v>
      </c>
      <c r="M28" s="101"/>
      <c r="N28" s="101"/>
      <c r="O28" s="101"/>
      <c r="P28" s="102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93">
        <f t="shared" si="0"/>
        <v>913</v>
      </c>
      <c r="AA28" s="93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6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8"/>
      <c r="I29" s="48"/>
      <c r="J29" s="33"/>
      <c r="K29" s="30"/>
      <c r="L29" s="100"/>
      <c r="M29" s="101"/>
      <c r="N29" s="101"/>
      <c r="O29" s="101"/>
      <c r="P29" s="102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93" t="str">
        <f t="shared" si="0"/>
        <v/>
      </c>
      <c r="AA29" s="93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5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8"/>
      <c r="I30" s="48"/>
      <c r="J30" s="33"/>
      <c r="K30" s="30"/>
      <c r="L30" s="100"/>
      <c r="M30" s="101"/>
      <c r="N30" s="101"/>
      <c r="O30" s="101"/>
      <c r="P30" s="102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93" t="str">
        <f t="shared" si="0"/>
        <v/>
      </c>
      <c r="AA30" s="93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6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:H31">IFERROR(CalcUnc(D31,I31,J31,Q31,R31,T31,V31,AC31,AD31,L31:P31,X31,Y31),"")</f>
        <v>600 µV</v>
      </c>
      <c r="H31" s="78" t="str">
        <v/>
      </c>
      <c r="I31" s="48"/>
      <c r="J31" s="33" t="s">
        <v>54</v>
      </c>
      <c r="K31" s="30"/>
      <c r="L31" s="100">
        <v>1.9990000000000001</v>
      </c>
      <c r="M31" s="101"/>
      <c r="N31" s="101"/>
      <c r="O31" s="101"/>
      <c r="P31" s="102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93">
        <f t="shared" si="0"/>
        <v>2.0219999999999998</v>
      </c>
      <c r="AA31" s="93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5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:H32">IFERROR(CalcUnc(D32,I32,J32,Q32,R32,T32,V32,AC32,AD32,L32:P32,X32,Y32),"")</f>
        <v>7.4 µA</v>
      </c>
      <c r="H32" s="78" t="str">
        <v/>
      </c>
      <c r="I32" s="48"/>
      <c r="J32" s="33" t="s">
        <v>54</v>
      </c>
      <c r="K32" s="30"/>
      <c r="L32" s="100">
        <v>3</v>
      </c>
      <c r="M32" s="101"/>
      <c r="N32" s="101"/>
      <c r="O32" s="101"/>
      <c r="P32" s="102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93">
        <f t="shared" si="0"/>
        <v>3.08</v>
      </c>
      <c r="AA32" s="93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6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:H33">IFERROR(CalcUnc(D33,I33,J33,Q33,R33,T33,V33,AC33,AD33,L33:P33,X33,Y33),"")</f>
        <v>0.12 mA</v>
      </c>
      <c r="H33" s="78" t="str">
        <v/>
      </c>
      <c r="I33" s="48"/>
      <c r="J33" s="33" t="s">
        <v>54</v>
      </c>
      <c r="K33" s="30"/>
      <c r="L33" s="100">
        <v>50.02</v>
      </c>
      <c r="M33" s="101"/>
      <c r="N33" s="101"/>
      <c r="O33" s="101"/>
      <c r="P33" s="102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93">
        <f t="shared" si="0"/>
        <v>50.78</v>
      </c>
      <c r="AA33" s="93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5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:H34">IFERROR(CalcUnc(D34,I34,J34,Q34,R34,T34,V34,AC34,AD34,L34:P34,X34,Y34),"")</f>
        <v>0.35 mA</v>
      </c>
      <c r="H34" s="78" t="str">
        <v/>
      </c>
      <c r="I34" s="48"/>
      <c r="J34" s="33" t="s">
        <v>54</v>
      </c>
      <c r="K34" s="30"/>
      <c r="L34" s="100">
        <v>399.3</v>
      </c>
      <c r="M34" s="101"/>
      <c r="N34" s="101"/>
      <c r="O34" s="101"/>
      <c r="P34" s="102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93">
        <f t="shared" si="0"/>
        <v>406.3</v>
      </c>
      <c r="AA34" s="93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6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:H35">IFERROR(CalcUnc(D35,I35,J35,Q35,R35,T35,V35,AC35,AD35,L35:P35,X35,Y35),"")</f>
        <v>5.2 mA</v>
      </c>
      <c r="H35" s="78" t="str">
        <v/>
      </c>
      <c r="I35" s="48"/>
      <c r="J35" s="33" t="s">
        <v>54</v>
      </c>
      <c r="K35" s="30"/>
      <c r="L35" s="100">
        <v>3.9990000000000001</v>
      </c>
      <c r="M35" s="101"/>
      <c r="N35" s="101"/>
      <c r="O35" s="101"/>
      <c r="P35" s="102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93">
        <f t="shared" si="0"/>
        <v>4.0629999999999997</v>
      </c>
      <c r="AA35" s="93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5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:H36">IFERROR(CalcUnc(D36,I36,J36,Q36,R36,T36,V36,AC36,AD36,L36:P36,X36,Y36),"")</f>
        <v>14 mA</v>
      </c>
      <c r="H36" s="78" t="str">
        <v/>
      </c>
      <c r="I36" s="48"/>
      <c r="J36" s="33"/>
      <c r="K36" s="30"/>
      <c r="L36" s="100">
        <v>9.1</v>
      </c>
      <c r="M36" s="101"/>
      <c r="N36" s="101"/>
      <c r="O36" s="101"/>
      <c r="P36" s="102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93">
        <f t="shared" si="0"/>
        <v>9.17</v>
      </c>
      <c r="AA36" s="93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6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:H37">IFERROR(CalcUnc(D37,I37,J37,Q37,R37,T37,V37,AC37,AD37,L37:P37,X37,Y37),"")</f>
        <v>5.8 µA</v>
      </c>
      <c r="H37" s="78" t="str">
        <v/>
      </c>
      <c r="I37" s="48"/>
      <c r="J37" s="33" t="s">
        <v>54</v>
      </c>
      <c r="K37" s="30"/>
      <c r="L37" s="100">
        <v>3</v>
      </c>
      <c r="M37" s="101"/>
      <c r="N37" s="101"/>
      <c r="O37" s="101"/>
      <c r="P37" s="102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93">
        <f t="shared" si="0"/>
        <v>3.06</v>
      </c>
      <c r="AA37" s="93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5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:H38">IFERROR(CalcUnc(D38,I38,J38,Q38,R38,T38,V38,AC38,AD38,L38:P38,X38,Y38),"")</f>
        <v>11 µA</v>
      </c>
      <c r="H38" s="78" t="str">
        <v/>
      </c>
      <c r="I38" s="48"/>
      <c r="J38" s="33" t="s">
        <v>54</v>
      </c>
      <c r="K38" s="30"/>
      <c r="L38" s="100">
        <v>49.98</v>
      </c>
      <c r="M38" s="101"/>
      <c r="N38" s="101"/>
      <c r="O38" s="101"/>
      <c r="P38" s="102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93">
        <f t="shared" si="0"/>
        <v>50.53</v>
      </c>
      <c r="AA38" s="93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6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:H39">IFERROR(CalcUnc(D39,I39,J39,Q39,R39,T39,V39,AC39,AD39,L39:P39,X39,Y39),"")</f>
        <v>0.23 mA</v>
      </c>
      <c r="H39" s="78" t="str">
        <v/>
      </c>
      <c r="I39" s="48"/>
      <c r="J39" s="33" t="s">
        <v>54</v>
      </c>
      <c r="K39" s="30"/>
      <c r="L39" s="100">
        <v>-399.9</v>
      </c>
      <c r="M39" s="101"/>
      <c r="N39" s="101"/>
      <c r="O39" s="101"/>
      <c r="P39" s="102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93">
        <f t="shared" si="0"/>
        <v>-395.7</v>
      </c>
      <c r="AA39" s="93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5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:H40">IFERROR(CalcUnc(D40,I40,J40,Q40,R40,T40,V40,AC40,AD40,L40:P40,X40,Y40),"")</f>
        <v>3.7 mA</v>
      </c>
      <c r="H40" s="78" t="str">
        <v/>
      </c>
      <c r="I40" s="48"/>
      <c r="J40" s="33" t="s">
        <v>54</v>
      </c>
      <c r="K40" s="30"/>
      <c r="L40" s="100">
        <v>3.9990000000000001</v>
      </c>
      <c r="M40" s="101"/>
      <c r="N40" s="101"/>
      <c r="O40" s="101"/>
      <c r="P40" s="102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93">
        <f t="shared" si="0"/>
        <v>4.0430000000000001</v>
      </c>
      <c r="AA40" s="93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6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:H41">IFERROR(CalcUnc(D41,I41,J41,Q41,R41,T41,V41,AC41,AD41,L41:P41,X41,Y41),"")</f>
        <v>10 mA</v>
      </c>
      <c r="H41" s="78" t="str">
        <v/>
      </c>
      <c r="I41" s="48"/>
      <c r="J41" s="33" t="s">
        <v>54</v>
      </c>
      <c r="K41" s="30"/>
      <c r="L41" s="100">
        <v>-9</v>
      </c>
      <c r="M41" s="101"/>
      <c r="N41" s="101"/>
      <c r="O41" s="101"/>
      <c r="P41" s="102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93">
        <f t="shared" si="0"/>
        <v>-8.8800000000000008</v>
      </c>
      <c r="AA41" s="93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5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:H42">IFERROR(CalcUnc(D42,I42,J42,Q42,R42,T42,V42,AC42,AD42,L42:P42,X42,Y42),"")</f>
        <v>0.2 °C</v>
      </c>
      <c r="H42" s="78" t="str">
        <v/>
      </c>
      <c r="I42" s="48"/>
      <c r="J42" s="33" t="s">
        <v>54</v>
      </c>
      <c r="K42" s="30"/>
      <c r="L42" s="100">
        <v>0.2</v>
      </c>
      <c r="M42" s="101"/>
      <c r="N42" s="101"/>
      <c r="O42" s="101"/>
      <c r="P42" s="102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93">
        <f t="shared" si="0"/>
        <v>1</v>
      </c>
      <c r="AA42" s="93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6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:H43">IFERROR(CalcUnc(D43,I43,J43,Q43,R43,T43,V43,AC43,AD43,L43:P43,X43,Y43),"")</f>
        <v>0.23 °C</v>
      </c>
      <c r="H43" s="78" t="str">
        <v/>
      </c>
      <c r="I43" s="48"/>
      <c r="J43" s="33" t="s">
        <v>54</v>
      </c>
      <c r="K43" s="30"/>
      <c r="L43" s="100">
        <v>-39.799999999999997</v>
      </c>
      <c r="M43" s="101"/>
      <c r="N43" s="101"/>
      <c r="O43" s="101"/>
      <c r="P43" s="102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93">
        <f t="shared" si="0"/>
        <v>-38.6</v>
      </c>
      <c r="AA43" s="93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5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:H44">IFERROR(CalcUnc(D44,I44,J44,Q44,R44,T44,V44,AC44,AD44,L44:P44,X44,Y44),"")</f>
        <v>0.31 °C</v>
      </c>
      <c r="H44" s="78" t="str">
        <v/>
      </c>
      <c r="I44" s="48"/>
      <c r="J44" s="33" t="s">
        <v>54</v>
      </c>
      <c r="K44" s="30"/>
      <c r="L44" s="100">
        <v>399.7</v>
      </c>
      <c r="M44" s="101"/>
      <c r="N44" s="101"/>
      <c r="O44" s="101"/>
      <c r="P44" s="102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93">
        <f t="shared" si="0"/>
        <v>405</v>
      </c>
      <c r="AA44" s="93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6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8"/>
      <c r="I45" s="48"/>
      <c r="J45" s="33"/>
      <c r="K45" s="30"/>
      <c r="L45" s="100"/>
      <c r="M45" s="101"/>
      <c r="N45" s="101"/>
      <c r="O45" s="101"/>
      <c r="P45" s="102"/>
      <c r="S45" s="7"/>
      <c r="T45" s="41"/>
      <c r="U45" s="31"/>
      <c r="V45" s="9"/>
      <c r="W45" s="27" t="str" cm="1">
        <f t="array" ref="W45">GetPolarity(V45,AD45)</f>
        <v/>
      </c>
      <c r="X45" s="32"/>
      <c r="Y45" s="91"/>
      <c r="Z45" s="93" t="str">
        <f t="shared" si="0"/>
        <v/>
      </c>
      <c r="AA45" s="93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5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8"/>
      <c r="I46" s="48"/>
      <c r="J46" s="33"/>
      <c r="K46" s="30"/>
      <c r="L46" s="100"/>
      <c r="M46" s="101"/>
      <c r="N46" s="101"/>
      <c r="O46" s="101"/>
      <c r="P46" s="102"/>
      <c r="S46" s="7"/>
      <c r="T46" s="41"/>
      <c r="U46" s="31"/>
      <c r="V46" s="9"/>
      <c r="W46" s="27" t="str" cm="1">
        <f t="array" ref="W46">GetPolarity(V46,AD46)</f>
        <v/>
      </c>
      <c r="X46" s="32"/>
      <c r="Y46" s="91"/>
      <c r="Z46" s="93" t="str">
        <f t="shared" si="0"/>
        <v/>
      </c>
      <c r="AA46" s="93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6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8"/>
      <c r="I47" s="48"/>
      <c r="J47" s="33"/>
      <c r="K47" s="30"/>
      <c r="L47" s="100"/>
      <c r="M47" s="101"/>
      <c r="N47" s="101"/>
      <c r="O47" s="101"/>
      <c r="P47" s="102"/>
      <c r="S47" s="7"/>
      <c r="T47" s="41"/>
      <c r="U47" s="31"/>
      <c r="V47" s="9"/>
      <c r="W47" s="27" t="str" cm="1">
        <f t="array" ref="W47">GetPolarity(V47,AD47)</f>
        <v/>
      </c>
      <c r="X47" s="32"/>
      <c r="Y47" s="91"/>
      <c r="Z47" s="93" t="str">
        <f t="shared" si="0"/>
        <v/>
      </c>
      <c r="AA47" s="93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5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8"/>
      <c r="I48" s="48"/>
      <c r="J48" s="33"/>
      <c r="K48" s="30"/>
      <c r="L48" s="100"/>
      <c r="M48" s="101"/>
      <c r="N48" s="101"/>
      <c r="O48" s="101"/>
      <c r="P48" s="102"/>
      <c r="S48" s="7"/>
      <c r="T48" s="41"/>
      <c r="U48" s="31"/>
      <c r="V48" s="9"/>
      <c r="W48" s="27" t="str" cm="1">
        <f t="array" ref="W48">GetPolarity(V48,AD48)</f>
        <v/>
      </c>
      <c r="X48" s="32"/>
      <c r="Y48" s="91"/>
      <c r="Z48" s="93" t="str">
        <f t="shared" si="0"/>
        <v/>
      </c>
      <c r="AA48" s="93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6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8"/>
      <c r="I49" s="48"/>
      <c r="J49" s="33"/>
      <c r="K49" s="30"/>
      <c r="L49" s="100"/>
      <c r="M49" s="101"/>
      <c r="N49" s="101"/>
      <c r="O49" s="101"/>
      <c r="P49" s="102"/>
      <c r="S49" s="7"/>
      <c r="T49" s="41"/>
      <c r="U49" s="31"/>
      <c r="V49" s="9"/>
      <c r="W49" s="27" t="str" cm="1">
        <f t="array" ref="W49">GetPolarity(V49,AD49)</f>
        <v/>
      </c>
      <c r="X49" s="32"/>
      <c r="Y49" s="91"/>
      <c r="Z49" s="93" t="str">
        <f t="shared" si="0"/>
        <v/>
      </c>
      <c r="AA49" s="93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5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8"/>
      <c r="I50" s="48"/>
      <c r="J50" s="33"/>
      <c r="K50" s="30"/>
      <c r="L50" s="100"/>
      <c r="M50" s="101"/>
      <c r="N50" s="101"/>
      <c r="O50" s="101"/>
      <c r="P50" s="102"/>
      <c r="S50" s="7"/>
      <c r="T50" s="41"/>
      <c r="U50" s="31"/>
      <c r="V50" s="9"/>
      <c r="W50" s="27" t="str" cm="1">
        <f t="array" ref="W50">GetPolarity(V50,AD50)</f>
        <v/>
      </c>
      <c r="X50" s="32"/>
      <c r="Y50" s="91"/>
      <c r="Z50" s="93" t="str">
        <f t="shared" si="0"/>
        <v/>
      </c>
      <c r="AA50" s="93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6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8"/>
      <c r="I51" s="48"/>
      <c r="J51" s="33"/>
      <c r="K51" s="30"/>
      <c r="L51" s="100"/>
      <c r="M51" s="101"/>
      <c r="N51" s="101"/>
      <c r="O51" s="101"/>
      <c r="P51" s="102"/>
      <c r="S51" s="7"/>
      <c r="T51" s="41"/>
      <c r="U51" s="31"/>
      <c r="V51" s="9"/>
      <c r="W51" s="27" t="str" cm="1">
        <f t="array" ref="W51">GetPolarity(V51,AD51)</f>
        <v/>
      </c>
      <c r="X51" s="32"/>
      <c r="Y51" s="91"/>
      <c r="Z51" s="93" t="str">
        <f t="shared" si="0"/>
        <v/>
      </c>
      <c r="AA51" s="93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5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8"/>
      <c r="I52" s="48"/>
      <c r="J52" s="33"/>
      <c r="K52" s="30"/>
      <c r="L52" s="100"/>
      <c r="M52" s="101"/>
      <c r="N52" s="101"/>
      <c r="O52" s="101"/>
      <c r="P52" s="102"/>
      <c r="S52" s="7"/>
      <c r="T52" s="41"/>
      <c r="U52" s="31"/>
      <c r="V52" s="9"/>
      <c r="W52" s="27" t="str" cm="1">
        <f t="array" ref="W52">GetPolarity(V52,AD52)</f>
        <v/>
      </c>
      <c r="X52" s="32"/>
      <c r="Y52" s="91"/>
      <c r="Z52" s="93" t="str">
        <f t="shared" si="0"/>
        <v/>
      </c>
      <c r="AA52" s="93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6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8"/>
      <c r="I53" s="48"/>
      <c r="J53" s="33"/>
      <c r="K53" s="30"/>
      <c r="L53" s="100"/>
      <c r="M53" s="101"/>
      <c r="N53" s="101"/>
      <c r="O53" s="101"/>
      <c r="P53" s="102"/>
      <c r="S53" s="7"/>
      <c r="T53" s="41"/>
      <c r="U53" s="31"/>
      <c r="V53" s="9"/>
      <c r="W53" s="27" t="str" cm="1">
        <f t="array" ref="W53">GetPolarity(V53,AD53)</f>
        <v/>
      </c>
      <c r="X53" s="32"/>
      <c r="Y53" s="91"/>
      <c r="Z53" s="93" t="str">
        <f t="shared" si="0"/>
        <v/>
      </c>
      <c r="AA53" s="93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5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8"/>
      <c r="I54" s="48"/>
      <c r="J54" s="33"/>
      <c r="K54" s="30"/>
      <c r="L54" s="100"/>
      <c r="M54" s="101"/>
      <c r="N54" s="101"/>
      <c r="O54" s="101"/>
      <c r="P54" s="102"/>
      <c r="S54" s="7"/>
      <c r="T54" s="41"/>
      <c r="U54" s="31"/>
      <c r="V54" s="9"/>
      <c r="W54" s="27" t="str" cm="1">
        <f t="array" ref="W54">GetPolarity(V54,AD54)</f>
        <v/>
      </c>
      <c r="X54" s="32"/>
      <c r="Y54" s="91"/>
      <c r="Z54" s="93" t="str">
        <f t="shared" si="0"/>
        <v/>
      </c>
      <c r="AA54" s="93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6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8"/>
      <c r="I55" s="48"/>
      <c r="J55" s="33"/>
      <c r="K55" s="30"/>
      <c r="L55" s="100"/>
      <c r="M55" s="101"/>
      <c r="N55" s="101"/>
      <c r="O55" s="101"/>
      <c r="P55" s="102"/>
      <c r="S55" s="7"/>
      <c r="T55" s="41"/>
      <c r="U55" s="31"/>
      <c r="V55" s="9"/>
      <c r="W55" s="27" t="str" cm="1">
        <f t="array" ref="W55">GetPolarity(V55,AD55)</f>
        <v/>
      </c>
      <c r="X55" s="32"/>
      <c r="Y55" s="91"/>
      <c r="Z55" s="93" t="str">
        <f t="shared" si="0"/>
        <v/>
      </c>
      <c r="AA55" s="93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5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8"/>
      <c r="I56" s="48"/>
      <c r="J56" s="33"/>
      <c r="K56" s="30"/>
      <c r="L56" s="100"/>
      <c r="M56" s="101"/>
      <c r="N56" s="101"/>
      <c r="O56" s="101"/>
      <c r="P56" s="102"/>
      <c r="S56" s="7"/>
      <c r="T56" s="41"/>
      <c r="U56" s="31"/>
      <c r="V56" s="9"/>
      <c r="W56" s="27" t="str" cm="1">
        <f t="array" ref="W56">GetPolarity(V56,AD56)</f>
        <v/>
      </c>
      <c r="X56" s="32"/>
      <c r="Y56" s="91"/>
      <c r="Z56" s="93" t="str">
        <f t="shared" si="0"/>
        <v/>
      </c>
      <c r="AA56" s="93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6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8"/>
      <c r="I57" s="48"/>
      <c r="J57" s="33"/>
      <c r="K57" s="30"/>
      <c r="L57" s="100"/>
      <c r="M57" s="101"/>
      <c r="N57" s="101"/>
      <c r="O57" s="101"/>
      <c r="P57" s="102"/>
      <c r="S57" s="7"/>
      <c r="T57" s="41"/>
      <c r="U57" s="31"/>
      <c r="V57" s="9"/>
      <c r="W57" s="27" t="str" cm="1">
        <f t="array" ref="W57">GetPolarity(V57,AD57)</f>
        <v/>
      </c>
      <c r="X57" s="32"/>
      <c r="Y57" s="91"/>
      <c r="Z57" s="93" t="str">
        <f t="shared" si="0"/>
        <v/>
      </c>
      <c r="AA57" s="93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5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8"/>
      <c r="I58" s="48"/>
      <c r="J58" s="33"/>
      <c r="K58" s="30"/>
      <c r="L58" s="100"/>
      <c r="M58" s="101"/>
      <c r="N58" s="101"/>
      <c r="O58" s="101"/>
      <c r="P58" s="102"/>
      <c r="S58" s="7"/>
      <c r="T58" s="41"/>
      <c r="U58" s="31"/>
      <c r="V58" s="9"/>
      <c r="W58" s="27" t="str" cm="1">
        <f t="array" ref="W58">GetPolarity(V58,AD58)</f>
        <v/>
      </c>
      <c r="X58" s="32"/>
      <c r="Y58" s="91"/>
      <c r="Z58" s="93" t="str">
        <f t="shared" si="0"/>
        <v/>
      </c>
      <c r="AA58" s="93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6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8"/>
      <c r="I59" s="48"/>
      <c r="J59" s="33"/>
      <c r="K59" s="30"/>
      <c r="L59" s="100"/>
      <c r="M59" s="101"/>
      <c r="N59" s="101"/>
      <c r="O59" s="101"/>
      <c r="P59" s="102"/>
      <c r="S59" s="7"/>
      <c r="T59" s="41"/>
      <c r="U59" s="31"/>
      <c r="V59" s="9"/>
      <c r="W59" s="27" t="str" cm="1">
        <f t="array" ref="W59">GetPolarity(V59,AD59)</f>
        <v/>
      </c>
      <c r="X59" s="32"/>
      <c r="Y59" s="91"/>
      <c r="Z59" s="93" t="str">
        <f t="shared" si="0"/>
        <v/>
      </c>
      <c r="AA59" s="93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5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8"/>
      <c r="I60" s="48"/>
      <c r="J60" s="33"/>
      <c r="K60" s="30"/>
      <c r="L60" s="100"/>
      <c r="M60" s="101"/>
      <c r="N60" s="101"/>
      <c r="O60" s="101"/>
      <c r="P60" s="102"/>
      <c r="S60" s="7"/>
      <c r="T60" s="41"/>
      <c r="U60" s="31"/>
      <c r="V60" s="9"/>
      <c r="W60" s="27" t="str" cm="1">
        <f t="array" ref="W60">GetPolarity(V60,AD60)</f>
        <v/>
      </c>
      <c r="X60" s="32"/>
      <c r="Y60" s="91"/>
      <c r="Z60" s="93" t="str">
        <f t="shared" si="0"/>
        <v/>
      </c>
      <c r="AA60" s="93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6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8"/>
      <c r="I61" s="48"/>
      <c r="J61" s="33"/>
      <c r="K61" s="30"/>
      <c r="L61" s="100"/>
      <c r="M61" s="101"/>
      <c r="N61" s="101"/>
      <c r="O61" s="101"/>
      <c r="P61" s="102"/>
      <c r="S61" s="7"/>
      <c r="T61" s="41"/>
      <c r="U61" s="31"/>
      <c r="V61" s="9"/>
      <c r="W61" s="27" t="str" cm="1">
        <f t="array" ref="W61">GetPolarity(V61,AD61)</f>
        <v/>
      </c>
      <c r="X61" s="32"/>
      <c r="Y61" s="91"/>
      <c r="Z61" s="93" t="str">
        <f t="shared" si="0"/>
        <v/>
      </c>
      <c r="AA61" s="93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5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8"/>
      <c r="I62" s="48"/>
      <c r="J62" s="33"/>
      <c r="K62" s="30"/>
      <c r="L62" s="100"/>
      <c r="M62" s="101"/>
      <c r="N62" s="101"/>
      <c r="O62" s="101"/>
      <c r="P62" s="102"/>
      <c r="S62" s="7"/>
      <c r="T62" s="41"/>
      <c r="U62" s="31"/>
      <c r="V62" s="9"/>
      <c r="W62" s="27" t="str" cm="1">
        <f t="array" ref="W62">GetPolarity(V62,AD62)</f>
        <v/>
      </c>
      <c r="X62" s="32"/>
      <c r="Y62" s="91"/>
      <c r="Z62" s="93" t="str">
        <f t="shared" si="0"/>
        <v/>
      </c>
      <c r="AA62" s="93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6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8"/>
      <c r="I63" s="48"/>
      <c r="J63" s="33"/>
      <c r="K63" s="30"/>
      <c r="L63" s="100"/>
      <c r="M63" s="101"/>
      <c r="N63" s="101"/>
      <c r="O63" s="101"/>
      <c r="P63" s="102"/>
      <c r="S63" s="7"/>
      <c r="T63" s="41"/>
      <c r="U63" s="31"/>
      <c r="V63" s="9"/>
      <c r="W63" s="27" t="str" cm="1">
        <f t="array" ref="W63">GetPolarity(V63,AD63)</f>
        <v/>
      </c>
      <c r="X63" s="32"/>
      <c r="Y63" s="91"/>
      <c r="Z63" s="93" t="str">
        <f t="shared" si="0"/>
        <v/>
      </c>
      <c r="AA63" s="93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5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8"/>
      <c r="I64" s="48"/>
      <c r="J64" s="33"/>
      <c r="K64" s="30"/>
      <c r="L64" s="100"/>
      <c r="M64" s="101"/>
      <c r="N64" s="101"/>
      <c r="O64" s="101"/>
      <c r="P64" s="102"/>
      <c r="S64" s="7"/>
      <c r="T64" s="41"/>
      <c r="U64" s="31"/>
      <c r="V64" s="9"/>
      <c r="W64" s="27" t="str" cm="1">
        <f t="array" ref="W64">GetPolarity(V64,AD64)</f>
        <v/>
      </c>
      <c r="X64" s="32"/>
      <c r="Y64" s="91"/>
      <c r="Z64" s="93" t="str">
        <f t="shared" si="0"/>
        <v/>
      </c>
      <c r="AA64" s="93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6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8"/>
      <c r="I65" s="48"/>
      <c r="J65" s="33"/>
      <c r="K65" s="30"/>
      <c r="L65" s="100"/>
      <c r="M65" s="101"/>
      <c r="N65" s="101"/>
      <c r="O65" s="101"/>
      <c r="P65" s="102"/>
      <c r="S65" s="7"/>
      <c r="T65" s="41"/>
      <c r="U65" s="31"/>
      <c r="V65" s="9"/>
      <c r="W65" s="27" t="str" cm="1">
        <f t="array" ref="W65">GetPolarity(V65,AD65)</f>
        <v/>
      </c>
      <c r="X65" s="32"/>
      <c r="Y65" s="91"/>
      <c r="Z65" s="93" t="str">
        <f t="shared" si="0"/>
        <v/>
      </c>
      <c r="AA65" s="93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5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8"/>
      <c r="I66" s="48"/>
      <c r="J66" s="33"/>
      <c r="K66" s="30"/>
      <c r="L66" s="100"/>
      <c r="M66" s="101"/>
      <c r="N66" s="101"/>
      <c r="O66" s="101"/>
      <c r="P66" s="102"/>
      <c r="S66" s="7"/>
      <c r="T66" s="41"/>
      <c r="U66" s="31"/>
      <c r="V66" s="9"/>
      <c r="W66" s="27" t="str" cm="1">
        <f t="array" ref="W66">GetPolarity(V66,AD66)</f>
        <v/>
      </c>
      <c r="X66" s="32"/>
      <c r="Y66" s="91"/>
      <c r="Z66" s="93" t="str">
        <f t="shared" si="0"/>
        <v/>
      </c>
      <c r="AA66" s="93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6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8"/>
      <c r="I67" s="48"/>
      <c r="J67" s="33"/>
      <c r="K67" s="30"/>
      <c r="L67" s="100"/>
      <c r="M67" s="101"/>
      <c r="N67" s="101"/>
      <c r="O67" s="101"/>
      <c r="P67" s="102"/>
      <c r="S67" s="7"/>
      <c r="T67" s="41"/>
      <c r="U67" s="31"/>
      <c r="V67" s="9"/>
      <c r="W67" s="27" t="str" cm="1">
        <f t="array" ref="W67">GetPolarity(V67,AD67)</f>
        <v/>
      </c>
      <c r="X67" s="32"/>
      <c r="Y67" s="91"/>
      <c r="Z67" s="93" t="str">
        <f t="shared" si="0"/>
        <v/>
      </c>
      <c r="AA67" s="93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5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8"/>
      <c r="I68" s="48"/>
      <c r="J68" s="33"/>
      <c r="K68" s="30"/>
      <c r="L68" s="100"/>
      <c r="M68" s="101"/>
      <c r="N68" s="101"/>
      <c r="O68" s="101"/>
      <c r="P68" s="102"/>
      <c r="S68" s="7"/>
      <c r="T68" s="41"/>
      <c r="U68" s="31"/>
      <c r="V68" s="9"/>
      <c r="W68" s="27" t="str" cm="1">
        <f t="array" ref="W68">GetPolarity(V68,AD68)</f>
        <v/>
      </c>
      <c r="X68" s="32"/>
      <c r="Y68" s="91"/>
      <c r="Z68" s="93" t="str">
        <f t="shared" si="0"/>
        <v/>
      </c>
      <c r="AA68" s="93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6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8"/>
      <c r="I69" s="48"/>
      <c r="J69" s="33"/>
      <c r="K69" s="30"/>
      <c r="L69" s="100"/>
      <c r="M69" s="101"/>
      <c r="N69" s="101"/>
      <c r="O69" s="101"/>
      <c r="P69" s="102"/>
      <c r="S69" s="7"/>
      <c r="T69" s="41"/>
      <c r="U69" s="31"/>
      <c r="V69" s="9"/>
      <c r="W69" s="27" t="str" cm="1">
        <f t="array" ref="W69">GetPolarity(V69,AD69)</f>
        <v/>
      </c>
      <c r="X69" s="32"/>
      <c r="Y69" s="91"/>
      <c r="Z69" s="93" t="str">
        <f t="shared" si="0"/>
        <v/>
      </c>
      <c r="AA69" s="93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5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8"/>
      <c r="I70" s="48"/>
      <c r="J70" s="33"/>
      <c r="K70" s="30"/>
      <c r="L70" s="100"/>
      <c r="M70" s="101"/>
      <c r="N70" s="101"/>
      <c r="O70" s="101"/>
      <c r="P70" s="102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93" t="str">
        <f t="shared" si="0"/>
        <v/>
      </c>
      <c r="AA70" s="93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6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8"/>
      <c r="I71" s="48"/>
      <c r="J71" s="33"/>
      <c r="K71" s="30"/>
      <c r="L71" s="100"/>
      <c r="M71" s="101"/>
      <c r="N71" s="101"/>
      <c r="O71" s="101"/>
      <c r="P71" s="102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93" t="str">
        <f t="shared" ref="Z71:Z110" si="5">IF(T71&lt;&gt;"",ROUND(X71+Y71,-LOG10(T71)),"")</f>
        <v/>
      </c>
      <c r="AA71" s="93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5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8"/>
      <c r="I72" s="48"/>
      <c r="J72" s="33"/>
      <c r="K72" s="30"/>
      <c r="L72" s="100"/>
      <c r="M72" s="101"/>
      <c r="N72" s="101"/>
      <c r="O72" s="101"/>
      <c r="P72" s="102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93" t="str">
        <f t="shared" si="5"/>
        <v/>
      </c>
      <c r="AA72" s="93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6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8"/>
      <c r="I73" s="48"/>
      <c r="J73" s="33"/>
      <c r="K73" s="30"/>
      <c r="L73" s="100"/>
      <c r="M73" s="101"/>
      <c r="N73" s="101"/>
      <c r="O73" s="101"/>
      <c r="P73" s="102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93" t="str">
        <f t="shared" si="5"/>
        <v/>
      </c>
      <c r="AA73" s="93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5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8"/>
      <c r="I74" s="48"/>
      <c r="J74" s="33"/>
      <c r="K74" s="30"/>
      <c r="L74" s="100"/>
      <c r="M74" s="101"/>
      <c r="N74" s="101"/>
      <c r="O74" s="101"/>
      <c r="P74" s="102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93" t="str">
        <f t="shared" si="5"/>
        <v/>
      </c>
      <c r="AA74" s="93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6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8"/>
      <c r="I75" s="48"/>
      <c r="J75" s="33"/>
      <c r="K75" s="30"/>
      <c r="L75" s="100"/>
      <c r="M75" s="101"/>
      <c r="N75" s="101"/>
      <c r="O75" s="101"/>
      <c r="P75" s="102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93" t="str">
        <f t="shared" si="5"/>
        <v/>
      </c>
      <c r="AA75" s="93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5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8"/>
      <c r="I76" s="48"/>
      <c r="J76" s="33"/>
      <c r="K76" s="30"/>
      <c r="L76" s="100"/>
      <c r="M76" s="101"/>
      <c r="N76" s="101"/>
      <c r="O76" s="101"/>
      <c r="P76" s="102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93" t="str">
        <f t="shared" si="5"/>
        <v/>
      </c>
      <c r="AA76" s="93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6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8"/>
      <c r="I77" s="48"/>
      <c r="J77" s="33"/>
      <c r="K77" s="30"/>
      <c r="L77" s="100"/>
      <c r="M77" s="101"/>
      <c r="N77" s="101"/>
      <c r="O77" s="101"/>
      <c r="P77" s="102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93" t="str">
        <f t="shared" si="5"/>
        <v/>
      </c>
      <c r="AA77" s="93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5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8"/>
      <c r="I78" s="48"/>
      <c r="J78" s="33"/>
      <c r="K78" s="30"/>
      <c r="L78" s="100"/>
      <c r="M78" s="101"/>
      <c r="N78" s="101"/>
      <c r="O78" s="101"/>
      <c r="P78" s="102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93" t="str">
        <f t="shared" si="5"/>
        <v/>
      </c>
      <c r="AA78" s="93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6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8"/>
      <c r="I79" s="48"/>
      <c r="J79" s="33"/>
      <c r="K79" s="30"/>
      <c r="L79" s="100"/>
      <c r="M79" s="101"/>
      <c r="N79" s="101"/>
      <c r="O79" s="101"/>
      <c r="P79" s="102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93" t="str">
        <f t="shared" si="5"/>
        <v/>
      </c>
      <c r="AA79" s="93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5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8"/>
      <c r="I80" s="48"/>
      <c r="J80" s="33"/>
      <c r="K80" s="30"/>
      <c r="L80" s="100"/>
      <c r="M80" s="101"/>
      <c r="N80" s="101"/>
      <c r="O80" s="101"/>
      <c r="P80" s="102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93" t="str">
        <f t="shared" si="5"/>
        <v/>
      </c>
      <c r="AA80" s="93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6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8"/>
      <c r="I81" s="48"/>
      <c r="J81" s="33"/>
      <c r="K81" s="30"/>
      <c r="L81" s="100"/>
      <c r="M81" s="101"/>
      <c r="N81" s="101"/>
      <c r="O81" s="101"/>
      <c r="P81" s="102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93" t="str">
        <f t="shared" si="5"/>
        <v/>
      </c>
      <c r="AA81" s="93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5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8"/>
      <c r="I82" s="48"/>
      <c r="J82" s="33"/>
      <c r="K82" s="30"/>
      <c r="L82" s="100"/>
      <c r="M82" s="101"/>
      <c r="N82" s="101"/>
      <c r="O82" s="101"/>
      <c r="P82" s="102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93" t="str">
        <f t="shared" si="5"/>
        <v/>
      </c>
      <c r="AA82" s="93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6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8"/>
      <c r="I83" s="48"/>
      <c r="J83" s="33"/>
      <c r="K83" s="30"/>
      <c r="L83" s="100"/>
      <c r="M83" s="101"/>
      <c r="N83" s="101"/>
      <c r="O83" s="101"/>
      <c r="P83" s="102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93" t="str">
        <f t="shared" si="5"/>
        <v/>
      </c>
      <c r="AA83" s="93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5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8"/>
      <c r="I84" s="48"/>
      <c r="J84" s="33"/>
      <c r="K84" s="30"/>
      <c r="L84" s="100"/>
      <c r="M84" s="101"/>
      <c r="N84" s="101"/>
      <c r="O84" s="101"/>
      <c r="P84" s="102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93" t="str">
        <f t="shared" si="5"/>
        <v/>
      </c>
      <c r="AA84" s="93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6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8"/>
      <c r="I85" s="48"/>
      <c r="J85" s="33"/>
      <c r="K85" s="30"/>
      <c r="L85" s="100"/>
      <c r="M85" s="101"/>
      <c r="N85" s="101"/>
      <c r="O85" s="101"/>
      <c r="P85" s="102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93" t="str">
        <f t="shared" si="5"/>
        <v/>
      </c>
      <c r="AA85" s="93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5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8"/>
      <c r="I86" s="48"/>
      <c r="J86" s="33"/>
      <c r="K86" s="30"/>
      <c r="L86" s="100"/>
      <c r="M86" s="101"/>
      <c r="N86" s="101"/>
      <c r="O86" s="101"/>
      <c r="P86" s="102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93" t="str">
        <f t="shared" si="5"/>
        <v/>
      </c>
      <c r="AA86" s="93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6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8"/>
      <c r="I87" s="48"/>
      <c r="J87" s="33"/>
      <c r="K87" s="30"/>
      <c r="L87" s="100"/>
      <c r="M87" s="101"/>
      <c r="N87" s="101"/>
      <c r="O87" s="101"/>
      <c r="P87" s="102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93" t="str">
        <f t="shared" si="5"/>
        <v/>
      </c>
      <c r="AA87" s="93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5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8"/>
      <c r="I88" s="48"/>
      <c r="J88" s="33"/>
      <c r="K88" s="30"/>
      <c r="L88" s="100"/>
      <c r="M88" s="101"/>
      <c r="N88" s="101"/>
      <c r="O88" s="101"/>
      <c r="P88" s="102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93" t="str">
        <f t="shared" si="5"/>
        <v/>
      </c>
      <c r="AA88" s="93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6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8"/>
      <c r="I89" s="48"/>
      <c r="J89" s="33"/>
      <c r="K89" s="30"/>
      <c r="L89" s="100"/>
      <c r="M89" s="101"/>
      <c r="N89" s="101"/>
      <c r="O89" s="101"/>
      <c r="P89" s="102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93" t="str">
        <f t="shared" si="5"/>
        <v/>
      </c>
      <c r="AA89" s="93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5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8"/>
      <c r="I90" s="48"/>
      <c r="J90" s="33"/>
      <c r="K90" s="30"/>
      <c r="L90" s="100"/>
      <c r="M90" s="101"/>
      <c r="N90" s="101"/>
      <c r="O90" s="101"/>
      <c r="P90" s="102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93" t="str">
        <f t="shared" si="5"/>
        <v/>
      </c>
      <c r="AA90" s="93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6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8"/>
      <c r="I91" s="48"/>
      <c r="J91" s="33"/>
      <c r="K91" s="30"/>
      <c r="L91" s="100"/>
      <c r="M91" s="101"/>
      <c r="N91" s="101"/>
      <c r="O91" s="101"/>
      <c r="P91" s="102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93" t="str">
        <f t="shared" si="5"/>
        <v/>
      </c>
      <c r="AA91" s="93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5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8"/>
      <c r="I92" s="48"/>
      <c r="J92" s="33"/>
      <c r="K92" s="30"/>
      <c r="L92" s="100"/>
      <c r="M92" s="101"/>
      <c r="N92" s="101"/>
      <c r="O92" s="101"/>
      <c r="P92" s="102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93" t="str">
        <f t="shared" si="5"/>
        <v/>
      </c>
      <c r="AA92" s="93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6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8"/>
      <c r="I93" s="48"/>
      <c r="J93" s="33"/>
      <c r="K93" s="30"/>
      <c r="L93" s="100"/>
      <c r="M93" s="101"/>
      <c r="N93" s="101"/>
      <c r="O93" s="101"/>
      <c r="P93" s="102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93" t="str">
        <f t="shared" si="5"/>
        <v/>
      </c>
      <c r="AA93" s="93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5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8"/>
      <c r="I94" s="48"/>
      <c r="J94" s="33"/>
      <c r="K94" s="30"/>
      <c r="L94" s="100"/>
      <c r="M94" s="101"/>
      <c r="N94" s="101"/>
      <c r="O94" s="101"/>
      <c r="P94" s="102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93" t="str">
        <f t="shared" si="5"/>
        <v/>
      </c>
      <c r="AA94" s="93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6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8"/>
      <c r="I95" s="48"/>
      <c r="J95" s="33"/>
      <c r="K95" s="30"/>
      <c r="L95" s="100"/>
      <c r="M95" s="101"/>
      <c r="N95" s="101"/>
      <c r="O95" s="101"/>
      <c r="P95" s="102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93" t="str">
        <f t="shared" si="5"/>
        <v/>
      </c>
      <c r="AA95" s="93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5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8"/>
      <c r="I96" s="48"/>
      <c r="J96" s="33"/>
      <c r="K96" s="30"/>
      <c r="L96" s="100"/>
      <c r="M96" s="101"/>
      <c r="N96" s="101"/>
      <c r="O96" s="101"/>
      <c r="P96" s="102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93" t="str">
        <f t="shared" si="5"/>
        <v/>
      </c>
      <c r="AA96" s="93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6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8"/>
      <c r="I97" s="48"/>
      <c r="J97" s="33"/>
      <c r="K97" s="30"/>
      <c r="L97" s="100"/>
      <c r="M97" s="101"/>
      <c r="N97" s="101"/>
      <c r="O97" s="101"/>
      <c r="P97" s="102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93" t="str">
        <f t="shared" si="5"/>
        <v/>
      </c>
      <c r="AA97" s="93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5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8"/>
      <c r="I98" s="48"/>
      <c r="J98" s="33"/>
      <c r="K98" s="30"/>
      <c r="L98" s="100"/>
      <c r="M98" s="101"/>
      <c r="N98" s="101"/>
      <c r="O98" s="101"/>
      <c r="P98" s="102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93" t="str">
        <f t="shared" si="5"/>
        <v/>
      </c>
      <c r="AA98" s="93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6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8"/>
      <c r="I99" s="48"/>
      <c r="J99" s="33"/>
      <c r="K99" s="30"/>
      <c r="L99" s="100"/>
      <c r="M99" s="101"/>
      <c r="N99" s="101"/>
      <c r="O99" s="101"/>
      <c r="P99" s="102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93" t="str">
        <f t="shared" si="5"/>
        <v/>
      </c>
      <c r="AA99" s="93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5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8"/>
      <c r="I100" s="48"/>
      <c r="J100" s="33"/>
      <c r="K100" s="30"/>
      <c r="L100" s="100"/>
      <c r="M100" s="101"/>
      <c r="N100" s="101"/>
      <c r="O100" s="101"/>
      <c r="P100" s="102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93" t="str">
        <f t="shared" si="5"/>
        <v/>
      </c>
      <c r="AA100" s="93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6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8"/>
      <c r="I101" s="48"/>
      <c r="J101" s="33"/>
      <c r="K101" s="30"/>
      <c r="L101" s="100"/>
      <c r="M101" s="101"/>
      <c r="N101" s="101"/>
      <c r="O101" s="101"/>
      <c r="P101" s="102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93" t="str">
        <f t="shared" si="5"/>
        <v/>
      </c>
      <c r="AA101" s="93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5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8"/>
      <c r="I102" s="48"/>
      <c r="J102" s="33"/>
      <c r="K102" s="30"/>
      <c r="L102" s="100"/>
      <c r="M102" s="101"/>
      <c r="N102" s="101"/>
      <c r="O102" s="101"/>
      <c r="P102" s="102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93" t="str">
        <f t="shared" si="5"/>
        <v/>
      </c>
      <c r="AA102" s="93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6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8"/>
      <c r="I103" s="48"/>
      <c r="J103" s="33"/>
      <c r="K103" s="30"/>
      <c r="L103" s="100"/>
      <c r="M103" s="101"/>
      <c r="N103" s="101"/>
      <c r="O103" s="101"/>
      <c r="P103" s="102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93" t="str">
        <f t="shared" si="5"/>
        <v/>
      </c>
      <c r="AA103" s="93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5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8"/>
      <c r="I104" s="48"/>
      <c r="J104" s="33"/>
      <c r="K104" s="30"/>
      <c r="L104" s="100"/>
      <c r="M104" s="101"/>
      <c r="N104" s="101"/>
      <c r="O104" s="101"/>
      <c r="P104" s="102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93" t="str">
        <f t="shared" si="5"/>
        <v/>
      </c>
      <c r="AA104" s="93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6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8"/>
      <c r="I105" s="48"/>
      <c r="J105" s="33"/>
      <c r="K105" s="30"/>
      <c r="L105" s="100"/>
      <c r="M105" s="101"/>
      <c r="N105" s="101"/>
      <c r="O105" s="101"/>
      <c r="P105" s="102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93" t="str">
        <f t="shared" si="5"/>
        <v/>
      </c>
      <c r="AA105" s="93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5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8"/>
      <c r="I106" s="48"/>
      <c r="J106" s="33"/>
      <c r="K106" s="30"/>
      <c r="L106" s="100"/>
      <c r="M106" s="101"/>
      <c r="N106" s="101"/>
      <c r="O106" s="101"/>
      <c r="P106" s="102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93" t="str">
        <f t="shared" si="5"/>
        <v/>
      </c>
      <c r="AA106" s="93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6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8"/>
      <c r="I107" s="48"/>
      <c r="J107" s="33"/>
      <c r="K107" s="30"/>
      <c r="L107" s="100"/>
      <c r="M107" s="101"/>
      <c r="N107" s="101"/>
      <c r="O107" s="101"/>
      <c r="P107" s="102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93" t="str">
        <f t="shared" si="5"/>
        <v/>
      </c>
      <c r="AA107" s="93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5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8"/>
      <c r="I108" s="48"/>
      <c r="J108" s="33"/>
      <c r="K108" s="30"/>
      <c r="L108" s="100"/>
      <c r="M108" s="101"/>
      <c r="N108" s="101"/>
      <c r="O108" s="101"/>
      <c r="P108" s="102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93" t="str">
        <f t="shared" si="5"/>
        <v/>
      </c>
      <c r="AA108" s="93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6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8"/>
      <c r="I109" s="48"/>
      <c r="J109" s="33"/>
      <c r="K109" s="30"/>
      <c r="L109" s="100"/>
      <c r="M109" s="101"/>
      <c r="N109" s="101"/>
      <c r="O109" s="101"/>
      <c r="P109" s="102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93" t="str">
        <f t="shared" si="5"/>
        <v/>
      </c>
      <c r="AA109" s="93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5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8"/>
      <c r="I110" s="48"/>
      <c r="J110" s="33"/>
      <c r="K110" s="30"/>
      <c r="L110" s="100"/>
      <c r="M110" s="101"/>
      <c r="N110" s="101"/>
      <c r="O110" s="101"/>
      <c r="P110" s="102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93" t="str">
        <f t="shared" si="5"/>
        <v/>
      </c>
      <c r="AA110" s="93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184</v>
      </c>
      <c r="B2">
        <f ca="1">$A2*(RAND()+99.5)/100</f>
        <v>66.622660312959752</v>
      </c>
      <c r="C2">
        <f t="shared" ref="C2:F16" ca="1" si="0">$A2*(RAND()+99.5)/100</f>
        <v>66.598725353372998</v>
      </c>
      <c r="D2">
        <f t="shared" ca="1" si="0"/>
        <v>66.990582069661031</v>
      </c>
      <c r="E2">
        <f t="shared" ca="1" si="0"/>
        <v>67.088970271095846</v>
      </c>
      <c r="F2">
        <f t="shared" ca="1" si="0"/>
        <v>66.689841106552521</v>
      </c>
    </row>
    <row r="3" spans="1:6" x14ac:dyDescent="0.25">
      <c r="A3" t="s">
        <v>113</v>
      </c>
      <c r="B3">
        <f t="shared" ref="B3:B16" ca="1" si="1">$A3*(RAND()+99.5)/100</f>
        <v>5.0074662606690445</v>
      </c>
      <c r="C3">
        <f t="shared" ca="1" si="0"/>
        <v>4.9776318287446086</v>
      </c>
      <c r="D3">
        <f t="shared" ca="1" si="0"/>
        <v>4.9820989549826384</v>
      </c>
      <c r="E3">
        <f t="shared" ca="1" si="0"/>
        <v>5.0044019675729121</v>
      </c>
      <c r="F3">
        <f t="shared" ca="1" si="0"/>
        <v>4.9827688688610428</v>
      </c>
    </row>
    <row r="4" spans="1:6" x14ac:dyDescent="0.25">
      <c r="A4" t="s">
        <v>114</v>
      </c>
      <c r="B4">
        <f t="shared" ca="1" si="1"/>
        <v>4.9378676252820828</v>
      </c>
      <c r="C4">
        <f t="shared" ca="1" si="0"/>
        <v>4.9687249599030068</v>
      </c>
      <c r="D4">
        <f t="shared" ca="1" si="0"/>
        <v>4.9462373178456369</v>
      </c>
      <c r="E4">
        <f t="shared" ca="1" si="0"/>
        <v>4.9462795374093727</v>
      </c>
      <c r="F4">
        <f t="shared" ca="1" si="0"/>
        <v>4.9452384508303222</v>
      </c>
    </row>
    <row r="5" spans="1:6" x14ac:dyDescent="0.25">
      <c r="A5" t="s">
        <v>115</v>
      </c>
      <c r="B5">
        <f t="shared" ca="1" si="1"/>
        <v>49.749693923989881</v>
      </c>
      <c r="C5">
        <f t="shared" ca="1" si="0"/>
        <v>50.078768405134618</v>
      </c>
      <c r="D5">
        <f t="shared" ca="1" si="0"/>
        <v>50.200689948436747</v>
      </c>
      <c r="E5">
        <f t="shared" ca="1" si="0"/>
        <v>50.229345182057962</v>
      </c>
      <c r="F5">
        <f t="shared" ca="1" si="0"/>
        <v>50.089174249653794</v>
      </c>
    </row>
    <row r="6" spans="1:6" x14ac:dyDescent="0.25">
      <c r="A6" t="s">
        <v>116</v>
      </c>
      <c r="B6">
        <f t="shared" ca="1" si="1"/>
        <v>49.907116518210586</v>
      </c>
      <c r="C6">
        <f t="shared" ca="1" si="0"/>
        <v>50.103589295472638</v>
      </c>
      <c r="D6">
        <f t="shared" ca="1" si="0"/>
        <v>50.018618378400724</v>
      </c>
      <c r="E6">
        <f t="shared" ca="1" si="0"/>
        <v>50.08039208909517</v>
      </c>
      <c r="F6">
        <f t="shared" ca="1" si="0"/>
        <v>49.957696232097426</v>
      </c>
    </row>
    <row r="7" spans="1:6" x14ac:dyDescent="0.25">
      <c r="A7" t="s">
        <v>112</v>
      </c>
      <c r="B7">
        <f t="shared" ca="1" si="1"/>
        <v>299.6341354250896</v>
      </c>
      <c r="C7">
        <f t="shared" ca="1" si="0"/>
        <v>300.03535946325883</v>
      </c>
      <c r="D7">
        <f t="shared" ca="1" si="0"/>
        <v>301.66834499356395</v>
      </c>
      <c r="E7">
        <f t="shared" ca="1" si="0"/>
        <v>300.49648996729093</v>
      </c>
      <c r="F7">
        <f t="shared" ca="1" si="0"/>
        <v>300.67135023364875</v>
      </c>
    </row>
    <row r="8" spans="1:6" x14ac:dyDescent="0.25">
      <c r="A8" t="s">
        <v>117</v>
      </c>
      <c r="B8">
        <f t="shared" ca="1" si="1"/>
        <v>500.14837222399251</v>
      </c>
      <c r="C8">
        <f t="shared" ca="1" si="0"/>
        <v>498.80583415301049</v>
      </c>
      <c r="D8">
        <f t="shared" ca="1" si="0"/>
        <v>502.36476543447134</v>
      </c>
      <c r="E8">
        <f t="shared" ca="1" si="0"/>
        <v>501.92137319523675</v>
      </c>
      <c r="F8">
        <f t="shared" ca="1" si="0"/>
        <v>499.22482613553854</v>
      </c>
    </row>
    <row r="9" spans="1:6" x14ac:dyDescent="0.25">
      <c r="A9" t="s">
        <v>117</v>
      </c>
      <c r="B9">
        <f t="shared" ca="1" si="1"/>
        <v>501.69751853326949</v>
      </c>
      <c r="C9">
        <f t="shared" ca="1" si="0"/>
        <v>500.68090230289317</v>
      </c>
      <c r="D9">
        <f t="shared" ca="1" si="0"/>
        <v>500.31358430439047</v>
      </c>
      <c r="E9">
        <f t="shared" ca="1" si="0"/>
        <v>499.44487311195155</v>
      </c>
      <c r="F9">
        <f t="shared" ca="1" si="0"/>
        <v>500.49492249123529</v>
      </c>
    </row>
    <row r="10" spans="1:6" x14ac:dyDescent="0.25">
      <c r="A10" t="s">
        <v>118</v>
      </c>
      <c r="B10">
        <f t="shared" ca="1" si="1"/>
        <v>999.24477642381987</v>
      </c>
      <c r="C10">
        <f t="shared" ca="1" si="0"/>
        <v>1002.7479052432068</v>
      </c>
      <c r="D10">
        <f t="shared" ca="1" si="0"/>
        <v>1001.0765720416927</v>
      </c>
      <c r="E10">
        <f t="shared" ca="1" si="0"/>
        <v>997.86581611386964</v>
      </c>
      <c r="F10">
        <f t="shared" ca="1" si="0"/>
        <v>1002.149810537016</v>
      </c>
    </row>
    <row r="13" spans="1:6" x14ac:dyDescent="0.25">
      <c r="A13" t="s">
        <v>119</v>
      </c>
      <c r="B13">
        <f t="shared" ca="1" si="1"/>
        <v>5.0023275049106788</v>
      </c>
      <c r="C13">
        <f t="shared" ca="1" si="0"/>
        <v>4.9892596236453537</v>
      </c>
      <c r="D13">
        <f t="shared" ca="1" si="0"/>
        <v>4.9980085751526042</v>
      </c>
      <c r="E13">
        <f t="shared" ca="1" si="0"/>
        <v>5.0108255061474374</v>
      </c>
      <c r="F13">
        <f t="shared" ca="1" si="0"/>
        <v>4.9935395158028628</v>
      </c>
    </row>
    <row r="14" spans="1:6" x14ac:dyDescent="0.25">
      <c r="A14" t="s">
        <v>120</v>
      </c>
      <c r="B14">
        <f t="shared" ca="1" si="1"/>
        <v>298.88663861975209</v>
      </c>
      <c r="C14">
        <f t="shared" ca="1" si="0"/>
        <v>299.86145234025685</v>
      </c>
      <c r="D14">
        <f t="shared" ca="1" si="0"/>
        <v>301.30906639055297</v>
      </c>
      <c r="E14">
        <f t="shared" ca="1" si="0"/>
        <v>300.24678299199428</v>
      </c>
      <c r="F14">
        <f t="shared" ca="1" si="0"/>
        <v>299.77392105431704</v>
      </c>
    </row>
    <row r="15" spans="1:6" x14ac:dyDescent="0.25">
      <c r="A15" t="s">
        <v>121</v>
      </c>
      <c r="B15">
        <f t="shared" ca="1" si="1"/>
        <v>999.18659891668574</v>
      </c>
      <c r="C15">
        <f t="shared" ca="1" si="0"/>
        <v>1003.1213211837526</v>
      </c>
      <c r="D15">
        <f t="shared" ca="1" si="0"/>
        <v>1004.6742143443153</v>
      </c>
      <c r="E15">
        <f t="shared" ca="1" si="0"/>
        <v>1001.7006691021863</v>
      </c>
      <c r="F15">
        <f t="shared" ca="1" si="0"/>
        <v>999.48136205197125</v>
      </c>
    </row>
    <row r="16" spans="1:6" x14ac:dyDescent="0.25">
      <c r="A16" t="s">
        <v>122</v>
      </c>
      <c r="B16">
        <f t="shared" ca="1" si="1"/>
        <v>-1000.4006261234281</v>
      </c>
      <c r="C16">
        <f t="shared" ca="1" si="0"/>
        <v>-999.74820466845074</v>
      </c>
      <c r="D16">
        <f t="shared" ca="1" si="0"/>
        <v>-995.46194938212147</v>
      </c>
      <c r="E16">
        <f t="shared" ca="1" si="0"/>
        <v>-998.2047135346221</v>
      </c>
      <c r="F16">
        <f t="shared" ca="1" si="0"/>
        <v>-1003.1677065141106</v>
      </c>
    </row>
    <row r="19" spans="1:6" x14ac:dyDescent="0.25">
      <c r="A19" t="s">
        <v>123</v>
      </c>
      <c r="B19">
        <f t="shared" ref="B19:F40" ca="1" si="2">$A19*(RAND()+99.5)/100</f>
        <v>29.964423711151664</v>
      </c>
      <c r="C19">
        <f t="shared" ca="1" si="2"/>
        <v>29.916922525522022</v>
      </c>
      <c r="D19">
        <f t="shared" ca="1" si="2"/>
        <v>30.039713703474821</v>
      </c>
      <c r="E19">
        <f t="shared" ca="1" si="2"/>
        <v>30.048414983246126</v>
      </c>
      <c r="F19">
        <f t="shared" ca="1" si="2"/>
        <v>30.097057514522756</v>
      </c>
    </row>
    <row r="20" spans="1:6" x14ac:dyDescent="0.25">
      <c r="A20" t="s">
        <v>124</v>
      </c>
      <c r="B20">
        <f t="shared" ca="1" si="2"/>
        <v>-300.44840044880237</v>
      </c>
      <c r="C20">
        <f t="shared" ca="1" si="2"/>
        <v>-300.02679098506832</v>
      </c>
      <c r="D20">
        <f t="shared" ca="1" si="2"/>
        <v>-300.12942673853837</v>
      </c>
      <c r="E20">
        <f t="shared" ca="1" si="2"/>
        <v>-299.79027410639725</v>
      </c>
      <c r="F20">
        <f t="shared" ca="1" si="2"/>
        <v>-300.52312734464414</v>
      </c>
    </row>
    <row r="21" spans="1:6" x14ac:dyDescent="0.25">
      <c r="A21" t="s">
        <v>125</v>
      </c>
      <c r="B21">
        <f t="shared" ca="1" si="2"/>
        <v>598.86002767146874</v>
      </c>
      <c r="C21">
        <f t="shared" ca="1" si="2"/>
        <v>598.55709869985958</v>
      </c>
      <c r="D21">
        <f t="shared" ca="1" si="2"/>
        <v>598.03580974805448</v>
      </c>
      <c r="E21">
        <f t="shared" ca="1" si="2"/>
        <v>602.69470425268901</v>
      </c>
      <c r="F21">
        <f t="shared" ca="1" si="2"/>
        <v>602.23468546444963</v>
      </c>
    </row>
    <row r="22" spans="1:6" x14ac:dyDescent="0.25">
      <c r="A22" t="s">
        <v>126</v>
      </c>
      <c r="B22">
        <f t="shared" ca="1" si="2"/>
        <v>501.19022948705452</v>
      </c>
      <c r="C22">
        <f t="shared" ca="1" si="2"/>
        <v>502.61066995124651</v>
      </c>
      <c r="D22">
        <f t="shared" ca="1" si="2"/>
        <v>499.06631779916745</v>
      </c>
      <c r="E22">
        <f t="shared" ca="1" si="2"/>
        <v>499.49459341812604</v>
      </c>
      <c r="F22">
        <f t="shared" ca="1" si="2"/>
        <v>497.90078839976724</v>
      </c>
    </row>
    <row r="23" spans="1:6" x14ac:dyDescent="0.25">
      <c r="A23" t="s">
        <v>127</v>
      </c>
      <c r="B23">
        <f t="shared" ca="1" si="2"/>
        <v>18.905499533120782</v>
      </c>
      <c r="C23">
        <f t="shared" ca="1" si="2"/>
        <v>18.965830657930734</v>
      </c>
      <c r="D23">
        <f t="shared" ca="1" si="2"/>
        <v>18.932418314944506</v>
      </c>
      <c r="E23">
        <f t="shared" ca="1" si="2"/>
        <v>18.920054790231855</v>
      </c>
      <c r="F23">
        <f t="shared" ca="1" si="2"/>
        <v>19.06243263495287</v>
      </c>
    </row>
    <row r="24" spans="1:6" x14ac:dyDescent="0.25">
      <c r="A24" t="s">
        <v>128</v>
      </c>
      <c r="B24">
        <f t="shared" ca="1" si="2"/>
        <v>900.84663351380198</v>
      </c>
      <c r="C24">
        <f t="shared" ca="1" si="2"/>
        <v>896.70263111941722</v>
      </c>
      <c r="D24">
        <f t="shared" ca="1" si="2"/>
        <v>902.10281817564692</v>
      </c>
      <c r="E24">
        <f t="shared" ca="1" si="2"/>
        <v>902.40164574934647</v>
      </c>
      <c r="F24">
        <f t="shared" ca="1" si="2"/>
        <v>902.48098786791957</v>
      </c>
    </row>
    <row r="27" spans="1:6" x14ac:dyDescent="0.25">
      <c r="A27" t="s">
        <v>129</v>
      </c>
      <c r="B27">
        <f t="shared" ca="1" si="2"/>
        <v>1.9932605668176648</v>
      </c>
      <c r="C27">
        <f t="shared" ca="1" si="2"/>
        <v>1.9929055663791961</v>
      </c>
      <c r="D27">
        <f t="shared" ca="1" si="2"/>
        <v>1.9994709462036375</v>
      </c>
      <c r="E27">
        <f t="shared" ca="1" si="2"/>
        <v>1.9953305895737872</v>
      </c>
      <c r="F27">
        <f t="shared" ca="1" si="2"/>
        <v>2.0045305965561515</v>
      </c>
    </row>
    <row r="28" spans="1:6" x14ac:dyDescent="0.25">
      <c r="A28" t="s">
        <v>130</v>
      </c>
      <c r="B28">
        <f t="shared" ca="1" si="2"/>
        <v>3.0019754573876973</v>
      </c>
      <c r="C28">
        <f t="shared" ca="1" si="2"/>
        <v>3.0099714087727243</v>
      </c>
      <c r="D28">
        <f t="shared" ca="1" si="2"/>
        <v>3.0090864395460653</v>
      </c>
      <c r="E28">
        <f t="shared" ca="1" si="2"/>
        <v>3.0028744350510648</v>
      </c>
      <c r="F28">
        <f t="shared" ca="1" si="2"/>
        <v>2.9916716083963597</v>
      </c>
    </row>
    <row r="29" spans="1:6" x14ac:dyDescent="0.25">
      <c r="A29" t="s">
        <v>131</v>
      </c>
      <c r="B29">
        <f t="shared" ca="1" si="2"/>
        <v>49.922625894323481</v>
      </c>
      <c r="C29">
        <f t="shared" ca="1" si="2"/>
        <v>50.08510271748812</v>
      </c>
      <c r="D29">
        <f t="shared" ca="1" si="2"/>
        <v>49.955623876492893</v>
      </c>
      <c r="E29">
        <f t="shared" ca="1" si="2"/>
        <v>50.14843856968151</v>
      </c>
      <c r="F29">
        <f t="shared" ca="1" si="2"/>
        <v>50.045230975865813</v>
      </c>
    </row>
    <row r="30" spans="1:6" x14ac:dyDescent="0.25">
      <c r="A30" t="s">
        <v>132</v>
      </c>
      <c r="B30">
        <f t="shared" ca="1" si="2"/>
        <v>398.36981106448297</v>
      </c>
      <c r="C30">
        <f t="shared" ca="1" si="2"/>
        <v>398.85189273653958</v>
      </c>
      <c r="D30">
        <f t="shared" ca="1" si="2"/>
        <v>397.5837964422455</v>
      </c>
      <c r="E30">
        <f t="shared" ca="1" si="2"/>
        <v>400.63130705926574</v>
      </c>
      <c r="F30">
        <f t="shared" ca="1" si="2"/>
        <v>397.46720035596911</v>
      </c>
    </row>
    <row r="31" spans="1:6" x14ac:dyDescent="0.25">
      <c r="A31" t="s">
        <v>133</v>
      </c>
      <c r="B31">
        <f t="shared" ca="1" si="2"/>
        <v>4.0052154357875676</v>
      </c>
      <c r="C31">
        <f t="shared" ca="1" si="2"/>
        <v>4.0086884929426354</v>
      </c>
      <c r="D31">
        <f t="shared" ca="1" si="2"/>
        <v>3.9982951437295267</v>
      </c>
      <c r="E31">
        <f t="shared" ca="1" si="2"/>
        <v>3.979705316513781</v>
      </c>
      <c r="F31">
        <f t="shared" ca="1" si="2"/>
        <v>3.999928393500193</v>
      </c>
    </row>
    <row r="32" spans="1:6" x14ac:dyDescent="0.25">
      <c r="A32" t="s">
        <v>134</v>
      </c>
      <c r="B32">
        <f t="shared" ca="1" si="2"/>
        <v>8.9725586911263573</v>
      </c>
      <c r="C32">
        <f t="shared" ca="1" si="2"/>
        <v>9.0194001687941618</v>
      </c>
      <c r="D32">
        <f t="shared" ca="1" si="2"/>
        <v>9.043569154588484</v>
      </c>
      <c r="E32">
        <f t="shared" ca="1" si="2"/>
        <v>8.9785705296324494</v>
      </c>
      <c r="F32">
        <f t="shared" ca="1" si="2"/>
        <v>8.9918267016593898</v>
      </c>
    </row>
    <row r="33" spans="1:6" x14ac:dyDescent="0.25">
      <c r="A33" t="s">
        <v>130</v>
      </c>
      <c r="B33">
        <f t="shared" ca="1" si="2"/>
        <v>3.0013665387484969</v>
      </c>
      <c r="C33">
        <f t="shared" ca="1" si="2"/>
        <v>3.004849072062223</v>
      </c>
      <c r="D33">
        <f t="shared" ca="1" si="2"/>
        <v>3.010284894194426</v>
      </c>
      <c r="E33">
        <f t="shared" ca="1" si="2"/>
        <v>2.9973566999643482</v>
      </c>
      <c r="F33">
        <f t="shared" ca="1" si="2"/>
        <v>3.0041429629963612</v>
      </c>
    </row>
    <row r="34" spans="1:6" x14ac:dyDescent="0.25">
      <c r="A34" t="s">
        <v>115</v>
      </c>
      <c r="B34">
        <f t="shared" ca="1" si="2"/>
        <v>49.82991417385518</v>
      </c>
      <c r="C34">
        <f t="shared" ca="1" si="2"/>
        <v>50.136528466348871</v>
      </c>
      <c r="D34">
        <f t="shared" ca="1" si="2"/>
        <v>49.815753724476451</v>
      </c>
      <c r="E34">
        <f t="shared" ca="1" si="2"/>
        <v>49.751380386377079</v>
      </c>
      <c r="F34">
        <f t="shared" ca="1" si="2"/>
        <v>49.812632629848466</v>
      </c>
    </row>
    <row r="35" spans="1:6" x14ac:dyDescent="0.25">
      <c r="A35" t="s">
        <v>135</v>
      </c>
      <c r="B35">
        <f t="shared" ca="1" si="2"/>
        <v>-398.72220210804858</v>
      </c>
      <c r="C35">
        <f t="shared" ca="1" si="2"/>
        <v>-401.11765675695131</v>
      </c>
      <c r="D35">
        <f t="shared" ca="1" si="2"/>
        <v>-398.35358999948568</v>
      </c>
      <c r="E35">
        <f t="shared" ca="1" si="2"/>
        <v>-400.81632925694953</v>
      </c>
      <c r="F35">
        <f t="shared" ca="1" si="2"/>
        <v>-400.45531535873675</v>
      </c>
    </row>
    <row r="36" spans="1:6" x14ac:dyDescent="0.25">
      <c r="A36" t="s">
        <v>133</v>
      </c>
      <c r="B36">
        <f t="shared" ca="1" si="2"/>
        <v>3.9874343439367488</v>
      </c>
      <c r="C36">
        <f t="shared" ca="1" si="2"/>
        <v>3.9798320275610655</v>
      </c>
      <c r="D36">
        <f t="shared" ca="1" si="2"/>
        <v>3.9942061169546843</v>
      </c>
      <c r="E36">
        <f t="shared" ca="1" si="2"/>
        <v>3.9925647059543108</v>
      </c>
      <c r="F36">
        <f t="shared" ca="1" si="2"/>
        <v>4.0128589078377717</v>
      </c>
    </row>
    <row r="37" spans="1:6" x14ac:dyDescent="0.25">
      <c r="A37" t="s">
        <v>136</v>
      </c>
      <c r="B37">
        <f t="shared" ca="1" si="2"/>
        <v>-8.9659794857613875</v>
      </c>
      <c r="C37">
        <f t="shared" ca="1" si="2"/>
        <v>-9.0257481122806755</v>
      </c>
      <c r="D37">
        <f t="shared" ca="1" si="2"/>
        <v>-8.9573123806513983</v>
      </c>
      <c r="E37">
        <f t="shared" ca="1" si="2"/>
        <v>-8.9651080507544219</v>
      </c>
      <c r="F37">
        <f t="shared" ca="1" si="2"/>
        <v>-9.0268122095908296</v>
      </c>
    </row>
    <row r="38" spans="1:6" x14ac:dyDescent="0.25">
      <c r="A38" t="s">
        <v>137</v>
      </c>
      <c r="B38">
        <f t="shared" ca="1" si="2"/>
        <v>0.20004631676660065</v>
      </c>
      <c r="C38">
        <f t="shared" ca="1" si="2"/>
        <v>0.19956738991856973</v>
      </c>
      <c r="D38">
        <f t="shared" ca="1" si="2"/>
        <v>0.20029771775519012</v>
      </c>
      <c r="E38">
        <f t="shared" ca="1" si="2"/>
        <v>0.20061997022788017</v>
      </c>
      <c r="F38">
        <f t="shared" ca="1" si="2"/>
        <v>0.20062726477130663</v>
      </c>
    </row>
    <row r="39" spans="1:6" x14ac:dyDescent="0.25">
      <c r="A39" t="s">
        <v>138</v>
      </c>
      <c r="B39">
        <f t="shared" ca="1" si="2"/>
        <v>-39.670300892647418</v>
      </c>
      <c r="C39">
        <f t="shared" ca="1" si="2"/>
        <v>-39.778551040307228</v>
      </c>
      <c r="D39">
        <f t="shared" ca="1" si="2"/>
        <v>-39.833404392088326</v>
      </c>
      <c r="E39">
        <f t="shared" ca="1" si="2"/>
        <v>-39.92594834556683</v>
      </c>
      <c r="F39">
        <f t="shared" ca="1" si="2"/>
        <v>-39.68446370957173</v>
      </c>
    </row>
    <row r="40" spans="1:6" x14ac:dyDescent="0.25">
      <c r="A40" t="s">
        <v>139</v>
      </c>
      <c r="B40">
        <f t="shared" ca="1" si="2"/>
        <v>401.20206245735301</v>
      </c>
      <c r="C40">
        <f t="shared" ca="1" si="2"/>
        <v>398.87889878917855</v>
      </c>
      <c r="D40">
        <f t="shared" ca="1" si="2"/>
        <v>400.31410999951214</v>
      </c>
      <c r="E40">
        <f t="shared" ca="1" si="2"/>
        <v>399.62195043184806</v>
      </c>
      <c r="F40">
        <f t="shared" ca="1" si="2"/>
        <v>401.20078601461609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C1" workbookViewId="0">
      <selection activeCell="U6" sqref="U6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170</v>
      </c>
      <c r="B1" t="s">
        <v>171</v>
      </c>
      <c r="C1" t="s">
        <v>182</v>
      </c>
      <c r="D1" t="s">
        <v>57</v>
      </c>
      <c r="E1" t="s">
        <v>0</v>
      </c>
      <c r="F1" t="s">
        <v>141</v>
      </c>
      <c r="G1" t="s">
        <v>142</v>
      </c>
      <c r="H1" t="s">
        <v>1</v>
      </c>
      <c r="I1" t="s">
        <v>143</v>
      </c>
      <c r="J1" t="s">
        <v>144</v>
      </c>
      <c r="K1" t="s">
        <v>145</v>
      </c>
      <c r="L1" t="s">
        <v>146</v>
      </c>
      <c r="M1" t="s">
        <v>147</v>
      </c>
      <c r="N1" t="s">
        <v>19</v>
      </c>
      <c r="O1" t="s">
        <v>2</v>
      </c>
      <c r="P1" t="s">
        <v>148</v>
      </c>
      <c r="Q1" t="s">
        <v>149</v>
      </c>
      <c r="R1" t="s">
        <v>154</v>
      </c>
      <c r="S1" t="s">
        <v>155</v>
      </c>
      <c r="T1" t="s">
        <v>156</v>
      </c>
      <c r="U1" t="s">
        <v>172</v>
      </c>
      <c r="V1" t="s">
        <v>173</v>
      </c>
      <c r="W1" t="s">
        <v>175</v>
      </c>
      <c r="X1" t="s">
        <v>176</v>
      </c>
      <c r="Y1" t="s">
        <v>174</v>
      </c>
      <c r="Z1" t="s">
        <v>186</v>
      </c>
      <c r="AA1" t="s">
        <v>193</v>
      </c>
      <c r="AB1" t="s">
        <v>191</v>
      </c>
      <c r="AC1" t="s">
        <v>192</v>
      </c>
      <c r="AD1" t="s">
        <v>194</v>
      </c>
      <c r="AE1" t="s">
        <v>195</v>
      </c>
      <c r="AF1" t="s">
        <v>196</v>
      </c>
      <c r="AG1" t="s">
        <v>39</v>
      </c>
      <c r="AH1" t="s">
        <v>197</v>
      </c>
      <c r="AI1" s="59" t="s">
        <v>181</v>
      </c>
      <c r="AJ1" s="59" t="s">
        <v>177</v>
      </c>
      <c r="AK1" s="59" t="s">
        <v>178</v>
      </c>
      <c r="AL1" s="59" t="s">
        <v>179</v>
      </c>
      <c r="AM1" s="59" t="s">
        <v>180</v>
      </c>
    </row>
    <row r="2" spans="1:39" x14ac:dyDescent="0.25">
      <c r="A2">
        <v>1</v>
      </c>
      <c r="B2">
        <v>330</v>
      </c>
      <c r="C2">
        <v>670</v>
      </c>
      <c r="D2" t="s">
        <v>56</v>
      </c>
      <c r="E2" t="s">
        <v>7</v>
      </c>
      <c r="F2">
        <v>0</v>
      </c>
      <c r="G2">
        <v>1000</v>
      </c>
      <c r="H2">
        <v>9.9999999999999995E-7</v>
      </c>
      <c r="I2" t="s">
        <v>102</v>
      </c>
      <c r="J2" t="s">
        <v>71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31</v>
      </c>
      <c r="AJ2">
        <f>COUNTIF(Y:Y,TRUE)</f>
        <v>2621</v>
      </c>
      <c r="AK2">
        <f>SUM(AI2:AJ2)</f>
        <v>2652</v>
      </c>
      <c r="AL2" s="74">
        <f>AJ2/AK2</f>
        <v>0.98831070889894423</v>
      </c>
      <c r="AM2" s="74">
        <f>AI2/AK2</f>
        <v>1.1689291101055807E-2</v>
      </c>
    </row>
    <row r="3" spans="1:39" x14ac:dyDescent="0.25">
      <c r="A3">
        <v>2</v>
      </c>
      <c r="B3">
        <v>330</v>
      </c>
      <c r="C3">
        <v>670</v>
      </c>
      <c r="D3" t="s">
        <v>56</v>
      </c>
      <c r="E3" t="s">
        <v>7</v>
      </c>
      <c r="F3">
        <v>0</v>
      </c>
      <c r="G3">
        <v>1000</v>
      </c>
      <c r="H3">
        <v>1.0000000000000001E-5</v>
      </c>
      <c r="I3" t="s">
        <v>102</v>
      </c>
      <c r="J3" t="s">
        <v>71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56</v>
      </c>
      <c r="E4" t="s">
        <v>7</v>
      </c>
      <c r="F4">
        <v>0</v>
      </c>
      <c r="G4">
        <v>1000</v>
      </c>
      <c r="H4">
        <v>1E-4</v>
      </c>
      <c r="I4" t="s">
        <v>102</v>
      </c>
      <c r="J4" t="s">
        <v>71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56</v>
      </c>
      <c r="E5" t="s">
        <v>7</v>
      </c>
      <c r="F5">
        <v>0</v>
      </c>
      <c r="G5">
        <v>1000</v>
      </c>
      <c r="H5">
        <v>1E-3</v>
      </c>
      <c r="I5" t="s">
        <v>102</v>
      </c>
      <c r="J5" t="s">
        <v>71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56</v>
      </c>
      <c r="E6" t="s">
        <v>7</v>
      </c>
      <c r="F6">
        <v>0</v>
      </c>
      <c r="G6">
        <v>1000</v>
      </c>
      <c r="H6">
        <v>0.01</v>
      </c>
      <c r="I6" t="s">
        <v>102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56</v>
      </c>
      <c r="E7" t="s">
        <v>7</v>
      </c>
      <c r="F7">
        <v>1000</v>
      </c>
      <c r="G7">
        <v>10000</v>
      </c>
      <c r="H7">
        <v>1.0000000000000001E-5</v>
      </c>
      <c r="I7" t="s">
        <v>102</v>
      </c>
      <c r="J7" t="s">
        <v>71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4"/>
    </row>
    <row r="8" spans="1:39" x14ac:dyDescent="0.25">
      <c r="A8">
        <v>7</v>
      </c>
      <c r="B8">
        <v>4000</v>
      </c>
      <c r="C8">
        <v>7000</v>
      </c>
      <c r="D8" t="s">
        <v>56</v>
      </c>
      <c r="E8" t="s">
        <v>7</v>
      </c>
      <c r="F8">
        <v>1000</v>
      </c>
      <c r="G8">
        <v>10000</v>
      </c>
      <c r="H8">
        <v>1E-4</v>
      </c>
      <c r="I8" t="s">
        <v>102</v>
      </c>
      <c r="J8" t="s">
        <v>71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4"/>
    </row>
    <row r="9" spans="1:39" x14ac:dyDescent="0.25">
      <c r="A9">
        <v>8</v>
      </c>
      <c r="B9">
        <v>4000</v>
      </c>
      <c r="C9">
        <v>7000</v>
      </c>
      <c r="D9" t="s">
        <v>56</v>
      </c>
      <c r="E9" t="s">
        <v>7</v>
      </c>
      <c r="F9">
        <v>1000</v>
      </c>
      <c r="G9">
        <v>10000</v>
      </c>
      <c r="H9">
        <v>1E-3</v>
      </c>
      <c r="I9" t="s">
        <v>102</v>
      </c>
      <c r="J9" t="s">
        <v>71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56</v>
      </c>
      <c r="E10" t="s">
        <v>7</v>
      </c>
      <c r="F10">
        <v>1000</v>
      </c>
      <c r="G10">
        <v>10000</v>
      </c>
      <c r="H10">
        <v>0.01</v>
      </c>
      <c r="I10" t="s">
        <v>102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56</v>
      </c>
      <c r="E11" t="s">
        <v>7</v>
      </c>
      <c r="F11">
        <v>1000</v>
      </c>
      <c r="G11">
        <v>10000</v>
      </c>
      <c r="H11">
        <v>0.1</v>
      </c>
      <c r="I11" t="s">
        <v>102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56</v>
      </c>
      <c r="E12" t="s">
        <v>7</v>
      </c>
      <c r="F12">
        <v>1000</v>
      </c>
      <c r="G12">
        <v>10000</v>
      </c>
      <c r="H12">
        <v>10</v>
      </c>
      <c r="I12" t="s">
        <v>102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56</v>
      </c>
      <c r="E13" t="s">
        <v>7</v>
      </c>
      <c r="F13">
        <v>1000</v>
      </c>
      <c r="G13">
        <v>10000</v>
      </c>
      <c r="H13">
        <v>100</v>
      </c>
      <c r="I13" t="s">
        <v>102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56</v>
      </c>
      <c r="E14" t="s">
        <v>7</v>
      </c>
      <c r="F14">
        <v>1000</v>
      </c>
      <c r="G14">
        <v>10000</v>
      </c>
      <c r="H14">
        <v>1000</v>
      </c>
      <c r="I14" t="s">
        <v>102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56</v>
      </c>
      <c r="E15" t="s">
        <v>7</v>
      </c>
      <c r="F15">
        <v>1000</v>
      </c>
      <c r="G15">
        <v>10000</v>
      </c>
      <c r="H15">
        <v>10000</v>
      </c>
      <c r="I15" t="s">
        <v>102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56</v>
      </c>
      <c r="E16" t="s">
        <v>7</v>
      </c>
      <c r="F16">
        <v>1000</v>
      </c>
      <c r="G16">
        <v>10000</v>
      </c>
      <c r="H16">
        <v>100000</v>
      </c>
      <c r="I16" t="s">
        <v>102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56</v>
      </c>
      <c r="E17" t="s">
        <v>7</v>
      </c>
      <c r="F17">
        <v>10000</v>
      </c>
      <c r="G17">
        <v>100000</v>
      </c>
      <c r="H17">
        <v>1E-4</v>
      </c>
      <c r="I17" t="s">
        <v>102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56</v>
      </c>
      <c r="E18" t="s">
        <v>7</v>
      </c>
      <c r="F18">
        <v>10000</v>
      </c>
      <c r="G18">
        <v>100000</v>
      </c>
      <c r="H18">
        <v>1E-3</v>
      </c>
      <c r="I18" t="s">
        <v>102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56</v>
      </c>
      <c r="E19" t="s">
        <v>7</v>
      </c>
      <c r="F19">
        <v>10000</v>
      </c>
      <c r="G19">
        <v>100000</v>
      </c>
      <c r="H19">
        <v>0.01</v>
      </c>
      <c r="I19" t="s">
        <v>102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56</v>
      </c>
      <c r="E20" t="s">
        <v>7</v>
      </c>
      <c r="F20">
        <v>10000</v>
      </c>
      <c r="G20">
        <v>100000</v>
      </c>
      <c r="H20">
        <v>0.1</v>
      </c>
      <c r="I20" t="s">
        <v>102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56</v>
      </c>
      <c r="E21" t="s">
        <v>7</v>
      </c>
      <c r="F21">
        <v>10000</v>
      </c>
      <c r="G21">
        <v>100000</v>
      </c>
      <c r="H21">
        <v>1</v>
      </c>
      <c r="I21" t="s">
        <v>102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56</v>
      </c>
      <c r="E22" t="s">
        <v>7</v>
      </c>
      <c r="F22">
        <v>10000</v>
      </c>
      <c r="G22">
        <v>100000</v>
      </c>
      <c r="H22">
        <v>100</v>
      </c>
      <c r="I22" t="s">
        <v>102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56</v>
      </c>
      <c r="E23" t="s">
        <v>7</v>
      </c>
      <c r="F23">
        <v>10000</v>
      </c>
      <c r="G23">
        <v>100000</v>
      </c>
      <c r="H23">
        <v>1000</v>
      </c>
      <c r="I23" t="s">
        <v>102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56</v>
      </c>
      <c r="E24" t="s">
        <v>7</v>
      </c>
      <c r="F24">
        <v>10000</v>
      </c>
      <c r="G24">
        <v>100000</v>
      </c>
      <c r="H24">
        <v>10000</v>
      </c>
      <c r="I24" t="s">
        <v>102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56</v>
      </c>
      <c r="E25" t="s">
        <v>7</v>
      </c>
      <c r="F25">
        <v>10000</v>
      </c>
      <c r="G25">
        <v>100000</v>
      </c>
      <c r="H25">
        <v>100000</v>
      </c>
      <c r="I25" t="s">
        <v>102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56</v>
      </c>
      <c r="E26" t="s">
        <v>7</v>
      </c>
      <c r="F26">
        <v>10000</v>
      </c>
      <c r="G26">
        <v>100000</v>
      </c>
      <c r="H26">
        <v>1000000</v>
      </c>
      <c r="I26" t="s">
        <v>102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56</v>
      </c>
      <c r="E27" t="s">
        <v>7</v>
      </c>
      <c r="F27">
        <v>100000</v>
      </c>
      <c r="G27">
        <v>1000</v>
      </c>
      <c r="H27">
        <v>1</v>
      </c>
      <c r="I27" t="s">
        <v>102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56</v>
      </c>
      <c r="E28" t="s">
        <v>7</v>
      </c>
      <c r="F28">
        <v>100000</v>
      </c>
      <c r="G28">
        <v>1000</v>
      </c>
      <c r="H28">
        <v>10</v>
      </c>
      <c r="I28" t="s">
        <v>102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56</v>
      </c>
      <c r="E29" t="s">
        <v>7</v>
      </c>
      <c r="F29">
        <v>100000</v>
      </c>
      <c r="G29">
        <v>1000</v>
      </c>
      <c r="H29">
        <v>100</v>
      </c>
      <c r="I29" t="s">
        <v>102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56</v>
      </c>
      <c r="E30" t="s">
        <v>7</v>
      </c>
      <c r="F30">
        <v>100000</v>
      </c>
      <c r="G30">
        <v>1000</v>
      </c>
      <c r="H30">
        <v>1000</v>
      </c>
      <c r="I30" t="s">
        <v>102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56</v>
      </c>
      <c r="E31" t="s">
        <v>7</v>
      </c>
      <c r="F31">
        <v>100000</v>
      </c>
      <c r="G31">
        <v>1000</v>
      </c>
      <c r="H31">
        <v>10000</v>
      </c>
      <c r="I31" t="s">
        <v>102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56</v>
      </c>
      <c r="E32" t="s">
        <v>7</v>
      </c>
      <c r="F32">
        <v>100000</v>
      </c>
      <c r="G32">
        <v>1000</v>
      </c>
      <c r="H32">
        <v>1000000</v>
      </c>
      <c r="I32" t="s">
        <v>102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56</v>
      </c>
      <c r="E33" t="s">
        <v>7</v>
      </c>
      <c r="F33">
        <v>100000</v>
      </c>
      <c r="G33">
        <v>1000</v>
      </c>
      <c r="H33">
        <v>10000000</v>
      </c>
      <c r="I33" t="s">
        <v>102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56</v>
      </c>
      <c r="E34" t="s">
        <v>7</v>
      </c>
      <c r="F34">
        <v>100000</v>
      </c>
      <c r="G34">
        <v>1000</v>
      </c>
      <c r="H34">
        <v>100000000</v>
      </c>
      <c r="I34" t="s">
        <v>102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56</v>
      </c>
      <c r="E35" t="s">
        <v>7</v>
      </c>
      <c r="F35">
        <v>100000</v>
      </c>
      <c r="G35">
        <v>1000</v>
      </c>
      <c r="H35">
        <v>1000000000</v>
      </c>
      <c r="I35" t="s">
        <v>102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56</v>
      </c>
      <c r="E36" t="s">
        <v>7</v>
      </c>
      <c r="F36">
        <v>100000</v>
      </c>
      <c r="G36">
        <v>1000</v>
      </c>
      <c r="H36">
        <v>10000000000</v>
      </c>
      <c r="I36" t="s">
        <v>102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56</v>
      </c>
      <c r="E37" t="s">
        <v>69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168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56</v>
      </c>
      <c r="E38" t="s">
        <v>69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168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56</v>
      </c>
      <c r="E39" t="s">
        <v>69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168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56</v>
      </c>
      <c r="E40" t="s">
        <v>69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168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56</v>
      </c>
      <c r="E41" t="s">
        <v>69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168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56</v>
      </c>
      <c r="E42" t="s">
        <v>69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168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56</v>
      </c>
      <c r="E43" t="s">
        <v>69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168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56</v>
      </c>
      <c r="E44" t="s">
        <v>69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168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56</v>
      </c>
      <c r="E45" t="s">
        <v>69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168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56</v>
      </c>
      <c r="E46" t="s">
        <v>69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168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56</v>
      </c>
      <c r="E47" t="s">
        <v>69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168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56</v>
      </c>
      <c r="E48" t="s">
        <v>69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168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56</v>
      </c>
      <c r="E49" t="s">
        <v>69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168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56</v>
      </c>
      <c r="E50" t="s">
        <v>69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168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56</v>
      </c>
      <c r="E51" t="s">
        <v>69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168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56</v>
      </c>
      <c r="E52" t="s">
        <v>69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168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56</v>
      </c>
      <c r="E53" t="s">
        <v>69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168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56</v>
      </c>
      <c r="E54" t="s">
        <v>69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168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56</v>
      </c>
      <c r="E55" t="s">
        <v>69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168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56</v>
      </c>
      <c r="E56" t="s">
        <v>69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168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56</v>
      </c>
      <c r="E57" t="s">
        <v>69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168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56</v>
      </c>
      <c r="E58" t="s">
        <v>69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168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56</v>
      </c>
      <c r="E59" t="s">
        <v>69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168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56</v>
      </c>
      <c r="E60" t="s">
        <v>69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168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56</v>
      </c>
      <c r="E61" t="s">
        <v>69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168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56</v>
      </c>
      <c r="E62" t="s">
        <v>69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168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56</v>
      </c>
      <c r="E63" t="s">
        <v>69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168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56</v>
      </c>
      <c r="E64" t="s">
        <v>69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168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56</v>
      </c>
      <c r="E65" t="s">
        <v>69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168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56</v>
      </c>
      <c r="E66" t="s">
        <v>69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168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56</v>
      </c>
      <c r="E67" t="s">
        <v>69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168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56</v>
      </c>
      <c r="E68" t="s">
        <v>69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168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56</v>
      </c>
      <c r="E69" t="s">
        <v>69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168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56</v>
      </c>
      <c r="E70" t="s">
        <v>69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168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56</v>
      </c>
      <c r="E71" t="s">
        <v>69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168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55</v>
      </c>
      <c r="E72" t="s">
        <v>7</v>
      </c>
      <c r="F72">
        <v>0</v>
      </c>
      <c r="G72">
        <v>10</v>
      </c>
      <c r="H72">
        <v>1.0000000000000001E-5</v>
      </c>
      <c r="I72" t="s">
        <v>102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55</v>
      </c>
      <c r="E73" t="s">
        <v>7</v>
      </c>
      <c r="F73">
        <v>0</v>
      </c>
      <c r="G73">
        <v>10</v>
      </c>
      <c r="H73">
        <v>1E-4</v>
      </c>
      <c r="I73" t="s">
        <v>102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55</v>
      </c>
      <c r="E74" t="s">
        <v>7</v>
      </c>
      <c r="F74">
        <v>0</v>
      </c>
      <c r="G74">
        <v>10</v>
      </c>
      <c r="H74">
        <v>1E-3</v>
      </c>
      <c r="I74" t="s">
        <v>102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55</v>
      </c>
      <c r="E75" t="s">
        <v>7</v>
      </c>
      <c r="F75">
        <v>0</v>
      </c>
      <c r="G75">
        <v>10</v>
      </c>
      <c r="H75">
        <v>0.01</v>
      </c>
      <c r="I75" t="s">
        <v>102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55</v>
      </c>
      <c r="E76" t="s">
        <v>7</v>
      </c>
      <c r="F76">
        <v>0</v>
      </c>
      <c r="G76">
        <v>10</v>
      </c>
      <c r="H76">
        <v>0.1</v>
      </c>
      <c r="I76" t="s">
        <v>102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55</v>
      </c>
      <c r="E77" t="s">
        <v>7</v>
      </c>
      <c r="F77">
        <v>0</v>
      </c>
      <c r="G77">
        <v>10</v>
      </c>
      <c r="H77">
        <v>1</v>
      </c>
      <c r="I77" t="s">
        <v>102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55</v>
      </c>
      <c r="E78" t="s">
        <v>7</v>
      </c>
      <c r="F78">
        <v>0</v>
      </c>
      <c r="G78">
        <v>10</v>
      </c>
      <c r="H78">
        <v>10</v>
      </c>
      <c r="I78" t="s">
        <v>102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55</v>
      </c>
      <c r="E79" t="s">
        <v>7</v>
      </c>
      <c r="F79">
        <v>0</v>
      </c>
      <c r="G79">
        <v>10</v>
      </c>
      <c r="H79">
        <v>100</v>
      </c>
      <c r="I79" t="s">
        <v>102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55</v>
      </c>
      <c r="E80" t="s">
        <v>7</v>
      </c>
      <c r="F80">
        <v>0</v>
      </c>
      <c r="G80">
        <v>10</v>
      </c>
      <c r="H80">
        <v>1000</v>
      </c>
      <c r="I80" t="s">
        <v>102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55</v>
      </c>
      <c r="E81" t="s">
        <v>7</v>
      </c>
      <c r="F81">
        <v>0</v>
      </c>
      <c r="G81">
        <v>10</v>
      </c>
      <c r="H81">
        <v>10000</v>
      </c>
      <c r="I81" t="s">
        <v>102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55</v>
      </c>
      <c r="E82" t="s">
        <v>7</v>
      </c>
      <c r="F82">
        <v>0</v>
      </c>
      <c r="G82">
        <v>10</v>
      </c>
      <c r="H82">
        <v>100000</v>
      </c>
      <c r="I82" t="s">
        <v>102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55</v>
      </c>
      <c r="E83" t="s">
        <v>7</v>
      </c>
      <c r="F83">
        <v>0</v>
      </c>
      <c r="G83">
        <v>10</v>
      </c>
      <c r="H83">
        <v>1000000</v>
      </c>
      <c r="I83" t="s">
        <v>102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55</v>
      </c>
      <c r="E84" t="s">
        <v>7</v>
      </c>
      <c r="F84">
        <v>10</v>
      </c>
      <c r="G84">
        <v>100</v>
      </c>
      <c r="H84">
        <v>1.0000000000000001E-5</v>
      </c>
      <c r="I84" t="s">
        <v>102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55</v>
      </c>
      <c r="E85" t="s">
        <v>7</v>
      </c>
      <c r="F85">
        <v>10</v>
      </c>
      <c r="G85">
        <v>100</v>
      </c>
      <c r="H85">
        <v>1E-4</v>
      </c>
      <c r="I85" t="s">
        <v>102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55</v>
      </c>
      <c r="E86" t="s">
        <v>7</v>
      </c>
      <c r="F86">
        <v>10</v>
      </c>
      <c r="G86">
        <v>100</v>
      </c>
      <c r="H86">
        <v>1E-3</v>
      </c>
      <c r="I86" t="s">
        <v>102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55</v>
      </c>
      <c r="E87" t="s">
        <v>7</v>
      </c>
      <c r="F87">
        <v>10</v>
      </c>
      <c r="G87">
        <v>100</v>
      </c>
      <c r="H87">
        <v>0.01</v>
      </c>
      <c r="I87" t="s">
        <v>102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55</v>
      </c>
      <c r="E88" t="s">
        <v>7</v>
      </c>
      <c r="F88">
        <v>10</v>
      </c>
      <c r="G88">
        <v>100</v>
      </c>
      <c r="H88">
        <v>0.1</v>
      </c>
      <c r="I88" t="s">
        <v>102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55</v>
      </c>
      <c r="E89" t="s">
        <v>7</v>
      </c>
      <c r="F89">
        <v>10</v>
      </c>
      <c r="G89">
        <v>100</v>
      </c>
      <c r="H89">
        <v>1</v>
      </c>
      <c r="I89" t="s">
        <v>102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55</v>
      </c>
      <c r="E90" t="s">
        <v>7</v>
      </c>
      <c r="F90">
        <v>100</v>
      </c>
      <c r="G90">
        <v>1000</v>
      </c>
      <c r="H90">
        <v>1E-4</v>
      </c>
      <c r="I90" t="s">
        <v>102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55</v>
      </c>
      <c r="E91" t="s">
        <v>7</v>
      </c>
      <c r="F91">
        <v>100</v>
      </c>
      <c r="G91">
        <v>1000</v>
      </c>
      <c r="H91">
        <v>1E-3</v>
      </c>
      <c r="I91" t="s">
        <v>102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55</v>
      </c>
      <c r="E92" t="s">
        <v>7</v>
      </c>
      <c r="F92">
        <v>100</v>
      </c>
      <c r="G92">
        <v>1000</v>
      </c>
      <c r="H92">
        <v>0.01</v>
      </c>
      <c r="I92" t="s">
        <v>102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55</v>
      </c>
      <c r="E93" t="s">
        <v>7</v>
      </c>
      <c r="F93">
        <v>100</v>
      </c>
      <c r="G93">
        <v>1000</v>
      </c>
      <c r="H93">
        <v>0.1</v>
      </c>
      <c r="I93" t="s">
        <v>102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55</v>
      </c>
      <c r="E94" t="s">
        <v>7</v>
      </c>
      <c r="F94">
        <v>100</v>
      </c>
      <c r="G94">
        <v>1000</v>
      </c>
      <c r="H94">
        <v>1</v>
      </c>
      <c r="I94" t="s">
        <v>102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55</v>
      </c>
      <c r="E95" t="s">
        <v>7</v>
      </c>
      <c r="F95">
        <v>100</v>
      </c>
      <c r="G95">
        <v>1000</v>
      </c>
      <c r="H95">
        <v>10</v>
      </c>
      <c r="I95" t="s">
        <v>102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55</v>
      </c>
      <c r="E96" t="s">
        <v>7</v>
      </c>
      <c r="F96">
        <v>1000</v>
      </c>
      <c r="G96">
        <v>10000</v>
      </c>
      <c r="H96">
        <v>1E-3</v>
      </c>
      <c r="I96" t="s">
        <v>102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55</v>
      </c>
      <c r="E97" t="s">
        <v>7</v>
      </c>
      <c r="F97">
        <v>1000</v>
      </c>
      <c r="G97">
        <v>10000</v>
      </c>
      <c r="H97">
        <v>0.01</v>
      </c>
      <c r="I97" t="s">
        <v>102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55</v>
      </c>
      <c r="E98" t="s">
        <v>7</v>
      </c>
      <c r="F98">
        <v>1000</v>
      </c>
      <c r="G98">
        <v>10000</v>
      </c>
      <c r="H98">
        <v>0.1</v>
      </c>
      <c r="I98" t="s">
        <v>102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55</v>
      </c>
      <c r="E99" t="s">
        <v>7</v>
      </c>
      <c r="F99">
        <v>1000</v>
      </c>
      <c r="G99">
        <v>10000</v>
      </c>
      <c r="H99">
        <v>1</v>
      </c>
      <c r="I99" t="s">
        <v>102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55</v>
      </c>
      <c r="E100" t="s">
        <v>7</v>
      </c>
      <c r="F100">
        <v>1000</v>
      </c>
      <c r="G100">
        <v>10000</v>
      </c>
      <c r="H100">
        <v>10</v>
      </c>
      <c r="I100" t="s">
        <v>102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55</v>
      </c>
      <c r="E101" t="s">
        <v>7</v>
      </c>
      <c r="F101">
        <v>1000</v>
      </c>
      <c r="G101">
        <v>10000</v>
      </c>
      <c r="H101">
        <v>100</v>
      </c>
      <c r="I101" t="s">
        <v>102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55</v>
      </c>
      <c r="E102" t="s">
        <v>7</v>
      </c>
      <c r="F102">
        <v>10000</v>
      </c>
      <c r="G102">
        <v>100000</v>
      </c>
      <c r="H102">
        <v>0.01</v>
      </c>
      <c r="I102" t="s">
        <v>102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55</v>
      </c>
      <c r="E103" t="s">
        <v>7</v>
      </c>
      <c r="F103">
        <v>10000</v>
      </c>
      <c r="G103">
        <v>100000</v>
      </c>
      <c r="H103">
        <v>0.1</v>
      </c>
      <c r="I103" t="s">
        <v>102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55</v>
      </c>
      <c r="E104" t="s">
        <v>7</v>
      </c>
      <c r="F104">
        <v>10000</v>
      </c>
      <c r="G104">
        <v>100000</v>
      </c>
      <c r="H104">
        <v>1</v>
      </c>
      <c r="I104" t="s">
        <v>102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55</v>
      </c>
      <c r="E105" t="s">
        <v>7</v>
      </c>
      <c r="F105">
        <v>10000</v>
      </c>
      <c r="G105">
        <v>100000</v>
      </c>
      <c r="H105">
        <v>10</v>
      </c>
      <c r="I105" t="s">
        <v>102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55</v>
      </c>
      <c r="E106" t="s">
        <v>7</v>
      </c>
      <c r="F106">
        <v>10000</v>
      </c>
      <c r="G106">
        <v>100000</v>
      </c>
      <c r="H106">
        <v>100</v>
      </c>
      <c r="I106" t="s">
        <v>102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55</v>
      </c>
      <c r="E107" t="s">
        <v>7</v>
      </c>
      <c r="F107">
        <v>10000</v>
      </c>
      <c r="G107">
        <v>100000</v>
      </c>
      <c r="H107">
        <v>1000</v>
      </c>
      <c r="I107" t="s">
        <v>102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55</v>
      </c>
      <c r="E108" t="s">
        <v>7</v>
      </c>
      <c r="F108">
        <v>100000</v>
      </c>
      <c r="G108">
        <v>1000000</v>
      </c>
      <c r="H108">
        <v>0.1</v>
      </c>
      <c r="I108" t="s">
        <v>102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55</v>
      </c>
      <c r="E109" t="s">
        <v>7</v>
      </c>
      <c r="F109">
        <v>100000</v>
      </c>
      <c r="G109">
        <v>1000000</v>
      </c>
      <c r="H109">
        <v>1</v>
      </c>
      <c r="I109" t="s">
        <v>102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55</v>
      </c>
      <c r="E110" t="s">
        <v>7</v>
      </c>
      <c r="F110">
        <v>100000</v>
      </c>
      <c r="G110">
        <v>1000000</v>
      </c>
      <c r="H110">
        <v>10</v>
      </c>
      <c r="I110" t="s">
        <v>102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55</v>
      </c>
      <c r="E111" t="s">
        <v>7</v>
      </c>
      <c r="F111">
        <v>100000</v>
      </c>
      <c r="G111">
        <v>1000000</v>
      </c>
      <c r="H111">
        <v>100</v>
      </c>
      <c r="I111" t="s">
        <v>102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55</v>
      </c>
      <c r="E112" t="s">
        <v>7</v>
      </c>
      <c r="F112">
        <v>100000</v>
      </c>
      <c r="G112">
        <v>1000000</v>
      </c>
      <c r="H112">
        <v>1000</v>
      </c>
      <c r="I112" t="s">
        <v>102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55</v>
      </c>
      <c r="E113" t="s">
        <v>7</v>
      </c>
      <c r="F113">
        <v>100000</v>
      </c>
      <c r="G113">
        <v>1000000</v>
      </c>
      <c r="H113">
        <v>10000</v>
      </c>
      <c r="I113" t="s">
        <v>102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55</v>
      </c>
      <c r="E114" t="s">
        <v>7</v>
      </c>
      <c r="F114">
        <v>1000000</v>
      </c>
      <c r="G114">
        <v>10000000</v>
      </c>
      <c r="H114">
        <v>1</v>
      </c>
      <c r="I114" t="s">
        <v>102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55</v>
      </c>
      <c r="E115" t="s">
        <v>7</v>
      </c>
      <c r="F115">
        <v>1000000</v>
      </c>
      <c r="G115">
        <v>10000000</v>
      </c>
      <c r="H115">
        <v>10</v>
      </c>
      <c r="I115" t="s">
        <v>102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55</v>
      </c>
      <c r="E116" t="s">
        <v>7</v>
      </c>
      <c r="F116">
        <v>1000000</v>
      </c>
      <c r="G116">
        <v>10000000</v>
      </c>
      <c r="H116">
        <v>100</v>
      </c>
      <c r="I116" t="s">
        <v>102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55</v>
      </c>
      <c r="E117" t="s">
        <v>7</v>
      </c>
      <c r="F117">
        <v>1000000</v>
      </c>
      <c r="G117">
        <v>10000000</v>
      </c>
      <c r="H117">
        <v>1000</v>
      </c>
      <c r="I117" t="s">
        <v>102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55</v>
      </c>
      <c r="E118" t="s">
        <v>7</v>
      </c>
      <c r="F118">
        <v>1000000</v>
      </c>
      <c r="G118">
        <v>10000000</v>
      </c>
      <c r="H118">
        <v>10000</v>
      </c>
      <c r="I118" t="s">
        <v>102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55</v>
      </c>
      <c r="E119" t="s">
        <v>7</v>
      </c>
      <c r="F119">
        <v>1000000</v>
      </c>
      <c r="G119">
        <v>10000000</v>
      </c>
      <c r="H119">
        <v>100000</v>
      </c>
      <c r="I119" t="s">
        <v>102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55</v>
      </c>
      <c r="E120" t="s">
        <v>7</v>
      </c>
      <c r="F120">
        <v>10000000</v>
      </c>
      <c r="G120">
        <v>100000000</v>
      </c>
      <c r="H120">
        <v>10</v>
      </c>
      <c r="I120" t="s">
        <v>102</v>
      </c>
      <c r="J120" t="s">
        <v>190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55</v>
      </c>
      <c r="E121" t="s">
        <v>7</v>
      </c>
      <c r="F121">
        <v>10000000</v>
      </c>
      <c r="G121">
        <v>100000000</v>
      </c>
      <c r="H121">
        <v>100</v>
      </c>
      <c r="I121" t="s">
        <v>102</v>
      </c>
      <c r="J121" t="s">
        <v>190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55</v>
      </c>
      <c r="E122" t="s">
        <v>7</v>
      </c>
      <c r="F122">
        <v>10000000</v>
      </c>
      <c r="G122">
        <v>100000000</v>
      </c>
      <c r="H122">
        <v>1000</v>
      </c>
      <c r="I122" t="s">
        <v>102</v>
      </c>
      <c r="J122" t="s">
        <v>190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55</v>
      </c>
      <c r="E123" t="s">
        <v>7</v>
      </c>
      <c r="F123">
        <v>10000000</v>
      </c>
      <c r="G123">
        <v>100000000</v>
      </c>
      <c r="H123">
        <v>10000</v>
      </c>
      <c r="I123" t="s">
        <v>102</v>
      </c>
      <c r="J123" t="s">
        <v>190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55</v>
      </c>
      <c r="E124" t="s">
        <v>7</v>
      </c>
      <c r="F124">
        <v>10000000</v>
      </c>
      <c r="G124">
        <v>100000000</v>
      </c>
      <c r="H124">
        <v>100000</v>
      </c>
      <c r="I124" t="s">
        <v>102</v>
      </c>
      <c r="J124" t="s">
        <v>190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55</v>
      </c>
      <c r="E125" t="s">
        <v>7</v>
      </c>
      <c r="F125">
        <v>10000000</v>
      </c>
      <c r="G125">
        <v>100000000</v>
      </c>
      <c r="H125">
        <v>10000000</v>
      </c>
      <c r="I125" t="s">
        <v>102</v>
      </c>
      <c r="J125" t="s">
        <v>190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55</v>
      </c>
      <c r="E126" t="s">
        <v>7</v>
      </c>
      <c r="F126">
        <v>100000000</v>
      </c>
      <c r="G126">
        <v>1000000000</v>
      </c>
      <c r="H126">
        <v>100</v>
      </c>
      <c r="I126" t="s">
        <v>102</v>
      </c>
      <c r="J126" t="s">
        <v>190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55</v>
      </c>
      <c r="E127" t="s">
        <v>7</v>
      </c>
      <c r="F127">
        <v>100000000</v>
      </c>
      <c r="G127">
        <v>1000000000</v>
      </c>
      <c r="H127">
        <v>1000</v>
      </c>
      <c r="I127" t="s">
        <v>102</v>
      </c>
      <c r="J127" t="s">
        <v>190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55</v>
      </c>
      <c r="E128" t="s">
        <v>7</v>
      </c>
      <c r="F128">
        <v>100000000</v>
      </c>
      <c r="G128">
        <v>1000000000</v>
      </c>
      <c r="H128">
        <v>10000</v>
      </c>
      <c r="I128" t="s">
        <v>102</v>
      </c>
      <c r="J128" t="s">
        <v>190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55</v>
      </c>
      <c r="E129" t="s">
        <v>7</v>
      </c>
      <c r="F129">
        <v>100000000</v>
      </c>
      <c r="G129">
        <v>1000000000</v>
      </c>
      <c r="H129">
        <v>100000</v>
      </c>
      <c r="I129" t="s">
        <v>102</v>
      </c>
      <c r="J129" t="s">
        <v>190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55</v>
      </c>
      <c r="E130" t="s">
        <v>7</v>
      </c>
      <c r="F130">
        <v>100000000</v>
      </c>
      <c r="G130">
        <v>1000000000</v>
      </c>
      <c r="H130">
        <v>10000000</v>
      </c>
      <c r="I130" t="s">
        <v>102</v>
      </c>
      <c r="J130" t="s">
        <v>190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55</v>
      </c>
      <c r="E131" t="s">
        <v>7</v>
      </c>
      <c r="F131">
        <v>100000000</v>
      </c>
      <c r="G131">
        <v>1000000000</v>
      </c>
      <c r="H131">
        <v>100000000</v>
      </c>
      <c r="I131" t="s">
        <v>102</v>
      </c>
      <c r="J131" t="s">
        <v>190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55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55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55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55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55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55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55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55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55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55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55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55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55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55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55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55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55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55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55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55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55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55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55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55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55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55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55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55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55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55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55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55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55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55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55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55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55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55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55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55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55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55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55</v>
      </c>
      <c r="E174" t="s">
        <v>86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165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55</v>
      </c>
      <c r="E175" t="s">
        <v>86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165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55</v>
      </c>
      <c r="E176" t="s">
        <v>86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165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55</v>
      </c>
      <c r="E177" t="s">
        <v>86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165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55</v>
      </c>
      <c r="E178" t="s">
        <v>86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165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55</v>
      </c>
      <c r="E179" t="s">
        <v>86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165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55</v>
      </c>
      <c r="E180" t="s">
        <v>85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164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55</v>
      </c>
      <c r="E181" t="s">
        <v>85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164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55</v>
      </c>
      <c r="E182" t="s">
        <v>85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164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55</v>
      </c>
      <c r="E183" t="s">
        <v>85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164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55</v>
      </c>
      <c r="E184" t="s">
        <v>85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164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55</v>
      </c>
      <c r="E185" t="s">
        <v>85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164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55</v>
      </c>
      <c r="E186" t="s">
        <v>85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164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55</v>
      </c>
      <c r="E187" t="s">
        <v>85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164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55</v>
      </c>
      <c r="E188" t="s">
        <v>84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163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55</v>
      </c>
      <c r="E189" t="s">
        <v>84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163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55</v>
      </c>
      <c r="E190" t="s">
        <v>84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163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55</v>
      </c>
      <c r="E191" t="s">
        <v>84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163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55</v>
      </c>
      <c r="E192" t="s">
        <v>84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163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55</v>
      </c>
      <c r="E193" t="s">
        <v>84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163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55</v>
      </c>
      <c r="E194" t="s">
        <v>84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163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55</v>
      </c>
      <c r="E195" t="s">
        <v>84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163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55</v>
      </c>
      <c r="E196" t="s">
        <v>88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167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55</v>
      </c>
      <c r="E197" t="s">
        <v>88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167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55</v>
      </c>
      <c r="E198" t="s">
        <v>88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167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55</v>
      </c>
      <c r="E199" t="s">
        <v>88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167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55</v>
      </c>
      <c r="E200" t="s">
        <v>88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167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55</v>
      </c>
      <c r="E201" t="s">
        <v>88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167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55</v>
      </c>
      <c r="E202" t="s">
        <v>88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167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55</v>
      </c>
      <c r="E203" t="s">
        <v>88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167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55</v>
      </c>
      <c r="E204" t="s">
        <v>88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167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55</v>
      </c>
      <c r="E205" t="s">
        <v>88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167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55</v>
      </c>
      <c r="E206" t="s">
        <v>88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167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55</v>
      </c>
      <c r="E207" t="s">
        <v>88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167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55</v>
      </c>
      <c r="E208" t="s">
        <v>88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167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55</v>
      </c>
      <c r="E209" t="s">
        <v>88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167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55</v>
      </c>
      <c r="E210" t="s">
        <v>88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167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55</v>
      </c>
      <c r="E211" t="s">
        <v>87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166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55</v>
      </c>
      <c r="E212" t="s">
        <v>87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166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55</v>
      </c>
      <c r="E213" t="s">
        <v>87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166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55</v>
      </c>
      <c r="E214" t="s">
        <v>87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166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55</v>
      </c>
      <c r="E215" t="s">
        <v>87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166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55</v>
      </c>
      <c r="E216" t="s">
        <v>87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166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55</v>
      </c>
      <c r="E217" t="s">
        <v>87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166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55</v>
      </c>
      <c r="E218" t="s">
        <v>87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166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55</v>
      </c>
      <c r="E219" t="s">
        <v>87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166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55</v>
      </c>
      <c r="E220" t="s">
        <v>87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166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55</v>
      </c>
      <c r="E221" t="s">
        <v>87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166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55</v>
      </c>
      <c r="E222" t="s">
        <v>87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166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55</v>
      </c>
      <c r="E223" t="s">
        <v>87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166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55</v>
      </c>
      <c r="E224" t="s">
        <v>87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166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55</v>
      </c>
      <c r="E225" t="s">
        <v>87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166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55</v>
      </c>
      <c r="E226" t="s">
        <v>83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162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55</v>
      </c>
      <c r="E227" t="s">
        <v>83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162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55</v>
      </c>
      <c r="E228" t="s">
        <v>83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162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55</v>
      </c>
      <c r="E229" t="s">
        <v>83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162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55</v>
      </c>
      <c r="E230" t="s">
        <v>83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162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55</v>
      </c>
      <c r="E231" t="s">
        <v>83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162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55</v>
      </c>
      <c r="E232" t="s">
        <v>83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162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55</v>
      </c>
      <c r="E233" t="s">
        <v>83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162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55</v>
      </c>
      <c r="E234" t="s">
        <v>83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162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55</v>
      </c>
      <c r="E235" t="s">
        <v>83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162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55</v>
      </c>
      <c r="E236" t="s">
        <v>82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111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55</v>
      </c>
      <c r="E237" t="s">
        <v>82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111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55</v>
      </c>
      <c r="E238" t="s">
        <v>82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111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55</v>
      </c>
      <c r="E239" t="s">
        <v>82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111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55</v>
      </c>
      <c r="E240" t="s">
        <v>82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111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55</v>
      </c>
      <c r="E241" t="s">
        <v>82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111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55</v>
      </c>
      <c r="E242" t="s">
        <v>82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111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55</v>
      </c>
      <c r="E243" t="s">
        <v>82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111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55</v>
      </c>
      <c r="E244" t="s">
        <v>81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161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55</v>
      </c>
      <c r="E245" t="s">
        <v>81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161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55</v>
      </c>
      <c r="E246" t="s">
        <v>81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161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55</v>
      </c>
      <c r="E247" t="s">
        <v>81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161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55</v>
      </c>
      <c r="E248" t="s">
        <v>81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161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55</v>
      </c>
      <c r="E249" t="s">
        <v>81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161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55</v>
      </c>
      <c r="E250" t="s">
        <v>80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160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55</v>
      </c>
      <c r="E251" t="s">
        <v>80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160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55</v>
      </c>
      <c r="E252" t="s">
        <v>80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160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55</v>
      </c>
      <c r="E253" t="s">
        <v>80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160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55</v>
      </c>
      <c r="E254" t="s">
        <v>80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160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55</v>
      </c>
      <c r="E255" t="s">
        <v>80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160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55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55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55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55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55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55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55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55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55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55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55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55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55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55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55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55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55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55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55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55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55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55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55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55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55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55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55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55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55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55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55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55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55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70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55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70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55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70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55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70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55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70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55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70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55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70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55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70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55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70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55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70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55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70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55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70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55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70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55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70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55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70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55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70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55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70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55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70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55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70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55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70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55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70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55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70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55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70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55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70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55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70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55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70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55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70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55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70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55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70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55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70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55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70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55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70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55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70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55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70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55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70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55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70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55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55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55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55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55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55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55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55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55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55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55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55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55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55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55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55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55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55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55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55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55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55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55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55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55</v>
      </c>
      <c r="E348" t="s">
        <v>95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165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55</v>
      </c>
      <c r="E349" t="s">
        <v>95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165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55</v>
      </c>
      <c r="E350" t="s">
        <v>95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165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55</v>
      </c>
      <c r="E351" t="s">
        <v>95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165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55</v>
      </c>
      <c r="E352" t="s">
        <v>95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165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55</v>
      </c>
      <c r="E353" t="s">
        <v>95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165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55</v>
      </c>
      <c r="E354" t="s">
        <v>94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164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55</v>
      </c>
      <c r="E355" t="s">
        <v>94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164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55</v>
      </c>
      <c r="E356" t="s">
        <v>94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164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55</v>
      </c>
      <c r="E357" t="s">
        <v>94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164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55</v>
      </c>
      <c r="E358" t="s">
        <v>94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164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55</v>
      </c>
      <c r="E359" t="s">
        <v>94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164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55</v>
      </c>
      <c r="E360" t="s">
        <v>94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164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55</v>
      </c>
      <c r="E361" t="s">
        <v>94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164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55</v>
      </c>
      <c r="E362" t="s">
        <v>93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163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55</v>
      </c>
      <c r="E363" t="s">
        <v>93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163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55</v>
      </c>
      <c r="E364" t="s">
        <v>93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163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55</v>
      </c>
      <c r="E365" t="s">
        <v>93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163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55</v>
      </c>
      <c r="E366" t="s">
        <v>93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163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55</v>
      </c>
      <c r="E367" t="s">
        <v>93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163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55</v>
      </c>
      <c r="E368" t="s">
        <v>93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163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55</v>
      </c>
      <c r="E369" t="s">
        <v>93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163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55</v>
      </c>
      <c r="E370" t="s">
        <v>97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167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55</v>
      </c>
      <c r="E371" t="s">
        <v>97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167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55</v>
      </c>
      <c r="E372" t="s">
        <v>97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167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55</v>
      </c>
      <c r="E373" t="s">
        <v>97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167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55</v>
      </c>
      <c r="E374" t="s">
        <v>97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167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55</v>
      </c>
      <c r="E375" t="s">
        <v>97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167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55</v>
      </c>
      <c r="E376" t="s">
        <v>97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167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55</v>
      </c>
      <c r="E377" t="s">
        <v>97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167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55</v>
      </c>
      <c r="E378" t="s">
        <v>97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167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55</v>
      </c>
      <c r="E379" t="s">
        <v>97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167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55</v>
      </c>
      <c r="E380" t="s">
        <v>97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167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55</v>
      </c>
      <c r="E381" t="s">
        <v>97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167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55</v>
      </c>
      <c r="E382" t="s">
        <v>97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167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55</v>
      </c>
      <c r="E383" t="s">
        <v>97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167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55</v>
      </c>
      <c r="E384" t="s">
        <v>97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167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55</v>
      </c>
      <c r="E385" t="s">
        <v>96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166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55</v>
      </c>
      <c r="E386" t="s">
        <v>96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166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55</v>
      </c>
      <c r="E387" t="s">
        <v>96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166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55</v>
      </c>
      <c r="E388" t="s">
        <v>96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166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55</v>
      </c>
      <c r="E389" t="s">
        <v>96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166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55</v>
      </c>
      <c r="E390" t="s">
        <v>96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166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55</v>
      </c>
      <c r="E391" t="s">
        <v>96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166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55</v>
      </c>
      <c r="E392" t="s">
        <v>96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166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55</v>
      </c>
      <c r="E393" t="s">
        <v>96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166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55</v>
      </c>
      <c r="E394" t="s">
        <v>96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166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55</v>
      </c>
      <c r="E395" t="s">
        <v>96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166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55</v>
      </c>
      <c r="E396" t="s">
        <v>96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166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55</v>
      </c>
      <c r="E397" t="s">
        <v>96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166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55</v>
      </c>
      <c r="E398" t="s">
        <v>96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166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55</v>
      </c>
      <c r="E399" t="s">
        <v>96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166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55</v>
      </c>
      <c r="E400" t="s">
        <v>92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162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55</v>
      </c>
      <c r="E401" t="s">
        <v>92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162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55</v>
      </c>
      <c r="E402" t="s">
        <v>92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162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55</v>
      </c>
      <c r="E403" t="s">
        <v>92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162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55</v>
      </c>
      <c r="E404" t="s">
        <v>92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162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55</v>
      </c>
      <c r="E405" t="s">
        <v>92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162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55</v>
      </c>
      <c r="E406" t="s">
        <v>92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162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55</v>
      </c>
      <c r="E407" t="s">
        <v>92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162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55</v>
      </c>
      <c r="E408" t="s">
        <v>92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162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55</v>
      </c>
      <c r="E409" t="s">
        <v>92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162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55</v>
      </c>
      <c r="E410" t="s">
        <v>89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111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55</v>
      </c>
      <c r="E411" t="s">
        <v>89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111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55</v>
      </c>
      <c r="E412" t="s">
        <v>89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111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55</v>
      </c>
      <c r="E413" t="s">
        <v>89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111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55</v>
      </c>
      <c r="E414" t="s">
        <v>89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111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55</v>
      </c>
      <c r="E415" t="s">
        <v>89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111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55</v>
      </c>
      <c r="E416" t="s">
        <v>89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111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55</v>
      </c>
      <c r="E417" t="s">
        <v>89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111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55</v>
      </c>
      <c r="E418" t="s">
        <v>90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161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55</v>
      </c>
      <c r="E419" t="s">
        <v>90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161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55</v>
      </c>
      <c r="E420" t="s">
        <v>90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161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55</v>
      </c>
      <c r="E421" t="s">
        <v>90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161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55</v>
      </c>
      <c r="E422" t="s">
        <v>90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161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55</v>
      </c>
      <c r="E423" t="s">
        <v>90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161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55</v>
      </c>
      <c r="E424" t="s">
        <v>91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160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55</v>
      </c>
      <c r="E425" t="s">
        <v>91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160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55</v>
      </c>
      <c r="E426" t="s">
        <v>91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160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55</v>
      </c>
      <c r="E427" t="s">
        <v>91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160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55</v>
      </c>
      <c r="E428" t="s">
        <v>91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160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55</v>
      </c>
      <c r="E429" t="s">
        <v>91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160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55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55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55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55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55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55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55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55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55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55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55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55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55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55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55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55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55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55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55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55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55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55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55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55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55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55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55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55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55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55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55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55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55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55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55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55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55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55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55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55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55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55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55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55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55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55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55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55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55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55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55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55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55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55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55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55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55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55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55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55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55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55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55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55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55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55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55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55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55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55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55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55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55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55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55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55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55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55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55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55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55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55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55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55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55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55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55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55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55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55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55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55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55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55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55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55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55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55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55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55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55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55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55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55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55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55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55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55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55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55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55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55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55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55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55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55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55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55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55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55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55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55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55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55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55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55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55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55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55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55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55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55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55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55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55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55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55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55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55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55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55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55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55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55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55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55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55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55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55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55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55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55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55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55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55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55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55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55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55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55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55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55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55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55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55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55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55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55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55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55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55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55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55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55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55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55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55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55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55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55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55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55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55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55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55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55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55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55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55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55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55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55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55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55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55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55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55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55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55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55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55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55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55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55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55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55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55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55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55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55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55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55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55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55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55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55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55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55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55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55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55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55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55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55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55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55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55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55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55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55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55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55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55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55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55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55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55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55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55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55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55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55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55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55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55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55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55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55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55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55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55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55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55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55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55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55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55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55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0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55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55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55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0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55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55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55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55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55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55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0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55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55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55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55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55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55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0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55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55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55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0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55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0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55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55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55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55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55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55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55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55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55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55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55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55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55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55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55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55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55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0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55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55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55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55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55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55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55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55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55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55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55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55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55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2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55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2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55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3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55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3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55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3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55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55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55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55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55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55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55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55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55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55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55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55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55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55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55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55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55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55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55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55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55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55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55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55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55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55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55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55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55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55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55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55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55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55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55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55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55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55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55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55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55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55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55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55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55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55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55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55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55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55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55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55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55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55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55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55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55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55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55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55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55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55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55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55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55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55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55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55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55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55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55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55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55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55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55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55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55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55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55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55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55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55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55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55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55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55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55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55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55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55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55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55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55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55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55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55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55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55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55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55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55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55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55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55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55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55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55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55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55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55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55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55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55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55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55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55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55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55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55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55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55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55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55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55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55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55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55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55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55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55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55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55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55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55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55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55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55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55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55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55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55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55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55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55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55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55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55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55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55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55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98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55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98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55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55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55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55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98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55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55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55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55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55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55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55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55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55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55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55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55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98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55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55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55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98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55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55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55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55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55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55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98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55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55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55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98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55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55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55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55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55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55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55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55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55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55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55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55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55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55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55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55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55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55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55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55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55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55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55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55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55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55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55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55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55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55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55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55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55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55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55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55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55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55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55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55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55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55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55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55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55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98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55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55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55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55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55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55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55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55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55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98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55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55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55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55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98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55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55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55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55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55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55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55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55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55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55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55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98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55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55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98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55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55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55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98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55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98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55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98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98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55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55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98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98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55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55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98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55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55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98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55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55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98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55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55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55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55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55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55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55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55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98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55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55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98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55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55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55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98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55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55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98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55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55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98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55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55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55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54</v>
      </c>
      <c r="E1024" t="s">
        <v>7</v>
      </c>
      <c r="F1024">
        <v>0</v>
      </c>
      <c r="G1024">
        <v>11.000999999999999</v>
      </c>
      <c r="H1024">
        <v>1E-3</v>
      </c>
      <c r="I1024" t="s">
        <v>102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54</v>
      </c>
      <c r="E1025" t="s">
        <v>7</v>
      </c>
      <c r="F1025">
        <v>0</v>
      </c>
      <c r="G1025">
        <v>11.000999999999999</v>
      </c>
      <c r="H1025">
        <v>0.01</v>
      </c>
      <c r="I1025" t="s">
        <v>102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54</v>
      </c>
      <c r="E1026" t="s">
        <v>7</v>
      </c>
      <c r="F1026">
        <v>0</v>
      </c>
      <c r="G1026">
        <v>11.000999999999999</v>
      </c>
      <c r="H1026">
        <v>0.1</v>
      </c>
      <c r="I1026" t="s">
        <v>102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54</v>
      </c>
      <c r="E1027" t="s">
        <v>7</v>
      </c>
      <c r="F1027">
        <v>0</v>
      </c>
      <c r="G1027">
        <v>11.000999999999999</v>
      </c>
      <c r="H1027">
        <v>1</v>
      </c>
      <c r="I1027" t="s">
        <v>102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54</v>
      </c>
      <c r="E1028" t="s">
        <v>7</v>
      </c>
      <c r="F1028">
        <v>0</v>
      </c>
      <c r="G1028">
        <v>11.000999999999999</v>
      </c>
      <c r="H1028">
        <v>10</v>
      </c>
      <c r="I1028" t="s">
        <v>102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54</v>
      </c>
      <c r="E1029" t="s">
        <v>7</v>
      </c>
      <c r="F1029">
        <v>0</v>
      </c>
      <c r="G1029">
        <v>11.000999999999999</v>
      </c>
      <c r="H1029">
        <v>100</v>
      </c>
      <c r="I1029" t="s">
        <v>102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54</v>
      </c>
      <c r="E1030" t="s">
        <v>7</v>
      </c>
      <c r="F1030">
        <v>0</v>
      </c>
      <c r="G1030">
        <v>11.000999999999999</v>
      </c>
      <c r="H1030">
        <v>1000</v>
      </c>
      <c r="I1030" t="s">
        <v>102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54</v>
      </c>
      <c r="E1031" t="s">
        <v>7</v>
      </c>
      <c r="F1031">
        <v>0</v>
      </c>
      <c r="G1031">
        <v>11.000999999999999</v>
      </c>
      <c r="H1031">
        <v>10000</v>
      </c>
      <c r="I1031" t="s">
        <v>102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54</v>
      </c>
      <c r="E1032" t="s">
        <v>7</v>
      </c>
      <c r="F1032">
        <v>0</v>
      </c>
      <c r="G1032">
        <v>11.000999999999999</v>
      </c>
      <c r="H1032">
        <v>100000</v>
      </c>
      <c r="I1032" t="s">
        <v>102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54</v>
      </c>
      <c r="E1033" t="s">
        <v>7</v>
      </c>
      <c r="F1033">
        <v>0</v>
      </c>
      <c r="G1033">
        <v>11.000999999999999</v>
      </c>
      <c r="H1033">
        <v>1000000</v>
      </c>
      <c r="I1033" t="s">
        <v>102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54</v>
      </c>
      <c r="E1034" t="s">
        <v>7</v>
      </c>
      <c r="F1034">
        <v>0</v>
      </c>
      <c r="G1034">
        <v>11.000999999999999</v>
      </c>
      <c r="H1034">
        <v>10000000</v>
      </c>
      <c r="I1034" t="s">
        <v>102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54</v>
      </c>
      <c r="E1035" t="s">
        <v>7</v>
      </c>
      <c r="F1035">
        <v>11</v>
      </c>
      <c r="G1035">
        <v>33.000999999999998</v>
      </c>
      <c r="H1035">
        <v>1E-3</v>
      </c>
      <c r="I1035" t="s">
        <v>102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54</v>
      </c>
      <c r="E1036" t="s">
        <v>7</v>
      </c>
      <c r="F1036">
        <v>11</v>
      </c>
      <c r="G1036">
        <v>33.000999999999998</v>
      </c>
      <c r="H1036">
        <v>0.01</v>
      </c>
      <c r="I1036" t="s">
        <v>102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54</v>
      </c>
      <c r="E1037" t="s">
        <v>7</v>
      </c>
      <c r="F1037">
        <v>11</v>
      </c>
      <c r="G1037">
        <v>33.000999999999998</v>
      </c>
      <c r="H1037">
        <v>0.1</v>
      </c>
      <c r="I1037" t="s">
        <v>102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54</v>
      </c>
      <c r="E1038" t="s">
        <v>7</v>
      </c>
      <c r="F1038">
        <v>11</v>
      </c>
      <c r="G1038">
        <v>33.000999999999998</v>
      </c>
      <c r="H1038">
        <v>1</v>
      </c>
      <c r="I1038" t="s">
        <v>102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54</v>
      </c>
      <c r="E1039" t="s">
        <v>7</v>
      </c>
      <c r="F1039">
        <v>33</v>
      </c>
      <c r="G1039">
        <v>110.01</v>
      </c>
      <c r="H1039">
        <v>1E-3</v>
      </c>
      <c r="I1039" t="s">
        <v>102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54</v>
      </c>
      <c r="E1040" t="s">
        <v>7</v>
      </c>
      <c r="F1040">
        <v>33</v>
      </c>
      <c r="G1040">
        <v>110.01</v>
      </c>
      <c r="H1040">
        <v>0.01</v>
      </c>
      <c r="I1040" t="s">
        <v>102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54</v>
      </c>
      <c r="E1041" t="s">
        <v>7</v>
      </c>
      <c r="F1041">
        <v>33</v>
      </c>
      <c r="G1041">
        <v>110.01</v>
      </c>
      <c r="H1041">
        <v>0.1</v>
      </c>
      <c r="I1041" t="s">
        <v>102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54</v>
      </c>
      <c r="E1042" t="s">
        <v>7</v>
      </c>
      <c r="F1042">
        <v>33</v>
      </c>
      <c r="G1042">
        <v>110.01</v>
      </c>
      <c r="H1042">
        <v>1</v>
      </c>
      <c r="I1042" t="s">
        <v>102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54</v>
      </c>
      <c r="E1043" t="s">
        <v>7</v>
      </c>
      <c r="F1043">
        <v>110</v>
      </c>
      <c r="G1043">
        <v>330.01</v>
      </c>
      <c r="H1043">
        <v>1E-3</v>
      </c>
      <c r="I1043" t="s">
        <v>102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54</v>
      </c>
      <c r="E1044" t="s">
        <v>7</v>
      </c>
      <c r="F1044">
        <v>110</v>
      </c>
      <c r="G1044">
        <v>330.01</v>
      </c>
      <c r="H1044">
        <v>0.01</v>
      </c>
      <c r="I1044" t="s">
        <v>102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54</v>
      </c>
      <c r="E1045" t="s">
        <v>7</v>
      </c>
      <c r="F1045">
        <v>110</v>
      </c>
      <c r="G1045">
        <v>330.01</v>
      </c>
      <c r="H1045">
        <v>0.1</v>
      </c>
      <c r="I1045" t="s">
        <v>102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54</v>
      </c>
      <c r="E1046" t="s">
        <v>7</v>
      </c>
      <c r="F1046">
        <v>110</v>
      </c>
      <c r="G1046">
        <v>330.01</v>
      </c>
      <c r="H1046">
        <v>1</v>
      </c>
      <c r="I1046" t="s">
        <v>102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54</v>
      </c>
      <c r="E1047" t="s">
        <v>7</v>
      </c>
      <c r="F1047">
        <v>330</v>
      </c>
      <c r="G1047">
        <v>1100.01</v>
      </c>
      <c r="H1047">
        <v>0.01</v>
      </c>
      <c r="I1047" t="s">
        <v>102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54</v>
      </c>
      <c r="E1048" t="s">
        <v>7</v>
      </c>
      <c r="F1048">
        <v>330</v>
      </c>
      <c r="G1048">
        <v>1100.01</v>
      </c>
      <c r="H1048">
        <v>0.1</v>
      </c>
      <c r="I1048" t="s">
        <v>102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54</v>
      </c>
      <c r="E1049" t="s">
        <v>7</v>
      </c>
      <c r="F1049">
        <v>330</v>
      </c>
      <c r="G1049">
        <v>1100.01</v>
      </c>
      <c r="H1049">
        <v>1</v>
      </c>
      <c r="I1049" t="s">
        <v>102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54</v>
      </c>
      <c r="E1050" t="s">
        <v>7</v>
      </c>
      <c r="F1050">
        <v>330</v>
      </c>
      <c r="G1050">
        <v>1100.01</v>
      </c>
      <c r="H1050">
        <v>10</v>
      </c>
      <c r="I1050" t="s">
        <v>102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54</v>
      </c>
      <c r="E1051" t="s">
        <v>7</v>
      </c>
      <c r="F1051">
        <v>1100</v>
      </c>
      <c r="G1051">
        <v>3300.1</v>
      </c>
      <c r="H1051">
        <v>0.01</v>
      </c>
      <c r="I1051" t="s">
        <v>102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54</v>
      </c>
      <c r="E1052" t="s">
        <v>7</v>
      </c>
      <c r="F1052">
        <v>1100</v>
      </c>
      <c r="G1052">
        <v>3300.1</v>
      </c>
      <c r="H1052">
        <v>0.1</v>
      </c>
      <c r="I1052" t="s">
        <v>102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54</v>
      </c>
      <c r="E1053" t="s">
        <v>7</v>
      </c>
      <c r="F1053">
        <v>1100</v>
      </c>
      <c r="G1053">
        <v>3300.1</v>
      </c>
      <c r="H1053">
        <v>1</v>
      </c>
      <c r="I1053" t="s">
        <v>102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54</v>
      </c>
      <c r="E1054" t="s">
        <v>7</v>
      </c>
      <c r="F1054">
        <v>1100</v>
      </c>
      <c r="G1054">
        <v>3300.1</v>
      </c>
      <c r="H1054">
        <v>10</v>
      </c>
      <c r="I1054" t="s">
        <v>102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54</v>
      </c>
      <c r="E1055" t="s">
        <v>7</v>
      </c>
      <c r="F1055">
        <v>3300</v>
      </c>
      <c r="G1055">
        <v>11001</v>
      </c>
      <c r="H1055">
        <v>0.1</v>
      </c>
      <c r="I1055" t="s">
        <v>102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54</v>
      </c>
      <c r="E1056" t="s">
        <v>7</v>
      </c>
      <c r="F1056">
        <v>3300</v>
      </c>
      <c r="G1056">
        <v>11001</v>
      </c>
      <c r="H1056">
        <v>1</v>
      </c>
      <c r="I1056" t="s">
        <v>102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54</v>
      </c>
      <c r="E1057" t="s">
        <v>7</v>
      </c>
      <c r="F1057">
        <v>3300</v>
      </c>
      <c r="G1057">
        <v>11001</v>
      </c>
      <c r="H1057">
        <v>10</v>
      </c>
      <c r="I1057" t="s">
        <v>102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54</v>
      </c>
      <c r="E1058" t="s">
        <v>7</v>
      </c>
      <c r="F1058">
        <v>3300</v>
      </c>
      <c r="G1058">
        <v>11001</v>
      </c>
      <c r="H1058">
        <v>100</v>
      </c>
      <c r="I1058" t="s">
        <v>102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54</v>
      </c>
      <c r="E1059" t="s">
        <v>7</v>
      </c>
      <c r="F1059">
        <v>11000</v>
      </c>
      <c r="G1059">
        <v>33001</v>
      </c>
      <c r="H1059">
        <v>0.1</v>
      </c>
      <c r="I1059" t="s">
        <v>102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54</v>
      </c>
      <c r="E1060" t="s">
        <v>7</v>
      </c>
      <c r="F1060">
        <v>11000</v>
      </c>
      <c r="G1060">
        <v>33001</v>
      </c>
      <c r="H1060">
        <v>1</v>
      </c>
      <c r="I1060" t="s">
        <v>102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54</v>
      </c>
      <c r="E1061" t="s">
        <v>7</v>
      </c>
      <c r="F1061">
        <v>11000</v>
      </c>
      <c r="G1061">
        <v>33001</v>
      </c>
      <c r="H1061">
        <v>10</v>
      </c>
      <c r="I1061" t="s">
        <v>102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54</v>
      </c>
      <c r="E1062" t="s">
        <v>7</v>
      </c>
      <c r="F1062">
        <v>11000</v>
      </c>
      <c r="G1062">
        <v>33001</v>
      </c>
      <c r="H1062">
        <v>100</v>
      </c>
      <c r="I1062" t="s">
        <v>102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54</v>
      </c>
      <c r="E1063" t="s">
        <v>7</v>
      </c>
      <c r="F1063">
        <v>33000</v>
      </c>
      <c r="G1063">
        <v>110010</v>
      </c>
      <c r="H1063">
        <v>1</v>
      </c>
      <c r="I1063" t="s">
        <v>102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54</v>
      </c>
      <c r="E1064" t="s">
        <v>7</v>
      </c>
      <c r="F1064">
        <v>33000</v>
      </c>
      <c r="G1064">
        <v>110010</v>
      </c>
      <c r="H1064">
        <v>10</v>
      </c>
      <c r="I1064" t="s">
        <v>102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54</v>
      </c>
      <c r="E1065" t="s">
        <v>7</v>
      </c>
      <c r="F1065">
        <v>33000</v>
      </c>
      <c r="G1065">
        <v>110010</v>
      </c>
      <c r="H1065">
        <v>100</v>
      </c>
      <c r="I1065" t="s">
        <v>102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54</v>
      </c>
      <c r="E1066" t="s">
        <v>7</v>
      </c>
      <c r="F1066">
        <v>33000</v>
      </c>
      <c r="G1066">
        <v>110010</v>
      </c>
      <c r="H1066">
        <v>1000</v>
      </c>
      <c r="I1066" t="s">
        <v>102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54</v>
      </c>
      <c r="E1067" t="s">
        <v>7</v>
      </c>
      <c r="F1067">
        <v>110000</v>
      </c>
      <c r="G1067">
        <v>330010</v>
      </c>
      <c r="H1067">
        <v>1</v>
      </c>
      <c r="I1067" t="s">
        <v>102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54</v>
      </c>
      <c r="E1068" t="s">
        <v>7</v>
      </c>
      <c r="F1068">
        <v>110000</v>
      </c>
      <c r="G1068">
        <v>330010</v>
      </c>
      <c r="H1068">
        <v>10</v>
      </c>
      <c r="I1068" t="s">
        <v>102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54</v>
      </c>
      <c r="E1069" t="s">
        <v>7</v>
      </c>
      <c r="F1069">
        <v>110000</v>
      </c>
      <c r="G1069">
        <v>330010</v>
      </c>
      <c r="H1069">
        <v>100</v>
      </c>
      <c r="I1069" t="s">
        <v>102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54</v>
      </c>
      <c r="E1070" t="s">
        <v>7</v>
      </c>
      <c r="F1070">
        <v>110000</v>
      </c>
      <c r="G1070">
        <v>330010</v>
      </c>
      <c r="H1070">
        <v>1000</v>
      </c>
      <c r="I1070" t="s">
        <v>102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54</v>
      </c>
      <c r="E1071" t="s">
        <v>7</v>
      </c>
      <c r="F1071">
        <v>330000</v>
      </c>
      <c r="G1071">
        <v>1100010</v>
      </c>
      <c r="H1071">
        <v>10</v>
      </c>
      <c r="I1071" t="s">
        <v>102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54</v>
      </c>
      <c r="E1072" t="s">
        <v>7</v>
      </c>
      <c r="F1072">
        <v>330000</v>
      </c>
      <c r="G1072">
        <v>1100010</v>
      </c>
      <c r="H1072">
        <v>100</v>
      </c>
      <c r="I1072" t="s">
        <v>102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54</v>
      </c>
      <c r="E1073" t="s">
        <v>7</v>
      </c>
      <c r="F1073">
        <v>330000</v>
      </c>
      <c r="G1073">
        <v>1100010</v>
      </c>
      <c r="H1073">
        <v>1000</v>
      </c>
      <c r="I1073" t="s">
        <v>102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54</v>
      </c>
      <c r="E1074" t="s">
        <v>7</v>
      </c>
      <c r="F1074">
        <v>330000</v>
      </c>
      <c r="G1074">
        <v>1100010</v>
      </c>
      <c r="H1074">
        <v>10000</v>
      </c>
      <c r="I1074" t="s">
        <v>102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54</v>
      </c>
      <c r="E1075" t="s">
        <v>7</v>
      </c>
      <c r="F1075">
        <v>1100000</v>
      </c>
      <c r="G1075">
        <v>3301000</v>
      </c>
      <c r="H1075">
        <v>10</v>
      </c>
      <c r="I1075" t="s">
        <v>102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54</v>
      </c>
      <c r="E1076" t="s">
        <v>7</v>
      </c>
      <c r="F1076">
        <v>1100000</v>
      </c>
      <c r="G1076">
        <v>3301000</v>
      </c>
      <c r="H1076">
        <v>100</v>
      </c>
      <c r="I1076" t="s">
        <v>102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54</v>
      </c>
      <c r="E1077" t="s">
        <v>7</v>
      </c>
      <c r="F1077">
        <v>1100000</v>
      </c>
      <c r="G1077">
        <v>3301000</v>
      </c>
      <c r="H1077">
        <v>1000</v>
      </c>
      <c r="I1077" t="s">
        <v>102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54</v>
      </c>
      <c r="E1078" t="s">
        <v>7</v>
      </c>
      <c r="F1078">
        <v>1100000</v>
      </c>
      <c r="G1078">
        <v>3301000</v>
      </c>
      <c r="H1078">
        <v>10000</v>
      </c>
      <c r="I1078" t="s">
        <v>102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54</v>
      </c>
      <c r="E1079" t="s">
        <v>7</v>
      </c>
      <c r="F1079">
        <v>3300000</v>
      </c>
      <c r="G1079">
        <v>11001000</v>
      </c>
      <c r="H1079">
        <v>100</v>
      </c>
      <c r="I1079" t="s">
        <v>102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54</v>
      </c>
      <c r="E1080" t="s">
        <v>7</v>
      </c>
      <c r="F1080">
        <v>3300000</v>
      </c>
      <c r="G1080">
        <v>11001000</v>
      </c>
      <c r="H1080">
        <v>1000</v>
      </c>
      <c r="I1080" t="s">
        <v>102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54</v>
      </c>
      <c r="E1081" t="s">
        <v>7</v>
      </c>
      <c r="F1081">
        <v>3300000</v>
      </c>
      <c r="G1081">
        <v>11001000</v>
      </c>
      <c r="H1081">
        <v>10000</v>
      </c>
      <c r="I1081" t="s">
        <v>102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54</v>
      </c>
      <c r="E1082" t="s">
        <v>7</v>
      </c>
      <c r="F1082">
        <v>3300000</v>
      </c>
      <c r="G1082">
        <v>11001000</v>
      </c>
      <c r="H1082">
        <v>100000</v>
      </c>
      <c r="I1082" t="s">
        <v>102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54</v>
      </c>
      <c r="E1083" t="s">
        <v>7</v>
      </c>
      <c r="F1083">
        <v>11000000</v>
      </c>
      <c r="G1083">
        <v>33001000</v>
      </c>
      <c r="H1083">
        <v>100</v>
      </c>
      <c r="I1083" t="s">
        <v>102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54</v>
      </c>
      <c r="E1084" t="s">
        <v>7</v>
      </c>
      <c r="F1084">
        <v>11000000</v>
      </c>
      <c r="G1084">
        <v>33001000</v>
      </c>
      <c r="H1084">
        <v>1000</v>
      </c>
      <c r="I1084" t="s">
        <v>102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54</v>
      </c>
      <c r="E1085" t="s">
        <v>7</v>
      </c>
      <c r="F1085">
        <v>11000000</v>
      </c>
      <c r="G1085">
        <v>33001000</v>
      </c>
      <c r="H1085">
        <v>10000</v>
      </c>
      <c r="I1085" t="s">
        <v>102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54</v>
      </c>
      <c r="E1086" t="s">
        <v>7</v>
      </c>
      <c r="F1086">
        <v>11000000</v>
      </c>
      <c r="G1086">
        <v>33001000</v>
      </c>
      <c r="H1086">
        <v>100000</v>
      </c>
      <c r="I1086" t="s">
        <v>102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54</v>
      </c>
      <c r="E1087" t="s">
        <v>7</v>
      </c>
      <c r="F1087">
        <v>33000000</v>
      </c>
      <c r="G1087">
        <v>110010000</v>
      </c>
      <c r="H1087">
        <v>1000</v>
      </c>
      <c r="I1087" t="s">
        <v>102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54</v>
      </c>
      <c r="E1088" t="s">
        <v>7</v>
      </c>
      <c r="F1088">
        <v>33000000</v>
      </c>
      <c r="G1088">
        <v>110010000</v>
      </c>
      <c r="H1088">
        <v>10000</v>
      </c>
      <c r="I1088" t="s">
        <v>102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54</v>
      </c>
      <c r="E1089" t="s">
        <v>7</v>
      </c>
      <c r="F1089">
        <v>33000000</v>
      </c>
      <c r="G1089">
        <v>110010000</v>
      </c>
      <c r="H1089">
        <v>100000</v>
      </c>
      <c r="I1089" t="s">
        <v>102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54</v>
      </c>
      <c r="E1090" t="s">
        <v>7</v>
      </c>
      <c r="F1090">
        <v>33000000</v>
      </c>
      <c r="G1090">
        <v>110010000</v>
      </c>
      <c r="H1090">
        <v>1000000</v>
      </c>
      <c r="I1090" t="s">
        <v>102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54</v>
      </c>
      <c r="E1091" t="s">
        <v>7</v>
      </c>
      <c r="F1091">
        <v>110000000</v>
      </c>
      <c r="G1091">
        <v>330010000</v>
      </c>
      <c r="H1091">
        <v>1000</v>
      </c>
      <c r="I1091" t="s">
        <v>102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54</v>
      </c>
      <c r="E1092" t="s">
        <v>7</v>
      </c>
      <c r="F1092">
        <v>110000000</v>
      </c>
      <c r="G1092">
        <v>330010000</v>
      </c>
      <c r="H1092">
        <v>10000</v>
      </c>
      <c r="I1092" t="s">
        <v>102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54</v>
      </c>
      <c r="E1093" t="s">
        <v>7</v>
      </c>
      <c r="F1093">
        <v>110000000</v>
      </c>
      <c r="G1093">
        <v>330010000</v>
      </c>
      <c r="H1093">
        <v>100000</v>
      </c>
      <c r="I1093" t="s">
        <v>102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54</v>
      </c>
      <c r="E1094" t="s">
        <v>7</v>
      </c>
      <c r="F1094">
        <v>110000000</v>
      </c>
      <c r="G1094">
        <v>330010000</v>
      </c>
      <c r="H1094">
        <v>1000000</v>
      </c>
      <c r="I1094" t="s">
        <v>102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54</v>
      </c>
      <c r="E1095" t="s">
        <v>7</v>
      </c>
      <c r="F1095">
        <v>330000000</v>
      </c>
      <c r="G1095">
        <v>1100010000</v>
      </c>
      <c r="H1095">
        <v>10000</v>
      </c>
      <c r="I1095" t="s">
        <v>102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54</v>
      </c>
      <c r="E1096" t="s">
        <v>7</v>
      </c>
      <c r="F1096">
        <v>330000000</v>
      </c>
      <c r="G1096">
        <v>1100010000</v>
      </c>
      <c r="H1096">
        <v>100000</v>
      </c>
      <c r="I1096" t="s">
        <v>102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54</v>
      </c>
      <c r="E1097" t="s">
        <v>7</v>
      </c>
      <c r="F1097">
        <v>330000000</v>
      </c>
      <c r="G1097">
        <v>1100010000</v>
      </c>
      <c r="H1097">
        <v>1000000</v>
      </c>
      <c r="I1097" t="s">
        <v>102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54</v>
      </c>
      <c r="E1098" t="s">
        <v>7</v>
      </c>
      <c r="F1098">
        <v>330000000</v>
      </c>
      <c r="G1098">
        <v>1100010000</v>
      </c>
      <c r="H1098">
        <v>10000000</v>
      </c>
      <c r="I1098" t="s">
        <v>102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54</v>
      </c>
      <c r="E1099" t="s">
        <v>7</v>
      </c>
      <c r="F1099">
        <v>1100000000</v>
      </c>
      <c r="G1099">
        <v>1101000000</v>
      </c>
      <c r="H1099">
        <v>10000</v>
      </c>
      <c r="I1099" t="s">
        <v>102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54</v>
      </c>
      <c r="E1100" t="s">
        <v>7</v>
      </c>
      <c r="F1100">
        <v>1100000000</v>
      </c>
      <c r="G1100">
        <v>1101000000</v>
      </c>
      <c r="H1100">
        <v>100000</v>
      </c>
      <c r="I1100" t="s">
        <v>102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54</v>
      </c>
      <c r="E1101" t="s">
        <v>7</v>
      </c>
      <c r="F1101">
        <v>1100000000</v>
      </c>
      <c r="G1101">
        <v>1101000000</v>
      </c>
      <c r="H1101">
        <v>1000000</v>
      </c>
      <c r="I1101" t="s">
        <v>102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54</v>
      </c>
      <c r="E1102" t="s">
        <v>7</v>
      </c>
      <c r="F1102">
        <v>1100000000</v>
      </c>
      <c r="G1102">
        <v>1101000000</v>
      </c>
      <c r="H1102">
        <v>10000000</v>
      </c>
      <c r="I1102" t="s">
        <v>102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54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54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54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4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54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54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54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54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54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54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54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54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54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54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54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54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54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54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54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54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54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54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54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54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54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54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54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54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54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54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54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54</v>
      </c>
      <c r="E1133" t="s">
        <v>86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165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54</v>
      </c>
      <c r="E1134" t="s">
        <v>86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165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54</v>
      </c>
      <c r="E1135" t="s">
        <v>86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165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54</v>
      </c>
      <c r="E1136" t="s">
        <v>86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165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54</v>
      </c>
      <c r="E1137" t="s">
        <v>86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165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54</v>
      </c>
      <c r="E1138" t="s">
        <v>86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165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54</v>
      </c>
      <c r="E1139" t="s">
        <v>86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165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54</v>
      </c>
      <c r="E1140" t="s">
        <v>86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165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54</v>
      </c>
      <c r="E1141" t="s">
        <v>86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165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54</v>
      </c>
      <c r="E1142" t="s">
        <v>86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165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54</v>
      </c>
      <c r="E1143" t="s">
        <v>85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164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54</v>
      </c>
      <c r="E1144" t="s">
        <v>85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164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54</v>
      </c>
      <c r="E1145" t="s">
        <v>85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164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54</v>
      </c>
      <c r="E1146" t="s">
        <v>85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164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54</v>
      </c>
      <c r="E1147" t="s">
        <v>85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164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54</v>
      </c>
      <c r="E1148" t="s">
        <v>85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164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54</v>
      </c>
      <c r="E1149" t="s">
        <v>85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164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54</v>
      </c>
      <c r="E1150" t="s">
        <v>85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164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54</v>
      </c>
      <c r="E1151" t="s">
        <v>85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164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54</v>
      </c>
      <c r="E1152" t="s">
        <v>85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164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54</v>
      </c>
      <c r="E1153" t="s">
        <v>84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163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54</v>
      </c>
      <c r="E1154" t="s">
        <v>84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163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54</v>
      </c>
      <c r="E1155" t="s">
        <v>84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163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54</v>
      </c>
      <c r="E1156" t="s">
        <v>84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163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54</v>
      </c>
      <c r="E1157" t="s">
        <v>84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163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54</v>
      </c>
      <c r="E1158" t="s">
        <v>84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163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54</v>
      </c>
      <c r="E1159" t="s">
        <v>84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163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54</v>
      </c>
      <c r="E1160" t="s">
        <v>84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163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54</v>
      </c>
      <c r="E1161" t="s">
        <v>84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163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54</v>
      </c>
      <c r="E1162" t="s">
        <v>84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163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54</v>
      </c>
      <c r="E1163" t="s">
        <v>88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167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54</v>
      </c>
      <c r="E1164" t="s">
        <v>88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167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54</v>
      </c>
      <c r="E1165" t="s">
        <v>88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167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54</v>
      </c>
      <c r="E1166" t="s">
        <v>88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167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54</v>
      </c>
      <c r="E1167" t="s">
        <v>88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167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54</v>
      </c>
      <c r="E1168" t="s">
        <v>88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167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54</v>
      </c>
      <c r="E1169" t="s">
        <v>88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167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54</v>
      </c>
      <c r="E1170" t="s">
        <v>88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167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54</v>
      </c>
      <c r="E1171" t="s">
        <v>88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167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54</v>
      </c>
      <c r="E1172" t="s">
        <v>88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167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54</v>
      </c>
      <c r="E1173" t="s">
        <v>88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167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54</v>
      </c>
      <c r="E1174" t="s">
        <v>88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167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54</v>
      </c>
      <c r="E1175" t="s">
        <v>88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167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54</v>
      </c>
      <c r="E1176" t="s">
        <v>88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167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54</v>
      </c>
      <c r="E1177" t="s">
        <v>88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167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54</v>
      </c>
      <c r="E1178" t="s">
        <v>87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166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54</v>
      </c>
      <c r="E1179" t="s">
        <v>87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166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54</v>
      </c>
      <c r="E1180" t="s">
        <v>87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166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54</v>
      </c>
      <c r="E1181" t="s">
        <v>87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166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54</v>
      </c>
      <c r="E1182" t="s">
        <v>87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166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54</v>
      </c>
      <c r="E1183" t="s">
        <v>87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166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54</v>
      </c>
      <c r="E1184" t="s">
        <v>87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166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54</v>
      </c>
      <c r="E1185" t="s">
        <v>87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166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54</v>
      </c>
      <c r="E1186" t="s">
        <v>87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166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54</v>
      </c>
      <c r="E1187" t="s">
        <v>87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166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54</v>
      </c>
      <c r="E1188" t="s">
        <v>87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166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54</v>
      </c>
      <c r="E1189" t="s">
        <v>87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166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54</v>
      </c>
      <c r="E1190" t="s">
        <v>87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166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54</v>
      </c>
      <c r="E1191" t="s">
        <v>87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166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54</v>
      </c>
      <c r="E1192" t="s">
        <v>83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162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54</v>
      </c>
      <c r="E1193" t="s">
        <v>83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162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54</v>
      </c>
      <c r="E1194" t="s">
        <v>83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162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54</v>
      </c>
      <c r="E1195" t="s">
        <v>83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162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54</v>
      </c>
      <c r="E1196" t="s">
        <v>83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162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54</v>
      </c>
      <c r="E1197" t="s">
        <v>83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162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54</v>
      </c>
      <c r="E1198" t="s">
        <v>83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162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54</v>
      </c>
      <c r="E1199" t="s">
        <v>83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162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54</v>
      </c>
      <c r="E1200" t="s">
        <v>83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162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54</v>
      </c>
      <c r="E1201" t="s">
        <v>83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162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54</v>
      </c>
      <c r="E1202" t="s">
        <v>83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162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54</v>
      </c>
      <c r="E1203" t="s">
        <v>83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162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54</v>
      </c>
      <c r="E1204" t="s">
        <v>82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111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54</v>
      </c>
      <c r="E1205" t="s">
        <v>82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111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54</v>
      </c>
      <c r="E1206" t="s">
        <v>82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111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54</v>
      </c>
      <c r="E1207" t="s">
        <v>82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111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54</v>
      </c>
      <c r="E1208" t="s">
        <v>82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111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54</v>
      </c>
      <c r="E1209" t="s">
        <v>82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111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54</v>
      </c>
      <c r="E1210" t="s">
        <v>82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111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54</v>
      </c>
      <c r="E1211" t="s">
        <v>82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111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54</v>
      </c>
      <c r="E1212" t="s">
        <v>82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111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54</v>
      </c>
      <c r="E1213" t="s">
        <v>82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111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54</v>
      </c>
      <c r="E1214" t="s">
        <v>82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111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54</v>
      </c>
      <c r="E1215" t="s">
        <v>82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111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54</v>
      </c>
      <c r="E1216" t="s">
        <v>81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161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54</v>
      </c>
      <c r="E1217" t="s">
        <v>81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161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54</v>
      </c>
      <c r="E1218" t="s">
        <v>81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161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54</v>
      </c>
      <c r="E1219" t="s">
        <v>81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161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54</v>
      </c>
      <c r="E1220" t="s">
        <v>81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161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54</v>
      </c>
      <c r="E1221" t="s">
        <v>81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161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54</v>
      </c>
      <c r="E1222" t="s">
        <v>81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161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54</v>
      </c>
      <c r="E1223" t="s">
        <v>81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161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54</v>
      </c>
      <c r="E1224" t="s">
        <v>81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161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54</v>
      </c>
      <c r="E1225" t="s">
        <v>81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161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54</v>
      </c>
      <c r="E1226" t="s">
        <v>81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161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54</v>
      </c>
      <c r="E1227" t="s">
        <v>81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161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54</v>
      </c>
      <c r="E1228" t="s">
        <v>80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160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54</v>
      </c>
      <c r="E1229" t="s">
        <v>80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160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54</v>
      </c>
      <c r="E1230" t="s">
        <v>80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160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54</v>
      </c>
      <c r="E1231" t="s">
        <v>80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160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54</v>
      </c>
      <c r="E1232" t="s">
        <v>80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160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54</v>
      </c>
      <c r="E1233" t="s">
        <v>80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160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54</v>
      </c>
      <c r="E1234" t="s">
        <v>80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160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54</v>
      </c>
      <c r="E1235" t="s">
        <v>80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160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54</v>
      </c>
      <c r="E1236" t="s">
        <v>80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160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54</v>
      </c>
      <c r="E1237" t="s">
        <v>80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160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54</v>
      </c>
      <c r="E1238" t="s">
        <v>80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160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54</v>
      </c>
      <c r="E1239" t="s">
        <v>80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160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54</v>
      </c>
      <c r="E1240" t="s">
        <v>98</v>
      </c>
      <c r="F1240">
        <v>0</v>
      </c>
      <c r="G1240">
        <v>1.0900000000000001E-4</v>
      </c>
      <c r="H1240">
        <v>1E-10</v>
      </c>
      <c r="I1240" t="s">
        <v>152</v>
      </c>
      <c r="J1240" t="s">
        <v>152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54</v>
      </c>
      <c r="E1241" t="s">
        <v>98</v>
      </c>
      <c r="F1241">
        <v>0</v>
      </c>
      <c r="G1241">
        <v>1.0900000000000001E-4</v>
      </c>
      <c r="H1241">
        <v>1.0000000000000001E-9</v>
      </c>
      <c r="I1241" t="s">
        <v>152</v>
      </c>
      <c r="J1241" t="s">
        <v>152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54</v>
      </c>
      <c r="E1242" t="s">
        <v>98</v>
      </c>
      <c r="F1242">
        <v>0</v>
      </c>
      <c r="G1242">
        <v>1.0900000000000001E-4</v>
      </c>
      <c r="H1242">
        <v>1E-8</v>
      </c>
      <c r="I1242" t="s">
        <v>152</v>
      </c>
      <c r="J1242" t="s">
        <v>152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54</v>
      </c>
      <c r="E1243" t="s">
        <v>98</v>
      </c>
      <c r="F1243">
        <v>0</v>
      </c>
      <c r="G1243">
        <v>1.0900000000000001E-4</v>
      </c>
      <c r="H1243">
        <v>9.9999999999999995E-8</v>
      </c>
      <c r="I1243" t="s">
        <v>152</v>
      </c>
      <c r="J1243" t="s">
        <v>152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54</v>
      </c>
      <c r="E1244" t="s">
        <v>98</v>
      </c>
      <c r="F1244">
        <v>0</v>
      </c>
      <c r="G1244">
        <v>1.0900000000000001E-4</v>
      </c>
      <c r="H1244">
        <v>9.9999999999999995E-7</v>
      </c>
      <c r="I1244" t="s">
        <v>152</v>
      </c>
      <c r="J1244" t="s">
        <v>152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54</v>
      </c>
      <c r="E1245" t="s">
        <v>98</v>
      </c>
      <c r="F1245">
        <v>0</v>
      </c>
      <c r="G1245">
        <v>1.0900000000000001E-4</v>
      </c>
      <c r="H1245">
        <v>1.0000000000000001E-5</v>
      </c>
      <c r="I1245" t="s">
        <v>152</v>
      </c>
      <c r="J1245" t="s">
        <v>152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54</v>
      </c>
      <c r="E1246" t="s">
        <v>98</v>
      </c>
      <c r="F1246">
        <v>0</v>
      </c>
      <c r="G1246">
        <v>1.0900000000000001E-4</v>
      </c>
      <c r="H1246">
        <v>1E-4</v>
      </c>
      <c r="I1246" t="s">
        <v>152</v>
      </c>
      <c r="J1246" t="s">
        <v>152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54</v>
      </c>
      <c r="E1247" t="s">
        <v>98</v>
      </c>
      <c r="F1247">
        <v>0</v>
      </c>
      <c r="G1247">
        <v>1.0900000000000001E-4</v>
      </c>
      <c r="H1247">
        <v>1E-3</v>
      </c>
      <c r="I1247" t="s">
        <v>152</v>
      </c>
      <c r="J1247" t="s">
        <v>152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54</v>
      </c>
      <c r="E1248" t="s">
        <v>98</v>
      </c>
      <c r="F1248">
        <v>0</v>
      </c>
      <c r="G1248">
        <v>1.0900000000000001E-4</v>
      </c>
      <c r="H1248">
        <v>0.01</v>
      </c>
      <c r="I1248" t="s">
        <v>152</v>
      </c>
      <c r="J1248" t="s">
        <v>152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54</v>
      </c>
      <c r="E1249" t="s">
        <v>98</v>
      </c>
      <c r="F1249">
        <v>1.0900000000000001E-4</v>
      </c>
      <c r="G1249">
        <v>1.0900999999999999E-6</v>
      </c>
      <c r="H1249">
        <v>1E-8</v>
      </c>
      <c r="I1249" t="s">
        <v>152</v>
      </c>
      <c r="J1249" t="s">
        <v>152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54</v>
      </c>
      <c r="E1250" t="s">
        <v>98</v>
      </c>
      <c r="F1250">
        <v>1.0900000000000001E-4</v>
      </c>
      <c r="G1250">
        <v>1.0900999999999999E-6</v>
      </c>
      <c r="H1250">
        <v>9.9999999999999995E-8</v>
      </c>
      <c r="I1250" t="s">
        <v>152</v>
      </c>
      <c r="J1250" t="s">
        <v>152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54</v>
      </c>
      <c r="E1251" t="s">
        <v>98</v>
      </c>
      <c r="F1251">
        <v>1.0900000000000001E-4</v>
      </c>
      <c r="G1251">
        <v>1.0900999999999999E-6</v>
      </c>
      <c r="H1251">
        <v>9.9999999999999995E-7</v>
      </c>
      <c r="I1251" t="s">
        <v>152</v>
      </c>
      <c r="J1251" t="s">
        <v>152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54</v>
      </c>
      <c r="E1252" t="s">
        <v>98</v>
      </c>
      <c r="F1252">
        <v>1.0900000000000001E-4</v>
      </c>
      <c r="G1252">
        <v>1.0900999999999999E-6</v>
      </c>
      <c r="H1252">
        <v>1.0000000000000001E-5</v>
      </c>
      <c r="I1252" t="s">
        <v>152</v>
      </c>
      <c r="J1252" t="s">
        <v>152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54</v>
      </c>
      <c r="E1253" t="s">
        <v>98</v>
      </c>
      <c r="F1253">
        <v>1.0900000000000001E-4</v>
      </c>
      <c r="G1253">
        <v>1.0900999999999999E-6</v>
      </c>
      <c r="H1253">
        <v>1E-4</v>
      </c>
      <c r="I1253" t="s">
        <v>152</v>
      </c>
      <c r="J1253" t="s">
        <v>152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54</v>
      </c>
      <c r="E1254" t="s">
        <v>98</v>
      </c>
      <c r="F1254">
        <v>1.09E-3</v>
      </c>
      <c r="G1254">
        <v>1.0900099999999999E-2</v>
      </c>
      <c r="H1254">
        <v>9.9999999999999995E-8</v>
      </c>
      <c r="I1254" t="s">
        <v>152</v>
      </c>
      <c r="J1254" t="s">
        <v>152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54</v>
      </c>
      <c r="E1255" t="s">
        <v>98</v>
      </c>
      <c r="F1255">
        <v>1.09E-3</v>
      </c>
      <c r="G1255">
        <v>1.0900099999999999E-2</v>
      </c>
      <c r="H1255">
        <v>9.9999999999999995E-7</v>
      </c>
      <c r="I1255" t="s">
        <v>152</v>
      </c>
      <c r="J1255" t="s">
        <v>152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54</v>
      </c>
      <c r="E1256" t="s">
        <v>98</v>
      </c>
      <c r="F1256">
        <v>1.09E-3</v>
      </c>
      <c r="G1256">
        <v>1.0900099999999999E-2</v>
      </c>
      <c r="H1256">
        <v>1.0000000000000001E-5</v>
      </c>
      <c r="I1256" t="s">
        <v>152</v>
      </c>
      <c r="J1256" t="s">
        <v>152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54</v>
      </c>
      <c r="E1257" t="s">
        <v>98</v>
      </c>
      <c r="F1257">
        <v>1.09E-3</v>
      </c>
      <c r="G1257">
        <v>1.0900099999999999E-2</v>
      </c>
      <c r="H1257">
        <v>1E-4</v>
      </c>
      <c r="I1257" t="s">
        <v>152</v>
      </c>
      <c r="J1257" t="s">
        <v>152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54</v>
      </c>
      <c r="E1258" t="s">
        <v>98</v>
      </c>
      <c r="F1258">
        <v>1.09E-3</v>
      </c>
      <c r="G1258">
        <v>1.0900099999999999E-2</v>
      </c>
      <c r="H1258">
        <v>1E-3</v>
      </c>
      <c r="I1258" t="s">
        <v>152</v>
      </c>
      <c r="J1258" t="s">
        <v>152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54</v>
      </c>
      <c r="E1259" t="s">
        <v>98</v>
      </c>
      <c r="F1259">
        <v>1.09E-2</v>
      </c>
      <c r="G1259">
        <v>0.1090001</v>
      </c>
      <c r="H1259">
        <v>9.9999999999999995E-7</v>
      </c>
      <c r="I1259" t="s">
        <v>152</v>
      </c>
      <c r="J1259" t="s">
        <v>152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54</v>
      </c>
      <c r="E1260" t="s">
        <v>98</v>
      </c>
      <c r="F1260">
        <v>1.09E-2</v>
      </c>
      <c r="G1260">
        <v>0.1090001</v>
      </c>
      <c r="H1260">
        <v>1.0000000000000001E-5</v>
      </c>
      <c r="I1260" t="s">
        <v>152</v>
      </c>
      <c r="J1260" t="s">
        <v>152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54</v>
      </c>
      <c r="E1261" t="s">
        <v>98</v>
      </c>
      <c r="F1261">
        <v>1.09E-2</v>
      </c>
      <c r="G1261">
        <v>0.1090001</v>
      </c>
      <c r="H1261">
        <v>1E-4</v>
      </c>
      <c r="I1261" t="s">
        <v>152</v>
      </c>
      <c r="J1261" t="s">
        <v>152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54</v>
      </c>
      <c r="E1262" t="s">
        <v>98</v>
      </c>
      <c r="F1262">
        <v>1.09E-2</v>
      </c>
      <c r="G1262">
        <v>0.1090001</v>
      </c>
      <c r="H1262">
        <v>1E-3</v>
      </c>
      <c r="I1262" t="s">
        <v>152</v>
      </c>
      <c r="J1262" t="s">
        <v>152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54</v>
      </c>
      <c r="E1263" t="s">
        <v>98</v>
      </c>
      <c r="F1263">
        <v>1.09E-2</v>
      </c>
      <c r="G1263">
        <v>0.1090001</v>
      </c>
      <c r="H1263">
        <v>0.01</v>
      </c>
      <c r="I1263" t="s">
        <v>152</v>
      </c>
      <c r="J1263" t="s">
        <v>152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54</v>
      </c>
      <c r="E1264" t="s">
        <v>98</v>
      </c>
      <c r="F1264">
        <v>0.109</v>
      </c>
      <c r="G1264">
        <v>1.0901000000000001</v>
      </c>
      <c r="H1264">
        <v>1.0000000000000001E-5</v>
      </c>
      <c r="I1264" t="s">
        <v>152</v>
      </c>
      <c r="J1264" t="s">
        <v>152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54</v>
      </c>
      <c r="E1265" t="s">
        <v>98</v>
      </c>
      <c r="F1265">
        <v>0.109</v>
      </c>
      <c r="G1265">
        <v>1.0901000000000001</v>
      </c>
      <c r="H1265">
        <v>1E-4</v>
      </c>
      <c r="I1265" t="s">
        <v>152</v>
      </c>
      <c r="J1265" t="s">
        <v>152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54</v>
      </c>
      <c r="E1266" t="s">
        <v>98</v>
      </c>
      <c r="F1266">
        <v>0.109</v>
      </c>
      <c r="G1266">
        <v>1.0901000000000001</v>
      </c>
      <c r="H1266">
        <v>1E-3</v>
      </c>
      <c r="I1266" t="s">
        <v>152</v>
      </c>
      <c r="J1266" t="s">
        <v>152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54</v>
      </c>
      <c r="E1267" t="s">
        <v>98</v>
      </c>
      <c r="F1267">
        <v>0.109</v>
      </c>
      <c r="G1267">
        <v>1.0901000000000001</v>
      </c>
      <c r="H1267">
        <v>0.01</v>
      </c>
      <c r="I1267" t="s">
        <v>152</v>
      </c>
      <c r="J1267" t="s">
        <v>152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54</v>
      </c>
      <c r="E1268" t="s">
        <v>98</v>
      </c>
      <c r="F1268">
        <v>0.109</v>
      </c>
      <c r="G1268">
        <v>1.0901000000000001</v>
      </c>
      <c r="H1268">
        <v>0.1</v>
      </c>
      <c r="I1268" t="s">
        <v>152</v>
      </c>
      <c r="J1268" t="s">
        <v>152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54</v>
      </c>
      <c r="E1269" t="s">
        <v>98</v>
      </c>
      <c r="F1269">
        <v>1.0900000000000001</v>
      </c>
      <c r="G1269">
        <v>10.9001</v>
      </c>
      <c r="H1269">
        <v>1E-4</v>
      </c>
      <c r="I1269" t="s">
        <v>152</v>
      </c>
      <c r="J1269" t="s">
        <v>152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54</v>
      </c>
      <c r="E1270" t="s">
        <v>98</v>
      </c>
      <c r="F1270">
        <v>1.0900000000000001</v>
      </c>
      <c r="G1270">
        <v>10.9001</v>
      </c>
      <c r="H1270">
        <v>1E-3</v>
      </c>
      <c r="I1270" t="s">
        <v>152</v>
      </c>
      <c r="J1270" t="s">
        <v>152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54</v>
      </c>
      <c r="E1271" t="s">
        <v>98</v>
      </c>
      <c r="F1271">
        <v>1.0900000000000001</v>
      </c>
      <c r="G1271">
        <v>10.9001</v>
      </c>
      <c r="H1271">
        <v>0.01</v>
      </c>
      <c r="I1271" t="s">
        <v>152</v>
      </c>
      <c r="J1271" t="s">
        <v>152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54</v>
      </c>
      <c r="E1272" t="s">
        <v>98</v>
      </c>
      <c r="F1272">
        <v>1.0900000000000001</v>
      </c>
      <c r="G1272">
        <v>10.9001</v>
      </c>
      <c r="H1272">
        <v>0.1</v>
      </c>
      <c r="I1272" t="s">
        <v>152</v>
      </c>
      <c r="J1272" t="s">
        <v>152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54</v>
      </c>
      <c r="E1273" t="s">
        <v>98</v>
      </c>
      <c r="F1273">
        <v>1.0900000000000001</v>
      </c>
      <c r="G1273">
        <v>10.9001</v>
      </c>
      <c r="H1273">
        <v>1</v>
      </c>
      <c r="I1273" t="s">
        <v>152</v>
      </c>
      <c r="J1273" t="s">
        <v>152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54</v>
      </c>
      <c r="E1274" t="s">
        <v>98</v>
      </c>
      <c r="F1274">
        <v>10.9</v>
      </c>
      <c r="G1274">
        <v>109.0001</v>
      </c>
      <c r="H1274">
        <v>1E-3</v>
      </c>
      <c r="I1274" t="s">
        <v>152</v>
      </c>
      <c r="J1274" t="s">
        <v>152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54</v>
      </c>
      <c r="E1275" t="s">
        <v>98</v>
      </c>
      <c r="F1275">
        <v>10.9</v>
      </c>
      <c r="G1275">
        <v>109.0001</v>
      </c>
      <c r="H1275">
        <v>0.01</v>
      </c>
      <c r="I1275" t="s">
        <v>152</v>
      </c>
      <c r="J1275" t="s">
        <v>152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54</v>
      </c>
      <c r="E1276" t="s">
        <v>98</v>
      </c>
      <c r="F1276">
        <v>10.9</v>
      </c>
      <c r="G1276">
        <v>109.0001</v>
      </c>
      <c r="H1276">
        <v>0.1</v>
      </c>
      <c r="I1276" t="s">
        <v>152</v>
      </c>
      <c r="J1276" t="s">
        <v>152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54</v>
      </c>
      <c r="E1277" t="s">
        <v>98</v>
      </c>
      <c r="F1277">
        <v>10.9</v>
      </c>
      <c r="G1277">
        <v>109.0001</v>
      </c>
      <c r="H1277">
        <v>1</v>
      </c>
      <c r="I1277" t="s">
        <v>152</v>
      </c>
      <c r="J1277" t="s">
        <v>152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54</v>
      </c>
      <c r="E1278" t="s">
        <v>98</v>
      </c>
      <c r="F1278">
        <v>10.9</v>
      </c>
      <c r="G1278">
        <v>109.0001</v>
      </c>
      <c r="H1278">
        <v>10</v>
      </c>
      <c r="I1278" t="s">
        <v>152</v>
      </c>
      <c r="J1278" t="s">
        <v>152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54</v>
      </c>
      <c r="E1279" t="s">
        <v>98</v>
      </c>
      <c r="F1279">
        <v>109</v>
      </c>
      <c r="G1279">
        <v>330.00009999999997</v>
      </c>
      <c r="H1279">
        <v>1E-3</v>
      </c>
      <c r="I1279" t="s">
        <v>152</v>
      </c>
      <c r="J1279" t="s">
        <v>152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54</v>
      </c>
      <c r="E1280" t="s">
        <v>98</v>
      </c>
      <c r="F1280">
        <v>109</v>
      </c>
      <c r="G1280">
        <v>330.00009999999997</v>
      </c>
      <c r="H1280">
        <v>0.01</v>
      </c>
      <c r="I1280" t="s">
        <v>152</v>
      </c>
      <c r="J1280" t="s">
        <v>152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54</v>
      </c>
      <c r="E1281" t="s">
        <v>98</v>
      </c>
      <c r="F1281">
        <v>109</v>
      </c>
      <c r="G1281">
        <v>330.00009999999997</v>
      </c>
      <c r="H1281">
        <v>0.1</v>
      </c>
      <c r="I1281" t="s">
        <v>152</v>
      </c>
      <c r="J1281" t="s">
        <v>152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54</v>
      </c>
      <c r="E1282" t="s">
        <v>98</v>
      </c>
      <c r="F1282">
        <v>109</v>
      </c>
      <c r="G1282">
        <v>330.00009999999997</v>
      </c>
      <c r="H1282">
        <v>1</v>
      </c>
      <c r="I1282" t="s">
        <v>152</v>
      </c>
      <c r="J1282" t="s">
        <v>152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54</v>
      </c>
      <c r="E1283" t="s">
        <v>98</v>
      </c>
      <c r="F1283">
        <v>109</v>
      </c>
      <c r="G1283">
        <v>330.00009999999997</v>
      </c>
      <c r="H1283">
        <v>10</v>
      </c>
      <c r="I1283" t="s">
        <v>152</v>
      </c>
      <c r="J1283" t="s">
        <v>152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54</v>
      </c>
      <c r="E1284" t="s">
        <v>98</v>
      </c>
      <c r="F1284">
        <v>330</v>
      </c>
      <c r="G1284">
        <v>3000.0001000000002</v>
      </c>
      <c r="H1284">
        <v>0.01</v>
      </c>
      <c r="I1284" t="s">
        <v>152</v>
      </c>
      <c r="J1284" t="s">
        <v>152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54</v>
      </c>
      <c r="E1285" t="s">
        <v>98</v>
      </c>
      <c r="F1285">
        <v>330</v>
      </c>
      <c r="G1285">
        <v>3000.0001000000002</v>
      </c>
      <c r="H1285">
        <v>0.1</v>
      </c>
      <c r="I1285" t="s">
        <v>152</v>
      </c>
      <c r="J1285" t="s">
        <v>152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54</v>
      </c>
      <c r="E1286" t="s">
        <v>98</v>
      </c>
      <c r="F1286">
        <v>330</v>
      </c>
      <c r="G1286">
        <v>3000.0001000000002</v>
      </c>
      <c r="H1286">
        <v>1</v>
      </c>
      <c r="I1286" t="s">
        <v>152</v>
      </c>
      <c r="J1286" t="s">
        <v>152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54</v>
      </c>
      <c r="E1287" t="s">
        <v>98</v>
      </c>
      <c r="F1287">
        <v>330</v>
      </c>
      <c r="G1287">
        <v>3000.0001000000002</v>
      </c>
      <c r="H1287">
        <v>10</v>
      </c>
      <c r="I1287" t="s">
        <v>152</v>
      </c>
      <c r="J1287" t="s">
        <v>152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54</v>
      </c>
      <c r="E1288" t="s">
        <v>98</v>
      </c>
      <c r="F1288">
        <v>330</v>
      </c>
      <c r="G1288">
        <v>3000.0001000000002</v>
      </c>
      <c r="H1288">
        <v>100</v>
      </c>
      <c r="I1288" t="s">
        <v>152</v>
      </c>
      <c r="J1288" t="s">
        <v>152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54</v>
      </c>
      <c r="E1289" t="s">
        <v>98</v>
      </c>
      <c r="F1289">
        <v>3000</v>
      </c>
      <c r="G1289">
        <v>11000.1</v>
      </c>
      <c r="H1289">
        <v>10</v>
      </c>
      <c r="I1289" t="s">
        <v>152</v>
      </c>
      <c r="J1289" t="s">
        <v>152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54</v>
      </c>
      <c r="E1290" t="s">
        <v>98</v>
      </c>
      <c r="F1290">
        <v>3000</v>
      </c>
      <c r="G1290">
        <v>11000.1</v>
      </c>
      <c r="H1290">
        <v>100</v>
      </c>
      <c r="I1290" t="s">
        <v>152</v>
      </c>
      <c r="J1290" t="s">
        <v>152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54</v>
      </c>
      <c r="E1291" t="s">
        <v>98</v>
      </c>
      <c r="F1291">
        <v>3000</v>
      </c>
      <c r="G1291">
        <v>11000.1</v>
      </c>
      <c r="H1291">
        <v>1000</v>
      </c>
      <c r="I1291" t="s">
        <v>152</v>
      </c>
      <c r="J1291" t="s">
        <v>152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54</v>
      </c>
      <c r="E1292" t="s">
        <v>98</v>
      </c>
      <c r="F1292">
        <v>3000</v>
      </c>
      <c r="G1292">
        <v>11000.1</v>
      </c>
      <c r="H1292">
        <v>10000</v>
      </c>
      <c r="I1292" t="s">
        <v>152</v>
      </c>
      <c r="J1292" t="s">
        <v>152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54</v>
      </c>
      <c r="E1293" t="s">
        <v>98</v>
      </c>
      <c r="F1293">
        <v>3000</v>
      </c>
      <c r="G1293">
        <v>11000.1</v>
      </c>
      <c r="H1293">
        <v>100000</v>
      </c>
      <c r="I1293" t="s">
        <v>152</v>
      </c>
      <c r="J1293" t="s">
        <v>152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54</v>
      </c>
      <c r="E1294" t="s">
        <v>98</v>
      </c>
      <c r="F1294">
        <v>11000</v>
      </c>
      <c r="G1294">
        <v>24500</v>
      </c>
      <c r="H1294">
        <v>10</v>
      </c>
      <c r="I1294" t="s">
        <v>152</v>
      </c>
      <c r="J1294" t="s">
        <v>152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54</v>
      </c>
      <c r="E1295" t="s">
        <v>98</v>
      </c>
      <c r="F1295">
        <v>11000</v>
      </c>
      <c r="G1295">
        <v>24500</v>
      </c>
      <c r="H1295">
        <v>100</v>
      </c>
      <c r="I1295" t="s">
        <v>152</v>
      </c>
      <c r="J1295" t="s">
        <v>152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54</v>
      </c>
      <c r="E1296" t="s">
        <v>98</v>
      </c>
      <c r="F1296">
        <v>11000</v>
      </c>
      <c r="G1296">
        <v>24500</v>
      </c>
      <c r="H1296">
        <v>1000</v>
      </c>
      <c r="I1296" t="s">
        <v>152</v>
      </c>
      <c r="J1296" t="s">
        <v>152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54</v>
      </c>
      <c r="E1297" t="s">
        <v>98</v>
      </c>
      <c r="F1297">
        <v>11000</v>
      </c>
      <c r="G1297">
        <v>24500</v>
      </c>
      <c r="H1297">
        <v>10000</v>
      </c>
      <c r="I1297" t="s">
        <v>152</v>
      </c>
      <c r="J1297" t="s">
        <v>152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54</v>
      </c>
      <c r="E1298" t="s">
        <v>98</v>
      </c>
      <c r="F1298">
        <v>11000</v>
      </c>
      <c r="G1298">
        <v>24500</v>
      </c>
      <c r="H1298">
        <v>100000</v>
      </c>
      <c r="I1298" t="s">
        <v>152</v>
      </c>
      <c r="J1298" t="s">
        <v>152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54</v>
      </c>
      <c r="E1299" t="s">
        <v>98</v>
      </c>
      <c r="F1299">
        <v>24500</v>
      </c>
      <c r="G1299">
        <v>24500</v>
      </c>
      <c r="H1299">
        <v>10</v>
      </c>
      <c r="I1299" t="s">
        <v>100</v>
      </c>
      <c r="J1299" t="s">
        <v>100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54</v>
      </c>
      <c r="E1300" t="s">
        <v>98</v>
      </c>
      <c r="F1300">
        <v>24500</v>
      </c>
      <c r="G1300">
        <v>24500</v>
      </c>
      <c r="H1300">
        <v>100</v>
      </c>
      <c r="I1300" t="s">
        <v>100</v>
      </c>
      <c r="J1300" t="s">
        <v>100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54</v>
      </c>
      <c r="E1301" t="s">
        <v>98</v>
      </c>
      <c r="F1301">
        <v>24500</v>
      </c>
      <c r="G1301">
        <v>24500</v>
      </c>
      <c r="H1301">
        <v>1000</v>
      </c>
      <c r="I1301" t="s">
        <v>100</v>
      </c>
      <c r="J1301" t="s">
        <v>100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54</v>
      </c>
      <c r="E1302" t="s">
        <v>98</v>
      </c>
      <c r="F1302">
        <v>24500</v>
      </c>
      <c r="G1302">
        <v>24500</v>
      </c>
      <c r="H1302">
        <v>10000</v>
      </c>
      <c r="I1302" t="s">
        <v>100</v>
      </c>
      <c r="J1302" t="s">
        <v>100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54</v>
      </c>
      <c r="E1303" t="s">
        <v>98</v>
      </c>
      <c r="F1303">
        <v>24500</v>
      </c>
      <c r="G1303">
        <v>24500</v>
      </c>
      <c r="H1303">
        <v>100000</v>
      </c>
      <c r="I1303" t="s">
        <v>100</v>
      </c>
      <c r="J1303" t="s">
        <v>100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54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54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54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54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54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54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54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54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54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54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54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54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54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54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54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54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54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54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54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54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54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54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54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54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54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54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54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54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54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54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54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54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54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54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54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54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54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54</v>
      </c>
      <c r="E1341" t="s">
        <v>60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159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54</v>
      </c>
      <c r="E1342" t="s">
        <v>60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159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54</v>
      </c>
      <c r="E1343" t="s">
        <v>60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159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54</v>
      </c>
      <c r="E1344" t="s">
        <v>60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159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54</v>
      </c>
      <c r="E1345" t="s">
        <v>60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159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54</v>
      </c>
      <c r="E1346" t="s">
        <v>60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159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54</v>
      </c>
      <c r="E1347" t="s">
        <v>60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159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54</v>
      </c>
      <c r="E1348" t="s">
        <v>60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159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54</v>
      </c>
      <c r="E1349" t="s">
        <v>60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159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54</v>
      </c>
      <c r="E1350" t="s">
        <v>60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159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54</v>
      </c>
      <c r="E1351" t="s">
        <v>60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159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54</v>
      </c>
      <c r="E1352" t="s">
        <v>60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159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54</v>
      </c>
      <c r="E1353" t="s">
        <v>60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159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54</v>
      </c>
      <c r="E1354" t="s">
        <v>60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159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54</v>
      </c>
      <c r="E1355" t="s">
        <v>60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159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54</v>
      </c>
      <c r="E1356" t="s">
        <v>60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159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54</v>
      </c>
      <c r="E1357" t="s">
        <v>60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159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54</v>
      </c>
      <c r="E1358" t="s">
        <v>60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159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54</v>
      </c>
      <c r="E1359" t="s">
        <v>60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159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54</v>
      </c>
      <c r="E1360" t="s">
        <v>60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159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54</v>
      </c>
      <c r="E1361" t="s">
        <v>60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159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54</v>
      </c>
      <c r="E1362" t="s">
        <v>59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158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54</v>
      </c>
      <c r="E1363" t="s">
        <v>59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158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54</v>
      </c>
      <c r="E1364" t="s">
        <v>59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158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54</v>
      </c>
      <c r="E1365" t="s">
        <v>59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158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54</v>
      </c>
      <c r="E1366" t="s">
        <v>59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158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54</v>
      </c>
      <c r="E1367" t="s">
        <v>59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158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54</v>
      </c>
      <c r="E1368" t="s">
        <v>59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158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54</v>
      </c>
      <c r="E1369" t="s">
        <v>59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158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54</v>
      </c>
      <c r="E1370" t="s">
        <v>59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158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54</v>
      </c>
      <c r="E1371" t="s">
        <v>59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158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54</v>
      </c>
      <c r="E1372" t="s">
        <v>59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158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54</v>
      </c>
      <c r="E1373" t="s">
        <v>59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158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54</v>
      </c>
      <c r="E1374" t="s">
        <v>59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158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54</v>
      </c>
      <c r="E1375" t="s">
        <v>59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158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54</v>
      </c>
      <c r="E1376" t="s">
        <v>59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158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54</v>
      </c>
      <c r="E1377" t="s">
        <v>59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158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54</v>
      </c>
      <c r="E1378" t="s">
        <v>59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158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54</v>
      </c>
      <c r="E1379" t="s">
        <v>59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158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54</v>
      </c>
      <c r="E1380" t="s">
        <v>59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158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54</v>
      </c>
      <c r="E1381" t="s">
        <v>59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158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54</v>
      </c>
      <c r="E1382" t="s">
        <v>59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158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54</v>
      </c>
      <c r="E1383" t="s">
        <v>59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158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54</v>
      </c>
      <c r="E1384" t="s">
        <v>58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157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54</v>
      </c>
      <c r="E1385" t="s">
        <v>58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157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54</v>
      </c>
      <c r="E1386" t="s">
        <v>58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157</v>
      </c>
      <c r="U1386" s="98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54</v>
      </c>
      <c r="E1387" t="s">
        <v>58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157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54</v>
      </c>
      <c r="E1388" t="s">
        <v>58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157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54</v>
      </c>
      <c r="E1389" t="s">
        <v>58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157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54</v>
      </c>
      <c r="E1390" t="s">
        <v>58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157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54</v>
      </c>
      <c r="E1391" t="s">
        <v>58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157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54</v>
      </c>
      <c r="E1392" t="s">
        <v>58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157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54</v>
      </c>
      <c r="E1393" t="s">
        <v>58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157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54</v>
      </c>
      <c r="E1394" t="s">
        <v>58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157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54</v>
      </c>
      <c r="E1395" t="s">
        <v>58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157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54</v>
      </c>
      <c r="E1396" t="s">
        <v>58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157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54</v>
      </c>
      <c r="E1397" t="s">
        <v>58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157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54</v>
      </c>
      <c r="E1398" t="s">
        <v>58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157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54</v>
      </c>
      <c r="E1399" t="s">
        <v>58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157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54</v>
      </c>
      <c r="E1400" t="s">
        <v>58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157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54</v>
      </c>
      <c r="E1401" t="s">
        <v>58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157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54</v>
      </c>
      <c r="E1402" t="s">
        <v>58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157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54</v>
      </c>
      <c r="E1403" t="s">
        <v>58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157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54</v>
      </c>
      <c r="E1404" t="s">
        <v>58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157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54</v>
      </c>
      <c r="E1405" t="s">
        <v>58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157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54</v>
      </c>
      <c r="E1406" t="s">
        <v>58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157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54</v>
      </c>
      <c r="E1407" t="s">
        <v>58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157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54</v>
      </c>
      <c r="E1408" t="s">
        <v>58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157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54</v>
      </c>
      <c r="E1409" t="s">
        <v>58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157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54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54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54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54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54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54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54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54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54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54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54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54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54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54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54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54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54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54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54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54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54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54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54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54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54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54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54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54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54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54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54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54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54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54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54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54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54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54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54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54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54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54</v>
      </c>
      <c r="E1451" t="s">
        <v>95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165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54</v>
      </c>
      <c r="E1452" t="s">
        <v>95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165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54</v>
      </c>
      <c r="E1453" t="s">
        <v>95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165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54</v>
      </c>
      <c r="E1454" t="s">
        <v>95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165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54</v>
      </c>
      <c r="E1455" t="s">
        <v>95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165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54</v>
      </c>
      <c r="E1456" t="s">
        <v>95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165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54</v>
      </c>
      <c r="E1457" t="s">
        <v>95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165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54</v>
      </c>
      <c r="E1458" t="s">
        <v>95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165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54</v>
      </c>
      <c r="E1459" t="s">
        <v>95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165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54</v>
      </c>
      <c r="E1460" t="s">
        <v>95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165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54</v>
      </c>
      <c r="E1461" t="s">
        <v>94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164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54</v>
      </c>
      <c r="E1462" t="s">
        <v>94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164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54</v>
      </c>
      <c r="E1463" t="s">
        <v>94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164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54</v>
      </c>
      <c r="E1464" t="s">
        <v>94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164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54</v>
      </c>
      <c r="E1465" t="s">
        <v>94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164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54</v>
      </c>
      <c r="E1466" t="s">
        <v>94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164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54</v>
      </c>
      <c r="E1467" t="s">
        <v>94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164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54</v>
      </c>
      <c r="E1468" t="s">
        <v>94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164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54</v>
      </c>
      <c r="E1469" t="s">
        <v>94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164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54</v>
      </c>
      <c r="E1470" t="s">
        <v>94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164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54</v>
      </c>
      <c r="E1471" t="s">
        <v>93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163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54</v>
      </c>
      <c r="E1472" t="s">
        <v>93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163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54</v>
      </c>
      <c r="E1473" t="s">
        <v>93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163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54</v>
      </c>
      <c r="E1474" t="s">
        <v>93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163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54</v>
      </c>
      <c r="E1475" t="s">
        <v>93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163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54</v>
      </c>
      <c r="E1476" t="s">
        <v>93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163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54</v>
      </c>
      <c r="E1477" t="s">
        <v>93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163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54</v>
      </c>
      <c r="E1478" t="s">
        <v>93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163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54</v>
      </c>
      <c r="E1479" t="s">
        <v>93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163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54</v>
      </c>
      <c r="E1480" t="s">
        <v>93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163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54</v>
      </c>
      <c r="E1481" t="s">
        <v>97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167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54</v>
      </c>
      <c r="E1482" t="s">
        <v>97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167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54</v>
      </c>
      <c r="E1483" t="s">
        <v>97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167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54</v>
      </c>
      <c r="E1484" t="s">
        <v>97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167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54</v>
      </c>
      <c r="E1485" t="s">
        <v>97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167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54</v>
      </c>
      <c r="E1486" t="s">
        <v>97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167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54</v>
      </c>
      <c r="E1487" t="s">
        <v>97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167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54</v>
      </c>
      <c r="E1488" t="s">
        <v>97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167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54</v>
      </c>
      <c r="E1489" t="s">
        <v>97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167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54</v>
      </c>
      <c r="E1490" t="s">
        <v>97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167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54</v>
      </c>
      <c r="E1491" t="s">
        <v>97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167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54</v>
      </c>
      <c r="E1492" t="s">
        <v>97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167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54</v>
      </c>
      <c r="E1493" t="s">
        <v>97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167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54</v>
      </c>
      <c r="E1494" t="s">
        <v>97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167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54</v>
      </c>
      <c r="E1495" t="s">
        <v>97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167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54</v>
      </c>
      <c r="E1496" t="s">
        <v>97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167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54</v>
      </c>
      <c r="E1497" t="s">
        <v>96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166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54</v>
      </c>
      <c r="E1498" t="s">
        <v>96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166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54</v>
      </c>
      <c r="E1499" t="s">
        <v>96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166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54</v>
      </c>
      <c r="E1500" t="s">
        <v>96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166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54</v>
      </c>
      <c r="E1501" t="s">
        <v>96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166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54</v>
      </c>
      <c r="E1502" t="s">
        <v>96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166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54</v>
      </c>
      <c r="E1503" t="s">
        <v>96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166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54</v>
      </c>
      <c r="E1504" t="s">
        <v>96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166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54</v>
      </c>
      <c r="E1505" t="s">
        <v>96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166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54</v>
      </c>
      <c r="E1506" t="s">
        <v>96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166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54</v>
      </c>
      <c r="E1507" t="s">
        <v>96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166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54</v>
      </c>
      <c r="E1508" t="s">
        <v>96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166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54</v>
      </c>
      <c r="E1509" t="s">
        <v>96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166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54</v>
      </c>
      <c r="E1510" t="s">
        <v>96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166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54</v>
      </c>
      <c r="E1511" t="s">
        <v>92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162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54</v>
      </c>
      <c r="E1512" t="s">
        <v>92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162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54</v>
      </c>
      <c r="E1513" t="s">
        <v>92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162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54</v>
      </c>
      <c r="E1514" t="s">
        <v>92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162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54</v>
      </c>
      <c r="E1515" t="s">
        <v>92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162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54</v>
      </c>
      <c r="E1516" t="s">
        <v>92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162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54</v>
      </c>
      <c r="E1517" t="s">
        <v>92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162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54</v>
      </c>
      <c r="E1518" t="s">
        <v>92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162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54</v>
      </c>
      <c r="E1519" t="s">
        <v>92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162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54</v>
      </c>
      <c r="E1520" t="s">
        <v>92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162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54</v>
      </c>
      <c r="E1521" t="s">
        <v>92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162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54</v>
      </c>
      <c r="E1522" t="s">
        <v>92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162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54</v>
      </c>
      <c r="E1523" t="s">
        <v>89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111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54</v>
      </c>
      <c r="E1524" t="s">
        <v>89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111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54</v>
      </c>
      <c r="E1525" t="s">
        <v>89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111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54</v>
      </c>
      <c r="E1526" t="s">
        <v>89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111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54</v>
      </c>
      <c r="E1527" t="s">
        <v>89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111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54</v>
      </c>
      <c r="E1528" t="s">
        <v>89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111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54</v>
      </c>
      <c r="E1529" t="s">
        <v>89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111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54</v>
      </c>
      <c r="E1530" t="s">
        <v>89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111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54</v>
      </c>
      <c r="E1531" t="s">
        <v>89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111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54</v>
      </c>
      <c r="E1532" t="s">
        <v>89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111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54</v>
      </c>
      <c r="E1533" t="s">
        <v>89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111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54</v>
      </c>
      <c r="E1534" t="s">
        <v>89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111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54</v>
      </c>
      <c r="E1535" t="s">
        <v>90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161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54</v>
      </c>
      <c r="E1536" t="s">
        <v>90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161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54</v>
      </c>
      <c r="E1537" t="s">
        <v>90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161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54</v>
      </c>
      <c r="E1538" t="s">
        <v>90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161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54</v>
      </c>
      <c r="E1539" t="s">
        <v>90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161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54</v>
      </c>
      <c r="E1540" t="s">
        <v>90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161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54</v>
      </c>
      <c r="E1541" t="s">
        <v>90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161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54</v>
      </c>
      <c r="E1542" t="s">
        <v>90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161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54</v>
      </c>
      <c r="E1543" t="s">
        <v>90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161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54</v>
      </c>
      <c r="E1544" t="s">
        <v>90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161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54</v>
      </c>
      <c r="E1545" t="s">
        <v>90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161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54</v>
      </c>
      <c r="E1546" t="s">
        <v>90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161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54</v>
      </c>
      <c r="E1547" t="s">
        <v>91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160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54</v>
      </c>
      <c r="E1548" t="s">
        <v>91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160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54</v>
      </c>
      <c r="E1549" t="s">
        <v>91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160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54</v>
      </c>
      <c r="E1550" t="s">
        <v>91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160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54</v>
      </c>
      <c r="E1551" t="s">
        <v>91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160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54</v>
      </c>
      <c r="E1552" t="s">
        <v>91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160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54</v>
      </c>
      <c r="E1553" t="s">
        <v>91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160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54</v>
      </c>
      <c r="E1554" t="s">
        <v>91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160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54</v>
      </c>
      <c r="E1555" t="s">
        <v>91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160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54</v>
      </c>
      <c r="E1556" t="s">
        <v>91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160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54</v>
      </c>
      <c r="E1557" t="s">
        <v>91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160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54</v>
      </c>
      <c r="E1558" t="s">
        <v>91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160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54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140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54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140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54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140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54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140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54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140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54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140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54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140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54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140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54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140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54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140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54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140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54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140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54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140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54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140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54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140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54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140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54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140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54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140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54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140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54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140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54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140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54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140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54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140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54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140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54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140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54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140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54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140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54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140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54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140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54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140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54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140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54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140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54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140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54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140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54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140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54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140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54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140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54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140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54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140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54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140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54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140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54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140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54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140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54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140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54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140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54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140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54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140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54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140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54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140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54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140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54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140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54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140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54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140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54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140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54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140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54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140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54</v>
      </c>
      <c r="E1615" t="s">
        <v>14</v>
      </c>
      <c r="F1615">
        <v>3.3E-3</v>
      </c>
      <c r="G1615">
        <v>1.1001E-2</v>
      </c>
      <c r="H1615">
        <v>1E-4</v>
      </c>
      <c r="I1615" t="s">
        <v>140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54</v>
      </c>
      <c r="E1616" t="s">
        <v>14</v>
      </c>
      <c r="F1616">
        <v>3.3E-3</v>
      </c>
      <c r="G1616">
        <v>1.1001E-2</v>
      </c>
      <c r="H1616">
        <v>1E-3</v>
      </c>
      <c r="I1616" t="s">
        <v>140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54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140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54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140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54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140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54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140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54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140</v>
      </c>
      <c r="J1621" t="s">
        <v>64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54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140</v>
      </c>
      <c r="J1622" t="s">
        <v>64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54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140</v>
      </c>
      <c r="J1623" t="s">
        <v>64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54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140</v>
      </c>
      <c r="J1624" t="s">
        <v>64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54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140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54</v>
      </c>
      <c r="E1626" t="s">
        <v>14</v>
      </c>
      <c r="F1626">
        <v>0.11</v>
      </c>
      <c r="G1626">
        <v>0.1101</v>
      </c>
      <c r="H1626">
        <v>1E-4</v>
      </c>
      <c r="I1626" t="s">
        <v>140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54</v>
      </c>
      <c r="E1627" t="s">
        <v>14</v>
      </c>
      <c r="F1627">
        <v>0.11</v>
      </c>
      <c r="G1627">
        <v>0.1101</v>
      </c>
      <c r="H1627">
        <v>1E-3</v>
      </c>
      <c r="I1627" t="s">
        <v>140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54</v>
      </c>
      <c r="E1628" t="s">
        <v>14</v>
      </c>
      <c r="F1628">
        <v>0.11</v>
      </c>
      <c r="G1628">
        <v>0.1101</v>
      </c>
      <c r="H1628">
        <v>0.01</v>
      </c>
      <c r="I1628" t="s">
        <v>140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54</v>
      </c>
      <c r="E1629" t="s">
        <v>99</v>
      </c>
      <c r="F1629">
        <v>0</v>
      </c>
      <c r="G1629">
        <v>1.0900099999999999E-5</v>
      </c>
      <c r="H1629">
        <v>1E-10</v>
      </c>
      <c r="I1629" t="s">
        <v>100</v>
      </c>
      <c r="J1629" t="s">
        <v>100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54</v>
      </c>
      <c r="E1630" t="s">
        <v>99</v>
      </c>
      <c r="F1630">
        <v>0</v>
      </c>
      <c r="G1630">
        <v>1.0900099999999999E-5</v>
      </c>
      <c r="H1630">
        <v>1.0000000000000001E-9</v>
      </c>
      <c r="I1630" t="s">
        <v>100</v>
      </c>
      <c r="J1630" t="s">
        <v>100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54</v>
      </c>
      <c r="E1631" t="s">
        <v>99</v>
      </c>
      <c r="F1631">
        <v>0</v>
      </c>
      <c r="G1631">
        <v>1.0900099999999999E-5</v>
      </c>
      <c r="H1631">
        <v>1E-8</v>
      </c>
      <c r="I1631" t="s">
        <v>100</v>
      </c>
      <c r="J1631" t="s">
        <v>100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54</v>
      </c>
      <c r="E1632" t="s">
        <v>99</v>
      </c>
      <c r="F1632">
        <v>0</v>
      </c>
      <c r="G1632">
        <v>1.0900099999999999E-5</v>
      </c>
      <c r="H1632">
        <v>9.9999999999999995E-8</v>
      </c>
      <c r="I1632" t="s">
        <v>100</v>
      </c>
      <c r="J1632" t="s">
        <v>100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54</v>
      </c>
      <c r="E1633" t="s">
        <v>99</v>
      </c>
      <c r="F1633">
        <v>0</v>
      </c>
      <c r="G1633">
        <v>1.0900099999999999E-5</v>
      </c>
      <c r="H1633">
        <v>9.9999999999999995E-7</v>
      </c>
      <c r="I1633" t="s">
        <v>100</v>
      </c>
      <c r="J1633" t="s">
        <v>100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54</v>
      </c>
      <c r="E1634" t="s">
        <v>99</v>
      </c>
      <c r="F1634">
        <v>1.0900000000000001E-5</v>
      </c>
      <c r="G1634">
        <v>1.0900000000000001E-4</v>
      </c>
      <c r="H1634">
        <v>1.0000000000000001E-9</v>
      </c>
      <c r="I1634" t="s">
        <v>100</v>
      </c>
      <c r="J1634" t="s">
        <v>100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54</v>
      </c>
      <c r="E1635" t="s">
        <v>99</v>
      </c>
      <c r="F1635">
        <v>1.0900000000000001E-5</v>
      </c>
      <c r="G1635">
        <v>1.0900000000000001E-4</v>
      </c>
      <c r="H1635">
        <v>1E-8</v>
      </c>
      <c r="I1635" t="s">
        <v>100</v>
      </c>
      <c r="J1635" t="s">
        <v>100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54</v>
      </c>
      <c r="E1636" t="s">
        <v>99</v>
      </c>
      <c r="F1636">
        <v>1.0900000000000001E-5</v>
      </c>
      <c r="G1636">
        <v>1.0900000000000001E-4</v>
      </c>
      <c r="H1636">
        <v>9.9999999999999995E-8</v>
      </c>
      <c r="I1636" t="s">
        <v>100</v>
      </c>
      <c r="J1636" t="s">
        <v>100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54</v>
      </c>
      <c r="E1637" t="s">
        <v>99</v>
      </c>
      <c r="F1637">
        <v>1.0900000000000001E-5</v>
      </c>
      <c r="G1637">
        <v>1.0900000000000001E-4</v>
      </c>
      <c r="H1637">
        <v>9.9999999999999995E-7</v>
      </c>
      <c r="I1637" t="s">
        <v>100</v>
      </c>
      <c r="J1637" t="s">
        <v>100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54</v>
      </c>
      <c r="E1638" t="s">
        <v>99</v>
      </c>
      <c r="F1638">
        <v>1.0900000000000001E-5</v>
      </c>
      <c r="G1638">
        <v>1.0900000000000001E-4</v>
      </c>
      <c r="H1638">
        <v>1.0000000000000001E-5</v>
      </c>
      <c r="I1638" t="s">
        <v>100</v>
      </c>
      <c r="J1638" t="s">
        <v>100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54</v>
      </c>
      <c r="E1639" t="s">
        <v>99</v>
      </c>
      <c r="F1639">
        <v>1.0900000000000001E-4</v>
      </c>
      <c r="G1639">
        <v>1.0901000000000001E-3</v>
      </c>
      <c r="H1639">
        <v>1E-8</v>
      </c>
      <c r="I1639" t="s">
        <v>100</v>
      </c>
      <c r="J1639" t="s">
        <v>100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54</v>
      </c>
      <c r="E1640" t="s">
        <v>99</v>
      </c>
      <c r="F1640">
        <v>1.0900000000000001E-4</v>
      </c>
      <c r="G1640">
        <v>1.0901000000000001E-3</v>
      </c>
      <c r="H1640">
        <v>9.9999999999999995E-8</v>
      </c>
      <c r="I1640" t="s">
        <v>100</v>
      </c>
      <c r="J1640" t="s">
        <v>100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54</v>
      </c>
      <c r="E1641" t="s">
        <v>99</v>
      </c>
      <c r="F1641">
        <v>1.0900000000000001E-4</v>
      </c>
      <c r="G1641">
        <v>1.0901000000000001E-3</v>
      </c>
      <c r="H1641">
        <v>9.9999999999999995E-7</v>
      </c>
      <c r="I1641" t="s">
        <v>100</v>
      </c>
      <c r="J1641" t="s">
        <v>100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54</v>
      </c>
      <c r="E1642" t="s">
        <v>99</v>
      </c>
      <c r="F1642">
        <v>1.0900000000000001E-4</v>
      </c>
      <c r="G1642">
        <v>1.0901000000000001E-3</v>
      </c>
      <c r="H1642">
        <v>1.0000000000000001E-5</v>
      </c>
      <c r="I1642" t="s">
        <v>100</v>
      </c>
      <c r="J1642" t="s">
        <v>100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54</v>
      </c>
      <c r="E1643" t="s">
        <v>99</v>
      </c>
      <c r="F1643">
        <v>1.0900000000000001E-4</v>
      </c>
      <c r="G1643">
        <v>1.0901000000000001E-3</v>
      </c>
      <c r="H1643">
        <v>1E-4</v>
      </c>
      <c r="I1643" t="s">
        <v>100</v>
      </c>
      <c r="J1643" t="s">
        <v>100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54</v>
      </c>
      <c r="E1644" t="s">
        <v>99</v>
      </c>
      <c r="F1644">
        <v>1.09E-3</v>
      </c>
      <c r="G1644">
        <v>1.0900099999999999E-2</v>
      </c>
      <c r="H1644">
        <v>9.9999999999999995E-8</v>
      </c>
      <c r="I1644" t="s">
        <v>100</v>
      </c>
      <c r="J1644" t="s">
        <v>100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54</v>
      </c>
      <c r="E1645" t="s">
        <v>99</v>
      </c>
      <c r="F1645">
        <v>1.09E-3</v>
      </c>
      <c r="G1645">
        <v>1.0900099999999999E-2</v>
      </c>
      <c r="H1645">
        <v>9.9999999999999995E-7</v>
      </c>
      <c r="I1645" t="s">
        <v>100</v>
      </c>
      <c r="J1645" t="s">
        <v>100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54</v>
      </c>
      <c r="E1646" t="s">
        <v>99</v>
      </c>
      <c r="F1646">
        <v>1.09E-3</v>
      </c>
      <c r="G1646">
        <v>1.0900099999999999E-2</v>
      </c>
      <c r="H1646">
        <v>1.0000000000000001E-5</v>
      </c>
      <c r="I1646" t="s">
        <v>100</v>
      </c>
      <c r="J1646" t="s">
        <v>100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54</v>
      </c>
      <c r="E1647" t="s">
        <v>99</v>
      </c>
      <c r="F1647">
        <v>1.09E-3</v>
      </c>
      <c r="G1647">
        <v>1.0900099999999999E-2</v>
      </c>
      <c r="H1647">
        <v>1E-4</v>
      </c>
      <c r="I1647" t="s">
        <v>100</v>
      </c>
      <c r="J1647" t="s">
        <v>100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54</v>
      </c>
      <c r="E1648" t="s">
        <v>99</v>
      </c>
      <c r="F1648">
        <v>1.09E-3</v>
      </c>
      <c r="G1648">
        <v>1.0900099999999999E-2</v>
      </c>
      <c r="H1648">
        <v>1E-3</v>
      </c>
      <c r="I1648" t="s">
        <v>100</v>
      </c>
      <c r="J1648" t="s">
        <v>100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54</v>
      </c>
      <c r="E1649" t="s">
        <v>99</v>
      </c>
      <c r="F1649">
        <v>1.09E-2</v>
      </c>
      <c r="G1649">
        <v>0.1090001</v>
      </c>
      <c r="H1649">
        <v>9.9999999999999995E-7</v>
      </c>
      <c r="I1649" t="s">
        <v>100</v>
      </c>
      <c r="J1649" t="s">
        <v>100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54</v>
      </c>
      <c r="E1650" t="s">
        <v>99</v>
      </c>
      <c r="F1650">
        <v>1.09E-2</v>
      </c>
      <c r="G1650">
        <v>0.1090001</v>
      </c>
      <c r="H1650">
        <v>1.0000000000000001E-5</v>
      </c>
      <c r="I1650" t="s">
        <v>100</v>
      </c>
      <c r="J1650" t="s">
        <v>100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54</v>
      </c>
      <c r="E1651" t="s">
        <v>99</v>
      </c>
      <c r="F1651">
        <v>1.09E-2</v>
      </c>
      <c r="G1651">
        <v>0.1090001</v>
      </c>
      <c r="H1651">
        <v>1E-4</v>
      </c>
      <c r="I1651" t="s">
        <v>100</v>
      </c>
      <c r="J1651" t="s">
        <v>100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54</v>
      </c>
      <c r="E1652" t="s">
        <v>99</v>
      </c>
      <c r="F1652">
        <v>1.09E-2</v>
      </c>
      <c r="G1652">
        <v>0.1090001</v>
      </c>
      <c r="H1652">
        <v>1E-3</v>
      </c>
      <c r="I1652" t="s">
        <v>100</v>
      </c>
      <c r="J1652" t="s">
        <v>100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54</v>
      </c>
      <c r="E1653" t="s">
        <v>99</v>
      </c>
      <c r="F1653">
        <v>1.09E-2</v>
      </c>
      <c r="G1653">
        <v>0.1090001</v>
      </c>
      <c r="H1653">
        <v>0.01</v>
      </c>
      <c r="I1653" t="s">
        <v>100</v>
      </c>
      <c r="J1653" t="s">
        <v>100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54</v>
      </c>
      <c r="E1654" t="s">
        <v>99</v>
      </c>
      <c r="F1654">
        <v>0.109</v>
      </c>
      <c r="G1654">
        <v>1.0901000000000001</v>
      </c>
      <c r="H1654">
        <v>1.0000000000000001E-5</v>
      </c>
      <c r="I1654" t="s">
        <v>100</v>
      </c>
      <c r="J1654" t="s">
        <v>100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54</v>
      </c>
      <c r="E1655" t="s">
        <v>99</v>
      </c>
      <c r="F1655">
        <v>0.109</v>
      </c>
      <c r="G1655">
        <v>1.0901000000000001</v>
      </c>
      <c r="H1655">
        <v>1E-4</v>
      </c>
      <c r="I1655" t="s">
        <v>100</v>
      </c>
      <c r="J1655" t="s">
        <v>100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54</v>
      </c>
      <c r="E1656" t="s">
        <v>99</v>
      </c>
      <c r="F1656">
        <v>0.109</v>
      </c>
      <c r="G1656">
        <v>1.0901000000000001</v>
      </c>
      <c r="H1656">
        <v>1E-3</v>
      </c>
      <c r="I1656" t="s">
        <v>100</v>
      </c>
      <c r="J1656" t="s">
        <v>100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54</v>
      </c>
      <c r="E1657" t="s">
        <v>99</v>
      </c>
      <c r="F1657">
        <v>0.109</v>
      </c>
      <c r="G1657">
        <v>1.0901000000000001</v>
      </c>
      <c r="H1657">
        <v>0.01</v>
      </c>
      <c r="I1657" t="s">
        <v>100</v>
      </c>
      <c r="J1657" t="s">
        <v>100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54</v>
      </c>
      <c r="E1658" t="s">
        <v>99</v>
      </c>
      <c r="F1658">
        <v>0.109</v>
      </c>
      <c r="G1658">
        <v>1.0901000000000001</v>
      </c>
      <c r="H1658">
        <v>0.1</v>
      </c>
      <c r="I1658" t="s">
        <v>100</v>
      </c>
      <c r="J1658" t="s">
        <v>100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54</v>
      </c>
      <c r="E1659" t="s">
        <v>99</v>
      </c>
      <c r="F1659">
        <v>1.0900000000000001</v>
      </c>
      <c r="G1659">
        <v>10.9001</v>
      </c>
      <c r="H1659">
        <v>1E-4</v>
      </c>
      <c r="I1659" t="s">
        <v>100</v>
      </c>
      <c r="J1659" t="s">
        <v>100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54</v>
      </c>
      <c r="E1660" t="s">
        <v>99</v>
      </c>
      <c r="F1660">
        <v>1.0900000000000001</v>
      </c>
      <c r="G1660">
        <v>10.9001</v>
      </c>
      <c r="H1660">
        <v>1E-3</v>
      </c>
      <c r="I1660" t="s">
        <v>100</v>
      </c>
      <c r="J1660" t="s">
        <v>100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54</v>
      </c>
      <c r="E1661" t="s">
        <v>99</v>
      </c>
      <c r="F1661">
        <v>1.0900000000000001</v>
      </c>
      <c r="G1661">
        <v>10.9001</v>
      </c>
      <c r="H1661">
        <v>0.01</v>
      </c>
      <c r="I1661" t="s">
        <v>100</v>
      </c>
      <c r="J1661" t="s">
        <v>100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54</v>
      </c>
      <c r="E1662" t="s">
        <v>99</v>
      </c>
      <c r="F1662">
        <v>1.0900000000000001</v>
      </c>
      <c r="G1662">
        <v>10.9001</v>
      </c>
      <c r="H1662">
        <v>0.1</v>
      </c>
      <c r="I1662" t="s">
        <v>100</v>
      </c>
      <c r="J1662" t="s">
        <v>100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54</v>
      </c>
      <c r="E1663" t="s">
        <v>99</v>
      </c>
      <c r="F1663">
        <v>1.0900000000000001</v>
      </c>
      <c r="G1663">
        <v>10.9001</v>
      </c>
      <c r="H1663">
        <v>1</v>
      </c>
      <c r="I1663" t="s">
        <v>100</v>
      </c>
      <c r="J1663" t="s">
        <v>100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54</v>
      </c>
      <c r="E1664" t="s">
        <v>99</v>
      </c>
      <c r="F1664">
        <v>10.9</v>
      </c>
      <c r="G1664">
        <v>109.0001</v>
      </c>
      <c r="H1664">
        <v>1E-3</v>
      </c>
      <c r="I1664" t="s">
        <v>100</v>
      </c>
      <c r="J1664" t="s">
        <v>100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54</v>
      </c>
      <c r="E1665" t="s">
        <v>99</v>
      </c>
      <c r="F1665">
        <v>10.9</v>
      </c>
      <c r="G1665">
        <v>109.0001</v>
      </c>
      <c r="H1665">
        <v>0.01</v>
      </c>
      <c r="I1665" t="s">
        <v>100</v>
      </c>
      <c r="J1665" t="s">
        <v>100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54</v>
      </c>
      <c r="E1666" t="s">
        <v>99</v>
      </c>
      <c r="F1666">
        <v>10.9</v>
      </c>
      <c r="G1666">
        <v>109.0001</v>
      </c>
      <c r="H1666">
        <v>0.1</v>
      </c>
      <c r="I1666" t="s">
        <v>100</v>
      </c>
      <c r="J1666" t="s">
        <v>100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54</v>
      </c>
      <c r="E1667" t="s">
        <v>99</v>
      </c>
      <c r="F1667">
        <v>10.9</v>
      </c>
      <c r="G1667">
        <v>109.0001</v>
      </c>
      <c r="H1667">
        <v>1</v>
      </c>
      <c r="I1667" t="s">
        <v>100</v>
      </c>
      <c r="J1667" t="s">
        <v>100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54</v>
      </c>
      <c r="E1668" t="s">
        <v>99</v>
      </c>
      <c r="F1668">
        <v>10.9</v>
      </c>
      <c r="G1668">
        <v>109.0001</v>
      </c>
      <c r="H1668">
        <v>10</v>
      </c>
      <c r="I1668" t="s">
        <v>100</v>
      </c>
      <c r="J1668" t="s">
        <v>100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54</v>
      </c>
      <c r="E1669" t="s">
        <v>99</v>
      </c>
      <c r="F1669">
        <v>109</v>
      </c>
      <c r="G1669">
        <v>363.00009999999997</v>
      </c>
      <c r="H1669">
        <v>0.01</v>
      </c>
      <c r="I1669" t="s">
        <v>100</v>
      </c>
      <c r="J1669" t="s">
        <v>100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54</v>
      </c>
      <c r="E1670" t="s">
        <v>99</v>
      </c>
      <c r="F1670">
        <v>109</v>
      </c>
      <c r="G1670">
        <v>363.00009999999997</v>
      </c>
      <c r="H1670">
        <v>0.1</v>
      </c>
      <c r="I1670" t="s">
        <v>100</v>
      </c>
      <c r="J1670" t="s">
        <v>100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54</v>
      </c>
      <c r="E1671" t="s">
        <v>99</v>
      </c>
      <c r="F1671">
        <v>109</v>
      </c>
      <c r="G1671">
        <v>363.00009999999997</v>
      </c>
      <c r="H1671">
        <v>1</v>
      </c>
      <c r="I1671" t="s">
        <v>100</v>
      </c>
      <c r="J1671" t="s">
        <v>100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54</v>
      </c>
      <c r="E1672" t="s">
        <v>99</v>
      </c>
      <c r="F1672">
        <v>109</v>
      </c>
      <c r="G1672">
        <v>363.00009999999997</v>
      </c>
      <c r="H1672">
        <v>10</v>
      </c>
      <c r="I1672" t="s">
        <v>100</v>
      </c>
      <c r="J1672" t="s">
        <v>100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54</v>
      </c>
      <c r="E1673" t="s">
        <v>99</v>
      </c>
      <c r="F1673">
        <v>363</v>
      </c>
      <c r="G1673">
        <v>990.00009999999997</v>
      </c>
      <c r="H1673">
        <v>0.01</v>
      </c>
      <c r="I1673" t="s">
        <v>100</v>
      </c>
      <c r="J1673" t="s">
        <v>100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54</v>
      </c>
      <c r="E1674" t="s">
        <v>99</v>
      </c>
      <c r="F1674">
        <v>363</v>
      </c>
      <c r="G1674">
        <v>990.00009999999997</v>
      </c>
      <c r="H1674">
        <v>0.1</v>
      </c>
      <c r="I1674" t="s">
        <v>100</v>
      </c>
      <c r="J1674" t="s">
        <v>100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54</v>
      </c>
      <c r="E1675" t="s">
        <v>99</v>
      </c>
      <c r="F1675">
        <v>363</v>
      </c>
      <c r="G1675">
        <v>990.00009999999997</v>
      </c>
      <c r="H1675">
        <v>1</v>
      </c>
      <c r="I1675" t="s">
        <v>100</v>
      </c>
      <c r="J1675" t="s">
        <v>100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54</v>
      </c>
      <c r="E1676" t="s">
        <v>99</v>
      </c>
      <c r="F1676">
        <v>363</v>
      </c>
      <c r="G1676">
        <v>990.00009999999997</v>
      </c>
      <c r="H1676">
        <v>10</v>
      </c>
      <c r="I1676" t="s">
        <v>100</v>
      </c>
      <c r="J1676" t="s">
        <v>100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54</v>
      </c>
      <c r="E1677" t="s">
        <v>99</v>
      </c>
      <c r="F1677">
        <v>363</v>
      </c>
      <c r="G1677">
        <v>990.00009999999997</v>
      </c>
      <c r="H1677">
        <v>100</v>
      </c>
      <c r="I1677" t="s">
        <v>100</v>
      </c>
      <c r="J1677" t="s">
        <v>100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54</v>
      </c>
      <c r="E1678" t="s">
        <v>99</v>
      </c>
      <c r="F1678">
        <v>990</v>
      </c>
      <c r="G1678">
        <v>3630.1</v>
      </c>
      <c r="H1678">
        <v>0.1</v>
      </c>
      <c r="I1678" t="s">
        <v>100</v>
      </c>
      <c r="J1678" t="s">
        <v>100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54</v>
      </c>
      <c r="E1679" t="s">
        <v>99</v>
      </c>
      <c r="F1679">
        <v>990</v>
      </c>
      <c r="G1679">
        <v>3630.1</v>
      </c>
      <c r="H1679">
        <v>1</v>
      </c>
      <c r="I1679" t="s">
        <v>100</v>
      </c>
      <c r="J1679" t="s">
        <v>100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54</v>
      </c>
      <c r="E1680" t="s">
        <v>99</v>
      </c>
      <c r="F1680">
        <v>990</v>
      </c>
      <c r="G1680">
        <v>3630.1</v>
      </c>
      <c r="H1680">
        <v>10</v>
      </c>
      <c r="I1680" t="s">
        <v>100</v>
      </c>
      <c r="J1680" t="s">
        <v>100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54</v>
      </c>
      <c r="E1681" t="s">
        <v>99</v>
      </c>
      <c r="F1681">
        <v>990</v>
      </c>
      <c r="G1681">
        <v>3630.1</v>
      </c>
      <c r="H1681">
        <v>100</v>
      </c>
      <c r="I1681" t="s">
        <v>100</v>
      </c>
      <c r="J1681" t="s">
        <v>100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54</v>
      </c>
      <c r="E1682" t="s">
        <v>99</v>
      </c>
      <c r="F1682">
        <v>990</v>
      </c>
      <c r="G1682">
        <v>3630.1</v>
      </c>
      <c r="H1682">
        <v>1000</v>
      </c>
      <c r="I1682" t="s">
        <v>100</v>
      </c>
      <c r="J1682" t="s">
        <v>100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54</v>
      </c>
      <c r="E1683" t="s">
        <v>99</v>
      </c>
      <c r="F1683">
        <v>3630</v>
      </c>
      <c r="G1683">
        <v>11200.1</v>
      </c>
      <c r="H1683">
        <v>0.1</v>
      </c>
      <c r="I1683" t="s">
        <v>100</v>
      </c>
      <c r="J1683" t="s">
        <v>100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54</v>
      </c>
      <c r="E1684" t="s">
        <v>99</v>
      </c>
      <c r="F1684">
        <v>3630</v>
      </c>
      <c r="G1684">
        <v>11200.1</v>
      </c>
      <c r="H1684">
        <v>1</v>
      </c>
      <c r="I1684" t="s">
        <v>100</v>
      </c>
      <c r="J1684" t="s">
        <v>100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54</v>
      </c>
      <c r="E1685" t="s">
        <v>99</v>
      </c>
      <c r="F1685">
        <v>3630</v>
      </c>
      <c r="G1685">
        <v>11200.1</v>
      </c>
      <c r="H1685">
        <v>10</v>
      </c>
      <c r="I1685" t="s">
        <v>100</v>
      </c>
      <c r="J1685" t="s">
        <v>100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54</v>
      </c>
      <c r="E1686" t="s">
        <v>99</v>
      </c>
      <c r="F1686">
        <v>3630</v>
      </c>
      <c r="G1686">
        <v>11200.1</v>
      </c>
      <c r="H1686">
        <v>100</v>
      </c>
      <c r="I1686" t="s">
        <v>100</v>
      </c>
      <c r="J1686" t="s">
        <v>100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54</v>
      </c>
      <c r="E1687" t="s">
        <v>99</v>
      </c>
      <c r="F1687">
        <v>3630</v>
      </c>
      <c r="G1687">
        <v>11200.1</v>
      </c>
      <c r="H1687">
        <v>1000</v>
      </c>
      <c r="I1687" t="s">
        <v>100</v>
      </c>
      <c r="J1687" t="s">
        <v>100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54</v>
      </c>
      <c r="E1688" t="s">
        <v>99</v>
      </c>
      <c r="F1688">
        <v>11200</v>
      </c>
      <c r="G1688">
        <v>20900</v>
      </c>
      <c r="H1688">
        <v>0.1</v>
      </c>
      <c r="I1688" t="s">
        <v>100</v>
      </c>
      <c r="J1688" t="s">
        <v>100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54</v>
      </c>
      <c r="E1689" t="s">
        <v>99</v>
      </c>
      <c r="F1689">
        <v>11200</v>
      </c>
      <c r="G1689">
        <v>20900</v>
      </c>
      <c r="H1689">
        <v>1</v>
      </c>
      <c r="I1689" t="s">
        <v>100</v>
      </c>
      <c r="J1689" t="s">
        <v>100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54</v>
      </c>
      <c r="E1690" t="s">
        <v>99</v>
      </c>
      <c r="F1690">
        <v>11200</v>
      </c>
      <c r="G1690">
        <v>20900</v>
      </c>
      <c r="H1690">
        <v>10</v>
      </c>
      <c r="I1690" t="s">
        <v>100</v>
      </c>
      <c r="J1690" t="s">
        <v>100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54</v>
      </c>
      <c r="E1691" t="s">
        <v>99</v>
      </c>
      <c r="F1691">
        <v>11200</v>
      </c>
      <c r="G1691">
        <v>20900</v>
      </c>
      <c r="H1691">
        <v>100</v>
      </c>
      <c r="I1691" t="s">
        <v>100</v>
      </c>
      <c r="J1691" t="s">
        <v>100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54</v>
      </c>
      <c r="E1692" t="s">
        <v>99</v>
      </c>
      <c r="F1692">
        <v>11200</v>
      </c>
      <c r="G1692">
        <v>20900</v>
      </c>
      <c r="H1692">
        <v>1000</v>
      </c>
      <c r="I1692" t="s">
        <v>100</v>
      </c>
      <c r="J1692" t="s">
        <v>100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54</v>
      </c>
      <c r="E1693" t="s">
        <v>99</v>
      </c>
      <c r="F1693">
        <v>20900</v>
      </c>
      <c r="G1693">
        <v>20901</v>
      </c>
      <c r="H1693">
        <v>0.1</v>
      </c>
      <c r="I1693" t="s">
        <v>100</v>
      </c>
      <c r="J1693" t="s">
        <v>100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54</v>
      </c>
      <c r="E1694" t="s">
        <v>99</v>
      </c>
      <c r="F1694">
        <v>20900</v>
      </c>
      <c r="G1694">
        <v>20901</v>
      </c>
      <c r="H1694">
        <v>1</v>
      </c>
      <c r="I1694" t="s">
        <v>100</v>
      </c>
      <c r="J1694" t="s">
        <v>100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54</v>
      </c>
      <c r="E1695" t="s">
        <v>99</v>
      </c>
      <c r="F1695">
        <v>20900</v>
      </c>
      <c r="G1695">
        <v>20901</v>
      </c>
      <c r="H1695">
        <v>10</v>
      </c>
      <c r="I1695" t="s">
        <v>100</v>
      </c>
      <c r="J1695" t="s">
        <v>100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54</v>
      </c>
      <c r="E1696" t="s">
        <v>99</v>
      </c>
      <c r="F1696">
        <v>20900</v>
      </c>
      <c r="G1696">
        <v>20901</v>
      </c>
      <c r="H1696">
        <v>100</v>
      </c>
      <c r="I1696" t="s">
        <v>100</v>
      </c>
      <c r="J1696" t="s">
        <v>100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54</v>
      </c>
      <c r="E1697" t="s">
        <v>99</v>
      </c>
      <c r="F1697">
        <v>20900</v>
      </c>
      <c r="G1697">
        <v>20901</v>
      </c>
      <c r="H1697">
        <v>1000</v>
      </c>
      <c r="I1697" t="s">
        <v>100</v>
      </c>
      <c r="J1697" t="s">
        <v>100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54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54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54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54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54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54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54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54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54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54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54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54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54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54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54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54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54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54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54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54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54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54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54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54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54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54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54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54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54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54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54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54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54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54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54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54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54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54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54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54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54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54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54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54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54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54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54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54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54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54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54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54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54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54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54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54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54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54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54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54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54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54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54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54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54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54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54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54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54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54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54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54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54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54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54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54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54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54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54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54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54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54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54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54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54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54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54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54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54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54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54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54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54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54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54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54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54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54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54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54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54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54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54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54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54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54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54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54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54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54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54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54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54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54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54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54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54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54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54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54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54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54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54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54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54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54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54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54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54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54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54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54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54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54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54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54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54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54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54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54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54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54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54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54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54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54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54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54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54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54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54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54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54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54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54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54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54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54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54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54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54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54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54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54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54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54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54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54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54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54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54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54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54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54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54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54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54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54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54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54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54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54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54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54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54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54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54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54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54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54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54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54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54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54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54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54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54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54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54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54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54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54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54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54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54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54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54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54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54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54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54</v>
      </c>
      <c r="E1908" t="s">
        <v>63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159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54</v>
      </c>
      <c r="E1909" t="s">
        <v>63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159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54</v>
      </c>
      <c r="E1910" t="s">
        <v>63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159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54</v>
      </c>
      <c r="E1911" t="s">
        <v>63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159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54</v>
      </c>
      <c r="E1912" t="s">
        <v>63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159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54</v>
      </c>
      <c r="E1913" t="s">
        <v>63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159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54</v>
      </c>
      <c r="E1914" t="s">
        <v>63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159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54</v>
      </c>
      <c r="E1915" t="s">
        <v>63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159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54</v>
      </c>
      <c r="E1916" t="s">
        <v>63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159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54</v>
      </c>
      <c r="E1917" t="s">
        <v>63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159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54</v>
      </c>
      <c r="E1918" t="s">
        <v>63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159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54</v>
      </c>
      <c r="E1919" t="s">
        <v>63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159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54</v>
      </c>
      <c r="E1920" t="s">
        <v>63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159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54</v>
      </c>
      <c r="E1921" t="s">
        <v>63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159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54</v>
      </c>
      <c r="E1922" t="s">
        <v>63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159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54</v>
      </c>
      <c r="E1923" t="s">
        <v>63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159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54</v>
      </c>
      <c r="E1924" t="s">
        <v>63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159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54</v>
      </c>
      <c r="E1925" t="s">
        <v>63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159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54</v>
      </c>
      <c r="E1926" t="s">
        <v>63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159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54</v>
      </c>
      <c r="E1927" t="s">
        <v>63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159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54</v>
      </c>
      <c r="E1928" t="s">
        <v>63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159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54</v>
      </c>
      <c r="E1929" t="s">
        <v>63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159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54</v>
      </c>
      <c r="E1930" t="s">
        <v>63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159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54</v>
      </c>
      <c r="E1931" t="s">
        <v>63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159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54</v>
      </c>
      <c r="E1932" t="s">
        <v>63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159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54</v>
      </c>
      <c r="E1933" t="s">
        <v>63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159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54</v>
      </c>
      <c r="E1934" t="s">
        <v>63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159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54</v>
      </c>
      <c r="E1935" t="s">
        <v>63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159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54</v>
      </c>
      <c r="E1936" t="s">
        <v>63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159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54</v>
      </c>
      <c r="E1937" t="s">
        <v>63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159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54</v>
      </c>
      <c r="E1938" t="s">
        <v>63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159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54</v>
      </c>
      <c r="E1939" t="s">
        <v>63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159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54</v>
      </c>
      <c r="E1940" t="s">
        <v>63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159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54</v>
      </c>
      <c r="E1941" t="s">
        <v>63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159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54</v>
      </c>
      <c r="E1942" t="s">
        <v>63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159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54</v>
      </c>
      <c r="E1943" t="s">
        <v>63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159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54</v>
      </c>
      <c r="E1944" t="s">
        <v>63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159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54</v>
      </c>
      <c r="E1945" t="s">
        <v>63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159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54</v>
      </c>
      <c r="E1946" t="s">
        <v>63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159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54</v>
      </c>
      <c r="E1947" t="s">
        <v>63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159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54</v>
      </c>
      <c r="E1948" t="s">
        <v>63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159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54</v>
      </c>
      <c r="E1949" t="s">
        <v>63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159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54</v>
      </c>
      <c r="E1950" t="s">
        <v>63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159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54</v>
      </c>
      <c r="E1951" t="s">
        <v>63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159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54</v>
      </c>
      <c r="E1952" t="s">
        <v>63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159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54</v>
      </c>
      <c r="E1953" t="s">
        <v>63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159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54</v>
      </c>
      <c r="E1954" t="s">
        <v>63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159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54</v>
      </c>
      <c r="E1955" t="s">
        <v>63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159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54</v>
      </c>
      <c r="E1956" t="s">
        <v>63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159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54</v>
      </c>
      <c r="E1957" t="s">
        <v>63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159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54</v>
      </c>
      <c r="E1958" t="s">
        <v>63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159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54</v>
      </c>
      <c r="E1959" t="s">
        <v>63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159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54</v>
      </c>
      <c r="E1960" t="s">
        <v>63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159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54</v>
      </c>
      <c r="E1961" t="s">
        <v>63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159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54</v>
      </c>
      <c r="E1962" t="s">
        <v>63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159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54</v>
      </c>
      <c r="E1963" t="s">
        <v>63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159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54</v>
      </c>
      <c r="E1964" t="s">
        <v>63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159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54</v>
      </c>
      <c r="E1965" t="s">
        <v>63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159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54</v>
      </c>
      <c r="E1966" t="s">
        <v>63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159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54</v>
      </c>
      <c r="E1967" t="s">
        <v>63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159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54</v>
      </c>
      <c r="E1968" t="s">
        <v>63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159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54</v>
      </c>
      <c r="E1969" t="s">
        <v>63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159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54</v>
      </c>
      <c r="E1970" t="s">
        <v>63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159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54</v>
      </c>
      <c r="E1971" t="s">
        <v>63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159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54</v>
      </c>
      <c r="E1972" t="s">
        <v>63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159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54</v>
      </c>
      <c r="E1973" t="s">
        <v>63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159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54</v>
      </c>
      <c r="E1974" t="s">
        <v>63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159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54</v>
      </c>
      <c r="E1975" t="s">
        <v>63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159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54</v>
      </c>
      <c r="E1976" t="s">
        <v>63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159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54</v>
      </c>
      <c r="E1977" t="s">
        <v>62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158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54</v>
      </c>
      <c r="E1978" t="s">
        <v>62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158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54</v>
      </c>
      <c r="E1979" t="s">
        <v>62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158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54</v>
      </c>
      <c r="E1980" t="s">
        <v>62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158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54</v>
      </c>
      <c r="E1981" t="s">
        <v>62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158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54</v>
      </c>
      <c r="E1982" t="s">
        <v>62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158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54</v>
      </c>
      <c r="E1983" t="s">
        <v>62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158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54</v>
      </c>
      <c r="E1984" t="s">
        <v>62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158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54</v>
      </c>
      <c r="E1985" t="s">
        <v>62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158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54</v>
      </c>
      <c r="E1986" t="s">
        <v>62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158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54</v>
      </c>
      <c r="E1987" t="s">
        <v>62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158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54</v>
      </c>
      <c r="E1988" t="s">
        <v>62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158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54</v>
      </c>
      <c r="E1989" t="s">
        <v>62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158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54</v>
      </c>
      <c r="E1990" t="s">
        <v>62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158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54</v>
      </c>
      <c r="E1991" t="s">
        <v>62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158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54</v>
      </c>
      <c r="E1992" t="s">
        <v>62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158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54</v>
      </c>
      <c r="E1993" t="s">
        <v>62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158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54</v>
      </c>
      <c r="E1994" t="s">
        <v>62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158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54</v>
      </c>
      <c r="E1995" t="s">
        <v>62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158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54</v>
      </c>
      <c r="E1996" t="s">
        <v>62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158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54</v>
      </c>
      <c r="E1997" t="s">
        <v>62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158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54</v>
      </c>
      <c r="E1998" t="s">
        <v>62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158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54</v>
      </c>
      <c r="E1999" t="s">
        <v>62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158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54</v>
      </c>
      <c r="E2000" t="s">
        <v>62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158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54</v>
      </c>
      <c r="E2001" t="s">
        <v>62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158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54</v>
      </c>
      <c r="E2002" t="s">
        <v>62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158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54</v>
      </c>
      <c r="E2003" t="s">
        <v>62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158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54</v>
      </c>
      <c r="E2004" t="s">
        <v>62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158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54</v>
      </c>
      <c r="E2005" t="s">
        <v>62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158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54</v>
      </c>
      <c r="E2006" t="s">
        <v>62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158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54</v>
      </c>
      <c r="E2007" t="s">
        <v>62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158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54</v>
      </c>
      <c r="E2008" t="s">
        <v>62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158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54</v>
      </c>
      <c r="E2009" t="s">
        <v>62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158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54</v>
      </c>
      <c r="E2010" t="s">
        <v>62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158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54</v>
      </c>
      <c r="E2011" t="s">
        <v>62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158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54</v>
      </c>
      <c r="E2012" t="s">
        <v>62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158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54</v>
      </c>
      <c r="E2013" t="s">
        <v>62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158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54</v>
      </c>
      <c r="E2014" t="s">
        <v>62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158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54</v>
      </c>
      <c r="E2015" t="s">
        <v>62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158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54</v>
      </c>
      <c r="E2016" t="s">
        <v>62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158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54</v>
      </c>
      <c r="E2017" t="s">
        <v>62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158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54</v>
      </c>
      <c r="E2018" t="s">
        <v>62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158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54</v>
      </c>
      <c r="E2019" t="s">
        <v>62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158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54</v>
      </c>
      <c r="E2020" t="s">
        <v>62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158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54</v>
      </c>
      <c r="E2021" t="s">
        <v>62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158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54</v>
      </c>
      <c r="E2022" t="s">
        <v>62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158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54</v>
      </c>
      <c r="E2023" t="s">
        <v>62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158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54</v>
      </c>
      <c r="E2024" t="s">
        <v>62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158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54</v>
      </c>
      <c r="E2025" t="s">
        <v>62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158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54</v>
      </c>
      <c r="E2026" t="s">
        <v>62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158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54</v>
      </c>
      <c r="E2027" t="s">
        <v>62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158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54</v>
      </c>
      <c r="E2028" t="s">
        <v>62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158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54</v>
      </c>
      <c r="E2029" t="s">
        <v>62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158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54</v>
      </c>
      <c r="E2030" t="s">
        <v>62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158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54</v>
      </c>
      <c r="E2031" t="s">
        <v>62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158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54</v>
      </c>
      <c r="E2032" t="s">
        <v>62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158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54</v>
      </c>
      <c r="E2033" t="s">
        <v>62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158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54</v>
      </c>
      <c r="E2034" t="s">
        <v>62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158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54</v>
      </c>
      <c r="E2035" t="s">
        <v>62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158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54</v>
      </c>
      <c r="E2036" t="s">
        <v>62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158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54</v>
      </c>
      <c r="E2037" t="s">
        <v>62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158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54</v>
      </c>
      <c r="E2038" t="s">
        <v>62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158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54</v>
      </c>
      <c r="E2039" t="s">
        <v>62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158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54</v>
      </c>
      <c r="E2040" t="s">
        <v>62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158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54</v>
      </c>
      <c r="E2041" t="s">
        <v>62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158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54</v>
      </c>
      <c r="E2042" t="s">
        <v>61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157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54</v>
      </c>
      <c r="E2043" t="s">
        <v>61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157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54</v>
      </c>
      <c r="E2044" t="s">
        <v>61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157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54</v>
      </c>
      <c r="E2045" t="s">
        <v>61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157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54</v>
      </c>
      <c r="E2046" t="s">
        <v>61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157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54</v>
      </c>
      <c r="E2047" t="s">
        <v>61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157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54</v>
      </c>
      <c r="E2048" t="s">
        <v>61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157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54</v>
      </c>
      <c r="E2049" t="s">
        <v>61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157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54</v>
      </c>
      <c r="E2050" t="s">
        <v>61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157</v>
      </c>
      <c r="U2050" s="98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54</v>
      </c>
      <c r="E2051" t="s">
        <v>61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157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54</v>
      </c>
      <c r="E2052" t="s">
        <v>61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157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54</v>
      </c>
      <c r="E2053" t="s">
        <v>61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157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54</v>
      </c>
      <c r="E2054" t="s">
        <v>61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157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54</v>
      </c>
      <c r="E2055" t="s">
        <v>61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157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54</v>
      </c>
      <c r="E2056" t="s">
        <v>61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157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54</v>
      </c>
      <c r="E2057" t="s">
        <v>61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157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54</v>
      </c>
      <c r="E2058" t="s">
        <v>61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157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54</v>
      </c>
      <c r="E2059" t="s">
        <v>61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157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54</v>
      </c>
      <c r="E2060" t="s">
        <v>61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157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54</v>
      </c>
      <c r="E2061" t="s">
        <v>61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157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54</v>
      </c>
      <c r="E2062" t="s">
        <v>61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157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54</v>
      </c>
      <c r="E2063" t="s">
        <v>61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157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54</v>
      </c>
      <c r="E2064" t="s">
        <v>61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157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54</v>
      </c>
      <c r="E2065" t="s">
        <v>61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157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54</v>
      </c>
      <c r="E2066" t="s">
        <v>61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157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54</v>
      </c>
      <c r="E2067" t="s">
        <v>61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157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54</v>
      </c>
      <c r="E2068" t="s">
        <v>61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157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54</v>
      </c>
      <c r="E2069" t="s">
        <v>61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157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54</v>
      </c>
      <c r="E2070" t="s">
        <v>61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157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54</v>
      </c>
      <c r="E2071" t="s">
        <v>61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157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54</v>
      </c>
      <c r="E2072" t="s">
        <v>61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157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54</v>
      </c>
      <c r="E2073" t="s">
        <v>61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157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54</v>
      </c>
      <c r="E2074" t="s">
        <v>61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157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54</v>
      </c>
      <c r="E2075" t="s">
        <v>61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157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54</v>
      </c>
      <c r="E2076" t="s">
        <v>61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157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54</v>
      </c>
      <c r="E2077" t="s">
        <v>61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157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54</v>
      </c>
      <c r="E2078" t="s">
        <v>61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157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54</v>
      </c>
      <c r="E2079" t="s">
        <v>61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157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54</v>
      </c>
      <c r="E2080" t="s">
        <v>61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157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54</v>
      </c>
      <c r="E2081" t="s">
        <v>61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157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54</v>
      </c>
      <c r="E2082" t="s">
        <v>61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157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54</v>
      </c>
      <c r="E2083" t="s">
        <v>61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157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54</v>
      </c>
      <c r="E2084" t="s">
        <v>61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157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54</v>
      </c>
      <c r="E2085" t="s">
        <v>61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157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54</v>
      </c>
      <c r="E2086" t="s">
        <v>61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157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54</v>
      </c>
      <c r="E2087" t="s">
        <v>61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157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54</v>
      </c>
      <c r="E2088" t="s">
        <v>61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157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54</v>
      </c>
      <c r="E2089" t="s">
        <v>61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157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54</v>
      </c>
      <c r="E2090" t="s">
        <v>61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157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54</v>
      </c>
      <c r="E2091" t="s">
        <v>61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157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54</v>
      </c>
      <c r="E2092" t="s">
        <v>61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157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54</v>
      </c>
      <c r="E2093" t="s">
        <v>61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157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54</v>
      </c>
      <c r="E2094" t="s">
        <v>61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157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54</v>
      </c>
      <c r="E2095" t="s">
        <v>61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157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54</v>
      </c>
      <c r="E2096" t="s">
        <v>61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157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54</v>
      </c>
      <c r="E2097" t="s">
        <v>61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157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54</v>
      </c>
      <c r="E2098" t="s">
        <v>61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157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54</v>
      </c>
      <c r="E2099" t="s">
        <v>61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157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54</v>
      </c>
      <c r="E2100" t="s">
        <v>61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157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54</v>
      </c>
      <c r="E2101" t="s">
        <v>61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157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54</v>
      </c>
      <c r="E2102" t="s">
        <v>61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157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54</v>
      </c>
      <c r="E2103" t="s">
        <v>61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157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54</v>
      </c>
      <c r="E2104" t="s">
        <v>61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157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54</v>
      </c>
      <c r="E2105" t="s">
        <v>61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157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54</v>
      </c>
      <c r="E2106" t="s">
        <v>61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157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54</v>
      </c>
      <c r="E2107" t="s">
        <v>61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157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54</v>
      </c>
      <c r="E2108" t="s">
        <v>61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157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54</v>
      </c>
      <c r="E2109" t="s">
        <v>61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157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54</v>
      </c>
      <c r="E2110" t="s">
        <v>61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157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54</v>
      </c>
      <c r="E2111" t="s">
        <v>61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157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54</v>
      </c>
      <c r="E2112" t="s">
        <v>61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157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54</v>
      </c>
      <c r="E2113" t="s">
        <v>61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157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54</v>
      </c>
      <c r="E2114" t="s">
        <v>61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157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54</v>
      </c>
      <c r="E2115" t="s">
        <v>61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157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54</v>
      </c>
      <c r="E2116" t="s">
        <v>61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157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54</v>
      </c>
      <c r="E2117" t="s">
        <v>61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157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54</v>
      </c>
      <c r="E2118" t="s">
        <v>61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157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54</v>
      </c>
      <c r="E2119" t="s">
        <v>61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157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54</v>
      </c>
      <c r="E2120" t="s">
        <v>61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157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54</v>
      </c>
      <c r="E2121" t="s">
        <v>61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157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54</v>
      </c>
      <c r="E2122" t="s">
        <v>61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157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54</v>
      </c>
      <c r="E2123" t="s">
        <v>61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157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54</v>
      </c>
      <c r="E2124" t="s">
        <v>61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157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54</v>
      </c>
      <c r="E2125" t="s">
        <v>61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157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54</v>
      </c>
      <c r="E2126" t="s">
        <v>61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157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54</v>
      </c>
      <c r="E2127" t="s">
        <v>61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157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54</v>
      </c>
      <c r="E2128" t="s">
        <v>61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157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54</v>
      </c>
      <c r="E2129" t="s">
        <v>61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157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54</v>
      </c>
      <c r="E2130" t="s">
        <v>61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157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54</v>
      </c>
      <c r="E2131" t="s">
        <v>61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157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54</v>
      </c>
      <c r="E2132" t="s">
        <v>61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157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54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54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54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54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54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54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54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54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54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54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54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54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54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54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54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54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54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54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54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54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54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54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54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54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98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54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54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54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54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54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54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54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54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54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54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54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54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54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54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54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54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54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54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54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54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54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54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54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54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54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54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54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54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54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54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54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54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54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54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54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54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54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54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54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54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54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54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54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54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54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54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54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98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54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54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54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54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54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54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98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54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54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98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54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54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98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54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54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54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54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54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54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54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54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98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54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54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98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54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98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54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54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54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98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54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54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54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54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54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54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54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54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54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54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54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54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54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54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54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54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54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54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54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54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54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54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54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98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54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54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54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54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54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54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54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54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54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54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54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54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54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54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54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54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54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54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54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54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54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54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54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54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54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54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54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54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54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54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54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54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54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54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54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54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54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54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54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54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54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54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54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54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54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54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54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98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54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54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54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54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98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54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54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54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98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54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54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54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54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54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54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98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54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54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54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54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98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54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98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54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54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54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54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54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98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54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98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54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54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54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54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54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54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54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54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54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54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54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54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54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54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54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54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54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54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54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54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54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54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54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98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54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54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54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98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54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54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54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54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54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54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54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54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98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54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54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54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54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98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54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54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54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54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54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98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54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98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54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54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54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54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54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54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54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54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54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54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54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54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54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54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54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54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54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54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54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54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54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54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54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54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54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54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54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54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68</v>
      </c>
      <c r="E2394" t="s">
        <v>79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169</v>
      </c>
      <c r="T2394" t="s">
        <v>165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68</v>
      </c>
      <c r="E2395" t="s">
        <v>79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169</v>
      </c>
      <c r="T2395" t="s">
        <v>165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68</v>
      </c>
      <c r="E2396" t="s">
        <v>79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169</v>
      </c>
      <c r="T2396" t="s">
        <v>165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68</v>
      </c>
      <c r="E2397" t="s">
        <v>79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169</v>
      </c>
      <c r="T2397" t="s">
        <v>165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68</v>
      </c>
      <c r="E2398" t="s">
        <v>79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169</v>
      </c>
      <c r="T2398" t="s">
        <v>165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68</v>
      </c>
      <c r="E2399" t="s">
        <v>79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169</v>
      </c>
      <c r="T2399" t="s">
        <v>165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68</v>
      </c>
      <c r="E2400" t="s">
        <v>79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169</v>
      </c>
      <c r="T2400" t="s">
        <v>165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68</v>
      </c>
      <c r="E2401" t="s">
        <v>79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169</v>
      </c>
      <c r="T2401" t="s">
        <v>165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68</v>
      </c>
      <c r="E2402" t="s">
        <v>78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169</v>
      </c>
      <c r="T2402" t="s">
        <v>164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68</v>
      </c>
      <c r="E2403" t="s">
        <v>78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169</v>
      </c>
      <c r="T2403" t="s">
        <v>164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68</v>
      </c>
      <c r="E2404" t="s">
        <v>78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169</v>
      </c>
      <c r="T2404" t="s">
        <v>164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68</v>
      </c>
      <c r="E2405" t="s">
        <v>78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169</v>
      </c>
      <c r="T2405" t="s">
        <v>164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68</v>
      </c>
      <c r="E2406" t="s">
        <v>78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169</v>
      </c>
      <c r="T2406" t="s">
        <v>164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68</v>
      </c>
      <c r="E2407" t="s">
        <v>78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169</v>
      </c>
      <c r="T2407" t="s">
        <v>164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68</v>
      </c>
      <c r="E2408" t="s">
        <v>78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169</v>
      </c>
      <c r="T2408" t="s">
        <v>164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68</v>
      </c>
      <c r="E2409" t="s">
        <v>78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169</v>
      </c>
      <c r="T2409" t="s">
        <v>164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68</v>
      </c>
      <c r="E2410" t="s">
        <v>77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169</v>
      </c>
      <c r="T2410" t="s">
        <v>163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68</v>
      </c>
      <c r="E2411" t="s">
        <v>77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169</v>
      </c>
      <c r="T2411" t="s">
        <v>163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68</v>
      </c>
      <c r="E2412" t="s">
        <v>77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169</v>
      </c>
      <c r="T2412" t="s">
        <v>163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68</v>
      </c>
      <c r="E2413" t="s">
        <v>77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169</v>
      </c>
      <c r="T2413" t="s">
        <v>163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68</v>
      </c>
      <c r="E2414" t="s">
        <v>77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169</v>
      </c>
      <c r="T2414" t="s">
        <v>163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68</v>
      </c>
      <c r="E2415" t="s">
        <v>77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169</v>
      </c>
      <c r="T2415" t="s">
        <v>163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68</v>
      </c>
      <c r="E2416" t="s">
        <v>77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169</v>
      </c>
      <c r="T2416" t="s">
        <v>163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68</v>
      </c>
      <c r="E2417" t="s">
        <v>77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169</v>
      </c>
      <c r="T2417" t="s">
        <v>163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68</v>
      </c>
      <c r="E2418" t="s">
        <v>76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169</v>
      </c>
      <c r="T2418" t="s">
        <v>162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68</v>
      </c>
      <c r="E2419" t="s">
        <v>76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169</v>
      </c>
      <c r="T2419" t="s">
        <v>162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68</v>
      </c>
      <c r="E2420" t="s">
        <v>76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169</v>
      </c>
      <c r="T2420" t="s">
        <v>162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68</v>
      </c>
      <c r="E2421" t="s">
        <v>76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169</v>
      </c>
      <c r="T2421" t="s">
        <v>162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68</v>
      </c>
      <c r="E2422" t="s">
        <v>76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169</v>
      </c>
      <c r="T2422" t="s">
        <v>162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68</v>
      </c>
      <c r="E2423" t="s">
        <v>76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169</v>
      </c>
      <c r="T2423" t="s">
        <v>162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68</v>
      </c>
      <c r="E2424" t="s">
        <v>76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169</v>
      </c>
      <c r="T2424" t="s">
        <v>162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68</v>
      </c>
      <c r="E2425" t="s">
        <v>76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169</v>
      </c>
      <c r="T2425" t="s">
        <v>162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68</v>
      </c>
      <c r="E2426" t="s">
        <v>76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169</v>
      </c>
      <c r="T2426" t="s">
        <v>162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68</v>
      </c>
      <c r="E2427" t="s">
        <v>76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169</v>
      </c>
      <c r="T2427" t="s">
        <v>162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68</v>
      </c>
      <c r="E2428" t="s">
        <v>76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169</v>
      </c>
      <c r="T2428" t="s">
        <v>162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68</v>
      </c>
      <c r="E2429" t="s">
        <v>76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169</v>
      </c>
      <c r="T2429" t="s">
        <v>162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68</v>
      </c>
      <c r="E2430" t="s">
        <v>75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169</v>
      </c>
      <c r="T2430" t="s">
        <v>111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68</v>
      </c>
      <c r="E2431" t="s">
        <v>75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169</v>
      </c>
      <c r="T2431" t="s">
        <v>111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68</v>
      </c>
      <c r="E2432" t="s">
        <v>75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169</v>
      </c>
      <c r="T2432" t="s">
        <v>111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68</v>
      </c>
      <c r="E2433" t="s">
        <v>75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169</v>
      </c>
      <c r="T2433" t="s">
        <v>111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68</v>
      </c>
      <c r="E2434" t="s">
        <v>75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169</v>
      </c>
      <c r="T2434" t="s">
        <v>111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68</v>
      </c>
      <c r="E2435" t="s">
        <v>75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169</v>
      </c>
      <c r="T2435" t="s">
        <v>111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68</v>
      </c>
      <c r="E2436" t="s">
        <v>75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169</v>
      </c>
      <c r="T2436" t="s">
        <v>111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68</v>
      </c>
      <c r="E2437" t="s">
        <v>75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169</v>
      </c>
      <c r="T2437" t="s">
        <v>111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68</v>
      </c>
      <c r="E2438" t="s">
        <v>75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169</v>
      </c>
      <c r="T2438" t="s">
        <v>111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68</v>
      </c>
      <c r="E2439" t="s">
        <v>75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169</v>
      </c>
      <c r="T2439" t="s">
        <v>111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68</v>
      </c>
      <c r="E2440" t="s">
        <v>75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169</v>
      </c>
      <c r="T2440" t="s">
        <v>111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68</v>
      </c>
      <c r="E2441" t="s">
        <v>75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169</v>
      </c>
      <c r="T2441" t="s">
        <v>111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68</v>
      </c>
      <c r="E2442" t="s">
        <v>74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169</v>
      </c>
      <c r="T2442" t="s">
        <v>161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68</v>
      </c>
      <c r="E2443" t="s">
        <v>74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169</v>
      </c>
      <c r="T2443" t="s">
        <v>161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68</v>
      </c>
      <c r="E2444" t="s">
        <v>74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169</v>
      </c>
      <c r="T2444" t="s">
        <v>161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68</v>
      </c>
      <c r="E2445" t="s">
        <v>74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169</v>
      </c>
      <c r="T2445" t="s">
        <v>161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68</v>
      </c>
      <c r="E2446" t="s">
        <v>74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169</v>
      </c>
      <c r="T2446" t="s">
        <v>161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68</v>
      </c>
      <c r="E2447" t="s">
        <v>74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169</v>
      </c>
      <c r="T2447" t="s">
        <v>161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68</v>
      </c>
      <c r="E2448" t="s">
        <v>74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169</v>
      </c>
      <c r="T2448" t="s">
        <v>161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68</v>
      </c>
      <c r="E2449" t="s">
        <v>74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169</v>
      </c>
      <c r="T2449" t="s">
        <v>161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68</v>
      </c>
      <c r="E2450" t="s">
        <v>74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169</v>
      </c>
      <c r="T2450" t="s">
        <v>161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68</v>
      </c>
      <c r="E2451" t="s">
        <v>74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169</v>
      </c>
      <c r="T2451" t="s">
        <v>161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68</v>
      </c>
      <c r="E2452" t="s">
        <v>74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169</v>
      </c>
      <c r="T2452" t="s">
        <v>161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68</v>
      </c>
      <c r="E2453" t="s">
        <v>74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169</v>
      </c>
      <c r="T2453" t="s">
        <v>161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68</v>
      </c>
      <c r="E2454" t="s">
        <v>74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169</v>
      </c>
      <c r="T2454" t="s">
        <v>161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68</v>
      </c>
      <c r="E2455" t="s">
        <v>74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169</v>
      </c>
      <c r="T2455" t="s">
        <v>161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68</v>
      </c>
      <c r="E2456" t="s">
        <v>74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169</v>
      </c>
      <c r="T2456" t="s">
        <v>161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68</v>
      </c>
      <c r="E2457" t="s">
        <v>74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169</v>
      </c>
      <c r="T2457" t="s">
        <v>161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68</v>
      </c>
      <c r="E2458" t="s">
        <v>73</v>
      </c>
      <c r="F2458">
        <v>250000</v>
      </c>
      <c r="G2458">
        <v>100000000</v>
      </c>
      <c r="H2458">
        <v>10000</v>
      </c>
      <c r="I2458" t="s">
        <v>102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153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68</v>
      </c>
      <c r="E2459" t="s">
        <v>73</v>
      </c>
      <c r="F2459">
        <v>250000</v>
      </c>
      <c r="G2459">
        <v>100000000</v>
      </c>
      <c r="H2459">
        <v>100000</v>
      </c>
      <c r="I2459" t="s">
        <v>102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153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68</v>
      </c>
      <c r="E2460" t="s">
        <v>73</v>
      </c>
      <c r="F2460">
        <v>250000</v>
      </c>
      <c r="G2460">
        <v>100000000</v>
      </c>
      <c r="H2460">
        <v>1000000</v>
      </c>
      <c r="I2460" t="s">
        <v>102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153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68</v>
      </c>
      <c r="E2461" t="s">
        <v>73</v>
      </c>
      <c r="F2461">
        <v>250000</v>
      </c>
      <c r="G2461">
        <v>100000000</v>
      </c>
      <c r="H2461">
        <v>10000000</v>
      </c>
      <c r="I2461" t="s">
        <v>102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153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68</v>
      </c>
      <c r="E2462" t="s">
        <v>73</v>
      </c>
      <c r="F2462">
        <v>100000000</v>
      </c>
      <c r="G2462">
        <v>250000000</v>
      </c>
      <c r="H2462">
        <v>10000</v>
      </c>
      <c r="I2462" t="s">
        <v>102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153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68</v>
      </c>
      <c r="E2463" t="s">
        <v>73</v>
      </c>
      <c r="F2463">
        <v>100000000</v>
      </c>
      <c r="G2463">
        <v>250000000</v>
      </c>
      <c r="H2463">
        <v>100000</v>
      </c>
      <c r="I2463" t="s">
        <v>102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153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68</v>
      </c>
      <c r="E2464" t="s">
        <v>73</v>
      </c>
      <c r="F2464">
        <v>100000000</v>
      </c>
      <c r="G2464">
        <v>250000000</v>
      </c>
      <c r="H2464">
        <v>1000000</v>
      </c>
      <c r="I2464" t="s">
        <v>102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153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68</v>
      </c>
      <c r="E2465" t="s">
        <v>73</v>
      </c>
      <c r="F2465">
        <v>100000000</v>
      </c>
      <c r="G2465">
        <v>250000000</v>
      </c>
      <c r="H2465">
        <v>10000000</v>
      </c>
      <c r="I2465" t="s">
        <v>102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153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68</v>
      </c>
      <c r="E2466" t="s">
        <v>73</v>
      </c>
      <c r="F2466">
        <v>100000000</v>
      </c>
      <c r="G2466">
        <v>250000000</v>
      </c>
      <c r="H2466">
        <v>100000000</v>
      </c>
      <c r="I2466" t="s">
        <v>102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153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68</v>
      </c>
      <c r="E2467" t="s">
        <v>73</v>
      </c>
      <c r="F2467">
        <v>250000000</v>
      </c>
      <c r="G2467">
        <v>500000000</v>
      </c>
      <c r="H2467">
        <v>10000</v>
      </c>
      <c r="I2467" t="s">
        <v>102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153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68</v>
      </c>
      <c r="E2468" t="s">
        <v>73</v>
      </c>
      <c r="F2468">
        <v>250000000</v>
      </c>
      <c r="G2468">
        <v>500000000</v>
      </c>
      <c r="H2468">
        <v>100000</v>
      </c>
      <c r="I2468" t="s">
        <v>102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153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68</v>
      </c>
      <c r="E2469" t="s">
        <v>73</v>
      </c>
      <c r="F2469">
        <v>250000000</v>
      </c>
      <c r="G2469">
        <v>500000000</v>
      </c>
      <c r="H2469">
        <v>1000000</v>
      </c>
      <c r="I2469" t="s">
        <v>102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153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68</v>
      </c>
      <c r="E2470" t="s">
        <v>73</v>
      </c>
      <c r="F2470">
        <v>250000000</v>
      </c>
      <c r="G2470">
        <v>500000000</v>
      </c>
      <c r="H2470">
        <v>10000000</v>
      </c>
      <c r="I2470" t="s">
        <v>102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153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68</v>
      </c>
      <c r="E2471" t="s">
        <v>73</v>
      </c>
      <c r="F2471">
        <v>500000000</v>
      </c>
      <c r="G2471">
        <v>1000000000</v>
      </c>
      <c r="H2471">
        <v>10000</v>
      </c>
      <c r="I2471" t="s">
        <v>102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153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68</v>
      </c>
      <c r="E2472" t="s">
        <v>73</v>
      </c>
      <c r="F2472">
        <v>500000000</v>
      </c>
      <c r="G2472">
        <v>1000000000</v>
      </c>
      <c r="H2472">
        <v>100000</v>
      </c>
      <c r="I2472" t="s">
        <v>102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153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68</v>
      </c>
      <c r="E2473" t="s">
        <v>73</v>
      </c>
      <c r="F2473">
        <v>500000000</v>
      </c>
      <c r="G2473">
        <v>1000000000</v>
      </c>
      <c r="H2473">
        <v>1000000</v>
      </c>
      <c r="I2473" t="s">
        <v>102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153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68</v>
      </c>
      <c r="E2474" t="s">
        <v>73</v>
      </c>
      <c r="F2474">
        <v>500000000</v>
      </c>
      <c r="G2474">
        <v>1000000000</v>
      </c>
      <c r="H2474">
        <v>10000000</v>
      </c>
      <c r="I2474" t="s">
        <v>102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153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68</v>
      </c>
      <c r="E2475" t="s">
        <v>73</v>
      </c>
      <c r="F2475">
        <v>500000000</v>
      </c>
      <c r="G2475">
        <v>1000000000</v>
      </c>
      <c r="H2475">
        <v>100000000</v>
      </c>
      <c r="I2475" t="s">
        <v>102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153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68</v>
      </c>
      <c r="E2476" t="s">
        <v>72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153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68</v>
      </c>
      <c r="E2477" t="s">
        <v>72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153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68</v>
      </c>
      <c r="E2478" t="s">
        <v>72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153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68</v>
      </c>
      <c r="E2479" t="s">
        <v>72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153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68</v>
      </c>
      <c r="E2480" t="s">
        <v>72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153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68</v>
      </c>
      <c r="E2481" t="s">
        <v>72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153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68</v>
      </c>
      <c r="E2482" t="s">
        <v>72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153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68</v>
      </c>
      <c r="E2483" t="s">
        <v>72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153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68</v>
      </c>
      <c r="E2484" t="s">
        <v>72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153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68</v>
      </c>
      <c r="E2485" t="s">
        <v>72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153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68</v>
      </c>
      <c r="E2486" t="s">
        <v>72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153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68</v>
      </c>
      <c r="E2487" t="s">
        <v>72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153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68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68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68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68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68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68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68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68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68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68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68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68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68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68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68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68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68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68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68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68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68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68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68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68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68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68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68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68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68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68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68</v>
      </c>
      <c r="E2518" t="s">
        <v>60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159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68</v>
      </c>
      <c r="E2519" t="s">
        <v>60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159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68</v>
      </c>
      <c r="E2520" t="s">
        <v>60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159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68</v>
      </c>
      <c r="E2521" t="s">
        <v>60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159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68</v>
      </c>
      <c r="E2522" t="s">
        <v>60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159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68</v>
      </c>
      <c r="E2523" t="s">
        <v>60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159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68</v>
      </c>
      <c r="E2524" t="s">
        <v>60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159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68</v>
      </c>
      <c r="E2525" t="s">
        <v>60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159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68</v>
      </c>
      <c r="E2526" t="s">
        <v>60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159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68</v>
      </c>
      <c r="E2527" t="s">
        <v>60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159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68</v>
      </c>
      <c r="E2528" t="s">
        <v>59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158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68</v>
      </c>
      <c r="E2529" t="s">
        <v>59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158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68</v>
      </c>
      <c r="E2530" t="s">
        <v>59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158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68</v>
      </c>
      <c r="E2531" t="s">
        <v>59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158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68</v>
      </c>
      <c r="E2532" t="s">
        <v>59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158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68</v>
      </c>
      <c r="E2533" t="s">
        <v>58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157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68</v>
      </c>
      <c r="E2534" t="s">
        <v>58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157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68</v>
      </c>
      <c r="E2535" t="s">
        <v>58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157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68</v>
      </c>
      <c r="E2536" t="s">
        <v>58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157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68</v>
      </c>
      <c r="E2537" t="s">
        <v>58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157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68</v>
      </c>
      <c r="E2538" t="s">
        <v>58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157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68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70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68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70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68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70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68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70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68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70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68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70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68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70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68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70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68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70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68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70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68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68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68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68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68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68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68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68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68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68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68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68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68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68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68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68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68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98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68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68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68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68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140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68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140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68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140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68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140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68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140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68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140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68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140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68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140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68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140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68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140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68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140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68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140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68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140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68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140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68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140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68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68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68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68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68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68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68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68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68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68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68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68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68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68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68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68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68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68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68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68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68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68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68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68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68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68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68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68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68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68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68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68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68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68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68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68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68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68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68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68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68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68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68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68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68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68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68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68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68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98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68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68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68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68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68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68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68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68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68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68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68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68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68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68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68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68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68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68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68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68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68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topLeftCell="A13" workbookViewId="0">
      <selection activeCell="G36" sqref="G36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5" t="s">
        <v>0</v>
      </c>
      <c r="B1" s="85" t="s">
        <v>154</v>
      </c>
      <c r="C1" s="85" t="s">
        <v>155</v>
      </c>
      <c r="D1" s="85" t="s">
        <v>156</v>
      </c>
      <c r="E1" s="85" t="s">
        <v>187</v>
      </c>
      <c r="F1" s="86" t="s">
        <v>188</v>
      </c>
      <c r="G1" s="99" t="s">
        <v>2851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7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8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7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8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7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8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7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8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7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8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7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8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7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8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7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8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7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8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7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8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7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8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7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8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7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8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7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8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7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8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7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8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7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8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7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8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7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8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7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8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7"/>
      <c r="G42" t="str" cm="1">
        <f t="array" ref="G42">GetPolarity(Table3[[#This Row],[meas_unit]],Table3[[#This Row],[secondary_unit]])</f>
        <v/>
      </c>
    </row>
    <row r="43" spans="1:7" x14ac:dyDescent="0.25">
      <c r="A43" s="80" t="s">
        <v>79</v>
      </c>
      <c r="B43" s="80" t="s">
        <v>169</v>
      </c>
      <c r="C43" s="80"/>
      <c r="D43" s="80" t="s">
        <v>165</v>
      </c>
      <c r="E43" s="80"/>
      <c r="F43" s="81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abSelected="1" topLeftCell="A2629" zoomScaleNormal="100" workbookViewId="0">
      <selection activeCell="N2657" sqref="N2657"/>
    </sheetView>
  </sheetViews>
  <sheetFormatPr defaultRowHeight="15" x14ac:dyDescent="0.25"/>
  <cols>
    <col min="1" max="1" width="11.140625" style="113" bestFit="1" customWidth="1"/>
    <col min="2" max="2" width="14.140625" style="113" bestFit="1" customWidth="1"/>
    <col min="3" max="3" width="14.28515625" style="113" bestFit="1" customWidth="1"/>
    <col min="4" max="4" width="14.7109375" style="113" bestFit="1" customWidth="1"/>
    <col min="5" max="5" width="12" style="113" bestFit="1" customWidth="1"/>
    <col min="6" max="6" width="13.85546875" style="113" bestFit="1" customWidth="1"/>
    <col min="7" max="7" width="15" style="113" bestFit="1" customWidth="1"/>
    <col min="8" max="8" width="14.28515625" style="113" bestFit="1" customWidth="1"/>
    <col min="9" max="9" width="14.7109375" style="113" bestFit="1" customWidth="1"/>
    <col min="10" max="10" width="15.5703125" style="113" bestFit="1" customWidth="1"/>
    <col min="11" max="14" width="12" style="113" bestFit="1" customWidth="1"/>
    <col min="15" max="15" width="10.42578125" style="114" bestFit="1" customWidth="1"/>
    <col min="17" max="17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s="114" t="s">
        <v>198</v>
      </c>
    </row>
    <row r="2" spans="1:15" x14ac:dyDescent="0.25">
      <c r="A2" s="113" t="s">
        <v>56</v>
      </c>
      <c r="B2" s="113" t="s">
        <v>69</v>
      </c>
      <c r="C2" s="113">
        <v>0</v>
      </c>
      <c r="D2" s="113">
        <v>1E-3</v>
      </c>
      <c r="E2" s="113">
        <v>1E-8</v>
      </c>
      <c r="F2" s="113" t="s">
        <v>6</v>
      </c>
      <c r="G2" s="113" t="s">
        <v>5</v>
      </c>
      <c r="H2" s="113">
        <v>0</v>
      </c>
      <c r="I2" s="113">
        <v>0</v>
      </c>
      <c r="K2" s="113">
        <v>0.62</v>
      </c>
      <c r="L2" s="113">
        <v>4.5</v>
      </c>
      <c r="M2" s="113">
        <v>2.7845000000000002E-2</v>
      </c>
      <c r="N2" s="113">
        <v>71.95</v>
      </c>
      <c r="O2" s="114" t="s">
        <v>233</v>
      </c>
    </row>
    <row r="3" spans="1:15" x14ac:dyDescent="0.25">
      <c r="A3" s="113" t="s">
        <v>56</v>
      </c>
      <c r="B3" s="113" t="s">
        <v>69</v>
      </c>
      <c r="C3" s="113">
        <v>0</v>
      </c>
      <c r="D3" s="113">
        <v>1E-3</v>
      </c>
      <c r="E3" s="113">
        <v>9.9999999999999995E-8</v>
      </c>
      <c r="F3" s="113" t="s">
        <v>6</v>
      </c>
      <c r="G3" s="113" t="s">
        <v>5</v>
      </c>
      <c r="H3" s="113">
        <v>0</v>
      </c>
      <c r="I3" s="113">
        <v>0</v>
      </c>
      <c r="K3" s="113">
        <v>0.62</v>
      </c>
      <c r="L3" s="113">
        <v>4.5</v>
      </c>
      <c r="M3" s="113">
        <v>6.2206999999999998E-2</v>
      </c>
      <c r="N3" s="113">
        <v>53.073</v>
      </c>
      <c r="O3" s="114" t="s">
        <v>234</v>
      </c>
    </row>
    <row r="4" spans="1:15" x14ac:dyDescent="0.25">
      <c r="A4" s="113" t="s">
        <v>56</v>
      </c>
      <c r="B4" s="113" t="s">
        <v>69</v>
      </c>
      <c r="C4" s="113">
        <v>0</v>
      </c>
      <c r="D4" s="113">
        <v>1E-3</v>
      </c>
      <c r="E4" s="113">
        <v>9.9999999999999995E-7</v>
      </c>
      <c r="F4" s="113" t="s">
        <v>6</v>
      </c>
      <c r="G4" s="113" t="s">
        <v>5</v>
      </c>
      <c r="H4" s="113">
        <v>0</v>
      </c>
      <c r="I4" s="113">
        <v>0</v>
      </c>
      <c r="K4" s="113">
        <v>0.62</v>
      </c>
      <c r="L4" s="113">
        <v>4.5</v>
      </c>
      <c r="M4" s="113">
        <v>0.58020000000000005</v>
      </c>
      <c r="N4" s="113">
        <v>8.2951999999999995</v>
      </c>
      <c r="O4" s="114" t="s">
        <v>235</v>
      </c>
    </row>
    <row r="5" spans="1:15" x14ac:dyDescent="0.25">
      <c r="A5" s="113" t="s">
        <v>56</v>
      </c>
      <c r="B5" s="113" t="s">
        <v>69</v>
      </c>
      <c r="C5" s="113">
        <v>0</v>
      </c>
      <c r="D5" s="113">
        <v>1E-3</v>
      </c>
      <c r="E5" s="113">
        <v>1.0000000000000001E-5</v>
      </c>
      <c r="F5" s="113" t="s">
        <v>6</v>
      </c>
      <c r="G5" s="113" t="s">
        <v>5</v>
      </c>
      <c r="H5" s="113">
        <v>0</v>
      </c>
      <c r="I5" s="113">
        <v>0</v>
      </c>
      <c r="K5" s="113">
        <v>5.8</v>
      </c>
      <c r="L5" s="113">
        <v>0.89276</v>
      </c>
      <c r="M5" s="113">
        <v>5.8</v>
      </c>
      <c r="N5" s="113">
        <v>0.83626</v>
      </c>
      <c r="O5" s="114" t="s">
        <v>236</v>
      </c>
    </row>
    <row r="6" spans="1:15" x14ac:dyDescent="0.25">
      <c r="A6" s="113" t="s">
        <v>56</v>
      </c>
      <c r="B6" s="113" t="s">
        <v>69</v>
      </c>
      <c r="C6" s="113">
        <v>0</v>
      </c>
      <c r="D6" s="113">
        <v>1E-3</v>
      </c>
      <c r="E6" s="113">
        <v>1E-4</v>
      </c>
      <c r="F6" s="113" t="s">
        <v>6</v>
      </c>
      <c r="G6" s="113" t="s">
        <v>5</v>
      </c>
      <c r="H6" s="113">
        <v>0</v>
      </c>
      <c r="I6" s="113">
        <v>0</v>
      </c>
      <c r="K6" s="113">
        <v>58</v>
      </c>
      <c r="L6" s="113">
        <v>0.10624</v>
      </c>
      <c r="M6" s="113">
        <v>58</v>
      </c>
      <c r="N6" s="113">
        <v>8.3632999999999999E-2</v>
      </c>
      <c r="O6" s="114" t="s">
        <v>237</v>
      </c>
    </row>
    <row r="7" spans="1:15" x14ac:dyDescent="0.25">
      <c r="A7" s="113" t="s">
        <v>56</v>
      </c>
      <c r="B7" s="113" t="s">
        <v>69</v>
      </c>
      <c r="C7" s="113">
        <v>0</v>
      </c>
      <c r="D7" s="113">
        <v>1E-3</v>
      </c>
      <c r="E7" s="113">
        <v>1E-3</v>
      </c>
      <c r="F7" s="113" t="s">
        <v>6</v>
      </c>
      <c r="G7" s="113" t="s">
        <v>5</v>
      </c>
      <c r="H7" s="113">
        <v>0</v>
      </c>
      <c r="I7" s="113">
        <v>0</v>
      </c>
      <c r="K7" s="113">
        <v>580</v>
      </c>
      <c r="L7" s="113">
        <v>1.7406000000000001E-2</v>
      </c>
      <c r="M7" s="113">
        <v>580</v>
      </c>
      <c r="N7" s="113">
        <v>8.3633000000000006E-3</v>
      </c>
      <c r="O7" s="114" t="s">
        <v>238</v>
      </c>
    </row>
    <row r="8" spans="1:15" x14ac:dyDescent="0.25">
      <c r="A8" s="113" t="s">
        <v>56</v>
      </c>
      <c r="B8" s="113" t="s">
        <v>69</v>
      </c>
      <c r="C8" s="113">
        <v>1E-3</v>
      </c>
      <c r="D8" s="113">
        <v>0.01</v>
      </c>
      <c r="E8" s="113">
        <v>1E-8</v>
      </c>
      <c r="F8" s="113" t="s">
        <v>6</v>
      </c>
      <c r="G8" s="113" t="s">
        <v>5</v>
      </c>
      <c r="H8" s="113">
        <v>0</v>
      </c>
      <c r="I8" s="113">
        <v>0</v>
      </c>
      <c r="K8" s="113">
        <v>0.62</v>
      </c>
      <c r="L8" s="113">
        <v>4.5</v>
      </c>
      <c r="M8" s="113">
        <v>6.0671999999999997E-2</v>
      </c>
      <c r="N8" s="113">
        <v>48.506</v>
      </c>
      <c r="O8" s="114" t="s">
        <v>239</v>
      </c>
    </row>
    <row r="9" spans="1:15" x14ac:dyDescent="0.25">
      <c r="A9" s="113" t="s">
        <v>56</v>
      </c>
      <c r="B9" s="113" t="s">
        <v>69</v>
      </c>
      <c r="C9" s="113">
        <v>1E-3</v>
      </c>
      <c r="D9" s="113">
        <v>0.01</v>
      </c>
      <c r="E9" s="113">
        <v>9.9999999999999995E-8</v>
      </c>
      <c r="F9" s="113" t="s">
        <v>6</v>
      </c>
      <c r="G9" s="113" t="s">
        <v>5</v>
      </c>
      <c r="H9" s="113">
        <v>0</v>
      </c>
      <c r="I9" s="113">
        <v>0</v>
      </c>
      <c r="K9" s="113">
        <v>0.62</v>
      </c>
      <c r="L9" s="113">
        <v>4.5</v>
      </c>
      <c r="M9" s="113">
        <v>7.6235999999999998E-2</v>
      </c>
      <c r="N9" s="113">
        <v>47.253999999999998</v>
      </c>
      <c r="O9" s="114" t="s">
        <v>240</v>
      </c>
    </row>
    <row r="10" spans="1:15" x14ac:dyDescent="0.25">
      <c r="A10" s="113" t="s">
        <v>56</v>
      </c>
      <c r="B10" s="113" t="s">
        <v>69</v>
      </c>
      <c r="C10" s="113">
        <v>1E-3</v>
      </c>
      <c r="D10" s="113">
        <v>0.01</v>
      </c>
      <c r="E10" s="113">
        <v>9.9999999999999995E-7</v>
      </c>
      <c r="F10" s="113" t="s">
        <v>6</v>
      </c>
      <c r="G10" s="113" t="s">
        <v>5</v>
      </c>
      <c r="H10" s="113">
        <v>0</v>
      </c>
      <c r="I10" s="113">
        <v>0</v>
      </c>
      <c r="K10" s="113">
        <v>0.62</v>
      </c>
      <c r="L10" s="113">
        <v>19.155000000000001</v>
      </c>
      <c r="M10" s="113">
        <v>0.56725000000000003</v>
      </c>
      <c r="N10" s="113">
        <v>22.911999999999999</v>
      </c>
      <c r="O10" s="114" t="s">
        <v>241</v>
      </c>
    </row>
    <row r="11" spans="1:15" x14ac:dyDescent="0.25">
      <c r="A11" s="113" t="s">
        <v>56</v>
      </c>
      <c r="B11" s="113" t="s">
        <v>69</v>
      </c>
      <c r="C11" s="113">
        <v>1E-3</v>
      </c>
      <c r="D11" s="113">
        <v>0.01</v>
      </c>
      <c r="E11" s="113">
        <v>1.0000000000000001E-5</v>
      </c>
      <c r="F11" s="113" t="s">
        <v>6</v>
      </c>
      <c r="G11" s="113" t="s">
        <v>5</v>
      </c>
      <c r="H11" s="113">
        <v>0</v>
      </c>
      <c r="I11" s="113">
        <v>0</v>
      </c>
      <c r="K11" s="113">
        <v>5.7983000000000002</v>
      </c>
      <c r="L11" s="113">
        <v>2.7570000000000001</v>
      </c>
      <c r="M11" s="113">
        <v>5.7983000000000002</v>
      </c>
      <c r="N11" s="113">
        <v>2.7323</v>
      </c>
      <c r="O11" s="114" t="s">
        <v>242</v>
      </c>
    </row>
    <row r="12" spans="1:15" x14ac:dyDescent="0.25">
      <c r="A12" s="113" t="s">
        <v>56</v>
      </c>
      <c r="B12" s="113" t="s">
        <v>69</v>
      </c>
      <c r="C12" s="113">
        <v>1E-3</v>
      </c>
      <c r="D12" s="113">
        <v>0.01</v>
      </c>
      <c r="E12" s="113">
        <v>1E-4</v>
      </c>
      <c r="F12" s="113" t="s">
        <v>6</v>
      </c>
      <c r="G12" s="113" t="s">
        <v>5</v>
      </c>
      <c r="H12" s="113">
        <v>0</v>
      </c>
      <c r="I12" s="113">
        <v>0</v>
      </c>
      <c r="K12" s="113">
        <v>58</v>
      </c>
      <c r="L12" s="113">
        <v>0.2838</v>
      </c>
      <c r="M12" s="113">
        <v>58</v>
      </c>
      <c r="N12" s="113">
        <v>0.27384999999999998</v>
      </c>
      <c r="O12" s="114" t="s">
        <v>243</v>
      </c>
    </row>
    <row r="13" spans="1:15" x14ac:dyDescent="0.25">
      <c r="A13" s="113" t="s">
        <v>56</v>
      </c>
      <c r="B13" s="113" t="s">
        <v>69</v>
      </c>
      <c r="C13" s="113">
        <v>1E-3</v>
      </c>
      <c r="D13" s="113">
        <v>0.01</v>
      </c>
      <c r="E13" s="113">
        <v>1E-3</v>
      </c>
      <c r="F13" s="113" t="s">
        <v>6</v>
      </c>
      <c r="G13" s="113" t="s">
        <v>5</v>
      </c>
      <c r="H13" s="113">
        <v>0</v>
      </c>
      <c r="I13" s="113">
        <v>0</v>
      </c>
      <c r="K13" s="113">
        <v>580</v>
      </c>
      <c r="L13" s="113">
        <v>3.1364000000000003E-2</v>
      </c>
      <c r="M13" s="113">
        <v>580</v>
      </c>
      <c r="N13" s="113">
        <v>2.7386000000000001E-2</v>
      </c>
      <c r="O13" s="114" t="s">
        <v>244</v>
      </c>
    </row>
    <row r="14" spans="1:15" x14ac:dyDescent="0.25">
      <c r="A14" s="113" t="s">
        <v>56</v>
      </c>
      <c r="B14" s="113" t="s">
        <v>69</v>
      </c>
      <c r="C14" s="113">
        <v>0.01</v>
      </c>
      <c r="D14" s="113">
        <v>0.1</v>
      </c>
      <c r="E14" s="113">
        <v>9.9999999999999995E-8</v>
      </c>
      <c r="F14" s="113" t="s">
        <v>6</v>
      </c>
      <c r="G14" s="113" t="s">
        <v>5</v>
      </c>
      <c r="H14" s="113">
        <v>0</v>
      </c>
      <c r="I14" s="113">
        <v>0</v>
      </c>
      <c r="K14" s="113">
        <v>0.48</v>
      </c>
      <c r="L14" s="113">
        <v>37</v>
      </c>
      <c r="M14" s="113">
        <v>0.47363</v>
      </c>
      <c r="N14" s="113">
        <v>36.624000000000002</v>
      </c>
      <c r="O14" s="114" t="s">
        <v>245</v>
      </c>
    </row>
    <row r="15" spans="1:15" x14ac:dyDescent="0.25">
      <c r="A15" s="113" t="s">
        <v>56</v>
      </c>
      <c r="B15" s="113" t="s">
        <v>69</v>
      </c>
      <c r="C15" s="113">
        <v>0.01</v>
      </c>
      <c r="D15" s="113">
        <v>0.1</v>
      </c>
      <c r="E15" s="113">
        <v>9.9999999999999995E-7</v>
      </c>
      <c r="F15" s="113" t="s">
        <v>6</v>
      </c>
      <c r="G15" s="113" t="s">
        <v>5</v>
      </c>
      <c r="H15" s="113">
        <v>0</v>
      </c>
      <c r="I15" s="113">
        <v>0</v>
      </c>
      <c r="K15" s="113">
        <v>0.66959999999999997</v>
      </c>
      <c r="L15" s="113">
        <v>35.075000000000003</v>
      </c>
      <c r="M15" s="113">
        <v>0.66822999999999999</v>
      </c>
      <c r="N15" s="113">
        <v>35.079000000000001</v>
      </c>
      <c r="O15" s="114" t="s">
        <v>246</v>
      </c>
    </row>
    <row r="16" spans="1:15" x14ac:dyDescent="0.25">
      <c r="A16" s="113" t="s">
        <v>56</v>
      </c>
      <c r="B16" s="113" t="s">
        <v>69</v>
      </c>
      <c r="C16" s="113">
        <v>0.01</v>
      </c>
      <c r="D16" s="113">
        <v>0.1</v>
      </c>
      <c r="E16" s="113">
        <v>1.0000000000000001E-5</v>
      </c>
      <c r="F16" s="113" t="s">
        <v>6</v>
      </c>
      <c r="G16" s="113" t="s">
        <v>5</v>
      </c>
      <c r="H16" s="113">
        <v>0</v>
      </c>
      <c r="I16" s="113">
        <v>0</v>
      </c>
      <c r="K16" s="113">
        <v>5.7206999999999999</v>
      </c>
      <c r="L16" s="113">
        <v>14.051</v>
      </c>
      <c r="M16" s="113">
        <v>5.7199</v>
      </c>
      <c r="N16" s="113">
        <v>14.036</v>
      </c>
      <c r="O16" s="114" t="s">
        <v>247</v>
      </c>
    </row>
    <row r="17" spans="1:15" x14ac:dyDescent="0.25">
      <c r="A17" s="113" t="s">
        <v>56</v>
      </c>
      <c r="B17" s="113" t="s">
        <v>69</v>
      </c>
      <c r="C17" s="113">
        <v>0.01</v>
      </c>
      <c r="D17" s="113">
        <v>0.1</v>
      </c>
      <c r="E17" s="113">
        <v>1E-4</v>
      </c>
      <c r="F17" s="113" t="s">
        <v>6</v>
      </c>
      <c r="G17" s="113" t="s">
        <v>5</v>
      </c>
      <c r="H17" s="113">
        <v>0</v>
      </c>
      <c r="I17" s="113">
        <v>0</v>
      </c>
      <c r="K17" s="113">
        <v>57.991</v>
      </c>
      <c r="L17" s="113">
        <v>1.5773999999999999</v>
      </c>
      <c r="M17" s="113">
        <v>57.99</v>
      </c>
      <c r="N17" s="113">
        <v>1.5689</v>
      </c>
      <c r="O17" s="114" t="s">
        <v>248</v>
      </c>
    </row>
    <row r="18" spans="1:15" x14ac:dyDescent="0.25">
      <c r="A18" s="113" t="s">
        <v>56</v>
      </c>
      <c r="B18" s="113" t="s">
        <v>69</v>
      </c>
      <c r="C18" s="113">
        <v>0.01</v>
      </c>
      <c r="D18" s="113">
        <v>0.1</v>
      </c>
      <c r="E18" s="113">
        <v>1E-3</v>
      </c>
      <c r="F18" s="113" t="s">
        <v>6</v>
      </c>
      <c r="G18" s="113" t="s">
        <v>5</v>
      </c>
      <c r="H18" s="113">
        <v>0</v>
      </c>
      <c r="I18" s="113">
        <v>0</v>
      </c>
      <c r="K18" s="113">
        <v>580</v>
      </c>
      <c r="L18" s="113">
        <v>0.16048999999999999</v>
      </c>
      <c r="M18" s="113">
        <v>580</v>
      </c>
      <c r="N18" s="113">
        <v>0.15709999999999999</v>
      </c>
      <c r="O18" s="114" t="s">
        <v>249</v>
      </c>
    </row>
    <row r="19" spans="1:15" x14ac:dyDescent="0.25">
      <c r="A19" s="113" t="s">
        <v>56</v>
      </c>
      <c r="B19" s="113" t="s">
        <v>69</v>
      </c>
      <c r="C19" s="113">
        <v>0.01</v>
      </c>
      <c r="D19" s="113">
        <v>0.1</v>
      </c>
      <c r="E19" s="113">
        <v>0.01</v>
      </c>
      <c r="F19" s="113" t="s">
        <v>6</v>
      </c>
      <c r="G19" s="113" t="s">
        <v>5</v>
      </c>
      <c r="H19" s="113">
        <v>0</v>
      </c>
      <c r="I19" s="113">
        <v>0</v>
      </c>
      <c r="K19" s="113">
        <v>5800</v>
      </c>
      <c r="L19" s="113">
        <v>1.7066999999999999E-2</v>
      </c>
      <c r="M19" s="113">
        <v>5800</v>
      </c>
      <c r="N19" s="113">
        <v>1.5709999999999998E-2</v>
      </c>
      <c r="O19" s="114" t="s">
        <v>250</v>
      </c>
    </row>
    <row r="20" spans="1:15" x14ac:dyDescent="0.25">
      <c r="A20" s="113" t="s">
        <v>56</v>
      </c>
      <c r="B20" s="113" t="s">
        <v>69</v>
      </c>
      <c r="C20" s="113">
        <v>0.1</v>
      </c>
      <c r="D20" s="113">
        <v>1</v>
      </c>
      <c r="E20" s="113">
        <v>9.9999999999999995E-7</v>
      </c>
      <c r="F20" s="113" t="s">
        <v>6</v>
      </c>
      <c r="G20" s="113" t="s">
        <v>5</v>
      </c>
      <c r="H20" s="113">
        <v>0</v>
      </c>
      <c r="I20" s="113">
        <v>0</v>
      </c>
      <c r="K20" s="113">
        <v>4.7</v>
      </c>
      <c r="L20" s="113">
        <v>41</v>
      </c>
      <c r="M20" s="113">
        <v>4.6517999999999997</v>
      </c>
      <c r="N20" s="113">
        <v>40.781999999999996</v>
      </c>
      <c r="O20" s="114" t="s">
        <v>251</v>
      </c>
    </row>
    <row r="21" spans="1:15" x14ac:dyDescent="0.25">
      <c r="A21" s="113" t="s">
        <v>56</v>
      </c>
      <c r="B21" s="113" t="s">
        <v>69</v>
      </c>
      <c r="C21" s="113">
        <v>0.1</v>
      </c>
      <c r="D21" s="113">
        <v>1</v>
      </c>
      <c r="E21" s="113">
        <v>1.0000000000000001E-5</v>
      </c>
      <c r="F21" s="113" t="s">
        <v>6</v>
      </c>
      <c r="G21" s="113" t="s">
        <v>5</v>
      </c>
      <c r="H21" s="113">
        <v>0</v>
      </c>
      <c r="I21" s="113">
        <v>0</v>
      </c>
      <c r="K21" s="113">
        <v>6.5522999999999998</v>
      </c>
      <c r="L21" s="113">
        <v>39.255000000000003</v>
      </c>
      <c r="M21" s="113">
        <v>6.5388999999999999</v>
      </c>
      <c r="N21" s="113">
        <v>39.26</v>
      </c>
      <c r="O21" s="114" t="s">
        <v>252</v>
      </c>
    </row>
    <row r="22" spans="1:15" x14ac:dyDescent="0.25">
      <c r="A22" s="113" t="s">
        <v>56</v>
      </c>
      <c r="B22" s="113" t="s">
        <v>69</v>
      </c>
      <c r="C22" s="113">
        <v>0.1</v>
      </c>
      <c r="D22" s="113">
        <v>1</v>
      </c>
      <c r="E22" s="113">
        <v>1E-4</v>
      </c>
      <c r="F22" s="113" t="s">
        <v>6</v>
      </c>
      <c r="G22" s="113" t="s">
        <v>5</v>
      </c>
      <c r="H22" s="113">
        <v>0</v>
      </c>
      <c r="I22" s="113">
        <v>0</v>
      </c>
      <c r="K22" s="113">
        <v>56.988999999999997</v>
      </c>
      <c r="L22" s="113">
        <v>16.704999999999998</v>
      </c>
      <c r="M22" s="113">
        <v>56.981000000000002</v>
      </c>
      <c r="N22" s="113">
        <v>16.693000000000001</v>
      </c>
      <c r="O22" s="114" t="s">
        <v>253</v>
      </c>
    </row>
    <row r="23" spans="1:15" x14ac:dyDescent="0.25">
      <c r="A23" s="113" t="s">
        <v>56</v>
      </c>
      <c r="B23" s="113" t="s">
        <v>69</v>
      </c>
      <c r="C23" s="113">
        <v>0.1</v>
      </c>
      <c r="D23" s="113">
        <v>1</v>
      </c>
      <c r="E23" s="113">
        <v>1E-3</v>
      </c>
      <c r="F23" s="113" t="s">
        <v>6</v>
      </c>
      <c r="G23" s="113" t="s">
        <v>5</v>
      </c>
      <c r="H23" s="113">
        <v>0</v>
      </c>
      <c r="I23" s="113">
        <v>0</v>
      </c>
      <c r="K23" s="113">
        <v>579.88</v>
      </c>
      <c r="L23" s="113">
        <v>1.9084000000000001</v>
      </c>
      <c r="M23" s="113">
        <v>579.88</v>
      </c>
      <c r="N23" s="113">
        <v>1.9012</v>
      </c>
      <c r="O23" s="114" t="s">
        <v>254</v>
      </c>
    </row>
    <row r="24" spans="1:15" x14ac:dyDescent="0.25">
      <c r="A24" s="113" t="s">
        <v>56</v>
      </c>
      <c r="B24" s="113" t="s">
        <v>69</v>
      </c>
      <c r="C24" s="113">
        <v>0.1</v>
      </c>
      <c r="D24" s="113">
        <v>1</v>
      </c>
      <c r="E24" s="113">
        <v>0.01</v>
      </c>
      <c r="F24" s="113" t="s">
        <v>6</v>
      </c>
      <c r="G24" s="113" t="s">
        <v>5</v>
      </c>
      <c r="H24" s="113">
        <v>0</v>
      </c>
      <c r="I24" s="113">
        <v>0</v>
      </c>
      <c r="K24" s="113">
        <v>5800</v>
      </c>
      <c r="L24" s="113">
        <v>0.19328999999999999</v>
      </c>
      <c r="M24" s="113">
        <v>5800</v>
      </c>
      <c r="N24" s="113">
        <v>0.19042000000000001</v>
      </c>
      <c r="O24" s="114" t="s">
        <v>255</v>
      </c>
    </row>
    <row r="25" spans="1:15" x14ac:dyDescent="0.25">
      <c r="A25" s="113" t="s">
        <v>56</v>
      </c>
      <c r="B25" s="113" t="s">
        <v>69</v>
      </c>
      <c r="C25" s="113">
        <v>0.1</v>
      </c>
      <c r="D25" s="113">
        <v>1</v>
      </c>
      <c r="E25" s="113">
        <v>0.1</v>
      </c>
      <c r="F25" s="113" t="s">
        <v>6</v>
      </c>
      <c r="G25" s="113" t="s">
        <v>5</v>
      </c>
      <c r="H25" s="113">
        <v>0</v>
      </c>
      <c r="I25" s="113">
        <v>0</v>
      </c>
      <c r="K25" s="113">
        <v>58000</v>
      </c>
      <c r="L25" s="113">
        <v>2.0188000000000001E-2</v>
      </c>
      <c r="M25" s="113">
        <v>58000</v>
      </c>
      <c r="N25" s="113">
        <v>1.9042E-2</v>
      </c>
      <c r="O25" s="114" t="s">
        <v>256</v>
      </c>
    </row>
    <row r="26" spans="1:15" x14ac:dyDescent="0.25">
      <c r="A26" s="113" t="s">
        <v>56</v>
      </c>
      <c r="B26" s="113" t="s">
        <v>69</v>
      </c>
      <c r="C26" s="113">
        <v>1</v>
      </c>
      <c r="D26" s="113">
        <v>10</v>
      </c>
      <c r="E26" s="113">
        <v>1.0000000000000001E-5</v>
      </c>
      <c r="F26" s="113" t="s">
        <v>6</v>
      </c>
      <c r="G26" s="113" t="s">
        <v>5</v>
      </c>
      <c r="H26" s="113">
        <v>0</v>
      </c>
      <c r="I26" s="113">
        <v>0</v>
      </c>
      <c r="K26" s="113">
        <v>47</v>
      </c>
      <c r="L26" s="113">
        <v>35</v>
      </c>
      <c r="M26" s="113">
        <v>46.375999999999998</v>
      </c>
      <c r="N26" s="113">
        <v>34.813000000000002</v>
      </c>
      <c r="O26" s="114" t="s">
        <v>257</v>
      </c>
    </row>
    <row r="27" spans="1:15" x14ac:dyDescent="0.25">
      <c r="A27" s="113" t="s">
        <v>56</v>
      </c>
      <c r="B27" s="113" t="s">
        <v>69</v>
      </c>
      <c r="C27" s="113">
        <v>1</v>
      </c>
      <c r="D27" s="113">
        <v>10</v>
      </c>
      <c r="E27" s="113">
        <v>1E-4</v>
      </c>
      <c r="F27" s="113" t="s">
        <v>6</v>
      </c>
      <c r="G27" s="113" t="s">
        <v>5</v>
      </c>
      <c r="H27" s="113">
        <v>0</v>
      </c>
      <c r="I27" s="113">
        <v>0</v>
      </c>
      <c r="K27" s="113">
        <v>66.457999999999998</v>
      </c>
      <c r="L27" s="113">
        <v>33.231999999999999</v>
      </c>
      <c r="M27" s="113">
        <v>66.382000000000005</v>
      </c>
      <c r="N27" s="113">
        <v>33.231999999999999</v>
      </c>
      <c r="O27" s="114" t="s">
        <v>258</v>
      </c>
    </row>
    <row r="28" spans="1:15" x14ac:dyDescent="0.25">
      <c r="A28" s="113" t="s">
        <v>56</v>
      </c>
      <c r="B28" s="113" t="s">
        <v>69</v>
      </c>
      <c r="C28" s="113">
        <v>1</v>
      </c>
      <c r="D28" s="113">
        <v>10</v>
      </c>
      <c r="E28" s="113">
        <v>1E-3</v>
      </c>
      <c r="F28" s="113" t="s">
        <v>6</v>
      </c>
      <c r="G28" s="113" t="s">
        <v>5</v>
      </c>
      <c r="H28" s="113">
        <v>0</v>
      </c>
      <c r="I28" s="113">
        <v>0</v>
      </c>
      <c r="K28" s="113">
        <v>572.80999999999995</v>
      </c>
      <c r="L28" s="113">
        <v>12.879</v>
      </c>
      <c r="M28" s="113">
        <v>572.76</v>
      </c>
      <c r="N28" s="113">
        <v>12.867000000000001</v>
      </c>
      <c r="O28" s="114" t="s">
        <v>259</v>
      </c>
    </row>
    <row r="29" spans="1:15" x14ac:dyDescent="0.25">
      <c r="A29" s="113" t="s">
        <v>56</v>
      </c>
      <c r="B29" s="113" t="s">
        <v>69</v>
      </c>
      <c r="C29" s="113">
        <v>1</v>
      </c>
      <c r="D29" s="113">
        <v>10</v>
      </c>
      <c r="E29" s="113">
        <v>0.01</v>
      </c>
      <c r="F29" s="113" t="s">
        <v>6</v>
      </c>
      <c r="G29" s="113" t="s">
        <v>5</v>
      </c>
      <c r="H29" s="113">
        <v>0</v>
      </c>
      <c r="I29" s="113">
        <v>0</v>
      </c>
      <c r="K29" s="113">
        <v>5799.2</v>
      </c>
      <c r="L29" s="113">
        <v>1.4325000000000001</v>
      </c>
      <c r="M29" s="113">
        <v>5799.1</v>
      </c>
      <c r="N29" s="113">
        <v>1.4258999999999999</v>
      </c>
      <c r="O29" s="114" t="s">
        <v>260</v>
      </c>
    </row>
    <row r="30" spans="1:15" x14ac:dyDescent="0.25">
      <c r="A30" s="113" t="s">
        <v>56</v>
      </c>
      <c r="B30" s="113" t="s">
        <v>69</v>
      </c>
      <c r="C30" s="113">
        <v>1</v>
      </c>
      <c r="D30" s="113">
        <v>10</v>
      </c>
      <c r="E30" s="113">
        <v>0.1</v>
      </c>
      <c r="F30" s="113" t="s">
        <v>6</v>
      </c>
      <c r="G30" s="113" t="s">
        <v>5</v>
      </c>
      <c r="H30" s="113">
        <v>0</v>
      </c>
      <c r="I30" s="113">
        <v>0</v>
      </c>
      <c r="K30" s="113">
        <v>58000</v>
      </c>
      <c r="L30" s="113">
        <v>0.1454</v>
      </c>
      <c r="M30" s="113">
        <v>58000</v>
      </c>
      <c r="N30" s="113">
        <v>0.14276</v>
      </c>
      <c r="O30" s="114" t="s">
        <v>261</v>
      </c>
    </row>
    <row r="31" spans="1:15" x14ac:dyDescent="0.25">
      <c r="A31" s="113" t="s">
        <v>56</v>
      </c>
      <c r="B31" s="113" t="s">
        <v>69</v>
      </c>
      <c r="C31" s="113">
        <v>1</v>
      </c>
      <c r="D31" s="113">
        <v>10</v>
      </c>
      <c r="E31" s="113">
        <v>1</v>
      </c>
      <c r="F31" s="113" t="s">
        <v>6</v>
      </c>
      <c r="G31" s="113" t="s">
        <v>5</v>
      </c>
      <c r="H31" s="113">
        <v>0</v>
      </c>
      <c r="I31" s="113">
        <v>0</v>
      </c>
      <c r="K31" s="113">
        <v>580000</v>
      </c>
      <c r="L31" s="113">
        <v>1.5330999999999999E-2</v>
      </c>
      <c r="M31" s="113">
        <v>580000</v>
      </c>
      <c r="N31" s="113">
        <v>1.4276E-2</v>
      </c>
      <c r="O31" s="114" t="s">
        <v>262</v>
      </c>
    </row>
    <row r="32" spans="1:15" x14ac:dyDescent="0.25">
      <c r="A32" s="113" t="s">
        <v>56</v>
      </c>
      <c r="B32" s="113" t="s">
        <v>69</v>
      </c>
      <c r="C32" s="113">
        <v>10</v>
      </c>
      <c r="D32" s="113">
        <v>100</v>
      </c>
      <c r="E32" s="113">
        <v>1E-4</v>
      </c>
      <c r="F32" s="113" t="s">
        <v>6</v>
      </c>
      <c r="G32" s="113" t="s">
        <v>4</v>
      </c>
      <c r="H32" s="113">
        <v>0</v>
      </c>
      <c r="I32" s="113">
        <v>0</v>
      </c>
      <c r="K32" s="113">
        <v>0.57999999999999996</v>
      </c>
      <c r="L32" s="113">
        <v>4.1000000000000002E-2</v>
      </c>
      <c r="M32" s="113">
        <v>0.57894999999999996</v>
      </c>
      <c r="N32" s="113">
        <v>4.0740999999999999E-2</v>
      </c>
      <c r="O32" s="114" t="s">
        <v>263</v>
      </c>
    </row>
    <row r="33" spans="1:15" x14ac:dyDescent="0.25">
      <c r="A33" s="113" t="s">
        <v>56</v>
      </c>
      <c r="B33" s="113" t="s">
        <v>69</v>
      </c>
      <c r="C33" s="113">
        <v>10</v>
      </c>
      <c r="D33" s="113">
        <v>100</v>
      </c>
      <c r="E33" s="113">
        <v>1E-3</v>
      </c>
      <c r="F33" s="113" t="s">
        <v>6</v>
      </c>
      <c r="G33" s="113" t="s">
        <v>4</v>
      </c>
      <c r="H33" s="113">
        <v>0</v>
      </c>
      <c r="I33" s="113">
        <v>0</v>
      </c>
      <c r="K33" s="113">
        <v>0.74950000000000006</v>
      </c>
      <c r="L33" s="113">
        <v>3.9399000000000003E-2</v>
      </c>
      <c r="M33" s="113">
        <v>0.74878999999999996</v>
      </c>
      <c r="N33" s="113">
        <v>3.9399000000000003E-2</v>
      </c>
      <c r="O33" s="114" t="s">
        <v>264</v>
      </c>
    </row>
    <row r="34" spans="1:15" x14ac:dyDescent="0.25">
      <c r="A34" s="113" t="s">
        <v>56</v>
      </c>
      <c r="B34" s="113" t="s">
        <v>69</v>
      </c>
      <c r="C34" s="113">
        <v>10</v>
      </c>
      <c r="D34" s="113">
        <v>100</v>
      </c>
      <c r="E34" s="113">
        <v>0.01</v>
      </c>
      <c r="F34" s="113" t="s">
        <v>6</v>
      </c>
      <c r="G34" s="113" t="s">
        <v>4</v>
      </c>
      <c r="H34" s="113">
        <v>0</v>
      </c>
      <c r="I34" s="113">
        <v>0</v>
      </c>
      <c r="K34" s="113">
        <v>5.7108999999999996</v>
      </c>
      <c r="L34" s="113">
        <v>1.7264000000000002E-2</v>
      </c>
      <c r="M34" s="113">
        <v>5.7104999999999997</v>
      </c>
      <c r="N34" s="113">
        <v>1.7250999999999999E-2</v>
      </c>
      <c r="O34" s="114" t="s">
        <v>265</v>
      </c>
    </row>
    <row r="35" spans="1:15" x14ac:dyDescent="0.25">
      <c r="A35" s="113" t="s">
        <v>56</v>
      </c>
      <c r="B35" s="113" t="s">
        <v>69</v>
      </c>
      <c r="C35" s="113">
        <v>10</v>
      </c>
      <c r="D35" s="113">
        <v>100</v>
      </c>
      <c r="E35" s="113">
        <v>0.1</v>
      </c>
      <c r="F35" s="113" t="s">
        <v>6</v>
      </c>
      <c r="G35" s="113" t="s">
        <v>4</v>
      </c>
      <c r="H35" s="113">
        <v>0</v>
      </c>
      <c r="I35" s="113">
        <v>0</v>
      </c>
      <c r="K35" s="113">
        <v>57.988999999999997</v>
      </c>
      <c r="L35" s="113">
        <v>1.9846E-3</v>
      </c>
      <c r="M35" s="113">
        <v>57.988999999999997</v>
      </c>
      <c r="N35" s="113">
        <v>1.9773E-3</v>
      </c>
      <c r="O35" s="114" t="s">
        <v>266</v>
      </c>
    </row>
    <row r="36" spans="1:15" x14ac:dyDescent="0.25">
      <c r="A36" s="113" t="s">
        <v>56</v>
      </c>
      <c r="B36" s="113" t="s">
        <v>69</v>
      </c>
      <c r="C36" s="113">
        <v>10</v>
      </c>
      <c r="D36" s="113">
        <v>100</v>
      </c>
      <c r="E36" s="113">
        <v>1</v>
      </c>
      <c r="F36" s="113" t="s">
        <v>6</v>
      </c>
      <c r="G36" s="113" t="s">
        <v>4</v>
      </c>
      <c r="H36" s="113">
        <v>0</v>
      </c>
      <c r="I36" s="113">
        <v>0</v>
      </c>
      <c r="K36" s="113">
        <v>580</v>
      </c>
      <c r="L36" s="113">
        <v>2.0100000000000001E-4</v>
      </c>
      <c r="M36" s="113">
        <v>580</v>
      </c>
      <c r="N36" s="113">
        <v>1.9806000000000001E-4</v>
      </c>
      <c r="O36" s="114" t="s">
        <v>267</v>
      </c>
    </row>
    <row r="37" spans="1:15" x14ac:dyDescent="0.25">
      <c r="A37" s="113" t="s">
        <v>56</v>
      </c>
      <c r="B37" s="113" t="s">
        <v>7</v>
      </c>
      <c r="C37" s="113">
        <v>0</v>
      </c>
      <c r="D37" s="113">
        <v>1000</v>
      </c>
      <c r="E37" s="113">
        <v>9.9999999999999995E-7</v>
      </c>
      <c r="F37" s="113" t="s">
        <v>102</v>
      </c>
      <c r="G37" s="113" t="s">
        <v>71</v>
      </c>
      <c r="H37" s="113">
        <v>0</v>
      </c>
      <c r="I37" s="113">
        <v>0</v>
      </c>
      <c r="K37" s="113">
        <v>3</v>
      </c>
      <c r="L37" s="113">
        <v>0.12</v>
      </c>
      <c r="M37" s="113">
        <v>2.3273220000000001</v>
      </c>
      <c r="N37" s="113">
        <v>8.0813122000000001E-2</v>
      </c>
      <c r="O37" s="114" t="s">
        <v>199</v>
      </c>
    </row>
    <row r="38" spans="1:15" x14ac:dyDescent="0.25">
      <c r="A38" s="113" t="s">
        <v>56</v>
      </c>
      <c r="B38" s="113" t="s">
        <v>7</v>
      </c>
      <c r="C38" s="113">
        <v>0</v>
      </c>
      <c r="D38" s="113">
        <v>1000</v>
      </c>
      <c r="E38" s="113">
        <v>1.0000000000000001E-5</v>
      </c>
      <c r="F38" s="113" t="s">
        <v>102</v>
      </c>
      <c r="G38" s="113" t="s">
        <v>71</v>
      </c>
      <c r="H38" s="113">
        <v>0</v>
      </c>
      <c r="I38" s="113">
        <v>0</v>
      </c>
      <c r="K38" s="113">
        <v>3</v>
      </c>
      <c r="L38" s="113">
        <v>0.12</v>
      </c>
      <c r="M38" s="113">
        <v>3.963721</v>
      </c>
      <c r="N38" s="113">
        <v>7.9376769999999999E-2</v>
      </c>
      <c r="O38" s="114" t="s">
        <v>200</v>
      </c>
    </row>
    <row r="39" spans="1:15" x14ac:dyDescent="0.25">
      <c r="A39" s="113" t="s">
        <v>56</v>
      </c>
      <c r="B39" s="113" t="s">
        <v>7</v>
      </c>
      <c r="C39" s="113">
        <v>0</v>
      </c>
      <c r="D39" s="113">
        <v>1000</v>
      </c>
      <c r="E39" s="113">
        <v>1E-4</v>
      </c>
      <c r="F39" s="113" t="s">
        <v>102</v>
      </c>
      <c r="G39" s="113" t="s">
        <v>71</v>
      </c>
      <c r="H39" s="113">
        <v>0</v>
      </c>
      <c r="I39" s="113">
        <v>0</v>
      </c>
      <c r="K39" s="113">
        <v>63.692799999999998</v>
      </c>
      <c r="L39" s="113">
        <v>6.2659430000000002E-2</v>
      </c>
      <c r="M39" s="113">
        <v>54.207389999999997</v>
      </c>
      <c r="N39" s="113">
        <v>4.7163209999999997E-2</v>
      </c>
      <c r="O39" s="114" t="s">
        <v>201</v>
      </c>
    </row>
    <row r="40" spans="1:15" x14ac:dyDescent="0.25">
      <c r="A40" s="113" t="s">
        <v>56</v>
      </c>
      <c r="B40" s="113" t="s">
        <v>7</v>
      </c>
      <c r="C40" s="113">
        <v>0</v>
      </c>
      <c r="D40" s="113">
        <v>1000</v>
      </c>
      <c r="E40" s="113">
        <v>1E-3</v>
      </c>
      <c r="F40" s="113" t="s">
        <v>102</v>
      </c>
      <c r="G40" s="113" t="s">
        <v>71</v>
      </c>
      <c r="H40" s="113">
        <v>0</v>
      </c>
      <c r="I40" s="113">
        <v>0</v>
      </c>
      <c r="K40" s="113">
        <v>600.322</v>
      </c>
      <c r="L40" s="113">
        <v>9.648081E-2</v>
      </c>
      <c r="M40" s="113">
        <v>579.44470000000001</v>
      </c>
      <c r="N40" s="113">
        <v>6.4835800000000001E-3</v>
      </c>
      <c r="O40" s="114" t="s">
        <v>202</v>
      </c>
    </row>
    <row r="41" spans="1:15" x14ac:dyDescent="0.25">
      <c r="A41" s="113" t="s">
        <v>56</v>
      </c>
      <c r="B41" s="113" t="s">
        <v>7</v>
      </c>
      <c r="C41" s="113">
        <v>0</v>
      </c>
      <c r="D41" s="113">
        <v>1000</v>
      </c>
      <c r="E41" s="113">
        <v>0.01</v>
      </c>
      <c r="F41" s="113" t="s">
        <v>102</v>
      </c>
      <c r="G41" s="113" t="s">
        <v>48</v>
      </c>
      <c r="H41" s="113">
        <v>0</v>
      </c>
      <c r="I41" s="113">
        <v>0</v>
      </c>
      <c r="K41" s="113">
        <v>5.8513330000000003</v>
      </c>
      <c r="L41" s="113">
        <v>2.4804999999999998E-4</v>
      </c>
      <c r="M41" s="113">
        <v>5.799944</v>
      </c>
      <c r="N41" s="113">
        <v>6.5168999999999998E-7</v>
      </c>
      <c r="O41" s="114" t="s">
        <v>203</v>
      </c>
    </row>
    <row r="42" spans="1:15" x14ac:dyDescent="0.25">
      <c r="A42" s="113" t="s">
        <v>56</v>
      </c>
      <c r="B42" s="113" t="s">
        <v>7</v>
      </c>
      <c r="C42" s="113">
        <v>1000</v>
      </c>
      <c r="D42" s="113">
        <v>10000</v>
      </c>
      <c r="E42" s="113">
        <v>1.0000000000000001E-5</v>
      </c>
      <c r="F42" s="113" t="s">
        <v>102</v>
      </c>
      <c r="G42" s="113" t="s">
        <v>71</v>
      </c>
      <c r="H42" s="113">
        <v>0</v>
      </c>
      <c r="I42" s="113">
        <v>0</v>
      </c>
      <c r="K42" s="113">
        <v>24.035060000000001</v>
      </c>
      <c r="L42" s="113">
        <v>6.9213540000000004E-2</v>
      </c>
      <c r="M42" s="113">
        <v>23.295500000000001</v>
      </c>
      <c r="N42" s="113">
        <v>6.9264220000000001E-2</v>
      </c>
      <c r="O42" s="114" t="s">
        <v>204</v>
      </c>
    </row>
    <row r="43" spans="1:15" x14ac:dyDescent="0.25">
      <c r="A43" s="113" t="s">
        <v>56</v>
      </c>
      <c r="B43" s="113" t="s">
        <v>7</v>
      </c>
      <c r="C43" s="113">
        <v>1000</v>
      </c>
      <c r="D43" s="113">
        <v>10000</v>
      </c>
      <c r="E43" s="113">
        <v>1E-4</v>
      </c>
      <c r="F43" s="113" t="s">
        <v>102</v>
      </c>
      <c r="G43" s="113" t="s">
        <v>71</v>
      </c>
      <c r="H43" s="113">
        <v>0</v>
      </c>
      <c r="I43" s="113">
        <v>0</v>
      </c>
      <c r="K43" s="113">
        <v>66.558580000000006</v>
      </c>
      <c r="L43" s="113">
        <v>6.6055710000000004E-2</v>
      </c>
      <c r="M43" s="113">
        <v>41.389360000000003</v>
      </c>
      <c r="N43" s="113">
        <v>6.7687049999999999E-2</v>
      </c>
      <c r="O43" s="114" t="s">
        <v>205</v>
      </c>
    </row>
    <row r="44" spans="1:15" x14ac:dyDescent="0.25">
      <c r="A44" s="113" t="s">
        <v>56</v>
      </c>
      <c r="B44" s="113" t="s">
        <v>7</v>
      </c>
      <c r="C44" s="113">
        <v>1000</v>
      </c>
      <c r="D44" s="113">
        <v>10000</v>
      </c>
      <c r="E44" s="113">
        <v>1E-3</v>
      </c>
      <c r="F44" s="113" t="s">
        <v>102</v>
      </c>
      <c r="G44" s="113" t="s">
        <v>71</v>
      </c>
      <c r="H44" s="113">
        <v>0</v>
      </c>
      <c r="I44" s="113">
        <v>0</v>
      </c>
      <c r="K44" s="113">
        <v>643.21469999999999</v>
      </c>
      <c r="L44" s="113">
        <v>5.475087E-2</v>
      </c>
      <c r="M44" s="113">
        <v>550.19219999999996</v>
      </c>
      <c r="N44" s="113">
        <v>3.7118350000000001E-2</v>
      </c>
      <c r="O44" s="114" t="s">
        <v>206</v>
      </c>
    </row>
    <row r="45" spans="1:15" x14ac:dyDescent="0.25">
      <c r="A45" s="113" t="s">
        <v>56</v>
      </c>
      <c r="B45" s="113" t="s">
        <v>7</v>
      </c>
      <c r="C45" s="113">
        <v>1000</v>
      </c>
      <c r="D45" s="113">
        <v>10000</v>
      </c>
      <c r="E45" s="113">
        <v>0.01</v>
      </c>
      <c r="F45" s="113" t="s">
        <v>102</v>
      </c>
      <c r="G45" s="113" t="s">
        <v>48</v>
      </c>
      <c r="H45" s="113">
        <v>0</v>
      </c>
      <c r="I45" s="113">
        <v>0</v>
      </c>
      <c r="K45" s="113">
        <v>6.0044399999999998</v>
      </c>
      <c r="L45" s="113">
        <v>9.5075599999999995E-5</v>
      </c>
      <c r="M45" s="113">
        <v>5.7959269999999998</v>
      </c>
      <c r="N45" s="113">
        <v>4.8090299999999996E-6</v>
      </c>
      <c r="O45" s="114" t="s">
        <v>207</v>
      </c>
    </row>
    <row r="46" spans="1:15" x14ac:dyDescent="0.25">
      <c r="A46" s="113" t="s">
        <v>56</v>
      </c>
      <c r="B46" s="113" t="s">
        <v>7</v>
      </c>
      <c r="C46" s="113">
        <v>1000</v>
      </c>
      <c r="D46" s="113">
        <v>10000</v>
      </c>
      <c r="E46" s="113">
        <v>0.1</v>
      </c>
      <c r="F46" s="113" t="s">
        <v>102</v>
      </c>
      <c r="G46" s="113" t="s">
        <v>48</v>
      </c>
      <c r="H46" s="113">
        <v>0</v>
      </c>
      <c r="I46" s="113">
        <v>0</v>
      </c>
      <c r="K46" s="113">
        <v>58.513469999999998</v>
      </c>
      <c r="L46" s="113">
        <v>2.47889E-4</v>
      </c>
      <c r="M46" s="113">
        <v>57.999589999999998</v>
      </c>
      <c r="N46" s="113">
        <v>4.8273899999999997E-7</v>
      </c>
      <c r="O46" s="114" t="s">
        <v>208</v>
      </c>
    </row>
    <row r="47" spans="1:15" x14ac:dyDescent="0.25">
      <c r="A47" s="113" t="s">
        <v>56</v>
      </c>
      <c r="B47" s="113" t="s">
        <v>7</v>
      </c>
      <c r="C47" s="113">
        <v>1000</v>
      </c>
      <c r="D47" s="113">
        <v>10000</v>
      </c>
      <c r="E47" s="113">
        <v>10</v>
      </c>
      <c r="F47" s="113" t="s">
        <v>102</v>
      </c>
      <c r="G47" s="113" t="s">
        <v>48</v>
      </c>
      <c r="H47" s="113">
        <v>0</v>
      </c>
      <c r="I47" s="113">
        <v>0</v>
      </c>
      <c r="K47" s="113">
        <v>24.035060000000001</v>
      </c>
      <c r="L47" s="113">
        <v>6.9214000000000005E-5</v>
      </c>
      <c r="M47" s="113">
        <v>23.295500000000001</v>
      </c>
      <c r="N47" s="113">
        <v>6.9264000000000006E-5</v>
      </c>
      <c r="O47" s="114" t="s">
        <v>209</v>
      </c>
    </row>
    <row r="48" spans="1:15" x14ac:dyDescent="0.25">
      <c r="A48" s="113" t="s">
        <v>56</v>
      </c>
      <c r="B48" s="113" t="s">
        <v>7</v>
      </c>
      <c r="C48" s="113">
        <v>1000</v>
      </c>
      <c r="D48" s="113">
        <v>10000</v>
      </c>
      <c r="E48" s="113">
        <v>100</v>
      </c>
      <c r="F48" s="113" t="s">
        <v>102</v>
      </c>
      <c r="G48" s="113" t="s">
        <v>48</v>
      </c>
      <c r="H48" s="113">
        <v>0</v>
      </c>
      <c r="I48" s="113">
        <v>0</v>
      </c>
      <c r="K48" s="113">
        <v>66.558580000000006</v>
      </c>
      <c r="L48" s="113">
        <v>6.6056000000000006E-5</v>
      </c>
      <c r="M48" s="113">
        <v>41.389360000000003</v>
      </c>
      <c r="N48" s="113">
        <v>6.7688000000000007E-5</v>
      </c>
      <c r="O48" s="114" t="s">
        <v>210</v>
      </c>
    </row>
    <row r="49" spans="1:15" x14ac:dyDescent="0.25">
      <c r="A49" s="113" t="s">
        <v>56</v>
      </c>
      <c r="B49" s="113" t="s">
        <v>7</v>
      </c>
      <c r="C49" s="113">
        <v>1000</v>
      </c>
      <c r="D49" s="113">
        <v>10000</v>
      </c>
      <c r="E49" s="113">
        <v>1000</v>
      </c>
      <c r="F49" s="113" t="s">
        <v>102</v>
      </c>
      <c r="G49" s="113" t="s">
        <v>48</v>
      </c>
      <c r="H49" s="113">
        <v>0</v>
      </c>
      <c r="I49" s="113">
        <v>0</v>
      </c>
      <c r="K49" s="113">
        <v>643.21469999999999</v>
      </c>
      <c r="L49" s="113">
        <v>5.4750999999999998E-5</v>
      </c>
      <c r="M49" s="113">
        <v>550.19200000000001</v>
      </c>
      <c r="N49" s="113">
        <v>3.7117999999999999E-5</v>
      </c>
      <c r="O49" s="114" t="s">
        <v>211</v>
      </c>
    </row>
    <row r="50" spans="1:15" x14ac:dyDescent="0.25">
      <c r="A50" s="113" t="s">
        <v>56</v>
      </c>
      <c r="B50" s="113" t="s">
        <v>7</v>
      </c>
      <c r="C50" s="113">
        <v>1000</v>
      </c>
      <c r="D50" s="113">
        <v>10000</v>
      </c>
      <c r="E50" s="113">
        <v>10000</v>
      </c>
      <c r="F50" s="113" t="s">
        <v>102</v>
      </c>
      <c r="G50" s="113" t="s">
        <v>49</v>
      </c>
      <c r="H50" s="113">
        <v>0</v>
      </c>
      <c r="I50" s="113">
        <v>0</v>
      </c>
      <c r="K50" s="113">
        <v>6.0044399999999998</v>
      </c>
      <c r="L50" s="113">
        <v>9.5075999999999997E-8</v>
      </c>
      <c r="M50" s="113">
        <v>5.7959269999999998</v>
      </c>
      <c r="N50" s="113">
        <v>4.8090000000000002E-9</v>
      </c>
      <c r="O50" s="114" t="s">
        <v>1489</v>
      </c>
    </row>
    <row r="51" spans="1:15" x14ac:dyDescent="0.25">
      <c r="A51" s="113" t="s">
        <v>56</v>
      </c>
      <c r="B51" s="113" t="s">
        <v>7</v>
      </c>
      <c r="C51" s="113">
        <v>1000</v>
      </c>
      <c r="D51" s="113">
        <v>10000</v>
      </c>
      <c r="E51" s="113">
        <v>100000</v>
      </c>
      <c r="F51" s="113" t="s">
        <v>102</v>
      </c>
      <c r="G51" s="113" t="s">
        <v>49</v>
      </c>
      <c r="H51" s="113">
        <v>0</v>
      </c>
      <c r="I51" s="113">
        <v>0</v>
      </c>
      <c r="K51" s="113">
        <v>58.513469999999998</v>
      </c>
      <c r="L51" s="113">
        <v>2.47889E-7</v>
      </c>
      <c r="M51" s="113">
        <v>57.999589999999998</v>
      </c>
      <c r="N51" s="113">
        <v>4.8299999999999999E-10</v>
      </c>
      <c r="O51" s="114" t="s">
        <v>212</v>
      </c>
    </row>
    <row r="52" spans="1:15" x14ac:dyDescent="0.25">
      <c r="A52" s="113" t="s">
        <v>56</v>
      </c>
      <c r="B52" s="113" t="s">
        <v>7</v>
      </c>
      <c r="C52" s="113">
        <v>10000</v>
      </c>
      <c r="D52" s="113">
        <v>100000</v>
      </c>
      <c r="E52" s="113">
        <v>1E-4</v>
      </c>
      <c r="F52" s="113" t="s">
        <v>102</v>
      </c>
      <c r="G52" s="113" t="s">
        <v>48</v>
      </c>
      <c r="H52" s="113">
        <v>0</v>
      </c>
      <c r="I52" s="113">
        <v>0</v>
      </c>
      <c r="K52" s="113">
        <v>0.24035100000000001</v>
      </c>
      <c r="L52" s="113">
        <v>6.9214000000000005E-5</v>
      </c>
      <c r="M52" s="113">
        <v>0.232955</v>
      </c>
      <c r="N52" s="113">
        <v>6.9264000000000006E-5</v>
      </c>
      <c r="O52" s="114" t="s">
        <v>213</v>
      </c>
    </row>
    <row r="53" spans="1:15" x14ac:dyDescent="0.25">
      <c r="A53" s="113" t="s">
        <v>56</v>
      </c>
      <c r="B53" s="113" t="s">
        <v>7</v>
      </c>
      <c r="C53" s="113">
        <v>10000</v>
      </c>
      <c r="D53" s="113">
        <v>100000</v>
      </c>
      <c r="E53" s="113">
        <v>1E-3</v>
      </c>
      <c r="F53" s="113" t="s">
        <v>102</v>
      </c>
      <c r="G53" s="113" t="s">
        <v>48</v>
      </c>
      <c r="H53" s="113">
        <v>0</v>
      </c>
      <c r="I53" s="113">
        <v>0</v>
      </c>
      <c r="K53" s="113">
        <v>0.66558600000000001</v>
      </c>
      <c r="L53" s="113">
        <v>6.6056000000000006E-5</v>
      </c>
      <c r="M53" s="113">
        <v>0.41389399999999998</v>
      </c>
      <c r="N53" s="113">
        <v>6.7687000000000004E-5</v>
      </c>
      <c r="O53" s="114" t="s">
        <v>214</v>
      </c>
    </row>
    <row r="54" spans="1:15" x14ac:dyDescent="0.25">
      <c r="A54" s="113" t="s">
        <v>56</v>
      </c>
      <c r="B54" s="113" t="s">
        <v>7</v>
      </c>
      <c r="C54" s="113">
        <v>10000</v>
      </c>
      <c r="D54" s="113">
        <v>100000</v>
      </c>
      <c r="E54" s="113">
        <v>0.01</v>
      </c>
      <c r="F54" s="113" t="s">
        <v>102</v>
      </c>
      <c r="G54" s="113" t="s">
        <v>48</v>
      </c>
      <c r="H54" s="113">
        <v>0</v>
      </c>
      <c r="I54" s="113">
        <v>0</v>
      </c>
      <c r="K54" s="113">
        <v>6.4321469999999996</v>
      </c>
      <c r="L54" s="113">
        <v>5.4750999999999998E-5</v>
      </c>
      <c r="M54" s="113">
        <v>5.5019220000000004</v>
      </c>
      <c r="N54" s="113">
        <v>3.7117999999999999E-5</v>
      </c>
      <c r="O54" s="114" t="s">
        <v>215</v>
      </c>
    </row>
    <row r="55" spans="1:15" x14ac:dyDescent="0.25">
      <c r="A55" s="113" t="s">
        <v>56</v>
      </c>
      <c r="B55" s="113" t="s">
        <v>7</v>
      </c>
      <c r="C55" s="113">
        <v>10000</v>
      </c>
      <c r="D55" s="113">
        <v>100000</v>
      </c>
      <c r="E55" s="113">
        <v>0.1</v>
      </c>
      <c r="F55" s="113" t="s">
        <v>102</v>
      </c>
      <c r="G55" s="113" t="s">
        <v>48</v>
      </c>
      <c r="H55" s="113">
        <v>0</v>
      </c>
      <c r="I55" s="113">
        <v>0</v>
      </c>
      <c r="K55" s="113">
        <v>60.044400000000003</v>
      </c>
      <c r="L55" s="113">
        <v>9.5075999999999996E-5</v>
      </c>
      <c r="M55" s="113">
        <v>57.959269999999997</v>
      </c>
      <c r="N55" s="113">
        <v>4.809E-6</v>
      </c>
      <c r="O55" s="114" t="s">
        <v>216</v>
      </c>
    </row>
    <row r="56" spans="1:15" x14ac:dyDescent="0.25">
      <c r="A56" s="113" t="s">
        <v>56</v>
      </c>
      <c r="B56" s="113" t="s">
        <v>7</v>
      </c>
      <c r="C56" s="113">
        <v>10000</v>
      </c>
      <c r="D56" s="113">
        <v>100000</v>
      </c>
      <c r="E56" s="113">
        <v>1</v>
      </c>
      <c r="F56" s="113" t="s">
        <v>102</v>
      </c>
      <c r="G56" s="113" t="s">
        <v>48</v>
      </c>
      <c r="H56" s="113">
        <v>0</v>
      </c>
      <c r="I56" s="113">
        <v>0</v>
      </c>
      <c r="K56" s="113">
        <v>585.13469999999995</v>
      </c>
      <c r="L56" s="113">
        <v>2.47889E-4</v>
      </c>
      <c r="M56" s="113">
        <v>579.99590000000001</v>
      </c>
      <c r="N56" s="113">
        <v>4.8299999999999997E-7</v>
      </c>
      <c r="O56" s="114" t="s">
        <v>217</v>
      </c>
    </row>
    <row r="57" spans="1:15" x14ac:dyDescent="0.25">
      <c r="A57" s="113" t="s">
        <v>56</v>
      </c>
      <c r="B57" s="113" t="s">
        <v>7</v>
      </c>
      <c r="C57" s="113">
        <v>10000</v>
      </c>
      <c r="D57" s="113">
        <v>100000</v>
      </c>
      <c r="E57" s="113">
        <v>100</v>
      </c>
      <c r="F57" s="113" t="s">
        <v>102</v>
      </c>
      <c r="G57" s="113" t="s">
        <v>49</v>
      </c>
      <c r="H57" s="113">
        <v>0</v>
      </c>
      <c r="I57" s="113">
        <v>0</v>
      </c>
      <c r="K57" s="113">
        <v>0.46937299999999998</v>
      </c>
      <c r="L57" s="113">
        <v>6.9199999999999998E-8</v>
      </c>
      <c r="M57" s="113">
        <v>0.46348800000000001</v>
      </c>
      <c r="N57" s="113">
        <v>6.9300000000000005E-8</v>
      </c>
      <c r="O57" s="114" t="s">
        <v>218</v>
      </c>
    </row>
    <row r="58" spans="1:15" x14ac:dyDescent="0.25">
      <c r="A58" s="113" t="s">
        <v>56</v>
      </c>
      <c r="B58" s="113" t="s">
        <v>7</v>
      </c>
      <c r="C58" s="113">
        <v>10000</v>
      </c>
      <c r="D58" s="113">
        <v>100000</v>
      </c>
      <c r="E58" s="113">
        <v>1000</v>
      </c>
      <c r="F58" s="113" t="s">
        <v>102</v>
      </c>
      <c r="G58" s="113" t="s">
        <v>49</v>
      </c>
      <c r="H58" s="113">
        <v>0</v>
      </c>
      <c r="I58" s="113">
        <v>0</v>
      </c>
      <c r="K58" s="113">
        <v>0.82927600000000001</v>
      </c>
      <c r="L58" s="113">
        <v>6.6699999999999995E-8</v>
      </c>
      <c r="M58" s="113">
        <v>0.61212599999999995</v>
      </c>
      <c r="N58" s="113">
        <v>6.8099999999999994E-8</v>
      </c>
      <c r="O58" s="114" t="s">
        <v>219</v>
      </c>
    </row>
    <row r="59" spans="1:15" x14ac:dyDescent="0.25">
      <c r="A59" s="113" t="s">
        <v>56</v>
      </c>
      <c r="B59" s="113" t="s">
        <v>7</v>
      </c>
      <c r="C59" s="113">
        <v>10000</v>
      </c>
      <c r="D59" s="113">
        <v>100000</v>
      </c>
      <c r="E59" s="113">
        <v>10000</v>
      </c>
      <c r="F59" s="113" t="s">
        <v>102</v>
      </c>
      <c r="G59" s="113" t="s">
        <v>49</v>
      </c>
      <c r="H59" s="113">
        <v>0</v>
      </c>
      <c r="I59" s="113">
        <v>0</v>
      </c>
      <c r="K59" s="113">
        <v>6.4546739999999998</v>
      </c>
      <c r="L59" s="113">
        <v>5.5899999999999998E-8</v>
      </c>
      <c r="M59" s="113">
        <v>5.527107</v>
      </c>
      <c r="N59" s="113">
        <v>3.8700000000000002E-8</v>
      </c>
      <c r="O59" s="114" t="s">
        <v>220</v>
      </c>
    </row>
    <row r="60" spans="1:15" x14ac:dyDescent="0.25">
      <c r="A60" s="113" t="s">
        <v>56</v>
      </c>
      <c r="B60" s="113" t="s">
        <v>7</v>
      </c>
      <c r="C60" s="113">
        <v>10000</v>
      </c>
      <c r="D60" s="113">
        <v>100000</v>
      </c>
      <c r="E60" s="113">
        <v>100000</v>
      </c>
      <c r="F60" s="113" t="s">
        <v>102</v>
      </c>
      <c r="G60" s="113" t="s">
        <v>49</v>
      </c>
      <c r="H60" s="113">
        <v>0</v>
      </c>
      <c r="I60" s="113">
        <v>0</v>
      </c>
      <c r="K60" s="113">
        <v>60.046087</v>
      </c>
      <c r="L60" s="113">
        <v>9.53E-8</v>
      </c>
      <c r="M60" s="113">
        <v>57.96067</v>
      </c>
      <c r="N60" s="113">
        <v>5.0899999999999996E-9</v>
      </c>
      <c r="O60" s="114" t="s">
        <v>221</v>
      </c>
    </row>
    <row r="61" spans="1:15" x14ac:dyDescent="0.25">
      <c r="A61" s="113" t="s">
        <v>56</v>
      </c>
      <c r="B61" s="113" t="s">
        <v>7</v>
      </c>
      <c r="C61" s="113">
        <v>10000</v>
      </c>
      <c r="D61" s="113">
        <v>100000</v>
      </c>
      <c r="E61" s="113">
        <v>1000000</v>
      </c>
      <c r="F61" s="113" t="s">
        <v>102</v>
      </c>
      <c r="G61" s="113" t="s">
        <v>49</v>
      </c>
      <c r="H61" s="113">
        <v>0</v>
      </c>
      <c r="I61" s="113">
        <v>0</v>
      </c>
      <c r="K61" s="113">
        <v>585.13490000000002</v>
      </c>
      <c r="L61" s="113">
        <v>2.48E-7</v>
      </c>
      <c r="M61" s="113">
        <v>579.99599999999998</v>
      </c>
      <c r="N61" s="113">
        <v>5.1E-10</v>
      </c>
      <c r="O61" s="114" t="s">
        <v>222</v>
      </c>
    </row>
    <row r="62" spans="1:15" x14ac:dyDescent="0.25">
      <c r="A62" s="113" t="s">
        <v>56</v>
      </c>
      <c r="B62" s="113" t="s">
        <v>7</v>
      </c>
      <c r="C62" s="113">
        <v>100000</v>
      </c>
      <c r="D62" s="113">
        <v>1000</v>
      </c>
      <c r="E62" s="113">
        <v>1</v>
      </c>
      <c r="F62" s="113" t="s">
        <v>102</v>
      </c>
      <c r="G62" s="113" t="s">
        <v>48</v>
      </c>
      <c r="H62" s="113">
        <v>0</v>
      </c>
      <c r="I62" s="113">
        <v>0</v>
      </c>
      <c r="K62" s="113">
        <v>2.4035060000000001</v>
      </c>
      <c r="L62" s="113">
        <v>6.9214000000000005E-5</v>
      </c>
      <c r="M62" s="113">
        <v>2.3295499999999998</v>
      </c>
      <c r="N62" s="113">
        <v>6.9264000000000006E-5</v>
      </c>
      <c r="O62" s="114" t="s">
        <v>223</v>
      </c>
    </row>
    <row r="63" spans="1:15" x14ac:dyDescent="0.25">
      <c r="A63" s="113" t="s">
        <v>56</v>
      </c>
      <c r="B63" s="113" t="s">
        <v>7</v>
      </c>
      <c r="C63" s="113">
        <v>100000</v>
      </c>
      <c r="D63" s="113">
        <v>1000</v>
      </c>
      <c r="E63" s="113">
        <v>10</v>
      </c>
      <c r="F63" s="113" t="s">
        <v>102</v>
      </c>
      <c r="G63" s="113" t="s">
        <v>48</v>
      </c>
      <c r="H63" s="113">
        <v>0</v>
      </c>
      <c r="I63" s="113">
        <v>0</v>
      </c>
      <c r="K63" s="113">
        <v>6.6558580000000003</v>
      </c>
      <c r="L63" s="113">
        <v>6.6056000000000006E-5</v>
      </c>
      <c r="M63" s="113">
        <v>4.1389360000000002</v>
      </c>
      <c r="N63" s="113">
        <v>6.7687000000000004E-5</v>
      </c>
      <c r="O63" s="114" t="s">
        <v>224</v>
      </c>
    </row>
    <row r="64" spans="1:15" x14ac:dyDescent="0.25">
      <c r="A64" s="113" t="s">
        <v>56</v>
      </c>
      <c r="B64" s="113" t="s">
        <v>7</v>
      </c>
      <c r="C64" s="113">
        <v>100000</v>
      </c>
      <c r="D64" s="113">
        <v>1000</v>
      </c>
      <c r="E64" s="113">
        <v>100</v>
      </c>
      <c r="F64" s="113" t="s">
        <v>102</v>
      </c>
      <c r="G64" s="113" t="s">
        <v>48</v>
      </c>
      <c r="H64" s="113">
        <v>0</v>
      </c>
      <c r="I64" s="113">
        <v>0</v>
      </c>
      <c r="K64" s="113">
        <v>64.321470000000005</v>
      </c>
      <c r="L64" s="113">
        <v>5.4750999999999998E-5</v>
      </c>
      <c r="M64" s="113">
        <v>55.019219999999997</v>
      </c>
      <c r="N64" s="113">
        <v>3.7117999999999999E-5</v>
      </c>
      <c r="O64" s="114" t="s">
        <v>225</v>
      </c>
    </row>
    <row r="65" spans="1:15" x14ac:dyDescent="0.25">
      <c r="A65" s="113" t="s">
        <v>56</v>
      </c>
      <c r="B65" s="113" t="s">
        <v>7</v>
      </c>
      <c r="C65" s="113">
        <v>100000</v>
      </c>
      <c r="D65" s="113">
        <v>1000</v>
      </c>
      <c r="E65" s="113">
        <v>1000</v>
      </c>
      <c r="F65" s="113" t="s">
        <v>102</v>
      </c>
      <c r="G65" s="113" t="s">
        <v>48</v>
      </c>
      <c r="H65" s="113">
        <v>0</v>
      </c>
      <c r="I65" s="113">
        <v>0</v>
      </c>
      <c r="K65" s="113">
        <v>600.44399999999996</v>
      </c>
      <c r="L65" s="113">
        <v>9.5075999999999996E-5</v>
      </c>
      <c r="M65" s="113">
        <v>579.59270000000004</v>
      </c>
      <c r="N65" s="113">
        <v>4.809E-6</v>
      </c>
      <c r="O65" s="114" t="s">
        <v>226</v>
      </c>
    </row>
    <row r="66" spans="1:15" x14ac:dyDescent="0.25">
      <c r="A66" s="113" t="s">
        <v>56</v>
      </c>
      <c r="B66" s="113" t="s">
        <v>7</v>
      </c>
      <c r="C66" s="113">
        <v>100000</v>
      </c>
      <c r="D66" s="113">
        <v>1000</v>
      </c>
      <c r="E66" s="113">
        <v>10000</v>
      </c>
      <c r="F66" s="113" t="s">
        <v>102</v>
      </c>
      <c r="G66" s="113" t="s">
        <v>49</v>
      </c>
      <c r="H66" s="113">
        <v>0</v>
      </c>
      <c r="I66" s="113">
        <v>0</v>
      </c>
      <c r="K66" s="113">
        <v>5.8513470999999999</v>
      </c>
      <c r="L66" s="113">
        <v>2.47889E-7</v>
      </c>
      <c r="M66" s="113">
        <v>5.7999590999999997</v>
      </c>
      <c r="N66" s="113">
        <v>4.8299999999999999E-10</v>
      </c>
      <c r="O66" s="114" t="s">
        <v>227</v>
      </c>
    </row>
    <row r="67" spans="1:15" x14ac:dyDescent="0.25">
      <c r="A67" s="113" t="s">
        <v>56</v>
      </c>
      <c r="B67" s="113" t="s">
        <v>7</v>
      </c>
      <c r="C67" s="113">
        <v>100000</v>
      </c>
      <c r="D67" s="113">
        <v>1000</v>
      </c>
      <c r="E67" s="113">
        <v>1000000</v>
      </c>
      <c r="F67" s="113" t="s">
        <v>102</v>
      </c>
      <c r="G67" s="113" t="s">
        <v>49</v>
      </c>
      <c r="H67" s="113">
        <v>0</v>
      </c>
      <c r="I67" s="113">
        <v>0</v>
      </c>
      <c r="K67" s="113">
        <v>5</v>
      </c>
      <c r="L67" s="113">
        <v>8.05E-8</v>
      </c>
      <c r="M67" s="113">
        <v>4.633432</v>
      </c>
      <c r="N67" s="113">
        <v>8.0799999999999996E-8</v>
      </c>
      <c r="O67" s="114" t="s">
        <v>228</v>
      </c>
    </row>
    <row r="68" spans="1:15" x14ac:dyDescent="0.25">
      <c r="A68" s="113" t="s">
        <v>56</v>
      </c>
      <c r="B68" s="113" t="s">
        <v>7</v>
      </c>
      <c r="C68" s="113">
        <v>100000</v>
      </c>
      <c r="D68" s="113">
        <v>1000</v>
      </c>
      <c r="E68" s="113">
        <v>10000000</v>
      </c>
      <c r="F68" s="113" t="s">
        <v>102</v>
      </c>
      <c r="G68" s="113" t="s">
        <v>49</v>
      </c>
      <c r="H68" s="113">
        <v>0</v>
      </c>
      <c r="I68" s="113">
        <v>0</v>
      </c>
      <c r="K68" s="113">
        <v>8.0349120000000003</v>
      </c>
      <c r="L68" s="113">
        <v>7.8400000000000001E-8</v>
      </c>
      <c r="M68" s="113">
        <v>5.9988400000000004</v>
      </c>
      <c r="N68" s="113">
        <v>7.9599999999999998E-8</v>
      </c>
      <c r="O68" s="114" t="s">
        <v>229</v>
      </c>
    </row>
    <row r="69" spans="1:15" x14ac:dyDescent="0.25">
      <c r="A69" s="113" t="s">
        <v>56</v>
      </c>
      <c r="B69" s="113" t="s">
        <v>7</v>
      </c>
      <c r="C69" s="113">
        <v>100000</v>
      </c>
      <c r="D69" s="113">
        <v>1000</v>
      </c>
      <c r="E69" s="113">
        <v>100000000</v>
      </c>
      <c r="F69" s="113" t="s">
        <v>102</v>
      </c>
      <c r="G69" s="113" t="s">
        <v>49</v>
      </c>
      <c r="H69" s="113">
        <v>0</v>
      </c>
      <c r="I69" s="113">
        <v>0</v>
      </c>
      <c r="K69" s="113">
        <v>63.945030000000003</v>
      </c>
      <c r="L69" s="113">
        <v>6.3899999999999996E-8</v>
      </c>
      <c r="M69" s="113">
        <v>54.496929999999999</v>
      </c>
      <c r="N69" s="113">
        <v>4.88E-8</v>
      </c>
      <c r="O69" s="114" t="s">
        <v>230</v>
      </c>
    </row>
    <row r="70" spans="1:15" x14ac:dyDescent="0.25">
      <c r="A70" s="113" t="s">
        <v>56</v>
      </c>
      <c r="B70" s="113" t="s">
        <v>7</v>
      </c>
      <c r="C70" s="113">
        <v>100000</v>
      </c>
      <c r="D70" s="113">
        <v>1000</v>
      </c>
      <c r="E70" s="113">
        <v>1000000000</v>
      </c>
      <c r="F70" s="113" t="s">
        <v>102</v>
      </c>
      <c r="G70" s="113" t="s">
        <v>49</v>
      </c>
      <c r="H70" s="113">
        <v>0</v>
      </c>
      <c r="I70" s="113">
        <v>0</v>
      </c>
      <c r="K70" s="113">
        <v>600.33960000000002</v>
      </c>
      <c r="L70" s="113">
        <v>9.6699999999999999E-8</v>
      </c>
      <c r="M70" s="113">
        <v>579.45889999999997</v>
      </c>
      <c r="N70" s="113">
        <v>6.7999999999999997E-9</v>
      </c>
      <c r="O70" s="114" t="s">
        <v>231</v>
      </c>
    </row>
    <row r="71" spans="1:15" x14ac:dyDescent="0.25">
      <c r="A71" s="113" t="s">
        <v>56</v>
      </c>
      <c r="B71" s="113" t="s">
        <v>7</v>
      </c>
      <c r="C71" s="113">
        <v>100000</v>
      </c>
      <c r="D71" s="113">
        <v>1000</v>
      </c>
      <c r="E71" s="113">
        <v>10000000000</v>
      </c>
      <c r="F71" s="113" t="s">
        <v>102</v>
      </c>
      <c r="G71" s="113" t="s">
        <v>50</v>
      </c>
      <c r="H71" s="113">
        <v>0</v>
      </c>
      <c r="I71" s="113">
        <v>0</v>
      </c>
      <c r="K71" s="113">
        <v>5.8513339999999996</v>
      </c>
      <c r="L71" s="113">
        <v>2.4800000000000002E-10</v>
      </c>
      <c r="M71" s="113">
        <v>5.7999460000000003</v>
      </c>
      <c r="N71" s="113">
        <v>9.9999999999999998E-13</v>
      </c>
      <c r="O71" s="114" t="s">
        <v>232</v>
      </c>
    </row>
    <row r="72" spans="1:15" x14ac:dyDescent="0.25">
      <c r="A72" s="113" t="s">
        <v>55</v>
      </c>
      <c r="B72" s="113" t="s">
        <v>47</v>
      </c>
      <c r="C72" s="113">
        <v>0</v>
      </c>
      <c r="D72" s="113">
        <v>1E-4</v>
      </c>
      <c r="E72" s="113">
        <v>1E-10</v>
      </c>
      <c r="F72" s="113" t="s">
        <v>13</v>
      </c>
      <c r="G72" s="113" t="s">
        <v>11</v>
      </c>
      <c r="H72" s="113">
        <v>0.02</v>
      </c>
      <c r="I72" s="113">
        <v>4.4999999999999998E-2</v>
      </c>
      <c r="J72" s="113" t="s">
        <v>10</v>
      </c>
      <c r="K72" s="113">
        <v>3.7999999999999999E-2</v>
      </c>
      <c r="L72" s="113">
        <v>1700</v>
      </c>
      <c r="M72" s="113">
        <v>3.4644000000000001E-2</v>
      </c>
      <c r="N72" s="113">
        <v>1732.1</v>
      </c>
      <c r="O72" s="114" t="s">
        <v>1787</v>
      </c>
    </row>
    <row r="73" spans="1:15" x14ac:dyDescent="0.25">
      <c r="A73" s="113" t="s">
        <v>55</v>
      </c>
      <c r="B73" s="113" t="s">
        <v>47</v>
      </c>
      <c r="C73" s="113">
        <v>0</v>
      </c>
      <c r="D73" s="113">
        <v>1E-4</v>
      </c>
      <c r="E73" s="113">
        <v>1E-10</v>
      </c>
      <c r="F73" s="113" t="s">
        <v>13</v>
      </c>
      <c r="G73" s="113" t="s">
        <v>11</v>
      </c>
      <c r="H73" s="113">
        <v>4.4999999999999998E-2</v>
      </c>
      <c r="I73" s="113">
        <v>5</v>
      </c>
      <c r="J73" s="113" t="s">
        <v>10</v>
      </c>
      <c r="K73" s="113">
        <v>3.6999999999999998E-2</v>
      </c>
      <c r="L73" s="113">
        <v>700</v>
      </c>
      <c r="M73" s="113">
        <v>3.5478000000000003E-2</v>
      </c>
      <c r="N73" s="113">
        <v>705.46</v>
      </c>
      <c r="O73" s="114" t="s">
        <v>1788</v>
      </c>
    </row>
    <row r="74" spans="1:15" x14ac:dyDescent="0.25">
      <c r="A74" s="113" t="s">
        <v>55</v>
      </c>
      <c r="B74" s="113" t="s">
        <v>47</v>
      </c>
      <c r="C74" s="113">
        <v>0</v>
      </c>
      <c r="D74" s="113">
        <v>1E-4</v>
      </c>
      <c r="E74" s="113">
        <v>1E-10</v>
      </c>
      <c r="F74" s="113" t="s">
        <v>13</v>
      </c>
      <c r="G74" s="113" t="s">
        <v>11</v>
      </c>
      <c r="H74" s="113">
        <v>1E-3</v>
      </c>
      <c r="I74" s="113">
        <v>0.02</v>
      </c>
      <c r="J74" s="113" t="s">
        <v>10</v>
      </c>
      <c r="K74" s="113">
        <v>7.6999999999999999E-2</v>
      </c>
      <c r="L74" s="113">
        <v>4200</v>
      </c>
      <c r="M74" s="113">
        <v>7.6632000000000006E-2</v>
      </c>
      <c r="N74" s="113">
        <v>4198.8999999999996</v>
      </c>
      <c r="O74" s="114" t="s">
        <v>2637</v>
      </c>
    </row>
    <row r="75" spans="1:15" x14ac:dyDescent="0.25">
      <c r="A75" s="113" t="s">
        <v>55</v>
      </c>
      <c r="B75" s="113" t="s">
        <v>47</v>
      </c>
      <c r="C75" s="113">
        <v>0</v>
      </c>
      <c r="D75" s="113">
        <v>1E-4</v>
      </c>
      <c r="E75" s="113">
        <v>1.0000000000000001E-9</v>
      </c>
      <c r="F75" s="113" t="s">
        <v>13</v>
      </c>
      <c r="G75" s="113" t="s">
        <v>11</v>
      </c>
      <c r="H75" s="113">
        <v>0.02</v>
      </c>
      <c r="I75" s="113">
        <v>4.4999999999999998E-2</v>
      </c>
      <c r="J75" s="113" t="s">
        <v>10</v>
      </c>
      <c r="K75" s="113">
        <v>3.7999999999999999E-2</v>
      </c>
      <c r="L75" s="113">
        <v>1700</v>
      </c>
      <c r="M75" s="113">
        <v>3.4647999999999998E-2</v>
      </c>
      <c r="N75" s="113">
        <v>1732.1</v>
      </c>
      <c r="O75" s="114" t="s">
        <v>1790</v>
      </c>
    </row>
    <row r="76" spans="1:15" x14ac:dyDescent="0.25">
      <c r="A76" s="113" t="s">
        <v>55</v>
      </c>
      <c r="B76" s="113" t="s">
        <v>47</v>
      </c>
      <c r="C76" s="113">
        <v>0</v>
      </c>
      <c r="D76" s="113">
        <v>1E-4</v>
      </c>
      <c r="E76" s="113">
        <v>1.0000000000000001E-9</v>
      </c>
      <c r="F76" s="113" t="s">
        <v>13</v>
      </c>
      <c r="G76" s="113" t="s">
        <v>11</v>
      </c>
      <c r="H76" s="113">
        <v>1E-3</v>
      </c>
      <c r="I76" s="113">
        <v>0.02</v>
      </c>
      <c r="J76" s="113" t="s">
        <v>10</v>
      </c>
      <c r="K76" s="113">
        <v>7.6999999999999999E-2</v>
      </c>
      <c r="L76" s="113">
        <v>4200</v>
      </c>
      <c r="M76" s="113">
        <v>7.6633000000000007E-2</v>
      </c>
      <c r="N76" s="113">
        <v>4198.8999999999996</v>
      </c>
      <c r="O76" s="114" t="s">
        <v>1791</v>
      </c>
    </row>
    <row r="77" spans="1:15" x14ac:dyDescent="0.25">
      <c r="A77" s="113" t="s">
        <v>55</v>
      </c>
      <c r="B77" s="113" t="s">
        <v>47</v>
      </c>
      <c r="C77" s="113">
        <v>0</v>
      </c>
      <c r="D77" s="113">
        <v>1E-4</v>
      </c>
      <c r="E77" s="113">
        <v>1.0000000000000001E-9</v>
      </c>
      <c r="F77" s="113" t="s">
        <v>13</v>
      </c>
      <c r="G77" s="113" t="s">
        <v>11</v>
      </c>
      <c r="H77" s="113">
        <v>4.4999999999999998E-2</v>
      </c>
      <c r="I77" s="113">
        <v>5</v>
      </c>
      <c r="J77" s="113" t="s">
        <v>10</v>
      </c>
      <c r="K77" s="113">
        <v>3.6999999999999998E-2</v>
      </c>
      <c r="L77" s="113">
        <v>701.57</v>
      </c>
      <c r="M77" s="113">
        <v>3.5484000000000002E-2</v>
      </c>
      <c r="N77" s="113">
        <v>705.45</v>
      </c>
      <c r="O77" s="114" t="s">
        <v>1789</v>
      </c>
    </row>
    <row r="78" spans="1:15" x14ac:dyDescent="0.25">
      <c r="A78" s="113" t="s">
        <v>55</v>
      </c>
      <c r="B78" s="113" t="s">
        <v>47</v>
      </c>
      <c r="C78" s="113">
        <v>0</v>
      </c>
      <c r="D78" s="113">
        <v>1E-4</v>
      </c>
      <c r="E78" s="113">
        <v>1E-8</v>
      </c>
      <c r="F78" s="113" t="s">
        <v>13</v>
      </c>
      <c r="G78" s="113" t="s">
        <v>11</v>
      </c>
      <c r="H78" s="113">
        <v>0.02</v>
      </c>
      <c r="I78" s="113">
        <v>4.4999999999999998E-2</v>
      </c>
      <c r="J78" s="113" t="s">
        <v>10</v>
      </c>
      <c r="K78" s="113">
        <v>3.7999999999999999E-2</v>
      </c>
      <c r="L78" s="113">
        <v>1700</v>
      </c>
      <c r="M78" s="113">
        <v>3.4998000000000001E-2</v>
      </c>
      <c r="N78" s="113">
        <v>1729.4</v>
      </c>
      <c r="O78" s="114" t="s">
        <v>2638</v>
      </c>
    </row>
    <row r="79" spans="1:15" x14ac:dyDescent="0.25">
      <c r="A79" s="113" t="s">
        <v>55</v>
      </c>
      <c r="B79" s="113" t="s">
        <v>47</v>
      </c>
      <c r="C79" s="113">
        <v>0</v>
      </c>
      <c r="D79" s="113">
        <v>1E-4</v>
      </c>
      <c r="E79" s="113">
        <v>1E-8</v>
      </c>
      <c r="F79" s="113" t="s">
        <v>13</v>
      </c>
      <c r="G79" s="113" t="s">
        <v>11</v>
      </c>
      <c r="H79" s="113">
        <v>4.4999999999999998E-2</v>
      </c>
      <c r="I79" s="113">
        <v>5</v>
      </c>
      <c r="J79" s="113" t="s">
        <v>10</v>
      </c>
      <c r="K79" s="113">
        <v>3.6999999999999998E-2</v>
      </c>
      <c r="L79" s="113">
        <v>703.27</v>
      </c>
      <c r="M79" s="113">
        <v>3.5899E-2</v>
      </c>
      <c r="N79" s="113">
        <v>702.95</v>
      </c>
      <c r="O79" s="114" t="s">
        <v>1793</v>
      </c>
    </row>
    <row r="80" spans="1:15" x14ac:dyDescent="0.25">
      <c r="A80" s="113" t="s">
        <v>55</v>
      </c>
      <c r="B80" s="113" t="s">
        <v>47</v>
      </c>
      <c r="C80" s="113">
        <v>0</v>
      </c>
      <c r="D80" s="113">
        <v>1E-4</v>
      </c>
      <c r="E80" s="113">
        <v>1E-8</v>
      </c>
      <c r="F80" s="113" t="s">
        <v>13</v>
      </c>
      <c r="G80" s="113" t="s">
        <v>11</v>
      </c>
      <c r="H80" s="113">
        <v>1E-3</v>
      </c>
      <c r="I80" s="113">
        <v>0.02</v>
      </c>
      <c r="J80" s="113" t="s">
        <v>10</v>
      </c>
      <c r="K80" s="113">
        <v>7.6999999999999999E-2</v>
      </c>
      <c r="L80" s="113">
        <v>4200</v>
      </c>
      <c r="M80" s="113">
        <v>7.6839000000000005E-2</v>
      </c>
      <c r="N80" s="113">
        <v>4197.2</v>
      </c>
      <c r="O80" s="114" t="s">
        <v>1792</v>
      </c>
    </row>
    <row r="81" spans="1:15" x14ac:dyDescent="0.25">
      <c r="A81" s="113" t="s">
        <v>55</v>
      </c>
      <c r="B81" s="113" t="s">
        <v>47</v>
      </c>
      <c r="C81" s="113">
        <v>0</v>
      </c>
      <c r="D81" s="113">
        <v>1E-4</v>
      </c>
      <c r="E81" s="113">
        <v>9.9999999999999995E-8</v>
      </c>
      <c r="F81" s="113" t="s">
        <v>13</v>
      </c>
      <c r="G81" s="113" t="s">
        <v>11</v>
      </c>
      <c r="H81" s="113">
        <v>1E-3</v>
      </c>
      <c r="I81" s="113">
        <v>0.02</v>
      </c>
      <c r="J81" s="113" t="s">
        <v>10</v>
      </c>
      <c r="K81" s="113">
        <v>9.5325999999999994E-2</v>
      </c>
      <c r="L81" s="113">
        <v>4045.9</v>
      </c>
      <c r="M81" s="113">
        <v>9.5287999999999998E-2</v>
      </c>
      <c r="N81" s="113">
        <v>4045.8</v>
      </c>
      <c r="O81" s="114" t="s">
        <v>2639</v>
      </c>
    </row>
    <row r="82" spans="1:15" x14ac:dyDescent="0.25">
      <c r="A82" s="113" t="s">
        <v>55</v>
      </c>
      <c r="B82" s="113" t="s">
        <v>47</v>
      </c>
      <c r="C82" s="113">
        <v>0</v>
      </c>
      <c r="D82" s="113">
        <v>1E-4</v>
      </c>
      <c r="E82" s="113">
        <v>9.9999999999999995E-8</v>
      </c>
      <c r="F82" s="113" t="s">
        <v>13</v>
      </c>
      <c r="G82" s="113" t="s">
        <v>11</v>
      </c>
      <c r="H82" s="113">
        <v>4.4999999999999998E-2</v>
      </c>
      <c r="I82" s="113">
        <v>5</v>
      </c>
      <c r="J82" s="113" t="s">
        <v>10</v>
      </c>
      <c r="K82" s="113">
        <v>6.6314999999999999E-2</v>
      </c>
      <c r="L82" s="113">
        <v>546.37</v>
      </c>
      <c r="M82" s="113">
        <v>6.6275000000000001E-2</v>
      </c>
      <c r="N82" s="113">
        <v>544.96</v>
      </c>
      <c r="O82" s="114" t="s">
        <v>1794</v>
      </c>
    </row>
    <row r="83" spans="1:15" x14ac:dyDescent="0.25">
      <c r="A83" s="113" t="s">
        <v>55</v>
      </c>
      <c r="B83" s="113" t="s">
        <v>47</v>
      </c>
      <c r="C83" s="113">
        <v>0</v>
      </c>
      <c r="D83" s="113">
        <v>1E-4</v>
      </c>
      <c r="E83" s="113">
        <v>9.9999999999999995E-8</v>
      </c>
      <c r="F83" s="113" t="s">
        <v>13</v>
      </c>
      <c r="G83" s="113" t="s">
        <v>11</v>
      </c>
      <c r="H83" s="113">
        <v>0.02</v>
      </c>
      <c r="I83" s="113">
        <v>4.4999999999999998E-2</v>
      </c>
      <c r="J83" s="113" t="s">
        <v>10</v>
      </c>
      <c r="K83" s="113">
        <v>6.2399000000000003E-2</v>
      </c>
      <c r="L83" s="113">
        <v>1534.5</v>
      </c>
      <c r="M83" s="113">
        <v>6.2349000000000002E-2</v>
      </c>
      <c r="N83" s="113">
        <v>1534</v>
      </c>
      <c r="O83" s="114" t="s">
        <v>1795</v>
      </c>
    </row>
    <row r="84" spans="1:15" x14ac:dyDescent="0.25">
      <c r="A84" s="113" t="s">
        <v>55</v>
      </c>
      <c r="B84" s="113" t="s">
        <v>47</v>
      </c>
      <c r="C84" s="113">
        <v>0</v>
      </c>
      <c r="D84" s="113">
        <v>1E-4</v>
      </c>
      <c r="E84" s="113">
        <v>9.9999999999999995E-7</v>
      </c>
      <c r="F84" s="113" t="s">
        <v>13</v>
      </c>
      <c r="G84" s="113" t="s">
        <v>11</v>
      </c>
      <c r="H84" s="113">
        <v>0.02</v>
      </c>
      <c r="I84" s="113">
        <v>4.4999999999999998E-2</v>
      </c>
      <c r="J84" s="113" t="s">
        <v>10</v>
      </c>
      <c r="K84" s="113">
        <v>0.57594000000000001</v>
      </c>
      <c r="L84" s="113">
        <v>378.74</v>
      </c>
      <c r="M84" s="113">
        <v>0.57591999999999999</v>
      </c>
      <c r="N84" s="113">
        <v>377.44</v>
      </c>
      <c r="O84" s="114" t="s">
        <v>1796</v>
      </c>
    </row>
    <row r="85" spans="1:15" x14ac:dyDescent="0.25">
      <c r="A85" s="113" t="s">
        <v>55</v>
      </c>
      <c r="B85" s="113" t="s">
        <v>47</v>
      </c>
      <c r="C85" s="113">
        <v>0</v>
      </c>
      <c r="D85" s="113">
        <v>1E-4</v>
      </c>
      <c r="E85" s="113">
        <v>9.9999999999999995E-7</v>
      </c>
      <c r="F85" s="113" t="s">
        <v>13</v>
      </c>
      <c r="G85" s="113" t="s">
        <v>11</v>
      </c>
      <c r="H85" s="113">
        <v>1E-3</v>
      </c>
      <c r="I85" s="113">
        <v>0.02</v>
      </c>
      <c r="J85" s="113" t="s">
        <v>10</v>
      </c>
      <c r="K85" s="113">
        <v>0.58121</v>
      </c>
      <c r="L85" s="113">
        <v>1804</v>
      </c>
      <c r="M85" s="113">
        <v>0.58118999999999998</v>
      </c>
      <c r="N85" s="113">
        <v>1803.1</v>
      </c>
      <c r="O85" s="114" t="s">
        <v>2640</v>
      </c>
    </row>
    <row r="86" spans="1:15" x14ac:dyDescent="0.25">
      <c r="A86" s="113" t="s">
        <v>55</v>
      </c>
      <c r="B86" s="113" t="s">
        <v>47</v>
      </c>
      <c r="C86" s="113">
        <v>0</v>
      </c>
      <c r="D86" s="113">
        <v>1E-4</v>
      </c>
      <c r="E86" s="113">
        <v>9.9999999999999995E-7</v>
      </c>
      <c r="F86" s="113" t="s">
        <v>13</v>
      </c>
      <c r="G86" s="113" t="s">
        <v>11</v>
      </c>
      <c r="H86" s="113">
        <v>4.4999999999999998E-2</v>
      </c>
      <c r="I86" s="113">
        <v>5</v>
      </c>
      <c r="J86" s="113" t="s">
        <v>10</v>
      </c>
      <c r="K86" s="113">
        <v>0.57804</v>
      </c>
      <c r="L86" s="113">
        <v>91.593000000000004</v>
      </c>
      <c r="M86" s="113">
        <v>0.57801999999999998</v>
      </c>
      <c r="N86" s="113">
        <v>90.227999999999994</v>
      </c>
      <c r="O86" s="114" t="s">
        <v>1797</v>
      </c>
    </row>
    <row r="87" spans="1:15" x14ac:dyDescent="0.25">
      <c r="A87" s="113" t="s">
        <v>55</v>
      </c>
      <c r="B87" s="113" t="s">
        <v>47</v>
      </c>
      <c r="C87" s="113">
        <v>0</v>
      </c>
      <c r="D87" s="113">
        <v>1E-4</v>
      </c>
      <c r="E87" s="113">
        <v>1.0000000000000001E-5</v>
      </c>
      <c r="F87" s="113" t="s">
        <v>13</v>
      </c>
      <c r="G87" s="113" t="s">
        <v>11</v>
      </c>
      <c r="H87" s="113">
        <v>0.02</v>
      </c>
      <c r="I87" s="113">
        <v>4.4999999999999998E-2</v>
      </c>
      <c r="J87" s="113" t="s">
        <v>10</v>
      </c>
      <c r="K87" s="113">
        <v>5.7733999999999996</v>
      </c>
      <c r="L87" s="113">
        <v>39.655999999999999</v>
      </c>
      <c r="M87" s="113">
        <v>5.77</v>
      </c>
      <c r="N87" s="113">
        <v>39.098999999999997</v>
      </c>
      <c r="O87" s="114" t="s">
        <v>2641</v>
      </c>
    </row>
    <row r="88" spans="1:15" x14ac:dyDescent="0.25">
      <c r="A88" s="113" t="s">
        <v>55</v>
      </c>
      <c r="B88" s="113" t="s">
        <v>47</v>
      </c>
      <c r="C88" s="113">
        <v>0</v>
      </c>
      <c r="D88" s="113">
        <v>1E-4</v>
      </c>
      <c r="E88" s="113">
        <v>1.0000000000000001E-5</v>
      </c>
      <c r="F88" s="113" t="s">
        <v>13</v>
      </c>
      <c r="G88" s="113" t="s">
        <v>11</v>
      </c>
      <c r="H88" s="113">
        <v>1E-3</v>
      </c>
      <c r="I88" s="113">
        <v>0.02</v>
      </c>
      <c r="J88" s="113" t="s">
        <v>10</v>
      </c>
      <c r="K88" s="113">
        <v>5.7739000000000003</v>
      </c>
      <c r="L88" s="113">
        <v>210.05</v>
      </c>
      <c r="M88" s="113">
        <v>5.7723000000000004</v>
      </c>
      <c r="N88" s="113">
        <v>209.55</v>
      </c>
      <c r="O88" s="114" t="s">
        <v>1798</v>
      </c>
    </row>
    <row r="89" spans="1:15" x14ac:dyDescent="0.25">
      <c r="A89" s="113" t="s">
        <v>55</v>
      </c>
      <c r="B89" s="113" t="s">
        <v>47</v>
      </c>
      <c r="C89" s="113">
        <v>0</v>
      </c>
      <c r="D89" s="113">
        <v>1E-4</v>
      </c>
      <c r="E89" s="113">
        <v>1.0000000000000001E-5</v>
      </c>
      <c r="F89" s="113" t="s">
        <v>13</v>
      </c>
      <c r="G89" s="113" t="s">
        <v>11</v>
      </c>
      <c r="H89" s="113">
        <v>4.4999999999999998E-2</v>
      </c>
      <c r="I89" s="113">
        <v>5</v>
      </c>
      <c r="J89" s="113" t="s">
        <v>10</v>
      </c>
      <c r="K89" s="113">
        <v>5.7736000000000001</v>
      </c>
      <c r="L89" s="113">
        <v>9.7714999999999996</v>
      </c>
      <c r="M89" s="113">
        <v>5.7728000000000002</v>
      </c>
      <c r="N89" s="113">
        <v>9.2142999999999997</v>
      </c>
      <c r="O89" s="114" t="s">
        <v>2642</v>
      </c>
    </row>
    <row r="90" spans="1:15" x14ac:dyDescent="0.25">
      <c r="A90" s="113" t="s">
        <v>55</v>
      </c>
      <c r="B90" s="113" t="s">
        <v>47</v>
      </c>
      <c r="C90" s="113">
        <v>0</v>
      </c>
      <c r="D90" s="113">
        <v>1E-4</v>
      </c>
      <c r="E90" s="113">
        <v>1E-4</v>
      </c>
      <c r="F90" s="113" t="s">
        <v>13</v>
      </c>
      <c r="G90" s="113" t="s">
        <v>11</v>
      </c>
      <c r="H90" s="113">
        <v>1E-3</v>
      </c>
      <c r="I90" s="113">
        <v>0.02</v>
      </c>
      <c r="J90" s="113" t="s">
        <v>10</v>
      </c>
      <c r="K90" s="113">
        <v>57.735999999999997</v>
      </c>
      <c r="L90" s="113">
        <v>21.196999999999999</v>
      </c>
      <c r="M90" s="113">
        <v>57.734000000000002</v>
      </c>
      <c r="N90" s="113">
        <v>20.994</v>
      </c>
      <c r="O90" s="114" t="s">
        <v>1799</v>
      </c>
    </row>
    <row r="91" spans="1:15" x14ac:dyDescent="0.25">
      <c r="A91" s="113" t="s">
        <v>55</v>
      </c>
      <c r="B91" s="113" t="s">
        <v>47</v>
      </c>
      <c r="C91" s="113">
        <v>0</v>
      </c>
      <c r="D91" s="113">
        <v>1E-4</v>
      </c>
      <c r="E91" s="113">
        <v>1E-4</v>
      </c>
      <c r="F91" s="113" t="s">
        <v>13</v>
      </c>
      <c r="G91" s="113" t="s">
        <v>11</v>
      </c>
      <c r="H91" s="113">
        <v>0.02</v>
      </c>
      <c r="I91" s="113">
        <v>4.4999999999999998E-2</v>
      </c>
      <c r="J91" s="113" t="s">
        <v>10</v>
      </c>
      <c r="K91" s="113">
        <v>57.735999999999997</v>
      </c>
      <c r="L91" s="113">
        <v>4.1759000000000004</v>
      </c>
      <c r="M91" s="113">
        <v>57.731999999999999</v>
      </c>
      <c r="N91" s="113">
        <v>3.9529999999999998</v>
      </c>
      <c r="O91" s="114" t="s">
        <v>2643</v>
      </c>
    </row>
    <row r="92" spans="1:15" x14ac:dyDescent="0.25">
      <c r="A92" s="113" t="s">
        <v>55</v>
      </c>
      <c r="B92" s="113" t="s">
        <v>47</v>
      </c>
      <c r="C92" s="113">
        <v>0</v>
      </c>
      <c r="D92" s="113">
        <v>1E-4</v>
      </c>
      <c r="E92" s="113">
        <v>1E-4</v>
      </c>
      <c r="F92" s="113" t="s">
        <v>13</v>
      </c>
      <c r="G92" s="113" t="s">
        <v>11</v>
      </c>
      <c r="H92" s="113">
        <v>4.4999999999999998E-2</v>
      </c>
      <c r="I92" s="113">
        <v>5</v>
      </c>
      <c r="J92" s="113" t="s">
        <v>10</v>
      </c>
      <c r="K92" s="113">
        <v>57.735999999999997</v>
      </c>
      <c r="L92" s="113">
        <v>1.1861999999999999</v>
      </c>
      <c r="M92" s="113">
        <v>57.734999999999999</v>
      </c>
      <c r="N92" s="113">
        <v>0.96331999999999995</v>
      </c>
      <c r="O92" s="114" t="s">
        <v>1800</v>
      </c>
    </row>
    <row r="93" spans="1:15" x14ac:dyDescent="0.25">
      <c r="A93" s="113" t="s">
        <v>55</v>
      </c>
      <c r="B93" s="113" t="s">
        <v>47</v>
      </c>
      <c r="C93" s="113">
        <v>0</v>
      </c>
      <c r="D93" s="113">
        <v>1E-4</v>
      </c>
      <c r="E93" s="113">
        <v>1E-3</v>
      </c>
      <c r="F93" s="113" t="s">
        <v>13</v>
      </c>
      <c r="G93" s="113" t="s">
        <v>11</v>
      </c>
      <c r="H93" s="113">
        <v>0.02</v>
      </c>
      <c r="I93" s="113">
        <v>4.4999999999999998E-2</v>
      </c>
      <c r="J93" s="113" t="s">
        <v>10</v>
      </c>
      <c r="K93" s="113">
        <v>577.36</v>
      </c>
      <c r="L93" s="113">
        <v>0.50117999999999996</v>
      </c>
      <c r="M93" s="113">
        <v>577.35</v>
      </c>
      <c r="N93" s="113">
        <v>0.41202</v>
      </c>
      <c r="O93" s="114" t="s">
        <v>1802</v>
      </c>
    </row>
    <row r="94" spans="1:15" x14ac:dyDescent="0.25">
      <c r="A94" s="113" t="s">
        <v>55</v>
      </c>
      <c r="B94" s="113" t="s">
        <v>47</v>
      </c>
      <c r="C94" s="113">
        <v>0</v>
      </c>
      <c r="D94" s="113">
        <v>1E-4</v>
      </c>
      <c r="E94" s="113">
        <v>1E-3</v>
      </c>
      <c r="F94" s="113" t="s">
        <v>13</v>
      </c>
      <c r="G94" s="113" t="s">
        <v>11</v>
      </c>
      <c r="H94" s="113">
        <v>4.4999999999999998E-2</v>
      </c>
      <c r="I94" s="113">
        <v>5</v>
      </c>
      <c r="J94" s="113" t="s">
        <v>10</v>
      </c>
      <c r="K94" s="113">
        <v>577.36</v>
      </c>
      <c r="L94" s="113">
        <v>0.20221</v>
      </c>
      <c r="M94" s="113">
        <v>577.35</v>
      </c>
      <c r="N94" s="113">
        <v>0.11305</v>
      </c>
      <c r="O94" s="114" t="s">
        <v>1801</v>
      </c>
    </row>
    <row r="95" spans="1:15" x14ac:dyDescent="0.25">
      <c r="A95" s="113" t="s">
        <v>55</v>
      </c>
      <c r="B95" s="113" t="s">
        <v>47</v>
      </c>
      <c r="C95" s="113">
        <v>0</v>
      </c>
      <c r="D95" s="113">
        <v>1E-4</v>
      </c>
      <c r="E95" s="113">
        <v>1E-3</v>
      </c>
      <c r="F95" s="113" t="s">
        <v>13</v>
      </c>
      <c r="G95" s="113" t="s">
        <v>11</v>
      </c>
      <c r="H95" s="113">
        <v>1E-3</v>
      </c>
      <c r="I95" s="113">
        <v>0.02</v>
      </c>
      <c r="J95" s="113" t="s">
        <v>10</v>
      </c>
      <c r="K95" s="113">
        <v>577.36</v>
      </c>
      <c r="L95" s="113">
        <v>2.1804999999999999</v>
      </c>
      <c r="M95" s="113">
        <v>577.35</v>
      </c>
      <c r="N95" s="113">
        <v>2.0994999999999999</v>
      </c>
      <c r="O95" s="114" t="s">
        <v>2644</v>
      </c>
    </row>
    <row r="96" spans="1:15" x14ac:dyDescent="0.25">
      <c r="A96" s="113" t="s">
        <v>55</v>
      </c>
      <c r="B96" s="113" t="s">
        <v>47</v>
      </c>
      <c r="C96" s="113">
        <v>0</v>
      </c>
      <c r="D96" s="113">
        <v>1E-4</v>
      </c>
      <c r="E96" s="113">
        <v>0.01</v>
      </c>
      <c r="F96" s="113" t="s">
        <v>13</v>
      </c>
      <c r="G96" s="113" t="s">
        <v>11</v>
      </c>
      <c r="H96" s="113">
        <v>4.4999999999999998E-2</v>
      </c>
      <c r="I96" s="113">
        <v>5</v>
      </c>
      <c r="J96" s="113" t="s">
        <v>10</v>
      </c>
      <c r="K96" s="113">
        <v>5773.6</v>
      </c>
      <c r="L96" s="113">
        <v>5.3657000000000003E-2</v>
      </c>
      <c r="M96" s="113">
        <v>5773.6</v>
      </c>
      <c r="N96" s="113">
        <v>1.7992000000000001E-2</v>
      </c>
      <c r="O96" s="114" t="s">
        <v>1804</v>
      </c>
    </row>
    <row r="97" spans="1:15" x14ac:dyDescent="0.25">
      <c r="A97" s="113" t="s">
        <v>55</v>
      </c>
      <c r="B97" s="113" t="s">
        <v>47</v>
      </c>
      <c r="C97" s="113">
        <v>0</v>
      </c>
      <c r="D97" s="113">
        <v>1E-4</v>
      </c>
      <c r="E97" s="113">
        <v>0.01</v>
      </c>
      <c r="F97" s="113" t="s">
        <v>13</v>
      </c>
      <c r="G97" s="113" t="s">
        <v>11</v>
      </c>
      <c r="H97" s="113">
        <v>1E-3</v>
      </c>
      <c r="I97" s="113">
        <v>0.02</v>
      </c>
      <c r="J97" s="113" t="s">
        <v>10</v>
      </c>
      <c r="K97" s="113">
        <v>5773.6</v>
      </c>
      <c r="L97" s="113">
        <v>0.24237</v>
      </c>
      <c r="M97" s="113">
        <v>5773.6</v>
      </c>
      <c r="N97" s="113">
        <v>0.20995</v>
      </c>
      <c r="O97" s="114" t="s">
        <v>1805</v>
      </c>
    </row>
    <row r="98" spans="1:15" x14ac:dyDescent="0.25">
      <c r="A98" s="113" t="s">
        <v>55</v>
      </c>
      <c r="B98" s="113" t="s">
        <v>47</v>
      </c>
      <c r="C98" s="113">
        <v>0</v>
      </c>
      <c r="D98" s="113">
        <v>1E-4</v>
      </c>
      <c r="E98" s="113">
        <v>0.01</v>
      </c>
      <c r="F98" s="113" t="s">
        <v>13</v>
      </c>
      <c r="G98" s="113" t="s">
        <v>11</v>
      </c>
      <c r="H98" s="113">
        <v>0.02</v>
      </c>
      <c r="I98" s="113">
        <v>4.4999999999999998E-2</v>
      </c>
      <c r="J98" s="113" t="s">
        <v>10</v>
      </c>
      <c r="K98" s="113">
        <v>5773.6</v>
      </c>
      <c r="L98" s="113">
        <v>8.3554000000000003E-2</v>
      </c>
      <c r="M98" s="113">
        <v>5773.5</v>
      </c>
      <c r="N98" s="113">
        <v>4.7889000000000001E-2</v>
      </c>
      <c r="O98" s="114" t="s">
        <v>1803</v>
      </c>
    </row>
    <row r="99" spans="1:15" x14ac:dyDescent="0.25">
      <c r="A99" s="113" t="s">
        <v>55</v>
      </c>
      <c r="B99" s="113" t="s">
        <v>47</v>
      </c>
      <c r="C99" s="113">
        <v>0</v>
      </c>
      <c r="D99" s="113">
        <v>1E-4</v>
      </c>
      <c r="E99" s="113">
        <v>0.1</v>
      </c>
      <c r="F99" s="113" t="s">
        <v>13</v>
      </c>
      <c r="G99" s="113" t="s">
        <v>11</v>
      </c>
      <c r="H99" s="113">
        <v>4.4999999999999998E-2</v>
      </c>
      <c r="I99" s="113">
        <v>5</v>
      </c>
      <c r="J99" s="113" t="s">
        <v>10</v>
      </c>
      <c r="K99" s="113">
        <v>57736</v>
      </c>
      <c r="L99" s="113">
        <v>1.874E-2</v>
      </c>
      <c r="M99" s="113">
        <v>57736</v>
      </c>
      <c r="N99" s="113">
        <v>4.4741E-3</v>
      </c>
      <c r="O99" s="114" t="s">
        <v>2645</v>
      </c>
    </row>
    <row r="100" spans="1:15" x14ac:dyDescent="0.25">
      <c r="A100" s="113" t="s">
        <v>55</v>
      </c>
      <c r="B100" s="113" t="s">
        <v>47</v>
      </c>
      <c r="C100" s="113">
        <v>0</v>
      </c>
      <c r="D100" s="113">
        <v>1E-4</v>
      </c>
      <c r="E100" s="113">
        <v>0.1</v>
      </c>
      <c r="F100" s="113" t="s">
        <v>13</v>
      </c>
      <c r="G100" s="113" t="s">
        <v>11</v>
      </c>
      <c r="H100" s="113">
        <v>1E-3</v>
      </c>
      <c r="I100" s="113">
        <v>0.02</v>
      </c>
      <c r="J100" s="113" t="s">
        <v>10</v>
      </c>
      <c r="K100" s="113">
        <v>57736</v>
      </c>
      <c r="L100" s="113">
        <v>3.3964000000000001E-2</v>
      </c>
      <c r="M100" s="113">
        <v>57736</v>
      </c>
      <c r="N100" s="113">
        <v>2.0995E-2</v>
      </c>
      <c r="O100" s="114" t="s">
        <v>1806</v>
      </c>
    </row>
    <row r="101" spans="1:15" x14ac:dyDescent="0.25">
      <c r="A101" s="113" t="s">
        <v>55</v>
      </c>
      <c r="B101" s="113" t="s">
        <v>47</v>
      </c>
      <c r="C101" s="113">
        <v>0</v>
      </c>
      <c r="D101" s="113">
        <v>1E-4</v>
      </c>
      <c r="E101" s="113">
        <v>0.1</v>
      </c>
      <c r="F101" s="113" t="s">
        <v>13</v>
      </c>
      <c r="G101" s="113" t="s">
        <v>11</v>
      </c>
      <c r="H101" s="113">
        <v>0.02</v>
      </c>
      <c r="I101" s="113">
        <v>4.4999999999999998E-2</v>
      </c>
      <c r="J101" s="113" t="s">
        <v>10</v>
      </c>
      <c r="K101" s="113">
        <v>57736</v>
      </c>
      <c r="L101" s="113">
        <v>2.1729999999999999E-2</v>
      </c>
      <c r="M101" s="113">
        <v>57736</v>
      </c>
      <c r="N101" s="113">
        <v>7.4637999999999996E-3</v>
      </c>
      <c r="O101" s="114" t="s">
        <v>1807</v>
      </c>
    </row>
    <row r="102" spans="1:15" x14ac:dyDescent="0.25">
      <c r="A102" s="113" t="s">
        <v>55</v>
      </c>
      <c r="B102" s="113" t="s">
        <v>47</v>
      </c>
      <c r="C102" s="113">
        <v>0</v>
      </c>
      <c r="D102" s="113">
        <v>1E-4</v>
      </c>
      <c r="E102" s="113">
        <v>1</v>
      </c>
      <c r="F102" s="113" t="s">
        <v>13</v>
      </c>
      <c r="G102" s="113" t="s">
        <v>11</v>
      </c>
      <c r="H102" s="113">
        <v>1E-3</v>
      </c>
      <c r="I102" s="113">
        <v>0.02</v>
      </c>
      <c r="J102" s="113" t="s">
        <v>10</v>
      </c>
      <c r="K102" s="113">
        <v>577360</v>
      </c>
      <c r="L102" s="113">
        <v>7.2871000000000003E-3</v>
      </c>
      <c r="M102" s="113">
        <v>577360</v>
      </c>
      <c r="N102" s="113">
        <v>2.0990000000000002E-3</v>
      </c>
      <c r="O102" s="114" t="s">
        <v>1808</v>
      </c>
    </row>
    <row r="103" spans="1:15" x14ac:dyDescent="0.25">
      <c r="A103" s="113" t="s">
        <v>55</v>
      </c>
      <c r="B103" s="113" t="s">
        <v>47</v>
      </c>
      <c r="C103" s="113">
        <v>0</v>
      </c>
      <c r="D103" s="113">
        <v>1E-4</v>
      </c>
      <c r="E103" s="113">
        <v>1</v>
      </c>
      <c r="F103" s="113" t="s">
        <v>13</v>
      </c>
      <c r="G103" s="113" t="s">
        <v>11</v>
      </c>
      <c r="H103" s="113">
        <v>4.4999999999999998E-2</v>
      </c>
      <c r="I103" s="113">
        <v>5</v>
      </c>
      <c r="J103" s="113" t="s">
        <v>10</v>
      </c>
      <c r="K103" s="113">
        <v>577360</v>
      </c>
      <c r="L103" s="113">
        <v>7.2242000000000001E-3</v>
      </c>
      <c r="M103" s="113">
        <v>577360</v>
      </c>
      <c r="N103" s="113">
        <v>1.5173000000000001E-3</v>
      </c>
      <c r="O103" s="114" t="s">
        <v>1809</v>
      </c>
    </row>
    <row r="104" spans="1:15" x14ac:dyDescent="0.25">
      <c r="A104" s="113" t="s">
        <v>55</v>
      </c>
      <c r="B104" s="113" t="s">
        <v>47</v>
      </c>
      <c r="C104" s="113">
        <v>0</v>
      </c>
      <c r="D104" s="113">
        <v>1E-4</v>
      </c>
      <c r="E104" s="113">
        <v>1</v>
      </c>
      <c r="F104" s="113" t="s">
        <v>13</v>
      </c>
      <c r="G104" s="113" t="s">
        <v>11</v>
      </c>
      <c r="H104" s="113">
        <v>0.02</v>
      </c>
      <c r="I104" s="113">
        <v>4.4999999999999998E-2</v>
      </c>
      <c r="J104" s="113" t="s">
        <v>10</v>
      </c>
      <c r="K104" s="113">
        <v>577360</v>
      </c>
      <c r="L104" s="113">
        <v>7.5230000000000002E-3</v>
      </c>
      <c r="M104" s="113">
        <v>577360</v>
      </c>
      <c r="N104" s="113">
        <v>1.8174E-3</v>
      </c>
      <c r="O104" s="114" t="s">
        <v>1810</v>
      </c>
    </row>
    <row r="105" spans="1:15" x14ac:dyDescent="0.25">
      <c r="A105" s="113" t="s">
        <v>55</v>
      </c>
      <c r="B105" s="113" t="s">
        <v>47</v>
      </c>
      <c r="C105" s="113">
        <v>1E-4</v>
      </c>
      <c r="D105" s="113">
        <v>1E-3</v>
      </c>
      <c r="E105" s="113">
        <v>1E-10</v>
      </c>
      <c r="F105" s="113" t="s">
        <v>13</v>
      </c>
      <c r="G105" s="113" t="s">
        <v>11</v>
      </c>
      <c r="H105" s="113">
        <v>4.4999999999999998E-2</v>
      </c>
      <c r="I105" s="113">
        <v>0.1</v>
      </c>
      <c r="J105" s="113" t="s">
        <v>10</v>
      </c>
      <c r="K105" s="113">
        <v>0.24</v>
      </c>
      <c r="L105" s="113">
        <v>690</v>
      </c>
      <c r="M105" s="113">
        <v>0.23094000000000001</v>
      </c>
      <c r="N105" s="113">
        <v>693.02</v>
      </c>
      <c r="O105" s="114" t="s">
        <v>1816</v>
      </c>
    </row>
    <row r="106" spans="1:15" x14ac:dyDescent="0.25">
      <c r="A106" s="113" t="s">
        <v>55</v>
      </c>
      <c r="B106" s="113" t="s">
        <v>47</v>
      </c>
      <c r="C106" s="113">
        <v>1E-4</v>
      </c>
      <c r="D106" s="113">
        <v>1E-3</v>
      </c>
      <c r="E106" s="113">
        <v>1E-10</v>
      </c>
      <c r="F106" s="113" t="s">
        <v>13</v>
      </c>
      <c r="G106" s="113" t="s">
        <v>11</v>
      </c>
      <c r="H106" s="113">
        <v>5</v>
      </c>
      <c r="I106" s="113">
        <v>20</v>
      </c>
      <c r="J106" s="113" t="s">
        <v>10</v>
      </c>
      <c r="K106" s="113">
        <v>0.25</v>
      </c>
      <c r="L106" s="113">
        <v>710</v>
      </c>
      <c r="M106" s="113">
        <v>0.23471</v>
      </c>
      <c r="N106" s="113">
        <v>715.83</v>
      </c>
      <c r="O106" s="114" t="s">
        <v>1812</v>
      </c>
    </row>
    <row r="107" spans="1:15" x14ac:dyDescent="0.25">
      <c r="A107" s="113" t="s">
        <v>55</v>
      </c>
      <c r="B107" s="113" t="s">
        <v>47</v>
      </c>
      <c r="C107" s="113">
        <v>1E-4</v>
      </c>
      <c r="D107" s="113">
        <v>1E-3</v>
      </c>
      <c r="E107" s="113">
        <v>1E-10</v>
      </c>
      <c r="F107" s="113" t="s">
        <v>13</v>
      </c>
      <c r="G107" s="113" t="s">
        <v>11</v>
      </c>
      <c r="H107" s="113">
        <v>20</v>
      </c>
      <c r="I107" s="113">
        <v>50</v>
      </c>
      <c r="J107" s="113" t="s">
        <v>10</v>
      </c>
      <c r="K107" s="113">
        <v>0.47</v>
      </c>
      <c r="L107" s="113">
        <v>4800</v>
      </c>
      <c r="M107" s="113">
        <v>0.46627000000000002</v>
      </c>
      <c r="N107" s="113">
        <v>4761.7</v>
      </c>
      <c r="O107" s="114" t="s">
        <v>1815</v>
      </c>
    </row>
    <row r="108" spans="1:15" x14ac:dyDescent="0.25">
      <c r="A108" s="113" t="s">
        <v>55</v>
      </c>
      <c r="B108" s="113" t="s">
        <v>47</v>
      </c>
      <c r="C108" s="113">
        <v>1E-4</v>
      </c>
      <c r="D108" s="113">
        <v>1E-3</v>
      </c>
      <c r="E108" s="113">
        <v>1E-10</v>
      </c>
      <c r="F108" s="113" t="s">
        <v>13</v>
      </c>
      <c r="G108" s="113" t="s">
        <v>11</v>
      </c>
      <c r="H108" s="113">
        <v>50</v>
      </c>
      <c r="I108" s="113">
        <v>100</v>
      </c>
      <c r="J108" s="113" t="s">
        <v>10</v>
      </c>
      <c r="K108" s="113">
        <v>1.9</v>
      </c>
      <c r="L108" s="113">
        <v>6500</v>
      </c>
      <c r="M108" s="113">
        <v>1.7592000000000001</v>
      </c>
      <c r="N108" s="113">
        <v>6558</v>
      </c>
      <c r="O108" s="114" t="s">
        <v>2646</v>
      </c>
    </row>
    <row r="109" spans="1:15" x14ac:dyDescent="0.25">
      <c r="A109" s="113" t="s">
        <v>55</v>
      </c>
      <c r="B109" s="113" t="s">
        <v>47</v>
      </c>
      <c r="C109" s="113">
        <v>1E-4</v>
      </c>
      <c r="D109" s="113">
        <v>1E-3</v>
      </c>
      <c r="E109" s="113">
        <v>1E-10</v>
      </c>
      <c r="F109" s="113" t="s">
        <v>13</v>
      </c>
      <c r="G109" s="113" t="s">
        <v>11</v>
      </c>
      <c r="H109" s="113">
        <v>1E-3</v>
      </c>
      <c r="I109" s="113">
        <v>0.02</v>
      </c>
      <c r="J109" s="113" t="s">
        <v>10</v>
      </c>
      <c r="K109" s="113">
        <v>0.25</v>
      </c>
      <c r="L109" s="113">
        <v>4600</v>
      </c>
      <c r="M109" s="113">
        <v>0.23094999999999999</v>
      </c>
      <c r="N109" s="113">
        <v>4618.8</v>
      </c>
      <c r="O109" s="114" t="s">
        <v>1813</v>
      </c>
    </row>
    <row r="110" spans="1:15" x14ac:dyDescent="0.25">
      <c r="A110" s="113" t="s">
        <v>55</v>
      </c>
      <c r="B110" s="113" t="s">
        <v>47</v>
      </c>
      <c r="C110" s="113">
        <v>1E-4</v>
      </c>
      <c r="D110" s="113">
        <v>1E-3</v>
      </c>
      <c r="E110" s="113">
        <v>1E-10</v>
      </c>
      <c r="F110" s="113" t="s">
        <v>13</v>
      </c>
      <c r="G110" s="113" t="s">
        <v>11</v>
      </c>
      <c r="H110" s="113">
        <v>0.1</v>
      </c>
      <c r="I110" s="113">
        <v>5</v>
      </c>
      <c r="J110" s="113" t="s">
        <v>10</v>
      </c>
      <c r="K110" s="113">
        <v>0.25</v>
      </c>
      <c r="L110" s="113">
        <v>350</v>
      </c>
      <c r="M110" s="113">
        <v>0.23000999999999999</v>
      </c>
      <c r="N110" s="113">
        <v>364.09</v>
      </c>
      <c r="O110" s="114" t="s">
        <v>1811</v>
      </c>
    </row>
    <row r="111" spans="1:15" x14ac:dyDescent="0.25">
      <c r="A111" s="113" t="s">
        <v>55</v>
      </c>
      <c r="B111" s="113" t="s">
        <v>47</v>
      </c>
      <c r="C111" s="113">
        <v>1E-4</v>
      </c>
      <c r="D111" s="113">
        <v>1E-3</v>
      </c>
      <c r="E111" s="113">
        <v>1E-10</v>
      </c>
      <c r="F111" s="113" t="s">
        <v>13</v>
      </c>
      <c r="G111" s="113" t="s">
        <v>11</v>
      </c>
      <c r="H111" s="113">
        <v>0.02</v>
      </c>
      <c r="I111" s="113">
        <v>4.4999999999999998E-2</v>
      </c>
      <c r="J111" s="113" t="s">
        <v>10</v>
      </c>
      <c r="K111" s="113">
        <v>0.27</v>
      </c>
      <c r="L111" s="113">
        <v>1700</v>
      </c>
      <c r="M111" s="113">
        <v>0.23094000000000001</v>
      </c>
      <c r="N111" s="113">
        <v>1732.1</v>
      </c>
      <c r="O111" s="114" t="s">
        <v>1814</v>
      </c>
    </row>
    <row r="112" spans="1:15" x14ac:dyDescent="0.25">
      <c r="A112" s="113" t="s">
        <v>55</v>
      </c>
      <c r="B112" s="113" t="s">
        <v>47</v>
      </c>
      <c r="C112" s="113">
        <v>1E-4</v>
      </c>
      <c r="D112" s="113">
        <v>1E-3</v>
      </c>
      <c r="E112" s="113">
        <v>1.0000000000000001E-9</v>
      </c>
      <c r="F112" s="113" t="s">
        <v>13</v>
      </c>
      <c r="G112" s="113" t="s">
        <v>11</v>
      </c>
      <c r="H112" s="113">
        <v>50</v>
      </c>
      <c r="I112" s="113">
        <v>100</v>
      </c>
      <c r="J112" s="113" t="s">
        <v>10</v>
      </c>
      <c r="K112" s="113">
        <v>1.9</v>
      </c>
      <c r="L112" s="113">
        <v>6531.9</v>
      </c>
      <c r="M112" s="113">
        <v>1.7594000000000001</v>
      </c>
      <c r="N112" s="113">
        <v>6558.1</v>
      </c>
      <c r="O112" s="114" t="s">
        <v>1818</v>
      </c>
    </row>
    <row r="113" spans="1:15" x14ac:dyDescent="0.25">
      <c r="A113" s="113" t="s">
        <v>55</v>
      </c>
      <c r="B113" s="113" t="s">
        <v>47</v>
      </c>
      <c r="C113" s="113">
        <v>1E-4</v>
      </c>
      <c r="D113" s="113">
        <v>1E-3</v>
      </c>
      <c r="E113" s="113">
        <v>1.0000000000000001E-9</v>
      </c>
      <c r="F113" s="113" t="s">
        <v>13</v>
      </c>
      <c r="G113" s="113" t="s">
        <v>11</v>
      </c>
      <c r="H113" s="113">
        <v>4.4999999999999998E-2</v>
      </c>
      <c r="I113" s="113">
        <v>0.1</v>
      </c>
      <c r="J113" s="113" t="s">
        <v>10</v>
      </c>
      <c r="K113" s="113">
        <v>0.24</v>
      </c>
      <c r="L113" s="113">
        <v>690</v>
      </c>
      <c r="M113" s="113">
        <v>0.23102</v>
      </c>
      <c r="N113" s="113">
        <v>692.99</v>
      </c>
      <c r="O113" s="114" t="s">
        <v>2647</v>
      </c>
    </row>
    <row r="114" spans="1:15" x14ac:dyDescent="0.25">
      <c r="A114" s="113" t="s">
        <v>55</v>
      </c>
      <c r="B114" s="113" t="s">
        <v>47</v>
      </c>
      <c r="C114" s="113">
        <v>1E-4</v>
      </c>
      <c r="D114" s="113">
        <v>1E-3</v>
      </c>
      <c r="E114" s="113">
        <v>1.0000000000000001E-9</v>
      </c>
      <c r="F114" s="113" t="s">
        <v>13</v>
      </c>
      <c r="G114" s="113" t="s">
        <v>11</v>
      </c>
      <c r="H114" s="113">
        <v>20</v>
      </c>
      <c r="I114" s="113">
        <v>50</v>
      </c>
      <c r="J114" s="113" t="s">
        <v>10</v>
      </c>
      <c r="K114" s="113">
        <v>0.47</v>
      </c>
      <c r="L114" s="113">
        <v>4761.6000000000004</v>
      </c>
      <c r="M114" s="113">
        <v>0.46636</v>
      </c>
      <c r="N114" s="113">
        <v>4761.6000000000004</v>
      </c>
      <c r="O114" s="114" t="s">
        <v>1820</v>
      </c>
    </row>
    <row r="115" spans="1:15" x14ac:dyDescent="0.25">
      <c r="A115" s="113" t="s">
        <v>55</v>
      </c>
      <c r="B115" s="113" t="s">
        <v>47</v>
      </c>
      <c r="C115" s="113">
        <v>1E-4</v>
      </c>
      <c r="D115" s="113">
        <v>1E-3</v>
      </c>
      <c r="E115" s="113">
        <v>1.0000000000000001E-9</v>
      </c>
      <c r="F115" s="113" t="s">
        <v>13</v>
      </c>
      <c r="G115" s="113" t="s">
        <v>11</v>
      </c>
      <c r="H115" s="113">
        <v>0.02</v>
      </c>
      <c r="I115" s="113">
        <v>4.4999999999999998E-2</v>
      </c>
      <c r="J115" s="113" t="s">
        <v>10</v>
      </c>
      <c r="K115" s="113">
        <v>0.27</v>
      </c>
      <c r="L115" s="113">
        <v>1700</v>
      </c>
      <c r="M115" s="113">
        <v>0.23100000000000001</v>
      </c>
      <c r="N115" s="113">
        <v>1732.1</v>
      </c>
      <c r="O115" s="114" t="s">
        <v>1821</v>
      </c>
    </row>
    <row r="116" spans="1:15" x14ac:dyDescent="0.25">
      <c r="A116" s="113" t="s">
        <v>55</v>
      </c>
      <c r="B116" s="113" t="s">
        <v>47</v>
      </c>
      <c r="C116" s="113">
        <v>1E-4</v>
      </c>
      <c r="D116" s="113">
        <v>1E-3</v>
      </c>
      <c r="E116" s="113">
        <v>1.0000000000000001E-9</v>
      </c>
      <c r="F116" s="113" t="s">
        <v>13</v>
      </c>
      <c r="G116" s="113" t="s">
        <v>11</v>
      </c>
      <c r="H116" s="113">
        <v>1E-3</v>
      </c>
      <c r="I116" s="113">
        <v>0.02</v>
      </c>
      <c r="J116" s="113" t="s">
        <v>10</v>
      </c>
      <c r="K116" s="113">
        <v>0.25</v>
      </c>
      <c r="L116" s="113">
        <v>4600</v>
      </c>
      <c r="M116" s="113">
        <v>0.23097999999999999</v>
      </c>
      <c r="N116" s="113">
        <v>4618.8</v>
      </c>
      <c r="O116" s="114" t="s">
        <v>1822</v>
      </c>
    </row>
    <row r="117" spans="1:15" x14ac:dyDescent="0.25">
      <c r="A117" s="113" t="s">
        <v>55</v>
      </c>
      <c r="B117" s="113" t="s">
        <v>47</v>
      </c>
      <c r="C117" s="113">
        <v>1E-4</v>
      </c>
      <c r="D117" s="113">
        <v>1E-3</v>
      </c>
      <c r="E117" s="113">
        <v>1.0000000000000001E-9</v>
      </c>
      <c r="F117" s="113" t="s">
        <v>13</v>
      </c>
      <c r="G117" s="113" t="s">
        <v>11</v>
      </c>
      <c r="H117" s="113">
        <v>5</v>
      </c>
      <c r="I117" s="113">
        <v>20</v>
      </c>
      <c r="J117" s="113" t="s">
        <v>10</v>
      </c>
      <c r="K117" s="113">
        <v>0.25</v>
      </c>
      <c r="L117" s="113">
        <v>711.93</v>
      </c>
      <c r="M117" s="113">
        <v>0.23479</v>
      </c>
      <c r="N117" s="113">
        <v>715.8</v>
      </c>
      <c r="O117" s="114" t="s">
        <v>1819</v>
      </c>
    </row>
    <row r="118" spans="1:15" x14ac:dyDescent="0.25">
      <c r="A118" s="113" t="s">
        <v>55</v>
      </c>
      <c r="B118" s="113" t="s">
        <v>47</v>
      </c>
      <c r="C118" s="113">
        <v>1E-4</v>
      </c>
      <c r="D118" s="113">
        <v>1E-3</v>
      </c>
      <c r="E118" s="113">
        <v>1.0000000000000001E-9</v>
      </c>
      <c r="F118" s="113" t="s">
        <v>13</v>
      </c>
      <c r="G118" s="113" t="s">
        <v>11</v>
      </c>
      <c r="H118" s="113">
        <v>0.1</v>
      </c>
      <c r="I118" s="113">
        <v>5</v>
      </c>
      <c r="J118" s="113" t="s">
        <v>10</v>
      </c>
      <c r="K118" s="113">
        <v>0.25</v>
      </c>
      <c r="L118" s="113">
        <v>354.91</v>
      </c>
      <c r="M118" s="113">
        <v>0.23008999999999999</v>
      </c>
      <c r="N118" s="113">
        <v>364.09</v>
      </c>
      <c r="O118" s="114" t="s">
        <v>1817</v>
      </c>
    </row>
    <row r="119" spans="1:15" x14ac:dyDescent="0.25">
      <c r="A119" s="113" t="s">
        <v>55</v>
      </c>
      <c r="B119" s="113" t="s">
        <v>47</v>
      </c>
      <c r="C119" s="113">
        <v>1E-4</v>
      </c>
      <c r="D119" s="113">
        <v>1E-3</v>
      </c>
      <c r="E119" s="113">
        <v>1E-8</v>
      </c>
      <c r="F119" s="113" t="s">
        <v>13</v>
      </c>
      <c r="G119" s="113" t="s">
        <v>11</v>
      </c>
      <c r="H119" s="113">
        <v>50</v>
      </c>
      <c r="I119" s="113">
        <v>100</v>
      </c>
      <c r="J119" s="113" t="s">
        <v>10</v>
      </c>
      <c r="K119" s="113">
        <v>1.9</v>
      </c>
      <c r="L119" s="113">
        <v>6537.4</v>
      </c>
      <c r="M119" s="113">
        <v>1.7606999999999999</v>
      </c>
      <c r="N119" s="113">
        <v>6558</v>
      </c>
      <c r="O119" s="114" t="s">
        <v>1826</v>
      </c>
    </row>
    <row r="120" spans="1:15" x14ac:dyDescent="0.25">
      <c r="A120" s="113" t="s">
        <v>55</v>
      </c>
      <c r="B120" s="113" t="s">
        <v>47</v>
      </c>
      <c r="C120" s="113">
        <v>1E-4</v>
      </c>
      <c r="D120" s="113">
        <v>1E-3</v>
      </c>
      <c r="E120" s="113">
        <v>1E-8</v>
      </c>
      <c r="F120" s="113" t="s">
        <v>13</v>
      </c>
      <c r="G120" s="113" t="s">
        <v>11</v>
      </c>
      <c r="H120" s="113">
        <v>4.4999999999999998E-2</v>
      </c>
      <c r="I120" s="113">
        <v>0.1</v>
      </c>
      <c r="J120" s="113" t="s">
        <v>10</v>
      </c>
      <c r="K120" s="113">
        <v>0.24</v>
      </c>
      <c r="L120" s="113">
        <v>690</v>
      </c>
      <c r="M120" s="113">
        <v>0.23691000000000001</v>
      </c>
      <c r="N120" s="113">
        <v>689</v>
      </c>
      <c r="O120" s="114" t="s">
        <v>1824</v>
      </c>
    </row>
    <row r="121" spans="1:15" x14ac:dyDescent="0.25">
      <c r="A121" s="113" t="s">
        <v>55</v>
      </c>
      <c r="B121" s="113" t="s">
        <v>47</v>
      </c>
      <c r="C121" s="113">
        <v>1E-4</v>
      </c>
      <c r="D121" s="113">
        <v>1E-3</v>
      </c>
      <c r="E121" s="113">
        <v>1E-8</v>
      </c>
      <c r="F121" s="113" t="s">
        <v>13</v>
      </c>
      <c r="G121" s="113" t="s">
        <v>11</v>
      </c>
      <c r="H121" s="113">
        <v>5</v>
      </c>
      <c r="I121" s="113">
        <v>20</v>
      </c>
      <c r="J121" s="113" t="s">
        <v>10</v>
      </c>
      <c r="K121" s="113">
        <v>0.25</v>
      </c>
      <c r="L121" s="113">
        <v>712.22</v>
      </c>
      <c r="M121" s="113">
        <v>0.24057999999999999</v>
      </c>
      <c r="N121" s="113">
        <v>711.87</v>
      </c>
      <c r="O121" s="114" t="s">
        <v>1829</v>
      </c>
    </row>
    <row r="122" spans="1:15" x14ac:dyDescent="0.25">
      <c r="A122" s="113" t="s">
        <v>55</v>
      </c>
      <c r="B122" s="113" t="s">
        <v>47</v>
      </c>
      <c r="C122" s="113">
        <v>1E-4</v>
      </c>
      <c r="D122" s="113">
        <v>1E-3</v>
      </c>
      <c r="E122" s="113">
        <v>1E-8</v>
      </c>
      <c r="F122" s="113" t="s">
        <v>13</v>
      </c>
      <c r="G122" s="113" t="s">
        <v>11</v>
      </c>
      <c r="H122" s="113">
        <v>0.1</v>
      </c>
      <c r="I122" s="113">
        <v>5</v>
      </c>
      <c r="J122" s="113" t="s">
        <v>10</v>
      </c>
      <c r="K122" s="113">
        <v>0.25</v>
      </c>
      <c r="L122" s="113">
        <v>359.01</v>
      </c>
      <c r="M122" s="113">
        <v>0.23663000000000001</v>
      </c>
      <c r="N122" s="113">
        <v>360.5</v>
      </c>
      <c r="O122" s="114" t="s">
        <v>1825</v>
      </c>
    </row>
    <row r="123" spans="1:15" x14ac:dyDescent="0.25">
      <c r="A123" s="113" t="s">
        <v>55</v>
      </c>
      <c r="B123" s="113" t="s">
        <v>47</v>
      </c>
      <c r="C123" s="113">
        <v>1E-4</v>
      </c>
      <c r="D123" s="113">
        <v>1E-3</v>
      </c>
      <c r="E123" s="113">
        <v>1E-8</v>
      </c>
      <c r="F123" s="113" t="s">
        <v>13</v>
      </c>
      <c r="G123" s="113" t="s">
        <v>11</v>
      </c>
      <c r="H123" s="113">
        <v>1E-3</v>
      </c>
      <c r="I123" s="113">
        <v>0.02</v>
      </c>
      <c r="J123" s="113" t="s">
        <v>10</v>
      </c>
      <c r="K123" s="113">
        <v>0.25</v>
      </c>
      <c r="L123" s="113">
        <v>4600.3</v>
      </c>
      <c r="M123" s="113">
        <v>0.23363</v>
      </c>
      <c r="N123" s="113">
        <v>4616.5</v>
      </c>
      <c r="O123" s="114" t="s">
        <v>1827</v>
      </c>
    </row>
    <row r="124" spans="1:15" x14ac:dyDescent="0.25">
      <c r="A124" s="113" t="s">
        <v>55</v>
      </c>
      <c r="B124" s="113" t="s">
        <v>47</v>
      </c>
      <c r="C124" s="113">
        <v>1E-4</v>
      </c>
      <c r="D124" s="113">
        <v>1E-3</v>
      </c>
      <c r="E124" s="113">
        <v>1E-8</v>
      </c>
      <c r="F124" s="113" t="s">
        <v>13</v>
      </c>
      <c r="G124" s="113" t="s">
        <v>11</v>
      </c>
      <c r="H124" s="113">
        <v>20</v>
      </c>
      <c r="I124" s="113">
        <v>50</v>
      </c>
      <c r="J124" s="113" t="s">
        <v>10</v>
      </c>
      <c r="K124" s="113">
        <v>0.47</v>
      </c>
      <c r="L124" s="113">
        <v>4759.8999999999996</v>
      </c>
      <c r="M124" s="113">
        <v>0.46837000000000001</v>
      </c>
      <c r="N124" s="113">
        <v>4760</v>
      </c>
      <c r="O124" s="114" t="s">
        <v>1823</v>
      </c>
    </row>
    <row r="125" spans="1:15" x14ac:dyDescent="0.25">
      <c r="A125" s="113" t="s">
        <v>55</v>
      </c>
      <c r="B125" s="113" t="s">
        <v>47</v>
      </c>
      <c r="C125" s="113">
        <v>1E-4</v>
      </c>
      <c r="D125" s="113">
        <v>1E-3</v>
      </c>
      <c r="E125" s="113">
        <v>1E-8</v>
      </c>
      <c r="F125" s="113" t="s">
        <v>13</v>
      </c>
      <c r="G125" s="113" t="s">
        <v>11</v>
      </c>
      <c r="H125" s="113">
        <v>0.02</v>
      </c>
      <c r="I125" s="113">
        <v>4.4999999999999998E-2</v>
      </c>
      <c r="J125" s="113" t="s">
        <v>10</v>
      </c>
      <c r="K125" s="113">
        <v>0.27</v>
      </c>
      <c r="L125" s="113">
        <v>1700</v>
      </c>
      <c r="M125" s="113">
        <v>0.23546</v>
      </c>
      <c r="N125" s="113">
        <v>1728.5</v>
      </c>
      <c r="O125" s="114" t="s">
        <v>1828</v>
      </c>
    </row>
    <row r="126" spans="1:15" x14ac:dyDescent="0.25">
      <c r="A126" s="113" t="s">
        <v>55</v>
      </c>
      <c r="B126" s="113" t="s">
        <v>47</v>
      </c>
      <c r="C126" s="113">
        <v>1E-4</v>
      </c>
      <c r="D126" s="113">
        <v>1E-3</v>
      </c>
      <c r="E126" s="113">
        <v>9.9999999999999995E-8</v>
      </c>
      <c r="F126" s="113" t="s">
        <v>13</v>
      </c>
      <c r="G126" s="113" t="s">
        <v>11</v>
      </c>
      <c r="H126" s="113">
        <v>0.02</v>
      </c>
      <c r="I126" s="113">
        <v>4.4999999999999998E-2</v>
      </c>
      <c r="J126" s="113" t="s">
        <v>10</v>
      </c>
      <c r="K126" s="113">
        <v>0.55630000000000002</v>
      </c>
      <c r="L126" s="113">
        <v>1491.3</v>
      </c>
      <c r="M126" s="113">
        <v>0.55586000000000002</v>
      </c>
      <c r="N126" s="113">
        <v>1490.6</v>
      </c>
      <c r="O126" s="114" t="s">
        <v>1830</v>
      </c>
    </row>
    <row r="127" spans="1:15" x14ac:dyDescent="0.25">
      <c r="A127" s="113" t="s">
        <v>55</v>
      </c>
      <c r="B127" s="113" t="s">
        <v>47</v>
      </c>
      <c r="C127" s="113">
        <v>1E-4</v>
      </c>
      <c r="D127" s="113">
        <v>1E-3</v>
      </c>
      <c r="E127" s="113">
        <v>9.9999999999999995E-8</v>
      </c>
      <c r="F127" s="113" t="s">
        <v>13</v>
      </c>
      <c r="G127" s="113" t="s">
        <v>11</v>
      </c>
      <c r="H127" s="113">
        <v>1E-3</v>
      </c>
      <c r="I127" s="113">
        <v>0.02</v>
      </c>
      <c r="J127" s="113" t="s">
        <v>10</v>
      </c>
      <c r="K127" s="113">
        <v>0.45989999999999998</v>
      </c>
      <c r="L127" s="113">
        <v>4424.7</v>
      </c>
      <c r="M127" s="113">
        <v>0.45951999999999998</v>
      </c>
      <c r="N127" s="113">
        <v>4424.6000000000004</v>
      </c>
      <c r="O127" s="114" t="s">
        <v>1833</v>
      </c>
    </row>
    <row r="128" spans="1:15" x14ac:dyDescent="0.25">
      <c r="A128" s="113" t="s">
        <v>55</v>
      </c>
      <c r="B128" s="113" t="s">
        <v>47</v>
      </c>
      <c r="C128" s="113">
        <v>1E-4</v>
      </c>
      <c r="D128" s="113">
        <v>1E-3</v>
      </c>
      <c r="E128" s="113">
        <v>9.9999999999999995E-8</v>
      </c>
      <c r="F128" s="113" t="s">
        <v>13</v>
      </c>
      <c r="G128" s="113" t="s">
        <v>11</v>
      </c>
      <c r="H128" s="113">
        <v>20</v>
      </c>
      <c r="I128" s="113">
        <v>50</v>
      </c>
      <c r="J128" s="113" t="s">
        <v>10</v>
      </c>
      <c r="K128" s="113">
        <v>0.64627000000000001</v>
      </c>
      <c r="L128" s="113">
        <v>4616</v>
      </c>
      <c r="M128" s="113">
        <v>0.64414000000000005</v>
      </c>
      <c r="N128" s="113">
        <v>4616.1000000000004</v>
      </c>
      <c r="O128" s="114" t="s">
        <v>1834</v>
      </c>
    </row>
    <row r="129" spans="1:15" x14ac:dyDescent="0.25">
      <c r="A129" s="113" t="s">
        <v>55</v>
      </c>
      <c r="B129" s="113" t="s">
        <v>47</v>
      </c>
      <c r="C129" s="113">
        <v>1E-4</v>
      </c>
      <c r="D129" s="113">
        <v>1E-3</v>
      </c>
      <c r="E129" s="113">
        <v>9.9999999999999995E-8</v>
      </c>
      <c r="F129" s="113" t="s">
        <v>13</v>
      </c>
      <c r="G129" s="113" t="s">
        <v>11</v>
      </c>
      <c r="H129" s="113">
        <v>50</v>
      </c>
      <c r="I129" s="113">
        <v>100</v>
      </c>
      <c r="J129" s="113" t="s">
        <v>10</v>
      </c>
      <c r="K129" s="113">
        <v>1.9</v>
      </c>
      <c r="L129" s="113">
        <v>6516.3</v>
      </c>
      <c r="M129" s="113">
        <v>1.8353999999999999</v>
      </c>
      <c r="N129" s="113">
        <v>6506.9</v>
      </c>
      <c r="O129" s="114" t="s">
        <v>1831</v>
      </c>
    </row>
    <row r="130" spans="1:15" x14ac:dyDescent="0.25">
      <c r="A130" s="113" t="s">
        <v>55</v>
      </c>
      <c r="B130" s="113" t="s">
        <v>47</v>
      </c>
      <c r="C130" s="113">
        <v>1E-4</v>
      </c>
      <c r="D130" s="113">
        <v>1E-3</v>
      </c>
      <c r="E130" s="113">
        <v>9.9999999999999995E-8</v>
      </c>
      <c r="F130" s="113" t="s">
        <v>13</v>
      </c>
      <c r="G130" s="113" t="s">
        <v>11</v>
      </c>
      <c r="H130" s="113">
        <v>4.4999999999999998E-2</v>
      </c>
      <c r="I130" s="113">
        <v>0.1</v>
      </c>
      <c r="J130" s="113" t="s">
        <v>10</v>
      </c>
      <c r="K130" s="113">
        <v>0.60248999999999997</v>
      </c>
      <c r="L130" s="113">
        <v>489.7</v>
      </c>
      <c r="M130" s="113">
        <v>0.60209999999999997</v>
      </c>
      <c r="N130" s="113">
        <v>487.94</v>
      </c>
      <c r="O130" s="114" t="s">
        <v>1835</v>
      </c>
    </row>
    <row r="131" spans="1:15" x14ac:dyDescent="0.25">
      <c r="A131" s="113" t="s">
        <v>55</v>
      </c>
      <c r="B131" s="113" t="s">
        <v>47</v>
      </c>
      <c r="C131" s="113">
        <v>1E-4</v>
      </c>
      <c r="D131" s="113">
        <v>1E-3</v>
      </c>
      <c r="E131" s="113">
        <v>9.9999999999999995E-8</v>
      </c>
      <c r="F131" s="113" t="s">
        <v>13</v>
      </c>
      <c r="G131" s="113" t="s">
        <v>11</v>
      </c>
      <c r="H131" s="113">
        <v>5</v>
      </c>
      <c r="I131" s="113">
        <v>20</v>
      </c>
      <c r="J131" s="113" t="s">
        <v>10</v>
      </c>
      <c r="K131" s="113">
        <v>0.60309999999999997</v>
      </c>
      <c r="L131" s="113">
        <v>511.67</v>
      </c>
      <c r="M131" s="113">
        <v>0.60272000000000003</v>
      </c>
      <c r="N131" s="113">
        <v>509.95</v>
      </c>
      <c r="O131" s="114" t="s">
        <v>1836</v>
      </c>
    </row>
    <row r="132" spans="1:15" x14ac:dyDescent="0.25">
      <c r="A132" s="113" t="s">
        <v>55</v>
      </c>
      <c r="B132" s="113" t="s">
        <v>47</v>
      </c>
      <c r="C132" s="113">
        <v>1E-4</v>
      </c>
      <c r="D132" s="113">
        <v>1E-3</v>
      </c>
      <c r="E132" s="113">
        <v>9.9999999999999995E-8</v>
      </c>
      <c r="F132" s="113" t="s">
        <v>13</v>
      </c>
      <c r="G132" s="113" t="s">
        <v>11</v>
      </c>
      <c r="H132" s="113">
        <v>0.1</v>
      </c>
      <c r="I132" s="113">
        <v>5</v>
      </c>
      <c r="J132" s="113" t="s">
        <v>10</v>
      </c>
      <c r="K132" s="113">
        <v>0.61485999999999996</v>
      </c>
      <c r="L132" s="113">
        <v>217.08</v>
      </c>
      <c r="M132" s="113">
        <v>0.61453999999999998</v>
      </c>
      <c r="N132" s="113">
        <v>214.58</v>
      </c>
      <c r="O132" s="114" t="s">
        <v>1832</v>
      </c>
    </row>
    <row r="133" spans="1:15" x14ac:dyDescent="0.25">
      <c r="A133" s="113" t="s">
        <v>55</v>
      </c>
      <c r="B133" s="113" t="s">
        <v>47</v>
      </c>
      <c r="C133" s="113">
        <v>1E-4</v>
      </c>
      <c r="D133" s="113">
        <v>1E-3</v>
      </c>
      <c r="E133" s="113">
        <v>9.9999999999999995E-7</v>
      </c>
      <c r="F133" s="113" t="s">
        <v>13</v>
      </c>
      <c r="G133" s="113" t="s">
        <v>11</v>
      </c>
      <c r="H133" s="113">
        <v>1E-3</v>
      </c>
      <c r="I133" s="113">
        <v>0.02</v>
      </c>
      <c r="J133" s="113" t="s">
        <v>10</v>
      </c>
      <c r="K133" s="113">
        <v>5.6234999999999999</v>
      </c>
      <c r="L133" s="113">
        <v>1918.3</v>
      </c>
      <c r="M133" s="113">
        <v>5.6233000000000004</v>
      </c>
      <c r="N133" s="113">
        <v>1917.2</v>
      </c>
      <c r="O133" s="114" t="s">
        <v>1838</v>
      </c>
    </row>
    <row r="134" spans="1:15" x14ac:dyDescent="0.25">
      <c r="A134" s="113" t="s">
        <v>55</v>
      </c>
      <c r="B134" s="113" t="s">
        <v>47</v>
      </c>
      <c r="C134" s="113">
        <v>1E-4</v>
      </c>
      <c r="D134" s="113">
        <v>1E-3</v>
      </c>
      <c r="E134" s="113">
        <v>9.9999999999999995E-7</v>
      </c>
      <c r="F134" s="113" t="s">
        <v>13</v>
      </c>
      <c r="G134" s="113" t="s">
        <v>11</v>
      </c>
      <c r="H134" s="113">
        <v>50</v>
      </c>
      <c r="I134" s="113">
        <v>100</v>
      </c>
      <c r="J134" s="113" t="s">
        <v>10</v>
      </c>
      <c r="K134" s="113">
        <v>5.8456000000000001</v>
      </c>
      <c r="L134" s="113">
        <v>4362.3</v>
      </c>
      <c r="M134" s="113">
        <v>5.8320999999999996</v>
      </c>
      <c r="N134" s="113">
        <v>4309.3</v>
      </c>
      <c r="O134" s="114" t="s">
        <v>1840</v>
      </c>
    </row>
    <row r="135" spans="1:15" x14ac:dyDescent="0.25">
      <c r="A135" s="113" t="s">
        <v>55</v>
      </c>
      <c r="B135" s="113" t="s">
        <v>47</v>
      </c>
      <c r="C135" s="113">
        <v>1E-4</v>
      </c>
      <c r="D135" s="113">
        <v>1E-3</v>
      </c>
      <c r="E135" s="113">
        <v>9.9999999999999995E-7</v>
      </c>
      <c r="F135" s="113" t="s">
        <v>13</v>
      </c>
      <c r="G135" s="113" t="s">
        <v>11</v>
      </c>
      <c r="H135" s="113">
        <v>0.02</v>
      </c>
      <c r="I135" s="113">
        <v>4.4999999999999998E-2</v>
      </c>
      <c r="J135" s="113" t="s">
        <v>10</v>
      </c>
      <c r="K135" s="113">
        <v>5.7533000000000003</v>
      </c>
      <c r="L135" s="113">
        <v>346.75</v>
      </c>
      <c r="M135" s="113">
        <v>5.7531999999999996</v>
      </c>
      <c r="N135" s="113">
        <v>345.32</v>
      </c>
      <c r="O135" s="114" t="s">
        <v>1842</v>
      </c>
    </row>
    <row r="136" spans="1:15" x14ac:dyDescent="0.25">
      <c r="A136" s="113" t="s">
        <v>55</v>
      </c>
      <c r="B136" s="113" t="s">
        <v>47</v>
      </c>
      <c r="C136" s="113">
        <v>1E-4</v>
      </c>
      <c r="D136" s="113">
        <v>1E-3</v>
      </c>
      <c r="E136" s="113">
        <v>9.9999999999999995E-7</v>
      </c>
      <c r="F136" s="113" t="s">
        <v>13</v>
      </c>
      <c r="G136" s="113" t="s">
        <v>11</v>
      </c>
      <c r="H136" s="113">
        <v>5</v>
      </c>
      <c r="I136" s="113">
        <v>20</v>
      </c>
      <c r="J136" s="113" t="s">
        <v>10</v>
      </c>
      <c r="K136" s="113">
        <v>5.7740999999999998</v>
      </c>
      <c r="L136" s="113">
        <v>79.209999999999994</v>
      </c>
      <c r="M136" s="113">
        <v>5.774</v>
      </c>
      <c r="N136" s="113">
        <v>77.712999999999994</v>
      </c>
      <c r="O136" s="114" t="s">
        <v>1837</v>
      </c>
    </row>
    <row r="137" spans="1:15" x14ac:dyDescent="0.25">
      <c r="A137" s="113" t="s">
        <v>55</v>
      </c>
      <c r="B137" s="113" t="s">
        <v>47</v>
      </c>
      <c r="C137" s="113">
        <v>1E-4</v>
      </c>
      <c r="D137" s="113">
        <v>1E-3</v>
      </c>
      <c r="E137" s="113">
        <v>9.9999999999999995E-7</v>
      </c>
      <c r="F137" s="113" t="s">
        <v>13</v>
      </c>
      <c r="G137" s="113" t="s">
        <v>11</v>
      </c>
      <c r="H137" s="113">
        <v>20</v>
      </c>
      <c r="I137" s="113">
        <v>50</v>
      </c>
      <c r="J137" s="113" t="s">
        <v>10</v>
      </c>
      <c r="K137" s="113">
        <v>5.6360000000000001</v>
      </c>
      <c r="L137" s="113">
        <v>2159.6999999999998</v>
      </c>
      <c r="M137" s="113">
        <v>5.6349</v>
      </c>
      <c r="N137" s="113">
        <v>2155.3000000000002</v>
      </c>
      <c r="O137" s="114" t="s">
        <v>1839</v>
      </c>
    </row>
    <row r="138" spans="1:15" x14ac:dyDescent="0.25">
      <c r="A138" s="113" t="s">
        <v>55</v>
      </c>
      <c r="B138" s="113" t="s">
        <v>47</v>
      </c>
      <c r="C138" s="113">
        <v>1E-4</v>
      </c>
      <c r="D138" s="113">
        <v>1E-3</v>
      </c>
      <c r="E138" s="113">
        <v>9.9999999999999995E-7</v>
      </c>
      <c r="F138" s="113" t="s">
        <v>13</v>
      </c>
      <c r="G138" s="113" t="s">
        <v>11</v>
      </c>
      <c r="H138" s="113">
        <v>0.1</v>
      </c>
      <c r="I138" s="113">
        <v>5</v>
      </c>
      <c r="J138" s="113" t="s">
        <v>10</v>
      </c>
      <c r="K138" s="113">
        <v>5.7770999999999999</v>
      </c>
      <c r="L138" s="113">
        <v>28.936</v>
      </c>
      <c r="M138" s="113">
        <v>5.7770000000000001</v>
      </c>
      <c r="N138" s="113">
        <v>27.423999999999999</v>
      </c>
      <c r="O138" s="114" t="s">
        <v>1843</v>
      </c>
    </row>
    <row r="139" spans="1:15" x14ac:dyDescent="0.25">
      <c r="A139" s="113" t="s">
        <v>55</v>
      </c>
      <c r="B139" s="113" t="s">
        <v>47</v>
      </c>
      <c r="C139" s="113">
        <v>1E-4</v>
      </c>
      <c r="D139" s="113">
        <v>1E-3</v>
      </c>
      <c r="E139" s="113">
        <v>9.9999999999999995E-7</v>
      </c>
      <c r="F139" s="113" t="s">
        <v>13</v>
      </c>
      <c r="G139" s="113" t="s">
        <v>11</v>
      </c>
      <c r="H139" s="113">
        <v>4.4999999999999998E-2</v>
      </c>
      <c r="I139" s="113">
        <v>0.1</v>
      </c>
      <c r="J139" s="113" t="s">
        <v>10</v>
      </c>
      <c r="K139" s="113">
        <v>5.7742000000000004</v>
      </c>
      <c r="L139" s="113">
        <v>74.831999999999994</v>
      </c>
      <c r="M139" s="113">
        <v>5.7740999999999998</v>
      </c>
      <c r="N139" s="113">
        <v>73.332999999999998</v>
      </c>
      <c r="O139" s="114" t="s">
        <v>1841</v>
      </c>
    </row>
    <row r="140" spans="1:15" x14ac:dyDescent="0.25">
      <c r="A140" s="113" t="s">
        <v>55</v>
      </c>
      <c r="B140" s="113" t="s">
        <v>47</v>
      </c>
      <c r="C140" s="113">
        <v>1E-3</v>
      </c>
      <c r="D140" s="113">
        <v>0.01</v>
      </c>
      <c r="E140" s="113">
        <v>1E-8</v>
      </c>
      <c r="F140" s="113" t="s">
        <v>13</v>
      </c>
      <c r="G140" s="113" t="s">
        <v>11</v>
      </c>
      <c r="H140" s="113">
        <v>4.4999999999999998E-2</v>
      </c>
      <c r="I140" s="113">
        <v>0.1</v>
      </c>
      <c r="J140" s="113" t="s">
        <v>10</v>
      </c>
      <c r="K140" s="113">
        <v>2.4</v>
      </c>
      <c r="L140" s="113">
        <v>690</v>
      </c>
      <c r="M140" s="113">
        <v>2.3094999999999999</v>
      </c>
      <c r="N140" s="113">
        <v>693.04</v>
      </c>
      <c r="O140" s="114" t="s">
        <v>2648</v>
      </c>
    </row>
    <row r="141" spans="1:15" x14ac:dyDescent="0.25">
      <c r="A141" s="113" t="s">
        <v>55</v>
      </c>
      <c r="B141" s="113" t="s">
        <v>47</v>
      </c>
      <c r="C141" s="113">
        <v>1E-3</v>
      </c>
      <c r="D141" s="113">
        <v>0.01</v>
      </c>
      <c r="E141" s="113">
        <v>1E-8</v>
      </c>
      <c r="F141" s="113" t="s">
        <v>13</v>
      </c>
      <c r="G141" s="113" t="s">
        <v>11</v>
      </c>
      <c r="H141" s="113">
        <v>0.1</v>
      </c>
      <c r="I141" s="113">
        <v>5</v>
      </c>
      <c r="J141" s="113" t="s">
        <v>10</v>
      </c>
      <c r="K141" s="113">
        <v>2.5</v>
      </c>
      <c r="L141" s="113">
        <v>350</v>
      </c>
      <c r="M141" s="113">
        <v>2.2951999999999999</v>
      </c>
      <c r="N141" s="113">
        <v>364.62</v>
      </c>
      <c r="O141" s="114" t="s">
        <v>1844</v>
      </c>
    </row>
    <row r="142" spans="1:15" x14ac:dyDescent="0.25">
      <c r="A142" s="113" t="s">
        <v>55</v>
      </c>
      <c r="B142" s="113" t="s">
        <v>47</v>
      </c>
      <c r="C142" s="113">
        <v>1E-3</v>
      </c>
      <c r="D142" s="113">
        <v>0.01</v>
      </c>
      <c r="E142" s="113">
        <v>1E-8</v>
      </c>
      <c r="F142" s="113" t="s">
        <v>13</v>
      </c>
      <c r="G142" s="113" t="s">
        <v>11</v>
      </c>
      <c r="H142" s="113">
        <v>1E-3</v>
      </c>
      <c r="I142" s="113">
        <v>0.02</v>
      </c>
      <c r="J142" s="113" t="s">
        <v>10</v>
      </c>
      <c r="K142" s="113">
        <v>2.5</v>
      </c>
      <c r="L142" s="113">
        <v>4600</v>
      </c>
      <c r="M142" s="113">
        <v>2.3096000000000001</v>
      </c>
      <c r="N142" s="113">
        <v>4618.8</v>
      </c>
      <c r="O142" s="114" t="s">
        <v>1845</v>
      </c>
    </row>
    <row r="143" spans="1:15" x14ac:dyDescent="0.25">
      <c r="A143" s="113" t="s">
        <v>55</v>
      </c>
      <c r="B143" s="113" t="s">
        <v>47</v>
      </c>
      <c r="C143" s="113">
        <v>1E-3</v>
      </c>
      <c r="D143" s="113">
        <v>0.01</v>
      </c>
      <c r="E143" s="113">
        <v>1E-8</v>
      </c>
      <c r="F143" s="113" t="s">
        <v>13</v>
      </c>
      <c r="G143" s="113" t="s">
        <v>11</v>
      </c>
      <c r="H143" s="113">
        <v>50</v>
      </c>
      <c r="I143" s="113">
        <v>100</v>
      </c>
      <c r="J143" s="113" t="s">
        <v>10</v>
      </c>
      <c r="K143" s="113">
        <v>19</v>
      </c>
      <c r="L143" s="113">
        <v>6500</v>
      </c>
      <c r="M143" s="113">
        <v>17.151</v>
      </c>
      <c r="N143" s="113">
        <v>6602.1</v>
      </c>
      <c r="O143" s="114" t="s">
        <v>1849</v>
      </c>
    </row>
    <row r="144" spans="1:15" x14ac:dyDescent="0.25">
      <c r="A144" s="113" t="s">
        <v>55</v>
      </c>
      <c r="B144" s="113" t="s">
        <v>47</v>
      </c>
      <c r="C144" s="113">
        <v>1E-3</v>
      </c>
      <c r="D144" s="113">
        <v>0.01</v>
      </c>
      <c r="E144" s="113">
        <v>1E-8</v>
      </c>
      <c r="F144" s="113" t="s">
        <v>13</v>
      </c>
      <c r="G144" s="113" t="s">
        <v>11</v>
      </c>
      <c r="H144" s="113">
        <v>20</v>
      </c>
      <c r="I144" s="113">
        <v>50</v>
      </c>
      <c r="J144" s="113" t="s">
        <v>10</v>
      </c>
      <c r="K144" s="113">
        <v>5.0999999999999996</v>
      </c>
      <c r="L144" s="113">
        <v>4700</v>
      </c>
      <c r="M144" s="113">
        <v>4.5719000000000003</v>
      </c>
      <c r="N144" s="113">
        <v>4747.8999999999996</v>
      </c>
      <c r="O144" s="114" t="s">
        <v>1847</v>
      </c>
    </row>
    <row r="145" spans="1:15" x14ac:dyDescent="0.25">
      <c r="A145" s="113" t="s">
        <v>55</v>
      </c>
      <c r="B145" s="113" t="s">
        <v>47</v>
      </c>
      <c r="C145" s="113">
        <v>1E-3</v>
      </c>
      <c r="D145" s="113">
        <v>0.01</v>
      </c>
      <c r="E145" s="113">
        <v>1E-8</v>
      </c>
      <c r="F145" s="113" t="s">
        <v>13</v>
      </c>
      <c r="G145" s="113" t="s">
        <v>11</v>
      </c>
      <c r="H145" s="113">
        <v>5</v>
      </c>
      <c r="I145" s="113">
        <v>20</v>
      </c>
      <c r="J145" s="113" t="s">
        <v>10</v>
      </c>
      <c r="K145" s="113">
        <v>2.5</v>
      </c>
      <c r="L145" s="113">
        <v>710</v>
      </c>
      <c r="M145" s="113">
        <v>2.2890999999999999</v>
      </c>
      <c r="N145" s="113">
        <v>721.65</v>
      </c>
      <c r="O145" s="114" t="s">
        <v>1846</v>
      </c>
    </row>
    <row r="146" spans="1:15" x14ac:dyDescent="0.25">
      <c r="A146" s="113" t="s">
        <v>55</v>
      </c>
      <c r="B146" s="113" t="s">
        <v>47</v>
      </c>
      <c r="C146" s="113">
        <v>1E-3</v>
      </c>
      <c r="D146" s="113">
        <v>0.01</v>
      </c>
      <c r="E146" s="113">
        <v>1E-8</v>
      </c>
      <c r="F146" s="113" t="s">
        <v>13</v>
      </c>
      <c r="G146" s="113" t="s">
        <v>11</v>
      </c>
      <c r="H146" s="113">
        <v>0.02</v>
      </c>
      <c r="I146" s="113">
        <v>4.4999999999999998E-2</v>
      </c>
      <c r="J146" s="113" t="s">
        <v>10</v>
      </c>
      <c r="K146" s="113">
        <v>2.7</v>
      </c>
      <c r="L146" s="113">
        <v>1700</v>
      </c>
      <c r="M146" s="113">
        <v>2.3094999999999999</v>
      </c>
      <c r="N146" s="113">
        <v>1732.1</v>
      </c>
      <c r="O146" s="114" t="s">
        <v>1848</v>
      </c>
    </row>
    <row r="147" spans="1:15" x14ac:dyDescent="0.25">
      <c r="A147" s="113" t="s">
        <v>55</v>
      </c>
      <c r="B147" s="113" t="s">
        <v>47</v>
      </c>
      <c r="C147" s="113">
        <v>1E-3</v>
      </c>
      <c r="D147" s="113">
        <v>0.01</v>
      </c>
      <c r="E147" s="113">
        <v>9.9999999999999995E-8</v>
      </c>
      <c r="F147" s="113" t="s">
        <v>13</v>
      </c>
      <c r="G147" s="113" t="s">
        <v>11</v>
      </c>
      <c r="H147" s="113">
        <v>0.1</v>
      </c>
      <c r="I147" s="113">
        <v>5</v>
      </c>
      <c r="J147" s="113" t="s">
        <v>10</v>
      </c>
      <c r="K147" s="113">
        <v>2.5</v>
      </c>
      <c r="L147" s="113">
        <v>355.75</v>
      </c>
      <c r="M147" s="113">
        <v>2.2965</v>
      </c>
      <c r="N147" s="113">
        <v>364.68</v>
      </c>
      <c r="O147" s="114" t="s">
        <v>1850</v>
      </c>
    </row>
    <row r="148" spans="1:15" x14ac:dyDescent="0.25">
      <c r="A148" s="113" t="s">
        <v>55</v>
      </c>
      <c r="B148" s="113" t="s">
        <v>47</v>
      </c>
      <c r="C148" s="113">
        <v>1E-3</v>
      </c>
      <c r="D148" s="113">
        <v>0.01</v>
      </c>
      <c r="E148" s="113">
        <v>9.9999999999999995E-8</v>
      </c>
      <c r="F148" s="113" t="s">
        <v>13</v>
      </c>
      <c r="G148" s="113" t="s">
        <v>11</v>
      </c>
      <c r="H148" s="113">
        <v>20</v>
      </c>
      <c r="I148" s="113">
        <v>50</v>
      </c>
      <c r="J148" s="113" t="s">
        <v>10</v>
      </c>
      <c r="K148" s="113">
        <v>5.0999999999999996</v>
      </c>
      <c r="L148" s="113">
        <v>4739.1000000000004</v>
      </c>
      <c r="M148" s="113">
        <v>4.5721999999999996</v>
      </c>
      <c r="N148" s="113">
        <v>4747.8999999999996</v>
      </c>
      <c r="O148" s="114" t="s">
        <v>1851</v>
      </c>
    </row>
    <row r="149" spans="1:15" x14ac:dyDescent="0.25">
      <c r="A149" s="113" t="s">
        <v>55</v>
      </c>
      <c r="B149" s="113" t="s">
        <v>47</v>
      </c>
      <c r="C149" s="113">
        <v>1E-3</v>
      </c>
      <c r="D149" s="113">
        <v>0.01</v>
      </c>
      <c r="E149" s="113">
        <v>9.9999999999999995E-8</v>
      </c>
      <c r="F149" s="113" t="s">
        <v>13</v>
      </c>
      <c r="G149" s="113" t="s">
        <v>11</v>
      </c>
      <c r="H149" s="113">
        <v>0.02</v>
      </c>
      <c r="I149" s="113">
        <v>4.4999999999999998E-2</v>
      </c>
      <c r="J149" s="113" t="s">
        <v>10</v>
      </c>
      <c r="K149" s="113">
        <v>2.7</v>
      </c>
      <c r="L149" s="113">
        <v>1700</v>
      </c>
      <c r="M149" s="113">
        <v>2.3109999999999999</v>
      </c>
      <c r="N149" s="113">
        <v>1732</v>
      </c>
      <c r="O149" s="114" t="s">
        <v>2649</v>
      </c>
    </row>
    <row r="150" spans="1:15" x14ac:dyDescent="0.25">
      <c r="A150" s="113" t="s">
        <v>55</v>
      </c>
      <c r="B150" s="113" t="s">
        <v>47</v>
      </c>
      <c r="C150" s="113">
        <v>1E-3</v>
      </c>
      <c r="D150" s="113">
        <v>0.01</v>
      </c>
      <c r="E150" s="113">
        <v>9.9999999999999995E-8</v>
      </c>
      <c r="F150" s="113" t="s">
        <v>13</v>
      </c>
      <c r="G150" s="113" t="s">
        <v>11</v>
      </c>
      <c r="H150" s="113">
        <v>5</v>
      </c>
      <c r="I150" s="113">
        <v>20</v>
      </c>
      <c r="J150" s="113" t="s">
        <v>10</v>
      </c>
      <c r="K150" s="113">
        <v>2.5</v>
      </c>
      <c r="L150" s="113">
        <v>712.46</v>
      </c>
      <c r="M150" s="113">
        <v>2.2904</v>
      </c>
      <c r="N150" s="113">
        <v>721.65</v>
      </c>
      <c r="O150" s="114" t="s">
        <v>1855</v>
      </c>
    </row>
    <row r="151" spans="1:15" x14ac:dyDescent="0.25">
      <c r="A151" s="113" t="s">
        <v>55</v>
      </c>
      <c r="B151" s="113" t="s">
        <v>47</v>
      </c>
      <c r="C151" s="113">
        <v>1E-3</v>
      </c>
      <c r="D151" s="113">
        <v>0.01</v>
      </c>
      <c r="E151" s="113">
        <v>9.9999999999999995E-8</v>
      </c>
      <c r="F151" s="113" t="s">
        <v>13</v>
      </c>
      <c r="G151" s="113" t="s">
        <v>11</v>
      </c>
      <c r="H151" s="113">
        <v>1E-3</v>
      </c>
      <c r="I151" s="113">
        <v>0.02</v>
      </c>
      <c r="J151" s="113" t="s">
        <v>10</v>
      </c>
      <c r="K151" s="113">
        <v>2.5</v>
      </c>
      <c r="L151" s="113">
        <v>4600</v>
      </c>
      <c r="M151" s="113">
        <v>2.3100999999999998</v>
      </c>
      <c r="N151" s="113">
        <v>4618.8</v>
      </c>
      <c r="O151" s="114" t="s">
        <v>1853</v>
      </c>
    </row>
    <row r="152" spans="1:15" x14ac:dyDescent="0.25">
      <c r="A152" s="113" t="s">
        <v>55</v>
      </c>
      <c r="B152" s="113" t="s">
        <v>47</v>
      </c>
      <c r="C152" s="113">
        <v>1E-3</v>
      </c>
      <c r="D152" s="113">
        <v>0.01</v>
      </c>
      <c r="E152" s="113">
        <v>9.9999999999999995E-8</v>
      </c>
      <c r="F152" s="113" t="s">
        <v>13</v>
      </c>
      <c r="G152" s="113" t="s">
        <v>11</v>
      </c>
      <c r="H152" s="113">
        <v>50</v>
      </c>
      <c r="I152" s="113">
        <v>100</v>
      </c>
      <c r="J152" s="113" t="s">
        <v>10</v>
      </c>
      <c r="K152" s="113">
        <v>19</v>
      </c>
      <c r="L152" s="113">
        <v>6531.1</v>
      </c>
      <c r="M152" s="113">
        <v>17.152999999999999</v>
      </c>
      <c r="N152" s="113">
        <v>6602.1</v>
      </c>
      <c r="O152" s="114" t="s">
        <v>1852</v>
      </c>
    </row>
    <row r="153" spans="1:15" x14ac:dyDescent="0.25">
      <c r="A153" s="113" t="s">
        <v>55</v>
      </c>
      <c r="B153" s="113" t="s">
        <v>47</v>
      </c>
      <c r="C153" s="113">
        <v>1E-3</v>
      </c>
      <c r="D153" s="113">
        <v>0.01</v>
      </c>
      <c r="E153" s="113">
        <v>9.9999999999999995E-8</v>
      </c>
      <c r="F153" s="113" t="s">
        <v>13</v>
      </c>
      <c r="G153" s="113" t="s">
        <v>11</v>
      </c>
      <c r="H153" s="113">
        <v>4.4999999999999998E-2</v>
      </c>
      <c r="I153" s="113">
        <v>0.1</v>
      </c>
      <c r="J153" s="113" t="s">
        <v>10</v>
      </c>
      <c r="K153" s="113">
        <v>2.4</v>
      </c>
      <c r="L153" s="113">
        <v>690</v>
      </c>
      <c r="M153" s="113">
        <v>2.3107000000000002</v>
      </c>
      <c r="N153" s="113">
        <v>693.04</v>
      </c>
      <c r="O153" s="114" t="s">
        <v>1854</v>
      </c>
    </row>
    <row r="154" spans="1:15" x14ac:dyDescent="0.25">
      <c r="A154" s="113" t="s">
        <v>55</v>
      </c>
      <c r="B154" s="113" t="s">
        <v>47</v>
      </c>
      <c r="C154" s="113">
        <v>1E-3</v>
      </c>
      <c r="D154" s="113">
        <v>0.01</v>
      </c>
      <c r="E154" s="113">
        <v>9.9999999999999995E-7</v>
      </c>
      <c r="F154" s="113" t="s">
        <v>13</v>
      </c>
      <c r="G154" s="113" t="s">
        <v>11</v>
      </c>
      <c r="H154" s="113">
        <v>5</v>
      </c>
      <c r="I154" s="113">
        <v>20</v>
      </c>
      <c r="J154" s="113" t="s">
        <v>10</v>
      </c>
      <c r="K154" s="113">
        <v>2.5</v>
      </c>
      <c r="L154" s="113">
        <v>716.59</v>
      </c>
      <c r="M154" s="113">
        <v>2.3512</v>
      </c>
      <c r="N154" s="113">
        <v>717.7</v>
      </c>
      <c r="O154" s="114" t="s">
        <v>1856</v>
      </c>
    </row>
    <row r="155" spans="1:15" x14ac:dyDescent="0.25">
      <c r="A155" s="113" t="s">
        <v>55</v>
      </c>
      <c r="B155" s="113" t="s">
        <v>47</v>
      </c>
      <c r="C155" s="113">
        <v>1E-3</v>
      </c>
      <c r="D155" s="113">
        <v>0.01</v>
      </c>
      <c r="E155" s="113">
        <v>9.9999999999999995E-7</v>
      </c>
      <c r="F155" s="113" t="s">
        <v>13</v>
      </c>
      <c r="G155" s="113" t="s">
        <v>11</v>
      </c>
      <c r="H155" s="113">
        <v>4.4999999999999998E-2</v>
      </c>
      <c r="I155" s="113">
        <v>0.1</v>
      </c>
      <c r="J155" s="113" t="s">
        <v>10</v>
      </c>
      <c r="K155" s="113">
        <v>2.4</v>
      </c>
      <c r="L155" s="113">
        <v>690</v>
      </c>
      <c r="M155" s="113">
        <v>2.3717000000000001</v>
      </c>
      <c r="N155" s="113">
        <v>689.14</v>
      </c>
      <c r="O155" s="114" t="s">
        <v>2653</v>
      </c>
    </row>
    <row r="156" spans="1:15" x14ac:dyDescent="0.25">
      <c r="A156" s="113" t="s">
        <v>55</v>
      </c>
      <c r="B156" s="113" t="s">
        <v>47</v>
      </c>
      <c r="C156" s="113">
        <v>1E-3</v>
      </c>
      <c r="D156" s="113">
        <v>0.01</v>
      </c>
      <c r="E156" s="113">
        <v>9.9999999999999995E-7</v>
      </c>
      <c r="F156" s="113" t="s">
        <v>13</v>
      </c>
      <c r="G156" s="113" t="s">
        <v>11</v>
      </c>
      <c r="H156" s="113">
        <v>0.02</v>
      </c>
      <c r="I156" s="113">
        <v>4.4999999999999998E-2</v>
      </c>
      <c r="J156" s="113" t="s">
        <v>10</v>
      </c>
      <c r="K156" s="113">
        <v>2.7</v>
      </c>
      <c r="L156" s="113">
        <v>1700</v>
      </c>
      <c r="M156" s="113">
        <v>2.3565999999999998</v>
      </c>
      <c r="N156" s="113">
        <v>1728.5</v>
      </c>
      <c r="O156" s="114" t="s">
        <v>2651</v>
      </c>
    </row>
    <row r="157" spans="1:15" x14ac:dyDescent="0.25">
      <c r="A157" s="113" t="s">
        <v>55</v>
      </c>
      <c r="B157" s="113" t="s">
        <v>47</v>
      </c>
      <c r="C157" s="113">
        <v>1E-3</v>
      </c>
      <c r="D157" s="113">
        <v>0.01</v>
      </c>
      <c r="E157" s="113">
        <v>9.9999999999999995E-7</v>
      </c>
      <c r="F157" s="113" t="s">
        <v>13</v>
      </c>
      <c r="G157" s="113" t="s">
        <v>11</v>
      </c>
      <c r="H157" s="113">
        <v>50</v>
      </c>
      <c r="I157" s="113">
        <v>100</v>
      </c>
      <c r="J157" s="113" t="s">
        <v>10</v>
      </c>
      <c r="K157" s="113">
        <v>19</v>
      </c>
      <c r="L157" s="113">
        <v>6534.1</v>
      </c>
      <c r="M157" s="113">
        <v>17.164000000000001</v>
      </c>
      <c r="N157" s="113">
        <v>6601.7</v>
      </c>
      <c r="O157" s="114" t="s">
        <v>1857</v>
      </c>
    </row>
    <row r="158" spans="1:15" x14ac:dyDescent="0.25">
      <c r="A158" s="113" t="s">
        <v>55</v>
      </c>
      <c r="B158" s="113" t="s">
        <v>47</v>
      </c>
      <c r="C158" s="113">
        <v>1E-3</v>
      </c>
      <c r="D158" s="113">
        <v>0.01</v>
      </c>
      <c r="E158" s="113">
        <v>9.9999999999999995E-7</v>
      </c>
      <c r="F158" s="113" t="s">
        <v>13</v>
      </c>
      <c r="G158" s="113" t="s">
        <v>11</v>
      </c>
      <c r="H158" s="113">
        <v>20</v>
      </c>
      <c r="I158" s="113">
        <v>50</v>
      </c>
      <c r="J158" s="113" t="s">
        <v>10</v>
      </c>
      <c r="K158" s="113">
        <v>5.0999999999999996</v>
      </c>
      <c r="L158" s="113">
        <v>4739.8999999999996</v>
      </c>
      <c r="M158" s="113">
        <v>4.5921000000000003</v>
      </c>
      <c r="N158" s="113">
        <v>4746.3</v>
      </c>
      <c r="O158" s="114" t="s">
        <v>2652</v>
      </c>
    </row>
    <row r="159" spans="1:15" x14ac:dyDescent="0.25">
      <c r="A159" s="113" t="s">
        <v>55</v>
      </c>
      <c r="B159" s="113" t="s">
        <v>47</v>
      </c>
      <c r="C159" s="113">
        <v>1E-3</v>
      </c>
      <c r="D159" s="113">
        <v>0.01</v>
      </c>
      <c r="E159" s="113">
        <v>9.9999999999999995E-7</v>
      </c>
      <c r="F159" s="113" t="s">
        <v>13</v>
      </c>
      <c r="G159" s="113" t="s">
        <v>11</v>
      </c>
      <c r="H159" s="113">
        <v>0.1</v>
      </c>
      <c r="I159" s="113">
        <v>5</v>
      </c>
      <c r="J159" s="113" t="s">
        <v>10</v>
      </c>
      <c r="K159" s="113">
        <v>2.5</v>
      </c>
      <c r="L159" s="113">
        <v>362.33</v>
      </c>
      <c r="M159" s="113">
        <v>2.3641000000000001</v>
      </c>
      <c r="N159" s="113">
        <v>361.33</v>
      </c>
      <c r="O159" s="114" t="s">
        <v>1858</v>
      </c>
    </row>
    <row r="160" spans="1:15" x14ac:dyDescent="0.25">
      <c r="A160" s="113" t="s">
        <v>55</v>
      </c>
      <c r="B160" s="113" t="s">
        <v>47</v>
      </c>
      <c r="C160" s="113">
        <v>1E-3</v>
      </c>
      <c r="D160" s="113">
        <v>0.01</v>
      </c>
      <c r="E160" s="113">
        <v>9.9999999999999995E-7</v>
      </c>
      <c r="F160" s="113" t="s">
        <v>13</v>
      </c>
      <c r="G160" s="113" t="s">
        <v>11</v>
      </c>
      <c r="H160" s="113">
        <v>1E-3</v>
      </c>
      <c r="I160" s="113">
        <v>0.02</v>
      </c>
      <c r="J160" s="113" t="s">
        <v>10</v>
      </c>
      <c r="K160" s="113">
        <v>2.5</v>
      </c>
      <c r="L160" s="113">
        <v>4600.7</v>
      </c>
      <c r="M160" s="113">
        <v>2.3372999999999999</v>
      </c>
      <c r="N160" s="113">
        <v>4616.5</v>
      </c>
      <c r="O160" s="114" t="s">
        <v>2650</v>
      </c>
    </row>
    <row r="161" spans="1:15" x14ac:dyDescent="0.25">
      <c r="A161" s="113" t="s">
        <v>55</v>
      </c>
      <c r="B161" s="113" t="s">
        <v>47</v>
      </c>
      <c r="C161" s="113">
        <v>1E-3</v>
      </c>
      <c r="D161" s="113">
        <v>0.01</v>
      </c>
      <c r="E161" s="113">
        <v>1.0000000000000001E-5</v>
      </c>
      <c r="F161" s="113" t="s">
        <v>13</v>
      </c>
      <c r="G161" s="113" t="s">
        <v>11</v>
      </c>
      <c r="H161" s="113">
        <v>4.4999999999999998E-2</v>
      </c>
      <c r="I161" s="113">
        <v>0.1</v>
      </c>
      <c r="J161" s="113" t="s">
        <v>10</v>
      </c>
      <c r="K161" s="113">
        <v>6.0457999999999998</v>
      </c>
      <c r="L161" s="113">
        <v>494.17</v>
      </c>
      <c r="M161" s="113">
        <v>6.0251999999999999</v>
      </c>
      <c r="N161" s="113">
        <v>488.84</v>
      </c>
      <c r="O161" s="114" t="s">
        <v>1862</v>
      </c>
    </row>
    <row r="162" spans="1:15" x14ac:dyDescent="0.25">
      <c r="A162" s="113" t="s">
        <v>55</v>
      </c>
      <c r="B162" s="113" t="s">
        <v>47</v>
      </c>
      <c r="C162" s="113">
        <v>1E-3</v>
      </c>
      <c r="D162" s="113">
        <v>0.01</v>
      </c>
      <c r="E162" s="113">
        <v>1.0000000000000001E-5</v>
      </c>
      <c r="F162" s="113" t="s">
        <v>13</v>
      </c>
      <c r="G162" s="113" t="s">
        <v>11</v>
      </c>
      <c r="H162" s="113">
        <v>50</v>
      </c>
      <c r="I162" s="113">
        <v>100</v>
      </c>
      <c r="J162" s="113" t="s">
        <v>10</v>
      </c>
      <c r="K162" s="113">
        <v>19</v>
      </c>
      <c r="L162" s="113">
        <v>6550</v>
      </c>
      <c r="M162" s="113">
        <v>17.919</v>
      </c>
      <c r="N162" s="113">
        <v>6548</v>
      </c>
      <c r="O162" s="114" t="s">
        <v>1861</v>
      </c>
    </row>
    <row r="163" spans="1:15" x14ac:dyDescent="0.25">
      <c r="A163" s="113" t="s">
        <v>55</v>
      </c>
      <c r="B163" s="113" t="s">
        <v>47</v>
      </c>
      <c r="C163" s="113">
        <v>1E-3</v>
      </c>
      <c r="D163" s="113">
        <v>0.01</v>
      </c>
      <c r="E163" s="113">
        <v>1.0000000000000001E-5</v>
      </c>
      <c r="F163" s="113" t="s">
        <v>13</v>
      </c>
      <c r="G163" s="113" t="s">
        <v>11</v>
      </c>
      <c r="H163" s="113">
        <v>0.1</v>
      </c>
      <c r="I163" s="113">
        <v>5</v>
      </c>
      <c r="J163" s="113" t="s">
        <v>10</v>
      </c>
      <c r="K163" s="113">
        <v>6.1658999999999997</v>
      </c>
      <c r="L163" s="113">
        <v>223.94</v>
      </c>
      <c r="M163" s="113">
        <v>6.1471999999999998</v>
      </c>
      <c r="N163" s="113">
        <v>216.14</v>
      </c>
      <c r="O163" s="114" t="s">
        <v>1863</v>
      </c>
    </row>
    <row r="164" spans="1:15" x14ac:dyDescent="0.25">
      <c r="A164" s="113" t="s">
        <v>55</v>
      </c>
      <c r="B164" s="113" t="s">
        <v>47</v>
      </c>
      <c r="C164" s="113">
        <v>1E-3</v>
      </c>
      <c r="D164" s="113">
        <v>0.01</v>
      </c>
      <c r="E164" s="113">
        <v>1.0000000000000001E-5</v>
      </c>
      <c r="F164" s="113" t="s">
        <v>13</v>
      </c>
      <c r="G164" s="113" t="s">
        <v>11</v>
      </c>
      <c r="H164" s="113">
        <v>5</v>
      </c>
      <c r="I164" s="113">
        <v>20</v>
      </c>
      <c r="J164" s="113" t="s">
        <v>10</v>
      </c>
      <c r="K164" s="113">
        <v>6.0251000000000001</v>
      </c>
      <c r="L164" s="113">
        <v>518.67999999999995</v>
      </c>
      <c r="M164" s="113">
        <v>6.0044000000000004</v>
      </c>
      <c r="N164" s="113">
        <v>513.52</v>
      </c>
      <c r="O164" s="114" t="s">
        <v>1865</v>
      </c>
    </row>
    <row r="165" spans="1:15" x14ac:dyDescent="0.25">
      <c r="A165" s="113" t="s">
        <v>55</v>
      </c>
      <c r="B165" s="113" t="s">
        <v>47</v>
      </c>
      <c r="C165" s="113">
        <v>1E-3</v>
      </c>
      <c r="D165" s="113">
        <v>0.01</v>
      </c>
      <c r="E165" s="113">
        <v>1.0000000000000001E-5</v>
      </c>
      <c r="F165" s="113" t="s">
        <v>13</v>
      </c>
      <c r="G165" s="113" t="s">
        <v>11</v>
      </c>
      <c r="H165" s="113">
        <v>1E-3</v>
      </c>
      <c r="I165" s="113">
        <v>0.02</v>
      </c>
      <c r="J165" s="113" t="s">
        <v>10</v>
      </c>
      <c r="K165" s="113">
        <v>4.6177000000000001</v>
      </c>
      <c r="L165" s="113">
        <v>4424.3</v>
      </c>
      <c r="M165" s="113">
        <v>4.5991</v>
      </c>
      <c r="N165" s="113">
        <v>4424.5</v>
      </c>
      <c r="O165" s="114" t="s">
        <v>1859</v>
      </c>
    </row>
    <row r="166" spans="1:15" x14ac:dyDescent="0.25">
      <c r="A166" s="113" t="s">
        <v>55</v>
      </c>
      <c r="B166" s="113" t="s">
        <v>47</v>
      </c>
      <c r="C166" s="113">
        <v>1E-3</v>
      </c>
      <c r="D166" s="113">
        <v>0.01</v>
      </c>
      <c r="E166" s="113">
        <v>1.0000000000000001E-5</v>
      </c>
      <c r="F166" s="113" t="s">
        <v>13</v>
      </c>
      <c r="G166" s="113" t="s">
        <v>11</v>
      </c>
      <c r="H166" s="113">
        <v>20</v>
      </c>
      <c r="I166" s="113">
        <v>50</v>
      </c>
      <c r="J166" s="113" t="s">
        <v>10</v>
      </c>
      <c r="K166" s="113">
        <v>6.3814000000000002</v>
      </c>
      <c r="L166" s="113">
        <v>4600.8</v>
      </c>
      <c r="M166" s="113">
        <v>6.3659999999999997</v>
      </c>
      <c r="N166" s="113">
        <v>4600.8</v>
      </c>
      <c r="O166" s="114" t="s">
        <v>1860</v>
      </c>
    </row>
    <row r="167" spans="1:15" x14ac:dyDescent="0.25">
      <c r="A167" s="113" t="s">
        <v>55</v>
      </c>
      <c r="B167" s="113" t="s">
        <v>47</v>
      </c>
      <c r="C167" s="113">
        <v>1E-3</v>
      </c>
      <c r="D167" s="113">
        <v>0.01</v>
      </c>
      <c r="E167" s="113">
        <v>1.0000000000000001E-5</v>
      </c>
      <c r="F167" s="113" t="s">
        <v>13</v>
      </c>
      <c r="G167" s="113" t="s">
        <v>11</v>
      </c>
      <c r="H167" s="113">
        <v>0.02</v>
      </c>
      <c r="I167" s="113">
        <v>4.4999999999999998E-2</v>
      </c>
      <c r="J167" s="113" t="s">
        <v>10</v>
      </c>
      <c r="K167" s="113">
        <v>5.585</v>
      </c>
      <c r="L167" s="113">
        <v>1492.6</v>
      </c>
      <c r="M167" s="113">
        <v>5.5625999999999998</v>
      </c>
      <c r="N167" s="113">
        <v>1490.9</v>
      </c>
      <c r="O167" s="114" t="s">
        <v>1864</v>
      </c>
    </row>
    <row r="168" spans="1:15" x14ac:dyDescent="0.25">
      <c r="A168" s="113" t="s">
        <v>55</v>
      </c>
      <c r="B168" s="113" t="s">
        <v>47</v>
      </c>
      <c r="C168" s="113">
        <v>1E-3</v>
      </c>
      <c r="D168" s="113">
        <v>0.01</v>
      </c>
      <c r="E168" s="113">
        <v>1E-4</v>
      </c>
      <c r="F168" s="113" t="s">
        <v>13</v>
      </c>
      <c r="G168" s="113" t="s">
        <v>11</v>
      </c>
      <c r="H168" s="113">
        <v>5</v>
      </c>
      <c r="I168" s="113">
        <v>20</v>
      </c>
      <c r="J168" s="113" t="s">
        <v>10</v>
      </c>
      <c r="K168" s="113">
        <v>57.744999999999997</v>
      </c>
      <c r="L168" s="113">
        <v>83.688999999999993</v>
      </c>
      <c r="M168" s="113">
        <v>57.738</v>
      </c>
      <c r="N168" s="113">
        <v>78.852999999999994</v>
      </c>
      <c r="O168" s="114" t="s">
        <v>1866</v>
      </c>
    </row>
    <row r="169" spans="1:15" x14ac:dyDescent="0.25">
      <c r="A169" s="113" t="s">
        <v>55</v>
      </c>
      <c r="B169" s="113" t="s">
        <v>47</v>
      </c>
      <c r="C169" s="113">
        <v>1E-3</v>
      </c>
      <c r="D169" s="113">
        <v>0.01</v>
      </c>
      <c r="E169" s="113">
        <v>1E-4</v>
      </c>
      <c r="F169" s="113" t="s">
        <v>13</v>
      </c>
      <c r="G169" s="113" t="s">
        <v>11</v>
      </c>
      <c r="H169" s="113">
        <v>0.02</v>
      </c>
      <c r="I169" s="113">
        <v>4.4999999999999998E-2</v>
      </c>
      <c r="J169" s="113" t="s">
        <v>10</v>
      </c>
      <c r="K169" s="113">
        <v>57.540999999999997</v>
      </c>
      <c r="L169" s="113">
        <v>350.7</v>
      </c>
      <c r="M169" s="113">
        <v>57.533999999999999</v>
      </c>
      <c r="N169" s="113">
        <v>346.11</v>
      </c>
      <c r="O169" s="114" t="s">
        <v>1868</v>
      </c>
    </row>
    <row r="170" spans="1:15" x14ac:dyDescent="0.25">
      <c r="A170" s="113" t="s">
        <v>55</v>
      </c>
      <c r="B170" s="113" t="s">
        <v>47</v>
      </c>
      <c r="C170" s="113">
        <v>1E-3</v>
      </c>
      <c r="D170" s="113">
        <v>0.01</v>
      </c>
      <c r="E170" s="113">
        <v>1E-4</v>
      </c>
      <c r="F170" s="113" t="s">
        <v>13</v>
      </c>
      <c r="G170" s="113" t="s">
        <v>11</v>
      </c>
      <c r="H170" s="113">
        <v>4.4999999999999998E-2</v>
      </c>
      <c r="I170" s="113">
        <v>0.1</v>
      </c>
      <c r="J170" s="113" t="s">
        <v>10</v>
      </c>
      <c r="K170" s="113">
        <v>57.749000000000002</v>
      </c>
      <c r="L170" s="113">
        <v>79.009</v>
      </c>
      <c r="M170" s="113">
        <v>57.741999999999997</v>
      </c>
      <c r="N170" s="113">
        <v>74.17</v>
      </c>
      <c r="O170" s="114" t="s">
        <v>1867</v>
      </c>
    </row>
    <row r="171" spans="1:15" x14ac:dyDescent="0.25">
      <c r="A171" s="113" t="s">
        <v>55</v>
      </c>
      <c r="B171" s="113" t="s">
        <v>47</v>
      </c>
      <c r="C171" s="113">
        <v>1E-3</v>
      </c>
      <c r="D171" s="113">
        <v>0.01</v>
      </c>
      <c r="E171" s="113">
        <v>1E-4</v>
      </c>
      <c r="F171" s="113" t="s">
        <v>13</v>
      </c>
      <c r="G171" s="113" t="s">
        <v>11</v>
      </c>
      <c r="H171" s="113">
        <v>1E-3</v>
      </c>
      <c r="I171" s="113">
        <v>0.02</v>
      </c>
      <c r="J171" s="113" t="s">
        <v>10</v>
      </c>
      <c r="K171" s="113">
        <v>56.243000000000002</v>
      </c>
      <c r="L171" s="113">
        <v>1921.2</v>
      </c>
      <c r="M171" s="113">
        <v>56.234999999999999</v>
      </c>
      <c r="N171" s="113">
        <v>1917.8</v>
      </c>
      <c r="O171" s="114" t="s">
        <v>2654</v>
      </c>
    </row>
    <row r="172" spans="1:15" x14ac:dyDescent="0.25">
      <c r="A172" s="113" t="s">
        <v>55</v>
      </c>
      <c r="B172" s="113" t="s">
        <v>47</v>
      </c>
      <c r="C172" s="113">
        <v>1E-3</v>
      </c>
      <c r="D172" s="113">
        <v>0.01</v>
      </c>
      <c r="E172" s="113">
        <v>1E-4</v>
      </c>
      <c r="F172" s="113" t="s">
        <v>13</v>
      </c>
      <c r="G172" s="113" t="s">
        <v>11</v>
      </c>
      <c r="H172" s="113">
        <v>20</v>
      </c>
      <c r="I172" s="113">
        <v>50</v>
      </c>
      <c r="J172" s="113" t="s">
        <v>10</v>
      </c>
      <c r="K172" s="113">
        <v>56.353999999999999</v>
      </c>
      <c r="L172" s="113">
        <v>2143.3000000000002</v>
      </c>
      <c r="M172" s="113">
        <v>56.345999999999997</v>
      </c>
      <c r="N172" s="113">
        <v>2139.9</v>
      </c>
      <c r="O172" s="114" t="s">
        <v>1871</v>
      </c>
    </row>
    <row r="173" spans="1:15" x14ac:dyDescent="0.25">
      <c r="A173" s="113" t="s">
        <v>55</v>
      </c>
      <c r="B173" s="113" t="s">
        <v>47</v>
      </c>
      <c r="C173" s="113">
        <v>1E-3</v>
      </c>
      <c r="D173" s="113">
        <v>0.01</v>
      </c>
      <c r="E173" s="113">
        <v>1E-4</v>
      </c>
      <c r="F173" s="113" t="s">
        <v>13</v>
      </c>
      <c r="G173" s="113" t="s">
        <v>11</v>
      </c>
      <c r="H173" s="113">
        <v>0.1</v>
      </c>
      <c r="I173" s="113">
        <v>5</v>
      </c>
      <c r="J173" s="113" t="s">
        <v>10</v>
      </c>
      <c r="K173" s="113">
        <v>57.777999999999999</v>
      </c>
      <c r="L173" s="113">
        <v>33.176000000000002</v>
      </c>
      <c r="M173" s="113">
        <v>57.771000000000001</v>
      </c>
      <c r="N173" s="113">
        <v>28.291</v>
      </c>
      <c r="O173" s="114" t="s">
        <v>1869</v>
      </c>
    </row>
    <row r="174" spans="1:15" x14ac:dyDescent="0.25">
      <c r="A174" s="113" t="s">
        <v>55</v>
      </c>
      <c r="B174" s="113" t="s">
        <v>47</v>
      </c>
      <c r="C174" s="113">
        <v>1E-3</v>
      </c>
      <c r="D174" s="113">
        <v>0.01</v>
      </c>
      <c r="E174" s="113">
        <v>1E-4</v>
      </c>
      <c r="F174" s="113" t="s">
        <v>13</v>
      </c>
      <c r="G174" s="113" t="s">
        <v>11</v>
      </c>
      <c r="H174" s="113">
        <v>50</v>
      </c>
      <c r="I174" s="113">
        <v>100</v>
      </c>
      <c r="J174" s="113" t="s">
        <v>10</v>
      </c>
      <c r="K174" s="113">
        <v>58.261000000000003</v>
      </c>
      <c r="L174" s="113">
        <v>4342.2</v>
      </c>
      <c r="M174" s="113">
        <v>58.146000000000001</v>
      </c>
      <c r="N174" s="113">
        <v>4318.8</v>
      </c>
      <c r="O174" s="114" t="s">
        <v>1870</v>
      </c>
    </row>
    <row r="175" spans="1:15" x14ac:dyDescent="0.25">
      <c r="A175" s="113" t="s">
        <v>55</v>
      </c>
      <c r="B175" s="113" t="s">
        <v>47</v>
      </c>
      <c r="C175" s="113">
        <v>0.01</v>
      </c>
      <c r="D175" s="113">
        <v>0.1</v>
      </c>
      <c r="E175" s="113">
        <v>9.9999999999999995E-8</v>
      </c>
      <c r="F175" s="113" t="s">
        <v>13</v>
      </c>
      <c r="G175" s="113" t="s">
        <v>11</v>
      </c>
      <c r="H175" s="113">
        <v>1E-3</v>
      </c>
      <c r="I175" s="113">
        <v>0.02</v>
      </c>
      <c r="J175" s="113" t="s">
        <v>10</v>
      </c>
      <c r="K175" s="113">
        <v>25</v>
      </c>
      <c r="L175" s="113">
        <v>4600</v>
      </c>
      <c r="M175" s="113">
        <v>23.094999999999999</v>
      </c>
      <c r="N175" s="113">
        <v>4618.8</v>
      </c>
      <c r="O175" s="114" t="s">
        <v>1877</v>
      </c>
    </row>
    <row r="176" spans="1:15" x14ac:dyDescent="0.25">
      <c r="A176" s="113" t="s">
        <v>55</v>
      </c>
      <c r="B176" s="113" t="s">
        <v>47</v>
      </c>
      <c r="C176" s="113">
        <v>0.01</v>
      </c>
      <c r="D176" s="113">
        <v>0.1</v>
      </c>
      <c r="E176" s="113">
        <v>9.9999999999999995E-8</v>
      </c>
      <c r="F176" s="113" t="s">
        <v>13</v>
      </c>
      <c r="G176" s="113" t="s">
        <v>11</v>
      </c>
      <c r="H176" s="113">
        <v>5</v>
      </c>
      <c r="I176" s="113">
        <v>20</v>
      </c>
      <c r="J176" s="113" t="s">
        <v>10</v>
      </c>
      <c r="K176" s="113">
        <v>25</v>
      </c>
      <c r="L176" s="113">
        <v>710</v>
      </c>
      <c r="M176" s="113">
        <v>22.890999999999998</v>
      </c>
      <c r="N176" s="113">
        <v>721.64</v>
      </c>
      <c r="O176" s="114" t="s">
        <v>1874</v>
      </c>
    </row>
    <row r="177" spans="1:15" x14ac:dyDescent="0.25">
      <c r="A177" s="113" t="s">
        <v>55</v>
      </c>
      <c r="B177" s="113" t="s">
        <v>47</v>
      </c>
      <c r="C177" s="113">
        <v>0.01</v>
      </c>
      <c r="D177" s="113">
        <v>0.1</v>
      </c>
      <c r="E177" s="113">
        <v>9.9999999999999995E-8</v>
      </c>
      <c r="F177" s="113" t="s">
        <v>13</v>
      </c>
      <c r="G177" s="113" t="s">
        <v>11</v>
      </c>
      <c r="H177" s="113">
        <v>0.1</v>
      </c>
      <c r="I177" s="113">
        <v>5</v>
      </c>
      <c r="J177" s="113" t="s">
        <v>10</v>
      </c>
      <c r="K177" s="113">
        <v>25</v>
      </c>
      <c r="L177" s="113">
        <v>350</v>
      </c>
      <c r="M177" s="113">
        <v>22.95</v>
      </c>
      <c r="N177" s="113">
        <v>364.61</v>
      </c>
      <c r="O177" s="114" t="s">
        <v>1873</v>
      </c>
    </row>
    <row r="178" spans="1:15" x14ac:dyDescent="0.25">
      <c r="A178" s="113" t="s">
        <v>55</v>
      </c>
      <c r="B178" s="113" t="s">
        <v>47</v>
      </c>
      <c r="C178" s="113">
        <v>0.01</v>
      </c>
      <c r="D178" s="113">
        <v>0.1</v>
      </c>
      <c r="E178" s="113">
        <v>9.9999999999999995E-8</v>
      </c>
      <c r="F178" s="113" t="s">
        <v>13</v>
      </c>
      <c r="G178" s="113" t="s">
        <v>11</v>
      </c>
      <c r="H178" s="113">
        <v>20</v>
      </c>
      <c r="I178" s="113">
        <v>50</v>
      </c>
      <c r="J178" s="113" t="s">
        <v>10</v>
      </c>
      <c r="K178" s="113">
        <v>51</v>
      </c>
      <c r="L178" s="113">
        <v>4700</v>
      </c>
      <c r="M178" s="113">
        <v>45.601999999999997</v>
      </c>
      <c r="N178" s="113">
        <v>4746.8999999999996</v>
      </c>
      <c r="O178" s="114" t="s">
        <v>1878</v>
      </c>
    </row>
    <row r="179" spans="1:15" x14ac:dyDescent="0.25">
      <c r="A179" s="113" t="s">
        <v>55</v>
      </c>
      <c r="B179" s="113" t="s">
        <v>47</v>
      </c>
      <c r="C179" s="113">
        <v>0.01</v>
      </c>
      <c r="D179" s="113">
        <v>0.1</v>
      </c>
      <c r="E179" s="113">
        <v>9.9999999999999995E-8</v>
      </c>
      <c r="F179" s="113" t="s">
        <v>13</v>
      </c>
      <c r="G179" s="113" t="s">
        <v>11</v>
      </c>
      <c r="H179" s="113">
        <v>0.02</v>
      </c>
      <c r="I179" s="113">
        <v>4.4999999999999998E-2</v>
      </c>
      <c r="J179" s="113" t="s">
        <v>10</v>
      </c>
      <c r="K179" s="113">
        <v>27</v>
      </c>
      <c r="L179" s="113">
        <v>1700</v>
      </c>
      <c r="M179" s="113">
        <v>23.094999999999999</v>
      </c>
      <c r="N179" s="113">
        <v>1732.1</v>
      </c>
      <c r="O179" s="114" t="s">
        <v>1876</v>
      </c>
    </row>
    <row r="180" spans="1:15" x14ac:dyDescent="0.25">
      <c r="A180" s="113" t="s">
        <v>55</v>
      </c>
      <c r="B180" s="113" t="s">
        <v>47</v>
      </c>
      <c r="C180" s="113">
        <v>0.01</v>
      </c>
      <c r="D180" s="113">
        <v>0.1</v>
      </c>
      <c r="E180" s="113">
        <v>9.9999999999999995E-8</v>
      </c>
      <c r="F180" s="113" t="s">
        <v>13</v>
      </c>
      <c r="G180" s="113" t="s">
        <v>11</v>
      </c>
      <c r="H180" s="113">
        <v>50</v>
      </c>
      <c r="I180" s="113">
        <v>100</v>
      </c>
      <c r="J180" s="113" t="s">
        <v>10</v>
      </c>
      <c r="K180" s="113">
        <v>190</v>
      </c>
      <c r="L180" s="113">
        <v>6500</v>
      </c>
      <c r="M180" s="113">
        <v>171.51</v>
      </c>
      <c r="N180" s="113">
        <v>6602.2</v>
      </c>
      <c r="O180" s="114" t="s">
        <v>1872</v>
      </c>
    </row>
    <row r="181" spans="1:15" x14ac:dyDescent="0.25">
      <c r="A181" s="113" t="s">
        <v>55</v>
      </c>
      <c r="B181" s="113" t="s">
        <v>47</v>
      </c>
      <c r="C181" s="113">
        <v>0.01</v>
      </c>
      <c r="D181" s="113">
        <v>0.1</v>
      </c>
      <c r="E181" s="113">
        <v>9.9999999999999995E-8</v>
      </c>
      <c r="F181" s="113" t="s">
        <v>13</v>
      </c>
      <c r="G181" s="113" t="s">
        <v>11</v>
      </c>
      <c r="H181" s="113">
        <v>4.4999999999999998E-2</v>
      </c>
      <c r="I181" s="113">
        <v>0.1</v>
      </c>
      <c r="J181" s="113" t="s">
        <v>10</v>
      </c>
      <c r="K181" s="113">
        <v>24</v>
      </c>
      <c r="L181" s="113">
        <v>690</v>
      </c>
      <c r="M181" s="113">
        <v>23.094000000000001</v>
      </c>
      <c r="N181" s="113">
        <v>693.05</v>
      </c>
      <c r="O181" s="114" t="s">
        <v>1875</v>
      </c>
    </row>
    <row r="182" spans="1:15" x14ac:dyDescent="0.25">
      <c r="A182" s="113" t="s">
        <v>55</v>
      </c>
      <c r="B182" s="113" t="s">
        <v>47</v>
      </c>
      <c r="C182" s="113">
        <v>0.01</v>
      </c>
      <c r="D182" s="113">
        <v>0.1</v>
      </c>
      <c r="E182" s="113">
        <v>9.9999999999999995E-7</v>
      </c>
      <c r="F182" s="113" t="s">
        <v>13</v>
      </c>
      <c r="G182" s="113" t="s">
        <v>11</v>
      </c>
      <c r="H182" s="113">
        <v>1E-3</v>
      </c>
      <c r="I182" s="113">
        <v>0.02</v>
      </c>
      <c r="J182" s="113" t="s">
        <v>10</v>
      </c>
      <c r="K182" s="113">
        <v>25</v>
      </c>
      <c r="L182" s="113">
        <v>4600</v>
      </c>
      <c r="M182" s="113">
        <v>23.099</v>
      </c>
      <c r="N182" s="113">
        <v>4618.8</v>
      </c>
      <c r="O182" s="114" t="s">
        <v>2655</v>
      </c>
    </row>
    <row r="183" spans="1:15" x14ac:dyDescent="0.25">
      <c r="A183" s="113" t="s">
        <v>55</v>
      </c>
      <c r="B183" s="113" t="s">
        <v>47</v>
      </c>
      <c r="C183" s="113">
        <v>0.01</v>
      </c>
      <c r="D183" s="113">
        <v>0.1</v>
      </c>
      <c r="E183" s="113">
        <v>9.9999999999999995E-7</v>
      </c>
      <c r="F183" s="113" t="s">
        <v>13</v>
      </c>
      <c r="G183" s="113" t="s">
        <v>11</v>
      </c>
      <c r="H183" s="113">
        <v>20</v>
      </c>
      <c r="I183" s="113">
        <v>50</v>
      </c>
      <c r="J183" s="113" t="s">
        <v>10</v>
      </c>
      <c r="K183" s="113">
        <v>51</v>
      </c>
      <c r="L183" s="113">
        <v>4736.8</v>
      </c>
      <c r="M183" s="113">
        <v>45.606000000000002</v>
      </c>
      <c r="N183" s="113">
        <v>4746.8999999999996</v>
      </c>
      <c r="O183" s="114" t="s">
        <v>1880</v>
      </c>
    </row>
    <row r="184" spans="1:15" x14ac:dyDescent="0.25">
      <c r="A184" s="113" t="s">
        <v>55</v>
      </c>
      <c r="B184" s="113" t="s">
        <v>47</v>
      </c>
      <c r="C184" s="113">
        <v>0.01</v>
      </c>
      <c r="D184" s="113">
        <v>0.1</v>
      </c>
      <c r="E184" s="113">
        <v>9.9999999999999995E-7</v>
      </c>
      <c r="F184" s="113" t="s">
        <v>13</v>
      </c>
      <c r="G184" s="113" t="s">
        <v>11</v>
      </c>
      <c r="H184" s="113">
        <v>4.4999999999999998E-2</v>
      </c>
      <c r="I184" s="113">
        <v>0.1</v>
      </c>
      <c r="J184" s="113" t="s">
        <v>10</v>
      </c>
      <c r="K184" s="113">
        <v>24</v>
      </c>
      <c r="L184" s="113">
        <v>690</v>
      </c>
      <c r="M184" s="113">
        <v>23.103000000000002</v>
      </c>
      <c r="N184" s="113">
        <v>693.03</v>
      </c>
      <c r="O184" s="114" t="s">
        <v>1882</v>
      </c>
    </row>
    <row r="185" spans="1:15" x14ac:dyDescent="0.25">
      <c r="A185" s="113" t="s">
        <v>55</v>
      </c>
      <c r="B185" s="113" t="s">
        <v>47</v>
      </c>
      <c r="C185" s="113">
        <v>0.01</v>
      </c>
      <c r="D185" s="113">
        <v>0.1</v>
      </c>
      <c r="E185" s="113">
        <v>9.9999999999999995E-7</v>
      </c>
      <c r="F185" s="113" t="s">
        <v>13</v>
      </c>
      <c r="G185" s="113" t="s">
        <v>11</v>
      </c>
      <c r="H185" s="113">
        <v>0.1</v>
      </c>
      <c r="I185" s="113">
        <v>5</v>
      </c>
      <c r="J185" s="113" t="s">
        <v>10</v>
      </c>
      <c r="K185" s="113">
        <v>25</v>
      </c>
      <c r="L185" s="113">
        <v>355.17</v>
      </c>
      <c r="M185" s="113">
        <v>22.960999999999999</v>
      </c>
      <c r="N185" s="113">
        <v>364.62</v>
      </c>
      <c r="O185" s="114" t="s">
        <v>2656</v>
      </c>
    </row>
    <row r="186" spans="1:15" x14ac:dyDescent="0.25">
      <c r="A186" s="113" t="s">
        <v>55</v>
      </c>
      <c r="B186" s="113" t="s">
        <v>47</v>
      </c>
      <c r="C186" s="113">
        <v>0.01</v>
      </c>
      <c r="D186" s="113">
        <v>0.1</v>
      </c>
      <c r="E186" s="113">
        <v>9.9999999999999995E-7</v>
      </c>
      <c r="F186" s="113" t="s">
        <v>13</v>
      </c>
      <c r="G186" s="113" t="s">
        <v>11</v>
      </c>
      <c r="H186" s="113">
        <v>5</v>
      </c>
      <c r="I186" s="113">
        <v>20</v>
      </c>
      <c r="J186" s="113" t="s">
        <v>10</v>
      </c>
      <c r="K186" s="113">
        <v>25</v>
      </c>
      <c r="L186" s="113">
        <v>712.1</v>
      </c>
      <c r="M186" s="113">
        <v>22.9</v>
      </c>
      <c r="N186" s="113">
        <v>721.62</v>
      </c>
      <c r="O186" s="114" t="s">
        <v>1881</v>
      </c>
    </row>
    <row r="187" spans="1:15" x14ac:dyDescent="0.25">
      <c r="A187" s="113" t="s">
        <v>55</v>
      </c>
      <c r="B187" s="113" t="s">
        <v>47</v>
      </c>
      <c r="C187" s="113">
        <v>0.01</v>
      </c>
      <c r="D187" s="113">
        <v>0.1</v>
      </c>
      <c r="E187" s="113">
        <v>9.9999999999999995E-7</v>
      </c>
      <c r="F187" s="113" t="s">
        <v>13</v>
      </c>
      <c r="G187" s="113" t="s">
        <v>11</v>
      </c>
      <c r="H187" s="113">
        <v>0.02</v>
      </c>
      <c r="I187" s="113">
        <v>4.4999999999999998E-2</v>
      </c>
      <c r="J187" s="113" t="s">
        <v>10</v>
      </c>
      <c r="K187" s="113">
        <v>27</v>
      </c>
      <c r="L187" s="113">
        <v>1700</v>
      </c>
      <c r="M187" s="113">
        <v>23.102</v>
      </c>
      <c r="N187" s="113">
        <v>1732.1</v>
      </c>
      <c r="O187" s="114" t="s">
        <v>1879</v>
      </c>
    </row>
    <row r="188" spans="1:15" x14ac:dyDescent="0.25">
      <c r="A188" s="113" t="s">
        <v>55</v>
      </c>
      <c r="B188" s="113" t="s">
        <v>47</v>
      </c>
      <c r="C188" s="113">
        <v>0.01</v>
      </c>
      <c r="D188" s="113">
        <v>0.1</v>
      </c>
      <c r="E188" s="113">
        <v>9.9999999999999995E-7</v>
      </c>
      <c r="F188" s="113" t="s">
        <v>13</v>
      </c>
      <c r="G188" s="113" t="s">
        <v>11</v>
      </c>
      <c r="H188" s="113">
        <v>50</v>
      </c>
      <c r="I188" s="113">
        <v>100</v>
      </c>
      <c r="J188" s="113" t="s">
        <v>10</v>
      </c>
      <c r="K188" s="113">
        <v>190</v>
      </c>
      <c r="L188" s="113">
        <v>6538.1</v>
      </c>
      <c r="M188" s="113">
        <v>171.63</v>
      </c>
      <c r="N188" s="113">
        <v>6602.5</v>
      </c>
      <c r="O188" s="114" t="s">
        <v>1883</v>
      </c>
    </row>
    <row r="189" spans="1:15" x14ac:dyDescent="0.25">
      <c r="A189" s="113" t="s">
        <v>55</v>
      </c>
      <c r="B189" s="113" t="s">
        <v>47</v>
      </c>
      <c r="C189" s="113">
        <v>0.01</v>
      </c>
      <c r="D189" s="113">
        <v>0.1</v>
      </c>
      <c r="E189" s="113">
        <v>1.0000000000000001E-5</v>
      </c>
      <c r="F189" s="113" t="s">
        <v>13</v>
      </c>
      <c r="G189" s="113" t="s">
        <v>11</v>
      </c>
      <c r="H189" s="113">
        <v>4.4999999999999998E-2</v>
      </c>
      <c r="I189" s="113">
        <v>0.1</v>
      </c>
      <c r="J189" s="113" t="s">
        <v>10</v>
      </c>
      <c r="K189" s="113">
        <v>24</v>
      </c>
      <c r="L189" s="113">
        <v>690</v>
      </c>
      <c r="M189" s="113">
        <v>23.701000000000001</v>
      </c>
      <c r="N189" s="113">
        <v>689.05</v>
      </c>
      <c r="O189" s="114" t="s">
        <v>1888</v>
      </c>
    </row>
    <row r="190" spans="1:15" x14ac:dyDescent="0.25">
      <c r="A190" s="113" t="s">
        <v>55</v>
      </c>
      <c r="B190" s="113" t="s">
        <v>47</v>
      </c>
      <c r="C190" s="113">
        <v>0.01</v>
      </c>
      <c r="D190" s="113">
        <v>0.1</v>
      </c>
      <c r="E190" s="113">
        <v>1.0000000000000001E-5</v>
      </c>
      <c r="F190" s="113" t="s">
        <v>13</v>
      </c>
      <c r="G190" s="113" t="s">
        <v>11</v>
      </c>
      <c r="H190" s="113">
        <v>0.02</v>
      </c>
      <c r="I190" s="113">
        <v>4.4999999999999998E-2</v>
      </c>
      <c r="J190" s="113" t="s">
        <v>10</v>
      </c>
      <c r="K190" s="113">
        <v>27</v>
      </c>
      <c r="L190" s="113">
        <v>1700</v>
      </c>
      <c r="M190" s="113">
        <v>23.553999999999998</v>
      </c>
      <c r="N190" s="113">
        <v>1728.5</v>
      </c>
      <c r="O190" s="114" t="s">
        <v>1884</v>
      </c>
    </row>
    <row r="191" spans="1:15" x14ac:dyDescent="0.25">
      <c r="A191" s="113" t="s">
        <v>55</v>
      </c>
      <c r="B191" s="113" t="s">
        <v>47</v>
      </c>
      <c r="C191" s="113">
        <v>0.01</v>
      </c>
      <c r="D191" s="113">
        <v>0.1</v>
      </c>
      <c r="E191" s="113">
        <v>1.0000000000000001E-5</v>
      </c>
      <c r="F191" s="113" t="s">
        <v>13</v>
      </c>
      <c r="G191" s="113" t="s">
        <v>11</v>
      </c>
      <c r="H191" s="113">
        <v>1E-3</v>
      </c>
      <c r="I191" s="113">
        <v>0.02</v>
      </c>
      <c r="J191" s="113" t="s">
        <v>10</v>
      </c>
      <c r="K191" s="113">
        <v>25</v>
      </c>
      <c r="L191" s="113">
        <v>4600.3999999999996</v>
      </c>
      <c r="M191" s="113">
        <v>23.366</v>
      </c>
      <c r="N191" s="113">
        <v>4616.5</v>
      </c>
      <c r="O191" s="114" t="s">
        <v>2657</v>
      </c>
    </row>
    <row r="192" spans="1:15" x14ac:dyDescent="0.25">
      <c r="A192" s="113" t="s">
        <v>55</v>
      </c>
      <c r="B192" s="113" t="s">
        <v>47</v>
      </c>
      <c r="C192" s="113">
        <v>0.01</v>
      </c>
      <c r="D192" s="113">
        <v>0.1</v>
      </c>
      <c r="E192" s="113">
        <v>1.0000000000000001E-5</v>
      </c>
      <c r="F192" s="113" t="s">
        <v>13</v>
      </c>
      <c r="G192" s="113" t="s">
        <v>11</v>
      </c>
      <c r="H192" s="113">
        <v>5</v>
      </c>
      <c r="I192" s="113">
        <v>20</v>
      </c>
      <c r="J192" s="113" t="s">
        <v>10</v>
      </c>
      <c r="K192" s="113">
        <v>25</v>
      </c>
      <c r="L192" s="113">
        <v>715.16</v>
      </c>
      <c r="M192" s="113">
        <v>23.497</v>
      </c>
      <c r="N192" s="113">
        <v>717.59</v>
      </c>
      <c r="O192" s="114" t="s">
        <v>2658</v>
      </c>
    </row>
    <row r="193" spans="1:15" x14ac:dyDescent="0.25">
      <c r="A193" s="113" t="s">
        <v>55</v>
      </c>
      <c r="B193" s="113" t="s">
        <v>47</v>
      </c>
      <c r="C193" s="113">
        <v>0.01</v>
      </c>
      <c r="D193" s="113">
        <v>0.1</v>
      </c>
      <c r="E193" s="113">
        <v>1.0000000000000001E-5</v>
      </c>
      <c r="F193" s="113" t="s">
        <v>13</v>
      </c>
      <c r="G193" s="113" t="s">
        <v>11</v>
      </c>
      <c r="H193" s="113">
        <v>0.1</v>
      </c>
      <c r="I193" s="113">
        <v>5</v>
      </c>
      <c r="J193" s="113" t="s">
        <v>10</v>
      </c>
      <c r="K193" s="113">
        <v>25</v>
      </c>
      <c r="L193" s="113">
        <v>360.06</v>
      </c>
      <c r="M193" s="113">
        <v>23.625</v>
      </c>
      <c r="N193" s="113">
        <v>361.08</v>
      </c>
      <c r="O193" s="114" t="s">
        <v>1887</v>
      </c>
    </row>
    <row r="194" spans="1:15" x14ac:dyDescent="0.25">
      <c r="A194" s="113" t="s">
        <v>55</v>
      </c>
      <c r="B194" s="113" t="s">
        <v>47</v>
      </c>
      <c r="C194" s="113">
        <v>0.01</v>
      </c>
      <c r="D194" s="113">
        <v>0.1</v>
      </c>
      <c r="E194" s="113">
        <v>1.0000000000000001E-5</v>
      </c>
      <c r="F194" s="113" t="s">
        <v>13</v>
      </c>
      <c r="G194" s="113" t="s">
        <v>11</v>
      </c>
      <c r="H194" s="113">
        <v>20</v>
      </c>
      <c r="I194" s="113">
        <v>50</v>
      </c>
      <c r="J194" s="113" t="s">
        <v>10</v>
      </c>
      <c r="K194" s="113">
        <v>51</v>
      </c>
      <c r="L194" s="113">
        <v>4738</v>
      </c>
      <c r="M194" s="113">
        <v>45.823</v>
      </c>
      <c r="N194" s="113">
        <v>4745.2</v>
      </c>
      <c r="O194" s="114" t="s">
        <v>1886</v>
      </c>
    </row>
    <row r="195" spans="1:15" x14ac:dyDescent="0.25">
      <c r="A195" s="113" t="s">
        <v>55</v>
      </c>
      <c r="B195" s="113" t="s">
        <v>47</v>
      </c>
      <c r="C195" s="113">
        <v>0.01</v>
      </c>
      <c r="D195" s="113">
        <v>0.1</v>
      </c>
      <c r="E195" s="113">
        <v>1.0000000000000001E-5</v>
      </c>
      <c r="F195" s="113" t="s">
        <v>13</v>
      </c>
      <c r="G195" s="113" t="s">
        <v>11</v>
      </c>
      <c r="H195" s="113">
        <v>50</v>
      </c>
      <c r="I195" s="113">
        <v>100</v>
      </c>
      <c r="J195" s="113" t="s">
        <v>10</v>
      </c>
      <c r="K195" s="113">
        <v>190</v>
      </c>
      <c r="L195" s="113">
        <v>6565.8</v>
      </c>
      <c r="M195" s="113">
        <v>179.15</v>
      </c>
      <c r="N195" s="113">
        <v>6551.2</v>
      </c>
      <c r="O195" s="114" t="s">
        <v>1885</v>
      </c>
    </row>
    <row r="196" spans="1:15" x14ac:dyDescent="0.25">
      <c r="A196" s="113" t="s">
        <v>55</v>
      </c>
      <c r="B196" s="113" t="s">
        <v>47</v>
      </c>
      <c r="C196" s="113">
        <v>0.01</v>
      </c>
      <c r="D196" s="113">
        <v>0.1</v>
      </c>
      <c r="E196" s="113">
        <v>1E-4</v>
      </c>
      <c r="F196" s="113" t="s">
        <v>13</v>
      </c>
      <c r="G196" s="113" t="s">
        <v>11</v>
      </c>
      <c r="H196" s="113">
        <v>5</v>
      </c>
      <c r="I196" s="113">
        <v>20</v>
      </c>
      <c r="J196" s="113" t="s">
        <v>10</v>
      </c>
      <c r="K196" s="113">
        <v>60.128</v>
      </c>
      <c r="L196" s="113">
        <v>515.53</v>
      </c>
      <c r="M196" s="113">
        <v>60.018000000000001</v>
      </c>
      <c r="N196" s="113">
        <v>512.89</v>
      </c>
      <c r="O196" s="114" t="s">
        <v>1889</v>
      </c>
    </row>
    <row r="197" spans="1:15" x14ac:dyDescent="0.25">
      <c r="A197" s="113" t="s">
        <v>55</v>
      </c>
      <c r="B197" s="113" t="s">
        <v>47</v>
      </c>
      <c r="C197" s="113">
        <v>0.01</v>
      </c>
      <c r="D197" s="113">
        <v>0.1</v>
      </c>
      <c r="E197" s="113">
        <v>1E-4</v>
      </c>
      <c r="F197" s="113" t="s">
        <v>13</v>
      </c>
      <c r="G197" s="113" t="s">
        <v>11</v>
      </c>
      <c r="H197" s="113">
        <v>0.1</v>
      </c>
      <c r="I197" s="113">
        <v>5</v>
      </c>
      <c r="J197" s="113" t="s">
        <v>10</v>
      </c>
      <c r="K197" s="113">
        <v>61.548000000000002</v>
      </c>
      <c r="L197" s="113">
        <v>219.19</v>
      </c>
      <c r="M197" s="113">
        <v>61.448999999999998</v>
      </c>
      <c r="N197" s="113">
        <v>215.18</v>
      </c>
      <c r="O197" s="114" t="s">
        <v>1891</v>
      </c>
    </row>
    <row r="198" spans="1:15" x14ac:dyDescent="0.25">
      <c r="A198" s="113" t="s">
        <v>55</v>
      </c>
      <c r="B198" s="113" t="s">
        <v>47</v>
      </c>
      <c r="C198" s="113">
        <v>0.01</v>
      </c>
      <c r="D198" s="113">
        <v>0.1</v>
      </c>
      <c r="E198" s="113">
        <v>1E-4</v>
      </c>
      <c r="F198" s="113" t="s">
        <v>13</v>
      </c>
      <c r="G198" s="113" t="s">
        <v>11</v>
      </c>
      <c r="H198" s="113">
        <v>4.4999999999999998E-2</v>
      </c>
      <c r="I198" s="113">
        <v>0.1</v>
      </c>
      <c r="J198" s="113" t="s">
        <v>10</v>
      </c>
      <c r="K198" s="113">
        <v>60.335999999999999</v>
      </c>
      <c r="L198" s="113">
        <v>490.93</v>
      </c>
      <c r="M198" s="113">
        <v>60.226999999999997</v>
      </c>
      <c r="N198" s="113">
        <v>488.21</v>
      </c>
      <c r="O198" s="114" t="s">
        <v>2659</v>
      </c>
    </row>
    <row r="199" spans="1:15" x14ac:dyDescent="0.25">
      <c r="A199" s="113" t="s">
        <v>55</v>
      </c>
      <c r="B199" s="113" t="s">
        <v>47</v>
      </c>
      <c r="C199" s="113">
        <v>0.01</v>
      </c>
      <c r="D199" s="113">
        <v>0.1</v>
      </c>
      <c r="E199" s="113">
        <v>1E-4</v>
      </c>
      <c r="F199" s="113" t="s">
        <v>13</v>
      </c>
      <c r="G199" s="113" t="s">
        <v>11</v>
      </c>
      <c r="H199" s="113">
        <v>1E-3</v>
      </c>
      <c r="I199" s="113">
        <v>0.02</v>
      </c>
      <c r="J199" s="113" t="s">
        <v>10</v>
      </c>
      <c r="K199" s="113">
        <v>46.067</v>
      </c>
      <c r="L199" s="113">
        <v>4424.3999999999996</v>
      </c>
      <c r="M199" s="113">
        <v>45.963999999999999</v>
      </c>
      <c r="N199" s="113">
        <v>4424.6000000000004</v>
      </c>
      <c r="O199" s="114" t="s">
        <v>1892</v>
      </c>
    </row>
    <row r="200" spans="1:15" x14ac:dyDescent="0.25">
      <c r="A200" s="113" t="s">
        <v>55</v>
      </c>
      <c r="B200" s="113" t="s">
        <v>47</v>
      </c>
      <c r="C200" s="113">
        <v>0.01</v>
      </c>
      <c r="D200" s="113">
        <v>0.1</v>
      </c>
      <c r="E200" s="113">
        <v>1E-4</v>
      </c>
      <c r="F200" s="113" t="s">
        <v>13</v>
      </c>
      <c r="G200" s="113" t="s">
        <v>11</v>
      </c>
      <c r="H200" s="113">
        <v>50</v>
      </c>
      <c r="I200" s="113">
        <v>100</v>
      </c>
      <c r="J200" s="113" t="s">
        <v>10</v>
      </c>
      <c r="K200" s="113">
        <v>582.09</v>
      </c>
      <c r="L200" s="113">
        <v>4394.2</v>
      </c>
      <c r="M200" s="113">
        <v>581.36</v>
      </c>
      <c r="N200" s="113">
        <v>4329.2</v>
      </c>
      <c r="O200" s="114" t="s">
        <v>1890</v>
      </c>
    </row>
    <row r="201" spans="1:15" x14ac:dyDescent="0.25">
      <c r="A201" s="113" t="s">
        <v>55</v>
      </c>
      <c r="B201" s="113" t="s">
        <v>47</v>
      </c>
      <c r="C201" s="113">
        <v>0.01</v>
      </c>
      <c r="D201" s="113">
        <v>0.1</v>
      </c>
      <c r="E201" s="113">
        <v>1E-4</v>
      </c>
      <c r="F201" s="113" t="s">
        <v>13</v>
      </c>
      <c r="G201" s="113" t="s">
        <v>11</v>
      </c>
      <c r="H201" s="113">
        <v>20</v>
      </c>
      <c r="I201" s="113">
        <v>50</v>
      </c>
      <c r="J201" s="113" t="s">
        <v>10</v>
      </c>
      <c r="K201" s="113">
        <v>64.007999999999996</v>
      </c>
      <c r="L201" s="113">
        <v>4598.6000000000004</v>
      </c>
      <c r="M201" s="113">
        <v>63.621000000000002</v>
      </c>
      <c r="N201" s="113">
        <v>4599.3999999999996</v>
      </c>
      <c r="O201" s="114" t="s">
        <v>2661</v>
      </c>
    </row>
    <row r="202" spans="1:15" x14ac:dyDescent="0.25">
      <c r="A202" s="113" t="s">
        <v>55</v>
      </c>
      <c r="B202" s="113" t="s">
        <v>47</v>
      </c>
      <c r="C202" s="113">
        <v>0.01</v>
      </c>
      <c r="D202" s="113">
        <v>0.1</v>
      </c>
      <c r="E202" s="113">
        <v>1E-4</v>
      </c>
      <c r="F202" s="113" t="s">
        <v>13</v>
      </c>
      <c r="G202" s="113" t="s">
        <v>11</v>
      </c>
      <c r="H202" s="113">
        <v>0.02</v>
      </c>
      <c r="I202" s="113">
        <v>4.4999999999999998E-2</v>
      </c>
      <c r="J202" s="113" t="s">
        <v>10</v>
      </c>
      <c r="K202" s="113">
        <v>55.716000000000001</v>
      </c>
      <c r="L202" s="113">
        <v>1491.6</v>
      </c>
      <c r="M202" s="113">
        <v>55.6</v>
      </c>
      <c r="N202" s="113">
        <v>1490.7</v>
      </c>
      <c r="O202" s="114" t="s">
        <v>2660</v>
      </c>
    </row>
    <row r="203" spans="1:15" x14ac:dyDescent="0.25">
      <c r="A203" s="113" t="s">
        <v>55</v>
      </c>
      <c r="B203" s="113" t="s">
        <v>47</v>
      </c>
      <c r="C203" s="113">
        <v>0.01</v>
      </c>
      <c r="D203" s="113">
        <v>0.1</v>
      </c>
      <c r="E203" s="113">
        <v>1E-3</v>
      </c>
      <c r="F203" s="113" t="s">
        <v>13</v>
      </c>
      <c r="G203" s="113" t="s">
        <v>11</v>
      </c>
      <c r="H203" s="113">
        <v>0.02</v>
      </c>
      <c r="I203" s="113">
        <v>4.4999999999999998E-2</v>
      </c>
      <c r="J203" s="113" t="s">
        <v>10</v>
      </c>
      <c r="K203" s="113">
        <v>575.37</v>
      </c>
      <c r="L203" s="113">
        <v>347.9</v>
      </c>
      <c r="M203" s="113">
        <v>575.33000000000004</v>
      </c>
      <c r="N203" s="113">
        <v>345.55</v>
      </c>
      <c r="O203" s="114" t="s">
        <v>1897</v>
      </c>
    </row>
    <row r="204" spans="1:15" x14ac:dyDescent="0.25">
      <c r="A204" s="113" t="s">
        <v>55</v>
      </c>
      <c r="B204" s="113" t="s">
        <v>47</v>
      </c>
      <c r="C204" s="113">
        <v>0.01</v>
      </c>
      <c r="D204" s="113">
        <v>0.1</v>
      </c>
      <c r="E204" s="113">
        <v>1E-3</v>
      </c>
      <c r="F204" s="113" t="s">
        <v>13</v>
      </c>
      <c r="G204" s="113" t="s">
        <v>11</v>
      </c>
      <c r="H204" s="113">
        <v>0.1</v>
      </c>
      <c r="I204" s="113">
        <v>5</v>
      </c>
      <c r="J204" s="113" t="s">
        <v>10</v>
      </c>
      <c r="K204" s="113">
        <v>577.74</v>
      </c>
      <c r="L204" s="113">
        <v>30.199000000000002</v>
      </c>
      <c r="M204" s="113">
        <v>577.71</v>
      </c>
      <c r="N204" s="113">
        <v>27.695</v>
      </c>
      <c r="O204" s="114" t="s">
        <v>1899</v>
      </c>
    </row>
    <row r="205" spans="1:15" x14ac:dyDescent="0.25">
      <c r="A205" s="113" t="s">
        <v>55</v>
      </c>
      <c r="B205" s="113" t="s">
        <v>47</v>
      </c>
      <c r="C205" s="113">
        <v>0.01</v>
      </c>
      <c r="D205" s="113">
        <v>0.1</v>
      </c>
      <c r="E205" s="113">
        <v>1E-3</v>
      </c>
      <c r="F205" s="113" t="s">
        <v>13</v>
      </c>
      <c r="G205" s="113" t="s">
        <v>11</v>
      </c>
      <c r="H205" s="113">
        <v>1E-3</v>
      </c>
      <c r="I205" s="113">
        <v>0.02</v>
      </c>
      <c r="J205" s="113" t="s">
        <v>10</v>
      </c>
      <c r="K205" s="113">
        <v>562.38</v>
      </c>
      <c r="L205" s="113">
        <v>1919.1</v>
      </c>
      <c r="M205" s="113">
        <v>562.34</v>
      </c>
      <c r="N205" s="113">
        <v>1917.3</v>
      </c>
      <c r="O205" s="114" t="s">
        <v>1898</v>
      </c>
    </row>
    <row r="206" spans="1:15" x14ac:dyDescent="0.25">
      <c r="A206" s="113" t="s">
        <v>55</v>
      </c>
      <c r="B206" s="113" t="s">
        <v>47</v>
      </c>
      <c r="C206" s="113">
        <v>0.01</v>
      </c>
      <c r="D206" s="113">
        <v>0.1</v>
      </c>
      <c r="E206" s="113">
        <v>1E-3</v>
      </c>
      <c r="F206" s="113" t="s">
        <v>13</v>
      </c>
      <c r="G206" s="113" t="s">
        <v>11</v>
      </c>
      <c r="H206" s="113">
        <v>5</v>
      </c>
      <c r="I206" s="113">
        <v>20</v>
      </c>
      <c r="J206" s="113" t="s">
        <v>10</v>
      </c>
      <c r="K206" s="113">
        <v>577.41</v>
      </c>
      <c r="L206" s="113">
        <v>80.741</v>
      </c>
      <c r="M206" s="113">
        <v>577.37</v>
      </c>
      <c r="N206" s="113">
        <v>78.263000000000005</v>
      </c>
      <c r="O206" s="114" t="s">
        <v>1893</v>
      </c>
    </row>
    <row r="207" spans="1:15" x14ac:dyDescent="0.25">
      <c r="A207" s="113" t="s">
        <v>55</v>
      </c>
      <c r="B207" s="113" t="s">
        <v>47</v>
      </c>
      <c r="C207" s="113">
        <v>0.01</v>
      </c>
      <c r="D207" s="113">
        <v>0.1</v>
      </c>
      <c r="E207" s="113">
        <v>1E-3</v>
      </c>
      <c r="F207" s="113" t="s">
        <v>13</v>
      </c>
      <c r="G207" s="113" t="s">
        <v>11</v>
      </c>
      <c r="H207" s="113">
        <v>20</v>
      </c>
      <c r="I207" s="113">
        <v>50</v>
      </c>
      <c r="J207" s="113" t="s">
        <v>10</v>
      </c>
      <c r="K207" s="113">
        <v>563.71</v>
      </c>
      <c r="L207" s="113">
        <v>2145.1999999999998</v>
      </c>
      <c r="M207" s="113">
        <v>563.49</v>
      </c>
      <c r="N207" s="113">
        <v>2139.1999999999998</v>
      </c>
      <c r="O207" s="114" t="s">
        <v>1895</v>
      </c>
    </row>
    <row r="208" spans="1:15" x14ac:dyDescent="0.25">
      <c r="A208" s="113" t="s">
        <v>55</v>
      </c>
      <c r="B208" s="113" t="s">
        <v>47</v>
      </c>
      <c r="C208" s="113">
        <v>0.01</v>
      </c>
      <c r="D208" s="113">
        <v>0.1</v>
      </c>
      <c r="E208" s="113">
        <v>1E-3</v>
      </c>
      <c r="F208" s="113" t="s">
        <v>13</v>
      </c>
      <c r="G208" s="113" t="s">
        <v>11</v>
      </c>
      <c r="H208" s="113">
        <v>50</v>
      </c>
      <c r="I208" s="113">
        <v>100</v>
      </c>
      <c r="J208" s="113" t="s">
        <v>10</v>
      </c>
      <c r="K208" s="113">
        <v>5772.5</v>
      </c>
      <c r="L208" s="113">
        <v>669.65</v>
      </c>
      <c r="M208" s="113">
        <v>5772.4</v>
      </c>
      <c r="N208" s="113">
        <v>620.29999999999995</v>
      </c>
      <c r="O208" s="114" t="s">
        <v>1896</v>
      </c>
    </row>
    <row r="209" spans="1:15" x14ac:dyDescent="0.25">
      <c r="A209" s="113" t="s">
        <v>55</v>
      </c>
      <c r="B209" s="113" t="s">
        <v>47</v>
      </c>
      <c r="C209" s="113">
        <v>0.01</v>
      </c>
      <c r="D209" s="113">
        <v>0.1</v>
      </c>
      <c r="E209" s="113">
        <v>1E-3</v>
      </c>
      <c r="F209" s="113" t="s">
        <v>13</v>
      </c>
      <c r="G209" s="113" t="s">
        <v>11</v>
      </c>
      <c r="H209" s="113">
        <v>4.4999999999999998E-2</v>
      </c>
      <c r="I209" s="113">
        <v>0.1</v>
      </c>
      <c r="J209" s="113" t="s">
        <v>10</v>
      </c>
      <c r="K209" s="113">
        <v>577.45000000000005</v>
      </c>
      <c r="L209" s="113">
        <v>76.063000000000002</v>
      </c>
      <c r="M209" s="113">
        <v>577.41</v>
      </c>
      <c r="N209" s="113">
        <v>73.581999999999994</v>
      </c>
      <c r="O209" s="114" t="s">
        <v>1894</v>
      </c>
    </row>
    <row r="210" spans="1:15" x14ac:dyDescent="0.25">
      <c r="A210" s="113" t="s">
        <v>55</v>
      </c>
      <c r="B210" s="113" t="s">
        <v>47</v>
      </c>
      <c r="C210" s="113">
        <v>0.1</v>
      </c>
      <c r="D210" s="113">
        <v>1</v>
      </c>
      <c r="E210" s="113">
        <v>9.9999999999999995E-7</v>
      </c>
      <c r="F210" s="113" t="s">
        <v>13</v>
      </c>
      <c r="G210" s="113" t="s">
        <v>12</v>
      </c>
      <c r="H210" s="113">
        <v>20</v>
      </c>
      <c r="I210" s="113">
        <v>50</v>
      </c>
      <c r="J210" s="113" t="s">
        <v>10</v>
      </c>
      <c r="K210" s="113">
        <v>0.47</v>
      </c>
      <c r="L210" s="113">
        <v>12</v>
      </c>
      <c r="M210" s="113">
        <v>0.44152000000000002</v>
      </c>
      <c r="N210" s="113">
        <v>11.792</v>
      </c>
      <c r="O210" s="114" t="s">
        <v>1905</v>
      </c>
    </row>
    <row r="211" spans="1:15" x14ac:dyDescent="0.25">
      <c r="A211" s="113" t="s">
        <v>55</v>
      </c>
      <c r="B211" s="113" t="s">
        <v>47</v>
      </c>
      <c r="C211" s="113">
        <v>0.1</v>
      </c>
      <c r="D211" s="113">
        <v>1</v>
      </c>
      <c r="E211" s="113">
        <v>9.9999999999999995E-7</v>
      </c>
      <c r="F211" s="113" t="s">
        <v>13</v>
      </c>
      <c r="G211" s="113" t="s">
        <v>12</v>
      </c>
      <c r="H211" s="113">
        <v>0.02</v>
      </c>
      <c r="I211" s="113">
        <v>4.4999999999999998E-2</v>
      </c>
      <c r="J211" s="113" t="s">
        <v>10</v>
      </c>
      <c r="K211" s="113">
        <v>0.28000000000000003</v>
      </c>
      <c r="L211" s="113">
        <v>1.8</v>
      </c>
      <c r="M211" s="113">
        <v>0.23096</v>
      </c>
      <c r="N211" s="113">
        <v>1.8475999999999999</v>
      </c>
      <c r="O211" s="114" t="s">
        <v>1903</v>
      </c>
    </row>
    <row r="212" spans="1:15" x14ac:dyDescent="0.25">
      <c r="A212" s="113" t="s">
        <v>55</v>
      </c>
      <c r="B212" s="113" t="s">
        <v>47</v>
      </c>
      <c r="C212" s="113">
        <v>0.1</v>
      </c>
      <c r="D212" s="113">
        <v>1</v>
      </c>
      <c r="E212" s="113">
        <v>9.9999999999999995E-7</v>
      </c>
      <c r="F212" s="113" t="s">
        <v>13</v>
      </c>
      <c r="G212" s="113" t="s">
        <v>12</v>
      </c>
      <c r="H212" s="113">
        <v>1E-3</v>
      </c>
      <c r="I212" s="113">
        <v>0.02</v>
      </c>
      <c r="J212" s="113" t="s">
        <v>10</v>
      </c>
      <c r="K212" s="113">
        <v>0.25</v>
      </c>
      <c r="L212" s="113">
        <v>4.5999999999999996</v>
      </c>
      <c r="M212" s="113">
        <v>0.23096</v>
      </c>
      <c r="N212" s="113">
        <v>4.6188000000000002</v>
      </c>
      <c r="O212" s="114" t="s">
        <v>1900</v>
      </c>
    </row>
    <row r="213" spans="1:15" x14ac:dyDescent="0.25">
      <c r="A213" s="113" t="s">
        <v>55</v>
      </c>
      <c r="B213" s="113" t="s">
        <v>47</v>
      </c>
      <c r="C213" s="113">
        <v>0.1</v>
      </c>
      <c r="D213" s="113">
        <v>1</v>
      </c>
      <c r="E213" s="113">
        <v>9.9999999999999995E-7</v>
      </c>
      <c r="F213" s="113" t="s">
        <v>13</v>
      </c>
      <c r="G213" s="113" t="s">
        <v>12</v>
      </c>
      <c r="H213" s="113">
        <v>5</v>
      </c>
      <c r="I213" s="113">
        <v>20</v>
      </c>
      <c r="J213" s="113" t="s">
        <v>10</v>
      </c>
      <c r="K213" s="113">
        <v>0.27</v>
      </c>
      <c r="L213" s="113">
        <v>3.5</v>
      </c>
      <c r="M213" s="113">
        <v>0.22313</v>
      </c>
      <c r="N213" s="113">
        <v>3.5466000000000002</v>
      </c>
      <c r="O213" s="114" t="s">
        <v>1902</v>
      </c>
    </row>
    <row r="214" spans="1:15" x14ac:dyDescent="0.25">
      <c r="A214" s="113" t="s">
        <v>55</v>
      </c>
      <c r="B214" s="113" t="s">
        <v>47</v>
      </c>
      <c r="C214" s="113">
        <v>0.1</v>
      </c>
      <c r="D214" s="113">
        <v>1</v>
      </c>
      <c r="E214" s="113">
        <v>9.9999999999999995E-7</v>
      </c>
      <c r="F214" s="113" t="s">
        <v>13</v>
      </c>
      <c r="G214" s="113" t="s">
        <v>12</v>
      </c>
      <c r="H214" s="113">
        <v>0.1</v>
      </c>
      <c r="I214" s="113">
        <v>5</v>
      </c>
      <c r="J214" s="113" t="s">
        <v>10</v>
      </c>
      <c r="K214" s="113">
        <v>0.24</v>
      </c>
      <c r="L214" s="113">
        <v>1.2</v>
      </c>
      <c r="M214" s="113">
        <v>0.22816</v>
      </c>
      <c r="N214" s="113">
        <v>1.1855</v>
      </c>
      <c r="O214" s="114" t="s">
        <v>1904</v>
      </c>
    </row>
    <row r="215" spans="1:15" x14ac:dyDescent="0.25">
      <c r="A215" s="113" t="s">
        <v>55</v>
      </c>
      <c r="B215" s="113" t="s">
        <v>47</v>
      </c>
      <c r="C215" s="113">
        <v>0.1</v>
      </c>
      <c r="D215" s="113">
        <v>1</v>
      </c>
      <c r="E215" s="113">
        <v>9.9999999999999995E-7</v>
      </c>
      <c r="F215" s="113" t="s">
        <v>13</v>
      </c>
      <c r="G215" s="113" t="s">
        <v>12</v>
      </c>
      <c r="H215" s="113">
        <v>4.4999999999999998E-2</v>
      </c>
      <c r="I215" s="113">
        <v>0.1</v>
      </c>
      <c r="J215" s="113" t="s">
        <v>10</v>
      </c>
      <c r="K215" s="113">
        <v>0.24</v>
      </c>
      <c r="L215" s="113">
        <v>0.92</v>
      </c>
      <c r="M215" s="113">
        <v>0.23091</v>
      </c>
      <c r="N215" s="113">
        <v>0.92432000000000003</v>
      </c>
      <c r="O215" s="114" t="s">
        <v>1901</v>
      </c>
    </row>
    <row r="216" spans="1:15" x14ac:dyDescent="0.25">
      <c r="A216" s="113" t="s">
        <v>55</v>
      </c>
      <c r="B216" s="113" t="s">
        <v>47</v>
      </c>
      <c r="C216" s="113">
        <v>0.1</v>
      </c>
      <c r="D216" s="113">
        <v>1</v>
      </c>
      <c r="E216" s="113">
        <v>1.0000000000000001E-5</v>
      </c>
      <c r="F216" s="113" t="s">
        <v>13</v>
      </c>
      <c r="G216" s="113" t="s">
        <v>12</v>
      </c>
      <c r="H216" s="113">
        <v>0.02</v>
      </c>
      <c r="I216" s="113">
        <v>4.4999999999999998E-2</v>
      </c>
      <c r="J216" s="113" t="s">
        <v>10</v>
      </c>
      <c r="K216" s="113">
        <v>0.28000000000000003</v>
      </c>
      <c r="L216" s="113">
        <v>1.8</v>
      </c>
      <c r="M216" s="113">
        <v>0.23102</v>
      </c>
      <c r="N216" s="113">
        <v>1.8475999999999999</v>
      </c>
      <c r="O216" s="114" t="s">
        <v>1907</v>
      </c>
    </row>
    <row r="217" spans="1:15" x14ac:dyDescent="0.25">
      <c r="A217" s="113" t="s">
        <v>55</v>
      </c>
      <c r="B217" s="113" t="s">
        <v>47</v>
      </c>
      <c r="C217" s="113">
        <v>0.1</v>
      </c>
      <c r="D217" s="113">
        <v>1</v>
      </c>
      <c r="E217" s="113">
        <v>1.0000000000000001E-5</v>
      </c>
      <c r="F217" s="113" t="s">
        <v>13</v>
      </c>
      <c r="G217" s="113" t="s">
        <v>12</v>
      </c>
      <c r="H217" s="113">
        <v>4.4999999999999998E-2</v>
      </c>
      <c r="I217" s="113">
        <v>0.1</v>
      </c>
      <c r="J217" s="113" t="s">
        <v>10</v>
      </c>
      <c r="K217" s="113">
        <v>0.24</v>
      </c>
      <c r="L217" s="113">
        <v>0.92</v>
      </c>
      <c r="M217" s="113">
        <v>0.23100999999999999</v>
      </c>
      <c r="N217" s="113">
        <v>0.92427000000000004</v>
      </c>
      <c r="O217" s="114" t="s">
        <v>1906</v>
      </c>
    </row>
    <row r="218" spans="1:15" x14ac:dyDescent="0.25">
      <c r="A218" s="113" t="s">
        <v>55</v>
      </c>
      <c r="B218" s="113" t="s">
        <v>47</v>
      </c>
      <c r="C218" s="113">
        <v>0.1</v>
      </c>
      <c r="D218" s="113">
        <v>1</v>
      </c>
      <c r="E218" s="113">
        <v>1.0000000000000001E-5</v>
      </c>
      <c r="F218" s="113" t="s">
        <v>13</v>
      </c>
      <c r="G218" s="113" t="s">
        <v>12</v>
      </c>
      <c r="H218" s="113">
        <v>0.1</v>
      </c>
      <c r="I218" s="113">
        <v>5</v>
      </c>
      <c r="J218" s="113" t="s">
        <v>10</v>
      </c>
      <c r="K218" s="113">
        <v>0.24</v>
      </c>
      <c r="L218" s="113">
        <v>1.2</v>
      </c>
      <c r="M218" s="113">
        <v>0.2283</v>
      </c>
      <c r="N218" s="113">
        <v>1.1854</v>
      </c>
      <c r="O218" s="114" t="s">
        <v>2662</v>
      </c>
    </row>
    <row r="219" spans="1:15" x14ac:dyDescent="0.25">
      <c r="A219" s="113" t="s">
        <v>55</v>
      </c>
      <c r="B219" s="113" t="s">
        <v>47</v>
      </c>
      <c r="C219" s="113">
        <v>0.1</v>
      </c>
      <c r="D219" s="113">
        <v>1</v>
      </c>
      <c r="E219" s="113">
        <v>1.0000000000000001E-5</v>
      </c>
      <c r="F219" s="113" t="s">
        <v>13</v>
      </c>
      <c r="G219" s="113" t="s">
        <v>12</v>
      </c>
      <c r="H219" s="113">
        <v>20</v>
      </c>
      <c r="I219" s="113">
        <v>50</v>
      </c>
      <c r="J219" s="113" t="s">
        <v>10</v>
      </c>
      <c r="K219" s="113">
        <v>0.47</v>
      </c>
      <c r="L219" s="113">
        <v>12</v>
      </c>
      <c r="M219" s="113">
        <v>0.44162000000000001</v>
      </c>
      <c r="N219" s="113">
        <v>11.792</v>
      </c>
      <c r="O219" s="114" t="s">
        <v>1910</v>
      </c>
    </row>
    <row r="220" spans="1:15" x14ac:dyDescent="0.25">
      <c r="A220" s="113" t="s">
        <v>55</v>
      </c>
      <c r="B220" s="113" t="s">
        <v>47</v>
      </c>
      <c r="C220" s="113">
        <v>0.1</v>
      </c>
      <c r="D220" s="113">
        <v>1</v>
      </c>
      <c r="E220" s="113">
        <v>1.0000000000000001E-5</v>
      </c>
      <c r="F220" s="113" t="s">
        <v>13</v>
      </c>
      <c r="G220" s="113" t="s">
        <v>12</v>
      </c>
      <c r="H220" s="113">
        <v>1E-3</v>
      </c>
      <c r="I220" s="113">
        <v>0.02</v>
      </c>
      <c r="J220" s="113" t="s">
        <v>10</v>
      </c>
      <c r="K220" s="113">
        <v>0.25</v>
      </c>
      <c r="L220" s="113">
        <v>4.5999999999999996</v>
      </c>
      <c r="M220" s="113">
        <v>0.23100000000000001</v>
      </c>
      <c r="N220" s="113">
        <v>4.6188000000000002</v>
      </c>
      <c r="O220" s="114" t="s">
        <v>1908</v>
      </c>
    </row>
    <row r="221" spans="1:15" x14ac:dyDescent="0.25">
      <c r="A221" s="113" t="s">
        <v>55</v>
      </c>
      <c r="B221" s="113" t="s">
        <v>47</v>
      </c>
      <c r="C221" s="113">
        <v>0.1</v>
      </c>
      <c r="D221" s="113">
        <v>1</v>
      </c>
      <c r="E221" s="113">
        <v>1.0000000000000001E-5</v>
      </c>
      <c r="F221" s="113" t="s">
        <v>13</v>
      </c>
      <c r="G221" s="113" t="s">
        <v>12</v>
      </c>
      <c r="H221" s="113">
        <v>5</v>
      </c>
      <c r="I221" s="113">
        <v>20</v>
      </c>
      <c r="J221" s="113" t="s">
        <v>10</v>
      </c>
      <c r="K221" s="113">
        <v>0.27</v>
      </c>
      <c r="L221" s="113">
        <v>3.5331000000000001</v>
      </c>
      <c r="M221" s="113">
        <v>0.22319</v>
      </c>
      <c r="N221" s="113">
        <v>3.5466000000000002</v>
      </c>
      <c r="O221" s="114" t="s">
        <v>1909</v>
      </c>
    </row>
    <row r="222" spans="1:15" x14ac:dyDescent="0.25">
      <c r="A222" s="113" t="s">
        <v>55</v>
      </c>
      <c r="B222" s="113" t="s">
        <v>47</v>
      </c>
      <c r="C222" s="113">
        <v>0.1</v>
      </c>
      <c r="D222" s="113">
        <v>1</v>
      </c>
      <c r="E222" s="113">
        <v>1E-4</v>
      </c>
      <c r="F222" s="113" t="s">
        <v>13</v>
      </c>
      <c r="G222" s="113" t="s">
        <v>12</v>
      </c>
      <c r="H222" s="113">
        <v>20</v>
      </c>
      <c r="I222" s="113">
        <v>50</v>
      </c>
      <c r="J222" s="113" t="s">
        <v>10</v>
      </c>
      <c r="K222" s="113">
        <v>0.47</v>
      </c>
      <c r="L222" s="113">
        <v>12</v>
      </c>
      <c r="M222" s="113">
        <v>0.44312000000000001</v>
      </c>
      <c r="N222" s="113">
        <v>11.791</v>
      </c>
      <c r="O222" s="114" t="s">
        <v>1914</v>
      </c>
    </row>
    <row r="223" spans="1:15" x14ac:dyDescent="0.25">
      <c r="A223" s="113" t="s">
        <v>55</v>
      </c>
      <c r="B223" s="113" t="s">
        <v>47</v>
      </c>
      <c r="C223" s="113">
        <v>0.1</v>
      </c>
      <c r="D223" s="113">
        <v>1</v>
      </c>
      <c r="E223" s="113">
        <v>1E-4</v>
      </c>
      <c r="F223" s="113" t="s">
        <v>13</v>
      </c>
      <c r="G223" s="113" t="s">
        <v>12</v>
      </c>
      <c r="H223" s="113">
        <v>4.4999999999999998E-2</v>
      </c>
      <c r="I223" s="113">
        <v>0.1</v>
      </c>
      <c r="J223" s="113" t="s">
        <v>10</v>
      </c>
      <c r="K223" s="113">
        <v>0.24</v>
      </c>
      <c r="L223" s="113">
        <v>0.92</v>
      </c>
      <c r="M223" s="113">
        <v>0.23663999999999999</v>
      </c>
      <c r="N223" s="113">
        <v>0.92018</v>
      </c>
      <c r="O223" s="114" t="s">
        <v>1912</v>
      </c>
    </row>
    <row r="224" spans="1:15" x14ac:dyDescent="0.25">
      <c r="A224" s="113" t="s">
        <v>55</v>
      </c>
      <c r="B224" s="113" t="s">
        <v>47</v>
      </c>
      <c r="C224" s="113">
        <v>0.1</v>
      </c>
      <c r="D224" s="113">
        <v>1</v>
      </c>
      <c r="E224" s="113">
        <v>1E-4</v>
      </c>
      <c r="F224" s="113" t="s">
        <v>13</v>
      </c>
      <c r="G224" s="113" t="s">
        <v>12</v>
      </c>
      <c r="H224" s="113">
        <v>0.02</v>
      </c>
      <c r="I224" s="113">
        <v>4.4999999999999998E-2</v>
      </c>
      <c r="J224" s="113" t="s">
        <v>10</v>
      </c>
      <c r="K224" s="113">
        <v>0.28000000000000003</v>
      </c>
      <c r="L224" s="113">
        <v>1.8</v>
      </c>
      <c r="M224" s="113">
        <v>0.23544999999999999</v>
      </c>
      <c r="N224" s="113">
        <v>1.8440000000000001</v>
      </c>
      <c r="O224" s="114" t="s">
        <v>1915</v>
      </c>
    </row>
    <row r="225" spans="1:15" x14ac:dyDescent="0.25">
      <c r="A225" s="113" t="s">
        <v>55</v>
      </c>
      <c r="B225" s="113" t="s">
        <v>47</v>
      </c>
      <c r="C225" s="113">
        <v>0.1</v>
      </c>
      <c r="D225" s="113">
        <v>1</v>
      </c>
      <c r="E225" s="113">
        <v>1E-4</v>
      </c>
      <c r="F225" s="113" t="s">
        <v>13</v>
      </c>
      <c r="G225" s="113" t="s">
        <v>12</v>
      </c>
      <c r="H225" s="113">
        <v>1E-3</v>
      </c>
      <c r="I225" s="113">
        <v>0.02</v>
      </c>
      <c r="J225" s="113" t="s">
        <v>10</v>
      </c>
      <c r="K225" s="113">
        <v>0.25</v>
      </c>
      <c r="L225" s="113">
        <v>4.6002999999999998</v>
      </c>
      <c r="M225" s="113">
        <v>0.23368</v>
      </c>
      <c r="N225" s="113">
        <v>4.6165000000000003</v>
      </c>
      <c r="O225" s="114" t="s">
        <v>2663</v>
      </c>
    </row>
    <row r="226" spans="1:15" x14ac:dyDescent="0.25">
      <c r="A226" s="113" t="s">
        <v>55</v>
      </c>
      <c r="B226" s="113" t="s">
        <v>47</v>
      </c>
      <c r="C226" s="113">
        <v>0.1</v>
      </c>
      <c r="D226" s="113">
        <v>1</v>
      </c>
      <c r="E226" s="113">
        <v>1E-4</v>
      </c>
      <c r="F226" s="113" t="s">
        <v>13</v>
      </c>
      <c r="G226" s="113" t="s">
        <v>12</v>
      </c>
      <c r="H226" s="113">
        <v>0.1</v>
      </c>
      <c r="I226" s="113">
        <v>5</v>
      </c>
      <c r="J226" s="113" t="s">
        <v>10</v>
      </c>
      <c r="K226" s="113">
        <v>0.24</v>
      </c>
      <c r="L226" s="113">
        <v>1.2</v>
      </c>
      <c r="M226" s="113">
        <v>0.23355999999999999</v>
      </c>
      <c r="N226" s="113">
        <v>1.1814</v>
      </c>
      <c r="O226" s="114" t="s">
        <v>1913</v>
      </c>
    </row>
    <row r="227" spans="1:15" x14ac:dyDescent="0.25">
      <c r="A227" s="113" t="s">
        <v>55</v>
      </c>
      <c r="B227" s="113" t="s">
        <v>47</v>
      </c>
      <c r="C227" s="113">
        <v>0.1</v>
      </c>
      <c r="D227" s="113">
        <v>1</v>
      </c>
      <c r="E227" s="113">
        <v>1E-4</v>
      </c>
      <c r="F227" s="113" t="s">
        <v>13</v>
      </c>
      <c r="G227" s="113" t="s">
        <v>12</v>
      </c>
      <c r="H227" s="113">
        <v>5</v>
      </c>
      <c r="I227" s="113">
        <v>20</v>
      </c>
      <c r="J227" s="113" t="s">
        <v>10</v>
      </c>
      <c r="K227" s="113">
        <v>0.27</v>
      </c>
      <c r="L227" s="113">
        <v>3.5337999999999998</v>
      </c>
      <c r="M227" s="113">
        <v>0.22642000000000001</v>
      </c>
      <c r="N227" s="113">
        <v>3.5438000000000001</v>
      </c>
      <c r="O227" s="114" t="s">
        <v>1911</v>
      </c>
    </row>
    <row r="228" spans="1:15" x14ac:dyDescent="0.25">
      <c r="A228" s="113" t="s">
        <v>55</v>
      </c>
      <c r="B228" s="113" t="s">
        <v>47</v>
      </c>
      <c r="C228" s="113">
        <v>0.1</v>
      </c>
      <c r="D228" s="113">
        <v>1</v>
      </c>
      <c r="E228" s="113">
        <v>1E-3</v>
      </c>
      <c r="F228" s="113" t="s">
        <v>13</v>
      </c>
      <c r="G228" s="113" t="s">
        <v>12</v>
      </c>
      <c r="H228" s="113">
        <v>1E-3</v>
      </c>
      <c r="I228" s="113">
        <v>0.02</v>
      </c>
      <c r="J228" s="113" t="s">
        <v>10</v>
      </c>
      <c r="K228" s="113">
        <v>0.46103</v>
      </c>
      <c r="L228" s="113">
        <v>4.4237000000000002</v>
      </c>
      <c r="M228" s="113">
        <v>0.45974999999999999</v>
      </c>
      <c r="N228" s="113">
        <v>4.4244000000000003</v>
      </c>
      <c r="O228" s="114" t="s">
        <v>2664</v>
      </c>
    </row>
    <row r="229" spans="1:15" x14ac:dyDescent="0.25">
      <c r="A229" s="113" t="s">
        <v>55</v>
      </c>
      <c r="B229" s="113" t="s">
        <v>47</v>
      </c>
      <c r="C229" s="113">
        <v>0.1</v>
      </c>
      <c r="D229" s="113">
        <v>1</v>
      </c>
      <c r="E229" s="113">
        <v>1E-3</v>
      </c>
      <c r="F229" s="113" t="s">
        <v>13</v>
      </c>
      <c r="G229" s="113" t="s">
        <v>12</v>
      </c>
      <c r="H229" s="113">
        <v>20</v>
      </c>
      <c r="I229" s="113">
        <v>50</v>
      </c>
      <c r="J229" s="113" t="s">
        <v>10</v>
      </c>
      <c r="K229" s="113">
        <v>0.53612000000000004</v>
      </c>
      <c r="L229" s="113">
        <v>11.933999999999999</v>
      </c>
      <c r="M229" s="113">
        <v>0.5524</v>
      </c>
      <c r="N229" s="113">
        <v>11.696999999999999</v>
      </c>
      <c r="O229" s="114" t="s">
        <v>1917</v>
      </c>
    </row>
    <row r="230" spans="1:15" x14ac:dyDescent="0.25">
      <c r="A230" s="113" t="s">
        <v>55</v>
      </c>
      <c r="B230" s="113" t="s">
        <v>47</v>
      </c>
      <c r="C230" s="113">
        <v>0.1</v>
      </c>
      <c r="D230" s="113">
        <v>1</v>
      </c>
      <c r="E230" s="113">
        <v>1E-3</v>
      </c>
      <c r="F230" s="113" t="s">
        <v>13</v>
      </c>
      <c r="G230" s="113" t="s">
        <v>12</v>
      </c>
      <c r="H230" s="113">
        <v>5</v>
      </c>
      <c r="I230" s="113">
        <v>20</v>
      </c>
      <c r="J230" s="113" t="s">
        <v>10</v>
      </c>
      <c r="K230" s="113">
        <v>0.48562</v>
      </c>
      <c r="L230" s="113">
        <v>3.3290000000000002</v>
      </c>
      <c r="M230" s="113">
        <v>0.48418</v>
      </c>
      <c r="N230" s="113">
        <v>3.3296999999999999</v>
      </c>
      <c r="O230" s="114" t="s">
        <v>2665</v>
      </c>
    </row>
    <row r="231" spans="1:15" x14ac:dyDescent="0.25">
      <c r="A231" s="113" t="s">
        <v>55</v>
      </c>
      <c r="B231" s="113" t="s">
        <v>47</v>
      </c>
      <c r="C231" s="113">
        <v>0.1</v>
      </c>
      <c r="D231" s="113">
        <v>1</v>
      </c>
      <c r="E231" s="113">
        <v>1E-3</v>
      </c>
      <c r="F231" s="113" t="s">
        <v>13</v>
      </c>
      <c r="G231" s="113" t="s">
        <v>12</v>
      </c>
      <c r="H231" s="113">
        <v>0.02</v>
      </c>
      <c r="I231" s="113">
        <v>4.4999999999999998E-2</v>
      </c>
      <c r="J231" s="113" t="s">
        <v>10</v>
      </c>
      <c r="K231" s="113">
        <v>0.55279</v>
      </c>
      <c r="L231" s="113">
        <v>1.6061000000000001</v>
      </c>
      <c r="M231" s="113">
        <v>0.55118</v>
      </c>
      <c r="N231" s="113">
        <v>1.6064000000000001</v>
      </c>
      <c r="O231" s="114" t="s">
        <v>1916</v>
      </c>
    </row>
    <row r="232" spans="1:15" x14ac:dyDescent="0.25">
      <c r="A232" s="113" t="s">
        <v>55</v>
      </c>
      <c r="B232" s="113" t="s">
        <v>47</v>
      </c>
      <c r="C232" s="113">
        <v>0.1</v>
      </c>
      <c r="D232" s="113">
        <v>1</v>
      </c>
      <c r="E232" s="113">
        <v>1E-3</v>
      </c>
      <c r="F232" s="113" t="s">
        <v>13</v>
      </c>
      <c r="G232" s="113" t="s">
        <v>12</v>
      </c>
      <c r="H232" s="113">
        <v>4.4999999999999998E-2</v>
      </c>
      <c r="I232" s="113">
        <v>0.1</v>
      </c>
      <c r="J232" s="113" t="s">
        <v>10</v>
      </c>
      <c r="K232" s="113">
        <v>0.59375999999999995</v>
      </c>
      <c r="L232" s="113">
        <v>0.70043999999999995</v>
      </c>
      <c r="M232" s="113">
        <v>0.59214999999999995</v>
      </c>
      <c r="N232" s="113">
        <v>0.69986000000000004</v>
      </c>
      <c r="O232" s="114" t="s">
        <v>1919</v>
      </c>
    </row>
    <row r="233" spans="1:15" x14ac:dyDescent="0.25">
      <c r="A233" s="113" t="s">
        <v>55</v>
      </c>
      <c r="B233" s="113" t="s">
        <v>47</v>
      </c>
      <c r="C233" s="113">
        <v>0.1</v>
      </c>
      <c r="D233" s="113">
        <v>1</v>
      </c>
      <c r="E233" s="113">
        <v>1E-3</v>
      </c>
      <c r="F233" s="113" t="s">
        <v>13</v>
      </c>
      <c r="G233" s="113" t="s">
        <v>12</v>
      </c>
      <c r="H233" s="113">
        <v>0.1</v>
      </c>
      <c r="I233" s="113">
        <v>5</v>
      </c>
      <c r="J233" s="113" t="s">
        <v>10</v>
      </c>
      <c r="K233" s="113">
        <v>0.58062000000000002</v>
      </c>
      <c r="L233" s="113">
        <v>0.94869999999999999</v>
      </c>
      <c r="M233" s="113">
        <v>0.57901000000000002</v>
      </c>
      <c r="N233" s="113">
        <v>0.94845999999999997</v>
      </c>
      <c r="O233" s="114" t="s">
        <v>1918</v>
      </c>
    </row>
    <row r="234" spans="1:15" x14ac:dyDescent="0.25">
      <c r="A234" s="113" t="s">
        <v>55</v>
      </c>
      <c r="B234" s="113" t="s">
        <v>47</v>
      </c>
      <c r="C234" s="113">
        <v>0.1</v>
      </c>
      <c r="D234" s="113">
        <v>1</v>
      </c>
      <c r="E234" s="113">
        <v>0.01</v>
      </c>
      <c r="F234" s="113" t="s">
        <v>13</v>
      </c>
      <c r="G234" s="113" t="s">
        <v>12</v>
      </c>
      <c r="H234" s="113">
        <v>0.02</v>
      </c>
      <c r="I234" s="113">
        <v>4.4999999999999998E-2</v>
      </c>
      <c r="J234" s="113" t="s">
        <v>10</v>
      </c>
      <c r="K234" s="113">
        <v>5.7507000000000001</v>
      </c>
      <c r="L234" s="113">
        <v>0.38796999999999998</v>
      </c>
      <c r="M234" s="113">
        <v>5.75</v>
      </c>
      <c r="N234" s="113">
        <v>0.38675999999999999</v>
      </c>
      <c r="O234" s="114" t="s">
        <v>1922</v>
      </c>
    </row>
    <row r="235" spans="1:15" x14ac:dyDescent="0.25">
      <c r="A235" s="113" t="s">
        <v>55</v>
      </c>
      <c r="B235" s="113" t="s">
        <v>47</v>
      </c>
      <c r="C235" s="113">
        <v>0.1</v>
      </c>
      <c r="D235" s="113">
        <v>1</v>
      </c>
      <c r="E235" s="113">
        <v>0.01</v>
      </c>
      <c r="F235" s="113" t="s">
        <v>13</v>
      </c>
      <c r="G235" s="113" t="s">
        <v>12</v>
      </c>
      <c r="H235" s="113">
        <v>4.4999999999999998E-2</v>
      </c>
      <c r="I235" s="113">
        <v>0.1</v>
      </c>
      <c r="J235" s="113" t="s">
        <v>10</v>
      </c>
      <c r="K235" s="113">
        <v>5.7717000000000001</v>
      </c>
      <c r="L235" s="113">
        <v>0.11872000000000001</v>
      </c>
      <c r="M235" s="113">
        <v>5.7709999999999999</v>
      </c>
      <c r="N235" s="113">
        <v>0.11743000000000001</v>
      </c>
      <c r="O235" s="114" t="s">
        <v>1921</v>
      </c>
    </row>
    <row r="236" spans="1:15" x14ac:dyDescent="0.25">
      <c r="A236" s="113" t="s">
        <v>55</v>
      </c>
      <c r="B236" s="113" t="s">
        <v>47</v>
      </c>
      <c r="C236" s="113">
        <v>0.1</v>
      </c>
      <c r="D236" s="113">
        <v>1</v>
      </c>
      <c r="E236" s="113">
        <v>0.01</v>
      </c>
      <c r="F236" s="113" t="s">
        <v>13</v>
      </c>
      <c r="G236" s="113" t="s">
        <v>12</v>
      </c>
      <c r="H236" s="113">
        <v>20</v>
      </c>
      <c r="I236" s="113">
        <v>50</v>
      </c>
      <c r="J236" s="113" t="s">
        <v>10</v>
      </c>
      <c r="K236" s="113">
        <v>5.1677999999999997</v>
      </c>
      <c r="L236" s="113">
        <v>8.3948999999999998</v>
      </c>
      <c r="M236" s="113">
        <v>5.1615000000000002</v>
      </c>
      <c r="N236" s="113">
        <v>8.3731000000000009</v>
      </c>
      <c r="O236" s="114" t="s">
        <v>1923</v>
      </c>
    </row>
    <row r="237" spans="1:15" x14ac:dyDescent="0.25">
      <c r="A237" s="113" t="s">
        <v>55</v>
      </c>
      <c r="B237" s="113" t="s">
        <v>47</v>
      </c>
      <c r="C237" s="113">
        <v>0.1</v>
      </c>
      <c r="D237" s="113">
        <v>1</v>
      </c>
      <c r="E237" s="113">
        <v>0.01</v>
      </c>
      <c r="F237" s="113" t="s">
        <v>13</v>
      </c>
      <c r="G237" s="113" t="s">
        <v>12</v>
      </c>
      <c r="H237" s="113">
        <v>0.1</v>
      </c>
      <c r="I237" s="113">
        <v>5</v>
      </c>
      <c r="J237" s="113" t="s">
        <v>10</v>
      </c>
      <c r="K237" s="113">
        <v>5.7670000000000003</v>
      </c>
      <c r="L237" s="113">
        <v>0.17953</v>
      </c>
      <c r="M237" s="113">
        <v>5.7663000000000002</v>
      </c>
      <c r="N237" s="113">
        <v>0.17826</v>
      </c>
      <c r="O237" s="114" t="s">
        <v>1920</v>
      </c>
    </row>
    <row r="238" spans="1:15" x14ac:dyDescent="0.25">
      <c r="A238" s="113" t="s">
        <v>55</v>
      </c>
      <c r="B238" s="113" t="s">
        <v>47</v>
      </c>
      <c r="C238" s="113">
        <v>0.1</v>
      </c>
      <c r="D238" s="113">
        <v>1</v>
      </c>
      <c r="E238" s="113">
        <v>0.01</v>
      </c>
      <c r="F238" s="113" t="s">
        <v>13</v>
      </c>
      <c r="G238" s="113" t="s">
        <v>12</v>
      </c>
      <c r="H238" s="113">
        <v>5</v>
      </c>
      <c r="I238" s="113">
        <v>20</v>
      </c>
      <c r="J238" s="113" t="s">
        <v>10</v>
      </c>
      <c r="K238" s="113">
        <v>5.6818</v>
      </c>
      <c r="L238" s="113">
        <v>1.2155</v>
      </c>
      <c r="M238" s="113">
        <v>5.6810999999999998</v>
      </c>
      <c r="N238" s="113">
        <v>1.2145999999999999</v>
      </c>
      <c r="O238" s="114" t="s">
        <v>2666</v>
      </c>
    </row>
    <row r="239" spans="1:15" x14ac:dyDescent="0.25">
      <c r="A239" s="113" t="s">
        <v>55</v>
      </c>
      <c r="B239" s="113" t="s">
        <v>47</v>
      </c>
      <c r="C239" s="113">
        <v>0.1</v>
      </c>
      <c r="D239" s="113">
        <v>1</v>
      </c>
      <c r="E239" s="113">
        <v>0.01</v>
      </c>
      <c r="F239" s="113" t="s">
        <v>13</v>
      </c>
      <c r="G239" s="113" t="s">
        <v>12</v>
      </c>
      <c r="H239" s="113">
        <v>1E-3</v>
      </c>
      <c r="I239" s="113">
        <v>0.02</v>
      </c>
      <c r="J239" s="113" t="s">
        <v>10</v>
      </c>
      <c r="K239" s="113">
        <v>5.6242000000000001</v>
      </c>
      <c r="L239" s="113">
        <v>1.9178999999999999</v>
      </c>
      <c r="M239" s="113">
        <v>5.6234999999999999</v>
      </c>
      <c r="N239" s="113">
        <v>1.9171</v>
      </c>
      <c r="O239" s="114" t="s">
        <v>2667</v>
      </c>
    </row>
    <row r="240" spans="1:15" x14ac:dyDescent="0.25">
      <c r="A240" s="113" t="s">
        <v>55</v>
      </c>
      <c r="B240" s="113" t="s">
        <v>47</v>
      </c>
      <c r="C240" s="113">
        <v>1</v>
      </c>
      <c r="D240" s="113">
        <v>10</v>
      </c>
      <c r="E240" s="113">
        <v>1.0000000000000001E-5</v>
      </c>
      <c r="F240" s="113" t="s">
        <v>13</v>
      </c>
      <c r="G240" s="113" t="s">
        <v>12</v>
      </c>
      <c r="H240" s="113">
        <v>1E-3</v>
      </c>
      <c r="I240" s="113">
        <v>0.05</v>
      </c>
      <c r="J240" s="113" t="s">
        <v>10</v>
      </c>
      <c r="K240" s="113">
        <v>0.55000000000000004</v>
      </c>
      <c r="L240" s="113">
        <v>0.12</v>
      </c>
      <c r="M240" s="113">
        <v>0.51998999999999995</v>
      </c>
      <c r="N240" s="113">
        <v>9.3087000000000003E-2</v>
      </c>
      <c r="O240" s="114" t="s">
        <v>2668</v>
      </c>
    </row>
    <row r="241" spans="1:15" x14ac:dyDescent="0.25">
      <c r="A241" s="113" t="s">
        <v>55</v>
      </c>
      <c r="B241" s="113" t="s">
        <v>47</v>
      </c>
      <c r="C241" s="113">
        <v>1</v>
      </c>
      <c r="D241" s="113">
        <v>10</v>
      </c>
      <c r="E241" s="113">
        <v>1.0000000000000001E-5</v>
      </c>
      <c r="F241" s="113" t="s">
        <v>13</v>
      </c>
      <c r="G241" s="113" t="s">
        <v>12</v>
      </c>
      <c r="H241" s="113">
        <v>1</v>
      </c>
      <c r="I241" s="113">
        <v>5</v>
      </c>
      <c r="J241" s="113" t="s">
        <v>10</v>
      </c>
      <c r="K241" s="113">
        <v>1.4</v>
      </c>
      <c r="L241" s="113">
        <v>0.66</v>
      </c>
      <c r="M241" s="113">
        <v>1.3260000000000001</v>
      </c>
      <c r="N241" s="113">
        <v>0.66217999999999999</v>
      </c>
      <c r="O241" s="114" t="s">
        <v>1924</v>
      </c>
    </row>
    <row r="242" spans="1:15" x14ac:dyDescent="0.25">
      <c r="A242" s="113" t="s">
        <v>55</v>
      </c>
      <c r="B242" s="113" t="s">
        <v>47</v>
      </c>
      <c r="C242" s="113">
        <v>1</v>
      </c>
      <c r="D242" s="113">
        <v>10</v>
      </c>
      <c r="E242" s="113">
        <v>1.0000000000000001E-5</v>
      </c>
      <c r="F242" s="113" t="s">
        <v>13</v>
      </c>
      <c r="G242" s="113" t="s">
        <v>12</v>
      </c>
      <c r="H242" s="113">
        <v>0.05</v>
      </c>
      <c r="I242" s="113">
        <v>1</v>
      </c>
      <c r="J242" s="113" t="s">
        <v>10</v>
      </c>
      <c r="K242" s="113">
        <v>0.46</v>
      </c>
      <c r="L242" s="113">
        <v>0.17</v>
      </c>
      <c r="M242" s="113">
        <v>0.49897000000000002</v>
      </c>
      <c r="N242" s="113">
        <v>0.12063</v>
      </c>
      <c r="O242" s="114" t="s">
        <v>1925</v>
      </c>
    </row>
    <row r="243" spans="1:15" x14ac:dyDescent="0.25">
      <c r="A243" s="113" t="s">
        <v>55</v>
      </c>
      <c r="B243" s="113" t="s">
        <v>47</v>
      </c>
      <c r="C243" s="113">
        <v>1</v>
      </c>
      <c r="D243" s="113">
        <v>10</v>
      </c>
      <c r="E243" s="113">
        <v>1E-4</v>
      </c>
      <c r="F243" s="113" t="s">
        <v>13</v>
      </c>
      <c r="G243" s="113" t="s">
        <v>12</v>
      </c>
      <c r="H243" s="113">
        <v>1E-3</v>
      </c>
      <c r="I243" s="113">
        <v>0.05</v>
      </c>
      <c r="J243" s="113" t="s">
        <v>10</v>
      </c>
      <c r="K243" s="113">
        <v>0.55000000000000004</v>
      </c>
      <c r="L243" s="113">
        <v>0.12</v>
      </c>
      <c r="M243" s="113">
        <v>0.52375000000000005</v>
      </c>
      <c r="N243" s="113">
        <v>9.2860999999999999E-2</v>
      </c>
      <c r="O243" s="114" t="s">
        <v>1928</v>
      </c>
    </row>
    <row r="244" spans="1:15" x14ac:dyDescent="0.25">
      <c r="A244" s="113" t="s">
        <v>55</v>
      </c>
      <c r="B244" s="113" t="s">
        <v>47</v>
      </c>
      <c r="C244" s="113">
        <v>1</v>
      </c>
      <c r="D244" s="113">
        <v>10</v>
      </c>
      <c r="E244" s="113">
        <v>1E-4</v>
      </c>
      <c r="F244" s="113" t="s">
        <v>13</v>
      </c>
      <c r="G244" s="113" t="s">
        <v>12</v>
      </c>
      <c r="H244" s="113">
        <v>0.05</v>
      </c>
      <c r="I244" s="113">
        <v>1</v>
      </c>
      <c r="J244" s="113" t="s">
        <v>10</v>
      </c>
      <c r="K244" s="113">
        <v>0.46</v>
      </c>
      <c r="L244" s="113">
        <v>0.16805999999999999</v>
      </c>
      <c r="M244" s="113">
        <v>0.50268999999999997</v>
      </c>
      <c r="N244" s="113">
        <v>0.12039</v>
      </c>
      <c r="O244" s="114" t="s">
        <v>1927</v>
      </c>
    </row>
    <row r="245" spans="1:15" x14ac:dyDescent="0.25">
      <c r="A245" s="113" t="s">
        <v>55</v>
      </c>
      <c r="B245" s="113" t="s">
        <v>47</v>
      </c>
      <c r="C245" s="113">
        <v>1</v>
      </c>
      <c r="D245" s="113">
        <v>10</v>
      </c>
      <c r="E245" s="113">
        <v>1E-4</v>
      </c>
      <c r="F245" s="113" t="s">
        <v>13</v>
      </c>
      <c r="G245" s="113" t="s">
        <v>12</v>
      </c>
      <c r="H245" s="113">
        <v>1</v>
      </c>
      <c r="I245" s="113">
        <v>5</v>
      </c>
      <c r="J245" s="113" t="s">
        <v>10</v>
      </c>
      <c r="K245" s="113">
        <v>1.4</v>
      </c>
      <c r="L245" s="113">
        <v>0.66168000000000005</v>
      </c>
      <c r="M245" s="113">
        <v>1.3279000000000001</v>
      </c>
      <c r="N245" s="113">
        <v>0.66195999999999999</v>
      </c>
      <c r="O245" s="114" t="s">
        <v>1926</v>
      </c>
    </row>
    <row r="246" spans="1:15" x14ac:dyDescent="0.25">
      <c r="A246" s="113" t="s">
        <v>55</v>
      </c>
      <c r="B246" s="113" t="s">
        <v>47</v>
      </c>
      <c r="C246" s="113">
        <v>1</v>
      </c>
      <c r="D246" s="113">
        <v>10</v>
      </c>
      <c r="E246" s="113">
        <v>1E-3</v>
      </c>
      <c r="F246" s="113" t="s">
        <v>13</v>
      </c>
      <c r="G246" s="113" t="s">
        <v>12</v>
      </c>
      <c r="H246" s="113">
        <v>0.05</v>
      </c>
      <c r="I246" s="113">
        <v>1</v>
      </c>
      <c r="J246" s="113" t="s">
        <v>10</v>
      </c>
      <c r="K246" s="113">
        <v>0.72094000000000003</v>
      </c>
      <c r="L246" s="113">
        <v>0.14191000000000001</v>
      </c>
      <c r="M246" s="113">
        <v>0.74419000000000002</v>
      </c>
      <c r="N246" s="113">
        <v>0.10576000000000001</v>
      </c>
      <c r="O246" s="114" t="s">
        <v>2669</v>
      </c>
    </row>
    <row r="247" spans="1:15" x14ac:dyDescent="0.25">
      <c r="A247" s="113" t="s">
        <v>55</v>
      </c>
      <c r="B247" s="113" t="s">
        <v>47</v>
      </c>
      <c r="C247" s="113">
        <v>1</v>
      </c>
      <c r="D247" s="113">
        <v>10</v>
      </c>
      <c r="E247" s="113">
        <v>1E-3</v>
      </c>
      <c r="F247" s="113" t="s">
        <v>13</v>
      </c>
      <c r="G247" s="113" t="s">
        <v>12</v>
      </c>
      <c r="H247" s="113">
        <v>1</v>
      </c>
      <c r="I247" s="113">
        <v>5</v>
      </c>
      <c r="J247" s="113" t="s">
        <v>10</v>
      </c>
      <c r="K247" s="113">
        <v>1.4676</v>
      </c>
      <c r="L247" s="113">
        <v>0.64571999999999996</v>
      </c>
      <c r="M247" s="113">
        <v>1.4594</v>
      </c>
      <c r="N247" s="113">
        <v>0.64664999999999995</v>
      </c>
      <c r="O247" s="114" t="s">
        <v>1929</v>
      </c>
    </row>
    <row r="248" spans="1:15" x14ac:dyDescent="0.25">
      <c r="A248" s="113" t="s">
        <v>55</v>
      </c>
      <c r="B248" s="113" t="s">
        <v>47</v>
      </c>
      <c r="C248" s="113">
        <v>1</v>
      </c>
      <c r="D248" s="113">
        <v>10</v>
      </c>
      <c r="E248" s="113">
        <v>1E-3</v>
      </c>
      <c r="F248" s="113" t="s">
        <v>13</v>
      </c>
      <c r="G248" s="113" t="s">
        <v>12</v>
      </c>
      <c r="H248" s="113">
        <v>1E-3</v>
      </c>
      <c r="I248" s="113">
        <v>0.05</v>
      </c>
      <c r="J248" s="113" t="s">
        <v>10</v>
      </c>
      <c r="K248" s="113">
        <v>0.75909000000000004</v>
      </c>
      <c r="L248" s="113">
        <v>9.9090999999999999E-2</v>
      </c>
      <c r="M248" s="113">
        <v>0.76541999999999999</v>
      </c>
      <c r="N248" s="113">
        <v>7.9774999999999999E-2</v>
      </c>
      <c r="O248" s="114" t="s">
        <v>2670</v>
      </c>
    </row>
    <row r="249" spans="1:15" x14ac:dyDescent="0.25">
      <c r="A249" s="113" t="s">
        <v>55</v>
      </c>
      <c r="B249" s="113" t="s">
        <v>47</v>
      </c>
      <c r="C249" s="113">
        <v>1</v>
      </c>
      <c r="D249" s="113">
        <v>10</v>
      </c>
      <c r="E249" s="113">
        <v>0.01</v>
      </c>
      <c r="F249" s="113" t="s">
        <v>13</v>
      </c>
      <c r="G249" s="113" t="s">
        <v>12</v>
      </c>
      <c r="H249" s="113">
        <v>1</v>
      </c>
      <c r="I249" s="113">
        <v>5</v>
      </c>
      <c r="J249" s="113" t="s">
        <v>10</v>
      </c>
      <c r="K249" s="113">
        <v>5.82</v>
      </c>
      <c r="L249" s="113">
        <v>0.34986</v>
      </c>
      <c r="M249" s="113">
        <v>5.8127000000000004</v>
      </c>
      <c r="N249" s="113">
        <v>0.35015000000000002</v>
      </c>
      <c r="O249" s="114" t="s">
        <v>1931</v>
      </c>
    </row>
    <row r="250" spans="1:15" x14ac:dyDescent="0.25">
      <c r="A250" s="113" t="s">
        <v>55</v>
      </c>
      <c r="B250" s="113" t="s">
        <v>47</v>
      </c>
      <c r="C250" s="113">
        <v>1</v>
      </c>
      <c r="D250" s="113">
        <v>10</v>
      </c>
      <c r="E250" s="113">
        <v>0.01</v>
      </c>
      <c r="F250" s="113" t="s">
        <v>13</v>
      </c>
      <c r="G250" s="113" t="s">
        <v>12</v>
      </c>
      <c r="H250" s="113">
        <v>1E-3</v>
      </c>
      <c r="I250" s="113">
        <v>0.05</v>
      </c>
      <c r="J250" s="113" t="s">
        <v>10</v>
      </c>
      <c r="K250" s="113">
        <v>5.7991999999999999</v>
      </c>
      <c r="L250" s="113">
        <v>1.6313000000000001E-2</v>
      </c>
      <c r="M250" s="113">
        <v>5.7915999999999999</v>
      </c>
      <c r="N250" s="113">
        <v>1.6333E-2</v>
      </c>
      <c r="O250" s="114" t="s">
        <v>1930</v>
      </c>
    </row>
    <row r="251" spans="1:15" x14ac:dyDescent="0.25">
      <c r="A251" s="113" t="s">
        <v>55</v>
      </c>
      <c r="B251" s="113" t="s">
        <v>47</v>
      </c>
      <c r="C251" s="113">
        <v>1</v>
      </c>
      <c r="D251" s="113">
        <v>10</v>
      </c>
      <c r="E251" s="113">
        <v>0.01</v>
      </c>
      <c r="F251" s="113" t="s">
        <v>13</v>
      </c>
      <c r="G251" s="113" t="s">
        <v>12</v>
      </c>
      <c r="H251" s="113">
        <v>0.05</v>
      </c>
      <c r="I251" s="113">
        <v>1</v>
      </c>
      <c r="J251" s="113" t="s">
        <v>10</v>
      </c>
      <c r="K251" s="113">
        <v>5.7925000000000004</v>
      </c>
      <c r="L251" s="113">
        <v>2.3675999999999999E-2</v>
      </c>
      <c r="M251" s="113">
        <v>5.7849000000000004</v>
      </c>
      <c r="N251" s="113">
        <v>2.3706000000000001E-2</v>
      </c>
      <c r="O251" s="114" t="s">
        <v>1932</v>
      </c>
    </row>
    <row r="252" spans="1:15" x14ac:dyDescent="0.25">
      <c r="A252" s="113" t="s">
        <v>55</v>
      </c>
      <c r="B252" s="113" t="s">
        <v>47</v>
      </c>
      <c r="C252" s="113">
        <v>1</v>
      </c>
      <c r="D252" s="113">
        <v>10</v>
      </c>
      <c r="E252" s="113">
        <v>0.1</v>
      </c>
      <c r="F252" s="113" t="s">
        <v>13</v>
      </c>
      <c r="G252" s="113" t="s">
        <v>12</v>
      </c>
      <c r="H252" s="113">
        <v>1</v>
      </c>
      <c r="I252" s="113">
        <v>5</v>
      </c>
      <c r="J252" s="113" t="s">
        <v>10</v>
      </c>
      <c r="K252" s="113">
        <v>57.725000000000001</v>
      </c>
      <c r="L252" s="113">
        <v>4.4886000000000002E-2</v>
      </c>
      <c r="M252" s="113">
        <v>57.722000000000001</v>
      </c>
      <c r="N252" s="113">
        <v>4.4888999999999998E-2</v>
      </c>
      <c r="O252" s="114" t="s">
        <v>1934</v>
      </c>
    </row>
    <row r="253" spans="1:15" x14ac:dyDescent="0.25">
      <c r="A253" s="113" t="s">
        <v>55</v>
      </c>
      <c r="B253" s="113" t="s">
        <v>47</v>
      </c>
      <c r="C253" s="113">
        <v>1</v>
      </c>
      <c r="D253" s="113">
        <v>10</v>
      </c>
      <c r="E253" s="113">
        <v>0.1</v>
      </c>
      <c r="F253" s="113" t="s">
        <v>13</v>
      </c>
      <c r="G253" s="113" t="s">
        <v>12</v>
      </c>
      <c r="H253" s="113">
        <v>0.05</v>
      </c>
      <c r="I253" s="113">
        <v>1</v>
      </c>
      <c r="J253" s="113" t="s">
        <v>10</v>
      </c>
      <c r="K253" s="113">
        <v>57.74</v>
      </c>
      <c r="L253" s="113">
        <v>2.428E-3</v>
      </c>
      <c r="M253" s="113">
        <v>57.737000000000002</v>
      </c>
      <c r="N253" s="113">
        <v>2.4282000000000001E-3</v>
      </c>
      <c r="O253" s="114" t="s">
        <v>1933</v>
      </c>
    </row>
    <row r="254" spans="1:15" x14ac:dyDescent="0.25">
      <c r="A254" s="113" t="s">
        <v>55</v>
      </c>
      <c r="B254" s="113" t="s">
        <v>47</v>
      </c>
      <c r="C254" s="113">
        <v>1</v>
      </c>
      <c r="D254" s="113">
        <v>10</v>
      </c>
      <c r="E254" s="113">
        <v>0.1</v>
      </c>
      <c r="F254" s="113" t="s">
        <v>13</v>
      </c>
      <c r="G254" s="113" t="s">
        <v>12</v>
      </c>
      <c r="H254" s="113">
        <v>1E-3</v>
      </c>
      <c r="I254" s="113">
        <v>0.05</v>
      </c>
      <c r="J254" s="113" t="s">
        <v>10</v>
      </c>
      <c r="K254" s="113">
        <v>57.741</v>
      </c>
      <c r="L254" s="113">
        <v>1.6634E-3</v>
      </c>
      <c r="M254" s="113">
        <v>57.738</v>
      </c>
      <c r="N254" s="113">
        <v>1.6635E-3</v>
      </c>
      <c r="O254" s="114" t="s">
        <v>2671</v>
      </c>
    </row>
    <row r="255" spans="1:15" x14ac:dyDescent="0.25">
      <c r="A255" s="113" t="s">
        <v>55</v>
      </c>
      <c r="B255" s="113" t="s">
        <v>47</v>
      </c>
      <c r="C255" s="113">
        <v>10</v>
      </c>
      <c r="D255" s="113">
        <v>20</v>
      </c>
      <c r="E255" s="113">
        <v>1.0000000000000001E-5</v>
      </c>
      <c r="F255" s="113" t="s">
        <v>13</v>
      </c>
      <c r="G255" s="113" t="s">
        <v>12</v>
      </c>
      <c r="H255" s="113">
        <v>1</v>
      </c>
      <c r="I255" s="113">
        <v>5</v>
      </c>
      <c r="J255" s="113" t="s">
        <v>10</v>
      </c>
      <c r="K255" s="113">
        <v>0</v>
      </c>
      <c r="L255" s="113">
        <v>0.95</v>
      </c>
      <c r="M255" s="113">
        <v>1.07</v>
      </c>
      <c r="N255" s="113">
        <v>0.66</v>
      </c>
      <c r="O255" s="114" t="s">
        <v>1937</v>
      </c>
    </row>
    <row r="256" spans="1:15" x14ac:dyDescent="0.25">
      <c r="A256" s="113" t="s">
        <v>55</v>
      </c>
      <c r="B256" s="113" t="s">
        <v>47</v>
      </c>
      <c r="C256" s="113">
        <v>10</v>
      </c>
      <c r="D256" s="113">
        <v>20</v>
      </c>
      <c r="E256" s="113">
        <v>1.0000000000000001E-5</v>
      </c>
      <c r="F256" s="113" t="s">
        <v>13</v>
      </c>
      <c r="G256" s="113" t="s">
        <v>12</v>
      </c>
      <c r="H256" s="113">
        <v>0.05</v>
      </c>
      <c r="I256" s="113">
        <v>1</v>
      </c>
      <c r="J256" s="113" t="s">
        <v>10</v>
      </c>
      <c r="K256" s="113">
        <v>0</v>
      </c>
      <c r="L256" s="113">
        <v>0.5</v>
      </c>
      <c r="M256" s="113">
        <v>2.1831999999999998</v>
      </c>
      <c r="N256" s="113">
        <v>0.11355999999999999</v>
      </c>
      <c r="O256" s="114" t="s">
        <v>1936</v>
      </c>
    </row>
    <row r="257" spans="1:15" x14ac:dyDescent="0.25">
      <c r="A257" s="113" t="s">
        <v>55</v>
      </c>
      <c r="B257" s="113" t="s">
        <v>47</v>
      </c>
      <c r="C257" s="113">
        <v>10</v>
      </c>
      <c r="D257" s="113">
        <v>20</v>
      </c>
      <c r="E257" s="113">
        <v>1.0000000000000001E-5</v>
      </c>
      <c r="F257" s="113" t="s">
        <v>13</v>
      </c>
      <c r="G257" s="113" t="s">
        <v>12</v>
      </c>
      <c r="H257" s="113">
        <v>1E-3</v>
      </c>
      <c r="I257" s="113">
        <v>0.05</v>
      </c>
      <c r="J257" s="113" t="s">
        <v>10</v>
      </c>
      <c r="K257" s="113">
        <v>0.92</v>
      </c>
      <c r="L257" s="113">
        <v>0.49</v>
      </c>
      <c r="M257" s="113">
        <v>4.6374000000000004</v>
      </c>
      <c r="N257" s="113">
        <v>8.1764000000000003E-2</v>
      </c>
      <c r="O257" s="114" t="s">
        <v>1935</v>
      </c>
    </row>
    <row r="258" spans="1:15" x14ac:dyDescent="0.25">
      <c r="A258" s="113" t="s">
        <v>55</v>
      </c>
      <c r="B258" s="113" t="s">
        <v>47</v>
      </c>
      <c r="C258" s="113">
        <v>10</v>
      </c>
      <c r="D258" s="113">
        <v>20</v>
      </c>
      <c r="E258" s="113">
        <v>1E-4</v>
      </c>
      <c r="F258" s="113" t="s">
        <v>13</v>
      </c>
      <c r="G258" s="113" t="s">
        <v>12</v>
      </c>
      <c r="H258" s="113">
        <v>0.05</v>
      </c>
      <c r="I258" s="113">
        <v>1</v>
      </c>
      <c r="J258" s="113" t="s">
        <v>10</v>
      </c>
      <c r="K258" s="113">
        <v>0</v>
      </c>
      <c r="L258" s="113">
        <v>0.5</v>
      </c>
      <c r="M258" s="113">
        <v>2.1840999999999999</v>
      </c>
      <c r="N258" s="113">
        <v>0.11354</v>
      </c>
      <c r="O258" s="114" t="s">
        <v>1938</v>
      </c>
    </row>
    <row r="259" spans="1:15" x14ac:dyDescent="0.25">
      <c r="A259" s="113" t="s">
        <v>55</v>
      </c>
      <c r="B259" s="113" t="s">
        <v>47</v>
      </c>
      <c r="C259" s="113">
        <v>10</v>
      </c>
      <c r="D259" s="113">
        <v>20</v>
      </c>
      <c r="E259" s="113">
        <v>1E-4</v>
      </c>
      <c r="F259" s="113" t="s">
        <v>13</v>
      </c>
      <c r="G259" s="113" t="s">
        <v>12</v>
      </c>
      <c r="H259" s="113">
        <v>1</v>
      </c>
      <c r="I259" s="113">
        <v>5</v>
      </c>
      <c r="J259" s="113" t="s">
        <v>10</v>
      </c>
      <c r="K259" s="113">
        <v>0</v>
      </c>
      <c r="L259" s="113">
        <v>0.95</v>
      </c>
      <c r="M259" s="113">
        <v>1.07</v>
      </c>
      <c r="N259" s="113">
        <v>0.66</v>
      </c>
      <c r="O259" s="114" t="s">
        <v>1939</v>
      </c>
    </row>
    <row r="260" spans="1:15" x14ac:dyDescent="0.25">
      <c r="A260" s="113" t="s">
        <v>55</v>
      </c>
      <c r="B260" s="113" t="s">
        <v>47</v>
      </c>
      <c r="C260" s="113">
        <v>10</v>
      </c>
      <c r="D260" s="113">
        <v>20</v>
      </c>
      <c r="E260" s="113">
        <v>1E-4</v>
      </c>
      <c r="F260" s="113" t="s">
        <v>13</v>
      </c>
      <c r="G260" s="113" t="s">
        <v>12</v>
      </c>
      <c r="H260" s="113">
        <v>1E-3</v>
      </c>
      <c r="I260" s="113">
        <v>0.05</v>
      </c>
      <c r="J260" s="113" t="s">
        <v>10</v>
      </c>
      <c r="K260" s="113">
        <v>0.92</v>
      </c>
      <c r="L260" s="113">
        <v>0.49</v>
      </c>
      <c r="M260" s="113">
        <v>4.6379000000000001</v>
      </c>
      <c r="N260" s="113">
        <v>8.1758999999999998E-2</v>
      </c>
      <c r="O260" s="114" t="s">
        <v>1940</v>
      </c>
    </row>
    <row r="261" spans="1:15" x14ac:dyDescent="0.25">
      <c r="A261" s="113" t="s">
        <v>55</v>
      </c>
      <c r="B261" s="113" t="s">
        <v>47</v>
      </c>
      <c r="C261" s="113">
        <v>10</v>
      </c>
      <c r="D261" s="113">
        <v>20</v>
      </c>
      <c r="E261" s="113">
        <v>1E-3</v>
      </c>
      <c r="F261" s="113" t="s">
        <v>13</v>
      </c>
      <c r="G261" s="113" t="s">
        <v>12</v>
      </c>
      <c r="H261" s="113">
        <v>1</v>
      </c>
      <c r="I261" s="113">
        <v>5</v>
      </c>
      <c r="J261" s="113" t="s">
        <v>10</v>
      </c>
      <c r="K261" s="113">
        <v>0</v>
      </c>
      <c r="L261" s="113">
        <v>0.95</v>
      </c>
      <c r="M261" s="113">
        <v>1.1000000000000001</v>
      </c>
      <c r="N261" s="113">
        <v>0.65900000000000003</v>
      </c>
      <c r="O261" s="114" t="s">
        <v>1943</v>
      </c>
    </row>
    <row r="262" spans="1:15" x14ac:dyDescent="0.25">
      <c r="A262" s="113" t="s">
        <v>55</v>
      </c>
      <c r="B262" s="113" t="s">
        <v>47</v>
      </c>
      <c r="C262" s="113">
        <v>10</v>
      </c>
      <c r="D262" s="113">
        <v>20</v>
      </c>
      <c r="E262" s="113">
        <v>1E-3</v>
      </c>
      <c r="F262" s="113" t="s">
        <v>13</v>
      </c>
      <c r="G262" s="113" t="s">
        <v>12</v>
      </c>
      <c r="H262" s="113">
        <v>0.05</v>
      </c>
      <c r="I262" s="113">
        <v>1</v>
      </c>
      <c r="J262" s="113" t="s">
        <v>10</v>
      </c>
      <c r="K262" s="113">
        <v>0</v>
      </c>
      <c r="L262" s="113">
        <v>0.5</v>
      </c>
      <c r="M262" s="113">
        <v>2.2467000000000001</v>
      </c>
      <c r="N262" s="113">
        <v>0.11228</v>
      </c>
      <c r="O262" s="114" t="s">
        <v>1941</v>
      </c>
    </row>
    <row r="263" spans="1:15" x14ac:dyDescent="0.25">
      <c r="A263" s="113" t="s">
        <v>55</v>
      </c>
      <c r="B263" s="113" t="s">
        <v>47</v>
      </c>
      <c r="C263" s="113">
        <v>10</v>
      </c>
      <c r="D263" s="113">
        <v>20</v>
      </c>
      <c r="E263" s="113">
        <v>1E-3</v>
      </c>
      <c r="F263" s="113" t="s">
        <v>13</v>
      </c>
      <c r="G263" s="113" t="s">
        <v>12</v>
      </c>
      <c r="H263" s="113">
        <v>1E-3</v>
      </c>
      <c r="I263" s="113">
        <v>0.05</v>
      </c>
      <c r="J263" s="113" t="s">
        <v>10</v>
      </c>
      <c r="K263" s="113">
        <v>0.92</v>
      </c>
      <c r="L263" s="113">
        <v>0.49</v>
      </c>
      <c r="M263" s="113">
        <v>4.6723999999999997</v>
      </c>
      <c r="N263" s="113">
        <v>8.1363000000000005E-2</v>
      </c>
      <c r="O263" s="114" t="s">
        <v>1942</v>
      </c>
    </row>
    <row r="264" spans="1:15" x14ac:dyDescent="0.25">
      <c r="A264" s="113" t="s">
        <v>55</v>
      </c>
      <c r="B264" s="113" t="s">
        <v>47</v>
      </c>
      <c r="C264" s="113">
        <v>10</v>
      </c>
      <c r="D264" s="113">
        <v>20</v>
      </c>
      <c r="E264" s="113">
        <v>0.01</v>
      </c>
      <c r="F264" s="113" t="s">
        <v>13</v>
      </c>
      <c r="G264" s="113" t="s">
        <v>12</v>
      </c>
      <c r="H264" s="113">
        <v>1</v>
      </c>
      <c r="I264" s="113">
        <v>5</v>
      </c>
      <c r="J264" s="113" t="s">
        <v>10</v>
      </c>
      <c r="K264" s="113">
        <v>0.21</v>
      </c>
      <c r="L264" s="113">
        <v>0.94</v>
      </c>
      <c r="M264" s="113">
        <v>3.81</v>
      </c>
      <c r="N264" s="113">
        <v>0.57899999999999996</v>
      </c>
      <c r="O264" s="114" t="s">
        <v>1944</v>
      </c>
    </row>
    <row r="265" spans="1:15" x14ac:dyDescent="0.25">
      <c r="A265" s="113" t="s">
        <v>55</v>
      </c>
      <c r="B265" s="113" t="s">
        <v>47</v>
      </c>
      <c r="C265" s="113">
        <v>10</v>
      </c>
      <c r="D265" s="113">
        <v>20</v>
      </c>
      <c r="E265" s="113">
        <v>0.01</v>
      </c>
      <c r="F265" s="113" t="s">
        <v>13</v>
      </c>
      <c r="G265" s="113" t="s">
        <v>12</v>
      </c>
      <c r="H265" s="113">
        <v>1E-3</v>
      </c>
      <c r="I265" s="113">
        <v>0.05</v>
      </c>
      <c r="J265" s="113" t="s">
        <v>10</v>
      </c>
      <c r="K265" s="113">
        <v>5.1798999999999999</v>
      </c>
      <c r="L265" s="113">
        <v>0.27700999999999998</v>
      </c>
      <c r="M265" s="113">
        <v>7.3621999999999996</v>
      </c>
      <c r="N265" s="113">
        <v>5.8217999999999999E-2</v>
      </c>
      <c r="O265" s="114" t="s">
        <v>1945</v>
      </c>
    </row>
    <row r="266" spans="1:15" x14ac:dyDescent="0.25">
      <c r="A266" s="113" t="s">
        <v>55</v>
      </c>
      <c r="B266" s="113" t="s">
        <v>47</v>
      </c>
      <c r="C266" s="113">
        <v>10</v>
      </c>
      <c r="D266" s="113">
        <v>20</v>
      </c>
      <c r="E266" s="113">
        <v>0.01</v>
      </c>
      <c r="F266" s="113" t="s">
        <v>13</v>
      </c>
      <c r="G266" s="113" t="s">
        <v>12</v>
      </c>
      <c r="H266" s="113">
        <v>0.05</v>
      </c>
      <c r="I266" s="113">
        <v>1</v>
      </c>
      <c r="J266" s="113" t="s">
        <v>10</v>
      </c>
      <c r="K266" s="113">
        <v>3.3353999999999999</v>
      </c>
      <c r="L266" s="113">
        <v>0.33323000000000003</v>
      </c>
      <c r="M266" s="113">
        <v>6.0285000000000002</v>
      </c>
      <c r="N266" s="113">
        <v>6.3256000000000007E-2</v>
      </c>
      <c r="O266" s="114" t="s">
        <v>2672</v>
      </c>
    </row>
    <row r="267" spans="1:15" x14ac:dyDescent="0.25">
      <c r="A267" s="113" t="s">
        <v>55</v>
      </c>
      <c r="B267" s="113" t="s">
        <v>47</v>
      </c>
      <c r="C267" s="113">
        <v>10</v>
      </c>
      <c r="D267" s="113">
        <v>20</v>
      </c>
      <c r="E267" s="113">
        <v>0.1</v>
      </c>
      <c r="F267" s="113" t="s">
        <v>13</v>
      </c>
      <c r="G267" s="113" t="s">
        <v>12</v>
      </c>
      <c r="H267" s="113">
        <v>0.05</v>
      </c>
      <c r="I267" s="113">
        <v>1</v>
      </c>
      <c r="J267" s="113" t="s">
        <v>10</v>
      </c>
      <c r="K267" s="113">
        <v>57.758000000000003</v>
      </c>
      <c r="L267" s="113">
        <v>7.6264000000000002E-3</v>
      </c>
      <c r="M267" s="113">
        <v>57.8</v>
      </c>
      <c r="N267" s="113">
        <v>7.6299999999999996E-3</v>
      </c>
      <c r="O267" s="114" t="s">
        <v>1948</v>
      </c>
    </row>
    <row r="268" spans="1:15" x14ac:dyDescent="0.25">
      <c r="A268" s="113" t="s">
        <v>55</v>
      </c>
      <c r="B268" s="113" t="s">
        <v>47</v>
      </c>
      <c r="C268" s="113">
        <v>10</v>
      </c>
      <c r="D268" s="113">
        <v>20</v>
      </c>
      <c r="E268" s="113">
        <v>0.1</v>
      </c>
      <c r="F268" s="113" t="s">
        <v>13</v>
      </c>
      <c r="G268" s="113" t="s">
        <v>12</v>
      </c>
      <c r="H268" s="113">
        <v>1</v>
      </c>
      <c r="I268" s="113">
        <v>5</v>
      </c>
      <c r="J268" s="113" t="s">
        <v>10</v>
      </c>
      <c r="K268" s="113">
        <v>57.017000000000003</v>
      </c>
      <c r="L268" s="113">
        <v>0.123</v>
      </c>
      <c r="M268" s="113">
        <v>57.014000000000003</v>
      </c>
      <c r="N268" s="113">
        <v>0.123</v>
      </c>
      <c r="O268" s="114" t="s">
        <v>1947</v>
      </c>
    </row>
    <row r="269" spans="1:15" x14ac:dyDescent="0.25">
      <c r="A269" s="113" t="s">
        <v>55</v>
      </c>
      <c r="B269" s="113" t="s">
        <v>47</v>
      </c>
      <c r="C269" s="113">
        <v>10</v>
      </c>
      <c r="D269" s="113">
        <v>20</v>
      </c>
      <c r="E269" s="113">
        <v>0.1</v>
      </c>
      <c r="F269" s="113" t="s">
        <v>13</v>
      </c>
      <c r="G269" s="113" t="s">
        <v>12</v>
      </c>
      <c r="H269" s="113">
        <v>1E-3</v>
      </c>
      <c r="I269" s="113">
        <v>0.05</v>
      </c>
      <c r="J269" s="113" t="s">
        <v>10</v>
      </c>
      <c r="K269" s="113">
        <v>57.914000000000001</v>
      </c>
      <c r="L269" s="113">
        <v>8.2611000000000004E-3</v>
      </c>
      <c r="M269" s="113">
        <v>57.911000000000001</v>
      </c>
      <c r="N269" s="113">
        <v>8.2615999999999992E-3</v>
      </c>
      <c r="O269" s="114" t="s">
        <v>1946</v>
      </c>
    </row>
    <row r="270" spans="1:15" x14ac:dyDescent="0.25">
      <c r="A270" s="113" t="s">
        <v>55</v>
      </c>
      <c r="B270" s="113" t="s">
        <v>8</v>
      </c>
      <c r="C270" s="113">
        <v>0</v>
      </c>
      <c r="D270" s="113">
        <v>0.01</v>
      </c>
      <c r="E270" s="113">
        <v>1E-8</v>
      </c>
      <c r="F270" s="113" t="s">
        <v>6</v>
      </c>
      <c r="G270" s="113" t="s">
        <v>5</v>
      </c>
      <c r="H270" s="113">
        <v>4000</v>
      </c>
      <c r="I270" s="113">
        <v>8000</v>
      </c>
      <c r="J270" s="113" t="s">
        <v>10</v>
      </c>
      <c r="K270" s="113">
        <v>31</v>
      </c>
      <c r="L270" s="113">
        <v>230000</v>
      </c>
      <c r="M270" s="113">
        <v>30.119</v>
      </c>
      <c r="N270" s="113">
        <v>228890</v>
      </c>
      <c r="O270" s="114" t="s">
        <v>1493</v>
      </c>
    </row>
    <row r="271" spans="1:15" x14ac:dyDescent="0.25">
      <c r="A271" s="113" t="s">
        <v>55</v>
      </c>
      <c r="B271" s="113" t="s">
        <v>8</v>
      </c>
      <c r="C271" s="113">
        <v>0</v>
      </c>
      <c r="D271" s="113">
        <v>0.01</v>
      </c>
      <c r="E271" s="113">
        <v>1E-8</v>
      </c>
      <c r="F271" s="113" t="s">
        <v>6</v>
      </c>
      <c r="G271" s="113" t="s">
        <v>5</v>
      </c>
      <c r="H271" s="113">
        <v>1E-3</v>
      </c>
      <c r="I271" s="113">
        <v>0.04</v>
      </c>
      <c r="J271" s="113" t="s">
        <v>10</v>
      </c>
      <c r="K271" s="113">
        <v>4.5</v>
      </c>
      <c r="L271" s="113">
        <v>310</v>
      </c>
      <c r="M271" s="113">
        <v>4.3849</v>
      </c>
      <c r="N271" s="113">
        <v>312.12</v>
      </c>
      <c r="O271" s="114" t="s">
        <v>1494</v>
      </c>
    </row>
    <row r="272" spans="1:15" x14ac:dyDescent="0.25">
      <c r="A272" s="113" t="s">
        <v>55</v>
      </c>
      <c r="B272" s="113" t="s">
        <v>8</v>
      </c>
      <c r="C272" s="113">
        <v>0</v>
      </c>
      <c r="D272" s="113">
        <v>0.01</v>
      </c>
      <c r="E272" s="113">
        <v>1E-8</v>
      </c>
      <c r="F272" s="113" t="s">
        <v>6</v>
      </c>
      <c r="G272" s="113" t="s">
        <v>5</v>
      </c>
      <c r="H272" s="113">
        <v>1</v>
      </c>
      <c r="I272" s="113">
        <v>20</v>
      </c>
      <c r="J272" s="113" t="s">
        <v>10</v>
      </c>
      <c r="K272" s="113">
        <v>3.1</v>
      </c>
      <c r="L272" s="113">
        <v>254.16</v>
      </c>
      <c r="M272" s="113">
        <v>3.0562999999999998</v>
      </c>
      <c r="N272" s="113">
        <v>254.09</v>
      </c>
      <c r="O272" s="114" t="s">
        <v>2538</v>
      </c>
    </row>
    <row r="273" spans="1:15" x14ac:dyDescent="0.25">
      <c r="A273" s="113" t="s">
        <v>55</v>
      </c>
      <c r="B273" s="113" t="s">
        <v>8</v>
      </c>
      <c r="C273" s="113">
        <v>0</v>
      </c>
      <c r="D273" s="113">
        <v>0.01</v>
      </c>
      <c r="E273" s="113">
        <v>1E-8</v>
      </c>
      <c r="F273" s="113" t="s">
        <v>6</v>
      </c>
      <c r="G273" s="113" t="s">
        <v>5</v>
      </c>
      <c r="H273" s="113">
        <v>300</v>
      </c>
      <c r="I273" s="113">
        <v>1000</v>
      </c>
      <c r="J273" s="113" t="s">
        <v>10</v>
      </c>
      <c r="K273" s="113">
        <v>18</v>
      </c>
      <c r="L273" s="113">
        <v>45000</v>
      </c>
      <c r="M273" s="113">
        <v>12.904</v>
      </c>
      <c r="N273" s="113">
        <v>45496</v>
      </c>
      <c r="O273" s="114" t="s">
        <v>1492</v>
      </c>
    </row>
    <row r="274" spans="1:15" x14ac:dyDescent="0.25">
      <c r="A274" s="113" t="s">
        <v>55</v>
      </c>
      <c r="B274" s="113" t="s">
        <v>8</v>
      </c>
      <c r="C274" s="113">
        <v>0</v>
      </c>
      <c r="D274" s="113">
        <v>0.01</v>
      </c>
      <c r="E274" s="113">
        <v>1E-8</v>
      </c>
      <c r="F274" s="113" t="s">
        <v>6</v>
      </c>
      <c r="G274" s="113" t="s">
        <v>5</v>
      </c>
      <c r="H274" s="113">
        <v>100</v>
      </c>
      <c r="I274" s="113">
        <v>300</v>
      </c>
      <c r="J274" s="113" t="s">
        <v>10</v>
      </c>
      <c r="K274" s="113">
        <v>4.2</v>
      </c>
      <c r="L274" s="113">
        <v>46000</v>
      </c>
      <c r="M274" s="113">
        <v>2.8932000000000002</v>
      </c>
      <c r="N274" s="113">
        <v>46131</v>
      </c>
      <c r="O274" s="114" t="s">
        <v>2537</v>
      </c>
    </row>
    <row r="275" spans="1:15" x14ac:dyDescent="0.25">
      <c r="A275" s="113" t="s">
        <v>55</v>
      </c>
      <c r="B275" s="113" t="s">
        <v>8</v>
      </c>
      <c r="C275" s="113">
        <v>0</v>
      </c>
      <c r="D275" s="113">
        <v>0.01</v>
      </c>
      <c r="E275" s="113">
        <v>1E-8</v>
      </c>
      <c r="F275" s="113" t="s">
        <v>6</v>
      </c>
      <c r="G275" s="113" t="s">
        <v>5</v>
      </c>
      <c r="H275" s="113">
        <v>20</v>
      </c>
      <c r="I275" s="113">
        <v>50</v>
      </c>
      <c r="J275" s="113" t="s">
        <v>10</v>
      </c>
      <c r="K275" s="113">
        <v>5.6</v>
      </c>
      <c r="L275" s="113">
        <v>840</v>
      </c>
      <c r="M275" s="113">
        <v>5.5358000000000001</v>
      </c>
      <c r="N275" s="113">
        <v>839.05</v>
      </c>
      <c r="O275" s="114" t="s">
        <v>1497</v>
      </c>
    </row>
    <row r="276" spans="1:15" x14ac:dyDescent="0.25">
      <c r="A276" s="113" t="s">
        <v>55</v>
      </c>
      <c r="B276" s="113" t="s">
        <v>8</v>
      </c>
      <c r="C276" s="113">
        <v>0</v>
      </c>
      <c r="D276" s="113">
        <v>0.01</v>
      </c>
      <c r="E276" s="113">
        <v>1E-8</v>
      </c>
      <c r="F276" s="113" t="s">
        <v>6</v>
      </c>
      <c r="G276" s="113" t="s">
        <v>5</v>
      </c>
      <c r="H276" s="113">
        <v>1000</v>
      </c>
      <c r="I276" s="113">
        <v>4000</v>
      </c>
      <c r="J276" s="113" t="s">
        <v>10</v>
      </c>
      <c r="K276" s="113">
        <v>23</v>
      </c>
      <c r="L276" s="113">
        <v>80000</v>
      </c>
      <c r="M276" s="113">
        <v>22.678999999999998</v>
      </c>
      <c r="N276" s="113">
        <v>79411</v>
      </c>
      <c r="O276" s="114" t="s">
        <v>1491</v>
      </c>
    </row>
    <row r="277" spans="1:15" x14ac:dyDescent="0.25">
      <c r="A277" s="113" t="s">
        <v>55</v>
      </c>
      <c r="B277" s="113" t="s">
        <v>8</v>
      </c>
      <c r="C277" s="113">
        <v>0</v>
      </c>
      <c r="D277" s="113">
        <v>0.01</v>
      </c>
      <c r="E277" s="113">
        <v>1E-8</v>
      </c>
      <c r="F277" s="113" t="s">
        <v>6</v>
      </c>
      <c r="G277" s="113" t="s">
        <v>5</v>
      </c>
      <c r="H277" s="113">
        <v>0.04</v>
      </c>
      <c r="I277" s="113">
        <v>1</v>
      </c>
      <c r="J277" s="113" t="s">
        <v>10</v>
      </c>
      <c r="K277" s="113">
        <v>3</v>
      </c>
      <c r="L277" s="113">
        <v>160</v>
      </c>
      <c r="M277" s="113">
        <v>2.9725000000000001</v>
      </c>
      <c r="N277" s="113">
        <v>162.69</v>
      </c>
      <c r="O277" s="114" t="s">
        <v>1496</v>
      </c>
    </row>
    <row r="278" spans="1:15" x14ac:dyDescent="0.25">
      <c r="A278" s="113" t="s">
        <v>55</v>
      </c>
      <c r="B278" s="113" t="s">
        <v>8</v>
      </c>
      <c r="C278" s="113">
        <v>0</v>
      </c>
      <c r="D278" s="113">
        <v>0.01</v>
      </c>
      <c r="E278" s="113">
        <v>1E-8</v>
      </c>
      <c r="F278" s="113" t="s">
        <v>6</v>
      </c>
      <c r="G278" s="113" t="s">
        <v>5</v>
      </c>
      <c r="H278" s="113">
        <v>50</v>
      </c>
      <c r="I278" s="113">
        <v>100</v>
      </c>
      <c r="J278" s="113" t="s">
        <v>10</v>
      </c>
      <c r="K278" s="113">
        <v>8.8000000000000007</v>
      </c>
      <c r="L278" s="113">
        <v>5100</v>
      </c>
      <c r="M278" s="113">
        <v>8.3102999999999998</v>
      </c>
      <c r="N278" s="113">
        <v>5147.5</v>
      </c>
      <c r="O278" s="114" t="s">
        <v>1495</v>
      </c>
    </row>
    <row r="279" spans="1:15" x14ac:dyDescent="0.25">
      <c r="A279" s="113" t="s">
        <v>55</v>
      </c>
      <c r="B279" s="113" t="s">
        <v>8</v>
      </c>
      <c r="C279" s="113">
        <v>0</v>
      </c>
      <c r="D279" s="113">
        <v>0.01</v>
      </c>
      <c r="E279" s="113">
        <v>9.9999999999999995E-8</v>
      </c>
      <c r="F279" s="113" t="s">
        <v>6</v>
      </c>
      <c r="G279" s="113" t="s">
        <v>5</v>
      </c>
      <c r="H279" s="113">
        <v>100</v>
      </c>
      <c r="I279" s="113">
        <v>300</v>
      </c>
      <c r="J279" s="113" t="s">
        <v>10</v>
      </c>
      <c r="K279" s="113">
        <v>4.2</v>
      </c>
      <c r="L279" s="113">
        <v>46000</v>
      </c>
      <c r="M279" s="113">
        <v>2.8935</v>
      </c>
      <c r="N279" s="113">
        <v>46131</v>
      </c>
      <c r="O279" s="114" t="s">
        <v>1498</v>
      </c>
    </row>
    <row r="280" spans="1:15" x14ac:dyDescent="0.25">
      <c r="A280" s="113" t="s">
        <v>55</v>
      </c>
      <c r="B280" s="113" t="s">
        <v>8</v>
      </c>
      <c r="C280" s="113">
        <v>0</v>
      </c>
      <c r="D280" s="113">
        <v>0.01</v>
      </c>
      <c r="E280" s="113">
        <v>9.9999999999999995E-8</v>
      </c>
      <c r="F280" s="113" t="s">
        <v>6</v>
      </c>
      <c r="G280" s="113" t="s">
        <v>5</v>
      </c>
      <c r="H280" s="113">
        <v>300</v>
      </c>
      <c r="I280" s="113">
        <v>1000</v>
      </c>
      <c r="J280" s="113" t="s">
        <v>10</v>
      </c>
      <c r="K280" s="113">
        <v>18</v>
      </c>
      <c r="L280" s="113">
        <v>45496</v>
      </c>
      <c r="M280" s="113">
        <v>12.904</v>
      </c>
      <c r="N280" s="113">
        <v>45496</v>
      </c>
      <c r="O280" s="114" t="s">
        <v>1501</v>
      </c>
    </row>
    <row r="281" spans="1:15" x14ac:dyDescent="0.25">
      <c r="A281" s="113" t="s">
        <v>55</v>
      </c>
      <c r="B281" s="113" t="s">
        <v>8</v>
      </c>
      <c r="C281" s="113">
        <v>0</v>
      </c>
      <c r="D281" s="113">
        <v>0.01</v>
      </c>
      <c r="E281" s="113">
        <v>9.9999999999999995E-8</v>
      </c>
      <c r="F281" s="113" t="s">
        <v>6</v>
      </c>
      <c r="G281" s="113" t="s">
        <v>5</v>
      </c>
      <c r="H281" s="113">
        <v>20</v>
      </c>
      <c r="I281" s="113">
        <v>50</v>
      </c>
      <c r="J281" s="113" t="s">
        <v>10</v>
      </c>
      <c r="K281" s="113">
        <v>5.6</v>
      </c>
      <c r="L281" s="113">
        <v>839.02</v>
      </c>
      <c r="M281" s="113">
        <v>5.5362</v>
      </c>
      <c r="N281" s="113">
        <v>839.03</v>
      </c>
      <c r="O281" s="114" t="s">
        <v>1504</v>
      </c>
    </row>
    <row r="282" spans="1:15" x14ac:dyDescent="0.25">
      <c r="A282" s="113" t="s">
        <v>55</v>
      </c>
      <c r="B282" s="113" t="s">
        <v>8</v>
      </c>
      <c r="C282" s="113">
        <v>0</v>
      </c>
      <c r="D282" s="113">
        <v>0.01</v>
      </c>
      <c r="E282" s="113">
        <v>9.9999999999999995E-8</v>
      </c>
      <c r="F282" s="113" t="s">
        <v>6</v>
      </c>
      <c r="G282" s="113" t="s">
        <v>5</v>
      </c>
      <c r="H282" s="113">
        <v>0.04</v>
      </c>
      <c r="I282" s="113">
        <v>1</v>
      </c>
      <c r="J282" s="113" t="s">
        <v>10</v>
      </c>
      <c r="K282" s="113">
        <v>3</v>
      </c>
      <c r="L282" s="113">
        <v>162.76</v>
      </c>
      <c r="M282" s="113">
        <v>2.9731000000000001</v>
      </c>
      <c r="N282" s="113">
        <v>162.66999999999999</v>
      </c>
      <c r="O282" s="114" t="s">
        <v>1505</v>
      </c>
    </row>
    <row r="283" spans="1:15" x14ac:dyDescent="0.25">
      <c r="A283" s="113" t="s">
        <v>55</v>
      </c>
      <c r="B283" s="113" t="s">
        <v>8</v>
      </c>
      <c r="C283" s="113">
        <v>0</v>
      </c>
      <c r="D283" s="113">
        <v>0.01</v>
      </c>
      <c r="E283" s="113">
        <v>9.9999999999999995E-8</v>
      </c>
      <c r="F283" s="113" t="s">
        <v>6</v>
      </c>
      <c r="G283" s="113" t="s">
        <v>5</v>
      </c>
      <c r="H283" s="113">
        <v>1000</v>
      </c>
      <c r="I283" s="113">
        <v>4000</v>
      </c>
      <c r="J283" s="113" t="s">
        <v>10</v>
      </c>
      <c r="K283" s="113">
        <v>23</v>
      </c>
      <c r="L283" s="113">
        <v>79583</v>
      </c>
      <c r="M283" s="113">
        <v>22.678999999999998</v>
      </c>
      <c r="N283" s="113">
        <v>79411</v>
      </c>
      <c r="O283" s="114" t="s">
        <v>1506</v>
      </c>
    </row>
    <row r="284" spans="1:15" x14ac:dyDescent="0.25">
      <c r="A284" s="113" t="s">
        <v>55</v>
      </c>
      <c r="B284" s="113" t="s">
        <v>8</v>
      </c>
      <c r="C284" s="113">
        <v>0</v>
      </c>
      <c r="D284" s="113">
        <v>0.01</v>
      </c>
      <c r="E284" s="113">
        <v>9.9999999999999995E-8</v>
      </c>
      <c r="F284" s="113" t="s">
        <v>6</v>
      </c>
      <c r="G284" s="113" t="s">
        <v>5</v>
      </c>
      <c r="H284" s="113">
        <v>1E-3</v>
      </c>
      <c r="I284" s="113">
        <v>0.04</v>
      </c>
      <c r="J284" s="113" t="s">
        <v>10</v>
      </c>
      <c r="K284" s="113">
        <v>4.5</v>
      </c>
      <c r="L284" s="113">
        <v>312.16000000000003</v>
      </c>
      <c r="M284" s="113">
        <v>4.3853</v>
      </c>
      <c r="N284" s="113">
        <v>312.11</v>
      </c>
      <c r="O284" s="114" t="s">
        <v>1500</v>
      </c>
    </row>
    <row r="285" spans="1:15" x14ac:dyDescent="0.25">
      <c r="A285" s="113" t="s">
        <v>55</v>
      </c>
      <c r="B285" s="113" t="s">
        <v>8</v>
      </c>
      <c r="C285" s="113">
        <v>0</v>
      </c>
      <c r="D285" s="113">
        <v>0.01</v>
      </c>
      <c r="E285" s="113">
        <v>9.9999999999999995E-8</v>
      </c>
      <c r="F285" s="113" t="s">
        <v>6</v>
      </c>
      <c r="G285" s="113" t="s">
        <v>5</v>
      </c>
      <c r="H285" s="113">
        <v>4000</v>
      </c>
      <c r="I285" s="113">
        <v>8000</v>
      </c>
      <c r="J285" s="113" t="s">
        <v>10</v>
      </c>
      <c r="K285" s="113">
        <v>31</v>
      </c>
      <c r="L285" s="113">
        <v>228990</v>
      </c>
      <c r="M285" s="113">
        <v>30.12</v>
      </c>
      <c r="N285" s="113">
        <v>228890</v>
      </c>
      <c r="O285" s="114" t="s">
        <v>1499</v>
      </c>
    </row>
    <row r="286" spans="1:15" x14ac:dyDescent="0.25">
      <c r="A286" s="113" t="s">
        <v>55</v>
      </c>
      <c r="B286" s="113" t="s">
        <v>8</v>
      </c>
      <c r="C286" s="113">
        <v>0</v>
      </c>
      <c r="D286" s="113">
        <v>0.01</v>
      </c>
      <c r="E286" s="113">
        <v>9.9999999999999995E-8</v>
      </c>
      <c r="F286" s="113" t="s">
        <v>6</v>
      </c>
      <c r="G286" s="113" t="s">
        <v>5</v>
      </c>
      <c r="H286" s="113">
        <v>50</v>
      </c>
      <c r="I286" s="113">
        <v>100</v>
      </c>
      <c r="J286" s="113" t="s">
        <v>10</v>
      </c>
      <c r="K286" s="113">
        <v>8.8000000000000007</v>
      </c>
      <c r="L286" s="113">
        <v>5147.5</v>
      </c>
      <c r="M286" s="113">
        <v>8.3102999999999998</v>
      </c>
      <c r="N286" s="113">
        <v>5147.5</v>
      </c>
      <c r="O286" s="114" t="s">
        <v>1503</v>
      </c>
    </row>
    <row r="287" spans="1:15" x14ac:dyDescent="0.25">
      <c r="A287" s="113" t="s">
        <v>55</v>
      </c>
      <c r="B287" s="113" t="s">
        <v>8</v>
      </c>
      <c r="C287" s="113">
        <v>0</v>
      </c>
      <c r="D287" s="113">
        <v>0.01</v>
      </c>
      <c r="E287" s="113">
        <v>9.9999999999999995E-8</v>
      </c>
      <c r="F287" s="113" t="s">
        <v>6</v>
      </c>
      <c r="G287" s="113" t="s">
        <v>5</v>
      </c>
      <c r="H287" s="113">
        <v>1</v>
      </c>
      <c r="I287" s="113">
        <v>20</v>
      </c>
      <c r="J287" s="113" t="s">
        <v>10</v>
      </c>
      <c r="K287" s="113">
        <v>3.1</v>
      </c>
      <c r="L287" s="113">
        <v>250</v>
      </c>
      <c r="M287" s="113">
        <v>3.0556000000000001</v>
      </c>
      <c r="N287" s="113">
        <v>254.12</v>
      </c>
      <c r="O287" s="114" t="s">
        <v>1502</v>
      </c>
    </row>
    <row r="288" spans="1:15" x14ac:dyDescent="0.25">
      <c r="A288" s="113" t="s">
        <v>55</v>
      </c>
      <c r="B288" s="113" t="s">
        <v>8</v>
      </c>
      <c r="C288" s="113">
        <v>0</v>
      </c>
      <c r="D288" s="113">
        <v>0.01</v>
      </c>
      <c r="E288" s="113">
        <v>9.9999999999999995E-7</v>
      </c>
      <c r="F288" s="113" t="s">
        <v>6</v>
      </c>
      <c r="G288" s="113" t="s">
        <v>5</v>
      </c>
      <c r="H288" s="113">
        <v>1</v>
      </c>
      <c r="I288" s="113">
        <v>20</v>
      </c>
      <c r="J288" s="113" t="s">
        <v>10</v>
      </c>
      <c r="K288" s="113">
        <v>3.1118999999999999</v>
      </c>
      <c r="L288" s="113">
        <v>251.96</v>
      </c>
      <c r="M288" s="113">
        <v>3.1095999999999999</v>
      </c>
      <c r="N288" s="113">
        <v>251.7</v>
      </c>
      <c r="O288" s="114" t="s">
        <v>1508</v>
      </c>
    </row>
    <row r="289" spans="1:15" x14ac:dyDescent="0.25">
      <c r="A289" s="113" t="s">
        <v>55</v>
      </c>
      <c r="B289" s="113" t="s">
        <v>8</v>
      </c>
      <c r="C289" s="113">
        <v>0</v>
      </c>
      <c r="D289" s="113">
        <v>0.01</v>
      </c>
      <c r="E289" s="113">
        <v>9.9999999999999995E-7</v>
      </c>
      <c r="F289" s="113" t="s">
        <v>6</v>
      </c>
      <c r="G289" s="113" t="s">
        <v>5</v>
      </c>
      <c r="H289" s="113">
        <v>1E-3</v>
      </c>
      <c r="I289" s="113">
        <v>0.04</v>
      </c>
      <c r="J289" s="113" t="s">
        <v>10</v>
      </c>
      <c r="K289" s="113">
        <v>4.5</v>
      </c>
      <c r="L289" s="113">
        <v>310.77</v>
      </c>
      <c r="M289" s="113">
        <v>4.4226000000000001</v>
      </c>
      <c r="N289" s="113">
        <v>310.57</v>
      </c>
      <c r="O289" s="114" t="s">
        <v>1510</v>
      </c>
    </row>
    <row r="290" spans="1:15" x14ac:dyDescent="0.25">
      <c r="A290" s="113" t="s">
        <v>55</v>
      </c>
      <c r="B290" s="113" t="s">
        <v>8</v>
      </c>
      <c r="C290" s="113">
        <v>0</v>
      </c>
      <c r="D290" s="113">
        <v>0.01</v>
      </c>
      <c r="E290" s="113">
        <v>9.9999999999999995E-7</v>
      </c>
      <c r="F290" s="113" t="s">
        <v>6</v>
      </c>
      <c r="G290" s="113" t="s">
        <v>5</v>
      </c>
      <c r="H290" s="113">
        <v>100</v>
      </c>
      <c r="I290" s="113">
        <v>300</v>
      </c>
      <c r="J290" s="113" t="s">
        <v>10</v>
      </c>
      <c r="K290" s="113">
        <v>4.2004999999999999</v>
      </c>
      <c r="L290" s="113">
        <v>46000</v>
      </c>
      <c r="M290" s="113">
        <v>2.919</v>
      </c>
      <c r="N290" s="113">
        <v>46128</v>
      </c>
      <c r="O290" s="114" t="s">
        <v>1509</v>
      </c>
    </row>
    <row r="291" spans="1:15" x14ac:dyDescent="0.25">
      <c r="A291" s="113" t="s">
        <v>55</v>
      </c>
      <c r="B291" s="113" t="s">
        <v>8</v>
      </c>
      <c r="C291" s="113">
        <v>0</v>
      </c>
      <c r="D291" s="113">
        <v>0.01</v>
      </c>
      <c r="E291" s="113">
        <v>9.9999999999999995E-7</v>
      </c>
      <c r="F291" s="113" t="s">
        <v>6</v>
      </c>
      <c r="G291" s="113" t="s">
        <v>5</v>
      </c>
      <c r="H291" s="113">
        <v>20</v>
      </c>
      <c r="I291" s="113">
        <v>50</v>
      </c>
      <c r="J291" s="113" t="s">
        <v>10</v>
      </c>
      <c r="K291" s="113">
        <v>5.6</v>
      </c>
      <c r="L291" s="113">
        <v>837.24</v>
      </c>
      <c r="M291" s="113">
        <v>5.5655999999999999</v>
      </c>
      <c r="N291" s="113">
        <v>837.27</v>
      </c>
      <c r="O291" s="114" t="s">
        <v>1511</v>
      </c>
    </row>
    <row r="292" spans="1:15" x14ac:dyDescent="0.25">
      <c r="A292" s="113" t="s">
        <v>55</v>
      </c>
      <c r="B292" s="113" t="s">
        <v>8</v>
      </c>
      <c r="C292" s="113">
        <v>0</v>
      </c>
      <c r="D292" s="113">
        <v>0.01</v>
      </c>
      <c r="E292" s="113">
        <v>9.9999999999999995E-7</v>
      </c>
      <c r="F292" s="113" t="s">
        <v>6</v>
      </c>
      <c r="G292" s="113" t="s">
        <v>5</v>
      </c>
      <c r="H292" s="113">
        <v>300</v>
      </c>
      <c r="I292" s="113">
        <v>1000</v>
      </c>
      <c r="J292" s="113" t="s">
        <v>10</v>
      </c>
      <c r="K292" s="113">
        <v>18</v>
      </c>
      <c r="L292" s="113">
        <v>45495</v>
      </c>
      <c r="M292" s="113">
        <v>12.914999999999999</v>
      </c>
      <c r="N292" s="113">
        <v>45495</v>
      </c>
      <c r="O292" s="114" t="s">
        <v>1507</v>
      </c>
    </row>
    <row r="293" spans="1:15" x14ac:dyDescent="0.25">
      <c r="A293" s="113" t="s">
        <v>55</v>
      </c>
      <c r="B293" s="113" t="s">
        <v>8</v>
      </c>
      <c r="C293" s="113">
        <v>0</v>
      </c>
      <c r="D293" s="113">
        <v>0.01</v>
      </c>
      <c r="E293" s="113">
        <v>9.9999999999999995E-7</v>
      </c>
      <c r="F293" s="113" t="s">
        <v>6</v>
      </c>
      <c r="G293" s="113" t="s">
        <v>5</v>
      </c>
      <c r="H293" s="113">
        <v>50</v>
      </c>
      <c r="I293" s="113">
        <v>100</v>
      </c>
      <c r="J293" s="113" t="s">
        <v>10</v>
      </c>
      <c r="K293" s="113">
        <v>8.8000000000000007</v>
      </c>
      <c r="L293" s="113">
        <v>5145.7</v>
      </c>
      <c r="M293" s="113">
        <v>8.3291000000000004</v>
      </c>
      <c r="N293" s="113">
        <v>5145.8999999999996</v>
      </c>
      <c r="O293" s="114" t="s">
        <v>2539</v>
      </c>
    </row>
    <row r="294" spans="1:15" x14ac:dyDescent="0.25">
      <c r="A294" s="113" t="s">
        <v>55</v>
      </c>
      <c r="B294" s="113" t="s">
        <v>8</v>
      </c>
      <c r="C294" s="113">
        <v>0</v>
      </c>
      <c r="D294" s="113">
        <v>0.01</v>
      </c>
      <c r="E294" s="113">
        <v>9.9999999999999995E-7</v>
      </c>
      <c r="F294" s="113" t="s">
        <v>6</v>
      </c>
      <c r="G294" s="113" t="s">
        <v>5</v>
      </c>
      <c r="H294" s="113">
        <v>4000</v>
      </c>
      <c r="I294" s="113">
        <v>8000</v>
      </c>
      <c r="J294" s="113" t="s">
        <v>10</v>
      </c>
      <c r="K294" s="113">
        <v>31</v>
      </c>
      <c r="L294" s="113">
        <v>228990</v>
      </c>
      <c r="M294" s="113">
        <v>30.12</v>
      </c>
      <c r="N294" s="113">
        <v>228890</v>
      </c>
      <c r="O294" s="114" t="s">
        <v>2540</v>
      </c>
    </row>
    <row r="295" spans="1:15" x14ac:dyDescent="0.25">
      <c r="A295" s="113" t="s">
        <v>55</v>
      </c>
      <c r="B295" s="113" t="s">
        <v>8</v>
      </c>
      <c r="C295" s="113">
        <v>0</v>
      </c>
      <c r="D295" s="113">
        <v>0.01</v>
      </c>
      <c r="E295" s="113">
        <v>9.9999999999999995E-7</v>
      </c>
      <c r="F295" s="113" t="s">
        <v>6</v>
      </c>
      <c r="G295" s="113" t="s">
        <v>5</v>
      </c>
      <c r="H295" s="113">
        <v>1000</v>
      </c>
      <c r="I295" s="113">
        <v>4000</v>
      </c>
      <c r="J295" s="113" t="s">
        <v>10</v>
      </c>
      <c r="K295" s="113">
        <v>23</v>
      </c>
      <c r="L295" s="113">
        <v>79581</v>
      </c>
      <c r="M295" s="113">
        <v>22.687999999999999</v>
      </c>
      <c r="N295" s="113">
        <v>79410</v>
      </c>
      <c r="O295" s="114" t="s">
        <v>1512</v>
      </c>
    </row>
    <row r="296" spans="1:15" x14ac:dyDescent="0.25">
      <c r="A296" s="113" t="s">
        <v>55</v>
      </c>
      <c r="B296" s="113" t="s">
        <v>8</v>
      </c>
      <c r="C296" s="113">
        <v>0</v>
      </c>
      <c r="D296" s="113">
        <v>0.01</v>
      </c>
      <c r="E296" s="113">
        <v>9.9999999999999995E-7</v>
      </c>
      <c r="F296" s="113" t="s">
        <v>6</v>
      </c>
      <c r="G296" s="113" t="s">
        <v>5</v>
      </c>
      <c r="H296" s="113">
        <v>0.04</v>
      </c>
      <c r="I296" s="113">
        <v>1</v>
      </c>
      <c r="J296" s="113" t="s">
        <v>10</v>
      </c>
      <c r="K296" s="113">
        <v>3.0304000000000002</v>
      </c>
      <c r="L296" s="113">
        <v>161.11000000000001</v>
      </c>
      <c r="M296" s="113">
        <v>3.028</v>
      </c>
      <c r="N296" s="113">
        <v>160.75</v>
      </c>
      <c r="O296" s="114" t="s">
        <v>2541</v>
      </c>
    </row>
    <row r="297" spans="1:15" x14ac:dyDescent="0.25">
      <c r="A297" s="113" t="s">
        <v>55</v>
      </c>
      <c r="B297" s="113" t="s">
        <v>8</v>
      </c>
      <c r="C297" s="113">
        <v>0</v>
      </c>
      <c r="D297" s="113">
        <v>0.01</v>
      </c>
      <c r="E297" s="113">
        <v>1.0000000000000001E-5</v>
      </c>
      <c r="F297" s="113" t="s">
        <v>6</v>
      </c>
      <c r="G297" s="113" t="s">
        <v>5</v>
      </c>
      <c r="H297" s="113">
        <v>0.04</v>
      </c>
      <c r="I297" s="113">
        <v>1</v>
      </c>
      <c r="J297" s="113" t="s">
        <v>10</v>
      </c>
      <c r="K297" s="113">
        <v>6.4968000000000004</v>
      </c>
      <c r="L297" s="113">
        <v>89.968999999999994</v>
      </c>
      <c r="M297" s="113">
        <v>6.4923999999999999</v>
      </c>
      <c r="N297" s="113">
        <v>88.921999999999997</v>
      </c>
      <c r="O297" s="114" t="s">
        <v>1516</v>
      </c>
    </row>
    <row r="298" spans="1:15" x14ac:dyDescent="0.25">
      <c r="A298" s="113" t="s">
        <v>55</v>
      </c>
      <c r="B298" s="113" t="s">
        <v>8</v>
      </c>
      <c r="C298" s="113">
        <v>0</v>
      </c>
      <c r="D298" s="113">
        <v>0.01</v>
      </c>
      <c r="E298" s="113">
        <v>1.0000000000000001E-5</v>
      </c>
      <c r="F298" s="113" t="s">
        <v>6</v>
      </c>
      <c r="G298" s="113" t="s">
        <v>5</v>
      </c>
      <c r="H298" s="113">
        <v>1</v>
      </c>
      <c r="I298" s="113">
        <v>20</v>
      </c>
      <c r="J298" s="113" t="s">
        <v>10</v>
      </c>
      <c r="K298" s="113">
        <v>6.5335000000000001</v>
      </c>
      <c r="L298" s="113">
        <v>152.12</v>
      </c>
      <c r="M298" s="113">
        <v>6.5290999999999997</v>
      </c>
      <c r="N298" s="113">
        <v>151.19</v>
      </c>
      <c r="O298" s="114" t="s">
        <v>2543</v>
      </c>
    </row>
    <row r="299" spans="1:15" x14ac:dyDescent="0.25">
      <c r="A299" s="113" t="s">
        <v>55</v>
      </c>
      <c r="B299" s="113" t="s">
        <v>8</v>
      </c>
      <c r="C299" s="113">
        <v>0</v>
      </c>
      <c r="D299" s="113">
        <v>0.01</v>
      </c>
      <c r="E299" s="113">
        <v>1.0000000000000001E-5</v>
      </c>
      <c r="F299" s="113" t="s">
        <v>6</v>
      </c>
      <c r="G299" s="113" t="s">
        <v>5</v>
      </c>
      <c r="H299" s="113">
        <v>1E-3</v>
      </c>
      <c r="I299" s="113">
        <v>0.04</v>
      </c>
      <c r="J299" s="113" t="s">
        <v>10</v>
      </c>
      <c r="K299" s="113">
        <v>7.2506000000000004</v>
      </c>
      <c r="L299" s="113">
        <v>223.08</v>
      </c>
      <c r="M299" s="113">
        <v>7.2465999999999999</v>
      </c>
      <c r="N299" s="113">
        <v>222.31</v>
      </c>
      <c r="O299" s="114" t="s">
        <v>2544</v>
      </c>
    </row>
    <row r="300" spans="1:15" x14ac:dyDescent="0.25">
      <c r="A300" s="113" t="s">
        <v>55</v>
      </c>
      <c r="B300" s="113" t="s">
        <v>8</v>
      </c>
      <c r="C300" s="113">
        <v>0</v>
      </c>
      <c r="D300" s="113">
        <v>0.01</v>
      </c>
      <c r="E300" s="113">
        <v>1.0000000000000001E-5</v>
      </c>
      <c r="F300" s="113" t="s">
        <v>6</v>
      </c>
      <c r="G300" s="113" t="s">
        <v>5</v>
      </c>
      <c r="H300" s="113">
        <v>4000</v>
      </c>
      <c r="I300" s="113">
        <v>8000</v>
      </c>
      <c r="J300" s="113" t="s">
        <v>10</v>
      </c>
      <c r="K300" s="113">
        <v>31</v>
      </c>
      <c r="L300" s="113">
        <v>228940</v>
      </c>
      <c r="M300" s="113">
        <v>30.434000000000001</v>
      </c>
      <c r="N300" s="113">
        <v>228860</v>
      </c>
      <c r="O300" s="114" t="s">
        <v>1517</v>
      </c>
    </row>
    <row r="301" spans="1:15" x14ac:dyDescent="0.25">
      <c r="A301" s="113" t="s">
        <v>55</v>
      </c>
      <c r="B301" s="113" t="s">
        <v>8</v>
      </c>
      <c r="C301" s="113">
        <v>0</v>
      </c>
      <c r="D301" s="113">
        <v>0.01</v>
      </c>
      <c r="E301" s="113">
        <v>1.0000000000000001E-5</v>
      </c>
      <c r="F301" s="113" t="s">
        <v>6</v>
      </c>
      <c r="G301" s="113" t="s">
        <v>5</v>
      </c>
      <c r="H301" s="113">
        <v>20</v>
      </c>
      <c r="I301" s="113">
        <v>50</v>
      </c>
      <c r="J301" s="113" t="s">
        <v>10</v>
      </c>
      <c r="K301" s="113">
        <v>7.9955999999999996</v>
      </c>
      <c r="L301" s="113">
        <v>709.13</v>
      </c>
      <c r="M301" s="113">
        <v>7.9861000000000004</v>
      </c>
      <c r="N301" s="113">
        <v>708.96</v>
      </c>
      <c r="O301" s="114" t="s">
        <v>1515</v>
      </c>
    </row>
    <row r="302" spans="1:15" x14ac:dyDescent="0.25">
      <c r="A302" s="113" t="s">
        <v>55</v>
      </c>
      <c r="B302" s="113" t="s">
        <v>8</v>
      </c>
      <c r="C302" s="113">
        <v>0</v>
      </c>
      <c r="D302" s="113">
        <v>0.01</v>
      </c>
      <c r="E302" s="113">
        <v>1.0000000000000001E-5</v>
      </c>
      <c r="F302" s="113" t="s">
        <v>6</v>
      </c>
      <c r="G302" s="113" t="s">
        <v>5</v>
      </c>
      <c r="H302" s="113">
        <v>300</v>
      </c>
      <c r="I302" s="113">
        <v>1000</v>
      </c>
      <c r="J302" s="113" t="s">
        <v>10</v>
      </c>
      <c r="K302" s="113">
        <v>18</v>
      </c>
      <c r="L302" s="113">
        <v>45403</v>
      </c>
      <c r="M302" s="113">
        <v>13.84</v>
      </c>
      <c r="N302" s="113">
        <v>45406</v>
      </c>
      <c r="O302" s="114" t="s">
        <v>1518</v>
      </c>
    </row>
    <row r="303" spans="1:15" x14ac:dyDescent="0.25">
      <c r="A303" s="113" t="s">
        <v>55</v>
      </c>
      <c r="B303" s="113" t="s">
        <v>8</v>
      </c>
      <c r="C303" s="113">
        <v>0</v>
      </c>
      <c r="D303" s="113">
        <v>0.01</v>
      </c>
      <c r="E303" s="113">
        <v>1.0000000000000001E-5</v>
      </c>
      <c r="F303" s="113" t="s">
        <v>6</v>
      </c>
      <c r="G303" s="113" t="s">
        <v>5</v>
      </c>
      <c r="H303" s="113">
        <v>50</v>
      </c>
      <c r="I303" s="113">
        <v>100</v>
      </c>
      <c r="J303" s="113" t="s">
        <v>10</v>
      </c>
      <c r="K303" s="113">
        <v>10.061999999999999</v>
      </c>
      <c r="L303" s="113">
        <v>5001.3</v>
      </c>
      <c r="M303" s="113">
        <v>10.045999999999999</v>
      </c>
      <c r="N303" s="113">
        <v>5001.8</v>
      </c>
      <c r="O303" s="114" t="s">
        <v>1513</v>
      </c>
    </row>
    <row r="304" spans="1:15" x14ac:dyDescent="0.25">
      <c r="A304" s="113" t="s">
        <v>55</v>
      </c>
      <c r="B304" s="113" t="s">
        <v>8</v>
      </c>
      <c r="C304" s="113">
        <v>0</v>
      </c>
      <c r="D304" s="113">
        <v>0.01</v>
      </c>
      <c r="E304" s="113">
        <v>1.0000000000000001E-5</v>
      </c>
      <c r="F304" s="113" t="s">
        <v>6</v>
      </c>
      <c r="G304" s="113" t="s">
        <v>5</v>
      </c>
      <c r="H304" s="113">
        <v>100</v>
      </c>
      <c r="I304" s="113">
        <v>300</v>
      </c>
      <c r="J304" s="113" t="s">
        <v>10</v>
      </c>
      <c r="K304" s="113">
        <v>4.9503000000000004</v>
      </c>
      <c r="L304" s="113">
        <v>45929</v>
      </c>
      <c r="M304" s="113">
        <v>4.8762999999999996</v>
      </c>
      <c r="N304" s="113">
        <v>45936</v>
      </c>
      <c r="O304" s="114" t="s">
        <v>1514</v>
      </c>
    </row>
    <row r="305" spans="1:15" x14ac:dyDescent="0.25">
      <c r="A305" s="113" t="s">
        <v>55</v>
      </c>
      <c r="B305" s="113" t="s">
        <v>8</v>
      </c>
      <c r="C305" s="113">
        <v>0</v>
      </c>
      <c r="D305" s="113">
        <v>0.01</v>
      </c>
      <c r="E305" s="113">
        <v>1.0000000000000001E-5</v>
      </c>
      <c r="F305" s="113" t="s">
        <v>6</v>
      </c>
      <c r="G305" s="113" t="s">
        <v>5</v>
      </c>
      <c r="H305" s="113">
        <v>1000</v>
      </c>
      <c r="I305" s="113">
        <v>4000</v>
      </c>
      <c r="J305" s="113" t="s">
        <v>10</v>
      </c>
      <c r="K305" s="113">
        <v>23.292999999999999</v>
      </c>
      <c r="L305" s="113">
        <v>79521</v>
      </c>
      <c r="M305" s="113">
        <v>23.228000000000002</v>
      </c>
      <c r="N305" s="113">
        <v>79358</v>
      </c>
      <c r="O305" s="114" t="s">
        <v>2542</v>
      </c>
    </row>
    <row r="306" spans="1:15" x14ac:dyDescent="0.25">
      <c r="A306" s="113" t="s">
        <v>55</v>
      </c>
      <c r="B306" s="113" t="s">
        <v>8</v>
      </c>
      <c r="C306" s="113">
        <v>0</v>
      </c>
      <c r="D306" s="113">
        <v>0.01</v>
      </c>
      <c r="E306" s="113">
        <v>1E-4</v>
      </c>
      <c r="F306" s="113" t="s">
        <v>6</v>
      </c>
      <c r="G306" s="113" t="s">
        <v>5</v>
      </c>
      <c r="H306" s="113">
        <v>0.04</v>
      </c>
      <c r="I306" s="113">
        <v>1</v>
      </c>
      <c r="J306" s="113" t="s">
        <v>10</v>
      </c>
      <c r="K306" s="113">
        <v>57.814</v>
      </c>
      <c r="L306" s="113">
        <v>11.228999999999999</v>
      </c>
      <c r="M306" s="113">
        <v>57.811999999999998</v>
      </c>
      <c r="N306" s="113">
        <v>10.667</v>
      </c>
      <c r="O306" s="114" t="s">
        <v>1520</v>
      </c>
    </row>
    <row r="307" spans="1:15" x14ac:dyDescent="0.25">
      <c r="A307" s="113" t="s">
        <v>55</v>
      </c>
      <c r="B307" s="113" t="s">
        <v>8</v>
      </c>
      <c r="C307" s="113">
        <v>0</v>
      </c>
      <c r="D307" s="113">
        <v>0.01</v>
      </c>
      <c r="E307" s="113">
        <v>1E-4</v>
      </c>
      <c r="F307" s="113" t="s">
        <v>6</v>
      </c>
      <c r="G307" s="113" t="s">
        <v>5</v>
      </c>
      <c r="H307" s="113">
        <v>1000</v>
      </c>
      <c r="I307" s="113">
        <v>4000</v>
      </c>
      <c r="J307" s="113" t="s">
        <v>10</v>
      </c>
      <c r="K307" s="113">
        <v>57.908999999999999</v>
      </c>
      <c r="L307" s="113">
        <v>76095</v>
      </c>
      <c r="M307" s="113">
        <v>57.746000000000002</v>
      </c>
      <c r="N307" s="113">
        <v>76108</v>
      </c>
      <c r="O307" s="114" t="s">
        <v>1522</v>
      </c>
    </row>
    <row r="308" spans="1:15" x14ac:dyDescent="0.25">
      <c r="A308" s="113" t="s">
        <v>55</v>
      </c>
      <c r="B308" s="113" t="s">
        <v>8</v>
      </c>
      <c r="C308" s="113">
        <v>0</v>
      </c>
      <c r="D308" s="113">
        <v>0.01</v>
      </c>
      <c r="E308" s="113">
        <v>1E-4</v>
      </c>
      <c r="F308" s="113" t="s">
        <v>6</v>
      </c>
      <c r="G308" s="113" t="s">
        <v>5</v>
      </c>
      <c r="H308" s="113">
        <v>50</v>
      </c>
      <c r="I308" s="113">
        <v>100</v>
      </c>
      <c r="J308" s="113" t="s">
        <v>10</v>
      </c>
      <c r="K308" s="113">
        <v>58.167999999999999</v>
      </c>
      <c r="L308" s="113">
        <v>2497.6999999999998</v>
      </c>
      <c r="M308" s="113">
        <v>58.156999999999996</v>
      </c>
      <c r="N308" s="113">
        <v>2495.6</v>
      </c>
      <c r="O308" s="114" t="s">
        <v>1519</v>
      </c>
    </row>
    <row r="309" spans="1:15" x14ac:dyDescent="0.25">
      <c r="A309" s="113" t="s">
        <v>55</v>
      </c>
      <c r="B309" s="113" t="s">
        <v>8</v>
      </c>
      <c r="C309" s="113">
        <v>0</v>
      </c>
      <c r="D309" s="113">
        <v>0.01</v>
      </c>
      <c r="E309" s="113">
        <v>1E-4</v>
      </c>
      <c r="F309" s="113" t="s">
        <v>6</v>
      </c>
      <c r="G309" s="113" t="s">
        <v>5</v>
      </c>
      <c r="H309" s="113">
        <v>300</v>
      </c>
      <c r="I309" s="113">
        <v>1000</v>
      </c>
      <c r="J309" s="113" t="s">
        <v>10</v>
      </c>
      <c r="K309" s="113">
        <v>56.207000000000001</v>
      </c>
      <c r="L309" s="113">
        <v>41523</v>
      </c>
      <c r="M309" s="113">
        <v>56.162999999999997</v>
      </c>
      <c r="N309" s="113">
        <v>41525</v>
      </c>
      <c r="O309" s="114" t="s">
        <v>1523</v>
      </c>
    </row>
    <row r="310" spans="1:15" x14ac:dyDescent="0.25">
      <c r="A310" s="113" t="s">
        <v>55</v>
      </c>
      <c r="B310" s="113" t="s">
        <v>8</v>
      </c>
      <c r="C310" s="113">
        <v>0</v>
      </c>
      <c r="D310" s="113">
        <v>0.01</v>
      </c>
      <c r="E310" s="113">
        <v>1E-4</v>
      </c>
      <c r="F310" s="113" t="s">
        <v>6</v>
      </c>
      <c r="G310" s="113" t="s">
        <v>5</v>
      </c>
      <c r="H310" s="113">
        <v>4000</v>
      </c>
      <c r="I310" s="113">
        <v>8000</v>
      </c>
      <c r="J310" s="113" t="s">
        <v>10</v>
      </c>
      <c r="K310" s="113">
        <v>56.084000000000003</v>
      </c>
      <c r="L310" s="113">
        <v>226390</v>
      </c>
      <c r="M310" s="113">
        <v>55.738</v>
      </c>
      <c r="N310" s="113">
        <v>226400</v>
      </c>
      <c r="O310" s="114" t="s">
        <v>2547</v>
      </c>
    </row>
    <row r="311" spans="1:15" x14ac:dyDescent="0.25">
      <c r="A311" s="113" t="s">
        <v>55</v>
      </c>
      <c r="B311" s="113" t="s">
        <v>8</v>
      </c>
      <c r="C311" s="113">
        <v>0</v>
      </c>
      <c r="D311" s="113">
        <v>0.01</v>
      </c>
      <c r="E311" s="113">
        <v>1E-4</v>
      </c>
      <c r="F311" s="113" t="s">
        <v>6</v>
      </c>
      <c r="G311" s="113" t="s">
        <v>5</v>
      </c>
      <c r="H311" s="113">
        <v>1</v>
      </c>
      <c r="I311" s="113">
        <v>20</v>
      </c>
      <c r="J311" s="113" t="s">
        <v>10</v>
      </c>
      <c r="K311" s="113">
        <v>57.817999999999998</v>
      </c>
      <c r="L311" s="113">
        <v>19.600000000000001</v>
      </c>
      <c r="M311" s="113">
        <v>57.816000000000003</v>
      </c>
      <c r="N311" s="113">
        <v>19.039000000000001</v>
      </c>
      <c r="O311" s="114" t="s">
        <v>1524</v>
      </c>
    </row>
    <row r="312" spans="1:15" x14ac:dyDescent="0.25">
      <c r="A312" s="113" t="s">
        <v>55</v>
      </c>
      <c r="B312" s="113" t="s">
        <v>8</v>
      </c>
      <c r="C312" s="113">
        <v>0</v>
      </c>
      <c r="D312" s="113">
        <v>0.01</v>
      </c>
      <c r="E312" s="113">
        <v>1E-4</v>
      </c>
      <c r="F312" s="113" t="s">
        <v>6</v>
      </c>
      <c r="G312" s="113" t="s">
        <v>5</v>
      </c>
      <c r="H312" s="113">
        <v>1E-3</v>
      </c>
      <c r="I312" s="113">
        <v>0.04</v>
      </c>
      <c r="J312" s="113" t="s">
        <v>10</v>
      </c>
      <c r="K312" s="113">
        <v>57.902999999999999</v>
      </c>
      <c r="L312" s="113">
        <v>32.603000000000002</v>
      </c>
      <c r="M312" s="113">
        <v>57.901000000000003</v>
      </c>
      <c r="N312" s="113">
        <v>32.045000000000002</v>
      </c>
      <c r="O312" s="114" t="s">
        <v>2546</v>
      </c>
    </row>
    <row r="313" spans="1:15" x14ac:dyDescent="0.25">
      <c r="A313" s="113" t="s">
        <v>55</v>
      </c>
      <c r="B313" s="113" t="s">
        <v>8</v>
      </c>
      <c r="C313" s="113">
        <v>0</v>
      </c>
      <c r="D313" s="113">
        <v>0.01</v>
      </c>
      <c r="E313" s="113">
        <v>1E-4</v>
      </c>
      <c r="F313" s="113" t="s">
        <v>6</v>
      </c>
      <c r="G313" s="113" t="s">
        <v>5</v>
      </c>
      <c r="H313" s="113">
        <v>100</v>
      </c>
      <c r="I313" s="113">
        <v>300</v>
      </c>
      <c r="J313" s="113" t="s">
        <v>10</v>
      </c>
      <c r="K313" s="113">
        <v>54.13</v>
      </c>
      <c r="L313" s="113">
        <v>41367</v>
      </c>
      <c r="M313" s="113">
        <v>54.085999999999999</v>
      </c>
      <c r="N313" s="113">
        <v>41369</v>
      </c>
      <c r="O313" s="114" t="s">
        <v>2545</v>
      </c>
    </row>
    <row r="314" spans="1:15" x14ac:dyDescent="0.25">
      <c r="A314" s="113" t="s">
        <v>55</v>
      </c>
      <c r="B314" s="113" t="s">
        <v>8</v>
      </c>
      <c r="C314" s="113">
        <v>0</v>
      </c>
      <c r="D314" s="113">
        <v>0.01</v>
      </c>
      <c r="E314" s="113">
        <v>1E-4</v>
      </c>
      <c r="F314" s="113" t="s">
        <v>6</v>
      </c>
      <c r="G314" s="113" t="s">
        <v>5</v>
      </c>
      <c r="H314" s="113">
        <v>20</v>
      </c>
      <c r="I314" s="113">
        <v>50</v>
      </c>
      <c r="J314" s="113" t="s">
        <v>10</v>
      </c>
      <c r="K314" s="113">
        <v>58</v>
      </c>
      <c r="L314" s="113">
        <v>140.31</v>
      </c>
      <c r="M314" s="113">
        <v>57.994</v>
      </c>
      <c r="N314" s="113">
        <v>139.69999999999999</v>
      </c>
      <c r="O314" s="114" t="s">
        <v>1521</v>
      </c>
    </row>
    <row r="315" spans="1:15" x14ac:dyDescent="0.25">
      <c r="A315" s="113" t="s">
        <v>55</v>
      </c>
      <c r="B315" s="113" t="s">
        <v>8</v>
      </c>
      <c r="C315" s="113">
        <v>0</v>
      </c>
      <c r="D315" s="113">
        <v>0.01</v>
      </c>
      <c r="E315" s="113">
        <v>1E-3</v>
      </c>
      <c r="F315" s="113" t="s">
        <v>6</v>
      </c>
      <c r="G315" s="113" t="s">
        <v>5</v>
      </c>
      <c r="H315" s="113">
        <v>1E-3</v>
      </c>
      <c r="I315" s="113">
        <v>0.04</v>
      </c>
      <c r="J315" s="113" t="s">
        <v>10</v>
      </c>
      <c r="K315" s="113">
        <v>577.37</v>
      </c>
      <c r="L315" s="113">
        <v>3.4481000000000002</v>
      </c>
      <c r="M315" s="113">
        <v>577.37</v>
      </c>
      <c r="N315" s="113">
        <v>3.2223999999999999</v>
      </c>
      <c r="O315" s="114" t="s">
        <v>2548</v>
      </c>
    </row>
    <row r="316" spans="1:15" x14ac:dyDescent="0.25">
      <c r="A316" s="113" t="s">
        <v>55</v>
      </c>
      <c r="B316" s="113" t="s">
        <v>8</v>
      </c>
      <c r="C316" s="113">
        <v>0</v>
      </c>
      <c r="D316" s="113">
        <v>0.01</v>
      </c>
      <c r="E316" s="113">
        <v>1E-3</v>
      </c>
      <c r="F316" s="113" t="s">
        <v>6</v>
      </c>
      <c r="G316" s="113" t="s">
        <v>5</v>
      </c>
      <c r="H316" s="113">
        <v>20</v>
      </c>
      <c r="I316" s="113">
        <v>50</v>
      </c>
      <c r="J316" s="113" t="s">
        <v>10</v>
      </c>
      <c r="K316" s="113">
        <v>577.38</v>
      </c>
      <c r="L316" s="113">
        <v>14.459</v>
      </c>
      <c r="M316" s="113">
        <v>577.37</v>
      </c>
      <c r="N316" s="113">
        <v>14.2</v>
      </c>
      <c r="O316" s="114" t="s">
        <v>1530</v>
      </c>
    </row>
    <row r="317" spans="1:15" x14ac:dyDescent="0.25">
      <c r="A317" s="113" t="s">
        <v>55</v>
      </c>
      <c r="B317" s="113" t="s">
        <v>8</v>
      </c>
      <c r="C317" s="113">
        <v>0</v>
      </c>
      <c r="D317" s="113">
        <v>0.01</v>
      </c>
      <c r="E317" s="113">
        <v>1E-3</v>
      </c>
      <c r="F317" s="113" t="s">
        <v>6</v>
      </c>
      <c r="G317" s="113" t="s">
        <v>5</v>
      </c>
      <c r="H317" s="113">
        <v>0.04</v>
      </c>
      <c r="I317" s="113">
        <v>1</v>
      </c>
      <c r="J317" s="113" t="s">
        <v>10</v>
      </c>
      <c r="K317" s="113">
        <v>577.36</v>
      </c>
      <c r="L317" s="113">
        <v>1.2948</v>
      </c>
      <c r="M317" s="113">
        <v>577.36</v>
      </c>
      <c r="N317" s="113">
        <v>1.0690999999999999</v>
      </c>
      <c r="O317" s="114" t="s">
        <v>1525</v>
      </c>
    </row>
    <row r="318" spans="1:15" x14ac:dyDescent="0.25">
      <c r="A318" s="113" t="s">
        <v>55</v>
      </c>
      <c r="B318" s="113" t="s">
        <v>8</v>
      </c>
      <c r="C318" s="113">
        <v>0</v>
      </c>
      <c r="D318" s="113">
        <v>0.01</v>
      </c>
      <c r="E318" s="113">
        <v>1E-3</v>
      </c>
      <c r="F318" s="113" t="s">
        <v>6</v>
      </c>
      <c r="G318" s="113" t="s">
        <v>5</v>
      </c>
      <c r="H318" s="113">
        <v>300</v>
      </c>
      <c r="I318" s="113">
        <v>1000</v>
      </c>
      <c r="J318" s="113" t="s">
        <v>10</v>
      </c>
      <c r="K318" s="113">
        <v>575.97</v>
      </c>
      <c r="L318" s="113">
        <v>16722</v>
      </c>
      <c r="M318" s="113">
        <v>573.47</v>
      </c>
      <c r="N318" s="113">
        <v>16718</v>
      </c>
      <c r="O318" s="114" t="s">
        <v>1532</v>
      </c>
    </row>
    <row r="319" spans="1:15" x14ac:dyDescent="0.25">
      <c r="A319" s="113" t="s">
        <v>55</v>
      </c>
      <c r="B319" s="113" t="s">
        <v>8</v>
      </c>
      <c r="C319" s="113">
        <v>0</v>
      </c>
      <c r="D319" s="113">
        <v>0.01</v>
      </c>
      <c r="E319" s="113">
        <v>1E-3</v>
      </c>
      <c r="F319" s="113" t="s">
        <v>6</v>
      </c>
      <c r="G319" s="113" t="s">
        <v>5</v>
      </c>
      <c r="H319" s="113">
        <v>4000</v>
      </c>
      <c r="I319" s="113">
        <v>8000</v>
      </c>
      <c r="J319" s="113" t="s">
        <v>10</v>
      </c>
      <c r="K319" s="113">
        <v>561.69000000000005</v>
      </c>
      <c r="L319" s="113">
        <v>182820</v>
      </c>
      <c r="M319" s="113">
        <v>557.14</v>
      </c>
      <c r="N319" s="113">
        <v>182830</v>
      </c>
      <c r="O319" s="114" t="s">
        <v>1526</v>
      </c>
    </row>
    <row r="320" spans="1:15" x14ac:dyDescent="0.25">
      <c r="A320" s="113" t="s">
        <v>55</v>
      </c>
      <c r="B320" s="113" t="s">
        <v>8</v>
      </c>
      <c r="C320" s="113">
        <v>0</v>
      </c>
      <c r="D320" s="113">
        <v>0.01</v>
      </c>
      <c r="E320" s="113">
        <v>1E-3</v>
      </c>
      <c r="F320" s="113" t="s">
        <v>6</v>
      </c>
      <c r="G320" s="113" t="s">
        <v>5</v>
      </c>
      <c r="H320" s="113">
        <v>1000</v>
      </c>
      <c r="I320" s="113">
        <v>4000</v>
      </c>
      <c r="J320" s="113" t="s">
        <v>10</v>
      </c>
      <c r="K320" s="113">
        <v>573.98</v>
      </c>
      <c r="L320" s="113">
        <v>42637</v>
      </c>
      <c r="M320" s="113">
        <v>570.55999999999995</v>
      </c>
      <c r="N320" s="113">
        <v>42634</v>
      </c>
      <c r="O320" s="114" t="s">
        <v>1527</v>
      </c>
    </row>
    <row r="321" spans="1:15" x14ac:dyDescent="0.25">
      <c r="A321" s="113" t="s">
        <v>55</v>
      </c>
      <c r="B321" s="113" t="s">
        <v>8</v>
      </c>
      <c r="C321" s="113">
        <v>0</v>
      </c>
      <c r="D321" s="113">
        <v>0.01</v>
      </c>
      <c r="E321" s="113">
        <v>1E-3</v>
      </c>
      <c r="F321" s="113" t="s">
        <v>6</v>
      </c>
      <c r="G321" s="113" t="s">
        <v>5</v>
      </c>
      <c r="H321" s="113">
        <v>1</v>
      </c>
      <c r="I321" s="113">
        <v>20</v>
      </c>
      <c r="J321" s="113" t="s">
        <v>10</v>
      </c>
      <c r="K321" s="113">
        <v>577.36</v>
      </c>
      <c r="L321" s="113">
        <v>2.1354000000000002</v>
      </c>
      <c r="M321" s="113">
        <v>577.36</v>
      </c>
      <c r="N321" s="113">
        <v>1.9097</v>
      </c>
      <c r="O321" s="114" t="s">
        <v>1529</v>
      </c>
    </row>
    <row r="322" spans="1:15" x14ac:dyDescent="0.25">
      <c r="A322" s="113" t="s">
        <v>55</v>
      </c>
      <c r="B322" s="113" t="s">
        <v>8</v>
      </c>
      <c r="C322" s="113">
        <v>0</v>
      </c>
      <c r="D322" s="113">
        <v>0.01</v>
      </c>
      <c r="E322" s="113">
        <v>1E-3</v>
      </c>
      <c r="F322" s="113" t="s">
        <v>6</v>
      </c>
      <c r="G322" s="113" t="s">
        <v>5</v>
      </c>
      <c r="H322" s="113">
        <v>100</v>
      </c>
      <c r="I322" s="113">
        <v>300</v>
      </c>
      <c r="J322" s="113" t="s">
        <v>10</v>
      </c>
      <c r="K322" s="113">
        <v>575.77</v>
      </c>
      <c r="L322" s="113">
        <v>16511</v>
      </c>
      <c r="M322" s="113">
        <v>573.27</v>
      </c>
      <c r="N322" s="113">
        <v>16507</v>
      </c>
      <c r="O322" s="114" t="s">
        <v>1528</v>
      </c>
    </row>
    <row r="323" spans="1:15" x14ac:dyDescent="0.25">
      <c r="A323" s="113" t="s">
        <v>55</v>
      </c>
      <c r="B323" s="113" t="s">
        <v>8</v>
      </c>
      <c r="C323" s="113">
        <v>0</v>
      </c>
      <c r="D323" s="113">
        <v>0.01</v>
      </c>
      <c r="E323" s="113">
        <v>1E-3</v>
      </c>
      <c r="F323" s="113" t="s">
        <v>6</v>
      </c>
      <c r="G323" s="113" t="s">
        <v>5</v>
      </c>
      <c r="H323" s="113">
        <v>50</v>
      </c>
      <c r="I323" s="113">
        <v>100</v>
      </c>
      <c r="J323" s="113" t="s">
        <v>10</v>
      </c>
      <c r="K323" s="113">
        <v>577.4</v>
      </c>
      <c r="L323" s="113">
        <v>306.39</v>
      </c>
      <c r="M323" s="113">
        <v>577.16999999999996</v>
      </c>
      <c r="N323" s="113">
        <v>305.02</v>
      </c>
      <c r="O323" s="114" t="s">
        <v>1531</v>
      </c>
    </row>
    <row r="324" spans="1:15" x14ac:dyDescent="0.25">
      <c r="A324" s="113" t="s">
        <v>55</v>
      </c>
      <c r="B324" s="113" t="s">
        <v>8</v>
      </c>
      <c r="C324" s="113">
        <v>0</v>
      </c>
      <c r="D324" s="113">
        <v>0.01</v>
      </c>
      <c r="E324" s="113">
        <v>0.01</v>
      </c>
      <c r="F324" s="113" t="s">
        <v>6</v>
      </c>
      <c r="G324" s="113" t="s">
        <v>5</v>
      </c>
      <c r="H324" s="113">
        <v>1000</v>
      </c>
      <c r="I324" s="113">
        <v>4000</v>
      </c>
      <c r="J324" s="113" t="s">
        <v>10</v>
      </c>
      <c r="K324" s="113">
        <v>5773.1</v>
      </c>
      <c r="L324" s="113">
        <v>5803.4</v>
      </c>
      <c r="M324" s="113">
        <v>5766</v>
      </c>
      <c r="N324" s="113">
        <v>5798.9</v>
      </c>
      <c r="O324" s="114" t="s">
        <v>1534</v>
      </c>
    </row>
    <row r="325" spans="1:15" x14ac:dyDescent="0.25">
      <c r="A325" s="113" t="s">
        <v>55</v>
      </c>
      <c r="B325" s="113" t="s">
        <v>8</v>
      </c>
      <c r="C325" s="113">
        <v>0</v>
      </c>
      <c r="D325" s="113">
        <v>0.01</v>
      </c>
      <c r="E325" s="113">
        <v>0.01</v>
      </c>
      <c r="F325" s="113" t="s">
        <v>6</v>
      </c>
      <c r="G325" s="113" t="s">
        <v>5</v>
      </c>
      <c r="H325" s="113">
        <v>4000</v>
      </c>
      <c r="I325" s="113">
        <v>8000</v>
      </c>
      <c r="J325" s="113" t="s">
        <v>10</v>
      </c>
      <c r="K325" s="113">
        <v>5769.3</v>
      </c>
      <c r="L325" s="113">
        <v>45269</v>
      </c>
      <c r="M325" s="113">
        <v>5751.2</v>
      </c>
      <c r="N325" s="113">
        <v>45261</v>
      </c>
      <c r="O325" s="114" t="s">
        <v>1533</v>
      </c>
    </row>
    <row r="326" spans="1:15" x14ac:dyDescent="0.25">
      <c r="A326" s="113" t="s">
        <v>55</v>
      </c>
      <c r="B326" s="113" t="s">
        <v>8</v>
      </c>
      <c r="C326" s="113">
        <v>0</v>
      </c>
      <c r="D326" s="113">
        <v>0.01</v>
      </c>
      <c r="E326" s="113">
        <v>0.1</v>
      </c>
      <c r="F326" s="113" t="s">
        <v>6</v>
      </c>
      <c r="G326" s="113" t="s">
        <v>5</v>
      </c>
      <c r="H326" s="113">
        <v>1000</v>
      </c>
      <c r="I326" s="113">
        <v>4000</v>
      </c>
      <c r="J326" s="113" t="s">
        <v>10</v>
      </c>
      <c r="K326" s="113">
        <v>57735</v>
      </c>
      <c r="L326" s="113">
        <v>584.6</v>
      </c>
      <c r="M326" s="113">
        <v>57728</v>
      </c>
      <c r="N326" s="113">
        <v>582.75</v>
      </c>
      <c r="O326" s="114" t="s">
        <v>1535</v>
      </c>
    </row>
    <row r="327" spans="1:15" x14ac:dyDescent="0.25">
      <c r="A327" s="113" t="s">
        <v>55</v>
      </c>
      <c r="B327" s="113" t="s">
        <v>8</v>
      </c>
      <c r="C327" s="113">
        <v>0</v>
      </c>
      <c r="D327" s="113">
        <v>0.01</v>
      </c>
      <c r="E327" s="113">
        <v>0.1</v>
      </c>
      <c r="F327" s="113" t="s">
        <v>6</v>
      </c>
      <c r="G327" s="113" t="s">
        <v>5</v>
      </c>
      <c r="H327" s="113">
        <v>4000</v>
      </c>
      <c r="I327" s="113">
        <v>8000</v>
      </c>
      <c r="J327" s="113" t="s">
        <v>10</v>
      </c>
      <c r="K327" s="113">
        <v>57735</v>
      </c>
      <c r="L327" s="113">
        <v>4703.5</v>
      </c>
      <c r="M327" s="113">
        <v>57713</v>
      </c>
      <c r="N327" s="113">
        <v>4700</v>
      </c>
      <c r="O327" s="114" t="s">
        <v>2549</v>
      </c>
    </row>
    <row r="328" spans="1:15" x14ac:dyDescent="0.25">
      <c r="A328" s="113" t="s">
        <v>55</v>
      </c>
      <c r="B328" s="113" t="s">
        <v>8</v>
      </c>
      <c r="C328" s="113">
        <v>0</v>
      </c>
      <c r="D328" s="113">
        <v>0.01</v>
      </c>
      <c r="E328" s="113">
        <v>1</v>
      </c>
      <c r="F328" s="113" t="s">
        <v>6</v>
      </c>
      <c r="G328" s="113" t="s">
        <v>5</v>
      </c>
      <c r="H328" s="113">
        <v>1000</v>
      </c>
      <c r="I328" s="113">
        <v>4000</v>
      </c>
      <c r="J328" s="113" t="s">
        <v>10</v>
      </c>
      <c r="K328" s="113">
        <v>577360</v>
      </c>
      <c r="L328" s="113">
        <v>59.02</v>
      </c>
      <c r="M328" s="113">
        <v>577350</v>
      </c>
      <c r="N328" s="113">
        <v>58.277999999999999</v>
      </c>
      <c r="O328" s="114" t="s">
        <v>1536</v>
      </c>
    </row>
    <row r="329" spans="1:15" x14ac:dyDescent="0.25">
      <c r="A329" s="113" t="s">
        <v>55</v>
      </c>
      <c r="B329" s="113" t="s">
        <v>8</v>
      </c>
      <c r="C329" s="113">
        <v>0</v>
      </c>
      <c r="D329" s="113">
        <v>0.01</v>
      </c>
      <c r="E329" s="113">
        <v>1</v>
      </c>
      <c r="F329" s="113" t="s">
        <v>6</v>
      </c>
      <c r="G329" s="113" t="s">
        <v>5</v>
      </c>
      <c r="H329" s="113">
        <v>4000</v>
      </c>
      <c r="I329" s="113">
        <v>8000</v>
      </c>
      <c r="J329" s="113" t="s">
        <v>10</v>
      </c>
      <c r="K329" s="113">
        <v>577360</v>
      </c>
      <c r="L329" s="113">
        <v>471.57</v>
      </c>
      <c r="M329" s="113">
        <v>577330</v>
      </c>
      <c r="N329" s="113">
        <v>470.19</v>
      </c>
      <c r="O329" s="114" t="s">
        <v>1537</v>
      </c>
    </row>
    <row r="330" spans="1:15" x14ac:dyDescent="0.25">
      <c r="A330" s="113" t="s">
        <v>55</v>
      </c>
      <c r="B330" s="113" t="s">
        <v>8</v>
      </c>
      <c r="C330" s="113">
        <v>0.01</v>
      </c>
      <c r="D330" s="113">
        <v>0.1</v>
      </c>
      <c r="E330" s="113">
        <v>1E-8</v>
      </c>
      <c r="F330" s="113" t="s">
        <v>6</v>
      </c>
      <c r="G330" s="113" t="s">
        <v>5</v>
      </c>
      <c r="H330" s="113">
        <v>0.04</v>
      </c>
      <c r="I330" s="113">
        <v>1</v>
      </c>
      <c r="J330" s="113" t="s">
        <v>10</v>
      </c>
      <c r="K330" s="113">
        <v>3.5</v>
      </c>
      <c r="L330" s="113">
        <v>81</v>
      </c>
      <c r="M330" s="113">
        <v>3.4428999999999998</v>
      </c>
      <c r="N330" s="113">
        <v>80.683999999999997</v>
      </c>
      <c r="O330" s="114" t="s">
        <v>2551</v>
      </c>
    </row>
    <row r="331" spans="1:15" x14ac:dyDescent="0.25">
      <c r="A331" s="113" t="s">
        <v>55</v>
      </c>
      <c r="B331" s="113" t="s">
        <v>8</v>
      </c>
      <c r="C331" s="113">
        <v>0.01</v>
      </c>
      <c r="D331" s="113">
        <v>0.1</v>
      </c>
      <c r="E331" s="113">
        <v>1E-8</v>
      </c>
      <c r="F331" s="113" t="s">
        <v>6</v>
      </c>
      <c r="G331" s="113" t="s">
        <v>5</v>
      </c>
      <c r="H331" s="113">
        <v>50</v>
      </c>
      <c r="I331" s="113">
        <v>100</v>
      </c>
      <c r="J331" s="113" t="s">
        <v>10</v>
      </c>
      <c r="K331" s="113">
        <v>6</v>
      </c>
      <c r="L331" s="113">
        <v>910</v>
      </c>
      <c r="M331" s="113">
        <v>5.9729000000000001</v>
      </c>
      <c r="N331" s="113">
        <v>906.03</v>
      </c>
      <c r="O331" s="114" t="s">
        <v>1542</v>
      </c>
    </row>
    <row r="332" spans="1:15" x14ac:dyDescent="0.25">
      <c r="A332" s="113" t="s">
        <v>55</v>
      </c>
      <c r="B332" s="113" t="s">
        <v>8</v>
      </c>
      <c r="C332" s="113">
        <v>0.01</v>
      </c>
      <c r="D332" s="113">
        <v>0.1</v>
      </c>
      <c r="E332" s="113">
        <v>1E-8</v>
      </c>
      <c r="F332" s="113" t="s">
        <v>6</v>
      </c>
      <c r="G332" s="113" t="s">
        <v>5</v>
      </c>
      <c r="H332" s="113">
        <v>1000</v>
      </c>
      <c r="I332" s="113">
        <v>2000</v>
      </c>
      <c r="J332" s="113" t="s">
        <v>10</v>
      </c>
      <c r="K332" s="113">
        <v>53</v>
      </c>
      <c r="L332" s="113">
        <v>17000</v>
      </c>
      <c r="M332" s="113">
        <v>11.488</v>
      </c>
      <c r="N332" s="113">
        <v>17414</v>
      </c>
      <c r="O332" s="114" t="s">
        <v>1544</v>
      </c>
    </row>
    <row r="333" spans="1:15" x14ac:dyDescent="0.25">
      <c r="A333" s="113" t="s">
        <v>55</v>
      </c>
      <c r="B333" s="113" t="s">
        <v>8</v>
      </c>
      <c r="C333" s="113">
        <v>0.01</v>
      </c>
      <c r="D333" s="113">
        <v>0.1</v>
      </c>
      <c r="E333" s="113">
        <v>1E-8</v>
      </c>
      <c r="F333" s="113" t="s">
        <v>6</v>
      </c>
      <c r="G333" s="113" t="s">
        <v>5</v>
      </c>
      <c r="H333" s="113">
        <v>100</v>
      </c>
      <c r="I333" s="113">
        <v>300</v>
      </c>
      <c r="J333" s="113" t="s">
        <v>10</v>
      </c>
      <c r="K333" s="113">
        <v>12</v>
      </c>
      <c r="L333" s="113">
        <v>3500</v>
      </c>
      <c r="M333" s="113">
        <v>11.521000000000001</v>
      </c>
      <c r="N333" s="113">
        <v>3476.1</v>
      </c>
      <c r="O333" s="114" t="s">
        <v>2550</v>
      </c>
    </row>
    <row r="334" spans="1:15" x14ac:dyDescent="0.25">
      <c r="A334" s="113" t="s">
        <v>55</v>
      </c>
      <c r="B334" s="113" t="s">
        <v>8</v>
      </c>
      <c r="C334" s="113">
        <v>0.01</v>
      </c>
      <c r="D334" s="113">
        <v>0.1</v>
      </c>
      <c r="E334" s="113">
        <v>1E-8</v>
      </c>
      <c r="F334" s="113" t="s">
        <v>6</v>
      </c>
      <c r="G334" s="113" t="s">
        <v>5</v>
      </c>
      <c r="H334" s="113">
        <v>2000</v>
      </c>
      <c r="I334" s="113">
        <v>4000</v>
      </c>
      <c r="J334" s="113" t="s">
        <v>10</v>
      </c>
      <c r="K334" s="113">
        <v>110</v>
      </c>
      <c r="L334" s="113">
        <v>46000</v>
      </c>
      <c r="M334" s="113">
        <v>80.778000000000006</v>
      </c>
      <c r="N334" s="113">
        <v>46223</v>
      </c>
      <c r="O334" s="114" t="s">
        <v>1539</v>
      </c>
    </row>
    <row r="335" spans="1:15" x14ac:dyDescent="0.25">
      <c r="A335" s="113" t="s">
        <v>55</v>
      </c>
      <c r="B335" s="113" t="s">
        <v>8</v>
      </c>
      <c r="C335" s="113">
        <v>0.01</v>
      </c>
      <c r="D335" s="113">
        <v>0.1</v>
      </c>
      <c r="E335" s="113">
        <v>1E-8</v>
      </c>
      <c r="F335" s="113" t="s">
        <v>6</v>
      </c>
      <c r="G335" s="113" t="s">
        <v>5</v>
      </c>
      <c r="H335" s="113">
        <v>8000</v>
      </c>
      <c r="I335" s="113">
        <v>10000</v>
      </c>
      <c r="J335" s="113" t="s">
        <v>10</v>
      </c>
      <c r="K335" s="113">
        <v>450</v>
      </c>
      <c r="L335" s="113">
        <v>170000</v>
      </c>
      <c r="M335" s="113">
        <v>115.4</v>
      </c>
      <c r="N335" s="113">
        <v>173280</v>
      </c>
      <c r="O335" s="114" t="s">
        <v>1541</v>
      </c>
    </row>
    <row r="336" spans="1:15" x14ac:dyDescent="0.25">
      <c r="A336" s="113" t="s">
        <v>55</v>
      </c>
      <c r="B336" s="113" t="s">
        <v>8</v>
      </c>
      <c r="C336" s="113">
        <v>0.01</v>
      </c>
      <c r="D336" s="113">
        <v>0.1</v>
      </c>
      <c r="E336" s="113">
        <v>1E-8</v>
      </c>
      <c r="F336" s="113" t="s">
        <v>6</v>
      </c>
      <c r="G336" s="113" t="s">
        <v>5</v>
      </c>
      <c r="H336" s="113">
        <v>1</v>
      </c>
      <c r="I336" s="113">
        <v>20</v>
      </c>
      <c r="J336" s="113" t="s">
        <v>10</v>
      </c>
      <c r="K336" s="113">
        <v>3.4</v>
      </c>
      <c r="L336" s="113">
        <v>160</v>
      </c>
      <c r="M336" s="113">
        <v>3.3551000000000002</v>
      </c>
      <c r="N336" s="113">
        <v>157.72</v>
      </c>
      <c r="O336" s="114" t="s">
        <v>2552</v>
      </c>
    </row>
    <row r="337" spans="1:15" x14ac:dyDescent="0.25">
      <c r="A337" s="113" t="s">
        <v>55</v>
      </c>
      <c r="B337" s="113" t="s">
        <v>8</v>
      </c>
      <c r="C337" s="113">
        <v>0.01</v>
      </c>
      <c r="D337" s="113">
        <v>0.1</v>
      </c>
      <c r="E337" s="113">
        <v>1E-8</v>
      </c>
      <c r="F337" s="113" t="s">
        <v>6</v>
      </c>
      <c r="G337" s="113" t="s">
        <v>5</v>
      </c>
      <c r="H337" s="113">
        <v>300</v>
      </c>
      <c r="I337" s="113">
        <v>1000</v>
      </c>
      <c r="J337" s="113" t="s">
        <v>10</v>
      </c>
      <c r="K337" s="113">
        <v>12</v>
      </c>
      <c r="L337" s="113">
        <v>12000</v>
      </c>
      <c r="M337" s="113">
        <v>11.521000000000001</v>
      </c>
      <c r="N337" s="113">
        <v>11631</v>
      </c>
      <c r="O337" s="114" t="s">
        <v>1543</v>
      </c>
    </row>
    <row r="338" spans="1:15" x14ac:dyDescent="0.25">
      <c r="A338" s="113" t="s">
        <v>55</v>
      </c>
      <c r="B338" s="113" t="s">
        <v>8</v>
      </c>
      <c r="C338" s="113">
        <v>0.01</v>
      </c>
      <c r="D338" s="113">
        <v>0.1</v>
      </c>
      <c r="E338" s="113">
        <v>1E-8</v>
      </c>
      <c r="F338" s="113" t="s">
        <v>6</v>
      </c>
      <c r="G338" s="113" t="s">
        <v>5</v>
      </c>
      <c r="H338" s="113">
        <v>1E-3</v>
      </c>
      <c r="I338" s="113">
        <v>0.04</v>
      </c>
      <c r="J338" s="113" t="s">
        <v>10</v>
      </c>
      <c r="K338" s="113">
        <v>5.4</v>
      </c>
      <c r="L338" s="113">
        <v>83</v>
      </c>
      <c r="M338" s="113">
        <v>5.3159999999999998</v>
      </c>
      <c r="N338" s="113">
        <v>83.165000000000006</v>
      </c>
      <c r="O338" s="114" t="s">
        <v>1540</v>
      </c>
    </row>
    <row r="339" spans="1:15" x14ac:dyDescent="0.25">
      <c r="A339" s="113" t="s">
        <v>55</v>
      </c>
      <c r="B339" s="113" t="s">
        <v>8</v>
      </c>
      <c r="C339" s="113">
        <v>0.01</v>
      </c>
      <c r="D339" s="113">
        <v>0.1</v>
      </c>
      <c r="E339" s="113">
        <v>1E-8</v>
      </c>
      <c r="F339" s="113" t="s">
        <v>6</v>
      </c>
      <c r="G339" s="113" t="s">
        <v>5</v>
      </c>
      <c r="H339" s="113">
        <v>20</v>
      </c>
      <c r="I339" s="113">
        <v>50</v>
      </c>
      <c r="J339" s="113" t="s">
        <v>10</v>
      </c>
      <c r="K339" s="113">
        <v>4.7</v>
      </c>
      <c r="L339" s="113">
        <v>330</v>
      </c>
      <c r="M339" s="113">
        <v>4.6688000000000001</v>
      </c>
      <c r="N339" s="113">
        <v>326.81</v>
      </c>
      <c r="O339" s="114" t="s">
        <v>1545</v>
      </c>
    </row>
    <row r="340" spans="1:15" x14ac:dyDescent="0.25">
      <c r="A340" s="113" t="s">
        <v>55</v>
      </c>
      <c r="B340" s="113" t="s">
        <v>8</v>
      </c>
      <c r="C340" s="113">
        <v>0.01</v>
      </c>
      <c r="D340" s="113">
        <v>0.1</v>
      </c>
      <c r="E340" s="113">
        <v>1E-8</v>
      </c>
      <c r="F340" s="113" t="s">
        <v>6</v>
      </c>
      <c r="G340" s="113" t="s">
        <v>5</v>
      </c>
      <c r="H340" s="113">
        <v>4000</v>
      </c>
      <c r="I340" s="113">
        <v>8000</v>
      </c>
      <c r="J340" s="113" t="s">
        <v>10</v>
      </c>
      <c r="K340" s="113">
        <v>120</v>
      </c>
      <c r="L340" s="113">
        <v>46000</v>
      </c>
      <c r="M340" s="113">
        <v>92.256</v>
      </c>
      <c r="N340" s="113">
        <v>46261</v>
      </c>
      <c r="O340" s="114" t="s">
        <v>1538</v>
      </c>
    </row>
    <row r="341" spans="1:15" x14ac:dyDescent="0.25">
      <c r="A341" s="113" t="s">
        <v>55</v>
      </c>
      <c r="B341" s="113" t="s">
        <v>8</v>
      </c>
      <c r="C341" s="113">
        <v>0.01</v>
      </c>
      <c r="D341" s="113">
        <v>0.1</v>
      </c>
      <c r="E341" s="113">
        <v>9.9999999999999995E-8</v>
      </c>
      <c r="F341" s="113" t="s">
        <v>6</v>
      </c>
      <c r="G341" s="113" t="s">
        <v>5</v>
      </c>
      <c r="H341" s="113">
        <v>1E-3</v>
      </c>
      <c r="I341" s="113">
        <v>0.04</v>
      </c>
      <c r="J341" s="113" t="s">
        <v>10</v>
      </c>
      <c r="K341" s="113">
        <v>5.4</v>
      </c>
      <c r="L341" s="113">
        <v>83.165999999999997</v>
      </c>
      <c r="M341" s="113">
        <v>5.3163</v>
      </c>
      <c r="N341" s="113">
        <v>83.162999999999997</v>
      </c>
      <c r="O341" s="114" t="s">
        <v>1546</v>
      </c>
    </row>
    <row r="342" spans="1:15" x14ac:dyDescent="0.25">
      <c r="A342" s="113" t="s">
        <v>55</v>
      </c>
      <c r="B342" s="113" t="s">
        <v>8</v>
      </c>
      <c r="C342" s="113">
        <v>0.01</v>
      </c>
      <c r="D342" s="113">
        <v>0.1</v>
      </c>
      <c r="E342" s="113">
        <v>9.9999999999999995E-8</v>
      </c>
      <c r="F342" s="113" t="s">
        <v>6</v>
      </c>
      <c r="G342" s="113" t="s">
        <v>5</v>
      </c>
      <c r="H342" s="113">
        <v>1000</v>
      </c>
      <c r="I342" s="113">
        <v>2000</v>
      </c>
      <c r="J342" s="113" t="s">
        <v>10</v>
      </c>
      <c r="K342" s="113">
        <v>53</v>
      </c>
      <c r="L342" s="113">
        <v>17054</v>
      </c>
      <c r="M342" s="113">
        <v>11.488</v>
      </c>
      <c r="N342" s="113">
        <v>17414</v>
      </c>
      <c r="O342" s="114" t="s">
        <v>1555</v>
      </c>
    </row>
    <row r="343" spans="1:15" x14ac:dyDescent="0.25">
      <c r="A343" s="113" t="s">
        <v>55</v>
      </c>
      <c r="B343" s="113" t="s">
        <v>8</v>
      </c>
      <c r="C343" s="113">
        <v>0.01</v>
      </c>
      <c r="D343" s="113">
        <v>0.1</v>
      </c>
      <c r="E343" s="113">
        <v>9.9999999999999995E-8</v>
      </c>
      <c r="F343" s="113" t="s">
        <v>6</v>
      </c>
      <c r="G343" s="113" t="s">
        <v>5</v>
      </c>
      <c r="H343" s="113">
        <v>4000</v>
      </c>
      <c r="I343" s="113">
        <v>8000</v>
      </c>
      <c r="J343" s="113" t="s">
        <v>10</v>
      </c>
      <c r="K343" s="113">
        <v>120</v>
      </c>
      <c r="L343" s="113">
        <v>46000</v>
      </c>
      <c r="M343" s="113">
        <v>92.256</v>
      </c>
      <c r="N343" s="113">
        <v>46261</v>
      </c>
      <c r="O343" s="114" t="s">
        <v>1554</v>
      </c>
    </row>
    <row r="344" spans="1:15" x14ac:dyDescent="0.25">
      <c r="A344" s="113" t="s">
        <v>55</v>
      </c>
      <c r="B344" s="113" t="s">
        <v>8</v>
      </c>
      <c r="C344" s="113">
        <v>0.01</v>
      </c>
      <c r="D344" s="113">
        <v>0.1</v>
      </c>
      <c r="E344" s="113">
        <v>9.9999999999999995E-8</v>
      </c>
      <c r="F344" s="113" t="s">
        <v>6</v>
      </c>
      <c r="G344" s="113" t="s">
        <v>5</v>
      </c>
      <c r="H344" s="113">
        <v>300</v>
      </c>
      <c r="I344" s="113">
        <v>1000</v>
      </c>
      <c r="J344" s="113" t="s">
        <v>10</v>
      </c>
      <c r="K344" s="113">
        <v>12</v>
      </c>
      <c r="L344" s="113">
        <v>12000</v>
      </c>
      <c r="M344" s="113">
        <v>11.521000000000001</v>
      </c>
      <c r="N344" s="113">
        <v>11631</v>
      </c>
      <c r="O344" s="114" t="s">
        <v>1553</v>
      </c>
    </row>
    <row r="345" spans="1:15" x14ac:dyDescent="0.25">
      <c r="A345" s="113" t="s">
        <v>55</v>
      </c>
      <c r="B345" s="113" t="s">
        <v>8</v>
      </c>
      <c r="C345" s="113">
        <v>0.01</v>
      </c>
      <c r="D345" s="113">
        <v>0.1</v>
      </c>
      <c r="E345" s="113">
        <v>9.9999999999999995E-8</v>
      </c>
      <c r="F345" s="113" t="s">
        <v>6</v>
      </c>
      <c r="G345" s="113" t="s">
        <v>5</v>
      </c>
      <c r="H345" s="113">
        <v>2000</v>
      </c>
      <c r="I345" s="113">
        <v>4000</v>
      </c>
      <c r="J345" s="113" t="s">
        <v>10</v>
      </c>
      <c r="K345" s="113">
        <v>110</v>
      </c>
      <c r="L345" s="113">
        <v>46000</v>
      </c>
      <c r="M345" s="113">
        <v>80.778000000000006</v>
      </c>
      <c r="N345" s="113">
        <v>46223</v>
      </c>
      <c r="O345" s="114" t="s">
        <v>1549</v>
      </c>
    </row>
    <row r="346" spans="1:15" x14ac:dyDescent="0.25">
      <c r="A346" s="113" t="s">
        <v>55</v>
      </c>
      <c r="B346" s="113" t="s">
        <v>8</v>
      </c>
      <c r="C346" s="113">
        <v>0.01</v>
      </c>
      <c r="D346" s="113">
        <v>0.1</v>
      </c>
      <c r="E346" s="113">
        <v>9.9999999999999995E-8</v>
      </c>
      <c r="F346" s="113" t="s">
        <v>6</v>
      </c>
      <c r="G346" s="113" t="s">
        <v>5</v>
      </c>
      <c r="H346" s="113">
        <v>50</v>
      </c>
      <c r="I346" s="113">
        <v>100</v>
      </c>
      <c r="J346" s="113" t="s">
        <v>10</v>
      </c>
      <c r="K346" s="113">
        <v>6</v>
      </c>
      <c r="L346" s="113">
        <v>906.02</v>
      </c>
      <c r="M346" s="113">
        <v>5.9729999999999999</v>
      </c>
      <c r="N346" s="113">
        <v>906.03</v>
      </c>
      <c r="O346" s="114" t="s">
        <v>1552</v>
      </c>
    </row>
    <row r="347" spans="1:15" x14ac:dyDescent="0.25">
      <c r="A347" s="113" t="s">
        <v>55</v>
      </c>
      <c r="B347" s="113" t="s">
        <v>8</v>
      </c>
      <c r="C347" s="113">
        <v>0.01</v>
      </c>
      <c r="D347" s="113">
        <v>0.1</v>
      </c>
      <c r="E347" s="113">
        <v>9.9999999999999995E-8</v>
      </c>
      <c r="F347" s="113" t="s">
        <v>6</v>
      </c>
      <c r="G347" s="113" t="s">
        <v>5</v>
      </c>
      <c r="H347" s="113">
        <v>0.04</v>
      </c>
      <c r="I347" s="113">
        <v>1</v>
      </c>
      <c r="J347" s="113" t="s">
        <v>10</v>
      </c>
      <c r="K347" s="113">
        <v>3.5</v>
      </c>
      <c r="L347" s="113">
        <v>80.683999999999997</v>
      </c>
      <c r="M347" s="113">
        <v>3.4434</v>
      </c>
      <c r="N347" s="113">
        <v>80.682000000000002</v>
      </c>
      <c r="O347" s="114" t="s">
        <v>1548</v>
      </c>
    </row>
    <row r="348" spans="1:15" x14ac:dyDescent="0.25">
      <c r="A348" s="113" t="s">
        <v>55</v>
      </c>
      <c r="B348" s="113" t="s">
        <v>8</v>
      </c>
      <c r="C348" s="113">
        <v>0.01</v>
      </c>
      <c r="D348" s="113">
        <v>0.1</v>
      </c>
      <c r="E348" s="113">
        <v>9.9999999999999995E-8</v>
      </c>
      <c r="F348" s="113" t="s">
        <v>6</v>
      </c>
      <c r="G348" s="113" t="s">
        <v>5</v>
      </c>
      <c r="H348" s="113">
        <v>8000</v>
      </c>
      <c r="I348" s="113">
        <v>10000</v>
      </c>
      <c r="J348" s="113" t="s">
        <v>10</v>
      </c>
      <c r="K348" s="113">
        <v>450</v>
      </c>
      <c r="L348" s="113">
        <v>170030</v>
      </c>
      <c r="M348" s="113">
        <v>115.4</v>
      </c>
      <c r="N348" s="113">
        <v>173280</v>
      </c>
      <c r="O348" s="114" t="s">
        <v>1551</v>
      </c>
    </row>
    <row r="349" spans="1:15" x14ac:dyDescent="0.25">
      <c r="A349" s="113" t="s">
        <v>55</v>
      </c>
      <c r="B349" s="113" t="s">
        <v>8</v>
      </c>
      <c r="C349" s="113">
        <v>0.01</v>
      </c>
      <c r="D349" s="113">
        <v>0.1</v>
      </c>
      <c r="E349" s="113">
        <v>9.9999999999999995E-8</v>
      </c>
      <c r="F349" s="113" t="s">
        <v>6</v>
      </c>
      <c r="G349" s="113" t="s">
        <v>5</v>
      </c>
      <c r="H349" s="113">
        <v>20</v>
      </c>
      <c r="I349" s="113">
        <v>50</v>
      </c>
      <c r="J349" s="113" t="s">
        <v>10</v>
      </c>
      <c r="K349" s="113">
        <v>4.7</v>
      </c>
      <c r="L349" s="113">
        <v>327.36</v>
      </c>
      <c r="M349" s="113">
        <v>4.6691000000000003</v>
      </c>
      <c r="N349" s="113">
        <v>326.81</v>
      </c>
      <c r="O349" s="114" t="s">
        <v>1547</v>
      </c>
    </row>
    <row r="350" spans="1:15" x14ac:dyDescent="0.25">
      <c r="A350" s="113" t="s">
        <v>55</v>
      </c>
      <c r="B350" s="113" t="s">
        <v>8</v>
      </c>
      <c r="C350" s="113">
        <v>0.01</v>
      </c>
      <c r="D350" s="113">
        <v>0.1</v>
      </c>
      <c r="E350" s="113">
        <v>9.9999999999999995E-8</v>
      </c>
      <c r="F350" s="113" t="s">
        <v>6</v>
      </c>
      <c r="G350" s="113" t="s">
        <v>5</v>
      </c>
      <c r="H350" s="113">
        <v>1</v>
      </c>
      <c r="I350" s="113">
        <v>20</v>
      </c>
      <c r="J350" s="113" t="s">
        <v>10</v>
      </c>
      <c r="K350" s="113">
        <v>3.4</v>
      </c>
      <c r="L350" s="113">
        <v>157.72</v>
      </c>
      <c r="M350" s="113">
        <v>3.3552</v>
      </c>
      <c r="N350" s="113">
        <v>157.72</v>
      </c>
      <c r="O350" s="114" t="s">
        <v>1550</v>
      </c>
    </row>
    <row r="351" spans="1:15" x14ac:dyDescent="0.25">
      <c r="A351" s="113" t="s">
        <v>55</v>
      </c>
      <c r="B351" s="113" t="s">
        <v>8</v>
      </c>
      <c r="C351" s="113">
        <v>0.01</v>
      </c>
      <c r="D351" s="113">
        <v>0.1</v>
      </c>
      <c r="E351" s="113">
        <v>9.9999999999999995E-8</v>
      </c>
      <c r="F351" s="113" t="s">
        <v>6</v>
      </c>
      <c r="G351" s="113" t="s">
        <v>5</v>
      </c>
      <c r="H351" s="113">
        <v>100</v>
      </c>
      <c r="I351" s="113">
        <v>300</v>
      </c>
      <c r="J351" s="113" t="s">
        <v>10</v>
      </c>
      <c r="K351" s="113">
        <v>12</v>
      </c>
      <c r="L351" s="113">
        <v>3500</v>
      </c>
      <c r="M351" s="113">
        <v>11.521000000000001</v>
      </c>
      <c r="N351" s="113">
        <v>3476.1</v>
      </c>
      <c r="O351" s="114" t="s">
        <v>2553</v>
      </c>
    </row>
    <row r="352" spans="1:15" x14ac:dyDescent="0.25">
      <c r="A352" s="113" t="s">
        <v>55</v>
      </c>
      <c r="B352" s="113" t="s">
        <v>8</v>
      </c>
      <c r="C352" s="113">
        <v>0.01</v>
      </c>
      <c r="D352" s="113">
        <v>0.1</v>
      </c>
      <c r="E352" s="113">
        <v>9.9999999999999995E-7</v>
      </c>
      <c r="F352" s="113" t="s">
        <v>6</v>
      </c>
      <c r="G352" s="113" t="s">
        <v>5</v>
      </c>
      <c r="H352" s="113">
        <v>1E-3</v>
      </c>
      <c r="I352" s="113">
        <v>0.04</v>
      </c>
      <c r="J352" s="113" t="s">
        <v>10</v>
      </c>
      <c r="K352" s="113">
        <v>5.4</v>
      </c>
      <c r="L352" s="113">
        <v>83.01</v>
      </c>
      <c r="M352" s="113">
        <v>5.3446999999999996</v>
      </c>
      <c r="N352" s="113">
        <v>83</v>
      </c>
      <c r="O352" s="114" t="s">
        <v>1557</v>
      </c>
    </row>
    <row r="353" spans="1:15" x14ac:dyDescent="0.25">
      <c r="A353" s="113" t="s">
        <v>55</v>
      </c>
      <c r="B353" s="113" t="s">
        <v>8</v>
      </c>
      <c r="C353" s="113">
        <v>0.01</v>
      </c>
      <c r="D353" s="113">
        <v>0.1</v>
      </c>
      <c r="E353" s="113">
        <v>9.9999999999999995E-7</v>
      </c>
      <c r="F353" s="113" t="s">
        <v>6</v>
      </c>
      <c r="G353" s="113" t="s">
        <v>5</v>
      </c>
      <c r="H353" s="113">
        <v>50</v>
      </c>
      <c r="I353" s="113">
        <v>100</v>
      </c>
      <c r="J353" s="113" t="s">
        <v>10</v>
      </c>
      <c r="K353" s="113">
        <v>6</v>
      </c>
      <c r="L353" s="113">
        <v>905.89</v>
      </c>
      <c r="M353" s="113">
        <v>5.9854000000000003</v>
      </c>
      <c r="N353" s="113">
        <v>905.92</v>
      </c>
      <c r="O353" s="114" t="s">
        <v>2555</v>
      </c>
    </row>
    <row r="354" spans="1:15" x14ac:dyDescent="0.25">
      <c r="A354" s="113" t="s">
        <v>55</v>
      </c>
      <c r="B354" s="113" t="s">
        <v>8</v>
      </c>
      <c r="C354" s="113">
        <v>0.01</v>
      </c>
      <c r="D354" s="113">
        <v>0.1</v>
      </c>
      <c r="E354" s="113">
        <v>9.9999999999999995E-7</v>
      </c>
      <c r="F354" s="113" t="s">
        <v>6</v>
      </c>
      <c r="G354" s="113" t="s">
        <v>5</v>
      </c>
      <c r="H354" s="113">
        <v>300</v>
      </c>
      <c r="I354" s="113">
        <v>1000</v>
      </c>
      <c r="J354" s="113" t="s">
        <v>10</v>
      </c>
      <c r="K354" s="113">
        <v>12</v>
      </c>
      <c r="L354" s="113">
        <v>12000</v>
      </c>
      <c r="M354" s="113">
        <v>11.521000000000001</v>
      </c>
      <c r="N354" s="113">
        <v>11631</v>
      </c>
      <c r="O354" s="114" t="s">
        <v>1560</v>
      </c>
    </row>
    <row r="355" spans="1:15" x14ac:dyDescent="0.25">
      <c r="A355" s="113" t="s">
        <v>55</v>
      </c>
      <c r="B355" s="113" t="s">
        <v>8</v>
      </c>
      <c r="C355" s="113">
        <v>0.01</v>
      </c>
      <c r="D355" s="113">
        <v>0.1</v>
      </c>
      <c r="E355" s="113">
        <v>9.9999999999999995E-7</v>
      </c>
      <c r="F355" s="113" t="s">
        <v>6</v>
      </c>
      <c r="G355" s="113" t="s">
        <v>5</v>
      </c>
      <c r="H355" s="113">
        <v>8000</v>
      </c>
      <c r="I355" s="113">
        <v>10000</v>
      </c>
      <c r="J355" s="113" t="s">
        <v>10</v>
      </c>
      <c r="K355" s="113">
        <v>450</v>
      </c>
      <c r="L355" s="113">
        <v>170040</v>
      </c>
      <c r="M355" s="113">
        <v>115.4</v>
      </c>
      <c r="N355" s="113">
        <v>173280</v>
      </c>
      <c r="O355" s="114" t="s">
        <v>1559</v>
      </c>
    </row>
    <row r="356" spans="1:15" x14ac:dyDescent="0.25">
      <c r="A356" s="113" t="s">
        <v>55</v>
      </c>
      <c r="B356" s="113" t="s">
        <v>8</v>
      </c>
      <c r="C356" s="113">
        <v>0.01</v>
      </c>
      <c r="D356" s="113">
        <v>0.1</v>
      </c>
      <c r="E356" s="113">
        <v>9.9999999999999995E-7</v>
      </c>
      <c r="F356" s="113" t="s">
        <v>6</v>
      </c>
      <c r="G356" s="113" t="s">
        <v>5</v>
      </c>
      <c r="H356" s="113">
        <v>4000</v>
      </c>
      <c r="I356" s="113">
        <v>8000</v>
      </c>
      <c r="J356" s="113" t="s">
        <v>10</v>
      </c>
      <c r="K356" s="113">
        <v>120</v>
      </c>
      <c r="L356" s="113">
        <v>46000</v>
      </c>
      <c r="M356" s="113">
        <v>92.257000000000005</v>
      </c>
      <c r="N356" s="113">
        <v>46261</v>
      </c>
      <c r="O356" s="114" t="s">
        <v>2556</v>
      </c>
    </row>
    <row r="357" spans="1:15" x14ac:dyDescent="0.25">
      <c r="A357" s="113" t="s">
        <v>55</v>
      </c>
      <c r="B357" s="113" t="s">
        <v>8</v>
      </c>
      <c r="C357" s="113">
        <v>0.01</v>
      </c>
      <c r="D357" s="113">
        <v>0.1</v>
      </c>
      <c r="E357" s="113">
        <v>9.9999999999999995E-7</v>
      </c>
      <c r="F357" s="113" t="s">
        <v>6</v>
      </c>
      <c r="G357" s="113" t="s">
        <v>5</v>
      </c>
      <c r="H357" s="113">
        <v>0.04</v>
      </c>
      <c r="I357" s="113">
        <v>1</v>
      </c>
      <c r="J357" s="113" t="s">
        <v>10</v>
      </c>
      <c r="K357" s="113">
        <v>3.5</v>
      </c>
      <c r="L357" s="113">
        <v>80.42</v>
      </c>
      <c r="M357" s="113">
        <v>3.4847999999999999</v>
      </c>
      <c r="N357" s="113">
        <v>80.411000000000001</v>
      </c>
      <c r="O357" s="114" t="s">
        <v>1562</v>
      </c>
    </row>
    <row r="358" spans="1:15" x14ac:dyDescent="0.25">
      <c r="A358" s="113" t="s">
        <v>55</v>
      </c>
      <c r="B358" s="113" t="s">
        <v>8</v>
      </c>
      <c r="C358" s="113">
        <v>0.01</v>
      </c>
      <c r="D358" s="113">
        <v>0.1</v>
      </c>
      <c r="E358" s="113">
        <v>9.9999999999999995E-7</v>
      </c>
      <c r="F358" s="113" t="s">
        <v>6</v>
      </c>
      <c r="G358" s="113" t="s">
        <v>5</v>
      </c>
      <c r="H358" s="113">
        <v>100</v>
      </c>
      <c r="I358" s="113">
        <v>300</v>
      </c>
      <c r="J358" s="113" t="s">
        <v>10</v>
      </c>
      <c r="K358" s="113">
        <v>12</v>
      </c>
      <c r="L358" s="113">
        <v>3500</v>
      </c>
      <c r="M358" s="113">
        <v>11.522</v>
      </c>
      <c r="N358" s="113">
        <v>3476.1</v>
      </c>
      <c r="O358" s="114" t="s">
        <v>1556</v>
      </c>
    </row>
    <row r="359" spans="1:15" x14ac:dyDescent="0.25">
      <c r="A359" s="113" t="s">
        <v>55</v>
      </c>
      <c r="B359" s="113" t="s">
        <v>8</v>
      </c>
      <c r="C359" s="113">
        <v>0.01</v>
      </c>
      <c r="D359" s="113">
        <v>0.1</v>
      </c>
      <c r="E359" s="113">
        <v>9.9999999999999995E-7</v>
      </c>
      <c r="F359" s="113" t="s">
        <v>6</v>
      </c>
      <c r="G359" s="113" t="s">
        <v>5</v>
      </c>
      <c r="H359" s="113">
        <v>1000</v>
      </c>
      <c r="I359" s="113">
        <v>2000</v>
      </c>
      <c r="J359" s="113" t="s">
        <v>10</v>
      </c>
      <c r="K359" s="113">
        <v>53</v>
      </c>
      <c r="L359" s="113">
        <v>17054</v>
      </c>
      <c r="M359" s="113">
        <v>11.489000000000001</v>
      </c>
      <c r="N359" s="113">
        <v>17414</v>
      </c>
      <c r="O359" s="114" t="s">
        <v>1558</v>
      </c>
    </row>
    <row r="360" spans="1:15" x14ac:dyDescent="0.25">
      <c r="A360" s="113" t="s">
        <v>55</v>
      </c>
      <c r="B360" s="113" t="s">
        <v>8</v>
      </c>
      <c r="C360" s="113">
        <v>0.01</v>
      </c>
      <c r="D360" s="113">
        <v>0.1</v>
      </c>
      <c r="E360" s="113">
        <v>9.9999999999999995E-7</v>
      </c>
      <c r="F360" s="113" t="s">
        <v>6</v>
      </c>
      <c r="G360" s="113" t="s">
        <v>5</v>
      </c>
      <c r="H360" s="113">
        <v>2000</v>
      </c>
      <c r="I360" s="113">
        <v>4000</v>
      </c>
      <c r="J360" s="113" t="s">
        <v>10</v>
      </c>
      <c r="K360" s="113">
        <v>110</v>
      </c>
      <c r="L360" s="113">
        <v>46000</v>
      </c>
      <c r="M360" s="113">
        <v>80.778999999999996</v>
      </c>
      <c r="N360" s="113">
        <v>46223</v>
      </c>
      <c r="O360" s="114" t="s">
        <v>1561</v>
      </c>
    </row>
    <row r="361" spans="1:15" x14ac:dyDescent="0.25">
      <c r="A361" s="113" t="s">
        <v>55</v>
      </c>
      <c r="B361" s="113" t="s">
        <v>8</v>
      </c>
      <c r="C361" s="113">
        <v>0.01</v>
      </c>
      <c r="D361" s="113">
        <v>0.1</v>
      </c>
      <c r="E361" s="113">
        <v>9.9999999999999995E-7</v>
      </c>
      <c r="F361" s="113" t="s">
        <v>6</v>
      </c>
      <c r="G361" s="113" t="s">
        <v>5</v>
      </c>
      <c r="H361" s="113">
        <v>1</v>
      </c>
      <c r="I361" s="113">
        <v>20</v>
      </c>
      <c r="J361" s="113" t="s">
        <v>10</v>
      </c>
      <c r="K361" s="113">
        <v>3.4</v>
      </c>
      <c r="L361" s="113">
        <v>157.44999999999999</v>
      </c>
      <c r="M361" s="113">
        <v>3.3910999999999998</v>
      </c>
      <c r="N361" s="113">
        <v>157.44999999999999</v>
      </c>
      <c r="O361" s="114" t="s">
        <v>2554</v>
      </c>
    </row>
    <row r="362" spans="1:15" x14ac:dyDescent="0.25">
      <c r="A362" s="113" t="s">
        <v>55</v>
      </c>
      <c r="B362" s="113" t="s">
        <v>8</v>
      </c>
      <c r="C362" s="113">
        <v>0.01</v>
      </c>
      <c r="D362" s="113">
        <v>0.1</v>
      </c>
      <c r="E362" s="113">
        <v>9.9999999999999995E-7</v>
      </c>
      <c r="F362" s="113" t="s">
        <v>6</v>
      </c>
      <c r="G362" s="113" t="s">
        <v>5</v>
      </c>
      <c r="H362" s="113">
        <v>20</v>
      </c>
      <c r="I362" s="113">
        <v>50</v>
      </c>
      <c r="J362" s="113" t="s">
        <v>10</v>
      </c>
      <c r="K362" s="113">
        <v>4.7</v>
      </c>
      <c r="L362" s="113">
        <v>327.10000000000002</v>
      </c>
      <c r="M362" s="113">
        <v>4.6916000000000002</v>
      </c>
      <c r="N362" s="113">
        <v>326.63</v>
      </c>
      <c r="O362" s="114" t="s">
        <v>1563</v>
      </c>
    </row>
    <row r="363" spans="1:15" x14ac:dyDescent="0.25">
      <c r="A363" s="113" t="s">
        <v>55</v>
      </c>
      <c r="B363" s="113" t="s">
        <v>8</v>
      </c>
      <c r="C363" s="113">
        <v>0.01</v>
      </c>
      <c r="D363" s="113">
        <v>0.1</v>
      </c>
      <c r="E363" s="113">
        <v>1.0000000000000001E-5</v>
      </c>
      <c r="F363" s="113" t="s">
        <v>6</v>
      </c>
      <c r="G363" s="113" t="s">
        <v>5</v>
      </c>
      <c r="H363" s="113">
        <v>8000</v>
      </c>
      <c r="I363" s="113">
        <v>10000</v>
      </c>
      <c r="J363" s="113" t="s">
        <v>10</v>
      </c>
      <c r="K363" s="113">
        <v>450</v>
      </c>
      <c r="L363" s="113">
        <v>170040</v>
      </c>
      <c r="M363" s="113">
        <v>115.41</v>
      </c>
      <c r="N363" s="113">
        <v>173280</v>
      </c>
      <c r="O363" s="114" t="s">
        <v>1572</v>
      </c>
    </row>
    <row r="364" spans="1:15" x14ac:dyDescent="0.25">
      <c r="A364" s="113" t="s">
        <v>55</v>
      </c>
      <c r="B364" s="113" t="s">
        <v>8</v>
      </c>
      <c r="C364" s="113">
        <v>0.01</v>
      </c>
      <c r="D364" s="113">
        <v>0.1</v>
      </c>
      <c r="E364" s="113">
        <v>1.0000000000000001E-5</v>
      </c>
      <c r="F364" s="113" t="s">
        <v>6</v>
      </c>
      <c r="G364" s="113" t="s">
        <v>5</v>
      </c>
      <c r="H364" s="113">
        <v>1000</v>
      </c>
      <c r="I364" s="113">
        <v>2000</v>
      </c>
      <c r="J364" s="113" t="s">
        <v>10</v>
      </c>
      <c r="K364" s="113">
        <v>53</v>
      </c>
      <c r="L364" s="113">
        <v>17054</v>
      </c>
      <c r="M364" s="113">
        <v>11.587999999999999</v>
      </c>
      <c r="N364" s="113">
        <v>17413</v>
      </c>
      <c r="O364" s="114" t="s">
        <v>1566</v>
      </c>
    </row>
    <row r="365" spans="1:15" x14ac:dyDescent="0.25">
      <c r="A365" s="113" t="s">
        <v>55</v>
      </c>
      <c r="B365" s="113" t="s">
        <v>8</v>
      </c>
      <c r="C365" s="113">
        <v>0.01</v>
      </c>
      <c r="D365" s="113">
        <v>0.1</v>
      </c>
      <c r="E365" s="113">
        <v>1.0000000000000001E-5</v>
      </c>
      <c r="F365" s="113" t="s">
        <v>6</v>
      </c>
      <c r="G365" s="113" t="s">
        <v>5</v>
      </c>
      <c r="H365" s="113">
        <v>300</v>
      </c>
      <c r="I365" s="113">
        <v>1000</v>
      </c>
      <c r="J365" s="113" t="s">
        <v>10</v>
      </c>
      <c r="K365" s="113">
        <v>12</v>
      </c>
      <c r="L365" s="113">
        <v>12000</v>
      </c>
      <c r="M365" s="113">
        <v>11.635</v>
      </c>
      <c r="N365" s="113">
        <v>11630</v>
      </c>
      <c r="O365" s="114" t="s">
        <v>1564</v>
      </c>
    </row>
    <row r="366" spans="1:15" x14ac:dyDescent="0.25">
      <c r="A366" s="113" t="s">
        <v>55</v>
      </c>
      <c r="B366" s="113" t="s">
        <v>8</v>
      </c>
      <c r="C366" s="113">
        <v>0.01</v>
      </c>
      <c r="D366" s="113">
        <v>0.1</v>
      </c>
      <c r="E366" s="113">
        <v>1.0000000000000001E-5</v>
      </c>
      <c r="F366" s="113" t="s">
        <v>6</v>
      </c>
      <c r="G366" s="113" t="s">
        <v>5</v>
      </c>
      <c r="H366" s="113">
        <v>1</v>
      </c>
      <c r="I366" s="113">
        <v>20</v>
      </c>
      <c r="J366" s="113" t="s">
        <v>10</v>
      </c>
      <c r="K366" s="113">
        <v>6.2203999999999997</v>
      </c>
      <c r="L366" s="113">
        <v>137.65</v>
      </c>
      <c r="M366" s="113">
        <v>6.2175000000000002</v>
      </c>
      <c r="N366" s="113">
        <v>137.62</v>
      </c>
      <c r="O366" s="114" t="s">
        <v>1565</v>
      </c>
    </row>
    <row r="367" spans="1:15" x14ac:dyDescent="0.25">
      <c r="A367" s="113" t="s">
        <v>55</v>
      </c>
      <c r="B367" s="113" t="s">
        <v>8</v>
      </c>
      <c r="C367" s="113">
        <v>0.01</v>
      </c>
      <c r="D367" s="113">
        <v>0.1</v>
      </c>
      <c r="E367" s="113">
        <v>1.0000000000000001E-5</v>
      </c>
      <c r="F367" s="113" t="s">
        <v>6</v>
      </c>
      <c r="G367" s="113" t="s">
        <v>5</v>
      </c>
      <c r="H367" s="113">
        <v>1E-3</v>
      </c>
      <c r="I367" s="113">
        <v>0.04</v>
      </c>
      <c r="J367" s="113" t="s">
        <v>10</v>
      </c>
      <c r="K367" s="113">
        <v>7.7286000000000001</v>
      </c>
      <c r="L367" s="113">
        <v>70.834999999999994</v>
      </c>
      <c r="M367" s="113">
        <v>7.7257999999999996</v>
      </c>
      <c r="N367" s="113">
        <v>70.789000000000001</v>
      </c>
      <c r="O367" s="114" t="s">
        <v>1567</v>
      </c>
    </row>
    <row r="368" spans="1:15" x14ac:dyDescent="0.25">
      <c r="A368" s="113" t="s">
        <v>55</v>
      </c>
      <c r="B368" s="113" t="s">
        <v>8</v>
      </c>
      <c r="C368" s="113">
        <v>0.01</v>
      </c>
      <c r="D368" s="113">
        <v>0.1</v>
      </c>
      <c r="E368" s="113">
        <v>1.0000000000000001E-5</v>
      </c>
      <c r="F368" s="113" t="s">
        <v>6</v>
      </c>
      <c r="G368" s="113" t="s">
        <v>5</v>
      </c>
      <c r="H368" s="113">
        <v>20</v>
      </c>
      <c r="I368" s="113">
        <v>50</v>
      </c>
      <c r="J368" s="113" t="s">
        <v>10</v>
      </c>
      <c r="K368" s="113">
        <v>6.7172000000000001</v>
      </c>
      <c r="L368" s="113">
        <v>310.87</v>
      </c>
      <c r="M368" s="113">
        <v>6.7062999999999997</v>
      </c>
      <c r="N368" s="113">
        <v>310.87</v>
      </c>
      <c r="O368" s="114" t="s">
        <v>1569</v>
      </c>
    </row>
    <row r="369" spans="1:15" x14ac:dyDescent="0.25">
      <c r="A369" s="113" t="s">
        <v>55</v>
      </c>
      <c r="B369" s="113" t="s">
        <v>8</v>
      </c>
      <c r="C369" s="113">
        <v>0.01</v>
      </c>
      <c r="D369" s="113">
        <v>0.1</v>
      </c>
      <c r="E369" s="113">
        <v>1.0000000000000001E-5</v>
      </c>
      <c r="F369" s="113" t="s">
        <v>6</v>
      </c>
      <c r="G369" s="113" t="s">
        <v>5</v>
      </c>
      <c r="H369" s="113">
        <v>0.04</v>
      </c>
      <c r="I369" s="113">
        <v>1</v>
      </c>
      <c r="J369" s="113" t="s">
        <v>10</v>
      </c>
      <c r="K369" s="113">
        <v>6.5380000000000003</v>
      </c>
      <c r="L369" s="113">
        <v>63.487000000000002</v>
      </c>
      <c r="M369" s="113">
        <v>6.5346000000000002</v>
      </c>
      <c r="N369" s="113">
        <v>63.435000000000002</v>
      </c>
      <c r="O369" s="114" t="s">
        <v>2558</v>
      </c>
    </row>
    <row r="370" spans="1:15" x14ac:dyDescent="0.25">
      <c r="A370" s="113" t="s">
        <v>55</v>
      </c>
      <c r="B370" s="113" t="s">
        <v>8</v>
      </c>
      <c r="C370" s="113">
        <v>0.01</v>
      </c>
      <c r="D370" s="113">
        <v>0.1</v>
      </c>
      <c r="E370" s="113">
        <v>1.0000000000000001E-5</v>
      </c>
      <c r="F370" s="113" t="s">
        <v>6</v>
      </c>
      <c r="G370" s="113" t="s">
        <v>5</v>
      </c>
      <c r="H370" s="113">
        <v>50</v>
      </c>
      <c r="I370" s="113">
        <v>100</v>
      </c>
      <c r="J370" s="113" t="s">
        <v>10</v>
      </c>
      <c r="K370" s="113">
        <v>7.1698000000000004</v>
      </c>
      <c r="L370" s="113">
        <v>895.95</v>
      </c>
      <c r="M370" s="113">
        <v>7.1433</v>
      </c>
      <c r="N370" s="113">
        <v>896.05</v>
      </c>
      <c r="O370" s="114" t="s">
        <v>1571</v>
      </c>
    </row>
    <row r="371" spans="1:15" x14ac:dyDescent="0.25">
      <c r="A371" s="113" t="s">
        <v>55</v>
      </c>
      <c r="B371" s="113" t="s">
        <v>8</v>
      </c>
      <c r="C371" s="113">
        <v>0.01</v>
      </c>
      <c r="D371" s="113">
        <v>0.1</v>
      </c>
      <c r="E371" s="113">
        <v>1.0000000000000001E-5</v>
      </c>
      <c r="F371" s="113" t="s">
        <v>6</v>
      </c>
      <c r="G371" s="113" t="s">
        <v>5</v>
      </c>
      <c r="H371" s="113">
        <v>2000</v>
      </c>
      <c r="I371" s="113">
        <v>4000</v>
      </c>
      <c r="J371" s="113" t="s">
        <v>10</v>
      </c>
      <c r="K371" s="113">
        <v>110</v>
      </c>
      <c r="L371" s="113">
        <v>46000</v>
      </c>
      <c r="M371" s="113">
        <v>80.808999999999997</v>
      </c>
      <c r="N371" s="113">
        <v>46223</v>
      </c>
      <c r="O371" s="114" t="s">
        <v>1570</v>
      </c>
    </row>
    <row r="372" spans="1:15" x14ac:dyDescent="0.25">
      <c r="A372" s="113" t="s">
        <v>55</v>
      </c>
      <c r="B372" s="113" t="s">
        <v>8</v>
      </c>
      <c r="C372" s="113">
        <v>0.01</v>
      </c>
      <c r="D372" s="113">
        <v>0.1</v>
      </c>
      <c r="E372" s="113">
        <v>1.0000000000000001E-5</v>
      </c>
      <c r="F372" s="113" t="s">
        <v>6</v>
      </c>
      <c r="G372" s="113" t="s">
        <v>5</v>
      </c>
      <c r="H372" s="113">
        <v>100</v>
      </c>
      <c r="I372" s="113">
        <v>300</v>
      </c>
      <c r="J372" s="113" t="s">
        <v>10</v>
      </c>
      <c r="K372" s="113">
        <v>12</v>
      </c>
      <c r="L372" s="113">
        <v>3500</v>
      </c>
      <c r="M372" s="113">
        <v>11.911</v>
      </c>
      <c r="N372" s="113">
        <v>3472.7</v>
      </c>
      <c r="O372" s="114" t="s">
        <v>1568</v>
      </c>
    </row>
    <row r="373" spans="1:15" x14ac:dyDescent="0.25">
      <c r="A373" s="113" t="s">
        <v>55</v>
      </c>
      <c r="B373" s="113" t="s">
        <v>8</v>
      </c>
      <c r="C373" s="113">
        <v>0.01</v>
      </c>
      <c r="D373" s="113">
        <v>0.1</v>
      </c>
      <c r="E373" s="113">
        <v>1.0000000000000001E-5</v>
      </c>
      <c r="F373" s="113" t="s">
        <v>6</v>
      </c>
      <c r="G373" s="113" t="s">
        <v>5</v>
      </c>
      <c r="H373" s="113">
        <v>4000</v>
      </c>
      <c r="I373" s="113">
        <v>8000</v>
      </c>
      <c r="J373" s="113" t="s">
        <v>10</v>
      </c>
      <c r="K373" s="113">
        <v>120</v>
      </c>
      <c r="L373" s="113">
        <v>46000</v>
      </c>
      <c r="M373" s="113">
        <v>92.287000000000006</v>
      </c>
      <c r="N373" s="113">
        <v>46261</v>
      </c>
      <c r="O373" s="114" t="s">
        <v>2557</v>
      </c>
    </row>
    <row r="374" spans="1:15" x14ac:dyDescent="0.25">
      <c r="A374" s="113" t="s">
        <v>55</v>
      </c>
      <c r="B374" s="113" t="s">
        <v>8</v>
      </c>
      <c r="C374" s="113">
        <v>0.01</v>
      </c>
      <c r="D374" s="113">
        <v>0.1</v>
      </c>
      <c r="E374" s="113">
        <v>1E-4</v>
      </c>
      <c r="F374" s="113" t="s">
        <v>6</v>
      </c>
      <c r="G374" s="113" t="s">
        <v>5</v>
      </c>
      <c r="H374" s="113">
        <v>20</v>
      </c>
      <c r="I374" s="113">
        <v>50</v>
      </c>
      <c r="J374" s="113" t="s">
        <v>10</v>
      </c>
      <c r="K374" s="113">
        <v>57.119</v>
      </c>
      <c r="L374" s="113">
        <v>116.68</v>
      </c>
      <c r="M374" s="113">
        <v>57.113999999999997</v>
      </c>
      <c r="N374" s="113">
        <v>116.5</v>
      </c>
      <c r="O374" s="114" t="s">
        <v>1576</v>
      </c>
    </row>
    <row r="375" spans="1:15" x14ac:dyDescent="0.25">
      <c r="A375" s="113" t="s">
        <v>55</v>
      </c>
      <c r="B375" s="113" t="s">
        <v>8</v>
      </c>
      <c r="C375" s="113">
        <v>0.01</v>
      </c>
      <c r="D375" s="113">
        <v>0.1</v>
      </c>
      <c r="E375" s="113">
        <v>1E-4</v>
      </c>
      <c r="F375" s="113" t="s">
        <v>6</v>
      </c>
      <c r="G375" s="113" t="s">
        <v>5</v>
      </c>
      <c r="H375" s="113">
        <v>2000</v>
      </c>
      <c r="I375" s="113">
        <v>4000</v>
      </c>
      <c r="J375" s="113" t="s">
        <v>10</v>
      </c>
      <c r="K375" s="113">
        <v>110</v>
      </c>
      <c r="L375" s="113">
        <v>46000</v>
      </c>
      <c r="M375" s="113">
        <v>84.138999999999996</v>
      </c>
      <c r="N375" s="113">
        <v>46193</v>
      </c>
      <c r="O375" s="114" t="s">
        <v>1573</v>
      </c>
    </row>
    <row r="376" spans="1:15" x14ac:dyDescent="0.25">
      <c r="A376" s="113" t="s">
        <v>55</v>
      </c>
      <c r="B376" s="113" t="s">
        <v>8</v>
      </c>
      <c r="C376" s="113">
        <v>0.01</v>
      </c>
      <c r="D376" s="113">
        <v>0.1</v>
      </c>
      <c r="E376" s="113">
        <v>1E-4</v>
      </c>
      <c r="F376" s="113" t="s">
        <v>6</v>
      </c>
      <c r="G376" s="113" t="s">
        <v>5</v>
      </c>
      <c r="H376" s="113">
        <v>8000</v>
      </c>
      <c r="I376" s="113">
        <v>10000</v>
      </c>
      <c r="J376" s="113" t="s">
        <v>10</v>
      </c>
      <c r="K376" s="113">
        <v>450</v>
      </c>
      <c r="L376" s="113">
        <v>170040</v>
      </c>
      <c r="M376" s="113">
        <v>116.4</v>
      </c>
      <c r="N376" s="113">
        <v>173270</v>
      </c>
      <c r="O376" s="114" t="s">
        <v>1574</v>
      </c>
    </row>
    <row r="377" spans="1:15" x14ac:dyDescent="0.25">
      <c r="A377" s="113" t="s">
        <v>55</v>
      </c>
      <c r="B377" s="113" t="s">
        <v>8</v>
      </c>
      <c r="C377" s="113">
        <v>0.01</v>
      </c>
      <c r="D377" s="113">
        <v>0.1</v>
      </c>
      <c r="E377" s="113">
        <v>1E-4</v>
      </c>
      <c r="F377" s="113" t="s">
        <v>6</v>
      </c>
      <c r="G377" s="113" t="s">
        <v>5</v>
      </c>
      <c r="H377" s="113">
        <v>1000</v>
      </c>
      <c r="I377" s="113">
        <v>2000</v>
      </c>
      <c r="J377" s="113" t="s">
        <v>10</v>
      </c>
      <c r="K377" s="113">
        <v>53</v>
      </c>
      <c r="L377" s="113">
        <v>17065</v>
      </c>
      <c r="M377" s="113">
        <v>21.129000000000001</v>
      </c>
      <c r="N377" s="113">
        <v>17327</v>
      </c>
      <c r="O377" s="114" t="s">
        <v>2561</v>
      </c>
    </row>
    <row r="378" spans="1:15" x14ac:dyDescent="0.25">
      <c r="A378" s="113" t="s">
        <v>55</v>
      </c>
      <c r="B378" s="113" t="s">
        <v>8</v>
      </c>
      <c r="C378" s="113">
        <v>0.01</v>
      </c>
      <c r="D378" s="113">
        <v>0.1</v>
      </c>
      <c r="E378" s="113">
        <v>1E-4</v>
      </c>
      <c r="F378" s="113" t="s">
        <v>6</v>
      </c>
      <c r="G378" s="113" t="s">
        <v>5</v>
      </c>
      <c r="H378" s="113">
        <v>50</v>
      </c>
      <c r="I378" s="113">
        <v>100</v>
      </c>
      <c r="J378" s="113" t="s">
        <v>10</v>
      </c>
      <c r="K378" s="113">
        <v>53.811999999999998</v>
      </c>
      <c r="L378" s="113">
        <v>587.62</v>
      </c>
      <c r="M378" s="113">
        <v>53.787999999999997</v>
      </c>
      <c r="N378" s="113">
        <v>587.29999999999995</v>
      </c>
      <c r="O378" s="114" t="s">
        <v>1578</v>
      </c>
    </row>
    <row r="379" spans="1:15" x14ac:dyDescent="0.25">
      <c r="A379" s="113" t="s">
        <v>55</v>
      </c>
      <c r="B379" s="113" t="s">
        <v>8</v>
      </c>
      <c r="C379" s="113">
        <v>0.01</v>
      </c>
      <c r="D379" s="113">
        <v>0.1</v>
      </c>
      <c r="E379" s="113">
        <v>1E-4</v>
      </c>
      <c r="F379" s="113" t="s">
        <v>6</v>
      </c>
      <c r="G379" s="113" t="s">
        <v>5</v>
      </c>
      <c r="H379" s="113">
        <v>1E-3</v>
      </c>
      <c r="I379" s="113">
        <v>0.04</v>
      </c>
      <c r="J379" s="113" t="s">
        <v>10</v>
      </c>
      <c r="K379" s="113">
        <v>57.923000000000002</v>
      </c>
      <c r="L379" s="113">
        <v>14.074999999999999</v>
      </c>
      <c r="M379" s="113">
        <v>57.921999999999997</v>
      </c>
      <c r="N379" s="113">
        <v>14.013999999999999</v>
      </c>
      <c r="O379" s="114" t="s">
        <v>2559</v>
      </c>
    </row>
    <row r="380" spans="1:15" x14ac:dyDescent="0.25">
      <c r="A380" s="113" t="s">
        <v>55</v>
      </c>
      <c r="B380" s="113" t="s">
        <v>8</v>
      </c>
      <c r="C380" s="113">
        <v>0.01</v>
      </c>
      <c r="D380" s="113">
        <v>0.1</v>
      </c>
      <c r="E380" s="113">
        <v>1E-4</v>
      </c>
      <c r="F380" s="113" t="s">
        <v>6</v>
      </c>
      <c r="G380" s="113" t="s">
        <v>5</v>
      </c>
      <c r="H380" s="113">
        <v>0.04</v>
      </c>
      <c r="I380" s="113">
        <v>1</v>
      </c>
      <c r="J380" s="113" t="s">
        <v>10</v>
      </c>
      <c r="K380" s="113">
        <v>57.783999999999999</v>
      </c>
      <c r="L380" s="113">
        <v>10.952999999999999</v>
      </c>
      <c r="M380" s="113">
        <v>57.783000000000001</v>
      </c>
      <c r="N380" s="113">
        <v>10.891</v>
      </c>
      <c r="O380" s="114" t="s">
        <v>2560</v>
      </c>
    </row>
    <row r="381" spans="1:15" x14ac:dyDescent="0.25">
      <c r="A381" s="113" t="s">
        <v>55</v>
      </c>
      <c r="B381" s="113" t="s">
        <v>8</v>
      </c>
      <c r="C381" s="113">
        <v>0.01</v>
      </c>
      <c r="D381" s="113">
        <v>0.1</v>
      </c>
      <c r="E381" s="113">
        <v>1E-4</v>
      </c>
      <c r="F381" s="113" t="s">
        <v>6</v>
      </c>
      <c r="G381" s="113" t="s">
        <v>5</v>
      </c>
      <c r="H381" s="113">
        <v>300</v>
      </c>
      <c r="I381" s="113">
        <v>1000</v>
      </c>
      <c r="J381" s="113" t="s">
        <v>10</v>
      </c>
      <c r="K381" s="113">
        <v>21.308</v>
      </c>
      <c r="L381" s="113">
        <v>11907</v>
      </c>
      <c r="M381" s="113">
        <v>25.138999999999999</v>
      </c>
      <c r="N381" s="113">
        <v>11509</v>
      </c>
      <c r="O381" s="114" t="s">
        <v>1579</v>
      </c>
    </row>
    <row r="382" spans="1:15" x14ac:dyDescent="0.25">
      <c r="A382" s="113" t="s">
        <v>55</v>
      </c>
      <c r="B382" s="113" t="s">
        <v>8</v>
      </c>
      <c r="C382" s="113">
        <v>0.01</v>
      </c>
      <c r="D382" s="113">
        <v>0.1</v>
      </c>
      <c r="E382" s="113">
        <v>1E-4</v>
      </c>
      <c r="F382" s="113" t="s">
        <v>6</v>
      </c>
      <c r="G382" s="113" t="s">
        <v>5</v>
      </c>
      <c r="H382" s="113">
        <v>1</v>
      </c>
      <c r="I382" s="113">
        <v>20</v>
      </c>
      <c r="J382" s="113" t="s">
        <v>10</v>
      </c>
      <c r="K382" s="113">
        <v>57.628</v>
      </c>
      <c r="L382" s="113">
        <v>32.01</v>
      </c>
      <c r="M382" s="113">
        <v>57.625999999999998</v>
      </c>
      <c r="N382" s="113">
        <v>31.951000000000001</v>
      </c>
      <c r="O382" s="114" t="s">
        <v>1575</v>
      </c>
    </row>
    <row r="383" spans="1:15" x14ac:dyDescent="0.25">
      <c r="A383" s="113" t="s">
        <v>55</v>
      </c>
      <c r="B383" s="113" t="s">
        <v>8</v>
      </c>
      <c r="C383" s="113">
        <v>0.01</v>
      </c>
      <c r="D383" s="113">
        <v>0.1</v>
      </c>
      <c r="E383" s="113">
        <v>1E-4</v>
      </c>
      <c r="F383" s="113" t="s">
        <v>6</v>
      </c>
      <c r="G383" s="113" t="s">
        <v>5</v>
      </c>
      <c r="H383" s="113">
        <v>100</v>
      </c>
      <c r="I383" s="113">
        <v>300</v>
      </c>
      <c r="J383" s="113" t="s">
        <v>10</v>
      </c>
      <c r="K383" s="113">
        <v>41.904000000000003</v>
      </c>
      <c r="L383" s="113">
        <v>3219</v>
      </c>
      <c r="M383" s="113">
        <v>41.802</v>
      </c>
      <c r="N383" s="113">
        <v>3219.4</v>
      </c>
      <c r="O383" s="114" t="s">
        <v>2562</v>
      </c>
    </row>
    <row r="384" spans="1:15" x14ac:dyDescent="0.25">
      <c r="A384" s="113" t="s">
        <v>55</v>
      </c>
      <c r="B384" s="113" t="s">
        <v>8</v>
      </c>
      <c r="C384" s="113">
        <v>0.01</v>
      </c>
      <c r="D384" s="113">
        <v>0.1</v>
      </c>
      <c r="E384" s="113">
        <v>1E-4</v>
      </c>
      <c r="F384" s="113" t="s">
        <v>6</v>
      </c>
      <c r="G384" s="113" t="s">
        <v>5</v>
      </c>
      <c r="H384" s="113">
        <v>4000</v>
      </c>
      <c r="I384" s="113">
        <v>8000</v>
      </c>
      <c r="J384" s="113" t="s">
        <v>10</v>
      </c>
      <c r="K384" s="113">
        <v>120</v>
      </c>
      <c r="L384" s="113">
        <v>46000</v>
      </c>
      <c r="M384" s="113">
        <v>95.542000000000002</v>
      </c>
      <c r="N384" s="113">
        <v>46232</v>
      </c>
      <c r="O384" s="114" t="s">
        <v>1577</v>
      </c>
    </row>
    <row r="385" spans="1:15" x14ac:dyDescent="0.25">
      <c r="A385" s="113" t="s">
        <v>55</v>
      </c>
      <c r="B385" s="113" t="s">
        <v>8</v>
      </c>
      <c r="C385" s="113">
        <v>0.01</v>
      </c>
      <c r="D385" s="113">
        <v>0.1</v>
      </c>
      <c r="E385" s="113">
        <v>1E-3</v>
      </c>
      <c r="F385" s="113" t="s">
        <v>6</v>
      </c>
      <c r="G385" s="113" t="s">
        <v>5</v>
      </c>
      <c r="H385" s="113">
        <v>50</v>
      </c>
      <c r="I385" s="113">
        <v>100</v>
      </c>
      <c r="J385" s="113" t="s">
        <v>10</v>
      </c>
      <c r="K385" s="113">
        <v>576.69000000000005</v>
      </c>
      <c r="L385" s="113">
        <v>87.305999999999997</v>
      </c>
      <c r="M385" s="113">
        <v>571.67999999999995</v>
      </c>
      <c r="N385" s="113">
        <v>86.953999999999994</v>
      </c>
      <c r="O385" s="114" t="s">
        <v>1585</v>
      </c>
    </row>
    <row r="386" spans="1:15" x14ac:dyDescent="0.25">
      <c r="A386" s="113" t="s">
        <v>55</v>
      </c>
      <c r="B386" s="113" t="s">
        <v>8</v>
      </c>
      <c r="C386" s="113">
        <v>0.01</v>
      </c>
      <c r="D386" s="113">
        <v>0.1</v>
      </c>
      <c r="E386" s="113">
        <v>1E-3</v>
      </c>
      <c r="F386" s="113" t="s">
        <v>6</v>
      </c>
      <c r="G386" s="113" t="s">
        <v>5</v>
      </c>
      <c r="H386" s="113">
        <v>8000</v>
      </c>
      <c r="I386" s="113">
        <v>10000</v>
      </c>
      <c r="J386" s="113" t="s">
        <v>10</v>
      </c>
      <c r="K386" s="113">
        <v>450</v>
      </c>
      <c r="L386" s="113">
        <v>170150</v>
      </c>
      <c r="M386" s="113">
        <v>203.58</v>
      </c>
      <c r="N386" s="113">
        <v>172400</v>
      </c>
      <c r="O386" s="114" t="s">
        <v>1581</v>
      </c>
    </row>
    <row r="387" spans="1:15" x14ac:dyDescent="0.25">
      <c r="A387" s="113" t="s">
        <v>55</v>
      </c>
      <c r="B387" s="113" t="s">
        <v>8</v>
      </c>
      <c r="C387" s="113">
        <v>0.01</v>
      </c>
      <c r="D387" s="113">
        <v>0.1</v>
      </c>
      <c r="E387" s="113">
        <v>1E-3</v>
      </c>
      <c r="F387" s="113" t="s">
        <v>6</v>
      </c>
      <c r="G387" s="113" t="s">
        <v>5</v>
      </c>
      <c r="H387" s="113">
        <v>4000</v>
      </c>
      <c r="I387" s="113">
        <v>8000</v>
      </c>
      <c r="J387" s="113" t="s">
        <v>10</v>
      </c>
      <c r="K387" s="113">
        <v>363.53</v>
      </c>
      <c r="L387" s="113">
        <v>43909</v>
      </c>
      <c r="M387" s="113">
        <v>338.44</v>
      </c>
      <c r="N387" s="113">
        <v>43920</v>
      </c>
      <c r="O387" s="114" t="s">
        <v>1583</v>
      </c>
    </row>
    <row r="388" spans="1:15" x14ac:dyDescent="0.25">
      <c r="A388" s="113" t="s">
        <v>55</v>
      </c>
      <c r="B388" s="113" t="s">
        <v>8</v>
      </c>
      <c r="C388" s="113">
        <v>0.01</v>
      </c>
      <c r="D388" s="113">
        <v>0.1</v>
      </c>
      <c r="E388" s="113">
        <v>1E-3</v>
      </c>
      <c r="F388" s="113" t="s">
        <v>6</v>
      </c>
      <c r="G388" s="113" t="s">
        <v>5</v>
      </c>
      <c r="H388" s="113">
        <v>1E-3</v>
      </c>
      <c r="I388" s="113">
        <v>0.04</v>
      </c>
      <c r="J388" s="113" t="s">
        <v>10</v>
      </c>
      <c r="K388" s="113">
        <v>577.37</v>
      </c>
      <c r="L388" s="113">
        <v>1.4498</v>
      </c>
      <c r="M388" s="113">
        <v>577.25</v>
      </c>
      <c r="N388" s="113">
        <v>1.4244000000000001</v>
      </c>
      <c r="O388" s="114" t="s">
        <v>2563</v>
      </c>
    </row>
    <row r="389" spans="1:15" x14ac:dyDescent="0.25">
      <c r="A389" s="113" t="s">
        <v>55</v>
      </c>
      <c r="B389" s="113" t="s">
        <v>8</v>
      </c>
      <c r="C389" s="113">
        <v>0.01</v>
      </c>
      <c r="D389" s="113">
        <v>0.1</v>
      </c>
      <c r="E389" s="113">
        <v>1E-3</v>
      </c>
      <c r="F389" s="113" t="s">
        <v>6</v>
      </c>
      <c r="G389" s="113" t="s">
        <v>5</v>
      </c>
      <c r="H389" s="113">
        <v>2000</v>
      </c>
      <c r="I389" s="113">
        <v>4000</v>
      </c>
      <c r="J389" s="113" t="s">
        <v>10</v>
      </c>
      <c r="K389" s="113">
        <v>354.54</v>
      </c>
      <c r="L389" s="113">
        <v>43842</v>
      </c>
      <c r="M389" s="113">
        <v>330.66</v>
      </c>
      <c r="N389" s="113">
        <v>43842</v>
      </c>
      <c r="O389" s="114" t="s">
        <v>1582</v>
      </c>
    </row>
    <row r="390" spans="1:15" x14ac:dyDescent="0.25">
      <c r="A390" s="113" t="s">
        <v>55</v>
      </c>
      <c r="B390" s="113" t="s">
        <v>8</v>
      </c>
      <c r="C390" s="113">
        <v>0.01</v>
      </c>
      <c r="D390" s="113">
        <v>0.1</v>
      </c>
      <c r="E390" s="113">
        <v>1E-3</v>
      </c>
      <c r="F390" s="113" t="s">
        <v>6</v>
      </c>
      <c r="G390" s="113" t="s">
        <v>5</v>
      </c>
      <c r="H390" s="113">
        <v>0.04</v>
      </c>
      <c r="I390" s="113">
        <v>1</v>
      </c>
      <c r="J390" s="113" t="s">
        <v>10</v>
      </c>
      <c r="K390" s="113">
        <v>577.36</v>
      </c>
      <c r="L390" s="113">
        <v>1.1266</v>
      </c>
      <c r="M390" s="113">
        <v>577.26</v>
      </c>
      <c r="N390" s="113">
        <v>1.1012</v>
      </c>
      <c r="O390" s="114" t="s">
        <v>2564</v>
      </c>
    </row>
    <row r="391" spans="1:15" x14ac:dyDescent="0.25">
      <c r="A391" s="113" t="s">
        <v>55</v>
      </c>
      <c r="B391" s="113" t="s">
        <v>8</v>
      </c>
      <c r="C391" s="113">
        <v>0.01</v>
      </c>
      <c r="D391" s="113">
        <v>0.1</v>
      </c>
      <c r="E391" s="113">
        <v>1E-3</v>
      </c>
      <c r="F391" s="113" t="s">
        <v>6</v>
      </c>
      <c r="G391" s="113" t="s">
        <v>5</v>
      </c>
      <c r="H391" s="113">
        <v>20</v>
      </c>
      <c r="I391" s="113">
        <v>50</v>
      </c>
      <c r="J391" s="113" t="s">
        <v>10</v>
      </c>
      <c r="K391" s="113">
        <v>577.28</v>
      </c>
      <c r="L391" s="113">
        <v>12.896000000000001</v>
      </c>
      <c r="M391" s="113">
        <v>576.24</v>
      </c>
      <c r="N391" s="113">
        <v>12.803000000000001</v>
      </c>
      <c r="O391" s="114" t="s">
        <v>1584</v>
      </c>
    </row>
    <row r="392" spans="1:15" x14ac:dyDescent="0.25">
      <c r="A392" s="113" t="s">
        <v>55</v>
      </c>
      <c r="B392" s="113" t="s">
        <v>8</v>
      </c>
      <c r="C392" s="113">
        <v>0.01</v>
      </c>
      <c r="D392" s="113">
        <v>0.1</v>
      </c>
      <c r="E392" s="113">
        <v>1E-3</v>
      </c>
      <c r="F392" s="113" t="s">
        <v>6</v>
      </c>
      <c r="G392" s="113" t="s">
        <v>5</v>
      </c>
      <c r="H392" s="113">
        <v>1</v>
      </c>
      <c r="I392" s="113">
        <v>20</v>
      </c>
      <c r="J392" s="113" t="s">
        <v>10</v>
      </c>
      <c r="K392" s="113">
        <v>577.34</v>
      </c>
      <c r="L392" s="113">
        <v>3.3107000000000002</v>
      </c>
      <c r="M392" s="113">
        <v>577.05999999999995</v>
      </c>
      <c r="N392" s="113">
        <v>3.2852999999999999</v>
      </c>
      <c r="O392" s="114" t="s">
        <v>2565</v>
      </c>
    </row>
    <row r="393" spans="1:15" x14ac:dyDescent="0.25">
      <c r="A393" s="113" t="s">
        <v>55</v>
      </c>
      <c r="B393" s="113" t="s">
        <v>8</v>
      </c>
      <c r="C393" s="113">
        <v>0.01</v>
      </c>
      <c r="D393" s="113">
        <v>0.1</v>
      </c>
      <c r="E393" s="113">
        <v>1E-3</v>
      </c>
      <c r="F393" s="113" t="s">
        <v>6</v>
      </c>
      <c r="G393" s="113" t="s">
        <v>5</v>
      </c>
      <c r="H393" s="113">
        <v>300</v>
      </c>
      <c r="I393" s="113">
        <v>1000</v>
      </c>
      <c r="J393" s="113" t="s">
        <v>10</v>
      </c>
      <c r="K393" s="113">
        <v>511.75</v>
      </c>
      <c r="L393" s="113">
        <v>7972.6</v>
      </c>
      <c r="M393" s="113">
        <v>476.24</v>
      </c>
      <c r="N393" s="113">
        <v>7972.4</v>
      </c>
      <c r="O393" s="114" t="s">
        <v>1586</v>
      </c>
    </row>
    <row r="394" spans="1:15" x14ac:dyDescent="0.25">
      <c r="A394" s="113" t="s">
        <v>55</v>
      </c>
      <c r="B394" s="113" t="s">
        <v>8</v>
      </c>
      <c r="C394" s="113">
        <v>0.01</v>
      </c>
      <c r="D394" s="113">
        <v>0.1</v>
      </c>
      <c r="E394" s="113">
        <v>1E-3</v>
      </c>
      <c r="F394" s="113" t="s">
        <v>6</v>
      </c>
      <c r="G394" s="113" t="s">
        <v>5</v>
      </c>
      <c r="H394" s="113">
        <v>100</v>
      </c>
      <c r="I394" s="113">
        <v>300</v>
      </c>
      <c r="J394" s="113" t="s">
        <v>10</v>
      </c>
      <c r="K394" s="113">
        <v>568.05999999999995</v>
      </c>
      <c r="L394" s="113">
        <v>1120</v>
      </c>
      <c r="M394" s="113">
        <v>547.01</v>
      </c>
      <c r="N394" s="113">
        <v>1119.2</v>
      </c>
      <c r="O394" s="114" t="s">
        <v>1580</v>
      </c>
    </row>
    <row r="395" spans="1:15" x14ac:dyDescent="0.25">
      <c r="A395" s="113" t="s">
        <v>55</v>
      </c>
      <c r="B395" s="113" t="s">
        <v>8</v>
      </c>
      <c r="C395" s="113">
        <v>0.01</v>
      </c>
      <c r="D395" s="113">
        <v>0.1</v>
      </c>
      <c r="E395" s="113">
        <v>1E-3</v>
      </c>
      <c r="F395" s="113" t="s">
        <v>6</v>
      </c>
      <c r="G395" s="113" t="s">
        <v>5</v>
      </c>
      <c r="H395" s="113">
        <v>1000</v>
      </c>
      <c r="I395" s="113">
        <v>2000</v>
      </c>
      <c r="J395" s="113" t="s">
        <v>10</v>
      </c>
      <c r="K395" s="113">
        <v>469.05</v>
      </c>
      <c r="L395" s="113">
        <v>13766</v>
      </c>
      <c r="M395" s="113">
        <v>433.19</v>
      </c>
      <c r="N395" s="113">
        <v>13767</v>
      </c>
      <c r="O395" s="114" t="s">
        <v>2566</v>
      </c>
    </row>
    <row r="396" spans="1:15" x14ac:dyDescent="0.25">
      <c r="A396" s="113" t="s">
        <v>55</v>
      </c>
      <c r="B396" s="113" t="s">
        <v>8</v>
      </c>
      <c r="C396" s="113">
        <v>0.1</v>
      </c>
      <c r="D396" s="113">
        <v>1</v>
      </c>
      <c r="E396" s="113">
        <v>9.9999999999999995E-8</v>
      </c>
      <c r="F396" s="113" t="s">
        <v>6</v>
      </c>
      <c r="G396" s="113" t="s">
        <v>4</v>
      </c>
      <c r="H396" s="113">
        <v>2000</v>
      </c>
      <c r="I396" s="113">
        <v>4000</v>
      </c>
      <c r="J396" s="113" t="s">
        <v>10</v>
      </c>
      <c r="K396" s="113">
        <v>1.2</v>
      </c>
      <c r="L396" s="113">
        <v>46</v>
      </c>
      <c r="M396" s="113">
        <v>0.80071999999999999</v>
      </c>
      <c r="N396" s="113">
        <v>46.326000000000001</v>
      </c>
      <c r="O396" s="114" t="s">
        <v>1593</v>
      </c>
    </row>
    <row r="397" spans="1:15" x14ac:dyDescent="0.25">
      <c r="A397" s="113" t="s">
        <v>55</v>
      </c>
      <c r="B397" s="113" t="s">
        <v>8</v>
      </c>
      <c r="C397" s="113">
        <v>0.1</v>
      </c>
      <c r="D397" s="113">
        <v>1</v>
      </c>
      <c r="E397" s="113">
        <v>9.9999999999999995E-8</v>
      </c>
      <c r="F397" s="113" t="s">
        <v>6</v>
      </c>
      <c r="G397" s="113" t="s">
        <v>5</v>
      </c>
      <c r="H397" s="113">
        <v>1E-3</v>
      </c>
      <c r="I397" s="113">
        <v>0.04</v>
      </c>
      <c r="J397" s="113" t="s">
        <v>10</v>
      </c>
      <c r="K397" s="113">
        <v>47</v>
      </c>
      <c r="L397" s="113">
        <v>82</v>
      </c>
      <c r="M397" s="113">
        <v>80.62</v>
      </c>
      <c r="N397" s="113">
        <v>80.62</v>
      </c>
      <c r="O397" s="114" t="s">
        <v>2568</v>
      </c>
    </row>
    <row r="398" spans="1:15" x14ac:dyDescent="0.25">
      <c r="A398" s="113" t="s">
        <v>55</v>
      </c>
      <c r="B398" s="113" t="s">
        <v>8</v>
      </c>
      <c r="C398" s="113">
        <v>0.1</v>
      </c>
      <c r="D398" s="113">
        <v>1</v>
      </c>
      <c r="E398" s="113">
        <v>9.9999999999999995E-8</v>
      </c>
      <c r="F398" s="113" t="s">
        <v>6</v>
      </c>
      <c r="G398" s="113" t="s">
        <v>5</v>
      </c>
      <c r="H398" s="113">
        <v>1</v>
      </c>
      <c r="I398" s="113">
        <v>20</v>
      </c>
      <c r="J398" s="113" t="s">
        <v>10</v>
      </c>
      <c r="K398" s="113">
        <v>26</v>
      </c>
      <c r="L398" s="113">
        <v>160</v>
      </c>
      <c r="M398" s="113">
        <v>23.437999999999999</v>
      </c>
      <c r="N398" s="113">
        <v>161.34</v>
      </c>
      <c r="O398" s="114" t="s">
        <v>1588</v>
      </c>
    </row>
    <row r="399" spans="1:15" x14ac:dyDescent="0.25">
      <c r="A399" s="113" t="s">
        <v>55</v>
      </c>
      <c r="B399" s="113" t="s">
        <v>8</v>
      </c>
      <c r="C399" s="113">
        <v>0.1</v>
      </c>
      <c r="D399" s="113">
        <v>1</v>
      </c>
      <c r="E399" s="113">
        <v>9.9999999999999995E-8</v>
      </c>
      <c r="F399" s="113" t="s">
        <v>6</v>
      </c>
      <c r="G399" s="113" t="s">
        <v>5</v>
      </c>
      <c r="H399" s="113">
        <v>100</v>
      </c>
      <c r="I399" s="113">
        <v>300</v>
      </c>
      <c r="J399" s="113" t="s">
        <v>10</v>
      </c>
      <c r="K399" s="113">
        <v>120</v>
      </c>
      <c r="L399" s="113">
        <v>3500</v>
      </c>
      <c r="M399" s="113">
        <v>116.46</v>
      </c>
      <c r="N399" s="113">
        <v>3463.3</v>
      </c>
      <c r="O399" s="114" t="s">
        <v>1591</v>
      </c>
    </row>
    <row r="400" spans="1:15" x14ac:dyDescent="0.25">
      <c r="A400" s="113" t="s">
        <v>55</v>
      </c>
      <c r="B400" s="113" t="s">
        <v>8</v>
      </c>
      <c r="C400" s="113">
        <v>0.1</v>
      </c>
      <c r="D400" s="113">
        <v>1</v>
      </c>
      <c r="E400" s="113">
        <v>9.9999999999999995E-8</v>
      </c>
      <c r="F400" s="113" t="s">
        <v>6</v>
      </c>
      <c r="G400" s="113" t="s">
        <v>4</v>
      </c>
      <c r="H400" s="113">
        <v>4000</v>
      </c>
      <c r="I400" s="113">
        <v>8000</v>
      </c>
      <c r="J400" s="113" t="s">
        <v>10</v>
      </c>
      <c r="K400" s="113">
        <v>1.3</v>
      </c>
      <c r="L400" s="113">
        <v>46</v>
      </c>
      <c r="M400" s="113">
        <v>0.91605999999999999</v>
      </c>
      <c r="N400" s="113">
        <v>46.326000000000001</v>
      </c>
      <c r="O400" s="114" t="s">
        <v>1589</v>
      </c>
    </row>
    <row r="401" spans="1:15" x14ac:dyDescent="0.25">
      <c r="A401" s="113" t="s">
        <v>55</v>
      </c>
      <c r="B401" s="113" t="s">
        <v>8</v>
      </c>
      <c r="C401" s="113">
        <v>0.1</v>
      </c>
      <c r="D401" s="113">
        <v>1</v>
      </c>
      <c r="E401" s="113">
        <v>9.9999999999999995E-8</v>
      </c>
      <c r="F401" s="113" t="s">
        <v>6</v>
      </c>
      <c r="G401" s="113" t="s">
        <v>5</v>
      </c>
      <c r="H401" s="113">
        <v>50</v>
      </c>
      <c r="I401" s="113">
        <v>100</v>
      </c>
      <c r="J401" s="113" t="s">
        <v>10</v>
      </c>
      <c r="K401" s="113">
        <v>27</v>
      </c>
      <c r="L401" s="113">
        <v>940</v>
      </c>
      <c r="M401" s="113">
        <v>23.140999999999998</v>
      </c>
      <c r="N401" s="113">
        <v>938.86</v>
      </c>
      <c r="O401" s="114" t="s">
        <v>2567</v>
      </c>
    </row>
    <row r="402" spans="1:15" x14ac:dyDescent="0.25">
      <c r="A402" s="113" t="s">
        <v>55</v>
      </c>
      <c r="B402" s="113" t="s">
        <v>8</v>
      </c>
      <c r="C402" s="113">
        <v>0.1</v>
      </c>
      <c r="D402" s="113">
        <v>1</v>
      </c>
      <c r="E402" s="113">
        <v>9.9999999999999995E-8</v>
      </c>
      <c r="F402" s="113" t="s">
        <v>6</v>
      </c>
      <c r="G402" s="113" t="s">
        <v>5</v>
      </c>
      <c r="H402" s="113">
        <v>20</v>
      </c>
      <c r="I402" s="113">
        <v>50</v>
      </c>
      <c r="J402" s="113" t="s">
        <v>10</v>
      </c>
      <c r="K402" s="113">
        <v>24</v>
      </c>
      <c r="L402" s="113">
        <v>350</v>
      </c>
      <c r="M402" s="113">
        <v>23.379000000000001</v>
      </c>
      <c r="N402" s="113">
        <v>346.14</v>
      </c>
      <c r="O402" s="114" t="s">
        <v>1590</v>
      </c>
    </row>
    <row r="403" spans="1:15" x14ac:dyDescent="0.25">
      <c r="A403" s="113" t="s">
        <v>55</v>
      </c>
      <c r="B403" s="113" t="s">
        <v>8</v>
      </c>
      <c r="C403" s="113">
        <v>0.1</v>
      </c>
      <c r="D403" s="113">
        <v>1</v>
      </c>
      <c r="E403" s="113">
        <v>9.9999999999999995E-8</v>
      </c>
      <c r="F403" s="113" t="s">
        <v>6</v>
      </c>
      <c r="G403" s="113" t="s">
        <v>5</v>
      </c>
      <c r="H403" s="113">
        <v>0.04</v>
      </c>
      <c r="I403" s="113">
        <v>1</v>
      </c>
      <c r="J403" s="113" t="s">
        <v>10</v>
      </c>
      <c r="K403" s="113">
        <v>24</v>
      </c>
      <c r="L403" s="113">
        <v>82</v>
      </c>
      <c r="M403" s="113">
        <v>23.524000000000001</v>
      </c>
      <c r="N403" s="113">
        <v>80.444999999999993</v>
      </c>
      <c r="O403" s="114" t="s">
        <v>1594</v>
      </c>
    </row>
    <row r="404" spans="1:15" x14ac:dyDescent="0.25">
      <c r="A404" s="113" t="s">
        <v>55</v>
      </c>
      <c r="B404" s="113" t="s">
        <v>8</v>
      </c>
      <c r="C404" s="113">
        <v>0.1</v>
      </c>
      <c r="D404" s="113">
        <v>1</v>
      </c>
      <c r="E404" s="113">
        <v>9.9999999999999995E-8</v>
      </c>
      <c r="F404" s="113" t="s">
        <v>6</v>
      </c>
      <c r="G404" s="113" t="s">
        <v>5</v>
      </c>
      <c r="H404" s="113">
        <v>1000</v>
      </c>
      <c r="I404" s="113">
        <v>2000</v>
      </c>
      <c r="J404" s="113" t="s">
        <v>10</v>
      </c>
      <c r="K404" s="113">
        <v>590</v>
      </c>
      <c r="L404" s="113">
        <v>17000</v>
      </c>
      <c r="M404" s="113">
        <v>108.37</v>
      </c>
      <c r="N404" s="113">
        <v>17479</v>
      </c>
      <c r="O404" s="114" t="s">
        <v>1587</v>
      </c>
    </row>
    <row r="405" spans="1:15" x14ac:dyDescent="0.25">
      <c r="A405" s="113" t="s">
        <v>55</v>
      </c>
      <c r="B405" s="113" t="s">
        <v>8</v>
      </c>
      <c r="C405" s="113">
        <v>0.1</v>
      </c>
      <c r="D405" s="113">
        <v>1</v>
      </c>
      <c r="E405" s="113">
        <v>9.9999999999999995E-8</v>
      </c>
      <c r="F405" s="113" t="s">
        <v>6</v>
      </c>
      <c r="G405" s="113" t="s">
        <v>4</v>
      </c>
      <c r="H405" s="113">
        <v>8000</v>
      </c>
      <c r="I405" s="113">
        <v>10000</v>
      </c>
      <c r="J405" s="113" t="s">
        <v>10</v>
      </c>
      <c r="K405" s="113">
        <v>4.5999999999999996</v>
      </c>
      <c r="L405" s="113">
        <v>170</v>
      </c>
      <c r="M405" s="113">
        <v>1.1459999999999999</v>
      </c>
      <c r="N405" s="113">
        <v>173.36</v>
      </c>
      <c r="O405" s="114" t="s">
        <v>1592</v>
      </c>
    </row>
    <row r="406" spans="1:15" x14ac:dyDescent="0.25">
      <c r="A406" s="113" t="s">
        <v>55</v>
      </c>
      <c r="B406" s="113" t="s">
        <v>8</v>
      </c>
      <c r="C406" s="113">
        <v>0.1</v>
      </c>
      <c r="D406" s="113">
        <v>1</v>
      </c>
      <c r="E406" s="113">
        <v>9.9999999999999995E-7</v>
      </c>
      <c r="F406" s="113" t="s">
        <v>6</v>
      </c>
      <c r="G406" s="113" t="s">
        <v>5</v>
      </c>
      <c r="H406" s="113">
        <v>20</v>
      </c>
      <c r="I406" s="113">
        <v>50</v>
      </c>
      <c r="J406" s="113" t="s">
        <v>10</v>
      </c>
      <c r="K406" s="113">
        <v>24</v>
      </c>
      <c r="L406" s="113">
        <v>350</v>
      </c>
      <c r="M406" s="113">
        <v>23.382999999999999</v>
      </c>
      <c r="N406" s="113">
        <v>346.14</v>
      </c>
      <c r="O406" s="114" t="s">
        <v>1603</v>
      </c>
    </row>
    <row r="407" spans="1:15" x14ac:dyDescent="0.25">
      <c r="A407" s="113" t="s">
        <v>55</v>
      </c>
      <c r="B407" s="113" t="s">
        <v>8</v>
      </c>
      <c r="C407" s="113">
        <v>0.1</v>
      </c>
      <c r="D407" s="113">
        <v>1</v>
      </c>
      <c r="E407" s="113">
        <v>9.9999999999999995E-7</v>
      </c>
      <c r="F407" s="113" t="s">
        <v>6</v>
      </c>
      <c r="G407" s="113" t="s">
        <v>5</v>
      </c>
      <c r="H407" s="113">
        <v>100</v>
      </c>
      <c r="I407" s="113">
        <v>300</v>
      </c>
      <c r="J407" s="113" t="s">
        <v>10</v>
      </c>
      <c r="K407" s="113">
        <v>120</v>
      </c>
      <c r="L407" s="113">
        <v>3500</v>
      </c>
      <c r="M407" s="113">
        <v>116.47</v>
      </c>
      <c r="N407" s="113">
        <v>3463.3</v>
      </c>
      <c r="O407" s="114" t="s">
        <v>1600</v>
      </c>
    </row>
    <row r="408" spans="1:15" x14ac:dyDescent="0.25">
      <c r="A408" s="113" t="s">
        <v>55</v>
      </c>
      <c r="B408" s="113" t="s">
        <v>8</v>
      </c>
      <c r="C408" s="113">
        <v>0.1</v>
      </c>
      <c r="D408" s="113">
        <v>1</v>
      </c>
      <c r="E408" s="113">
        <v>9.9999999999999995E-7</v>
      </c>
      <c r="F408" s="113" t="s">
        <v>6</v>
      </c>
      <c r="G408" s="113" t="s">
        <v>4</v>
      </c>
      <c r="H408" s="113">
        <v>8000</v>
      </c>
      <c r="I408" s="113">
        <v>10000</v>
      </c>
      <c r="J408" s="113" t="s">
        <v>10</v>
      </c>
      <c r="K408" s="113">
        <v>4.5999999999999996</v>
      </c>
      <c r="L408" s="113">
        <v>170.12</v>
      </c>
      <c r="M408" s="113">
        <v>1.1459999999999999</v>
      </c>
      <c r="N408" s="113">
        <v>173.36</v>
      </c>
      <c r="O408" s="114" t="s">
        <v>1596</v>
      </c>
    </row>
    <row r="409" spans="1:15" x14ac:dyDescent="0.25">
      <c r="A409" s="113" t="s">
        <v>55</v>
      </c>
      <c r="B409" s="113" t="s">
        <v>8</v>
      </c>
      <c r="C409" s="113">
        <v>0.1</v>
      </c>
      <c r="D409" s="113">
        <v>1</v>
      </c>
      <c r="E409" s="113">
        <v>9.9999999999999995E-7</v>
      </c>
      <c r="F409" s="113" t="s">
        <v>6</v>
      </c>
      <c r="G409" s="113" t="s">
        <v>5</v>
      </c>
      <c r="H409" s="113">
        <v>0.04</v>
      </c>
      <c r="I409" s="113">
        <v>1</v>
      </c>
      <c r="J409" s="113" t="s">
        <v>10</v>
      </c>
      <c r="K409" s="113">
        <v>24</v>
      </c>
      <c r="L409" s="113">
        <v>82</v>
      </c>
      <c r="M409" s="113">
        <v>23.53</v>
      </c>
      <c r="N409" s="113">
        <v>80.441000000000003</v>
      </c>
      <c r="O409" s="114" t="s">
        <v>1602</v>
      </c>
    </row>
    <row r="410" spans="1:15" x14ac:dyDescent="0.25">
      <c r="A410" s="113" t="s">
        <v>55</v>
      </c>
      <c r="B410" s="113" t="s">
        <v>8</v>
      </c>
      <c r="C410" s="113">
        <v>0.1</v>
      </c>
      <c r="D410" s="113">
        <v>1</v>
      </c>
      <c r="E410" s="113">
        <v>9.9999999999999995E-7</v>
      </c>
      <c r="F410" s="113" t="s">
        <v>6</v>
      </c>
      <c r="G410" s="113" t="s">
        <v>4</v>
      </c>
      <c r="H410" s="113">
        <v>4000</v>
      </c>
      <c r="I410" s="113">
        <v>8000</v>
      </c>
      <c r="J410" s="113" t="s">
        <v>10</v>
      </c>
      <c r="K410" s="113">
        <v>1.3</v>
      </c>
      <c r="L410" s="113">
        <v>46.045999999999999</v>
      </c>
      <c r="M410" s="113">
        <v>0.91605999999999999</v>
      </c>
      <c r="N410" s="113">
        <v>46.326000000000001</v>
      </c>
      <c r="O410" s="114" t="s">
        <v>1597</v>
      </c>
    </row>
    <row r="411" spans="1:15" x14ac:dyDescent="0.25">
      <c r="A411" s="113" t="s">
        <v>55</v>
      </c>
      <c r="B411" s="113" t="s">
        <v>8</v>
      </c>
      <c r="C411" s="113">
        <v>0.1</v>
      </c>
      <c r="D411" s="113">
        <v>1</v>
      </c>
      <c r="E411" s="113">
        <v>9.9999999999999995E-7</v>
      </c>
      <c r="F411" s="113" t="s">
        <v>6</v>
      </c>
      <c r="G411" s="113" t="s">
        <v>5</v>
      </c>
      <c r="H411" s="113">
        <v>1000</v>
      </c>
      <c r="I411" s="113">
        <v>2000</v>
      </c>
      <c r="J411" s="113" t="s">
        <v>10</v>
      </c>
      <c r="K411" s="113">
        <v>590</v>
      </c>
      <c r="L411" s="113">
        <v>17152</v>
      </c>
      <c r="M411" s="113">
        <v>108.37</v>
      </c>
      <c r="N411" s="113">
        <v>17479</v>
      </c>
      <c r="O411" s="114" t="s">
        <v>2570</v>
      </c>
    </row>
    <row r="412" spans="1:15" x14ac:dyDescent="0.25">
      <c r="A412" s="113" t="s">
        <v>55</v>
      </c>
      <c r="B412" s="113" t="s">
        <v>8</v>
      </c>
      <c r="C412" s="113">
        <v>0.1</v>
      </c>
      <c r="D412" s="113">
        <v>1</v>
      </c>
      <c r="E412" s="113">
        <v>9.9999999999999995E-7</v>
      </c>
      <c r="F412" s="113" t="s">
        <v>6</v>
      </c>
      <c r="G412" s="113" t="s">
        <v>5</v>
      </c>
      <c r="H412" s="113">
        <v>1E-3</v>
      </c>
      <c r="I412" s="113">
        <v>0.04</v>
      </c>
      <c r="J412" s="113" t="s">
        <v>10</v>
      </c>
      <c r="K412" s="113">
        <v>47</v>
      </c>
      <c r="L412" s="113">
        <v>82</v>
      </c>
      <c r="M412" s="113">
        <v>80.617999999999995</v>
      </c>
      <c r="N412" s="113">
        <v>80.617999999999995</v>
      </c>
      <c r="O412" s="114" t="s">
        <v>1599</v>
      </c>
    </row>
    <row r="413" spans="1:15" x14ac:dyDescent="0.25">
      <c r="A413" s="113" t="s">
        <v>55</v>
      </c>
      <c r="B413" s="113" t="s">
        <v>8</v>
      </c>
      <c r="C413" s="113">
        <v>0.1</v>
      </c>
      <c r="D413" s="113">
        <v>1</v>
      </c>
      <c r="E413" s="113">
        <v>9.9999999999999995E-7</v>
      </c>
      <c r="F413" s="113" t="s">
        <v>6</v>
      </c>
      <c r="G413" s="113" t="s">
        <v>5</v>
      </c>
      <c r="H413" s="113">
        <v>1</v>
      </c>
      <c r="I413" s="113">
        <v>20</v>
      </c>
      <c r="J413" s="113" t="s">
        <v>10</v>
      </c>
      <c r="K413" s="113">
        <v>26</v>
      </c>
      <c r="L413" s="113">
        <v>160</v>
      </c>
      <c r="M413" s="113">
        <v>23.442</v>
      </c>
      <c r="N413" s="113">
        <v>161.34</v>
      </c>
      <c r="O413" s="114" t="s">
        <v>1601</v>
      </c>
    </row>
    <row r="414" spans="1:15" x14ac:dyDescent="0.25">
      <c r="A414" s="113" t="s">
        <v>55</v>
      </c>
      <c r="B414" s="113" t="s">
        <v>8</v>
      </c>
      <c r="C414" s="113">
        <v>0.1</v>
      </c>
      <c r="D414" s="113">
        <v>1</v>
      </c>
      <c r="E414" s="113">
        <v>9.9999999999999995E-7</v>
      </c>
      <c r="F414" s="113" t="s">
        <v>6</v>
      </c>
      <c r="G414" s="113" t="s">
        <v>4</v>
      </c>
      <c r="H414" s="113">
        <v>2000</v>
      </c>
      <c r="I414" s="113">
        <v>4000</v>
      </c>
      <c r="J414" s="113" t="s">
        <v>10</v>
      </c>
      <c r="K414" s="113">
        <v>1.2</v>
      </c>
      <c r="L414" s="113">
        <v>46.029000000000003</v>
      </c>
      <c r="M414" s="113">
        <v>0.80071999999999999</v>
      </c>
      <c r="N414" s="113">
        <v>46.326000000000001</v>
      </c>
      <c r="O414" s="114" t="s">
        <v>1595</v>
      </c>
    </row>
    <row r="415" spans="1:15" x14ac:dyDescent="0.25">
      <c r="A415" s="113" t="s">
        <v>55</v>
      </c>
      <c r="B415" s="113" t="s">
        <v>8</v>
      </c>
      <c r="C415" s="113">
        <v>0.1</v>
      </c>
      <c r="D415" s="113">
        <v>1</v>
      </c>
      <c r="E415" s="113">
        <v>9.9999999999999995E-7</v>
      </c>
      <c r="F415" s="113" t="s">
        <v>6</v>
      </c>
      <c r="G415" s="113" t="s">
        <v>5</v>
      </c>
      <c r="H415" s="113">
        <v>50</v>
      </c>
      <c r="I415" s="113">
        <v>100</v>
      </c>
      <c r="J415" s="113" t="s">
        <v>10</v>
      </c>
      <c r="K415" s="113">
        <v>27</v>
      </c>
      <c r="L415" s="113">
        <v>935.56</v>
      </c>
      <c r="M415" s="113">
        <v>23.148</v>
      </c>
      <c r="N415" s="113">
        <v>938.85</v>
      </c>
      <c r="O415" s="114" t="s">
        <v>1598</v>
      </c>
    </row>
    <row r="416" spans="1:15" x14ac:dyDescent="0.25">
      <c r="A416" s="113" t="s">
        <v>55</v>
      </c>
      <c r="B416" s="113" t="s">
        <v>8</v>
      </c>
      <c r="C416" s="113">
        <v>0.1</v>
      </c>
      <c r="D416" s="113">
        <v>1</v>
      </c>
      <c r="E416" s="113">
        <v>9.9999999999999995E-7</v>
      </c>
      <c r="F416" s="113" t="s">
        <v>6</v>
      </c>
      <c r="G416" s="113" t="s">
        <v>5</v>
      </c>
      <c r="H416" s="113">
        <v>300</v>
      </c>
      <c r="I416" s="113">
        <v>1000</v>
      </c>
      <c r="J416" s="113" t="s">
        <v>10</v>
      </c>
      <c r="K416" s="113">
        <v>120</v>
      </c>
      <c r="L416" s="113">
        <v>12000</v>
      </c>
      <c r="M416" s="113">
        <v>110.73</v>
      </c>
      <c r="N416" s="113">
        <v>11675</v>
      </c>
      <c r="O416" s="114" t="s">
        <v>2569</v>
      </c>
    </row>
    <row r="417" spans="1:15" x14ac:dyDescent="0.25">
      <c r="A417" s="113" t="s">
        <v>55</v>
      </c>
      <c r="B417" s="113" t="s">
        <v>8</v>
      </c>
      <c r="C417" s="113">
        <v>0.1</v>
      </c>
      <c r="D417" s="113">
        <v>1</v>
      </c>
      <c r="E417" s="113">
        <v>1.0000000000000001E-5</v>
      </c>
      <c r="F417" s="113" t="s">
        <v>6</v>
      </c>
      <c r="G417" s="113" t="s">
        <v>5</v>
      </c>
      <c r="H417" s="113">
        <v>50</v>
      </c>
      <c r="I417" s="113">
        <v>100</v>
      </c>
      <c r="J417" s="113" t="s">
        <v>10</v>
      </c>
      <c r="K417" s="113">
        <v>27</v>
      </c>
      <c r="L417" s="113">
        <v>935.62</v>
      </c>
      <c r="M417" s="113">
        <v>23.297999999999998</v>
      </c>
      <c r="N417" s="113">
        <v>938.72</v>
      </c>
      <c r="O417" s="114" t="s">
        <v>1610</v>
      </c>
    </row>
    <row r="418" spans="1:15" x14ac:dyDescent="0.25">
      <c r="A418" s="113" t="s">
        <v>55</v>
      </c>
      <c r="B418" s="113" t="s">
        <v>8</v>
      </c>
      <c r="C418" s="113">
        <v>0.1</v>
      </c>
      <c r="D418" s="113">
        <v>1</v>
      </c>
      <c r="E418" s="113">
        <v>1.0000000000000001E-5</v>
      </c>
      <c r="F418" s="113" t="s">
        <v>6</v>
      </c>
      <c r="G418" s="113" t="s">
        <v>5</v>
      </c>
      <c r="H418" s="113">
        <v>1E-3</v>
      </c>
      <c r="I418" s="113">
        <v>0.04</v>
      </c>
      <c r="J418" s="113" t="s">
        <v>10</v>
      </c>
      <c r="K418" s="113">
        <v>47</v>
      </c>
      <c r="L418" s="113">
        <v>82</v>
      </c>
      <c r="M418" s="113">
        <v>80.426000000000002</v>
      </c>
      <c r="N418" s="113">
        <v>80.426000000000002</v>
      </c>
      <c r="O418" s="114" t="s">
        <v>1604</v>
      </c>
    </row>
    <row r="419" spans="1:15" x14ac:dyDescent="0.25">
      <c r="A419" s="113" t="s">
        <v>55</v>
      </c>
      <c r="B419" s="113" t="s">
        <v>8</v>
      </c>
      <c r="C419" s="113">
        <v>0.1</v>
      </c>
      <c r="D419" s="113">
        <v>1</v>
      </c>
      <c r="E419" s="113">
        <v>1.0000000000000001E-5</v>
      </c>
      <c r="F419" s="113" t="s">
        <v>6</v>
      </c>
      <c r="G419" s="113" t="s">
        <v>5</v>
      </c>
      <c r="H419" s="113">
        <v>300</v>
      </c>
      <c r="I419" s="113">
        <v>1000</v>
      </c>
      <c r="J419" s="113" t="s">
        <v>10</v>
      </c>
      <c r="K419" s="113">
        <v>120</v>
      </c>
      <c r="L419" s="113">
        <v>12000</v>
      </c>
      <c r="M419" s="113">
        <v>110.73</v>
      </c>
      <c r="N419" s="113">
        <v>11675</v>
      </c>
      <c r="O419" s="114" t="s">
        <v>1609</v>
      </c>
    </row>
    <row r="420" spans="1:15" x14ac:dyDescent="0.25">
      <c r="A420" s="113" t="s">
        <v>55</v>
      </c>
      <c r="B420" s="113" t="s">
        <v>8</v>
      </c>
      <c r="C420" s="113">
        <v>0.1</v>
      </c>
      <c r="D420" s="113">
        <v>1</v>
      </c>
      <c r="E420" s="113">
        <v>1.0000000000000001E-5</v>
      </c>
      <c r="F420" s="113" t="s">
        <v>6</v>
      </c>
      <c r="G420" s="113" t="s">
        <v>5</v>
      </c>
      <c r="H420" s="113">
        <v>0.04</v>
      </c>
      <c r="I420" s="113">
        <v>1</v>
      </c>
      <c r="J420" s="113" t="s">
        <v>10</v>
      </c>
      <c r="K420" s="113">
        <v>24</v>
      </c>
      <c r="L420" s="113">
        <v>82</v>
      </c>
      <c r="M420" s="113">
        <v>24.088000000000001</v>
      </c>
      <c r="N420" s="113">
        <v>80.040999999999997</v>
      </c>
      <c r="O420" s="114" t="s">
        <v>2571</v>
      </c>
    </row>
    <row r="421" spans="1:15" x14ac:dyDescent="0.25">
      <c r="A421" s="113" t="s">
        <v>55</v>
      </c>
      <c r="B421" s="113" t="s">
        <v>8</v>
      </c>
      <c r="C421" s="113">
        <v>0.1</v>
      </c>
      <c r="D421" s="113">
        <v>1</v>
      </c>
      <c r="E421" s="113">
        <v>1.0000000000000001E-5</v>
      </c>
      <c r="F421" s="113" t="s">
        <v>6</v>
      </c>
      <c r="G421" s="113" t="s">
        <v>4</v>
      </c>
      <c r="H421" s="113">
        <v>8000</v>
      </c>
      <c r="I421" s="113">
        <v>10000</v>
      </c>
      <c r="J421" s="113" t="s">
        <v>10</v>
      </c>
      <c r="K421" s="113">
        <v>4.5999999999999996</v>
      </c>
      <c r="L421" s="113">
        <v>170.12</v>
      </c>
      <c r="M421" s="113">
        <v>1.1459999999999999</v>
      </c>
      <c r="N421" s="113">
        <v>173.36</v>
      </c>
      <c r="O421" s="114" t="s">
        <v>2572</v>
      </c>
    </row>
    <row r="422" spans="1:15" x14ac:dyDescent="0.25">
      <c r="A422" s="113" t="s">
        <v>55</v>
      </c>
      <c r="B422" s="113" t="s">
        <v>8</v>
      </c>
      <c r="C422" s="113">
        <v>0.1</v>
      </c>
      <c r="D422" s="113">
        <v>1</v>
      </c>
      <c r="E422" s="113">
        <v>1.0000000000000001E-5</v>
      </c>
      <c r="F422" s="113" t="s">
        <v>6</v>
      </c>
      <c r="G422" s="113" t="s">
        <v>5</v>
      </c>
      <c r="H422" s="113">
        <v>100</v>
      </c>
      <c r="I422" s="113">
        <v>300</v>
      </c>
      <c r="J422" s="113" t="s">
        <v>10</v>
      </c>
      <c r="K422" s="113">
        <v>120</v>
      </c>
      <c r="L422" s="113">
        <v>3500</v>
      </c>
      <c r="M422" s="113">
        <v>116.55</v>
      </c>
      <c r="N422" s="113">
        <v>3463.2</v>
      </c>
      <c r="O422" s="114" t="s">
        <v>2573</v>
      </c>
    </row>
    <row r="423" spans="1:15" x14ac:dyDescent="0.25">
      <c r="A423" s="113" t="s">
        <v>55</v>
      </c>
      <c r="B423" s="113" t="s">
        <v>8</v>
      </c>
      <c r="C423" s="113">
        <v>0.1</v>
      </c>
      <c r="D423" s="113">
        <v>1</v>
      </c>
      <c r="E423" s="113">
        <v>1.0000000000000001E-5</v>
      </c>
      <c r="F423" s="113" t="s">
        <v>6</v>
      </c>
      <c r="G423" s="113" t="s">
        <v>5</v>
      </c>
      <c r="H423" s="113">
        <v>1000</v>
      </c>
      <c r="I423" s="113">
        <v>2000</v>
      </c>
      <c r="J423" s="113" t="s">
        <v>10</v>
      </c>
      <c r="K423" s="113">
        <v>590</v>
      </c>
      <c r="L423" s="113">
        <v>17152</v>
      </c>
      <c r="M423" s="113">
        <v>108.38</v>
      </c>
      <c r="N423" s="113">
        <v>17479</v>
      </c>
      <c r="O423" s="114" t="s">
        <v>1607</v>
      </c>
    </row>
    <row r="424" spans="1:15" x14ac:dyDescent="0.25">
      <c r="A424" s="113" t="s">
        <v>55</v>
      </c>
      <c r="B424" s="113" t="s">
        <v>8</v>
      </c>
      <c r="C424" s="113">
        <v>0.1</v>
      </c>
      <c r="D424" s="113">
        <v>1</v>
      </c>
      <c r="E424" s="113">
        <v>1.0000000000000001E-5</v>
      </c>
      <c r="F424" s="113" t="s">
        <v>6</v>
      </c>
      <c r="G424" s="113" t="s">
        <v>4</v>
      </c>
      <c r="H424" s="113">
        <v>2000</v>
      </c>
      <c r="I424" s="113">
        <v>4000</v>
      </c>
      <c r="J424" s="113" t="s">
        <v>10</v>
      </c>
      <c r="K424" s="113">
        <v>1.2</v>
      </c>
      <c r="L424" s="113">
        <v>46.029000000000003</v>
      </c>
      <c r="M424" s="113">
        <v>0.80073000000000005</v>
      </c>
      <c r="N424" s="113">
        <v>46.326000000000001</v>
      </c>
      <c r="O424" s="114" t="s">
        <v>1611</v>
      </c>
    </row>
    <row r="425" spans="1:15" x14ac:dyDescent="0.25">
      <c r="A425" s="113" t="s">
        <v>55</v>
      </c>
      <c r="B425" s="113" t="s">
        <v>8</v>
      </c>
      <c r="C425" s="113">
        <v>0.1</v>
      </c>
      <c r="D425" s="113">
        <v>1</v>
      </c>
      <c r="E425" s="113">
        <v>1.0000000000000001E-5</v>
      </c>
      <c r="F425" s="113" t="s">
        <v>6</v>
      </c>
      <c r="G425" s="113" t="s">
        <v>5</v>
      </c>
      <c r="H425" s="113">
        <v>20</v>
      </c>
      <c r="I425" s="113">
        <v>50</v>
      </c>
      <c r="J425" s="113" t="s">
        <v>10</v>
      </c>
      <c r="K425" s="113">
        <v>24</v>
      </c>
      <c r="L425" s="113">
        <v>350</v>
      </c>
      <c r="M425" s="113">
        <v>23.693000000000001</v>
      </c>
      <c r="N425" s="113">
        <v>345.87</v>
      </c>
      <c r="O425" s="114" t="s">
        <v>1608</v>
      </c>
    </row>
    <row r="426" spans="1:15" x14ac:dyDescent="0.25">
      <c r="A426" s="113" t="s">
        <v>55</v>
      </c>
      <c r="B426" s="113" t="s">
        <v>8</v>
      </c>
      <c r="C426" s="113">
        <v>0.1</v>
      </c>
      <c r="D426" s="113">
        <v>1</v>
      </c>
      <c r="E426" s="113">
        <v>1.0000000000000001E-5</v>
      </c>
      <c r="F426" s="113" t="s">
        <v>6</v>
      </c>
      <c r="G426" s="113" t="s">
        <v>5</v>
      </c>
      <c r="H426" s="113">
        <v>1</v>
      </c>
      <c r="I426" s="113">
        <v>20</v>
      </c>
      <c r="J426" s="113" t="s">
        <v>10</v>
      </c>
      <c r="K426" s="113">
        <v>26</v>
      </c>
      <c r="L426" s="113">
        <v>160</v>
      </c>
      <c r="M426" s="113">
        <v>23.893000000000001</v>
      </c>
      <c r="N426" s="113">
        <v>160.97999999999999</v>
      </c>
      <c r="O426" s="114" t="s">
        <v>1606</v>
      </c>
    </row>
    <row r="427" spans="1:15" x14ac:dyDescent="0.25">
      <c r="A427" s="113" t="s">
        <v>55</v>
      </c>
      <c r="B427" s="113" t="s">
        <v>8</v>
      </c>
      <c r="C427" s="113">
        <v>0.1</v>
      </c>
      <c r="D427" s="113">
        <v>1</v>
      </c>
      <c r="E427" s="113">
        <v>1.0000000000000001E-5</v>
      </c>
      <c r="F427" s="113" t="s">
        <v>6</v>
      </c>
      <c r="G427" s="113" t="s">
        <v>4</v>
      </c>
      <c r="H427" s="113">
        <v>4000</v>
      </c>
      <c r="I427" s="113">
        <v>8000</v>
      </c>
      <c r="J427" s="113" t="s">
        <v>10</v>
      </c>
      <c r="K427" s="113">
        <v>1.3</v>
      </c>
      <c r="L427" s="113">
        <v>46.045999999999999</v>
      </c>
      <c r="M427" s="113">
        <v>0.91607000000000005</v>
      </c>
      <c r="N427" s="113">
        <v>46.326000000000001</v>
      </c>
      <c r="O427" s="114" t="s">
        <v>1605</v>
      </c>
    </row>
    <row r="428" spans="1:15" x14ac:dyDescent="0.25">
      <c r="A428" s="113" t="s">
        <v>55</v>
      </c>
      <c r="B428" s="113" t="s">
        <v>8</v>
      </c>
      <c r="C428" s="113">
        <v>0.1</v>
      </c>
      <c r="D428" s="113">
        <v>1</v>
      </c>
      <c r="E428" s="113">
        <v>1E-4</v>
      </c>
      <c r="F428" s="113" t="s">
        <v>6</v>
      </c>
      <c r="G428" s="113" t="s">
        <v>4</v>
      </c>
      <c r="H428" s="113">
        <v>8000</v>
      </c>
      <c r="I428" s="113">
        <v>10000</v>
      </c>
      <c r="J428" s="113" t="s">
        <v>10</v>
      </c>
      <c r="K428" s="113">
        <v>4.5999999999999996</v>
      </c>
      <c r="L428" s="113">
        <v>170.12</v>
      </c>
      <c r="M428" s="113">
        <v>1.1460999999999999</v>
      </c>
      <c r="N428" s="113">
        <v>173.36</v>
      </c>
      <c r="O428" s="114" t="s">
        <v>1617</v>
      </c>
    </row>
    <row r="429" spans="1:15" x14ac:dyDescent="0.25">
      <c r="A429" s="113" t="s">
        <v>55</v>
      </c>
      <c r="B429" s="113" t="s">
        <v>8</v>
      </c>
      <c r="C429" s="113">
        <v>0.1</v>
      </c>
      <c r="D429" s="113">
        <v>1</v>
      </c>
      <c r="E429" s="113">
        <v>1E-4</v>
      </c>
      <c r="F429" s="113" t="s">
        <v>6</v>
      </c>
      <c r="G429" s="113" t="s">
        <v>5</v>
      </c>
      <c r="H429" s="113">
        <v>300</v>
      </c>
      <c r="I429" s="113">
        <v>1000</v>
      </c>
      <c r="J429" s="113" t="s">
        <v>10</v>
      </c>
      <c r="K429" s="113">
        <v>120</v>
      </c>
      <c r="L429" s="113">
        <v>12000</v>
      </c>
      <c r="M429" s="113">
        <v>111.87</v>
      </c>
      <c r="N429" s="113">
        <v>11674</v>
      </c>
      <c r="O429" s="114" t="s">
        <v>1614</v>
      </c>
    </row>
    <row r="430" spans="1:15" x14ac:dyDescent="0.25">
      <c r="A430" s="113" t="s">
        <v>55</v>
      </c>
      <c r="B430" s="113" t="s">
        <v>8</v>
      </c>
      <c r="C430" s="113">
        <v>0.1</v>
      </c>
      <c r="D430" s="113">
        <v>1</v>
      </c>
      <c r="E430" s="113">
        <v>1E-4</v>
      </c>
      <c r="F430" s="113" t="s">
        <v>6</v>
      </c>
      <c r="G430" s="113" t="s">
        <v>5</v>
      </c>
      <c r="H430" s="113">
        <v>20</v>
      </c>
      <c r="I430" s="113">
        <v>50</v>
      </c>
      <c r="J430" s="113" t="s">
        <v>10</v>
      </c>
      <c r="K430" s="113">
        <v>49.713000000000001</v>
      </c>
      <c r="L430" s="113">
        <v>324.48</v>
      </c>
      <c r="M430" s="113">
        <v>49.371000000000002</v>
      </c>
      <c r="N430" s="113">
        <v>324.63</v>
      </c>
      <c r="O430" s="114" t="s">
        <v>1619</v>
      </c>
    </row>
    <row r="431" spans="1:15" x14ac:dyDescent="0.25">
      <c r="A431" s="113" t="s">
        <v>55</v>
      </c>
      <c r="B431" s="113" t="s">
        <v>8</v>
      </c>
      <c r="C431" s="113">
        <v>0.1</v>
      </c>
      <c r="D431" s="113">
        <v>1</v>
      </c>
      <c r="E431" s="113">
        <v>1E-4</v>
      </c>
      <c r="F431" s="113" t="s">
        <v>6</v>
      </c>
      <c r="G431" s="113" t="s">
        <v>5</v>
      </c>
      <c r="H431" s="113">
        <v>0.04</v>
      </c>
      <c r="I431" s="113">
        <v>1</v>
      </c>
      <c r="J431" s="113" t="s">
        <v>10</v>
      </c>
      <c r="K431" s="113">
        <v>59.942999999999998</v>
      </c>
      <c r="L431" s="113">
        <v>59.048999999999999</v>
      </c>
      <c r="M431" s="113">
        <v>59.9</v>
      </c>
      <c r="N431" s="113">
        <v>59.024000000000001</v>
      </c>
      <c r="O431" s="114" t="s">
        <v>2574</v>
      </c>
    </row>
    <row r="432" spans="1:15" x14ac:dyDescent="0.25">
      <c r="A432" s="113" t="s">
        <v>55</v>
      </c>
      <c r="B432" s="113" t="s">
        <v>8</v>
      </c>
      <c r="C432" s="113">
        <v>0.1</v>
      </c>
      <c r="D432" s="113">
        <v>1</v>
      </c>
      <c r="E432" s="113">
        <v>1E-4</v>
      </c>
      <c r="F432" s="113" t="s">
        <v>6</v>
      </c>
      <c r="G432" s="113" t="s">
        <v>5</v>
      </c>
      <c r="H432" s="113">
        <v>100</v>
      </c>
      <c r="I432" s="113">
        <v>300</v>
      </c>
      <c r="J432" s="113" t="s">
        <v>10</v>
      </c>
      <c r="K432" s="113">
        <v>120</v>
      </c>
      <c r="L432" s="113">
        <v>3500</v>
      </c>
      <c r="M432" s="113">
        <v>120.41</v>
      </c>
      <c r="N432" s="113">
        <v>3459.8</v>
      </c>
      <c r="O432" s="114" t="s">
        <v>1613</v>
      </c>
    </row>
    <row r="433" spans="1:15" x14ac:dyDescent="0.25">
      <c r="A433" s="113" t="s">
        <v>55</v>
      </c>
      <c r="B433" s="113" t="s">
        <v>8</v>
      </c>
      <c r="C433" s="113">
        <v>0.1</v>
      </c>
      <c r="D433" s="113">
        <v>1</v>
      </c>
      <c r="E433" s="113">
        <v>1E-4</v>
      </c>
      <c r="F433" s="113" t="s">
        <v>6</v>
      </c>
      <c r="G433" s="113" t="s">
        <v>5</v>
      </c>
      <c r="H433" s="113">
        <v>1</v>
      </c>
      <c r="I433" s="113">
        <v>20</v>
      </c>
      <c r="J433" s="113" t="s">
        <v>10</v>
      </c>
      <c r="K433" s="113">
        <v>56.377000000000002</v>
      </c>
      <c r="L433" s="113">
        <v>137.35</v>
      </c>
      <c r="M433" s="113">
        <v>56.262</v>
      </c>
      <c r="N433" s="113">
        <v>137.33000000000001</v>
      </c>
      <c r="O433" s="114" t="s">
        <v>2576</v>
      </c>
    </row>
    <row r="434" spans="1:15" x14ac:dyDescent="0.25">
      <c r="A434" s="113" t="s">
        <v>55</v>
      </c>
      <c r="B434" s="113" t="s">
        <v>8</v>
      </c>
      <c r="C434" s="113">
        <v>0.1</v>
      </c>
      <c r="D434" s="113">
        <v>1</v>
      </c>
      <c r="E434" s="113">
        <v>1E-4</v>
      </c>
      <c r="F434" s="113" t="s">
        <v>6</v>
      </c>
      <c r="G434" s="113" t="s">
        <v>5</v>
      </c>
      <c r="H434" s="113">
        <v>1E-3</v>
      </c>
      <c r="I434" s="113">
        <v>0.04</v>
      </c>
      <c r="J434" s="113" t="s">
        <v>10</v>
      </c>
      <c r="K434" s="113">
        <v>72.742999999999995</v>
      </c>
      <c r="L434" s="113">
        <v>66.872</v>
      </c>
      <c r="M434" s="113">
        <v>66.849000000000004</v>
      </c>
      <c r="N434" s="113">
        <v>66.849000000000004</v>
      </c>
      <c r="O434" s="114" t="s">
        <v>1612</v>
      </c>
    </row>
    <row r="435" spans="1:15" x14ac:dyDescent="0.25">
      <c r="A435" s="113" t="s">
        <v>55</v>
      </c>
      <c r="B435" s="113" t="s">
        <v>8</v>
      </c>
      <c r="C435" s="113">
        <v>0.1</v>
      </c>
      <c r="D435" s="113">
        <v>1</v>
      </c>
      <c r="E435" s="113">
        <v>1E-4</v>
      </c>
      <c r="F435" s="113" t="s">
        <v>6</v>
      </c>
      <c r="G435" s="113" t="s">
        <v>5</v>
      </c>
      <c r="H435" s="113">
        <v>50</v>
      </c>
      <c r="I435" s="113">
        <v>100</v>
      </c>
      <c r="J435" s="113" t="s">
        <v>10</v>
      </c>
      <c r="K435" s="113">
        <v>38.506</v>
      </c>
      <c r="L435" s="113">
        <v>925.39</v>
      </c>
      <c r="M435" s="113">
        <v>37.912999999999997</v>
      </c>
      <c r="N435" s="113">
        <v>925.82</v>
      </c>
      <c r="O435" s="114" t="s">
        <v>1615</v>
      </c>
    </row>
    <row r="436" spans="1:15" x14ac:dyDescent="0.25">
      <c r="A436" s="113" t="s">
        <v>55</v>
      </c>
      <c r="B436" s="113" t="s">
        <v>8</v>
      </c>
      <c r="C436" s="113">
        <v>0.1</v>
      </c>
      <c r="D436" s="113">
        <v>1</v>
      </c>
      <c r="E436" s="113">
        <v>1E-4</v>
      </c>
      <c r="F436" s="113" t="s">
        <v>6</v>
      </c>
      <c r="G436" s="113" t="s">
        <v>5</v>
      </c>
      <c r="H436" s="113">
        <v>1000</v>
      </c>
      <c r="I436" s="113">
        <v>2000</v>
      </c>
      <c r="J436" s="113" t="s">
        <v>10</v>
      </c>
      <c r="K436" s="113">
        <v>590</v>
      </c>
      <c r="L436" s="113">
        <v>17152</v>
      </c>
      <c r="M436" s="113">
        <v>109.37</v>
      </c>
      <c r="N436" s="113">
        <v>17478</v>
      </c>
      <c r="O436" s="114" t="s">
        <v>2575</v>
      </c>
    </row>
    <row r="437" spans="1:15" x14ac:dyDescent="0.25">
      <c r="A437" s="113" t="s">
        <v>55</v>
      </c>
      <c r="B437" s="113" t="s">
        <v>8</v>
      </c>
      <c r="C437" s="113">
        <v>0.1</v>
      </c>
      <c r="D437" s="113">
        <v>1</v>
      </c>
      <c r="E437" s="113">
        <v>1E-4</v>
      </c>
      <c r="F437" s="113" t="s">
        <v>6</v>
      </c>
      <c r="G437" s="113" t="s">
        <v>4</v>
      </c>
      <c r="H437" s="113">
        <v>4000</v>
      </c>
      <c r="I437" s="113">
        <v>8000</v>
      </c>
      <c r="J437" s="113" t="s">
        <v>10</v>
      </c>
      <c r="K437" s="113">
        <v>1.3</v>
      </c>
      <c r="L437" s="113">
        <v>46.045999999999999</v>
      </c>
      <c r="M437" s="113">
        <v>0.91664999999999996</v>
      </c>
      <c r="N437" s="113">
        <v>46.325000000000003</v>
      </c>
      <c r="O437" s="114" t="s">
        <v>1616</v>
      </c>
    </row>
    <row r="438" spans="1:15" x14ac:dyDescent="0.25">
      <c r="A438" s="113" t="s">
        <v>55</v>
      </c>
      <c r="B438" s="113" t="s">
        <v>8</v>
      </c>
      <c r="C438" s="113">
        <v>0.1</v>
      </c>
      <c r="D438" s="113">
        <v>1</v>
      </c>
      <c r="E438" s="113">
        <v>1E-4</v>
      </c>
      <c r="F438" s="113" t="s">
        <v>6</v>
      </c>
      <c r="G438" s="113" t="s">
        <v>4</v>
      </c>
      <c r="H438" s="113">
        <v>2000</v>
      </c>
      <c r="I438" s="113">
        <v>4000</v>
      </c>
      <c r="J438" s="113" t="s">
        <v>10</v>
      </c>
      <c r="K438" s="113">
        <v>1.2</v>
      </c>
      <c r="L438" s="113">
        <v>46.03</v>
      </c>
      <c r="M438" s="113">
        <v>0.80149999999999999</v>
      </c>
      <c r="N438" s="113">
        <v>46.325000000000003</v>
      </c>
      <c r="O438" s="114" t="s">
        <v>1618</v>
      </c>
    </row>
    <row r="439" spans="1:15" x14ac:dyDescent="0.25">
      <c r="A439" s="113" t="s">
        <v>55</v>
      </c>
      <c r="B439" s="113" t="s">
        <v>8</v>
      </c>
      <c r="C439" s="113">
        <v>0.1</v>
      </c>
      <c r="D439" s="113">
        <v>1</v>
      </c>
      <c r="E439" s="113">
        <v>1E-3</v>
      </c>
      <c r="F439" s="113" t="s">
        <v>6</v>
      </c>
      <c r="G439" s="113" t="s">
        <v>5</v>
      </c>
      <c r="H439" s="113">
        <v>20</v>
      </c>
      <c r="I439" s="113">
        <v>50</v>
      </c>
      <c r="J439" s="113" t="s">
        <v>10</v>
      </c>
      <c r="K439" s="113">
        <v>568.73</v>
      </c>
      <c r="L439" s="113">
        <v>117.17</v>
      </c>
      <c r="M439" s="113">
        <v>568.57000000000005</v>
      </c>
      <c r="N439" s="113">
        <v>116.91</v>
      </c>
      <c r="O439" s="114" t="s">
        <v>1624</v>
      </c>
    </row>
    <row r="440" spans="1:15" x14ac:dyDescent="0.25">
      <c r="A440" s="113" t="s">
        <v>55</v>
      </c>
      <c r="B440" s="113" t="s">
        <v>8</v>
      </c>
      <c r="C440" s="113">
        <v>0.1</v>
      </c>
      <c r="D440" s="113">
        <v>1</v>
      </c>
      <c r="E440" s="113">
        <v>1E-3</v>
      </c>
      <c r="F440" s="113" t="s">
        <v>6</v>
      </c>
      <c r="G440" s="113" t="s">
        <v>5</v>
      </c>
      <c r="H440" s="113">
        <v>1000</v>
      </c>
      <c r="I440" s="113">
        <v>2000</v>
      </c>
      <c r="J440" s="113" t="s">
        <v>10</v>
      </c>
      <c r="K440" s="113">
        <v>590</v>
      </c>
      <c r="L440" s="113">
        <v>17163</v>
      </c>
      <c r="M440" s="113">
        <v>204.79</v>
      </c>
      <c r="N440" s="113">
        <v>17392</v>
      </c>
      <c r="O440" s="114" t="s">
        <v>1626</v>
      </c>
    </row>
    <row r="441" spans="1:15" x14ac:dyDescent="0.25">
      <c r="A441" s="113" t="s">
        <v>55</v>
      </c>
      <c r="B441" s="113" t="s">
        <v>8</v>
      </c>
      <c r="C441" s="113">
        <v>0.1</v>
      </c>
      <c r="D441" s="113">
        <v>1</v>
      </c>
      <c r="E441" s="113">
        <v>1E-3</v>
      </c>
      <c r="F441" s="113" t="s">
        <v>6</v>
      </c>
      <c r="G441" s="113" t="s">
        <v>5</v>
      </c>
      <c r="H441" s="113">
        <v>1</v>
      </c>
      <c r="I441" s="113">
        <v>20</v>
      </c>
      <c r="J441" s="113" t="s">
        <v>10</v>
      </c>
      <c r="K441" s="113">
        <v>575.70000000000005</v>
      </c>
      <c r="L441" s="113">
        <v>30.683</v>
      </c>
      <c r="M441" s="113">
        <v>575.66</v>
      </c>
      <c r="N441" s="113">
        <v>30.547999999999998</v>
      </c>
      <c r="O441" s="114" t="s">
        <v>1620</v>
      </c>
    </row>
    <row r="442" spans="1:15" x14ac:dyDescent="0.25">
      <c r="A442" s="113" t="s">
        <v>55</v>
      </c>
      <c r="B442" s="113" t="s">
        <v>8</v>
      </c>
      <c r="C442" s="113">
        <v>0.1</v>
      </c>
      <c r="D442" s="113">
        <v>1</v>
      </c>
      <c r="E442" s="113">
        <v>1E-3</v>
      </c>
      <c r="F442" s="113" t="s">
        <v>6</v>
      </c>
      <c r="G442" s="113" t="s">
        <v>5</v>
      </c>
      <c r="H442" s="113">
        <v>100</v>
      </c>
      <c r="I442" s="113">
        <v>300</v>
      </c>
      <c r="J442" s="113" t="s">
        <v>10</v>
      </c>
      <c r="K442" s="113">
        <v>420.55</v>
      </c>
      <c r="L442" s="113">
        <v>3205.9</v>
      </c>
      <c r="M442" s="113">
        <v>419.31</v>
      </c>
      <c r="N442" s="113">
        <v>3206.7</v>
      </c>
      <c r="O442" s="114" t="s">
        <v>2578</v>
      </c>
    </row>
    <row r="443" spans="1:15" x14ac:dyDescent="0.25">
      <c r="A443" s="113" t="s">
        <v>55</v>
      </c>
      <c r="B443" s="113" t="s">
        <v>8</v>
      </c>
      <c r="C443" s="113">
        <v>0.1</v>
      </c>
      <c r="D443" s="113">
        <v>1</v>
      </c>
      <c r="E443" s="113">
        <v>1E-3</v>
      </c>
      <c r="F443" s="113" t="s">
        <v>6</v>
      </c>
      <c r="G443" s="113" t="s">
        <v>4</v>
      </c>
      <c r="H443" s="113">
        <v>4000</v>
      </c>
      <c r="I443" s="113">
        <v>8000</v>
      </c>
      <c r="J443" s="113" t="s">
        <v>10</v>
      </c>
      <c r="K443" s="113">
        <v>1.3</v>
      </c>
      <c r="L443" s="113">
        <v>46.051000000000002</v>
      </c>
      <c r="M443" s="113">
        <v>0.94915000000000005</v>
      </c>
      <c r="N443" s="113">
        <v>46.295999999999999</v>
      </c>
      <c r="O443" s="114" t="s">
        <v>2577</v>
      </c>
    </row>
    <row r="444" spans="1:15" x14ac:dyDescent="0.25">
      <c r="A444" s="113" t="s">
        <v>55</v>
      </c>
      <c r="B444" s="113" t="s">
        <v>8</v>
      </c>
      <c r="C444" s="113">
        <v>0.1</v>
      </c>
      <c r="D444" s="113">
        <v>1</v>
      </c>
      <c r="E444" s="113">
        <v>1E-3</v>
      </c>
      <c r="F444" s="113" t="s">
        <v>6</v>
      </c>
      <c r="G444" s="113" t="s">
        <v>5</v>
      </c>
      <c r="H444" s="113">
        <v>0.04</v>
      </c>
      <c r="I444" s="113">
        <v>1</v>
      </c>
      <c r="J444" s="113" t="s">
        <v>10</v>
      </c>
      <c r="K444" s="113">
        <v>577.29999999999995</v>
      </c>
      <c r="L444" s="113">
        <v>9.3986000000000001</v>
      </c>
      <c r="M444" s="113">
        <v>577.28</v>
      </c>
      <c r="N444" s="113">
        <v>9.3602000000000007</v>
      </c>
      <c r="O444" s="114" t="s">
        <v>1621</v>
      </c>
    </row>
    <row r="445" spans="1:15" x14ac:dyDescent="0.25">
      <c r="A445" s="113" t="s">
        <v>55</v>
      </c>
      <c r="B445" s="113" t="s">
        <v>8</v>
      </c>
      <c r="C445" s="113">
        <v>0.1</v>
      </c>
      <c r="D445" s="113">
        <v>1</v>
      </c>
      <c r="E445" s="113">
        <v>1E-3</v>
      </c>
      <c r="F445" s="113" t="s">
        <v>6</v>
      </c>
      <c r="G445" s="113" t="s">
        <v>4</v>
      </c>
      <c r="H445" s="113">
        <v>2000</v>
      </c>
      <c r="I445" s="113">
        <v>4000</v>
      </c>
      <c r="J445" s="113" t="s">
        <v>10</v>
      </c>
      <c r="K445" s="113">
        <v>1.2</v>
      </c>
      <c r="L445" s="113">
        <v>46.033999999999999</v>
      </c>
      <c r="M445" s="113">
        <v>0.83431</v>
      </c>
      <c r="N445" s="113">
        <v>46.295999999999999</v>
      </c>
      <c r="O445" s="114" t="s">
        <v>1623</v>
      </c>
    </row>
    <row r="446" spans="1:15" x14ac:dyDescent="0.25">
      <c r="A446" s="113" t="s">
        <v>55</v>
      </c>
      <c r="B446" s="113" t="s">
        <v>8</v>
      </c>
      <c r="C446" s="113">
        <v>0.1</v>
      </c>
      <c r="D446" s="113">
        <v>1</v>
      </c>
      <c r="E446" s="113">
        <v>1E-3</v>
      </c>
      <c r="F446" s="113" t="s">
        <v>6</v>
      </c>
      <c r="G446" s="113" t="s">
        <v>5</v>
      </c>
      <c r="H446" s="113">
        <v>50</v>
      </c>
      <c r="I446" s="113">
        <v>100</v>
      </c>
      <c r="J446" s="113" t="s">
        <v>10</v>
      </c>
      <c r="K446" s="113">
        <v>530.37</v>
      </c>
      <c r="L446" s="113">
        <v>592.16</v>
      </c>
      <c r="M446" s="113">
        <v>529.89</v>
      </c>
      <c r="N446" s="113">
        <v>592.07000000000005</v>
      </c>
      <c r="O446" s="114" t="s">
        <v>1627</v>
      </c>
    </row>
    <row r="447" spans="1:15" x14ac:dyDescent="0.25">
      <c r="A447" s="113" t="s">
        <v>55</v>
      </c>
      <c r="B447" s="113" t="s">
        <v>8</v>
      </c>
      <c r="C447" s="113">
        <v>0.1</v>
      </c>
      <c r="D447" s="113">
        <v>1</v>
      </c>
      <c r="E447" s="113">
        <v>1E-3</v>
      </c>
      <c r="F447" s="113" t="s">
        <v>6</v>
      </c>
      <c r="G447" s="113" t="s">
        <v>4</v>
      </c>
      <c r="H447" s="113">
        <v>8000</v>
      </c>
      <c r="I447" s="113">
        <v>10000</v>
      </c>
      <c r="J447" s="113" t="s">
        <v>10</v>
      </c>
      <c r="K447" s="113">
        <v>4.5999999999999996</v>
      </c>
      <c r="L447" s="113">
        <v>170.12</v>
      </c>
      <c r="M447" s="113">
        <v>1.1559999999999999</v>
      </c>
      <c r="N447" s="113">
        <v>173.35</v>
      </c>
      <c r="O447" s="114" t="s">
        <v>1628</v>
      </c>
    </row>
    <row r="448" spans="1:15" x14ac:dyDescent="0.25">
      <c r="A448" s="113" t="s">
        <v>55</v>
      </c>
      <c r="B448" s="113" t="s">
        <v>8</v>
      </c>
      <c r="C448" s="113">
        <v>0.1</v>
      </c>
      <c r="D448" s="113">
        <v>1</v>
      </c>
      <c r="E448" s="113">
        <v>1E-3</v>
      </c>
      <c r="F448" s="113" t="s">
        <v>6</v>
      </c>
      <c r="G448" s="113" t="s">
        <v>5</v>
      </c>
      <c r="H448" s="113">
        <v>1E-3</v>
      </c>
      <c r="I448" s="113">
        <v>0.04</v>
      </c>
      <c r="J448" s="113" t="s">
        <v>10</v>
      </c>
      <c r="K448" s="113">
        <v>578.69000000000005</v>
      </c>
      <c r="L448" s="113">
        <v>12.536</v>
      </c>
      <c r="M448" s="113">
        <v>12.497999999999999</v>
      </c>
      <c r="N448" s="113">
        <v>12.497999999999999</v>
      </c>
      <c r="O448" s="114" t="s">
        <v>1625</v>
      </c>
    </row>
    <row r="449" spans="1:15" x14ac:dyDescent="0.25">
      <c r="A449" s="113" t="s">
        <v>55</v>
      </c>
      <c r="B449" s="113" t="s">
        <v>8</v>
      </c>
      <c r="C449" s="113">
        <v>0.1</v>
      </c>
      <c r="D449" s="113">
        <v>1</v>
      </c>
      <c r="E449" s="113">
        <v>1E-3</v>
      </c>
      <c r="F449" s="113" t="s">
        <v>6</v>
      </c>
      <c r="G449" s="113" t="s">
        <v>5</v>
      </c>
      <c r="H449" s="113">
        <v>300</v>
      </c>
      <c r="I449" s="113">
        <v>1000</v>
      </c>
      <c r="J449" s="113" t="s">
        <v>10</v>
      </c>
      <c r="K449" s="113">
        <v>212.67</v>
      </c>
      <c r="L449" s="113">
        <v>11907</v>
      </c>
      <c r="M449" s="113">
        <v>246.94</v>
      </c>
      <c r="N449" s="113">
        <v>11553</v>
      </c>
      <c r="O449" s="114" t="s">
        <v>1622</v>
      </c>
    </row>
    <row r="450" spans="1:15" x14ac:dyDescent="0.25">
      <c r="A450" s="113" t="s">
        <v>55</v>
      </c>
      <c r="B450" s="113" t="s">
        <v>8</v>
      </c>
      <c r="C450" s="113">
        <v>0.1</v>
      </c>
      <c r="D450" s="113">
        <v>1</v>
      </c>
      <c r="E450" s="113">
        <v>0.01</v>
      </c>
      <c r="F450" s="113" t="s">
        <v>6</v>
      </c>
      <c r="G450" s="113" t="s">
        <v>5</v>
      </c>
      <c r="H450" s="113">
        <v>0.04</v>
      </c>
      <c r="I450" s="113">
        <v>1</v>
      </c>
      <c r="J450" s="113" t="s">
        <v>10</v>
      </c>
      <c r="K450" s="113">
        <v>5773.6</v>
      </c>
      <c r="L450" s="113">
        <v>0.95989999999999998</v>
      </c>
      <c r="M450" s="113">
        <v>5772.7</v>
      </c>
      <c r="N450" s="113">
        <v>0.94416</v>
      </c>
      <c r="O450" s="114" t="s">
        <v>1630</v>
      </c>
    </row>
    <row r="451" spans="1:15" x14ac:dyDescent="0.25">
      <c r="A451" s="113" t="s">
        <v>55</v>
      </c>
      <c r="B451" s="113" t="s">
        <v>8</v>
      </c>
      <c r="C451" s="113">
        <v>0.1</v>
      </c>
      <c r="D451" s="113">
        <v>1</v>
      </c>
      <c r="E451" s="113">
        <v>0.01</v>
      </c>
      <c r="F451" s="113" t="s">
        <v>6</v>
      </c>
      <c r="G451" s="113" t="s">
        <v>5</v>
      </c>
      <c r="H451" s="113">
        <v>300</v>
      </c>
      <c r="I451" s="113">
        <v>1000</v>
      </c>
      <c r="J451" s="113" t="s">
        <v>10</v>
      </c>
      <c r="K451" s="113">
        <v>5113.2</v>
      </c>
      <c r="L451" s="113">
        <v>8011.6</v>
      </c>
      <c r="M451" s="113">
        <v>4758</v>
      </c>
      <c r="N451" s="113">
        <v>8011.9</v>
      </c>
      <c r="O451" s="114" t="s">
        <v>1639</v>
      </c>
    </row>
    <row r="452" spans="1:15" x14ac:dyDescent="0.25">
      <c r="A452" s="113" t="s">
        <v>55</v>
      </c>
      <c r="B452" s="113" t="s">
        <v>8</v>
      </c>
      <c r="C452" s="113">
        <v>0.1</v>
      </c>
      <c r="D452" s="113">
        <v>1</v>
      </c>
      <c r="E452" s="113">
        <v>0.01</v>
      </c>
      <c r="F452" s="113" t="s">
        <v>6</v>
      </c>
      <c r="G452" s="113" t="s">
        <v>4</v>
      </c>
      <c r="H452" s="113">
        <v>4000</v>
      </c>
      <c r="I452" s="113">
        <v>8000</v>
      </c>
      <c r="J452" s="113" t="s">
        <v>10</v>
      </c>
      <c r="K452" s="113">
        <v>3.6131000000000002</v>
      </c>
      <c r="L452" s="113">
        <v>43.981999999999999</v>
      </c>
      <c r="M452" s="113">
        <v>3.3780000000000001</v>
      </c>
      <c r="N452" s="113">
        <v>43.984000000000002</v>
      </c>
      <c r="O452" s="114" t="s">
        <v>1635</v>
      </c>
    </row>
    <row r="453" spans="1:15" x14ac:dyDescent="0.25">
      <c r="A453" s="113" t="s">
        <v>55</v>
      </c>
      <c r="B453" s="113" t="s">
        <v>8</v>
      </c>
      <c r="C453" s="113">
        <v>0.1</v>
      </c>
      <c r="D453" s="113">
        <v>1</v>
      </c>
      <c r="E453" s="113">
        <v>0.01</v>
      </c>
      <c r="F453" s="113" t="s">
        <v>6</v>
      </c>
      <c r="G453" s="113" t="s">
        <v>4</v>
      </c>
      <c r="H453" s="113">
        <v>2000</v>
      </c>
      <c r="I453" s="113">
        <v>4000</v>
      </c>
      <c r="J453" s="113" t="s">
        <v>10</v>
      </c>
      <c r="K453" s="113">
        <v>3.5375000000000001</v>
      </c>
      <c r="L453" s="113">
        <v>43.944000000000003</v>
      </c>
      <c r="M453" s="113">
        <v>3.2985000000000002</v>
      </c>
      <c r="N453" s="113">
        <v>43.945</v>
      </c>
      <c r="O453" s="114" t="s">
        <v>1633</v>
      </c>
    </row>
    <row r="454" spans="1:15" x14ac:dyDescent="0.25">
      <c r="A454" s="113" t="s">
        <v>55</v>
      </c>
      <c r="B454" s="113" t="s">
        <v>8</v>
      </c>
      <c r="C454" s="113">
        <v>0.1</v>
      </c>
      <c r="D454" s="113">
        <v>1</v>
      </c>
      <c r="E454" s="113">
        <v>0.01</v>
      </c>
      <c r="F454" s="113" t="s">
        <v>6</v>
      </c>
      <c r="G454" s="113" t="s">
        <v>5</v>
      </c>
      <c r="H454" s="113">
        <v>20</v>
      </c>
      <c r="I454" s="113">
        <v>50</v>
      </c>
      <c r="J454" s="113" t="s">
        <v>10</v>
      </c>
      <c r="K454" s="113">
        <v>5772.6</v>
      </c>
      <c r="L454" s="113">
        <v>12.94</v>
      </c>
      <c r="M454" s="113">
        <v>5762.2</v>
      </c>
      <c r="N454" s="113">
        <v>12.802</v>
      </c>
      <c r="O454" s="114" t="s">
        <v>1634</v>
      </c>
    </row>
    <row r="455" spans="1:15" x14ac:dyDescent="0.25">
      <c r="A455" s="113" t="s">
        <v>55</v>
      </c>
      <c r="B455" s="113" t="s">
        <v>8</v>
      </c>
      <c r="C455" s="113">
        <v>0.1</v>
      </c>
      <c r="D455" s="113">
        <v>1</v>
      </c>
      <c r="E455" s="113">
        <v>0.01</v>
      </c>
      <c r="F455" s="113" t="s">
        <v>6</v>
      </c>
      <c r="G455" s="113" t="s">
        <v>5</v>
      </c>
      <c r="H455" s="113">
        <v>50</v>
      </c>
      <c r="I455" s="113">
        <v>100</v>
      </c>
      <c r="J455" s="113" t="s">
        <v>10</v>
      </c>
      <c r="K455" s="113">
        <v>5766.2</v>
      </c>
      <c r="L455" s="113">
        <v>87.391999999999996</v>
      </c>
      <c r="M455" s="113">
        <v>5715.5</v>
      </c>
      <c r="N455" s="113">
        <v>87.123000000000005</v>
      </c>
      <c r="O455" s="114" t="s">
        <v>1632</v>
      </c>
    </row>
    <row r="456" spans="1:15" x14ac:dyDescent="0.25">
      <c r="A456" s="113" t="s">
        <v>55</v>
      </c>
      <c r="B456" s="113" t="s">
        <v>8</v>
      </c>
      <c r="C456" s="113">
        <v>0.1</v>
      </c>
      <c r="D456" s="113">
        <v>1</v>
      </c>
      <c r="E456" s="113">
        <v>0.01</v>
      </c>
      <c r="F456" s="113" t="s">
        <v>6</v>
      </c>
      <c r="G456" s="113" t="s">
        <v>5</v>
      </c>
      <c r="H456" s="113">
        <v>100</v>
      </c>
      <c r="I456" s="113">
        <v>300</v>
      </c>
      <c r="J456" s="113" t="s">
        <v>10</v>
      </c>
      <c r="K456" s="113">
        <v>5681.4</v>
      </c>
      <c r="L456" s="113">
        <v>1112.8</v>
      </c>
      <c r="M456" s="113">
        <v>5471.4</v>
      </c>
      <c r="N456" s="113">
        <v>1112.4000000000001</v>
      </c>
      <c r="O456" s="114" t="s">
        <v>1638</v>
      </c>
    </row>
    <row r="457" spans="1:15" x14ac:dyDescent="0.25">
      <c r="A457" s="113" t="s">
        <v>55</v>
      </c>
      <c r="B457" s="113" t="s">
        <v>8</v>
      </c>
      <c r="C457" s="113">
        <v>0.1</v>
      </c>
      <c r="D457" s="113">
        <v>1</v>
      </c>
      <c r="E457" s="113">
        <v>0.01</v>
      </c>
      <c r="F457" s="113" t="s">
        <v>6</v>
      </c>
      <c r="G457" s="113" t="s">
        <v>5</v>
      </c>
      <c r="H457" s="113">
        <v>1000</v>
      </c>
      <c r="I457" s="113">
        <v>2000</v>
      </c>
      <c r="J457" s="113" t="s">
        <v>10</v>
      </c>
      <c r="K457" s="113">
        <v>4683.3999999999996</v>
      </c>
      <c r="L457" s="113">
        <v>13828</v>
      </c>
      <c r="M457" s="113">
        <v>4325.3999999999996</v>
      </c>
      <c r="N457" s="113">
        <v>13829</v>
      </c>
      <c r="O457" s="114" t="s">
        <v>1629</v>
      </c>
    </row>
    <row r="458" spans="1:15" x14ac:dyDescent="0.25">
      <c r="A458" s="113" t="s">
        <v>55</v>
      </c>
      <c r="B458" s="113" t="s">
        <v>8</v>
      </c>
      <c r="C458" s="113">
        <v>0.1</v>
      </c>
      <c r="D458" s="113">
        <v>1</v>
      </c>
      <c r="E458" s="113">
        <v>0.01</v>
      </c>
      <c r="F458" s="113" t="s">
        <v>6</v>
      </c>
      <c r="G458" s="113" t="s">
        <v>5</v>
      </c>
      <c r="H458" s="113">
        <v>1</v>
      </c>
      <c r="I458" s="113">
        <v>20</v>
      </c>
      <c r="J458" s="113" t="s">
        <v>10</v>
      </c>
      <c r="K458" s="113">
        <v>5773.4</v>
      </c>
      <c r="L458" s="113">
        <v>3.1917</v>
      </c>
      <c r="M458" s="113">
        <v>5770.6</v>
      </c>
      <c r="N458" s="113">
        <v>0.31602999999999998</v>
      </c>
      <c r="O458" s="114" t="s">
        <v>1636</v>
      </c>
    </row>
    <row r="459" spans="1:15" x14ac:dyDescent="0.25">
      <c r="A459" s="113" t="s">
        <v>55</v>
      </c>
      <c r="B459" s="113" t="s">
        <v>8</v>
      </c>
      <c r="C459" s="113">
        <v>0.1</v>
      </c>
      <c r="D459" s="113">
        <v>1</v>
      </c>
      <c r="E459" s="113">
        <v>0.01</v>
      </c>
      <c r="F459" s="113" t="s">
        <v>6</v>
      </c>
      <c r="G459" s="113" t="s">
        <v>4</v>
      </c>
      <c r="H459" s="113">
        <v>8000</v>
      </c>
      <c r="I459" s="113">
        <v>10000</v>
      </c>
      <c r="J459" s="113" t="s">
        <v>10</v>
      </c>
      <c r="K459" s="113">
        <v>4.5999999999999996</v>
      </c>
      <c r="L459" s="113">
        <v>170.23</v>
      </c>
      <c r="M459" s="113">
        <v>2.0278</v>
      </c>
      <c r="N459" s="113">
        <v>172.49</v>
      </c>
      <c r="O459" s="114" t="s">
        <v>1631</v>
      </c>
    </row>
    <row r="460" spans="1:15" x14ac:dyDescent="0.25">
      <c r="A460" s="113" t="s">
        <v>55</v>
      </c>
      <c r="B460" s="113" t="s">
        <v>8</v>
      </c>
      <c r="C460" s="113">
        <v>0.1</v>
      </c>
      <c r="D460" s="113">
        <v>1</v>
      </c>
      <c r="E460" s="113">
        <v>0.01</v>
      </c>
      <c r="F460" s="113" t="s">
        <v>6</v>
      </c>
      <c r="G460" s="113" t="s">
        <v>5</v>
      </c>
      <c r="H460" s="113">
        <v>1E-3</v>
      </c>
      <c r="I460" s="113">
        <v>0.04</v>
      </c>
      <c r="J460" s="113" t="s">
        <v>10</v>
      </c>
      <c r="K460" s="113">
        <v>5773.7</v>
      </c>
      <c r="L460" s="113">
        <v>1.2830999999999999</v>
      </c>
      <c r="M460" s="113">
        <v>1.2674000000000001</v>
      </c>
      <c r="N460" s="113">
        <v>1.2674000000000001</v>
      </c>
      <c r="O460" s="114" t="s">
        <v>1637</v>
      </c>
    </row>
    <row r="461" spans="1:15" x14ac:dyDescent="0.25">
      <c r="A461" s="113" t="s">
        <v>55</v>
      </c>
      <c r="B461" s="113" t="s">
        <v>8</v>
      </c>
      <c r="C461" s="113">
        <v>1</v>
      </c>
      <c r="D461" s="113">
        <v>10</v>
      </c>
      <c r="E461" s="113">
        <v>9.9999999999999995E-7</v>
      </c>
      <c r="F461" s="113" t="s">
        <v>6</v>
      </c>
      <c r="G461" s="113" t="s">
        <v>4</v>
      </c>
      <c r="H461" s="113">
        <v>1000</v>
      </c>
      <c r="I461" s="113">
        <v>2000</v>
      </c>
      <c r="J461" s="113" t="s">
        <v>10</v>
      </c>
      <c r="K461" s="113">
        <v>6.1</v>
      </c>
      <c r="L461" s="113">
        <v>17</v>
      </c>
      <c r="M461" s="113">
        <v>1.1337999999999999</v>
      </c>
      <c r="N461" s="113">
        <v>17.486999999999998</v>
      </c>
      <c r="O461" s="114" t="s">
        <v>1643</v>
      </c>
    </row>
    <row r="462" spans="1:15" x14ac:dyDescent="0.25">
      <c r="A462" s="113" t="s">
        <v>55</v>
      </c>
      <c r="B462" s="113" t="s">
        <v>8</v>
      </c>
      <c r="C462" s="113">
        <v>1</v>
      </c>
      <c r="D462" s="113">
        <v>10</v>
      </c>
      <c r="E462" s="113">
        <v>9.9999999999999995E-7</v>
      </c>
      <c r="F462" s="113" t="s">
        <v>6</v>
      </c>
      <c r="G462" s="113" t="s">
        <v>4</v>
      </c>
      <c r="H462" s="113">
        <v>1E-3</v>
      </c>
      <c r="I462" s="113">
        <v>0.04</v>
      </c>
      <c r="J462" s="113" t="s">
        <v>10</v>
      </c>
      <c r="K462" s="113">
        <v>0.46</v>
      </c>
      <c r="L462" s="113">
        <v>9.1999999999999998E-2</v>
      </c>
      <c r="M462" s="113">
        <v>0.45052999999999999</v>
      </c>
      <c r="N462" s="113">
        <v>9.2199000000000003E-2</v>
      </c>
      <c r="O462" s="114" t="s">
        <v>2579</v>
      </c>
    </row>
    <row r="463" spans="1:15" x14ac:dyDescent="0.25">
      <c r="A463" s="113" t="s">
        <v>55</v>
      </c>
      <c r="B463" s="113" t="s">
        <v>8</v>
      </c>
      <c r="C463" s="113">
        <v>1</v>
      </c>
      <c r="D463" s="113">
        <v>10</v>
      </c>
      <c r="E463" s="113">
        <v>9.9999999999999995E-7</v>
      </c>
      <c r="F463" s="113" t="s">
        <v>6</v>
      </c>
      <c r="G463" s="113" t="s">
        <v>4</v>
      </c>
      <c r="H463" s="113">
        <v>1</v>
      </c>
      <c r="I463" s="113">
        <v>20</v>
      </c>
      <c r="J463" s="113" t="s">
        <v>10</v>
      </c>
      <c r="K463" s="113">
        <v>0.28000000000000003</v>
      </c>
      <c r="L463" s="113">
        <v>0.16</v>
      </c>
      <c r="M463" s="113">
        <v>0.22835</v>
      </c>
      <c r="N463" s="113">
        <v>0.16434000000000001</v>
      </c>
      <c r="O463" s="114" t="s">
        <v>2581</v>
      </c>
    </row>
    <row r="464" spans="1:15" x14ac:dyDescent="0.25">
      <c r="A464" s="113" t="s">
        <v>55</v>
      </c>
      <c r="B464" s="113" t="s">
        <v>8</v>
      </c>
      <c r="C464" s="113">
        <v>1</v>
      </c>
      <c r="D464" s="113">
        <v>10</v>
      </c>
      <c r="E464" s="113">
        <v>9.9999999999999995E-7</v>
      </c>
      <c r="F464" s="113" t="s">
        <v>6</v>
      </c>
      <c r="G464" s="113" t="s">
        <v>4</v>
      </c>
      <c r="H464" s="113">
        <v>20</v>
      </c>
      <c r="I464" s="113">
        <v>50</v>
      </c>
      <c r="J464" s="113" t="s">
        <v>10</v>
      </c>
      <c r="K464" s="113">
        <v>0.24</v>
      </c>
      <c r="L464" s="113">
        <v>0.35</v>
      </c>
      <c r="M464" s="113">
        <v>0.22967000000000001</v>
      </c>
      <c r="N464" s="113">
        <v>0.34776000000000001</v>
      </c>
      <c r="O464" s="114" t="s">
        <v>2582</v>
      </c>
    </row>
    <row r="465" spans="1:15" x14ac:dyDescent="0.25">
      <c r="A465" s="113" t="s">
        <v>55</v>
      </c>
      <c r="B465" s="113" t="s">
        <v>8</v>
      </c>
      <c r="C465" s="113">
        <v>1</v>
      </c>
      <c r="D465" s="113">
        <v>10</v>
      </c>
      <c r="E465" s="113">
        <v>9.9999999999999995E-7</v>
      </c>
      <c r="F465" s="113" t="s">
        <v>6</v>
      </c>
      <c r="G465" s="113" t="s">
        <v>4</v>
      </c>
      <c r="H465" s="113">
        <v>100</v>
      </c>
      <c r="I465" s="113">
        <v>300</v>
      </c>
      <c r="J465" s="113" t="s">
        <v>10</v>
      </c>
      <c r="K465" s="113">
        <v>1.2</v>
      </c>
      <c r="L465" s="113">
        <v>3.5</v>
      </c>
      <c r="M465" s="113">
        <v>1.1358999999999999</v>
      </c>
      <c r="N465" s="113">
        <v>3.4830999999999999</v>
      </c>
      <c r="O465" s="114" t="s">
        <v>1644</v>
      </c>
    </row>
    <row r="466" spans="1:15" x14ac:dyDescent="0.25">
      <c r="A466" s="113" t="s">
        <v>55</v>
      </c>
      <c r="B466" s="113" t="s">
        <v>8</v>
      </c>
      <c r="C466" s="113">
        <v>1</v>
      </c>
      <c r="D466" s="113">
        <v>10</v>
      </c>
      <c r="E466" s="113">
        <v>9.9999999999999995E-7</v>
      </c>
      <c r="F466" s="113" t="s">
        <v>6</v>
      </c>
      <c r="G466" s="113" t="s">
        <v>4</v>
      </c>
      <c r="H466" s="113">
        <v>300</v>
      </c>
      <c r="I466" s="113">
        <v>1000</v>
      </c>
      <c r="J466" s="113" t="s">
        <v>10</v>
      </c>
      <c r="K466" s="113">
        <v>0.83</v>
      </c>
      <c r="L466" s="113">
        <v>12</v>
      </c>
      <c r="M466" s="113">
        <v>1.127</v>
      </c>
      <c r="N466" s="113">
        <v>11.688000000000001</v>
      </c>
      <c r="O466" s="114" t="s">
        <v>2580</v>
      </c>
    </row>
    <row r="467" spans="1:15" x14ac:dyDescent="0.25">
      <c r="A467" s="113" t="s">
        <v>55</v>
      </c>
      <c r="B467" s="113" t="s">
        <v>8</v>
      </c>
      <c r="C467" s="113">
        <v>1</v>
      </c>
      <c r="D467" s="113">
        <v>10</v>
      </c>
      <c r="E467" s="113">
        <v>9.9999999999999995E-7</v>
      </c>
      <c r="F467" s="113" t="s">
        <v>6</v>
      </c>
      <c r="G467" s="113" t="s">
        <v>4</v>
      </c>
      <c r="H467" s="113">
        <v>0.04</v>
      </c>
      <c r="I467" s="113">
        <v>1</v>
      </c>
      <c r="J467" s="113" t="s">
        <v>10</v>
      </c>
      <c r="K467" s="113">
        <v>0.25</v>
      </c>
      <c r="L467" s="113">
        <v>8.4000000000000005E-2</v>
      </c>
      <c r="M467" s="113">
        <v>0.22625000000000001</v>
      </c>
      <c r="N467" s="113">
        <v>8.5544999999999996E-2</v>
      </c>
      <c r="O467" s="114" t="s">
        <v>1640</v>
      </c>
    </row>
    <row r="468" spans="1:15" x14ac:dyDescent="0.25">
      <c r="A468" s="113" t="s">
        <v>55</v>
      </c>
      <c r="B468" s="113" t="s">
        <v>8</v>
      </c>
      <c r="C468" s="113">
        <v>1</v>
      </c>
      <c r="D468" s="113">
        <v>10</v>
      </c>
      <c r="E468" s="113">
        <v>9.9999999999999995E-7</v>
      </c>
      <c r="F468" s="113" t="s">
        <v>6</v>
      </c>
      <c r="G468" s="113" t="s">
        <v>4</v>
      </c>
      <c r="H468" s="113">
        <v>2000</v>
      </c>
      <c r="I468" s="113">
        <v>4000</v>
      </c>
      <c r="J468" s="113" t="s">
        <v>10</v>
      </c>
      <c r="K468" s="113">
        <v>12</v>
      </c>
      <c r="L468" s="113">
        <v>46</v>
      </c>
      <c r="M468" s="113">
        <v>8.0599000000000007</v>
      </c>
      <c r="N468" s="113">
        <v>46.328000000000003</v>
      </c>
      <c r="O468" s="114" t="s">
        <v>1646</v>
      </c>
    </row>
    <row r="469" spans="1:15" x14ac:dyDescent="0.25">
      <c r="A469" s="113" t="s">
        <v>55</v>
      </c>
      <c r="B469" s="113" t="s">
        <v>8</v>
      </c>
      <c r="C469" s="113">
        <v>1</v>
      </c>
      <c r="D469" s="113">
        <v>10</v>
      </c>
      <c r="E469" s="113">
        <v>9.9999999999999995E-7</v>
      </c>
      <c r="F469" s="113" t="s">
        <v>6</v>
      </c>
      <c r="G469" s="113" t="s">
        <v>4</v>
      </c>
      <c r="H469" s="113">
        <v>50</v>
      </c>
      <c r="I469" s="113">
        <v>100</v>
      </c>
      <c r="J469" s="113" t="s">
        <v>10</v>
      </c>
      <c r="K469" s="113">
        <v>0.27</v>
      </c>
      <c r="L469" s="113">
        <v>0.94</v>
      </c>
      <c r="M469" s="113">
        <v>0.22603000000000001</v>
      </c>
      <c r="N469" s="113">
        <v>0.94120999999999999</v>
      </c>
      <c r="O469" s="114" t="s">
        <v>1641</v>
      </c>
    </row>
    <row r="470" spans="1:15" x14ac:dyDescent="0.25">
      <c r="A470" s="113" t="s">
        <v>55</v>
      </c>
      <c r="B470" s="113" t="s">
        <v>8</v>
      </c>
      <c r="C470" s="113">
        <v>1</v>
      </c>
      <c r="D470" s="113">
        <v>10</v>
      </c>
      <c r="E470" s="113">
        <v>9.9999999999999995E-7</v>
      </c>
      <c r="F470" s="113" t="s">
        <v>6</v>
      </c>
      <c r="G470" s="113" t="s">
        <v>4</v>
      </c>
      <c r="H470" s="113">
        <v>8000</v>
      </c>
      <c r="I470" s="113">
        <v>10000</v>
      </c>
      <c r="J470" s="113" t="s">
        <v>10</v>
      </c>
      <c r="K470" s="113">
        <v>46</v>
      </c>
      <c r="L470" s="113">
        <v>170</v>
      </c>
      <c r="M470" s="113">
        <v>11.528</v>
      </c>
      <c r="N470" s="113">
        <v>173.36</v>
      </c>
      <c r="O470" s="114" t="s">
        <v>1645</v>
      </c>
    </row>
    <row r="471" spans="1:15" x14ac:dyDescent="0.25">
      <c r="A471" s="113" t="s">
        <v>55</v>
      </c>
      <c r="B471" s="113" t="s">
        <v>8</v>
      </c>
      <c r="C471" s="113">
        <v>1</v>
      </c>
      <c r="D471" s="113">
        <v>10</v>
      </c>
      <c r="E471" s="113">
        <v>9.9999999999999995E-7</v>
      </c>
      <c r="F471" s="113" t="s">
        <v>6</v>
      </c>
      <c r="G471" s="113" t="s">
        <v>4</v>
      </c>
      <c r="H471" s="113">
        <v>4000</v>
      </c>
      <c r="I471" s="113">
        <v>8000</v>
      </c>
      <c r="J471" s="113" t="s">
        <v>10</v>
      </c>
      <c r="K471" s="113">
        <v>15</v>
      </c>
      <c r="L471" s="113">
        <v>46</v>
      </c>
      <c r="M471" s="113">
        <v>9.1631999999999998</v>
      </c>
      <c r="N471" s="113">
        <v>46.576000000000001</v>
      </c>
      <c r="O471" s="114" t="s">
        <v>1642</v>
      </c>
    </row>
    <row r="472" spans="1:15" x14ac:dyDescent="0.25">
      <c r="A472" s="113" t="s">
        <v>55</v>
      </c>
      <c r="B472" s="113" t="s">
        <v>8</v>
      </c>
      <c r="C472" s="113">
        <v>1</v>
      </c>
      <c r="D472" s="113">
        <v>10</v>
      </c>
      <c r="E472" s="113">
        <v>1.0000000000000001E-5</v>
      </c>
      <c r="F472" s="113" t="s">
        <v>6</v>
      </c>
      <c r="G472" s="113" t="s">
        <v>4</v>
      </c>
      <c r="H472" s="113">
        <v>300</v>
      </c>
      <c r="I472" s="113">
        <v>1000</v>
      </c>
      <c r="J472" s="113" t="s">
        <v>10</v>
      </c>
      <c r="K472" s="113">
        <v>0.83</v>
      </c>
      <c r="L472" s="113">
        <v>11.988</v>
      </c>
      <c r="M472" s="113">
        <v>1.127</v>
      </c>
      <c r="N472" s="113">
        <v>11.688000000000001</v>
      </c>
      <c r="O472" s="114" t="s">
        <v>1654</v>
      </c>
    </row>
    <row r="473" spans="1:15" x14ac:dyDescent="0.25">
      <c r="A473" s="113" t="s">
        <v>55</v>
      </c>
      <c r="B473" s="113" t="s">
        <v>8</v>
      </c>
      <c r="C473" s="113">
        <v>1</v>
      </c>
      <c r="D473" s="113">
        <v>10</v>
      </c>
      <c r="E473" s="113">
        <v>1.0000000000000001E-5</v>
      </c>
      <c r="F473" s="113" t="s">
        <v>6</v>
      </c>
      <c r="G473" s="113" t="s">
        <v>4</v>
      </c>
      <c r="H473" s="113">
        <v>0.04</v>
      </c>
      <c r="I473" s="113">
        <v>1</v>
      </c>
      <c r="J473" s="113" t="s">
        <v>10</v>
      </c>
      <c r="K473" s="113">
        <v>0.25</v>
      </c>
      <c r="L473" s="113">
        <v>8.4437999999999999E-2</v>
      </c>
      <c r="M473" s="113">
        <v>0.22631999999999999</v>
      </c>
      <c r="N473" s="113">
        <v>8.5540000000000005E-2</v>
      </c>
      <c r="O473" s="114" t="s">
        <v>1648</v>
      </c>
    </row>
    <row r="474" spans="1:15" x14ac:dyDescent="0.25">
      <c r="A474" s="113" t="s">
        <v>55</v>
      </c>
      <c r="B474" s="113" t="s">
        <v>8</v>
      </c>
      <c r="C474" s="113">
        <v>1</v>
      </c>
      <c r="D474" s="113">
        <v>10</v>
      </c>
      <c r="E474" s="113">
        <v>1.0000000000000001E-5</v>
      </c>
      <c r="F474" s="113" t="s">
        <v>6</v>
      </c>
      <c r="G474" s="113" t="s">
        <v>4</v>
      </c>
      <c r="H474" s="113">
        <v>1000</v>
      </c>
      <c r="I474" s="113">
        <v>2000</v>
      </c>
      <c r="J474" s="113" t="s">
        <v>10</v>
      </c>
      <c r="K474" s="113">
        <v>6.1</v>
      </c>
      <c r="L474" s="113">
        <v>17.155999999999999</v>
      </c>
      <c r="M474" s="113">
        <v>1.1337999999999999</v>
      </c>
      <c r="N474" s="113">
        <v>17.486999999999998</v>
      </c>
      <c r="O474" s="114" t="s">
        <v>1656</v>
      </c>
    </row>
    <row r="475" spans="1:15" x14ac:dyDescent="0.25">
      <c r="A475" s="113" t="s">
        <v>55</v>
      </c>
      <c r="B475" s="113" t="s">
        <v>8</v>
      </c>
      <c r="C475" s="113">
        <v>1</v>
      </c>
      <c r="D475" s="113">
        <v>10</v>
      </c>
      <c r="E475" s="113">
        <v>1.0000000000000001E-5</v>
      </c>
      <c r="F475" s="113" t="s">
        <v>6</v>
      </c>
      <c r="G475" s="113" t="s">
        <v>4</v>
      </c>
      <c r="H475" s="113">
        <v>1</v>
      </c>
      <c r="I475" s="113">
        <v>20</v>
      </c>
      <c r="J475" s="113" t="s">
        <v>10</v>
      </c>
      <c r="K475" s="113">
        <v>0.28000000000000003</v>
      </c>
      <c r="L475" s="113">
        <v>0.16134000000000001</v>
      </c>
      <c r="M475" s="113">
        <v>0.22836999999999999</v>
      </c>
      <c r="N475" s="113">
        <v>0.16434000000000001</v>
      </c>
      <c r="O475" s="114" t="s">
        <v>1650</v>
      </c>
    </row>
    <row r="476" spans="1:15" x14ac:dyDescent="0.25">
      <c r="A476" s="113" t="s">
        <v>55</v>
      </c>
      <c r="B476" s="113" t="s">
        <v>8</v>
      </c>
      <c r="C476" s="113">
        <v>1</v>
      </c>
      <c r="D476" s="113">
        <v>10</v>
      </c>
      <c r="E476" s="113">
        <v>1.0000000000000001E-5</v>
      </c>
      <c r="F476" s="113" t="s">
        <v>6</v>
      </c>
      <c r="G476" s="113" t="s">
        <v>4</v>
      </c>
      <c r="H476" s="113">
        <v>20</v>
      </c>
      <c r="I476" s="113">
        <v>50</v>
      </c>
      <c r="J476" s="113" t="s">
        <v>10</v>
      </c>
      <c r="K476" s="113">
        <v>0.24</v>
      </c>
      <c r="L476" s="113">
        <v>0.35</v>
      </c>
      <c r="M476" s="113">
        <v>0.22972999999999999</v>
      </c>
      <c r="N476" s="113">
        <v>0.34775</v>
      </c>
      <c r="O476" s="114" t="s">
        <v>1655</v>
      </c>
    </row>
    <row r="477" spans="1:15" x14ac:dyDescent="0.25">
      <c r="A477" s="113" t="s">
        <v>55</v>
      </c>
      <c r="B477" s="113" t="s">
        <v>8</v>
      </c>
      <c r="C477" s="113">
        <v>1</v>
      </c>
      <c r="D477" s="113">
        <v>10</v>
      </c>
      <c r="E477" s="113">
        <v>1.0000000000000001E-5</v>
      </c>
      <c r="F477" s="113" t="s">
        <v>6</v>
      </c>
      <c r="G477" s="113" t="s">
        <v>4</v>
      </c>
      <c r="H477" s="113">
        <v>100</v>
      </c>
      <c r="I477" s="113">
        <v>300</v>
      </c>
      <c r="J477" s="113" t="s">
        <v>10</v>
      </c>
      <c r="K477" s="113">
        <v>1.2</v>
      </c>
      <c r="L477" s="113">
        <v>3.5</v>
      </c>
      <c r="M477" s="113">
        <v>1.1358999999999999</v>
      </c>
      <c r="N477" s="113">
        <v>3.4830999999999999</v>
      </c>
      <c r="O477" s="114" t="s">
        <v>1651</v>
      </c>
    </row>
    <row r="478" spans="1:15" x14ac:dyDescent="0.25">
      <c r="A478" s="113" t="s">
        <v>55</v>
      </c>
      <c r="B478" s="113" t="s">
        <v>8</v>
      </c>
      <c r="C478" s="113">
        <v>1</v>
      </c>
      <c r="D478" s="113">
        <v>10</v>
      </c>
      <c r="E478" s="113">
        <v>1.0000000000000001E-5</v>
      </c>
      <c r="F478" s="113" t="s">
        <v>6</v>
      </c>
      <c r="G478" s="113" t="s">
        <v>4</v>
      </c>
      <c r="H478" s="113">
        <v>8000</v>
      </c>
      <c r="I478" s="113">
        <v>10000</v>
      </c>
      <c r="J478" s="113" t="s">
        <v>10</v>
      </c>
      <c r="K478" s="113">
        <v>46</v>
      </c>
      <c r="L478" s="113">
        <v>170.12</v>
      </c>
      <c r="M478" s="113">
        <v>11.529</v>
      </c>
      <c r="N478" s="113">
        <v>173.36</v>
      </c>
      <c r="O478" s="114" t="s">
        <v>2583</v>
      </c>
    </row>
    <row r="479" spans="1:15" x14ac:dyDescent="0.25">
      <c r="A479" s="113" t="s">
        <v>55</v>
      </c>
      <c r="B479" s="113" t="s">
        <v>8</v>
      </c>
      <c r="C479" s="113">
        <v>1</v>
      </c>
      <c r="D479" s="113">
        <v>10</v>
      </c>
      <c r="E479" s="113">
        <v>1.0000000000000001E-5</v>
      </c>
      <c r="F479" s="113" t="s">
        <v>6</v>
      </c>
      <c r="G479" s="113" t="s">
        <v>4</v>
      </c>
      <c r="H479" s="113">
        <v>1E-3</v>
      </c>
      <c r="I479" s="113">
        <v>0.04</v>
      </c>
      <c r="J479" s="113" t="s">
        <v>10</v>
      </c>
      <c r="K479" s="113">
        <v>0.46</v>
      </c>
      <c r="L479" s="113">
        <v>9.1967999999999994E-2</v>
      </c>
      <c r="M479" s="113">
        <v>0.45057000000000003</v>
      </c>
      <c r="N479" s="113">
        <v>9.2197000000000001E-2</v>
      </c>
      <c r="O479" s="114" t="s">
        <v>1649</v>
      </c>
    </row>
    <row r="480" spans="1:15" x14ac:dyDescent="0.25">
      <c r="A480" s="113" t="s">
        <v>55</v>
      </c>
      <c r="B480" s="113" t="s">
        <v>8</v>
      </c>
      <c r="C480" s="113">
        <v>1</v>
      </c>
      <c r="D480" s="113">
        <v>10</v>
      </c>
      <c r="E480" s="113">
        <v>1.0000000000000001E-5</v>
      </c>
      <c r="F480" s="113" t="s">
        <v>6</v>
      </c>
      <c r="G480" s="113" t="s">
        <v>4</v>
      </c>
      <c r="H480" s="113">
        <v>4000</v>
      </c>
      <c r="I480" s="113">
        <v>8000</v>
      </c>
      <c r="J480" s="113" t="s">
        <v>10</v>
      </c>
      <c r="K480" s="113">
        <v>15</v>
      </c>
      <c r="L480" s="113">
        <v>46.325000000000003</v>
      </c>
      <c r="M480" s="113">
        <v>9.1631999999999998</v>
      </c>
      <c r="N480" s="113">
        <v>46.576000000000001</v>
      </c>
      <c r="O480" s="114" t="s">
        <v>1653</v>
      </c>
    </row>
    <row r="481" spans="1:15" x14ac:dyDescent="0.25">
      <c r="A481" s="113" t="s">
        <v>55</v>
      </c>
      <c r="B481" s="113" t="s">
        <v>8</v>
      </c>
      <c r="C481" s="113">
        <v>1</v>
      </c>
      <c r="D481" s="113">
        <v>10</v>
      </c>
      <c r="E481" s="113">
        <v>1.0000000000000001E-5</v>
      </c>
      <c r="F481" s="113" t="s">
        <v>6</v>
      </c>
      <c r="G481" s="113" t="s">
        <v>4</v>
      </c>
      <c r="H481" s="113">
        <v>2000</v>
      </c>
      <c r="I481" s="113">
        <v>4000</v>
      </c>
      <c r="J481" s="113" t="s">
        <v>10</v>
      </c>
      <c r="K481" s="113">
        <v>12</v>
      </c>
      <c r="L481" s="113">
        <v>46.037999999999997</v>
      </c>
      <c r="M481" s="113">
        <v>8.06</v>
      </c>
      <c r="N481" s="113">
        <v>46.328000000000003</v>
      </c>
      <c r="O481" s="114" t="s">
        <v>1652</v>
      </c>
    </row>
    <row r="482" spans="1:15" x14ac:dyDescent="0.25">
      <c r="A482" s="113" t="s">
        <v>55</v>
      </c>
      <c r="B482" s="113" t="s">
        <v>8</v>
      </c>
      <c r="C482" s="113">
        <v>1</v>
      </c>
      <c r="D482" s="113">
        <v>10</v>
      </c>
      <c r="E482" s="113">
        <v>1.0000000000000001E-5</v>
      </c>
      <c r="F482" s="113" t="s">
        <v>6</v>
      </c>
      <c r="G482" s="113" t="s">
        <v>4</v>
      </c>
      <c r="H482" s="113">
        <v>50</v>
      </c>
      <c r="I482" s="113">
        <v>100</v>
      </c>
      <c r="J482" s="113" t="s">
        <v>10</v>
      </c>
      <c r="K482" s="113">
        <v>0.27</v>
      </c>
      <c r="L482" s="113">
        <v>0.93759000000000003</v>
      </c>
      <c r="M482" s="113">
        <v>0.22603999999999999</v>
      </c>
      <c r="N482" s="113">
        <v>0.94120999999999999</v>
      </c>
      <c r="O482" s="114" t="s">
        <v>1647</v>
      </c>
    </row>
    <row r="483" spans="1:15" x14ac:dyDescent="0.25">
      <c r="A483" s="113" t="s">
        <v>55</v>
      </c>
      <c r="B483" s="113" t="s">
        <v>8</v>
      </c>
      <c r="C483" s="113">
        <v>1</v>
      </c>
      <c r="D483" s="113">
        <v>10</v>
      </c>
      <c r="E483" s="113">
        <v>1E-4</v>
      </c>
      <c r="F483" s="113" t="s">
        <v>6</v>
      </c>
      <c r="G483" s="113" t="s">
        <v>4</v>
      </c>
      <c r="H483" s="113">
        <v>2000</v>
      </c>
      <c r="I483" s="113">
        <v>4000</v>
      </c>
      <c r="J483" s="113" t="s">
        <v>10</v>
      </c>
      <c r="K483" s="113">
        <v>12</v>
      </c>
      <c r="L483" s="113">
        <v>46.037999999999997</v>
      </c>
      <c r="M483" s="113">
        <v>8.06</v>
      </c>
      <c r="N483" s="113">
        <v>46.328000000000003</v>
      </c>
      <c r="O483" s="114" t="s">
        <v>1658</v>
      </c>
    </row>
    <row r="484" spans="1:15" x14ac:dyDescent="0.25">
      <c r="A484" s="113" t="s">
        <v>55</v>
      </c>
      <c r="B484" s="113" t="s">
        <v>8</v>
      </c>
      <c r="C484" s="113">
        <v>1</v>
      </c>
      <c r="D484" s="113">
        <v>10</v>
      </c>
      <c r="E484" s="113">
        <v>1E-4</v>
      </c>
      <c r="F484" s="113" t="s">
        <v>6</v>
      </c>
      <c r="G484" s="113" t="s">
        <v>4</v>
      </c>
      <c r="H484" s="113">
        <v>4000</v>
      </c>
      <c r="I484" s="113">
        <v>8000</v>
      </c>
      <c r="J484" s="113" t="s">
        <v>10</v>
      </c>
      <c r="K484" s="113">
        <v>15</v>
      </c>
      <c r="L484" s="113">
        <v>46.325000000000003</v>
      </c>
      <c r="M484" s="113">
        <v>9.1631999999999998</v>
      </c>
      <c r="N484" s="113">
        <v>46.576000000000001</v>
      </c>
      <c r="O484" s="114" t="s">
        <v>2586</v>
      </c>
    </row>
    <row r="485" spans="1:15" x14ac:dyDescent="0.25">
      <c r="A485" s="113" t="s">
        <v>55</v>
      </c>
      <c r="B485" s="113" t="s">
        <v>8</v>
      </c>
      <c r="C485" s="113">
        <v>1</v>
      </c>
      <c r="D485" s="113">
        <v>10</v>
      </c>
      <c r="E485" s="113">
        <v>1E-4</v>
      </c>
      <c r="F485" s="113" t="s">
        <v>6</v>
      </c>
      <c r="G485" s="113" t="s">
        <v>4</v>
      </c>
      <c r="H485" s="113">
        <v>1000</v>
      </c>
      <c r="I485" s="113">
        <v>2000</v>
      </c>
      <c r="J485" s="113" t="s">
        <v>10</v>
      </c>
      <c r="K485" s="113">
        <v>6.1</v>
      </c>
      <c r="L485" s="113">
        <v>17.155999999999999</v>
      </c>
      <c r="M485" s="113">
        <v>1.1337999999999999</v>
      </c>
      <c r="N485" s="113">
        <v>17.486999999999998</v>
      </c>
      <c r="O485" s="114" t="s">
        <v>1659</v>
      </c>
    </row>
    <row r="486" spans="1:15" x14ac:dyDescent="0.25">
      <c r="A486" s="113" t="s">
        <v>55</v>
      </c>
      <c r="B486" s="113" t="s">
        <v>8</v>
      </c>
      <c r="C486" s="113">
        <v>1</v>
      </c>
      <c r="D486" s="113">
        <v>10</v>
      </c>
      <c r="E486" s="113">
        <v>1E-4</v>
      </c>
      <c r="F486" s="113" t="s">
        <v>6</v>
      </c>
      <c r="G486" s="113" t="s">
        <v>4</v>
      </c>
      <c r="H486" s="113">
        <v>1E-3</v>
      </c>
      <c r="I486" s="113">
        <v>0.04</v>
      </c>
      <c r="J486" s="113" t="s">
        <v>10</v>
      </c>
      <c r="K486" s="113">
        <v>0.46</v>
      </c>
      <c r="L486" s="113">
        <v>9.2019000000000004E-2</v>
      </c>
      <c r="M486" s="113">
        <v>0.45379999999999998</v>
      </c>
      <c r="N486" s="113">
        <v>9.1994000000000006E-2</v>
      </c>
      <c r="O486" s="114" t="s">
        <v>1660</v>
      </c>
    </row>
    <row r="487" spans="1:15" x14ac:dyDescent="0.25">
      <c r="A487" s="113" t="s">
        <v>55</v>
      </c>
      <c r="B487" s="113" t="s">
        <v>8</v>
      </c>
      <c r="C487" s="113">
        <v>1</v>
      </c>
      <c r="D487" s="113">
        <v>10</v>
      </c>
      <c r="E487" s="113">
        <v>1E-4</v>
      </c>
      <c r="F487" s="113" t="s">
        <v>6</v>
      </c>
      <c r="G487" s="113" t="s">
        <v>4</v>
      </c>
      <c r="H487" s="113">
        <v>0.04</v>
      </c>
      <c r="I487" s="113">
        <v>1</v>
      </c>
      <c r="J487" s="113" t="s">
        <v>10</v>
      </c>
      <c r="K487" s="113">
        <v>0.25</v>
      </c>
      <c r="L487" s="113">
        <v>8.4682999999999994E-2</v>
      </c>
      <c r="M487" s="113">
        <v>0.23197999999999999</v>
      </c>
      <c r="N487" s="113">
        <v>8.5126999999999994E-2</v>
      </c>
      <c r="O487" s="114" t="s">
        <v>2584</v>
      </c>
    </row>
    <row r="488" spans="1:15" x14ac:dyDescent="0.25">
      <c r="A488" s="113" t="s">
        <v>55</v>
      </c>
      <c r="B488" s="113" t="s">
        <v>8</v>
      </c>
      <c r="C488" s="113">
        <v>1</v>
      </c>
      <c r="D488" s="113">
        <v>10</v>
      </c>
      <c r="E488" s="113">
        <v>1E-4</v>
      </c>
      <c r="F488" s="113" t="s">
        <v>6</v>
      </c>
      <c r="G488" s="113" t="s">
        <v>4</v>
      </c>
      <c r="H488" s="113">
        <v>50</v>
      </c>
      <c r="I488" s="113">
        <v>100</v>
      </c>
      <c r="J488" s="113" t="s">
        <v>10</v>
      </c>
      <c r="K488" s="113">
        <v>0.27</v>
      </c>
      <c r="L488" s="113">
        <v>0.93767999999999996</v>
      </c>
      <c r="M488" s="113">
        <v>0.22761000000000001</v>
      </c>
      <c r="N488" s="113">
        <v>0.94106999999999996</v>
      </c>
      <c r="O488" s="114" t="s">
        <v>2585</v>
      </c>
    </row>
    <row r="489" spans="1:15" x14ac:dyDescent="0.25">
      <c r="A489" s="113" t="s">
        <v>55</v>
      </c>
      <c r="B489" s="113" t="s">
        <v>8</v>
      </c>
      <c r="C489" s="113">
        <v>1</v>
      </c>
      <c r="D489" s="113">
        <v>10</v>
      </c>
      <c r="E489" s="113">
        <v>1E-4</v>
      </c>
      <c r="F489" s="113" t="s">
        <v>6</v>
      </c>
      <c r="G489" s="113" t="s">
        <v>4</v>
      </c>
      <c r="H489" s="113">
        <v>1</v>
      </c>
      <c r="I489" s="113">
        <v>20</v>
      </c>
      <c r="J489" s="113" t="s">
        <v>10</v>
      </c>
      <c r="K489" s="113">
        <v>0.28000000000000003</v>
      </c>
      <c r="L489" s="113">
        <v>0.16156000000000001</v>
      </c>
      <c r="M489" s="113">
        <v>0.23294999999999999</v>
      </c>
      <c r="N489" s="113">
        <v>0.16397</v>
      </c>
      <c r="O489" s="114" t="s">
        <v>1661</v>
      </c>
    </row>
    <row r="490" spans="1:15" x14ac:dyDescent="0.25">
      <c r="A490" s="113" t="s">
        <v>55</v>
      </c>
      <c r="B490" s="113" t="s">
        <v>8</v>
      </c>
      <c r="C490" s="113">
        <v>1</v>
      </c>
      <c r="D490" s="113">
        <v>10</v>
      </c>
      <c r="E490" s="113">
        <v>1E-4</v>
      </c>
      <c r="F490" s="113" t="s">
        <v>6</v>
      </c>
      <c r="G490" s="113" t="s">
        <v>4</v>
      </c>
      <c r="H490" s="113">
        <v>8000</v>
      </c>
      <c r="I490" s="113">
        <v>10000</v>
      </c>
      <c r="J490" s="113" t="s">
        <v>10</v>
      </c>
      <c r="K490" s="113">
        <v>46</v>
      </c>
      <c r="L490" s="113">
        <v>170.12</v>
      </c>
      <c r="M490" s="113">
        <v>11.529</v>
      </c>
      <c r="N490" s="113">
        <v>173.36</v>
      </c>
      <c r="O490" s="114" t="s">
        <v>1662</v>
      </c>
    </row>
    <row r="491" spans="1:15" x14ac:dyDescent="0.25">
      <c r="A491" s="113" t="s">
        <v>55</v>
      </c>
      <c r="B491" s="113" t="s">
        <v>8</v>
      </c>
      <c r="C491" s="113">
        <v>1</v>
      </c>
      <c r="D491" s="113">
        <v>10</v>
      </c>
      <c r="E491" s="113">
        <v>1E-4</v>
      </c>
      <c r="F491" s="113" t="s">
        <v>6</v>
      </c>
      <c r="G491" s="113" t="s">
        <v>4</v>
      </c>
      <c r="H491" s="113">
        <v>300</v>
      </c>
      <c r="I491" s="113">
        <v>1000</v>
      </c>
      <c r="J491" s="113" t="s">
        <v>10</v>
      </c>
      <c r="K491" s="113">
        <v>0.83</v>
      </c>
      <c r="L491" s="113">
        <v>11.988</v>
      </c>
      <c r="M491" s="113">
        <v>1.1272</v>
      </c>
      <c r="N491" s="113">
        <v>11.688000000000001</v>
      </c>
      <c r="O491" s="114" t="s">
        <v>1657</v>
      </c>
    </row>
    <row r="492" spans="1:15" x14ac:dyDescent="0.25">
      <c r="A492" s="113" t="s">
        <v>55</v>
      </c>
      <c r="B492" s="113" t="s">
        <v>8</v>
      </c>
      <c r="C492" s="113">
        <v>1</v>
      </c>
      <c r="D492" s="113">
        <v>10</v>
      </c>
      <c r="E492" s="113">
        <v>1E-4</v>
      </c>
      <c r="F492" s="113" t="s">
        <v>6</v>
      </c>
      <c r="G492" s="113" t="s">
        <v>4</v>
      </c>
      <c r="H492" s="113">
        <v>20</v>
      </c>
      <c r="I492" s="113">
        <v>50</v>
      </c>
      <c r="J492" s="113" t="s">
        <v>10</v>
      </c>
      <c r="K492" s="113">
        <v>0.24</v>
      </c>
      <c r="L492" s="113">
        <v>0.35</v>
      </c>
      <c r="M492" s="113">
        <v>0.23282</v>
      </c>
      <c r="N492" s="113">
        <v>0.34749000000000002</v>
      </c>
      <c r="O492" s="114" t="s">
        <v>1664</v>
      </c>
    </row>
    <row r="493" spans="1:15" x14ac:dyDescent="0.25">
      <c r="A493" s="113" t="s">
        <v>55</v>
      </c>
      <c r="B493" s="113" t="s">
        <v>8</v>
      </c>
      <c r="C493" s="113">
        <v>1</v>
      </c>
      <c r="D493" s="113">
        <v>10</v>
      </c>
      <c r="E493" s="113">
        <v>1E-4</v>
      </c>
      <c r="F493" s="113" t="s">
        <v>6</v>
      </c>
      <c r="G493" s="113" t="s">
        <v>4</v>
      </c>
      <c r="H493" s="113">
        <v>100</v>
      </c>
      <c r="I493" s="113">
        <v>300</v>
      </c>
      <c r="J493" s="113" t="s">
        <v>10</v>
      </c>
      <c r="K493" s="113">
        <v>1.2</v>
      </c>
      <c r="L493" s="113">
        <v>3.5</v>
      </c>
      <c r="M493" s="113">
        <v>1.1365000000000001</v>
      </c>
      <c r="N493" s="113">
        <v>3.4830000000000001</v>
      </c>
      <c r="O493" s="114" t="s">
        <v>1663</v>
      </c>
    </row>
    <row r="494" spans="1:15" x14ac:dyDescent="0.25">
      <c r="A494" s="113" t="s">
        <v>55</v>
      </c>
      <c r="B494" s="113" t="s">
        <v>8</v>
      </c>
      <c r="C494" s="113">
        <v>1</v>
      </c>
      <c r="D494" s="113">
        <v>10</v>
      </c>
      <c r="E494" s="113">
        <v>1E-3</v>
      </c>
      <c r="F494" s="113" t="s">
        <v>6</v>
      </c>
      <c r="G494" s="113" t="s">
        <v>4</v>
      </c>
      <c r="H494" s="113">
        <v>1E-3</v>
      </c>
      <c r="I494" s="113">
        <v>0.04</v>
      </c>
      <c r="J494" s="113" t="s">
        <v>10</v>
      </c>
      <c r="K494" s="113">
        <v>0.71618999999999999</v>
      </c>
      <c r="L494" s="113">
        <v>7.7546000000000004E-2</v>
      </c>
      <c r="M494" s="113">
        <v>0.71499000000000001</v>
      </c>
      <c r="N494" s="113">
        <v>7.7401999999999999E-2</v>
      </c>
      <c r="O494" s="114" t="s">
        <v>2588</v>
      </c>
    </row>
    <row r="495" spans="1:15" x14ac:dyDescent="0.25">
      <c r="A495" s="113" t="s">
        <v>55</v>
      </c>
      <c r="B495" s="113" t="s">
        <v>8</v>
      </c>
      <c r="C495" s="113">
        <v>1</v>
      </c>
      <c r="D495" s="113">
        <v>10</v>
      </c>
      <c r="E495" s="113">
        <v>1E-3</v>
      </c>
      <c r="F495" s="113" t="s">
        <v>6</v>
      </c>
      <c r="G495" s="113" t="s">
        <v>4</v>
      </c>
      <c r="H495" s="113">
        <v>300</v>
      </c>
      <c r="I495" s="113">
        <v>1000</v>
      </c>
      <c r="J495" s="113" t="s">
        <v>10</v>
      </c>
      <c r="K495" s="113">
        <v>0.84662999999999999</v>
      </c>
      <c r="L495" s="113">
        <v>11.986000000000001</v>
      </c>
      <c r="M495" s="113">
        <v>1.141</v>
      </c>
      <c r="N495" s="113">
        <v>11.686999999999999</v>
      </c>
      <c r="O495" s="114" t="s">
        <v>1669</v>
      </c>
    </row>
    <row r="496" spans="1:15" x14ac:dyDescent="0.25">
      <c r="A496" s="113" t="s">
        <v>55</v>
      </c>
      <c r="B496" s="113" t="s">
        <v>8</v>
      </c>
      <c r="C496" s="113">
        <v>1</v>
      </c>
      <c r="D496" s="113">
        <v>10</v>
      </c>
      <c r="E496" s="113">
        <v>1E-3</v>
      </c>
      <c r="F496" s="113" t="s">
        <v>6</v>
      </c>
      <c r="G496" s="113" t="s">
        <v>4</v>
      </c>
      <c r="H496" s="113">
        <v>1</v>
      </c>
      <c r="I496" s="113">
        <v>20</v>
      </c>
      <c r="J496" s="113" t="s">
        <v>10</v>
      </c>
      <c r="K496" s="113">
        <v>0.56386000000000003</v>
      </c>
      <c r="L496" s="113">
        <v>0.14001</v>
      </c>
      <c r="M496" s="113">
        <v>0.55818000000000001</v>
      </c>
      <c r="N496" s="113">
        <v>0.14005999999999999</v>
      </c>
      <c r="O496" s="114" t="s">
        <v>1672</v>
      </c>
    </row>
    <row r="497" spans="1:15" x14ac:dyDescent="0.25">
      <c r="A497" s="113" t="s">
        <v>55</v>
      </c>
      <c r="B497" s="113" t="s">
        <v>8</v>
      </c>
      <c r="C497" s="113">
        <v>1</v>
      </c>
      <c r="D497" s="113">
        <v>10</v>
      </c>
      <c r="E497" s="113">
        <v>1E-3</v>
      </c>
      <c r="F497" s="113" t="s">
        <v>6</v>
      </c>
      <c r="G497" s="113" t="s">
        <v>4</v>
      </c>
      <c r="H497" s="113">
        <v>50</v>
      </c>
      <c r="I497" s="113">
        <v>100</v>
      </c>
      <c r="J497" s="113" t="s">
        <v>10</v>
      </c>
      <c r="K497" s="113">
        <v>0.38941999999999999</v>
      </c>
      <c r="L497" s="113">
        <v>0.92691999999999997</v>
      </c>
      <c r="M497" s="113">
        <v>0.37412000000000001</v>
      </c>
      <c r="N497" s="113">
        <v>0.92813000000000001</v>
      </c>
      <c r="O497" s="114" t="s">
        <v>1666</v>
      </c>
    </row>
    <row r="498" spans="1:15" x14ac:dyDescent="0.25">
      <c r="A498" s="113" t="s">
        <v>55</v>
      </c>
      <c r="B498" s="113" t="s">
        <v>8</v>
      </c>
      <c r="C498" s="113">
        <v>1</v>
      </c>
      <c r="D498" s="113">
        <v>10</v>
      </c>
      <c r="E498" s="113">
        <v>1E-3</v>
      </c>
      <c r="F498" s="113" t="s">
        <v>6</v>
      </c>
      <c r="G498" s="113" t="s">
        <v>4</v>
      </c>
      <c r="H498" s="113">
        <v>8000</v>
      </c>
      <c r="I498" s="113">
        <v>10000</v>
      </c>
      <c r="J498" s="113" t="s">
        <v>10</v>
      </c>
      <c r="K498" s="113">
        <v>46</v>
      </c>
      <c r="L498" s="113">
        <v>170.12</v>
      </c>
      <c r="M498" s="113">
        <v>11.584</v>
      </c>
      <c r="N498" s="113">
        <v>173.35</v>
      </c>
      <c r="O498" s="114" t="s">
        <v>1667</v>
      </c>
    </row>
    <row r="499" spans="1:15" x14ac:dyDescent="0.25">
      <c r="A499" s="113" t="s">
        <v>55</v>
      </c>
      <c r="B499" s="113" t="s">
        <v>8</v>
      </c>
      <c r="C499" s="113">
        <v>1</v>
      </c>
      <c r="D499" s="113">
        <v>10</v>
      </c>
      <c r="E499" s="113">
        <v>1E-3</v>
      </c>
      <c r="F499" s="113" t="s">
        <v>6</v>
      </c>
      <c r="G499" s="113" t="s">
        <v>4</v>
      </c>
      <c r="H499" s="113">
        <v>20</v>
      </c>
      <c r="I499" s="113">
        <v>50</v>
      </c>
      <c r="J499" s="113" t="s">
        <v>10</v>
      </c>
      <c r="K499" s="113">
        <v>0.50358000000000003</v>
      </c>
      <c r="L499" s="113">
        <v>0.32533000000000001</v>
      </c>
      <c r="M499" s="113">
        <v>0.49042000000000002</v>
      </c>
      <c r="N499" s="113">
        <v>0.32615</v>
      </c>
      <c r="O499" s="114" t="s">
        <v>2589</v>
      </c>
    </row>
    <row r="500" spans="1:15" x14ac:dyDescent="0.25">
      <c r="A500" s="113" t="s">
        <v>55</v>
      </c>
      <c r="B500" s="113" t="s">
        <v>8</v>
      </c>
      <c r="C500" s="113">
        <v>1</v>
      </c>
      <c r="D500" s="113">
        <v>10</v>
      </c>
      <c r="E500" s="113">
        <v>1E-3</v>
      </c>
      <c r="F500" s="113" t="s">
        <v>6</v>
      </c>
      <c r="G500" s="113" t="s">
        <v>4</v>
      </c>
      <c r="H500" s="113">
        <v>2000</v>
      </c>
      <c r="I500" s="113">
        <v>4000</v>
      </c>
      <c r="J500" s="113" t="s">
        <v>10</v>
      </c>
      <c r="K500" s="113">
        <v>12</v>
      </c>
      <c r="L500" s="113">
        <v>46.037999999999997</v>
      </c>
      <c r="M500" s="113">
        <v>8.0602999999999998</v>
      </c>
      <c r="N500" s="113">
        <v>46.328000000000003</v>
      </c>
      <c r="O500" s="114" t="s">
        <v>1670</v>
      </c>
    </row>
    <row r="501" spans="1:15" x14ac:dyDescent="0.25">
      <c r="A501" s="113" t="s">
        <v>55</v>
      </c>
      <c r="B501" s="113" t="s">
        <v>8</v>
      </c>
      <c r="C501" s="113">
        <v>1</v>
      </c>
      <c r="D501" s="113">
        <v>10</v>
      </c>
      <c r="E501" s="113">
        <v>1E-3</v>
      </c>
      <c r="F501" s="113" t="s">
        <v>6</v>
      </c>
      <c r="G501" s="113" t="s">
        <v>4</v>
      </c>
      <c r="H501" s="113">
        <v>1000</v>
      </c>
      <c r="I501" s="113">
        <v>2000</v>
      </c>
      <c r="J501" s="113" t="s">
        <v>10</v>
      </c>
      <c r="K501" s="113">
        <v>6.1</v>
      </c>
      <c r="L501" s="113">
        <v>17.155999999999999</v>
      </c>
      <c r="M501" s="113">
        <v>1.1448</v>
      </c>
      <c r="N501" s="113">
        <v>17.486000000000001</v>
      </c>
      <c r="O501" s="114" t="s">
        <v>1671</v>
      </c>
    </row>
    <row r="502" spans="1:15" x14ac:dyDescent="0.25">
      <c r="A502" s="113" t="s">
        <v>55</v>
      </c>
      <c r="B502" s="113" t="s">
        <v>8</v>
      </c>
      <c r="C502" s="113">
        <v>1</v>
      </c>
      <c r="D502" s="113">
        <v>10</v>
      </c>
      <c r="E502" s="113">
        <v>1E-3</v>
      </c>
      <c r="F502" s="113" t="s">
        <v>6</v>
      </c>
      <c r="G502" s="113" t="s">
        <v>4</v>
      </c>
      <c r="H502" s="113">
        <v>100</v>
      </c>
      <c r="I502" s="113">
        <v>300</v>
      </c>
      <c r="J502" s="113" t="s">
        <v>10</v>
      </c>
      <c r="K502" s="113">
        <v>1.2</v>
      </c>
      <c r="L502" s="113">
        <v>3.5</v>
      </c>
      <c r="M502" s="113">
        <v>1.1754</v>
      </c>
      <c r="N502" s="113">
        <v>3.4796</v>
      </c>
      <c r="O502" s="114" t="s">
        <v>2587</v>
      </c>
    </row>
    <row r="503" spans="1:15" x14ac:dyDescent="0.25">
      <c r="A503" s="113" t="s">
        <v>55</v>
      </c>
      <c r="B503" s="113" t="s">
        <v>8</v>
      </c>
      <c r="C503" s="113">
        <v>1</v>
      </c>
      <c r="D503" s="113">
        <v>10</v>
      </c>
      <c r="E503" s="113">
        <v>1E-3</v>
      </c>
      <c r="F503" s="113" t="s">
        <v>6</v>
      </c>
      <c r="G503" s="113" t="s">
        <v>4</v>
      </c>
      <c r="H503" s="113">
        <v>0.04</v>
      </c>
      <c r="I503" s="113">
        <v>1</v>
      </c>
      <c r="J503" s="113" t="s">
        <v>10</v>
      </c>
      <c r="K503" s="113">
        <v>0.59428000000000003</v>
      </c>
      <c r="L503" s="113">
        <v>6.3506000000000007E-2</v>
      </c>
      <c r="M503" s="113">
        <v>0.59284000000000003</v>
      </c>
      <c r="N503" s="113">
        <v>6.3329999999999997E-2</v>
      </c>
      <c r="O503" s="114" t="s">
        <v>1668</v>
      </c>
    </row>
    <row r="504" spans="1:15" x14ac:dyDescent="0.25">
      <c r="A504" s="113" t="s">
        <v>55</v>
      </c>
      <c r="B504" s="113" t="s">
        <v>8</v>
      </c>
      <c r="C504" s="113">
        <v>1</v>
      </c>
      <c r="D504" s="113">
        <v>10</v>
      </c>
      <c r="E504" s="113">
        <v>1E-3</v>
      </c>
      <c r="F504" s="113" t="s">
        <v>6</v>
      </c>
      <c r="G504" s="113" t="s">
        <v>4</v>
      </c>
      <c r="H504" s="113">
        <v>4000</v>
      </c>
      <c r="I504" s="113">
        <v>8000</v>
      </c>
      <c r="J504" s="113" t="s">
        <v>10</v>
      </c>
      <c r="K504" s="113">
        <v>15</v>
      </c>
      <c r="L504" s="113">
        <v>46.325000000000003</v>
      </c>
      <c r="M504" s="113">
        <v>9.1658000000000008</v>
      </c>
      <c r="N504" s="113">
        <v>46.576000000000001</v>
      </c>
      <c r="O504" s="114" t="s">
        <v>1665</v>
      </c>
    </row>
    <row r="505" spans="1:15" x14ac:dyDescent="0.25">
      <c r="A505" s="113" t="s">
        <v>55</v>
      </c>
      <c r="B505" s="113" t="s">
        <v>8</v>
      </c>
      <c r="C505" s="113">
        <v>1</v>
      </c>
      <c r="D505" s="113">
        <v>10</v>
      </c>
      <c r="E505" s="113">
        <v>0.01</v>
      </c>
      <c r="F505" s="113" t="s">
        <v>6</v>
      </c>
      <c r="G505" s="113" t="s">
        <v>4</v>
      </c>
      <c r="H505" s="113">
        <v>100</v>
      </c>
      <c r="I505" s="113">
        <v>300</v>
      </c>
      <c r="J505" s="113" t="s">
        <v>10</v>
      </c>
      <c r="K505" s="113">
        <v>4.1894999999999998</v>
      </c>
      <c r="L505" s="113">
        <v>3.2244000000000002</v>
      </c>
      <c r="M505" s="113">
        <v>4.1679000000000004</v>
      </c>
      <c r="N505" s="113">
        <v>3.2259000000000002</v>
      </c>
      <c r="O505" s="114" t="s">
        <v>1680</v>
      </c>
    </row>
    <row r="506" spans="1:15" x14ac:dyDescent="0.25">
      <c r="A506" s="113" t="s">
        <v>55</v>
      </c>
      <c r="B506" s="113" t="s">
        <v>8</v>
      </c>
      <c r="C506" s="113">
        <v>1</v>
      </c>
      <c r="D506" s="113">
        <v>10</v>
      </c>
      <c r="E506" s="113">
        <v>0.01</v>
      </c>
      <c r="F506" s="113" t="s">
        <v>6</v>
      </c>
      <c r="G506" s="113" t="s">
        <v>4</v>
      </c>
      <c r="H506" s="113">
        <v>1000</v>
      </c>
      <c r="I506" s="113">
        <v>2000</v>
      </c>
      <c r="J506" s="113" t="s">
        <v>10</v>
      </c>
      <c r="K506" s="113">
        <v>6.1</v>
      </c>
      <c r="L506" s="113">
        <v>17.167000000000002</v>
      </c>
      <c r="M506" s="113">
        <v>2.0914999999999999</v>
      </c>
      <c r="N506" s="113">
        <v>17.401</v>
      </c>
      <c r="O506" s="114" t="s">
        <v>1677</v>
      </c>
    </row>
    <row r="507" spans="1:15" x14ac:dyDescent="0.25">
      <c r="A507" s="113" t="s">
        <v>55</v>
      </c>
      <c r="B507" s="113" t="s">
        <v>8</v>
      </c>
      <c r="C507" s="113">
        <v>1</v>
      </c>
      <c r="D507" s="113">
        <v>10</v>
      </c>
      <c r="E507" s="113">
        <v>0.01</v>
      </c>
      <c r="F507" s="113" t="s">
        <v>6</v>
      </c>
      <c r="G507" s="113" t="s">
        <v>4</v>
      </c>
      <c r="H507" s="113">
        <v>20</v>
      </c>
      <c r="I507" s="113">
        <v>50</v>
      </c>
      <c r="J507" s="113" t="s">
        <v>10</v>
      </c>
      <c r="K507" s="113">
        <v>5.6913</v>
      </c>
      <c r="L507" s="113">
        <v>0.11808</v>
      </c>
      <c r="M507" s="113">
        <v>5.6847000000000003</v>
      </c>
      <c r="N507" s="113">
        <v>0.11766</v>
      </c>
      <c r="O507" s="114" t="s">
        <v>1675</v>
      </c>
    </row>
    <row r="508" spans="1:15" x14ac:dyDescent="0.25">
      <c r="A508" s="113" t="s">
        <v>55</v>
      </c>
      <c r="B508" s="113" t="s">
        <v>8</v>
      </c>
      <c r="C508" s="113">
        <v>1</v>
      </c>
      <c r="D508" s="113">
        <v>10</v>
      </c>
      <c r="E508" s="113">
        <v>0.01</v>
      </c>
      <c r="F508" s="113" t="s">
        <v>6</v>
      </c>
      <c r="G508" s="113" t="s">
        <v>4</v>
      </c>
      <c r="H508" s="113">
        <v>1E-3</v>
      </c>
      <c r="I508" s="113">
        <v>0.04</v>
      </c>
      <c r="J508" s="113" t="s">
        <v>10</v>
      </c>
      <c r="K508" s="113">
        <v>5.7845000000000004</v>
      </c>
      <c r="L508" s="113">
        <v>1.5263000000000001E-2</v>
      </c>
      <c r="M508" s="113">
        <v>5.7839999999999998</v>
      </c>
      <c r="N508" s="113">
        <v>1.5049999999999999E-2</v>
      </c>
      <c r="O508" s="114" t="s">
        <v>1676</v>
      </c>
    </row>
    <row r="509" spans="1:15" x14ac:dyDescent="0.25">
      <c r="A509" s="113" t="s">
        <v>55</v>
      </c>
      <c r="B509" s="113" t="s">
        <v>8</v>
      </c>
      <c r="C509" s="113">
        <v>1</v>
      </c>
      <c r="D509" s="113">
        <v>10</v>
      </c>
      <c r="E509" s="113">
        <v>0.01</v>
      </c>
      <c r="F509" s="113" t="s">
        <v>6</v>
      </c>
      <c r="G509" s="113" t="s">
        <v>4</v>
      </c>
      <c r="H509" s="113">
        <v>0.04</v>
      </c>
      <c r="I509" s="113">
        <v>1</v>
      </c>
      <c r="J509" s="113" t="s">
        <v>10</v>
      </c>
      <c r="K509" s="113">
        <v>5.7723000000000004</v>
      </c>
      <c r="L509" s="113">
        <v>1.0442999999999999E-2</v>
      </c>
      <c r="M509" s="113">
        <v>5.7717000000000001</v>
      </c>
      <c r="N509" s="113">
        <v>1.0227E-2</v>
      </c>
      <c r="O509" s="114" t="s">
        <v>2590</v>
      </c>
    </row>
    <row r="510" spans="1:15" x14ac:dyDescent="0.25">
      <c r="A510" s="113" t="s">
        <v>55</v>
      </c>
      <c r="B510" s="113" t="s">
        <v>8</v>
      </c>
      <c r="C510" s="113">
        <v>1</v>
      </c>
      <c r="D510" s="113">
        <v>10</v>
      </c>
      <c r="E510" s="113">
        <v>0.01</v>
      </c>
      <c r="F510" s="113" t="s">
        <v>6</v>
      </c>
      <c r="G510" s="113" t="s">
        <v>4</v>
      </c>
      <c r="H510" s="113">
        <v>8000</v>
      </c>
      <c r="I510" s="113">
        <v>10000</v>
      </c>
      <c r="J510" s="113" t="s">
        <v>10</v>
      </c>
      <c r="K510" s="113">
        <v>46</v>
      </c>
      <c r="L510" s="113">
        <v>170.12</v>
      </c>
      <c r="M510" s="113">
        <v>11.629</v>
      </c>
      <c r="N510" s="113">
        <v>173.35</v>
      </c>
      <c r="O510" s="114" t="s">
        <v>1673</v>
      </c>
    </row>
    <row r="511" spans="1:15" x14ac:dyDescent="0.25">
      <c r="A511" s="113" t="s">
        <v>55</v>
      </c>
      <c r="B511" s="113" t="s">
        <v>8</v>
      </c>
      <c r="C511" s="113">
        <v>1</v>
      </c>
      <c r="D511" s="113">
        <v>10</v>
      </c>
      <c r="E511" s="113">
        <v>0.01</v>
      </c>
      <c r="F511" s="113" t="s">
        <v>6</v>
      </c>
      <c r="G511" s="113" t="s">
        <v>4</v>
      </c>
      <c r="H511" s="113">
        <v>50</v>
      </c>
      <c r="I511" s="113">
        <v>100</v>
      </c>
      <c r="J511" s="113" t="s">
        <v>10</v>
      </c>
      <c r="K511" s="113">
        <v>5.3091999999999997</v>
      </c>
      <c r="L511" s="113">
        <v>0.59367999999999999</v>
      </c>
      <c r="M511" s="113">
        <v>5.2965</v>
      </c>
      <c r="N511" s="113">
        <v>0.59386000000000005</v>
      </c>
      <c r="O511" s="114" t="s">
        <v>1679</v>
      </c>
    </row>
    <row r="512" spans="1:15" x14ac:dyDescent="0.25">
      <c r="A512" s="113" t="s">
        <v>55</v>
      </c>
      <c r="B512" s="113" t="s">
        <v>8</v>
      </c>
      <c r="C512" s="113">
        <v>1</v>
      </c>
      <c r="D512" s="113">
        <v>10</v>
      </c>
      <c r="E512" s="113">
        <v>0.01</v>
      </c>
      <c r="F512" s="113" t="s">
        <v>6</v>
      </c>
      <c r="G512" s="113" t="s">
        <v>4</v>
      </c>
      <c r="H512" s="113">
        <v>1</v>
      </c>
      <c r="I512" s="113">
        <v>20</v>
      </c>
      <c r="J512" s="113" t="s">
        <v>10</v>
      </c>
      <c r="K512" s="113">
        <v>5.7577999999999996</v>
      </c>
      <c r="L512" s="113">
        <v>3.1829000000000003E-2</v>
      </c>
      <c r="M512" s="113">
        <v>5.7554999999999996</v>
      </c>
      <c r="N512" s="113">
        <v>3.1387999999999999E-2</v>
      </c>
      <c r="O512" s="114" t="s">
        <v>1678</v>
      </c>
    </row>
    <row r="513" spans="1:15" x14ac:dyDescent="0.25">
      <c r="A513" s="113" t="s">
        <v>55</v>
      </c>
      <c r="B513" s="113" t="s">
        <v>8</v>
      </c>
      <c r="C513" s="113">
        <v>1</v>
      </c>
      <c r="D513" s="113">
        <v>10</v>
      </c>
      <c r="E513" s="113">
        <v>0.01</v>
      </c>
      <c r="F513" s="113" t="s">
        <v>6</v>
      </c>
      <c r="G513" s="113" t="s">
        <v>4</v>
      </c>
      <c r="H513" s="113">
        <v>4000</v>
      </c>
      <c r="I513" s="113">
        <v>8000</v>
      </c>
      <c r="J513" s="113" t="s">
        <v>10</v>
      </c>
      <c r="K513" s="113">
        <v>15</v>
      </c>
      <c r="L513" s="113">
        <v>46.329000000000001</v>
      </c>
      <c r="M513" s="113">
        <v>9.49</v>
      </c>
      <c r="N513" s="113">
        <v>46.546999999999997</v>
      </c>
      <c r="O513" s="114" t="s">
        <v>1682</v>
      </c>
    </row>
    <row r="514" spans="1:15" x14ac:dyDescent="0.25">
      <c r="A514" s="113" t="s">
        <v>55</v>
      </c>
      <c r="B514" s="113" t="s">
        <v>8</v>
      </c>
      <c r="C514" s="113">
        <v>1</v>
      </c>
      <c r="D514" s="113">
        <v>10</v>
      </c>
      <c r="E514" s="113">
        <v>0.01</v>
      </c>
      <c r="F514" s="113" t="s">
        <v>6</v>
      </c>
      <c r="G514" s="113" t="s">
        <v>4</v>
      </c>
      <c r="H514" s="113">
        <v>300</v>
      </c>
      <c r="I514" s="113">
        <v>1000</v>
      </c>
      <c r="J514" s="113" t="s">
        <v>10</v>
      </c>
      <c r="K514" s="113">
        <v>2.2239</v>
      </c>
      <c r="L514" s="113">
        <v>11.849</v>
      </c>
      <c r="M514" s="113">
        <v>2.4895999999999998</v>
      </c>
      <c r="N514" s="113">
        <v>11.566000000000001</v>
      </c>
      <c r="O514" s="114" t="s">
        <v>1681</v>
      </c>
    </row>
    <row r="515" spans="1:15" x14ac:dyDescent="0.25">
      <c r="A515" s="113" t="s">
        <v>55</v>
      </c>
      <c r="B515" s="113" t="s">
        <v>8</v>
      </c>
      <c r="C515" s="113">
        <v>1</v>
      </c>
      <c r="D515" s="113">
        <v>10</v>
      </c>
      <c r="E515" s="113">
        <v>0.01</v>
      </c>
      <c r="F515" s="113" t="s">
        <v>6</v>
      </c>
      <c r="G515" s="113" t="s">
        <v>4</v>
      </c>
      <c r="H515" s="113">
        <v>2000</v>
      </c>
      <c r="I515" s="113">
        <v>4000</v>
      </c>
      <c r="J515" s="113" t="s">
        <v>10</v>
      </c>
      <c r="K515" s="113">
        <v>12</v>
      </c>
      <c r="L515" s="113">
        <v>46.042000000000002</v>
      </c>
      <c r="M515" s="113">
        <v>8.3953000000000007</v>
      </c>
      <c r="N515" s="113">
        <v>46.298000000000002</v>
      </c>
      <c r="O515" s="114" t="s">
        <v>1674</v>
      </c>
    </row>
    <row r="516" spans="1:15" x14ac:dyDescent="0.25">
      <c r="A516" s="113" t="s">
        <v>55</v>
      </c>
      <c r="B516" s="113" t="s">
        <v>8</v>
      </c>
      <c r="C516" s="113">
        <v>1</v>
      </c>
      <c r="D516" s="113">
        <v>10</v>
      </c>
      <c r="E516" s="113">
        <v>0.1</v>
      </c>
      <c r="F516" s="113" t="s">
        <v>6</v>
      </c>
      <c r="G516" s="113" t="s">
        <v>4</v>
      </c>
      <c r="H516" s="113">
        <v>8000</v>
      </c>
      <c r="I516" s="113">
        <v>10000</v>
      </c>
      <c r="J516" s="113" t="s">
        <v>10</v>
      </c>
      <c r="K516" s="113">
        <v>46</v>
      </c>
      <c r="L516" s="113">
        <v>170.24</v>
      </c>
      <c r="M516" s="113">
        <v>20.344000000000001</v>
      </c>
      <c r="N516" s="113">
        <v>172.48</v>
      </c>
      <c r="O516" s="114" t="s">
        <v>1687</v>
      </c>
    </row>
    <row r="517" spans="1:15" x14ac:dyDescent="0.25">
      <c r="A517" s="113" t="s">
        <v>55</v>
      </c>
      <c r="B517" s="113" t="s">
        <v>8</v>
      </c>
      <c r="C517" s="113">
        <v>1</v>
      </c>
      <c r="D517" s="113">
        <v>10</v>
      </c>
      <c r="E517" s="113">
        <v>0.1</v>
      </c>
      <c r="F517" s="113" t="s">
        <v>6</v>
      </c>
      <c r="G517" s="113" t="s">
        <v>4</v>
      </c>
      <c r="H517" s="113">
        <v>1</v>
      </c>
      <c r="I517" s="113">
        <v>20</v>
      </c>
      <c r="J517" s="113" t="s">
        <v>10</v>
      </c>
      <c r="K517" s="113">
        <v>57.734999999999999</v>
      </c>
      <c r="L517" s="113">
        <v>3.4134999999999999E-3</v>
      </c>
      <c r="M517" s="113">
        <v>57.704999999999998</v>
      </c>
      <c r="N517" s="113">
        <v>3.222E-3</v>
      </c>
      <c r="O517" s="114" t="s">
        <v>2596</v>
      </c>
    </row>
    <row r="518" spans="1:15" x14ac:dyDescent="0.25">
      <c r="A518" s="113" t="s">
        <v>55</v>
      </c>
      <c r="B518" s="113" t="s">
        <v>8</v>
      </c>
      <c r="C518" s="113">
        <v>1</v>
      </c>
      <c r="D518" s="113">
        <v>10</v>
      </c>
      <c r="E518" s="113">
        <v>0.1</v>
      </c>
      <c r="F518" s="113" t="s">
        <v>6</v>
      </c>
      <c r="G518" s="113" t="s">
        <v>4</v>
      </c>
      <c r="H518" s="113">
        <v>300</v>
      </c>
      <c r="I518" s="113">
        <v>1000</v>
      </c>
      <c r="J518" s="113" t="s">
        <v>10</v>
      </c>
      <c r="K518" s="113">
        <v>51.131999999999998</v>
      </c>
      <c r="L518" s="113">
        <v>8.0251999999999999</v>
      </c>
      <c r="M518" s="113">
        <v>47.575000000000003</v>
      </c>
      <c r="N518" s="113">
        <v>8.0258000000000003</v>
      </c>
      <c r="O518" s="114" t="s">
        <v>1685</v>
      </c>
    </row>
    <row r="519" spans="1:15" x14ac:dyDescent="0.25">
      <c r="A519" s="113" t="s">
        <v>55</v>
      </c>
      <c r="B519" s="113" t="s">
        <v>8</v>
      </c>
      <c r="C519" s="113">
        <v>1</v>
      </c>
      <c r="D519" s="113">
        <v>10</v>
      </c>
      <c r="E519" s="113">
        <v>0.1</v>
      </c>
      <c r="F519" s="113" t="s">
        <v>6</v>
      </c>
      <c r="G519" s="113" t="s">
        <v>4</v>
      </c>
      <c r="H519" s="113">
        <v>100</v>
      </c>
      <c r="I519" s="113">
        <v>300</v>
      </c>
      <c r="J519" s="113" t="s">
        <v>10</v>
      </c>
      <c r="K519" s="113">
        <v>56.807000000000002</v>
      </c>
      <c r="L519" s="113">
        <v>1.1229</v>
      </c>
      <c r="M519" s="113">
        <v>54.694000000000003</v>
      </c>
      <c r="N519" s="113">
        <v>1.1224000000000001</v>
      </c>
      <c r="O519" s="114" t="s">
        <v>2594</v>
      </c>
    </row>
    <row r="520" spans="1:15" x14ac:dyDescent="0.25">
      <c r="A520" s="113" t="s">
        <v>55</v>
      </c>
      <c r="B520" s="113" t="s">
        <v>8</v>
      </c>
      <c r="C520" s="113">
        <v>1</v>
      </c>
      <c r="D520" s="113">
        <v>10</v>
      </c>
      <c r="E520" s="113">
        <v>0.1</v>
      </c>
      <c r="F520" s="113" t="s">
        <v>6</v>
      </c>
      <c r="G520" s="113" t="s">
        <v>4</v>
      </c>
      <c r="H520" s="113">
        <v>2000</v>
      </c>
      <c r="I520" s="113">
        <v>4000</v>
      </c>
      <c r="J520" s="113" t="s">
        <v>10</v>
      </c>
      <c r="K520" s="113">
        <v>35.390999999999998</v>
      </c>
      <c r="L520" s="113">
        <v>43.95</v>
      </c>
      <c r="M520" s="113">
        <v>33.018000000000001</v>
      </c>
      <c r="N520" s="113">
        <v>43.95</v>
      </c>
      <c r="O520" s="114" t="s">
        <v>1686</v>
      </c>
    </row>
    <row r="521" spans="1:15" x14ac:dyDescent="0.25">
      <c r="A521" s="113" t="s">
        <v>55</v>
      </c>
      <c r="B521" s="113" t="s">
        <v>8</v>
      </c>
      <c r="C521" s="113">
        <v>1</v>
      </c>
      <c r="D521" s="113">
        <v>10</v>
      </c>
      <c r="E521" s="113">
        <v>0.1</v>
      </c>
      <c r="F521" s="113" t="s">
        <v>6</v>
      </c>
      <c r="G521" s="113" t="s">
        <v>4</v>
      </c>
      <c r="H521" s="113">
        <v>50</v>
      </c>
      <c r="I521" s="113">
        <v>100</v>
      </c>
      <c r="J521" s="113" t="s">
        <v>10</v>
      </c>
      <c r="K521" s="113">
        <v>57.664999999999999</v>
      </c>
      <c r="L521" s="113">
        <v>8.7822999999999998E-2</v>
      </c>
      <c r="M521" s="113">
        <v>57.152999999999999</v>
      </c>
      <c r="N521" s="113">
        <v>8.7461999999999998E-2</v>
      </c>
      <c r="O521" s="114" t="s">
        <v>2592</v>
      </c>
    </row>
    <row r="522" spans="1:15" x14ac:dyDescent="0.25">
      <c r="A522" s="113" t="s">
        <v>55</v>
      </c>
      <c r="B522" s="113" t="s">
        <v>8</v>
      </c>
      <c r="C522" s="113">
        <v>1</v>
      </c>
      <c r="D522" s="113">
        <v>10</v>
      </c>
      <c r="E522" s="113">
        <v>0.1</v>
      </c>
      <c r="F522" s="113" t="s">
        <v>6</v>
      </c>
      <c r="G522" s="113" t="s">
        <v>4</v>
      </c>
      <c r="H522" s="113">
        <v>4000</v>
      </c>
      <c r="I522" s="113">
        <v>8000</v>
      </c>
      <c r="J522" s="113" t="s">
        <v>10</v>
      </c>
      <c r="K522" s="113">
        <v>36.033999999999999</v>
      </c>
      <c r="L522" s="113">
        <v>44.241</v>
      </c>
      <c r="M522" s="113">
        <v>33.704000000000001</v>
      </c>
      <c r="N522" s="113">
        <v>44.241</v>
      </c>
      <c r="O522" s="114" t="s">
        <v>1684</v>
      </c>
    </row>
    <row r="523" spans="1:15" x14ac:dyDescent="0.25">
      <c r="A523" s="113" t="s">
        <v>55</v>
      </c>
      <c r="B523" s="113" t="s">
        <v>8</v>
      </c>
      <c r="C523" s="113">
        <v>1</v>
      </c>
      <c r="D523" s="113">
        <v>10</v>
      </c>
      <c r="E523" s="113">
        <v>0.1</v>
      </c>
      <c r="F523" s="113" t="s">
        <v>6</v>
      </c>
      <c r="G523" s="113" t="s">
        <v>4</v>
      </c>
      <c r="H523" s="113">
        <v>1000</v>
      </c>
      <c r="I523" s="113">
        <v>2000</v>
      </c>
      <c r="J523" s="113" t="s">
        <v>10</v>
      </c>
      <c r="K523" s="113">
        <v>46.847000000000001</v>
      </c>
      <c r="L523" s="113">
        <v>13.84</v>
      </c>
      <c r="M523" s="113">
        <v>43.262</v>
      </c>
      <c r="N523" s="113">
        <v>13.840999999999999</v>
      </c>
      <c r="O523" s="114" t="s">
        <v>2593</v>
      </c>
    </row>
    <row r="524" spans="1:15" x14ac:dyDescent="0.25">
      <c r="A524" s="113" t="s">
        <v>55</v>
      </c>
      <c r="B524" s="113" t="s">
        <v>8</v>
      </c>
      <c r="C524" s="113">
        <v>1</v>
      </c>
      <c r="D524" s="113">
        <v>10</v>
      </c>
      <c r="E524" s="113">
        <v>0.1</v>
      </c>
      <c r="F524" s="113" t="s">
        <v>6</v>
      </c>
      <c r="G524" s="113" t="s">
        <v>4</v>
      </c>
      <c r="H524" s="113">
        <v>0.04</v>
      </c>
      <c r="I524" s="113">
        <v>1</v>
      </c>
      <c r="J524" s="113" t="s">
        <v>10</v>
      </c>
      <c r="K524" s="113">
        <v>57.735999999999997</v>
      </c>
      <c r="L524" s="113">
        <v>1.1207000000000001E-3</v>
      </c>
      <c r="M524" s="113">
        <v>57.725999999999999</v>
      </c>
      <c r="N524" s="113">
        <v>1.0323000000000001E-3</v>
      </c>
      <c r="O524" s="114" t="s">
        <v>2591</v>
      </c>
    </row>
    <row r="525" spans="1:15" x14ac:dyDescent="0.25">
      <c r="A525" s="113" t="s">
        <v>55</v>
      </c>
      <c r="B525" s="113" t="s">
        <v>8</v>
      </c>
      <c r="C525" s="113">
        <v>1</v>
      </c>
      <c r="D525" s="113">
        <v>10</v>
      </c>
      <c r="E525" s="113">
        <v>0.1</v>
      </c>
      <c r="F525" s="113" t="s">
        <v>6</v>
      </c>
      <c r="G525" s="113" t="s">
        <v>4</v>
      </c>
      <c r="H525" s="113">
        <v>1E-3</v>
      </c>
      <c r="I525" s="113">
        <v>0.04</v>
      </c>
      <c r="J525" s="113" t="s">
        <v>10</v>
      </c>
      <c r="K525" s="113">
        <v>57.737000000000002</v>
      </c>
      <c r="L525" s="113">
        <v>1.6174E-3</v>
      </c>
      <c r="M525" s="113">
        <v>57.722999999999999</v>
      </c>
      <c r="N525" s="113">
        <v>1.529E-3</v>
      </c>
      <c r="O525" s="114" t="s">
        <v>2595</v>
      </c>
    </row>
    <row r="526" spans="1:15" x14ac:dyDescent="0.25">
      <c r="A526" s="113" t="s">
        <v>55</v>
      </c>
      <c r="B526" s="113" t="s">
        <v>8</v>
      </c>
      <c r="C526" s="113">
        <v>1</v>
      </c>
      <c r="D526" s="113">
        <v>10</v>
      </c>
      <c r="E526" s="113">
        <v>0.1</v>
      </c>
      <c r="F526" s="113" t="s">
        <v>6</v>
      </c>
      <c r="G526" s="113" t="s">
        <v>4</v>
      </c>
      <c r="H526" s="113">
        <v>20</v>
      </c>
      <c r="I526" s="113">
        <v>50</v>
      </c>
      <c r="J526" s="113" t="s">
        <v>10</v>
      </c>
      <c r="K526" s="113">
        <v>57.728000000000002</v>
      </c>
      <c r="L526" s="113">
        <v>1.3146E-2</v>
      </c>
      <c r="M526" s="113">
        <v>57.621000000000002</v>
      </c>
      <c r="N526" s="113">
        <v>1.289E-2</v>
      </c>
      <c r="O526" s="114" t="s">
        <v>1683</v>
      </c>
    </row>
    <row r="527" spans="1:15" x14ac:dyDescent="0.25">
      <c r="A527" s="113" t="s">
        <v>55</v>
      </c>
      <c r="B527" s="113" t="s">
        <v>8</v>
      </c>
      <c r="C527" s="113">
        <v>10</v>
      </c>
      <c r="D527" s="113">
        <v>100</v>
      </c>
      <c r="E527" s="113">
        <v>1.0000000000000001E-5</v>
      </c>
      <c r="F527" s="113" t="s">
        <v>6</v>
      </c>
      <c r="G527" s="113" t="s">
        <v>4</v>
      </c>
      <c r="H527" s="113">
        <v>300</v>
      </c>
      <c r="I527" s="113">
        <v>1000</v>
      </c>
      <c r="J527" s="113" t="s">
        <v>10</v>
      </c>
      <c r="K527" s="113">
        <v>46</v>
      </c>
      <c r="L527" s="113">
        <v>17</v>
      </c>
      <c r="M527" s="113">
        <v>12.317</v>
      </c>
      <c r="N527" s="113">
        <v>17.334</v>
      </c>
      <c r="O527" s="114" t="s">
        <v>1690</v>
      </c>
    </row>
    <row r="528" spans="1:15" x14ac:dyDescent="0.25">
      <c r="A528" s="113" t="s">
        <v>55</v>
      </c>
      <c r="B528" s="113" t="s">
        <v>8</v>
      </c>
      <c r="C528" s="113">
        <v>10</v>
      </c>
      <c r="D528" s="113">
        <v>100</v>
      </c>
      <c r="E528" s="113">
        <v>1.0000000000000001E-5</v>
      </c>
      <c r="F528" s="113" t="s">
        <v>6</v>
      </c>
      <c r="G528" s="113" t="s">
        <v>4</v>
      </c>
      <c r="H528" s="113">
        <v>100</v>
      </c>
      <c r="I528" s="113">
        <v>300</v>
      </c>
      <c r="J528" s="113" t="s">
        <v>10</v>
      </c>
      <c r="K528" s="113">
        <v>15</v>
      </c>
      <c r="L528" s="113">
        <v>4.5999999999999996</v>
      </c>
      <c r="M528" s="113">
        <v>11.574999999999999</v>
      </c>
      <c r="N528" s="113">
        <v>4.6268000000000002</v>
      </c>
      <c r="O528" s="114" t="s">
        <v>1688</v>
      </c>
    </row>
    <row r="529" spans="1:15" x14ac:dyDescent="0.25">
      <c r="A529" s="113" t="s">
        <v>55</v>
      </c>
      <c r="B529" s="113" t="s">
        <v>8</v>
      </c>
      <c r="C529" s="113">
        <v>10</v>
      </c>
      <c r="D529" s="113">
        <v>20</v>
      </c>
      <c r="E529" s="113">
        <v>1.0000000000000001E-5</v>
      </c>
      <c r="F529" s="113" t="s">
        <v>6</v>
      </c>
      <c r="G529" s="113" t="s">
        <v>4</v>
      </c>
      <c r="H529" s="113">
        <v>100</v>
      </c>
      <c r="I529" s="113">
        <v>300</v>
      </c>
      <c r="J529" s="113" t="s">
        <v>10</v>
      </c>
      <c r="K529" s="113">
        <v>13</v>
      </c>
      <c r="L529" s="113">
        <v>4.5999999999999996</v>
      </c>
      <c r="M529" s="113">
        <v>11.573</v>
      </c>
      <c r="N529" s="113">
        <v>4.6268000000000002</v>
      </c>
      <c r="O529" s="114" t="s">
        <v>1695</v>
      </c>
    </row>
    <row r="530" spans="1:15" x14ac:dyDescent="0.25">
      <c r="A530" s="113" t="s">
        <v>55</v>
      </c>
      <c r="B530" s="113" t="s">
        <v>8</v>
      </c>
      <c r="C530" s="113">
        <v>10</v>
      </c>
      <c r="D530" s="113">
        <v>20</v>
      </c>
      <c r="E530" s="113">
        <v>1.0000000000000001E-5</v>
      </c>
      <c r="F530" s="113" t="s">
        <v>6</v>
      </c>
      <c r="G530" s="113" t="s">
        <v>4</v>
      </c>
      <c r="H530" s="113">
        <v>50</v>
      </c>
      <c r="I530" s="113">
        <v>100</v>
      </c>
      <c r="J530" s="113" t="s">
        <v>10</v>
      </c>
      <c r="K530" s="113">
        <v>2.4</v>
      </c>
      <c r="L530" s="113">
        <v>1.4</v>
      </c>
      <c r="M530" s="113">
        <v>2.3767</v>
      </c>
      <c r="N530" s="113">
        <v>1.3889</v>
      </c>
      <c r="O530" s="114" t="s">
        <v>1691</v>
      </c>
    </row>
    <row r="531" spans="1:15" x14ac:dyDescent="0.25">
      <c r="A531" s="113" t="s">
        <v>55</v>
      </c>
      <c r="B531" s="113" t="s">
        <v>8</v>
      </c>
      <c r="C531" s="113">
        <v>10</v>
      </c>
      <c r="D531" s="113">
        <v>20</v>
      </c>
      <c r="E531" s="113">
        <v>1.0000000000000001E-5</v>
      </c>
      <c r="F531" s="113" t="s">
        <v>6</v>
      </c>
      <c r="G531" s="113" t="s">
        <v>4</v>
      </c>
      <c r="H531" s="113">
        <v>1E-3</v>
      </c>
      <c r="I531" s="113">
        <v>0.04</v>
      </c>
      <c r="J531" s="113" t="s">
        <v>10</v>
      </c>
      <c r="K531" s="113">
        <v>4.7</v>
      </c>
      <c r="L531" s="113">
        <v>0.23</v>
      </c>
      <c r="M531" s="113">
        <v>4.6185999999999998</v>
      </c>
      <c r="N531" s="113">
        <v>0.23291000000000001</v>
      </c>
      <c r="O531" s="114" t="s">
        <v>1693</v>
      </c>
    </row>
    <row r="532" spans="1:15" x14ac:dyDescent="0.25">
      <c r="A532" s="113" t="s">
        <v>55</v>
      </c>
      <c r="B532" s="113" t="s">
        <v>8</v>
      </c>
      <c r="C532" s="113">
        <v>10</v>
      </c>
      <c r="D532" s="113">
        <v>20</v>
      </c>
      <c r="E532" s="113">
        <v>1.0000000000000001E-5</v>
      </c>
      <c r="F532" s="113" t="s">
        <v>6</v>
      </c>
      <c r="G532" s="113" t="s">
        <v>4</v>
      </c>
      <c r="H532" s="113">
        <v>300</v>
      </c>
      <c r="I532" s="113">
        <v>1000</v>
      </c>
      <c r="J532" s="113" t="s">
        <v>10</v>
      </c>
      <c r="K532" s="113">
        <v>19</v>
      </c>
      <c r="L532" s="113">
        <v>17</v>
      </c>
      <c r="M532" s="113">
        <v>12.388</v>
      </c>
      <c r="N532" s="113">
        <v>17.324000000000002</v>
      </c>
      <c r="O532" s="114" t="s">
        <v>1692</v>
      </c>
    </row>
    <row r="533" spans="1:15" x14ac:dyDescent="0.25">
      <c r="A533" s="113" t="s">
        <v>55</v>
      </c>
      <c r="B533" s="113" t="s">
        <v>8</v>
      </c>
      <c r="C533" s="113">
        <v>10</v>
      </c>
      <c r="D533" s="113">
        <v>20</v>
      </c>
      <c r="E533" s="113">
        <v>1.0000000000000001E-5</v>
      </c>
      <c r="F533" s="113" t="s">
        <v>6</v>
      </c>
      <c r="G533" s="113" t="s">
        <v>4</v>
      </c>
      <c r="H533" s="113">
        <v>1</v>
      </c>
      <c r="I533" s="113">
        <v>20</v>
      </c>
      <c r="J533" s="113" t="s">
        <v>10</v>
      </c>
      <c r="K533" s="113">
        <v>2.4</v>
      </c>
      <c r="L533" s="113">
        <v>0.23</v>
      </c>
      <c r="M533" s="113">
        <v>2.298</v>
      </c>
      <c r="N533" s="113">
        <v>0.23305999999999999</v>
      </c>
      <c r="O533" s="114" t="s">
        <v>1689</v>
      </c>
    </row>
    <row r="534" spans="1:15" x14ac:dyDescent="0.25">
      <c r="A534" s="113" t="s">
        <v>55</v>
      </c>
      <c r="B534" s="113" t="s">
        <v>8</v>
      </c>
      <c r="C534" s="113">
        <v>10</v>
      </c>
      <c r="D534" s="113">
        <v>20</v>
      </c>
      <c r="E534" s="113">
        <v>1.0000000000000001E-5</v>
      </c>
      <c r="F534" s="113" t="s">
        <v>6</v>
      </c>
      <c r="G534" s="113" t="s">
        <v>4</v>
      </c>
      <c r="H534" s="113">
        <v>0.04</v>
      </c>
      <c r="I534" s="113">
        <v>1</v>
      </c>
      <c r="J534" s="113" t="s">
        <v>10</v>
      </c>
      <c r="K534" s="113">
        <v>2.4</v>
      </c>
      <c r="L534" s="113">
        <v>0.23</v>
      </c>
      <c r="M534" s="113">
        <v>2.298</v>
      </c>
      <c r="N534" s="113">
        <v>0.23305999999999999</v>
      </c>
      <c r="O534" s="114" t="s">
        <v>1694</v>
      </c>
    </row>
    <row r="535" spans="1:15" x14ac:dyDescent="0.25">
      <c r="A535" s="113" t="s">
        <v>55</v>
      </c>
      <c r="B535" s="113" t="s">
        <v>8</v>
      </c>
      <c r="C535" s="113">
        <v>10</v>
      </c>
      <c r="D535" s="113">
        <v>20</v>
      </c>
      <c r="E535" s="113">
        <v>1.0000000000000001E-5</v>
      </c>
      <c r="F535" s="113" t="s">
        <v>6</v>
      </c>
      <c r="G535" s="113" t="s">
        <v>4</v>
      </c>
      <c r="H535" s="113">
        <v>20</v>
      </c>
      <c r="I535" s="113">
        <v>50</v>
      </c>
      <c r="J535" s="113" t="s">
        <v>10</v>
      </c>
      <c r="K535" s="113">
        <v>2.4</v>
      </c>
      <c r="L535" s="113">
        <v>0.41</v>
      </c>
      <c r="M535" s="113">
        <v>2.2656000000000001</v>
      </c>
      <c r="N535" s="113">
        <v>0.40923999999999999</v>
      </c>
      <c r="O535" s="114" t="s">
        <v>2597</v>
      </c>
    </row>
    <row r="536" spans="1:15" x14ac:dyDescent="0.25">
      <c r="A536" s="113" t="s">
        <v>55</v>
      </c>
      <c r="B536" s="113" t="s">
        <v>8</v>
      </c>
      <c r="C536" s="113">
        <v>10</v>
      </c>
      <c r="D536" s="113">
        <v>20</v>
      </c>
      <c r="E536" s="113">
        <v>1E-4</v>
      </c>
      <c r="F536" s="113" t="s">
        <v>6</v>
      </c>
      <c r="G536" s="113" t="s">
        <v>4</v>
      </c>
      <c r="H536" s="113">
        <v>50</v>
      </c>
      <c r="I536" s="113">
        <v>100</v>
      </c>
      <c r="J536" s="113" t="s">
        <v>10</v>
      </c>
      <c r="K536" s="113">
        <v>2.4</v>
      </c>
      <c r="L536" s="113">
        <v>1.4</v>
      </c>
      <c r="M536" s="113">
        <v>2.3769</v>
      </c>
      <c r="N536" s="113">
        <v>1.3889</v>
      </c>
      <c r="O536" s="114" t="s">
        <v>2603</v>
      </c>
    </row>
    <row r="537" spans="1:15" x14ac:dyDescent="0.25">
      <c r="A537" s="113" t="s">
        <v>55</v>
      </c>
      <c r="B537" s="113" t="s">
        <v>8</v>
      </c>
      <c r="C537" s="113">
        <v>10</v>
      </c>
      <c r="D537" s="113">
        <v>100</v>
      </c>
      <c r="E537" s="113">
        <v>1E-4</v>
      </c>
      <c r="F537" s="113" t="s">
        <v>6</v>
      </c>
      <c r="G537" s="113" t="s">
        <v>4</v>
      </c>
      <c r="H537" s="113">
        <v>100</v>
      </c>
      <c r="I537" s="113">
        <v>300</v>
      </c>
      <c r="J537" s="113" t="s">
        <v>10</v>
      </c>
      <c r="K537" s="113">
        <v>15</v>
      </c>
      <c r="L537" s="113">
        <v>4.6028000000000002</v>
      </c>
      <c r="M537" s="113">
        <v>11.574999999999999</v>
      </c>
      <c r="N537" s="113">
        <v>4.6268000000000002</v>
      </c>
      <c r="O537" s="114" t="s">
        <v>1698</v>
      </c>
    </row>
    <row r="538" spans="1:15" x14ac:dyDescent="0.25">
      <c r="A538" s="113" t="s">
        <v>55</v>
      </c>
      <c r="B538" s="113" t="s">
        <v>8</v>
      </c>
      <c r="C538" s="113">
        <v>10</v>
      </c>
      <c r="D538" s="113">
        <v>20</v>
      </c>
      <c r="E538" s="113">
        <v>1E-4</v>
      </c>
      <c r="F538" s="113" t="s">
        <v>6</v>
      </c>
      <c r="G538" s="113" t="s">
        <v>4</v>
      </c>
      <c r="H538" s="113">
        <v>1E-3</v>
      </c>
      <c r="I538" s="113">
        <v>0.04</v>
      </c>
      <c r="J538" s="113" t="s">
        <v>10</v>
      </c>
      <c r="K538" s="113">
        <v>4.7</v>
      </c>
      <c r="L538" s="113">
        <v>0.23</v>
      </c>
      <c r="M538" s="113">
        <v>4.6189999999999998</v>
      </c>
      <c r="N538" s="113">
        <v>0.2329</v>
      </c>
      <c r="O538" s="114" t="s">
        <v>2599</v>
      </c>
    </row>
    <row r="539" spans="1:15" x14ac:dyDescent="0.25">
      <c r="A539" s="113" t="s">
        <v>55</v>
      </c>
      <c r="B539" s="113" t="s">
        <v>8</v>
      </c>
      <c r="C539" s="113">
        <v>10</v>
      </c>
      <c r="D539" s="113">
        <v>20</v>
      </c>
      <c r="E539" s="113">
        <v>1E-4</v>
      </c>
      <c r="F539" s="113" t="s">
        <v>6</v>
      </c>
      <c r="G539" s="113" t="s">
        <v>4</v>
      </c>
      <c r="H539" s="113">
        <v>20</v>
      </c>
      <c r="I539" s="113">
        <v>50</v>
      </c>
      <c r="J539" s="113" t="s">
        <v>10</v>
      </c>
      <c r="K539" s="113">
        <v>2.4</v>
      </c>
      <c r="L539" s="113">
        <v>0.41</v>
      </c>
      <c r="M539" s="113">
        <v>2.266</v>
      </c>
      <c r="N539" s="113">
        <v>0.40922999999999998</v>
      </c>
      <c r="O539" s="114" t="s">
        <v>2602</v>
      </c>
    </row>
    <row r="540" spans="1:15" x14ac:dyDescent="0.25">
      <c r="A540" s="113" t="s">
        <v>55</v>
      </c>
      <c r="B540" s="113" t="s">
        <v>8</v>
      </c>
      <c r="C540" s="113">
        <v>10</v>
      </c>
      <c r="D540" s="113">
        <v>20</v>
      </c>
      <c r="E540" s="113">
        <v>1E-4</v>
      </c>
      <c r="F540" s="113" t="s">
        <v>6</v>
      </c>
      <c r="G540" s="113" t="s">
        <v>4</v>
      </c>
      <c r="H540" s="113">
        <v>100</v>
      </c>
      <c r="I540" s="113">
        <v>300</v>
      </c>
      <c r="J540" s="113" t="s">
        <v>10</v>
      </c>
      <c r="K540" s="113">
        <v>13</v>
      </c>
      <c r="L540" s="113">
        <v>4.6109</v>
      </c>
      <c r="M540" s="113">
        <v>11.574</v>
      </c>
      <c r="N540" s="113">
        <v>4.6268000000000002</v>
      </c>
      <c r="O540" s="114" t="s">
        <v>2601</v>
      </c>
    </row>
    <row r="541" spans="1:15" x14ac:dyDescent="0.25">
      <c r="A541" s="113" t="s">
        <v>55</v>
      </c>
      <c r="B541" s="113" t="s">
        <v>8</v>
      </c>
      <c r="C541" s="113">
        <v>10</v>
      </c>
      <c r="D541" s="113">
        <v>20</v>
      </c>
      <c r="E541" s="113">
        <v>1E-4</v>
      </c>
      <c r="F541" s="113" t="s">
        <v>6</v>
      </c>
      <c r="G541" s="113" t="s">
        <v>4</v>
      </c>
      <c r="H541" s="113">
        <v>0.04</v>
      </c>
      <c r="I541" s="113">
        <v>1</v>
      </c>
      <c r="J541" s="113" t="s">
        <v>10</v>
      </c>
      <c r="K541" s="113">
        <v>2.4</v>
      </c>
      <c r="L541" s="113">
        <v>0.23</v>
      </c>
      <c r="M541" s="113">
        <v>2.2985000000000002</v>
      </c>
      <c r="N541" s="113">
        <v>0.23305000000000001</v>
      </c>
      <c r="O541" s="114" t="s">
        <v>1696</v>
      </c>
    </row>
    <row r="542" spans="1:15" x14ac:dyDescent="0.25">
      <c r="A542" s="113" t="s">
        <v>55</v>
      </c>
      <c r="B542" s="113" t="s">
        <v>8</v>
      </c>
      <c r="C542" s="113">
        <v>10</v>
      </c>
      <c r="D542" s="113">
        <v>20</v>
      </c>
      <c r="E542" s="113">
        <v>1E-4</v>
      </c>
      <c r="F542" s="113" t="s">
        <v>6</v>
      </c>
      <c r="G542" s="113" t="s">
        <v>4</v>
      </c>
      <c r="H542" s="113">
        <v>1</v>
      </c>
      <c r="I542" s="113">
        <v>20</v>
      </c>
      <c r="J542" s="113" t="s">
        <v>10</v>
      </c>
      <c r="K542" s="113">
        <v>2.4</v>
      </c>
      <c r="L542" s="113">
        <v>0.23</v>
      </c>
      <c r="M542" s="113">
        <v>2.2985000000000002</v>
      </c>
      <c r="N542" s="113">
        <v>0.23305000000000001</v>
      </c>
      <c r="O542" s="114" t="s">
        <v>2598</v>
      </c>
    </row>
    <row r="543" spans="1:15" x14ac:dyDescent="0.25">
      <c r="A543" s="113" t="s">
        <v>55</v>
      </c>
      <c r="B543" s="113" t="s">
        <v>8</v>
      </c>
      <c r="C543" s="113">
        <v>10</v>
      </c>
      <c r="D543" s="113">
        <v>100</v>
      </c>
      <c r="E543" s="113">
        <v>1E-4</v>
      </c>
      <c r="F543" s="113" t="s">
        <v>6</v>
      </c>
      <c r="G543" s="113" t="s">
        <v>4</v>
      </c>
      <c r="H543" s="113">
        <v>300</v>
      </c>
      <c r="I543" s="113">
        <v>1000</v>
      </c>
      <c r="J543" s="113" t="s">
        <v>10</v>
      </c>
      <c r="K543" s="113">
        <v>46</v>
      </c>
      <c r="L543" s="113">
        <v>17.018999999999998</v>
      </c>
      <c r="M543" s="113">
        <v>12.318</v>
      </c>
      <c r="N543" s="113">
        <v>17.334</v>
      </c>
      <c r="O543" s="114" t="s">
        <v>1697</v>
      </c>
    </row>
    <row r="544" spans="1:15" x14ac:dyDescent="0.25">
      <c r="A544" s="113" t="s">
        <v>55</v>
      </c>
      <c r="B544" s="113" t="s">
        <v>8</v>
      </c>
      <c r="C544" s="113">
        <v>10</v>
      </c>
      <c r="D544" s="113">
        <v>20</v>
      </c>
      <c r="E544" s="113">
        <v>1E-4</v>
      </c>
      <c r="F544" s="113" t="s">
        <v>6</v>
      </c>
      <c r="G544" s="113" t="s">
        <v>4</v>
      </c>
      <c r="H544" s="113">
        <v>300</v>
      </c>
      <c r="I544" s="113">
        <v>1000</v>
      </c>
      <c r="J544" s="113" t="s">
        <v>10</v>
      </c>
      <c r="K544" s="113">
        <v>19</v>
      </c>
      <c r="L544" s="113">
        <v>17.087</v>
      </c>
      <c r="M544" s="113">
        <v>12.388999999999999</v>
      </c>
      <c r="N544" s="113">
        <v>17.324000000000002</v>
      </c>
      <c r="O544" s="114" t="s">
        <v>2600</v>
      </c>
    </row>
    <row r="545" spans="1:15" x14ac:dyDescent="0.25">
      <c r="A545" s="113" t="s">
        <v>55</v>
      </c>
      <c r="B545" s="113" t="s">
        <v>8</v>
      </c>
      <c r="C545" s="113">
        <v>10</v>
      </c>
      <c r="D545" s="113">
        <v>20</v>
      </c>
      <c r="E545" s="113">
        <v>1E-3</v>
      </c>
      <c r="F545" s="113" t="s">
        <v>6</v>
      </c>
      <c r="G545" s="113" t="s">
        <v>4</v>
      </c>
      <c r="H545" s="113">
        <v>1</v>
      </c>
      <c r="I545" s="113">
        <v>20</v>
      </c>
      <c r="J545" s="113" t="s">
        <v>10</v>
      </c>
      <c r="K545" s="113">
        <v>2.4</v>
      </c>
      <c r="L545" s="113">
        <v>0.23</v>
      </c>
      <c r="M545" s="113">
        <v>2.3458000000000001</v>
      </c>
      <c r="N545" s="113">
        <v>0.23186999999999999</v>
      </c>
      <c r="O545" s="114" t="s">
        <v>2604</v>
      </c>
    </row>
    <row r="546" spans="1:15" x14ac:dyDescent="0.25">
      <c r="A546" s="113" t="s">
        <v>55</v>
      </c>
      <c r="B546" s="113" t="s">
        <v>8</v>
      </c>
      <c r="C546" s="113">
        <v>10</v>
      </c>
      <c r="D546" s="113">
        <v>100</v>
      </c>
      <c r="E546" s="113">
        <v>1E-3</v>
      </c>
      <c r="F546" s="113" t="s">
        <v>6</v>
      </c>
      <c r="G546" s="113" t="s">
        <v>4</v>
      </c>
      <c r="H546" s="113">
        <v>300</v>
      </c>
      <c r="I546" s="113">
        <v>1000</v>
      </c>
      <c r="J546" s="113" t="s">
        <v>10</v>
      </c>
      <c r="K546" s="113">
        <v>46</v>
      </c>
      <c r="L546" s="113">
        <v>17.018999999999998</v>
      </c>
      <c r="M546" s="113">
        <v>12.318</v>
      </c>
      <c r="N546" s="113">
        <v>17.334</v>
      </c>
      <c r="O546" s="114" t="s">
        <v>1703</v>
      </c>
    </row>
    <row r="547" spans="1:15" x14ac:dyDescent="0.25">
      <c r="A547" s="113" t="s">
        <v>55</v>
      </c>
      <c r="B547" s="113" t="s">
        <v>8</v>
      </c>
      <c r="C547" s="113">
        <v>10</v>
      </c>
      <c r="D547" s="113">
        <v>100</v>
      </c>
      <c r="E547" s="113">
        <v>1E-3</v>
      </c>
      <c r="F547" s="113" t="s">
        <v>6</v>
      </c>
      <c r="G547" s="113" t="s">
        <v>4</v>
      </c>
      <c r="H547" s="113">
        <v>100</v>
      </c>
      <c r="I547" s="113">
        <v>300</v>
      </c>
      <c r="J547" s="113" t="s">
        <v>10</v>
      </c>
      <c r="K547" s="113">
        <v>15</v>
      </c>
      <c r="L547" s="113">
        <v>4.6028000000000002</v>
      </c>
      <c r="M547" s="113">
        <v>11.576000000000001</v>
      </c>
      <c r="N547" s="113">
        <v>4.6268000000000002</v>
      </c>
      <c r="O547" s="114" t="s">
        <v>1700</v>
      </c>
    </row>
    <row r="548" spans="1:15" x14ac:dyDescent="0.25">
      <c r="A548" s="113" t="s">
        <v>55</v>
      </c>
      <c r="B548" s="113" t="s">
        <v>8</v>
      </c>
      <c r="C548" s="113">
        <v>10</v>
      </c>
      <c r="D548" s="113">
        <v>20</v>
      </c>
      <c r="E548" s="113">
        <v>1E-3</v>
      </c>
      <c r="F548" s="113" t="s">
        <v>6</v>
      </c>
      <c r="G548" s="113" t="s">
        <v>4</v>
      </c>
      <c r="H548" s="113">
        <v>300</v>
      </c>
      <c r="I548" s="113">
        <v>1000</v>
      </c>
      <c r="J548" s="113" t="s">
        <v>10</v>
      </c>
      <c r="K548" s="113">
        <v>19</v>
      </c>
      <c r="L548" s="113">
        <v>17.087</v>
      </c>
      <c r="M548" s="113">
        <v>12.388999999999999</v>
      </c>
      <c r="N548" s="113">
        <v>17.324000000000002</v>
      </c>
      <c r="O548" s="114" t="s">
        <v>1702</v>
      </c>
    </row>
    <row r="549" spans="1:15" x14ac:dyDescent="0.25">
      <c r="A549" s="113" t="s">
        <v>55</v>
      </c>
      <c r="B549" s="113" t="s">
        <v>8</v>
      </c>
      <c r="C549" s="113">
        <v>10</v>
      </c>
      <c r="D549" s="113">
        <v>20</v>
      </c>
      <c r="E549" s="113">
        <v>1E-3</v>
      </c>
      <c r="F549" s="113" t="s">
        <v>6</v>
      </c>
      <c r="G549" s="113" t="s">
        <v>4</v>
      </c>
      <c r="H549" s="113">
        <v>20</v>
      </c>
      <c r="I549" s="113">
        <v>50</v>
      </c>
      <c r="J549" s="113" t="s">
        <v>10</v>
      </c>
      <c r="K549" s="113">
        <v>2.4</v>
      </c>
      <c r="L549" s="113">
        <v>0.41</v>
      </c>
      <c r="M549" s="113">
        <v>2.302</v>
      </c>
      <c r="N549" s="113">
        <v>0.40822000000000003</v>
      </c>
      <c r="O549" s="114" t="s">
        <v>1704</v>
      </c>
    </row>
    <row r="550" spans="1:15" x14ac:dyDescent="0.25">
      <c r="A550" s="113" t="s">
        <v>55</v>
      </c>
      <c r="B550" s="113" t="s">
        <v>8</v>
      </c>
      <c r="C550" s="113">
        <v>10</v>
      </c>
      <c r="D550" s="113">
        <v>20</v>
      </c>
      <c r="E550" s="113">
        <v>1E-3</v>
      </c>
      <c r="F550" s="113" t="s">
        <v>6</v>
      </c>
      <c r="G550" s="113" t="s">
        <v>4</v>
      </c>
      <c r="H550" s="113">
        <v>100</v>
      </c>
      <c r="I550" s="113">
        <v>300</v>
      </c>
      <c r="J550" s="113" t="s">
        <v>10</v>
      </c>
      <c r="K550" s="113">
        <v>13</v>
      </c>
      <c r="L550" s="113">
        <v>4.6111000000000004</v>
      </c>
      <c r="M550" s="113">
        <v>11.577</v>
      </c>
      <c r="N550" s="113">
        <v>4.6266999999999996</v>
      </c>
      <c r="O550" s="114" t="s">
        <v>2605</v>
      </c>
    </row>
    <row r="551" spans="1:15" x14ac:dyDescent="0.25">
      <c r="A551" s="113" t="s">
        <v>55</v>
      </c>
      <c r="B551" s="113" t="s">
        <v>8</v>
      </c>
      <c r="C551" s="113">
        <v>10</v>
      </c>
      <c r="D551" s="113">
        <v>20</v>
      </c>
      <c r="E551" s="113">
        <v>1E-3</v>
      </c>
      <c r="F551" s="113" t="s">
        <v>6</v>
      </c>
      <c r="G551" s="113" t="s">
        <v>4</v>
      </c>
      <c r="H551" s="113">
        <v>50</v>
      </c>
      <c r="I551" s="113">
        <v>100</v>
      </c>
      <c r="J551" s="113" t="s">
        <v>10</v>
      </c>
      <c r="K551" s="113">
        <v>2.4</v>
      </c>
      <c r="L551" s="113">
        <v>1.4</v>
      </c>
      <c r="M551" s="113">
        <v>2.3921999999999999</v>
      </c>
      <c r="N551" s="113">
        <v>1.3884000000000001</v>
      </c>
      <c r="O551" s="114" t="s">
        <v>1701</v>
      </c>
    </row>
    <row r="552" spans="1:15" x14ac:dyDescent="0.25">
      <c r="A552" s="113" t="s">
        <v>55</v>
      </c>
      <c r="B552" s="113" t="s">
        <v>8</v>
      </c>
      <c r="C552" s="113">
        <v>10</v>
      </c>
      <c r="D552" s="113">
        <v>20</v>
      </c>
      <c r="E552" s="113">
        <v>1E-3</v>
      </c>
      <c r="F552" s="113" t="s">
        <v>6</v>
      </c>
      <c r="G552" s="113" t="s">
        <v>4</v>
      </c>
      <c r="H552" s="113">
        <v>0.04</v>
      </c>
      <c r="I552" s="113">
        <v>1</v>
      </c>
      <c r="J552" s="113" t="s">
        <v>10</v>
      </c>
      <c r="K552" s="113">
        <v>2.4</v>
      </c>
      <c r="L552" s="113">
        <v>0.23</v>
      </c>
      <c r="M552" s="113">
        <v>2.3458000000000001</v>
      </c>
      <c r="N552" s="113">
        <v>0.23186999999999999</v>
      </c>
      <c r="O552" s="114" t="s">
        <v>2606</v>
      </c>
    </row>
    <row r="553" spans="1:15" x14ac:dyDescent="0.25">
      <c r="A553" s="113" t="s">
        <v>55</v>
      </c>
      <c r="B553" s="113" t="s">
        <v>8</v>
      </c>
      <c r="C553" s="113">
        <v>10</v>
      </c>
      <c r="D553" s="113">
        <v>20</v>
      </c>
      <c r="E553" s="113">
        <v>1E-3</v>
      </c>
      <c r="F553" s="113" t="s">
        <v>6</v>
      </c>
      <c r="G553" s="113" t="s">
        <v>4</v>
      </c>
      <c r="H553" s="113">
        <v>1E-3</v>
      </c>
      <c r="I553" s="113">
        <v>0.04</v>
      </c>
      <c r="J553" s="113" t="s">
        <v>10</v>
      </c>
      <c r="K553" s="113">
        <v>4.7</v>
      </c>
      <c r="L553" s="113">
        <v>0.23</v>
      </c>
      <c r="M553" s="113">
        <v>4.6486000000000001</v>
      </c>
      <c r="N553" s="113">
        <v>0.23230999999999999</v>
      </c>
      <c r="O553" s="114" t="s">
        <v>1699</v>
      </c>
    </row>
    <row r="554" spans="1:15" x14ac:dyDescent="0.25">
      <c r="A554" s="113" t="s">
        <v>55</v>
      </c>
      <c r="B554" s="113" t="s">
        <v>8</v>
      </c>
      <c r="C554" s="113">
        <v>10</v>
      </c>
      <c r="D554" s="113">
        <v>20</v>
      </c>
      <c r="E554" s="113">
        <v>0.01</v>
      </c>
      <c r="F554" s="113" t="s">
        <v>6</v>
      </c>
      <c r="G554" s="113" t="s">
        <v>4</v>
      </c>
      <c r="H554" s="113">
        <v>300</v>
      </c>
      <c r="I554" s="113">
        <v>1000</v>
      </c>
      <c r="J554" s="113" t="s">
        <v>10</v>
      </c>
      <c r="K554" s="113">
        <v>19</v>
      </c>
      <c r="L554" s="113">
        <v>17.091999999999999</v>
      </c>
      <c r="M554" s="113">
        <v>12.516999999999999</v>
      </c>
      <c r="N554" s="113">
        <v>17.32</v>
      </c>
      <c r="O554" s="114" t="s">
        <v>1707</v>
      </c>
    </row>
    <row r="555" spans="1:15" x14ac:dyDescent="0.25">
      <c r="A555" s="113" t="s">
        <v>55</v>
      </c>
      <c r="B555" s="113" t="s">
        <v>8</v>
      </c>
      <c r="C555" s="113">
        <v>10</v>
      </c>
      <c r="D555" s="113">
        <v>20</v>
      </c>
      <c r="E555" s="113">
        <v>0.01</v>
      </c>
      <c r="F555" s="113" t="s">
        <v>6</v>
      </c>
      <c r="G555" s="113" t="s">
        <v>4</v>
      </c>
      <c r="H555" s="113">
        <v>20</v>
      </c>
      <c r="I555" s="113">
        <v>50</v>
      </c>
      <c r="J555" s="113" t="s">
        <v>10</v>
      </c>
      <c r="K555" s="113">
        <v>5.2424999999999997</v>
      </c>
      <c r="L555" s="113">
        <v>0.33546999999999999</v>
      </c>
      <c r="M555" s="113">
        <v>5.2373000000000003</v>
      </c>
      <c r="N555" s="113">
        <v>0.33510000000000001</v>
      </c>
      <c r="O555" s="114" t="s">
        <v>1710</v>
      </c>
    </row>
    <row r="556" spans="1:15" x14ac:dyDescent="0.25">
      <c r="A556" s="113" t="s">
        <v>55</v>
      </c>
      <c r="B556" s="113" t="s">
        <v>8</v>
      </c>
      <c r="C556" s="113">
        <v>10</v>
      </c>
      <c r="D556" s="113">
        <v>20</v>
      </c>
      <c r="E556" s="113">
        <v>0.01</v>
      </c>
      <c r="F556" s="113" t="s">
        <v>6</v>
      </c>
      <c r="G556" s="113" t="s">
        <v>4</v>
      </c>
      <c r="H556" s="113">
        <v>1E-3</v>
      </c>
      <c r="I556" s="113">
        <v>0.04</v>
      </c>
      <c r="J556" s="113" t="s">
        <v>10</v>
      </c>
      <c r="K556" s="113">
        <v>7.1398999999999999</v>
      </c>
      <c r="L556" s="113">
        <v>0.18969</v>
      </c>
      <c r="M556" s="113">
        <v>7.1402999999999999</v>
      </c>
      <c r="N556" s="113">
        <v>0.18931999999999999</v>
      </c>
      <c r="O556" s="114" t="s">
        <v>1706</v>
      </c>
    </row>
    <row r="557" spans="1:15" x14ac:dyDescent="0.25">
      <c r="A557" s="113" t="s">
        <v>55</v>
      </c>
      <c r="B557" s="113" t="s">
        <v>8</v>
      </c>
      <c r="C557" s="113">
        <v>10</v>
      </c>
      <c r="D557" s="113">
        <v>20</v>
      </c>
      <c r="E557" s="113">
        <v>0.01</v>
      </c>
      <c r="F557" s="113" t="s">
        <v>6</v>
      </c>
      <c r="G557" s="113" t="s">
        <v>4</v>
      </c>
      <c r="H557" s="113">
        <v>1</v>
      </c>
      <c r="I557" s="113">
        <v>20</v>
      </c>
      <c r="J557" s="113" t="s">
        <v>10</v>
      </c>
      <c r="K557" s="113">
        <v>5.7568999999999999</v>
      </c>
      <c r="L557" s="113">
        <v>0.16470000000000001</v>
      </c>
      <c r="M557" s="113">
        <v>5.7573999999999996</v>
      </c>
      <c r="N557" s="113">
        <v>0.16425000000000001</v>
      </c>
      <c r="O557" s="114" t="s">
        <v>1711</v>
      </c>
    </row>
    <row r="558" spans="1:15" x14ac:dyDescent="0.25">
      <c r="A558" s="113" t="s">
        <v>55</v>
      </c>
      <c r="B558" s="113" t="s">
        <v>8</v>
      </c>
      <c r="C558" s="113">
        <v>10</v>
      </c>
      <c r="D558" s="113">
        <v>20</v>
      </c>
      <c r="E558" s="113">
        <v>0.01</v>
      </c>
      <c r="F558" s="113" t="s">
        <v>6</v>
      </c>
      <c r="G558" s="113" t="s">
        <v>4</v>
      </c>
      <c r="H558" s="113">
        <v>50</v>
      </c>
      <c r="I558" s="113">
        <v>100</v>
      </c>
      <c r="J558" s="113" t="s">
        <v>10</v>
      </c>
      <c r="K558" s="113">
        <v>3.8216999999999999</v>
      </c>
      <c r="L558" s="113">
        <v>1.3443000000000001</v>
      </c>
      <c r="M558" s="113">
        <v>3.8184</v>
      </c>
      <c r="N558" s="113">
        <v>1.3442000000000001</v>
      </c>
      <c r="O558" s="114" t="s">
        <v>1709</v>
      </c>
    </row>
    <row r="559" spans="1:15" x14ac:dyDescent="0.25">
      <c r="A559" s="113" t="s">
        <v>55</v>
      </c>
      <c r="B559" s="113" t="s">
        <v>8</v>
      </c>
      <c r="C559" s="113">
        <v>10</v>
      </c>
      <c r="D559" s="113">
        <v>20</v>
      </c>
      <c r="E559" s="113">
        <v>0.01</v>
      </c>
      <c r="F559" s="113" t="s">
        <v>6</v>
      </c>
      <c r="G559" s="113" t="s">
        <v>4</v>
      </c>
      <c r="H559" s="113">
        <v>0.04</v>
      </c>
      <c r="I559" s="113">
        <v>1</v>
      </c>
      <c r="J559" s="113" t="s">
        <v>10</v>
      </c>
      <c r="K559" s="113">
        <v>5.7568999999999999</v>
      </c>
      <c r="L559" s="113">
        <v>0.16470000000000001</v>
      </c>
      <c r="M559" s="113">
        <v>5.7573999999999996</v>
      </c>
      <c r="N559" s="113">
        <v>0.16425000000000001</v>
      </c>
      <c r="O559" s="114" t="s">
        <v>1705</v>
      </c>
    </row>
    <row r="560" spans="1:15" x14ac:dyDescent="0.25">
      <c r="A560" s="113" t="s">
        <v>55</v>
      </c>
      <c r="B560" s="113" t="s">
        <v>8</v>
      </c>
      <c r="C560" s="113">
        <v>10</v>
      </c>
      <c r="D560" s="113">
        <v>100</v>
      </c>
      <c r="E560" s="113">
        <v>0.01</v>
      </c>
      <c r="F560" s="113" t="s">
        <v>6</v>
      </c>
      <c r="G560" s="113" t="s">
        <v>4</v>
      </c>
      <c r="H560" s="113">
        <v>300</v>
      </c>
      <c r="I560" s="113">
        <v>1000</v>
      </c>
      <c r="J560" s="113" t="s">
        <v>10</v>
      </c>
      <c r="K560" s="113">
        <v>46</v>
      </c>
      <c r="L560" s="113">
        <v>17.018999999999998</v>
      </c>
      <c r="M560" s="113">
        <v>12.427</v>
      </c>
      <c r="N560" s="113">
        <v>17.332999999999998</v>
      </c>
      <c r="O560" s="114" t="s">
        <v>1708</v>
      </c>
    </row>
    <row r="561" spans="1:15" x14ac:dyDescent="0.25">
      <c r="A561" s="113" t="s">
        <v>55</v>
      </c>
      <c r="B561" s="113" t="s">
        <v>8</v>
      </c>
      <c r="C561" s="113">
        <v>10</v>
      </c>
      <c r="D561" s="113">
        <v>20</v>
      </c>
      <c r="E561" s="113">
        <v>0.01</v>
      </c>
      <c r="F561" s="113" t="s">
        <v>6</v>
      </c>
      <c r="G561" s="113" t="s">
        <v>4</v>
      </c>
      <c r="H561" s="113">
        <v>100</v>
      </c>
      <c r="I561" s="113">
        <v>300</v>
      </c>
      <c r="J561" s="113" t="s">
        <v>10</v>
      </c>
      <c r="K561" s="113">
        <v>13</v>
      </c>
      <c r="L561" s="113">
        <v>4.6140999999999996</v>
      </c>
      <c r="M561" s="113">
        <v>11.988</v>
      </c>
      <c r="N561" s="113">
        <v>4.6140999999999996</v>
      </c>
      <c r="O561" s="114" t="s">
        <v>2608</v>
      </c>
    </row>
    <row r="562" spans="1:15" x14ac:dyDescent="0.25">
      <c r="A562" s="113" t="s">
        <v>55</v>
      </c>
      <c r="B562" s="113" t="s">
        <v>8</v>
      </c>
      <c r="C562" s="113">
        <v>10</v>
      </c>
      <c r="D562" s="113">
        <v>100</v>
      </c>
      <c r="E562" s="113">
        <v>0.01</v>
      </c>
      <c r="F562" s="113" t="s">
        <v>6</v>
      </c>
      <c r="G562" s="113" t="s">
        <v>4</v>
      </c>
      <c r="H562" s="113">
        <v>100</v>
      </c>
      <c r="I562" s="113">
        <v>300</v>
      </c>
      <c r="J562" s="113" t="s">
        <v>10</v>
      </c>
      <c r="K562" s="113">
        <v>15</v>
      </c>
      <c r="L562" s="113">
        <v>4.6032999999999999</v>
      </c>
      <c r="M562" s="113">
        <v>11.89</v>
      </c>
      <c r="N562" s="113">
        <v>4.6239999999999997</v>
      </c>
      <c r="O562" s="114" t="s">
        <v>2607</v>
      </c>
    </row>
    <row r="563" spans="1:15" x14ac:dyDescent="0.25">
      <c r="A563" s="113" t="s">
        <v>55</v>
      </c>
      <c r="B563" s="113" t="s">
        <v>8</v>
      </c>
      <c r="C563" s="113">
        <v>10</v>
      </c>
      <c r="D563" s="113">
        <v>20</v>
      </c>
      <c r="E563" s="113">
        <v>0.1</v>
      </c>
      <c r="F563" s="113" t="s">
        <v>6</v>
      </c>
      <c r="G563" s="113" t="s">
        <v>4</v>
      </c>
      <c r="H563" s="113">
        <v>1</v>
      </c>
      <c r="I563" s="113">
        <v>20</v>
      </c>
      <c r="J563" s="113" t="s">
        <v>10</v>
      </c>
      <c r="K563" s="113">
        <v>57.686999999999998</v>
      </c>
      <c r="L563" s="113">
        <v>2.3591000000000001E-2</v>
      </c>
      <c r="M563" s="113">
        <v>57.688000000000002</v>
      </c>
      <c r="N563" s="113">
        <v>2.3266999999999999E-2</v>
      </c>
      <c r="O563" s="114" t="s">
        <v>2611</v>
      </c>
    </row>
    <row r="564" spans="1:15" x14ac:dyDescent="0.25">
      <c r="A564" s="113" t="s">
        <v>55</v>
      </c>
      <c r="B564" s="113" t="s">
        <v>8</v>
      </c>
      <c r="C564" s="113">
        <v>10</v>
      </c>
      <c r="D564" s="113">
        <v>20</v>
      </c>
      <c r="E564" s="113">
        <v>0.1</v>
      </c>
      <c r="F564" s="113" t="s">
        <v>6</v>
      </c>
      <c r="G564" s="113" t="s">
        <v>4</v>
      </c>
      <c r="H564" s="113">
        <v>0.04</v>
      </c>
      <c r="I564" s="113">
        <v>1</v>
      </c>
      <c r="J564" s="113" t="s">
        <v>10</v>
      </c>
      <c r="K564" s="113">
        <v>57.686999999999998</v>
      </c>
      <c r="L564" s="113">
        <v>2.3591000000000001E-2</v>
      </c>
      <c r="M564" s="113">
        <v>57.688000000000002</v>
      </c>
      <c r="N564" s="113">
        <v>2.3266999999999999E-2</v>
      </c>
      <c r="O564" s="114" t="s">
        <v>1713</v>
      </c>
    </row>
    <row r="565" spans="1:15" x14ac:dyDescent="0.25">
      <c r="A565" s="113" t="s">
        <v>55</v>
      </c>
      <c r="B565" s="113" t="s">
        <v>8</v>
      </c>
      <c r="C565" s="113">
        <v>10</v>
      </c>
      <c r="D565" s="113">
        <v>20</v>
      </c>
      <c r="E565" s="113">
        <v>0.1</v>
      </c>
      <c r="F565" s="113" t="s">
        <v>6</v>
      </c>
      <c r="G565" s="113" t="s">
        <v>4</v>
      </c>
      <c r="H565" s="113">
        <v>20</v>
      </c>
      <c r="I565" s="113">
        <v>50</v>
      </c>
      <c r="J565" s="113" t="s">
        <v>10</v>
      </c>
      <c r="K565" s="113">
        <v>57.496000000000002</v>
      </c>
      <c r="L565" s="113">
        <v>5.9412E-2</v>
      </c>
      <c r="M565" s="113">
        <v>57.494999999999997</v>
      </c>
      <c r="N565" s="113">
        <v>5.8915000000000002E-2</v>
      </c>
      <c r="O565" s="114" t="s">
        <v>1712</v>
      </c>
    </row>
    <row r="566" spans="1:15" x14ac:dyDescent="0.25">
      <c r="A566" s="113" t="s">
        <v>55</v>
      </c>
      <c r="B566" s="113" t="s">
        <v>8</v>
      </c>
      <c r="C566" s="113">
        <v>10</v>
      </c>
      <c r="D566" s="113">
        <v>20</v>
      </c>
      <c r="E566" s="113">
        <v>0.1</v>
      </c>
      <c r="F566" s="113" t="s">
        <v>6</v>
      </c>
      <c r="G566" s="113" t="s">
        <v>4</v>
      </c>
      <c r="H566" s="113">
        <v>1E-3</v>
      </c>
      <c r="I566" s="113">
        <v>0.04</v>
      </c>
      <c r="J566" s="113" t="s">
        <v>10</v>
      </c>
      <c r="K566" s="113">
        <v>57.826999999999998</v>
      </c>
      <c r="L566" s="113">
        <v>3.2722000000000001E-2</v>
      </c>
      <c r="M566" s="113">
        <v>57.828000000000003</v>
      </c>
      <c r="N566" s="113">
        <v>3.2399999999999998E-2</v>
      </c>
      <c r="O566" s="114" t="s">
        <v>2613</v>
      </c>
    </row>
    <row r="567" spans="1:15" x14ac:dyDescent="0.25">
      <c r="A567" s="113" t="s">
        <v>55</v>
      </c>
      <c r="B567" s="113" t="s">
        <v>8</v>
      </c>
      <c r="C567" s="113">
        <v>10</v>
      </c>
      <c r="D567" s="113">
        <v>100</v>
      </c>
      <c r="E567" s="113">
        <v>0.1</v>
      </c>
      <c r="F567" s="113" t="s">
        <v>6</v>
      </c>
      <c r="G567" s="113" t="s">
        <v>4</v>
      </c>
      <c r="H567" s="113">
        <v>100</v>
      </c>
      <c r="I567" s="113">
        <v>300</v>
      </c>
      <c r="J567" s="113" t="s">
        <v>10</v>
      </c>
      <c r="K567" s="113">
        <v>37.774999999999999</v>
      </c>
      <c r="L567" s="113">
        <v>4.4000000000000004</v>
      </c>
      <c r="M567" s="113">
        <v>37.725999999999999</v>
      </c>
      <c r="N567" s="113">
        <v>4.4002999999999997</v>
      </c>
      <c r="O567" s="114" t="s">
        <v>1715</v>
      </c>
    </row>
    <row r="568" spans="1:15" x14ac:dyDescent="0.25">
      <c r="A568" s="113" t="s">
        <v>55</v>
      </c>
      <c r="B568" s="113" t="s">
        <v>8</v>
      </c>
      <c r="C568" s="113">
        <v>10</v>
      </c>
      <c r="D568" s="113">
        <v>100</v>
      </c>
      <c r="E568" s="113">
        <v>0.1</v>
      </c>
      <c r="F568" s="113" t="s">
        <v>6</v>
      </c>
      <c r="G568" s="113" t="s">
        <v>4</v>
      </c>
      <c r="H568" s="113">
        <v>300</v>
      </c>
      <c r="I568" s="113">
        <v>1000</v>
      </c>
      <c r="J568" s="113" t="s">
        <v>10</v>
      </c>
      <c r="K568" s="113">
        <v>46</v>
      </c>
      <c r="L568" s="113">
        <v>17.03</v>
      </c>
      <c r="M568" s="113">
        <v>21.972000000000001</v>
      </c>
      <c r="N568" s="113">
        <v>17.247</v>
      </c>
      <c r="O568" s="114" t="s">
        <v>2609</v>
      </c>
    </row>
    <row r="569" spans="1:15" x14ac:dyDescent="0.25">
      <c r="A569" s="113" t="s">
        <v>55</v>
      </c>
      <c r="B569" s="113" t="s">
        <v>8</v>
      </c>
      <c r="C569" s="113">
        <v>10</v>
      </c>
      <c r="D569" s="113">
        <v>20</v>
      </c>
      <c r="E569" s="113">
        <v>0.1</v>
      </c>
      <c r="F569" s="113" t="s">
        <v>6</v>
      </c>
      <c r="G569" s="113" t="s">
        <v>4</v>
      </c>
      <c r="H569" s="113">
        <v>50</v>
      </c>
      <c r="I569" s="113">
        <v>100</v>
      </c>
      <c r="J569" s="113" t="s">
        <v>10</v>
      </c>
      <c r="K569" s="113">
        <v>54.831000000000003</v>
      </c>
      <c r="L569" s="113">
        <v>0.51571</v>
      </c>
      <c r="M569" s="113">
        <v>54.83</v>
      </c>
      <c r="N569" s="113">
        <v>0.51529000000000003</v>
      </c>
      <c r="O569" s="114" t="s">
        <v>1714</v>
      </c>
    </row>
    <row r="570" spans="1:15" x14ac:dyDescent="0.25">
      <c r="A570" s="113" t="s">
        <v>55</v>
      </c>
      <c r="B570" s="113" t="s">
        <v>8</v>
      </c>
      <c r="C570" s="113">
        <v>10</v>
      </c>
      <c r="D570" s="113">
        <v>20</v>
      </c>
      <c r="E570" s="113">
        <v>0.1</v>
      </c>
      <c r="F570" s="113" t="s">
        <v>6</v>
      </c>
      <c r="G570" s="113" t="s">
        <v>4</v>
      </c>
      <c r="H570" s="113">
        <v>300</v>
      </c>
      <c r="I570" s="113">
        <v>1000</v>
      </c>
      <c r="J570" s="113" t="s">
        <v>10</v>
      </c>
      <c r="K570" s="113">
        <v>25.324999999999999</v>
      </c>
      <c r="L570" s="113">
        <v>16.908000000000001</v>
      </c>
      <c r="M570" s="113">
        <v>25.323</v>
      </c>
      <c r="N570" s="113">
        <v>16.908000000000001</v>
      </c>
      <c r="O570" s="114" t="s">
        <v>2610</v>
      </c>
    </row>
    <row r="571" spans="1:15" x14ac:dyDescent="0.25">
      <c r="A571" s="113" t="s">
        <v>55</v>
      </c>
      <c r="B571" s="113" t="s">
        <v>8</v>
      </c>
      <c r="C571" s="113">
        <v>10</v>
      </c>
      <c r="D571" s="113">
        <v>20</v>
      </c>
      <c r="E571" s="113">
        <v>0.1</v>
      </c>
      <c r="F571" s="113" t="s">
        <v>6</v>
      </c>
      <c r="G571" s="113" t="s">
        <v>4</v>
      </c>
      <c r="H571" s="113">
        <v>100</v>
      </c>
      <c r="I571" s="113">
        <v>300</v>
      </c>
      <c r="J571" s="113" t="s">
        <v>10</v>
      </c>
      <c r="K571" s="113">
        <v>44.405999999999999</v>
      </c>
      <c r="L571" s="113">
        <v>3.7323</v>
      </c>
      <c r="M571" s="113">
        <v>44.402999999999999</v>
      </c>
      <c r="N571" s="113">
        <v>3.7322000000000002</v>
      </c>
      <c r="O571" s="114" t="s">
        <v>2612</v>
      </c>
    </row>
    <row r="572" spans="1:15" x14ac:dyDescent="0.25">
      <c r="A572" s="113" t="s">
        <v>55</v>
      </c>
      <c r="B572" s="113" t="s">
        <v>8</v>
      </c>
      <c r="C572" s="113">
        <v>10</v>
      </c>
      <c r="D572" s="113">
        <v>20</v>
      </c>
      <c r="E572" s="113">
        <v>1</v>
      </c>
      <c r="F572" s="113" t="s">
        <v>6</v>
      </c>
      <c r="G572" s="113" t="s">
        <v>4</v>
      </c>
      <c r="H572" s="113">
        <v>300</v>
      </c>
      <c r="I572" s="113">
        <v>1000</v>
      </c>
      <c r="J572" s="113" t="s">
        <v>10</v>
      </c>
      <c r="K572" s="113">
        <v>533.13</v>
      </c>
      <c r="L572" s="113">
        <v>7.3338000000000001</v>
      </c>
      <c r="M572" s="113">
        <v>437.38</v>
      </c>
      <c r="N572" s="113">
        <v>7.3335999999999997</v>
      </c>
      <c r="O572" s="114" t="s">
        <v>2615</v>
      </c>
    </row>
    <row r="573" spans="1:15" x14ac:dyDescent="0.25">
      <c r="A573" s="113" t="s">
        <v>55</v>
      </c>
      <c r="B573" s="113" t="s">
        <v>8</v>
      </c>
      <c r="C573" s="113">
        <v>10</v>
      </c>
      <c r="D573" s="113">
        <v>100</v>
      </c>
      <c r="E573" s="113">
        <v>1</v>
      </c>
      <c r="F573" s="113" t="s">
        <v>6</v>
      </c>
      <c r="G573" s="113" t="s">
        <v>4</v>
      </c>
      <c r="H573" s="113">
        <v>300</v>
      </c>
      <c r="I573" s="113">
        <v>1000</v>
      </c>
      <c r="J573" s="113" t="s">
        <v>10</v>
      </c>
      <c r="K573" s="113">
        <v>469.61</v>
      </c>
      <c r="L573" s="113">
        <v>13.691000000000001</v>
      </c>
      <c r="M573" s="113">
        <v>433.99</v>
      </c>
      <c r="N573" s="113">
        <v>13.692</v>
      </c>
      <c r="O573" s="114" t="s">
        <v>1716</v>
      </c>
    </row>
    <row r="574" spans="1:15" x14ac:dyDescent="0.25">
      <c r="A574" s="113" t="s">
        <v>55</v>
      </c>
      <c r="B574" s="113" t="s">
        <v>8</v>
      </c>
      <c r="C574" s="113">
        <v>10</v>
      </c>
      <c r="D574" s="113">
        <v>20</v>
      </c>
      <c r="E574" s="113">
        <v>1</v>
      </c>
      <c r="F574" s="113" t="s">
        <v>6</v>
      </c>
      <c r="G574" s="113" t="s">
        <v>4</v>
      </c>
      <c r="H574" s="113">
        <v>1E-3</v>
      </c>
      <c r="I574" s="113">
        <v>0.04</v>
      </c>
      <c r="J574" s="113" t="s">
        <v>10</v>
      </c>
      <c r="K574" s="113">
        <v>577.36</v>
      </c>
      <c r="L574" s="113">
        <v>3.4030000000000002E-3</v>
      </c>
      <c r="M574" s="113">
        <v>577.07000000000005</v>
      </c>
      <c r="N574" s="113">
        <v>3.2721999999999998E-3</v>
      </c>
      <c r="O574" s="114" t="s">
        <v>1719</v>
      </c>
    </row>
    <row r="575" spans="1:15" x14ac:dyDescent="0.25">
      <c r="A575" s="113" t="s">
        <v>55</v>
      </c>
      <c r="B575" s="113" t="s">
        <v>8</v>
      </c>
      <c r="C575" s="113">
        <v>10</v>
      </c>
      <c r="D575" s="113">
        <v>20</v>
      </c>
      <c r="E575" s="113">
        <v>1</v>
      </c>
      <c r="F575" s="113" t="s">
        <v>6</v>
      </c>
      <c r="G575" s="113" t="s">
        <v>4</v>
      </c>
      <c r="H575" s="113">
        <v>1</v>
      </c>
      <c r="I575" s="113">
        <v>20</v>
      </c>
      <c r="J575" s="113" t="s">
        <v>10</v>
      </c>
      <c r="K575" s="113">
        <v>577.35</v>
      </c>
      <c r="L575" s="113">
        <v>2.4694999999999999E-3</v>
      </c>
      <c r="M575" s="113">
        <v>577.14</v>
      </c>
      <c r="N575" s="113">
        <v>2.3387E-3</v>
      </c>
      <c r="O575" s="114" t="s">
        <v>1717</v>
      </c>
    </row>
    <row r="576" spans="1:15" x14ac:dyDescent="0.25">
      <c r="A576" s="113" t="s">
        <v>55</v>
      </c>
      <c r="B576" s="113" t="s">
        <v>8</v>
      </c>
      <c r="C576" s="113">
        <v>10</v>
      </c>
      <c r="D576" s="113">
        <v>20</v>
      </c>
      <c r="E576" s="113">
        <v>1</v>
      </c>
      <c r="F576" s="113" t="s">
        <v>6</v>
      </c>
      <c r="G576" s="113" t="s">
        <v>4</v>
      </c>
      <c r="H576" s="113">
        <v>0.04</v>
      </c>
      <c r="I576" s="113">
        <v>1</v>
      </c>
      <c r="J576" s="113" t="s">
        <v>10</v>
      </c>
      <c r="K576" s="113">
        <v>577.35</v>
      </c>
      <c r="L576" s="113">
        <v>2.4694999999999999E-3</v>
      </c>
      <c r="M576" s="113">
        <v>577.14</v>
      </c>
      <c r="N576" s="113">
        <v>2.3387E-3</v>
      </c>
      <c r="O576" s="114" t="s">
        <v>1722</v>
      </c>
    </row>
    <row r="577" spans="1:15" x14ac:dyDescent="0.25">
      <c r="A577" s="113" t="s">
        <v>55</v>
      </c>
      <c r="B577" s="113" t="s">
        <v>8</v>
      </c>
      <c r="C577" s="113">
        <v>10</v>
      </c>
      <c r="D577" s="113">
        <v>20</v>
      </c>
      <c r="E577" s="113">
        <v>1</v>
      </c>
      <c r="F577" s="113" t="s">
        <v>6</v>
      </c>
      <c r="G577" s="113" t="s">
        <v>4</v>
      </c>
      <c r="H577" s="113">
        <v>100</v>
      </c>
      <c r="I577" s="113">
        <v>300</v>
      </c>
      <c r="J577" s="113" t="s">
        <v>10</v>
      </c>
      <c r="K577" s="113">
        <v>573.82000000000005</v>
      </c>
      <c r="L577" s="113">
        <v>0.64234000000000002</v>
      </c>
      <c r="M577" s="113">
        <v>542.91999999999996</v>
      </c>
      <c r="N577" s="113">
        <v>0.64214000000000004</v>
      </c>
      <c r="O577" s="114" t="s">
        <v>1718</v>
      </c>
    </row>
    <row r="578" spans="1:15" x14ac:dyDescent="0.25">
      <c r="A578" s="113" t="s">
        <v>55</v>
      </c>
      <c r="B578" s="113" t="s">
        <v>8</v>
      </c>
      <c r="C578" s="113">
        <v>10</v>
      </c>
      <c r="D578" s="113">
        <v>20</v>
      </c>
      <c r="E578" s="113">
        <v>1</v>
      </c>
      <c r="F578" s="113" t="s">
        <v>6</v>
      </c>
      <c r="G578" s="113" t="s">
        <v>4</v>
      </c>
      <c r="H578" s="113">
        <v>50</v>
      </c>
      <c r="I578" s="113">
        <v>100</v>
      </c>
      <c r="J578" s="113" t="s">
        <v>10</v>
      </c>
      <c r="K578" s="113">
        <v>577.03</v>
      </c>
      <c r="L578" s="113">
        <v>5.5989999999999998E-2</v>
      </c>
      <c r="M578" s="113">
        <v>572.42999999999995</v>
      </c>
      <c r="N578" s="113">
        <v>5.5786000000000002E-2</v>
      </c>
      <c r="O578" s="114" t="s">
        <v>1721</v>
      </c>
    </row>
    <row r="579" spans="1:15" x14ac:dyDescent="0.25">
      <c r="A579" s="113" t="s">
        <v>55</v>
      </c>
      <c r="B579" s="113" t="s">
        <v>8</v>
      </c>
      <c r="C579" s="113">
        <v>10</v>
      </c>
      <c r="D579" s="113">
        <v>20</v>
      </c>
      <c r="E579" s="113">
        <v>1</v>
      </c>
      <c r="F579" s="113" t="s">
        <v>6</v>
      </c>
      <c r="G579" s="113" t="s">
        <v>4</v>
      </c>
      <c r="H579" s="113">
        <v>20</v>
      </c>
      <c r="I579" s="113">
        <v>50</v>
      </c>
      <c r="J579" s="113" t="s">
        <v>10</v>
      </c>
      <c r="K579" s="113">
        <v>577.33000000000004</v>
      </c>
      <c r="L579" s="113">
        <v>6.1608000000000001E-3</v>
      </c>
      <c r="M579" s="113">
        <v>576.79999999999995</v>
      </c>
      <c r="N579" s="113">
        <v>5.9565E-3</v>
      </c>
      <c r="O579" s="114" t="s">
        <v>1720</v>
      </c>
    </row>
    <row r="580" spans="1:15" x14ac:dyDescent="0.25">
      <c r="A580" s="113" t="s">
        <v>55</v>
      </c>
      <c r="B580" s="113" t="s">
        <v>8</v>
      </c>
      <c r="C580" s="113">
        <v>10</v>
      </c>
      <c r="D580" s="113">
        <v>100</v>
      </c>
      <c r="E580" s="113">
        <v>1</v>
      </c>
      <c r="F580" s="113" t="s">
        <v>6</v>
      </c>
      <c r="G580" s="113" t="s">
        <v>4</v>
      </c>
      <c r="H580" s="113">
        <v>100</v>
      </c>
      <c r="I580" s="113">
        <v>300</v>
      </c>
      <c r="J580" s="113" t="s">
        <v>10</v>
      </c>
      <c r="K580" s="113">
        <v>561.72</v>
      </c>
      <c r="L580" s="113">
        <v>1.8549</v>
      </c>
      <c r="M580" s="113">
        <v>536.24</v>
      </c>
      <c r="N580" s="113">
        <v>1.8547</v>
      </c>
      <c r="O580" s="114" t="s">
        <v>2614</v>
      </c>
    </row>
    <row r="581" spans="1:15" x14ac:dyDescent="0.25">
      <c r="A581" s="113" t="s">
        <v>55</v>
      </c>
      <c r="B581" s="113" t="s">
        <v>8</v>
      </c>
      <c r="C581" s="113">
        <v>20</v>
      </c>
      <c r="D581" s="113">
        <v>100</v>
      </c>
      <c r="E581" s="113">
        <v>1.0000000000000001E-5</v>
      </c>
      <c r="F581" s="113" t="s">
        <v>6</v>
      </c>
      <c r="G581" s="113" t="s">
        <v>4</v>
      </c>
      <c r="H581" s="113">
        <v>20</v>
      </c>
      <c r="I581" s="113">
        <v>50</v>
      </c>
      <c r="J581" s="113" t="s">
        <v>10</v>
      </c>
      <c r="K581" s="113">
        <v>6.8</v>
      </c>
      <c r="L581" s="113">
        <v>0.37</v>
      </c>
      <c r="M581" s="113">
        <v>6.7323000000000004</v>
      </c>
      <c r="N581" s="113">
        <v>0.36645</v>
      </c>
      <c r="O581" s="114" t="s">
        <v>2616</v>
      </c>
    </row>
    <row r="582" spans="1:15" x14ac:dyDescent="0.25">
      <c r="A582" s="113" t="s">
        <v>55</v>
      </c>
      <c r="B582" s="113" t="s">
        <v>8</v>
      </c>
      <c r="C582" s="113">
        <v>20</v>
      </c>
      <c r="D582" s="113">
        <v>100</v>
      </c>
      <c r="E582" s="113">
        <v>1.0000000000000001E-5</v>
      </c>
      <c r="F582" s="113" t="s">
        <v>6</v>
      </c>
      <c r="G582" s="113" t="s">
        <v>4</v>
      </c>
      <c r="H582" s="113">
        <v>1E-3</v>
      </c>
      <c r="I582" s="113">
        <v>0.04</v>
      </c>
      <c r="J582" s="113" t="s">
        <v>10</v>
      </c>
      <c r="K582" s="113">
        <v>5</v>
      </c>
      <c r="L582" s="113">
        <v>0.23</v>
      </c>
      <c r="M582" s="113">
        <v>4.6009000000000002</v>
      </c>
      <c r="N582" s="113">
        <v>0.23351</v>
      </c>
      <c r="O582" s="114" t="s">
        <v>1724</v>
      </c>
    </row>
    <row r="583" spans="1:15" x14ac:dyDescent="0.25">
      <c r="A583" s="113" t="s">
        <v>55</v>
      </c>
      <c r="B583" s="113" t="s">
        <v>8</v>
      </c>
      <c r="C583" s="113">
        <v>20</v>
      </c>
      <c r="D583" s="113">
        <v>100</v>
      </c>
      <c r="E583" s="113">
        <v>1.0000000000000001E-5</v>
      </c>
      <c r="F583" s="113" t="s">
        <v>6</v>
      </c>
      <c r="G583" s="113" t="s">
        <v>4</v>
      </c>
      <c r="H583" s="113">
        <v>0.04</v>
      </c>
      <c r="I583" s="113">
        <v>1</v>
      </c>
      <c r="J583" s="113" t="s">
        <v>10</v>
      </c>
      <c r="K583" s="113">
        <v>2.7</v>
      </c>
      <c r="L583" s="113">
        <v>0.23</v>
      </c>
      <c r="M583" s="113">
        <v>2.2757999999999998</v>
      </c>
      <c r="N583" s="113">
        <v>0.23386000000000001</v>
      </c>
      <c r="O583" s="114" t="s">
        <v>2617</v>
      </c>
    </row>
    <row r="584" spans="1:15" x14ac:dyDescent="0.25">
      <c r="A584" s="113" t="s">
        <v>55</v>
      </c>
      <c r="B584" s="113" t="s">
        <v>8</v>
      </c>
      <c r="C584" s="113">
        <v>20</v>
      </c>
      <c r="D584" s="113">
        <v>100</v>
      </c>
      <c r="E584" s="113">
        <v>1.0000000000000001E-5</v>
      </c>
      <c r="F584" s="113" t="s">
        <v>6</v>
      </c>
      <c r="G584" s="113" t="s">
        <v>4</v>
      </c>
      <c r="H584" s="113">
        <v>1</v>
      </c>
      <c r="I584" s="113">
        <v>20</v>
      </c>
      <c r="J584" s="113" t="s">
        <v>10</v>
      </c>
      <c r="K584" s="113">
        <v>4.9000000000000004</v>
      </c>
      <c r="L584" s="113">
        <v>0.21</v>
      </c>
      <c r="M584" s="113">
        <v>4.8563999999999998</v>
      </c>
      <c r="N584" s="113">
        <v>0.20787</v>
      </c>
      <c r="O584" s="114" t="s">
        <v>1723</v>
      </c>
    </row>
    <row r="585" spans="1:15" x14ac:dyDescent="0.25">
      <c r="A585" s="113" t="s">
        <v>55</v>
      </c>
      <c r="B585" s="113" t="s">
        <v>8</v>
      </c>
      <c r="C585" s="113">
        <v>20</v>
      </c>
      <c r="D585" s="113">
        <v>100</v>
      </c>
      <c r="E585" s="113">
        <v>1.0000000000000001E-5</v>
      </c>
      <c r="F585" s="113" t="s">
        <v>6</v>
      </c>
      <c r="G585" s="113" t="s">
        <v>4</v>
      </c>
      <c r="H585" s="113">
        <v>50</v>
      </c>
      <c r="I585" s="113">
        <v>100</v>
      </c>
      <c r="J585" s="113" t="s">
        <v>10</v>
      </c>
      <c r="K585" s="113">
        <v>22</v>
      </c>
      <c r="L585" s="113">
        <v>1.2</v>
      </c>
      <c r="M585" s="113">
        <v>17.722000000000001</v>
      </c>
      <c r="N585" s="113">
        <v>1.2358</v>
      </c>
      <c r="O585" s="114" t="s">
        <v>1725</v>
      </c>
    </row>
    <row r="586" spans="1:15" x14ac:dyDescent="0.25">
      <c r="A586" s="113" t="s">
        <v>55</v>
      </c>
      <c r="B586" s="113" t="s">
        <v>8</v>
      </c>
      <c r="C586" s="113">
        <v>20</v>
      </c>
      <c r="D586" s="113">
        <v>100</v>
      </c>
      <c r="E586" s="113">
        <v>1E-4</v>
      </c>
      <c r="F586" s="113" t="s">
        <v>6</v>
      </c>
      <c r="G586" s="113" t="s">
        <v>4</v>
      </c>
      <c r="H586" s="113">
        <v>50</v>
      </c>
      <c r="I586" s="113">
        <v>100</v>
      </c>
      <c r="J586" s="113" t="s">
        <v>10</v>
      </c>
      <c r="K586" s="113">
        <v>22</v>
      </c>
      <c r="L586" s="113">
        <v>1.2034</v>
      </c>
      <c r="M586" s="113">
        <v>17.722999999999999</v>
      </c>
      <c r="N586" s="113">
        <v>1.2358</v>
      </c>
      <c r="O586" s="114" t="s">
        <v>1727</v>
      </c>
    </row>
    <row r="587" spans="1:15" x14ac:dyDescent="0.25">
      <c r="A587" s="113" t="s">
        <v>55</v>
      </c>
      <c r="B587" s="113" t="s">
        <v>8</v>
      </c>
      <c r="C587" s="113">
        <v>20</v>
      </c>
      <c r="D587" s="113">
        <v>100</v>
      </c>
      <c r="E587" s="113">
        <v>1E-4</v>
      </c>
      <c r="F587" s="113" t="s">
        <v>6</v>
      </c>
      <c r="G587" s="113" t="s">
        <v>4</v>
      </c>
      <c r="H587" s="113">
        <v>1E-3</v>
      </c>
      <c r="I587" s="113">
        <v>0.04</v>
      </c>
      <c r="J587" s="113" t="s">
        <v>10</v>
      </c>
      <c r="K587" s="113">
        <v>5</v>
      </c>
      <c r="L587" s="113">
        <v>0.23166999999999999</v>
      </c>
      <c r="M587" s="113">
        <v>4.6010999999999997</v>
      </c>
      <c r="N587" s="113">
        <v>0.23351</v>
      </c>
      <c r="O587" s="114" t="s">
        <v>1728</v>
      </c>
    </row>
    <row r="588" spans="1:15" x14ac:dyDescent="0.25">
      <c r="A588" s="113" t="s">
        <v>55</v>
      </c>
      <c r="B588" s="113" t="s">
        <v>8</v>
      </c>
      <c r="C588" s="113">
        <v>20</v>
      </c>
      <c r="D588" s="113">
        <v>100</v>
      </c>
      <c r="E588" s="113">
        <v>1E-4</v>
      </c>
      <c r="F588" s="113" t="s">
        <v>6</v>
      </c>
      <c r="G588" s="113" t="s">
        <v>4</v>
      </c>
      <c r="H588" s="113">
        <v>0.04</v>
      </c>
      <c r="I588" s="113">
        <v>1</v>
      </c>
      <c r="J588" s="113" t="s">
        <v>10</v>
      </c>
      <c r="K588" s="113">
        <v>2.7</v>
      </c>
      <c r="L588" s="113">
        <v>0.23180000000000001</v>
      </c>
      <c r="M588" s="113">
        <v>2.2759999999999998</v>
      </c>
      <c r="N588" s="113">
        <v>0.23386000000000001</v>
      </c>
      <c r="O588" s="114" t="s">
        <v>1726</v>
      </c>
    </row>
    <row r="589" spans="1:15" x14ac:dyDescent="0.25">
      <c r="A589" s="113" t="s">
        <v>55</v>
      </c>
      <c r="B589" s="113" t="s">
        <v>8</v>
      </c>
      <c r="C589" s="113">
        <v>20</v>
      </c>
      <c r="D589" s="113">
        <v>100</v>
      </c>
      <c r="E589" s="113">
        <v>1E-4</v>
      </c>
      <c r="F589" s="113" t="s">
        <v>6</v>
      </c>
      <c r="G589" s="113" t="s">
        <v>4</v>
      </c>
      <c r="H589" s="113">
        <v>20</v>
      </c>
      <c r="I589" s="113">
        <v>50</v>
      </c>
      <c r="J589" s="113" t="s">
        <v>10</v>
      </c>
      <c r="K589" s="113">
        <v>6.8</v>
      </c>
      <c r="L589" s="113">
        <v>0.36642000000000002</v>
      </c>
      <c r="M589" s="113">
        <v>6.7324000000000002</v>
      </c>
      <c r="N589" s="113">
        <v>0.36645</v>
      </c>
      <c r="O589" s="114" t="s">
        <v>2618</v>
      </c>
    </row>
    <row r="590" spans="1:15" x14ac:dyDescent="0.25">
      <c r="A590" s="113" t="s">
        <v>55</v>
      </c>
      <c r="B590" s="113" t="s">
        <v>8</v>
      </c>
      <c r="C590" s="113">
        <v>20</v>
      </c>
      <c r="D590" s="113">
        <v>100</v>
      </c>
      <c r="E590" s="113">
        <v>1E-4</v>
      </c>
      <c r="F590" s="113" t="s">
        <v>6</v>
      </c>
      <c r="G590" s="113" t="s">
        <v>4</v>
      </c>
      <c r="H590" s="113">
        <v>1</v>
      </c>
      <c r="I590" s="113">
        <v>20</v>
      </c>
      <c r="J590" s="113" t="s">
        <v>10</v>
      </c>
      <c r="K590" s="113">
        <v>4.9000000000000004</v>
      </c>
      <c r="L590" s="113">
        <v>0.21</v>
      </c>
      <c r="M590" s="113">
        <v>4.8564999999999996</v>
      </c>
      <c r="N590" s="113">
        <v>0.20787</v>
      </c>
      <c r="O590" s="114" t="s">
        <v>1729</v>
      </c>
    </row>
    <row r="591" spans="1:15" x14ac:dyDescent="0.25">
      <c r="A591" s="113" t="s">
        <v>55</v>
      </c>
      <c r="B591" s="113" t="s">
        <v>8</v>
      </c>
      <c r="C591" s="113">
        <v>20</v>
      </c>
      <c r="D591" s="113">
        <v>100</v>
      </c>
      <c r="E591" s="113">
        <v>1E-3</v>
      </c>
      <c r="F591" s="113" t="s">
        <v>6</v>
      </c>
      <c r="G591" s="113" t="s">
        <v>4</v>
      </c>
      <c r="H591" s="113">
        <v>20</v>
      </c>
      <c r="I591" s="113">
        <v>50</v>
      </c>
      <c r="J591" s="113" t="s">
        <v>10</v>
      </c>
      <c r="K591" s="113">
        <v>6.8</v>
      </c>
      <c r="L591" s="113">
        <v>0.36631000000000002</v>
      </c>
      <c r="M591" s="113">
        <v>6.7495000000000003</v>
      </c>
      <c r="N591" s="113">
        <v>0.36631999999999998</v>
      </c>
      <c r="O591" s="114" t="s">
        <v>2619</v>
      </c>
    </row>
    <row r="592" spans="1:15" x14ac:dyDescent="0.25">
      <c r="A592" s="113" t="s">
        <v>55</v>
      </c>
      <c r="B592" s="113" t="s">
        <v>8</v>
      </c>
      <c r="C592" s="113">
        <v>20</v>
      </c>
      <c r="D592" s="113">
        <v>100</v>
      </c>
      <c r="E592" s="113">
        <v>1E-3</v>
      </c>
      <c r="F592" s="113" t="s">
        <v>6</v>
      </c>
      <c r="G592" s="113" t="s">
        <v>4</v>
      </c>
      <c r="H592" s="113">
        <v>50</v>
      </c>
      <c r="I592" s="113">
        <v>100</v>
      </c>
      <c r="J592" s="113" t="s">
        <v>10</v>
      </c>
      <c r="K592" s="113">
        <v>22</v>
      </c>
      <c r="L592" s="113">
        <v>1.2034</v>
      </c>
      <c r="M592" s="113">
        <v>17.724</v>
      </c>
      <c r="N592" s="113">
        <v>1.2358</v>
      </c>
      <c r="O592" s="114" t="s">
        <v>1732</v>
      </c>
    </row>
    <row r="593" spans="1:15" x14ac:dyDescent="0.25">
      <c r="A593" s="113" t="s">
        <v>55</v>
      </c>
      <c r="B593" s="113" t="s">
        <v>8</v>
      </c>
      <c r="C593" s="113">
        <v>20</v>
      </c>
      <c r="D593" s="113">
        <v>100</v>
      </c>
      <c r="E593" s="113">
        <v>1E-3</v>
      </c>
      <c r="F593" s="113" t="s">
        <v>6</v>
      </c>
      <c r="G593" s="113" t="s">
        <v>4</v>
      </c>
      <c r="H593" s="113">
        <v>1</v>
      </c>
      <c r="I593" s="113">
        <v>20</v>
      </c>
      <c r="J593" s="113" t="s">
        <v>10</v>
      </c>
      <c r="K593" s="113">
        <v>4.9000000000000004</v>
      </c>
      <c r="L593" s="113">
        <v>0.21</v>
      </c>
      <c r="M593" s="113">
        <v>4.8819999999999997</v>
      </c>
      <c r="N593" s="113">
        <v>0.20768</v>
      </c>
      <c r="O593" s="114" t="s">
        <v>1733</v>
      </c>
    </row>
    <row r="594" spans="1:15" x14ac:dyDescent="0.25">
      <c r="A594" s="113" t="s">
        <v>55</v>
      </c>
      <c r="B594" s="113" t="s">
        <v>8</v>
      </c>
      <c r="C594" s="113">
        <v>20</v>
      </c>
      <c r="D594" s="113">
        <v>100</v>
      </c>
      <c r="E594" s="113">
        <v>1E-3</v>
      </c>
      <c r="F594" s="113" t="s">
        <v>6</v>
      </c>
      <c r="G594" s="113" t="s">
        <v>4</v>
      </c>
      <c r="H594" s="113">
        <v>0.04</v>
      </c>
      <c r="I594" s="113">
        <v>1</v>
      </c>
      <c r="J594" s="113" t="s">
        <v>10</v>
      </c>
      <c r="K594" s="113">
        <v>2.7</v>
      </c>
      <c r="L594" s="113">
        <v>0.23188</v>
      </c>
      <c r="M594" s="113">
        <v>2.2997999999999998</v>
      </c>
      <c r="N594" s="113">
        <v>0.23363999999999999</v>
      </c>
      <c r="O594" s="114" t="s">
        <v>1731</v>
      </c>
    </row>
    <row r="595" spans="1:15" x14ac:dyDescent="0.25">
      <c r="A595" s="113" t="s">
        <v>55</v>
      </c>
      <c r="B595" s="113" t="s">
        <v>8</v>
      </c>
      <c r="C595" s="113">
        <v>20</v>
      </c>
      <c r="D595" s="113">
        <v>100</v>
      </c>
      <c r="E595" s="113">
        <v>1E-3</v>
      </c>
      <c r="F595" s="113" t="s">
        <v>6</v>
      </c>
      <c r="G595" s="113" t="s">
        <v>4</v>
      </c>
      <c r="H595" s="113">
        <v>1E-3</v>
      </c>
      <c r="I595" s="113">
        <v>0.04</v>
      </c>
      <c r="J595" s="113" t="s">
        <v>10</v>
      </c>
      <c r="K595" s="113">
        <v>5</v>
      </c>
      <c r="L595" s="113">
        <v>0.23175000000000001</v>
      </c>
      <c r="M595" s="113">
        <v>4.6195000000000004</v>
      </c>
      <c r="N595" s="113">
        <v>0.23336000000000001</v>
      </c>
      <c r="O595" s="114" t="s">
        <v>1730</v>
      </c>
    </row>
    <row r="596" spans="1:15" x14ac:dyDescent="0.25">
      <c r="A596" s="113" t="s">
        <v>55</v>
      </c>
      <c r="B596" s="113" t="s">
        <v>8</v>
      </c>
      <c r="C596" s="113">
        <v>20</v>
      </c>
      <c r="D596" s="113">
        <v>100</v>
      </c>
      <c r="E596" s="113">
        <v>0.01</v>
      </c>
      <c r="F596" s="113" t="s">
        <v>6</v>
      </c>
      <c r="G596" s="113" t="s">
        <v>4</v>
      </c>
      <c r="H596" s="113">
        <v>50</v>
      </c>
      <c r="I596" s="113">
        <v>100</v>
      </c>
      <c r="J596" s="113" t="s">
        <v>10</v>
      </c>
      <c r="K596" s="113">
        <v>22</v>
      </c>
      <c r="L596" s="113">
        <v>1.2047000000000001</v>
      </c>
      <c r="M596" s="113">
        <v>18.315000000000001</v>
      </c>
      <c r="N596" s="113">
        <v>1.2311000000000001</v>
      </c>
      <c r="O596" s="114" t="s">
        <v>1735</v>
      </c>
    </row>
    <row r="597" spans="1:15" x14ac:dyDescent="0.25">
      <c r="A597" s="113" t="s">
        <v>55</v>
      </c>
      <c r="B597" s="113" t="s">
        <v>8</v>
      </c>
      <c r="C597" s="113">
        <v>20</v>
      </c>
      <c r="D597" s="113">
        <v>100</v>
      </c>
      <c r="E597" s="113">
        <v>0.01</v>
      </c>
      <c r="F597" s="113" t="s">
        <v>6</v>
      </c>
      <c r="G597" s="113" t="s">
        <v>4</v>
      </c>
      <c r="H597" s="113">
        <v>20</v>
      </c>
      <c r="I597" s="113">
        <v>50</v>
      </c>
      <c r="J597" s="113" t="s">
        <v>10</v>
      </c>
      <c r="K597" s="113">
        <v>8.3577999999999992</v>
      </c>
      <c r="L597" s="113">
        <v>0.35409000000000002</v>
      </c>
      <c r="M597" s="113">
        <v>8.3518000000000008</v>
      </c>
      <c r="N597" s="113">
        <v>0.35408000000000001</v>
      </c>
      <c r="O597" s="114" t="s">
        <v>1738</v>
      </c>
    </row>
    <row r="598" spans="1:15" x14ac:dyDescent="0.25">
      <c r="A598" s="113" t="s">
        <v>55</v>
      </c>
      <c r="B598" s="113" t="s">
        <v>8</v>
      </c>
      <c r="C598" s="113">
        <v>20</v>
      </c>
      <c r="D598" s="113">
        <v>100</v>
      </c>
      <c r="E598" s="113">
        <v>0.01</v>
      </c>
      <c r="F598" s="113" t="s">
        <v>6</v>
      </c>
      <c r="G598" s="113" t="s">
        <v>4</v>
      </c>
      <c r="H598" s="113">
        <v>1E-3</v>
      </c>
      <c r="I598" s="113">
        <v>0.04</v>
      </c>
      <c r="J598" s="113" t="s">
        <v>10</v>
      </c>
      <c r="K598" s="113">
        <v>6.5042</v>
      </c>
      <c r="L598" s="113">
        <v>0.22022</v>
      </c>
      <c r="M598" s="113">
        <v>6.5015000000000001</v>
      </c>
      <c r="N598" s="113">
        <v>0.22022</v>
      </c>
      <c r="O598" s="114" t="s">
        <v>1734</v>
      </c>
    </row>
    <row r="599" spans="1:15" x14ac:dyDescent="0.25">
      <c r="A599" s="113" t="s">
        <v>55</v>
      </c>
      <c r="B599" s="113" t="s">
        <v>8</v>
      </c>
      <c r="C599" s="113">
        <v>20</v>
      </c>
      <c r="D599" s="113">
        <v>100</v>
      </c>
      <c r="E599" s="113">
        <v>0.01</v>
      </c>
      <c r="F599" s="113" t="s">
        <v>6</v>
      </c>
      <c r="G599" s="113" t="s">
        <v>4</v>
      </c>
      <c r="H599" s="113">
        <v>0.04</v>
      </c>
      <c r="I599" s="113">
        <v>1</v>
      </c>
      <c r="J599" s="113" t="s">
        <v>10</v>
      </c>
      <c r="K599" s="113">
        <v>4.7115</v>
      </c>
      <c r="L599" s="113">
        <v>0.21576999999999999</v>
      </c>
      <c r="M599" s="113">
        <v>4.7084000000000001</v>
      </c>
      <c r="N599" s="113">
        <v>0.21576999999999999</v>
      </c>
      <c r="O599" s="114" t="s">
        <v>1736</v>
      </c>
    </row>
    <row r="600" spans="1:15" x14ac:dyDescent="0.25">
      <c r="A600" s="113" t="s">
        <v>55</v>
      </c>
      <c r="B600" s="113" t="s">
        <v>8</v>
      </c>
      <c r="C600" s="113">
        <v>20</v>
      </c>
      <c r="D600" s="113">
        <v>100</v>
      </c>
      <c r="E600" s="113">
        <v>0.01</v>
      </c>
      <c r="F600" s="113" t="s">
        <v>6</v>
      </c>
      <c r="G600" s="113" t="s">
        <v>4</v>
      </c>
      <c r="H600" s="113">
        <v>1</v>
      </c>
      <c r="I600" s="113">
        <v>20</v>
      </c>
      <c r="J600" s="113" t="s">
        <v>10</v>
      </c>
      <c r="K600" s="113">
        <v>7.1093000000000002</v>
      </c>
      <c r="L600" s="113">
        <v>0.19178999999999999</v>
      </c>
      <c r="M600" s="113">
        <v>7.1055999999999999</v>
      </c>
      <c r="N600" s="113">
        <v>0.1918</v>
      </c>
      <c r="O600" s="114" t="s">
        <v>1737</v>
      </c>
    </row>
    <row r="601" spans="1:15" x14ac:dyDescent="0.25">
      <c r="A601" s="113" t="s">
        <v>55</v>
      </c>
      <c r="B601" s="113" t="s">
        <v>8</v>
      </c>
      <c r="C601" s="113">
        <v>20</v>
      </c>
      <c r="D601" s="113">
        <v>100</v>
      </c>
      <c r="E601" s="113">
        <v>0.1</v>
      </c>
      <c r="F601" s="113" t="s">
        <v>6</v>
      </c>
      <c r="G601" s="113" t="s">
        <v>4</v>
      </c>
      <c r="H601" s="113">
        <v>0.04</v>
      </c>
      <c r="I601" s="113">
        <v>1</v>
      </c>
      <c r="J601" s="113" t="s">
        <v>10</v>
      </c>
      <c r="K601" s="113">
        <v>56.896000000000001</v>
      </c>
      <c r="L601" s="113">
        <v>6.2831999999999999E-2</v>
      </c>
      <c r="M601" s="113">
        <v>56.895000000000003</v>
      </c>
      <c r="N601" s="113">
        <v>6.2796000000000005E-2</v>
      </c>
      <c r="O601" s="114" t="s">
        <v>1739</v>
      </c>
    </row>
    <row r="602" spans="1:15" x14ac:dyDescent="0.25">
      <c r="A602" s="113" t="s">
        <v>55</v>
      </c>
      <c r="B602" s="113" t="s">
        <v>8</v>
      </c>
      <c r="C602" s="113">
        <v>20</v>
      </c>
      <c r="D602" s="113">
        <v>100</v>
      </c>
      <c r="E602" s="113">
        <v>0.1</v>
      </c>
      <c r="F602" s="113" t="s">
        <v>6</v>
      </c>
      <c r="G602" s="113" t="s">
        <v>4</v>
      </c>
      <c r="H602" s="113">
        <v>50</v>
      </c>
      <c r="I602" s="113">
        <v>100</v>
      </c>
      <c r="J602" s="113" t="s">
        <v>10</v>
      </c>
      <c r="K602" s="113">
        <v>55.390999999999998</v>
      </c>
      <c r="L602" s="113">
        <v>0.97270000000000001</v>
      </c>
      <c r="M602" s="113">
        <v>55.372999999999998</v>
      </c>
      <c r="N602" s="113">
        <v>0.97270000000000001</v>
      </c>
      <c r="O602" s="114" t="s">
        <v>1742</v>
      </c>
    </row>
    <row r="603" spans="1:15" x14ac:dyDescent="0.25">
      <c r="A603" s="113" t="s">
        <v>55</v>
      </c>
      <c r="B603" s="113" t="s">
        <v>8</v>
      </c>
      <c r="C603" s="113">
        <v>20</v>
      </c>
      <c r="D603" s="113">
        <v>100</v>
      </c>
      <c r="E603" s="113">
        <v>0.1</v>
      </c>
      <c r="F603" s="113" t="s">
        <v>6</v>
      </c>
      <c r="G603" s="113" t="s">
        <v>4</v>
      </c>
      <c r="H603" s="113">
        <v>1</v>
      </c>
      <c r="I603" s="113">
        <v>20</v>
      </c>
      <c r="J603" s="113" t="s">
        <v>10</v>
      </c>
      <c r="K603" s="113">
        <v>57.594000000000001</v>
      </c>
      <c r="L603" s="113">
        <v>5.5849999999999997E-2</v>
      </c>
      <c r="M603" s="113">
        <v>57.591999999999999</v>
      </c>
      <c r="N603" s="113">
        <v>5.5819000000000001E-2</v>
      </c>
      <c r="O603" s="114" t="s">
        <v>1741</v>
      </c>
    </row>
    <row r="604" spans="1:15" x14ac:dyDescent="0.25">
      <c r="A604" s="113" t="s">
        <v>55</v>
      </c>
      <c r="B604" s="113" t="s">
        <v>8</v>
      </c>
      <c r="C604" s="113">
        <v>20</v>
      </c>
      <c r="D604" s="113">
        <v>100</v>
      </c>
      <c r="E604" s="113">
        <v>0.1</v>
      </c>
      <c r="F604" s="113" t="s">
        <v>6</v>
      </c>
      <c r="G604" s="113" t="s">
        <v>4</v>
      </c>
      <c r="H604" s="113">
        <v>1E-3</v>
      </c>
      <c r="I604" s="113">
        <v>0.04</v>
      </c>
      <c r="J604" s="113" t="s">
        <v>10</v>
      </c>
      <c r="K604" s="113">
        <v>57.057000000000002</v>
      </c>
      <c r="L604" s="113">
        <v>7.0854E-2</v>
      </c>
      <c r="M604" s="113">
        <v>57.055999999999997</v>
      </c>
      <c r="N604" s="113">
        <v>7.0818999999999993E-2</v>
      </c>
      <c r="O604" s="114" t="s">
        <v>2620</v>
      </c>
    </row>
    <row r="605" spans="1:15" x14ac:dyDescent="0.25">
      <c r="A605" s="113" t="s">
        <v>55</v>
      </c>
      <c r="B605" s="113" t="s">
        <v>8</v>
      </c>
      <c r="C605" s="113">
        <v>20</v>
      </c>
      <c r="D605" s="113">
        <v>100</v>
      </c>
      <c r="E605" s="113">
        <v>0.1</v>
      </c>
      <c r="F605" s="113" t="s">
        <v>6</v>
      </c>
      <c r="G605" s="113" t="s">
        <v>4</v>
      </c>
      <c r="H605" s="113">
        <v>20</v>
      </c>
      <c r="I605" s="113">
        <v>50</v>
      </c>
      <c r="J605" s="113" t="s">
        <v>10</v>
      </c>
      <c r="K605" s="113">
        <v>57.162999999999997</v>
      </c>
      <c r="L605" s="113">
        <v>0.15068999999999999</v>
      </c>
      <c r="M605" s="113">
        <v>57.158999999999999</v>
      </c>
      <c r="N605" s="113">
        <v>0.15056</v>
      </c>
      <c r="O605" s="114" t="s">
        <v>1740</v>
      </c>
    </row>
    <row r="606" spans="1:15" x14ac:dyDescent="0.25">
      <c r="A606" s="113" t="s">
        <v>55</v>
      </c>
      <c r="B606" s="113" t="s">
        <v>8</v>
      </c>
      <c r="C606" s="113">
        <v>20</v>
      </c>
      <c r="D606" s="113">
        <v>100</v>
      </c>
      <c r="E606" s="113">
        <v>1</v>
      </c>
      <c r="F606" s="113" t="s">
        <v>6</v>
      </c>
      <c r="G606" s="113" t="s">
        <v>4</v>
      </c>
      <c r="H606" s="113">
        <v>50</v>
      </c>
      <c r="I606" s="113">
        <v>100</v>
      </c>
      <c r="J606" s="113" t="s">
        <v>10</v>
      </c>
      <c r="K606" s="113">
        <v>576.34</v>
      </c>
      <c r="L606" s="113">
        <v>0.18074999999999999</v>
      </c>
      <c r="M606" s="113">
        <v>568.41</v>
      </c>
      <c r="N606" s="113">
        <v>0.18063000000000001</v>
      </c>
      <c r="O606" s="114" t="s">
        <v>2622</v>
      </c>
    </row>
    <row r="607" spans="1:15" x14ac:dyDescent="0.25">
      <c r="A607" s="113" t="s">
        <v>55</v>
      </c>
      <c r="B607" s="113" t="s">
        <v>8</v>
      </c>
      <c r="C607" s="113">
        <v>20</v>
      </c>
      <c r="D607" s="113">
        <v>100</v>
      </c>
      <c r="E607" s="113">
        <v>1</v>
      </c>
      <c r="F607" s="113" t="s">
        <v>6</v>
      </c>
      <c r="G607" s="113" t="s">
        <v>4</v>
      </c>
      <c r="H607" s="113">
        <v>20</v>
      </c>
      <c r="I607" s="113">
        <v>50</v>
      </c>
      <c r="J607" s="113" t="s">
        <v>10</v>
      </c>
      <c r="K607" s="113">
        <v>577.28</v>
      </c>
      <c r="L607" s="113">
        <v>1.7106E-2</v>
      </c>
      <c r="M607" s="113">
        <v>575.94000000000005</v>
      </c>
      <c r="N607" s="113">
        <v>1.704E-2</v>
      </c>
      <c r="O607" s="114" t="s">
        <v>1743</v>
      </c>
    </row>
    <row r="608" spans="1:15" x14ac:dyDescent="0.25">
      <c r="A608" s="113" t="s">
        <v>55</v>
      </c>
      <c r="B608" s="113" t="s">
        <v>8</v>
      </c>
      <c r="C608" s="113">
        <v>20</v>
      </c>
      <c r="D608" s="113">
        <v>100</v>
      </c>
      <c r="E608" s="113">
        <v>1</v>
      </c>
      <c r="F608" s="113" t="s">
        <v>6</v>
      </c>
      <c r="G608" s="113" t="s">
        <v>4</v>
      </c>
      <c r="H608" s="113">
        <v>1</v>
      </c>
      <c r="I608" s="113">
        <v>20</v>
      </c>
      <c r="J608" s="113" t="s">
        <v>10</v>
      </c>
      <c r="K608" s="113">
        <v>577.34</v>
      </c>
      <c r="L608" s="113">
        <v>5.8763000000000001E-3</v>
      </c>
      <c r="M608" s="113">
        <v>576.84</v>
      </c>
      <c r="N608" s="113">
        <v>5.8618000000000003E-3</v>
      </c>
      <c r="O608" s="114" t="s">
        <v>1744</v>
      </c>
    </row>
    <row r="609" spans="1:15" x14ac:dyDescent="0.25">
      <c r="A609" s="113" t="s">
        <v>55</v>
      </c>
      <c r="B609" s="113" t="s">
        <v>8</v>
      </c>
      <c r="C609" s="113">
        <v>20</v>
      </c>
      <c r="D609" s="113">
        <v>100</v>
      </c>
      <c r="E609" s="113">
        <v>1</v>
      </c>
      <c r="F609" s="113" t="s">
        <v>6</v>
      </c>
      <c r="G609" s="113" t="s">
        <v>4</v>
      </c>
      <c r="H609" s="113">
        <v>0.04</v>
      </c>
      <c r="I609" s="113">
        <v>1</v>
      </c>
      <c r="J609" s="113" t="s">
        <v>10</v>
      </c>
      <c r="K609" s="113">
        <v>577.27</v>
      </c>
      <c r="L609" s="113">
        <v>6.6108E-3</v>
      </c>
      <c r="M609" s="113">
        <v>576.14</v>
      </c>
      <c r="N609" s="113">
        <v>6.5944999999999997E-3</v>
      </c>
      <c r="O609" s="114" t="s">
        <v>2621</v>
      </c>
    </row>
    <row r="610" spans="1:15" x14ac:dyDescent="0.25">
      <c r="A610" s="113" t="s">
        <v>55</v>
      </c>
      <c r="B610" s="113" t="s">
        <v>8</v>
      </c>
      <c r="C610" s="113">
        <v>20</v>
      </c>
      <c r="D610" s="113">
        <v>100</v>
      </c>
      <c r="E610" s="113">
        <v>1</v>
      </c>
      <c r="F610" s="113" t="s">
        <v>6</v>
      </c>
      <c r="G610" s="113" t="s">
        <v>4</v>
      </c>
      <c r="H610" s="113">
        <v>1E-3</v>
      </c>
      <c r="I610" s="113">
        <v>0.04</v>
      </c>
      <c r="J610" s="113" t="s">
        <v>10</v>
      </c>
      <c r="K610" s="113">
        <v>577.28</v>
      </c>
      <c r="L610" s="113">
        <v>7.5312E-3</v>
      </c>
      <c r="M610" s="113">
        <v>576.01</v>
      </c>
      <c r="N610" s="113">
        <v>7.5148999999999997E-3</v>
      </c>
      <c r="O610" s="114" t="s">
        <v>1745</v>
      </c>
    </row>
    <row r="611" spans="1:15" x14ac:dyDescent="0.25">
      <c r="A611" s="113" t="s">
        <v>55</v>
      </c>
      <c r="B611" s="113" t="s">
        <v>8</v>
      </c>
      <c r="C611" s="113">
        <v>100</v>
      </c>
      <c r="D611" s="113">
        <v>1000</v>
      </c>
      <c r="E611" s="113">
        <v>1E-4</v>
      </c>
      <c r="F611" s="113" t="s">
        <v>6</v>
      </c>
      <c r="G611" s="113" t="s">
        <v>4</v>
      </c>
      <c r="H611" s="113">
        <v>1</v>
      </c>
      <c r="I611" s="113">
        <v>20</v>
      </c>
      <c r="J611" s="113" t="s">
        <v>10</v>
      </c>
      <c r="K611" s="113">
        <v>23</v>
      </c>
      <c r="L611" s="113">
        <v>0.7</v>
      </c>
      <c r="M611" s="113">
        <v>23.055</v>
      </c>
      <c r="N611" s="113">
        <v>0.69386999999999999</v>
      </c>
      <c r="O611" s="114" t="s">
        <v>1749</v>
      </c>
    </row>
    <row r="612" spans="1:15" x14ac:dyDescent="0.25">
      <c r="A612" s="113" t="s">
        <v>55</v>
      </c>
      <c r="B612" s="113" t="s">
        <v>8</v>
      </c>
      <c r="C612" s="113">
        <v>100</v>
      </c>
      <c r="D612" s="113">
        <v>1000</v>
      </c>
      <c r="E612" s="113">
        <v>1E-4</v>
      </c>
      <c r="F612" s="113" t="s">
        <v>6</v>
      </c>
      <c r="G612" s="113" t="s">
        <v>4</v>
      </c>
      <c r="H612" s="113">
        <v>50</v>
      </c>
      <c r="I612" s="113">
        <v>100</v>
      </c>
      <c r="J612" s="113" t="s">
        <v>10</v>
      </c>
      <c r="K612" s="113">
        <v>23</v>
      </c>
      <c r="L612" s="113">
        <v>3.5</v>
      </c>
      <c r="M612" s="113">
        <v>23.116</v>
      </c>
      <c r="N612" s="113">
        <v>3.4655999999999998</v>
      </c>
      <c r="O612" s="114" t="s">
        <v>1748</v>
      </c>
    </row>
    <row r="613" spans="1:15" x14ac:dyDescent="0.25">
      <c r="A613" s="113" t="s">
        <v>55</v>
      </c>
      <c r="B613" s="113" t="s">
        <v>8</v>
      </c>
      <c r="C613" s="113">
        <v>100</v>
      </c>
      <c r="D613" s="113">
        <v>330</v>
      </c>
      <c r="E613" s="113">
        <v>1E-4</v>
      </c>
      <c r="F613" s="113" t="s">
        <v>6</v>
      </c>
      <c r="G613" s="113" t="s">
        <v>4</v>
      </c>
      <c r="H613" s="113">
        <v>20</v>
      </c>
      <c r="I613" s="113">
        <v>50</v>
      </c>
      <c r="J613" s="113" t="s">
        <v>10</v>
      </c>
      <c r="K613" s="113">
        <v>23</v>
      </c>
      <c r="L613" s="113">
        <v>1.4</v>
      </c>
      <c r="M613" s="113">
        <v>23.053000000000001</v>
      </c>
      <c r="N613" s="113">
        <v>1.3878999999999999</v>
      </c>
      <c r="O613" s="114" t="s">
        <v>1747</v>
      </c>
    </row>
    <row r="614" spans="1:15" x14ac:dyDescent="0.25">
      <c r="A614" s="113" t="s">
        <v>55</v>
      </c>
      <c r="B614" s="113" t="s">
        <v>8</v>
      </c>
      <c r="C614" s="113">
        <v>100</v>
      </c>
      <c r="D614" s="113">
        <v>330</v>
      </c>
      <c r="E614" s="113">
        <v>1E-4</v>
      </c>
      <c r="F614" s="113" t="s">
        <v>6</v>
      </c>
      <c r="G614" s="113" t="s">
        <v>4</v>
      </c>
      <c r="H614" s="113">
        <v>0.04</v>
      </c>
      <c r="I614" s="113">
        <v>1</v>
      </c>
      <c r="J614" s="113" t="s">
        <v>10</v>
      </c>
      <c r="K614" s="113">
        <v>25</v>
      </c>
      <c r="L614" s="113">
        <v>0.46</v>
      </c>
      <c r="M614" s="113">
        <v>23.033999999999999</v>
      </c>
      <c r="N614" s="113">
        <v>0.46337</v>
      </c>
      <c r="O614" s="114" t="s">
        <v>2624</v>
      </c>
    </row>
    <row r="615" spans="1:15" x14ac:dyDescent="0.25">
      <c r="A615" s="113" t="s">
        <v>55</v>
      </c>
      <c r="B615" s="113" t="s">
        <v>8</v>
      </c>
      <c r="C615" s="113">
        <v>100</v>
      </c>
      <c r="D615" s="113">
        <v>330</v>
      </c>
      <c r="E615" s="113">
        <v>1E-4</v>
      </c>
      <c r="F615" s="113" t="s">
        <v>6</v>
      </c>
      <c r="G615" s="113" t="s">
        <v>4</v>
      </c>
      <c r="H615" s="113">
        <v>50</v>
      </c>
      <c r="I615" s="113">
        <v>100</v>
      </c>
      <c r="J615" s="113" t="s">
        <v>10</v>
      </c>
      <c r="K615" s="113">
        <v>23</v>
      </c>
      <c r="L615" s="113">
        <v>3.5</v>
      </c>
      <c r="M615" s="113">
        <v>23.11</v>
      </c>
      <c r="N615" s="113">
        <v>3.4655999999999998</v>
      </c>
      <c r="O615" s="114" t="s">
        <v>2625</v>
      </c>
    </row>
    <row r="616" spans="1:15" x14ac:dyDescent="0.25">
      <c r="A616" s="113" t="s">
        <v>55</v>
      </c>
      <c r="B616" s="113" t="s">
        <v>8</v>
      </c>
      <c r="C616" s="113">
        <v>100</v>
      </c>
      <c r="D616" s="113">
        <v>330</v>
      </c>
      <c r="E616" s="113">
        <v>1E-4</v>
      </c>
      <c r="F616" s="113" t="s">
        <v>6</v>
      </c>
      <c r="G616" s="113" t="s">
        <v>4</v>
      </c>
      <c r="H616" s="113">
        <v>1E-3</v>
      </c>
      <c r="I616" s="113">
        <v>0.04</v>
      </c>
      <c r="J616" s="113" t="s">
        <v>10</v>
      </c>
      <c r="K616" s="113">
        <v>48</v>
      </c>
      <c r="L616" s="113">
        <v>0.46</v>
      </c>
      <c r="M616" s="113">
        <v>46.118000000000002</v>
      </c>
      <c r="N616" s="113">
        <v>0.46325</v>
      </c>
      <c r="O616" s="114" t="s">
        <v>1750</v>
      </c>
    </row>
    <row r="617" spans="1:15" x14ac:dyDescent="0.25">
      <c r="A617" s="113" t="s">
        <v>55</v>
      </c>
      <c r="B617" s="113" t="s">
        <v>8</v>
      </c>
      <c r="C617" s="113">
        <v>100</v>
      </c>
      <c r="D617" s="113">
        <v>330</v>
      </c>
      <c r="E617" s="113">
        <v>1E-4</v>
      </c>
      <c r="F617" s="113" t="s">
        <v>6</v>
      </c>
      <c r="G617" s="113" t="s">
        <v>4</v>
      </c>
      <c r="H617" s="113">
        <v>1</v>
      </c>
      <c r="I617" s="113">
        <v>20</v>
      </c>
      <c r="J617" s="113" t="s">
        <v>10</v>
      </c>
      <c r="K617" s="113">
        <v>23</v>
      </c>
      <c r="L617" s="113">
        <v>0.7</v>
      </c>
      <c r="M617" s="113">
        <v>23.059000000000001</v>
      </c>
      <c r="N617" s="113">
        <v>0.69384000000000001</v>
      </c>
      <c r="O617" s="114" t="s">
        <v>1746</v>
      </c>
    </row>
    <row r="618" spans="1:15" x14ac:dyDescent="0.25">
      <c r="A618" s="113" t="s">
        <v>55</v>
      </c>
      <c r="B618" s="113" t="s">
        <v>8</v>
      </c>
      <c r="C618" s="113">
        <v>100</v>
      </c>
      <c r="D618" s="113">
        <v>1000</v>
      </c>
      <c r="E618" s="113">
        <v>1E-4</v>
      </c>
      <c r="F618" s="113" t="s">
        <v>6</v>
      </c>
      <c r="G618" s="113" t="s">
        <v>4</v>
      </c>
      <c r="H618" s="113">
        <v>20</v>
      </c>
      <c r="I618" s="113">
        <v>50</v>
      </c>
      <c r="J618" s="113" t="s">
        <v>10</v>
      </c>
      <c r="K618" s="113">
        <v>23</v>
      </c>
      <c r="L618" s="113">
        <v>1.4</v>
      </c>
      <c r="M618" s="113">
        <v>22.895</v>
      </c>
      <c r="N618" s="113">
        <v>1.3895999999999999</v>
      </c>
      <c r="O618" s="114" t="s">
        <v>2623</v>
      </c>
    </row>
    <row r="619" spans="1:15" x14ac:dyDescent="0.25">
      <c r="A619" s="113" t="s">
        <v>55</v>
      </c>
      <c r="B619" s="113" t="s">
        <v>8</v>
      </c>
      <c r="C619" s="113">
        <v>100</v>
      </c>
      <c r="D619" s="113">
        <v>330</v>
      </c>
      <c r="E619" s="113">
        <v>1E-3</v>
      </c>
      <c r="F619" s="113" t="s">
        <v>6</v>
      </c>
      <c r="G619" s="113" t="s">
        <v>4</v>
      </c>
      <c r="H619" s="113">
        <v>50</v>
      </c>
      <c r="I619" s="113">
        <v>100</v>
      </c>
      <c r="J619" s="113" t="s">
        <v>10</v>
      </c>
      <c r="K619" s="113">
        <v>23</v>
      </c>
      <c r="L619" s="113">
        <v>3.5</v>
      </c>
      <c r="M619" s="113">
        <v>23.111000000000001</v>
      </c>
      <c r="N619" s="113">
        <v>3.4655999999999998</v>
      </c>
      <c r="O619" s="114" t="s">
        <v>1755</v>
      </c>
    </row>
    <row r="620" spans="1:15" x14ac:dyDescent="0.25">
      <c r="A620" s="113" t="s">
        <v>55</v>
      </c>
      <c r="B620" s="113" t="s">
        <v>8</v>
      </c>
      <c r="C620" s="113">
        <v>100</v>
      </c>
      <c r="D620" s="113">
        <v>330</v>
      </c>
      <c r="E620" s="113">
        <v>1E-3</v>
      </c>
      <c r="F620" s="113" t="s">
        <v>6</v>
      </c>
      <c r="G620" s="113" t="s">
        <v>4</v>
      </c>
      <c r="H620" s="113">
        <v>20</v>
      </c>
      <c r="I620" s="113">
        <v>50</v>
      </c>
      <c r="J620" s="113" t="s">
        <v>10</v>
      </c>
      <c r="K620" s="113">
        <v>23</v>
      </c>
      <c r="L620" s="113">
        <v>1.4</v>
      </c>
      <c r="M620" s="113">
        <v>23.053999999999998</v>
      </c>
      <c r="N620" s="113">
        <v>1.3878999999999999</v>
      </c>
      <c r="O620" s="114" t="s">
        <v>1752</v>
      </c>
    </row>
    <row r="621" spans="1:15" x14ac:dyDescent="0.25">
      <c r="A621" s="113" t="s">
        <v>55</v>
      </c>
      <c r="B621" s="113" t="s">
        <v>8</v>
      </c>
      <c r="C621" s="113">
        <v>100</v>
      </c>
      <c r="D621" s="113">
        <v>330</v>
      </c>
      <c r="E621" s="113">
        <v>1E-3</v>
      </c>
      <c r="F621" s="113" t="s">
        <v>6</v>
      </c>
      <c r="G621" s="113" t="s">
        <v>4</v>
      </c>
      <c r="H621" s="113">
        <v>1</v>
      </c>
      <c r="I621" s="113">
        <v>20</v>
      </c>
      <c r="J621" s="113" t="s">
        <v>10</v>
      </c>
      <c r="K621" s="113">
        <v>23</v>
      </c>
      <c r="L621" s="113">
        <v>0.7</v>
      </c>
      <c r="M621" s="113">
        <v>23.061</v>
      </c>
      <c r="N621" s="113">
        <v>0.69384000000000001</v>
      </c>
      <c r="O621" s="114" t="s">
        <v>1751</v>
      </c>
    </row>
    <row r="622" spans="1:15" x14ac:dyDescent="0.25">
      <c r="A622" s="113" t="s">
        <v>55</v>
      </c>
      <c r="B622" s="113" t="s">
        <v>8</v>
      </c>
      <c r="C622" s="113">
        <v>100</v>
      </c>
      <c r="D622" s="113">
        <v>330</v>
      </c>
      <c r="E622" s="113">
        <v>1E-3</v>
      </c>
      <c r="F622" s="113" t="s">
        <v>6</v>
      </c>
      <c r="G622" s="113" t="s">
        <v>4</v>
      </c>
      <c r="H622" s="113">
        <v>1E-3</v>
      </c>
      <c r="I622" s="113">
        <v>0.04</v>
      </c>
      <c r="J622" s="113" t="s">
        <v>10</v>
      </c>
      <c r="K622" s="113">
        <v>48</v>
      </c>
      <c r="L622" s="113">
        <v>0.46085999999999999</v>
      </c>
      <c r="M622" s="113">
        <v>46.12</v>
      </c>
      <c r="N622" s="113">
        <v>0.46325</v>
      </c>
      <c r="O622" s="114" t="s">
        <v>1756</v>
      </c>
    </row>
    <row r="623" spans="1:15" x14ac:dyDescent="0.25">
      <c r="A623" s="113" t="s">
        <v>55</v>
      </c>
      <c r="B623" s="113" t="s">
        <v>8</v>
      </c>
      <c r="C623" s="113">
        <v>100</v>
      </c>
      <c r="D623" s="113">
        <v>330</v>
      </c>
      <c r="E623" s="113">
        <v>1E-3</v>
      </c>
      <c r="F623" s="113" t="s">
        <v>6</v>
      </c>
      <c r="G623" s="113" t="s">
        <v>4</v>
      </c>
      <c r="H623" s="113">
        <v>0.04</v>
      </c>
      <c r="I623" s="113">
        <v>1</v>
      </c>
      <c r="J623" s="113" t="s">
        <v>10</v>
      </c>
      <c r="K623" s="113">
        <v>25</v>
      </c>
      <c r="L623" s="113">
        <v>0.46067000000000002</v>
      </c>
      <c r="M623" s="113">
        <v>23.036999999999999</v>
      </c>
      <c r="N623" s="113">
        <v>0.46337</v>
      </c>
      <c r="O623" s="114" t="s">
        <v>1757</v>
      </c>
    </row>
    <row r="624" spans="1:15" x14ac:dyDescent="0.25">
      <c r="A624" s="113" t="s">
        <v>55</v>
      </c>
      <c r="B624" s="113" t="s">
        <v>8</v>
      </c>
      <c r="C624" s="113">
        <v>100</v>
      </c>
      <c r="D624" s="113">
        <v>1000</v>
      </c>
      <c r="E624" s="113">
        <v>1E-3</v>
      </c>
      <c r="F624" s="113" t="s">
        <v>6</v>
      </c>
      <c r="G624" s="113" t="s">
        <v>4</v>
      </c>
      <c r="H624" s="113">
        <v>50</v>
      </c>
      <c r="I624" s="113">
        <v>100</v>
      </c>
      <c r="J624" s="113" t="s">
        <v>10</v>
      </c>
      <c r="K624" s="113">
        <v>23</v>
      </c>
      <c r="L624" s="113">
        <v>3.5</v>
      </c>
      <c r="M624" s="113">
        <v>23.117000000000001</v>
      </c>
      <c r="N624" s="113">
        <v>3.4655999999999998</v>
      </c>
      <c r="O624" s="114" t="s">
        <v>1754</v>
      </c>
    </row>
    <row r="625" spans="1:15" x14ac:dyDescent="0.25">
      <c r="A625" s="113" t="s">
        <v>55</v>
      </c>
      <c r="B625" s="113" t="s">
        <v>8</v>
      </c>
      <c r="C625" s="113">
        <v>100</v>
      </c>
      <c r="D625" s="113">
        <v>1000</v>
      </c>
      <c r="E625" s="113">
        <v>1E-3</v>
      </c>
      <c r="F625" s="113" t="s">
        <v>6</v>
      </c>
      <c r="G625" s="113" t="s">
        <v>4</v>
      </c>
      <c r="H625" s="113">
        <v>1</v>
      </c>
      <c r="I625" s="113">
        <v>20</v>
      </c>
      <c r="J625" s="113" t="s">
        <v>10</v>
      </c>
      <c r="K625" s="113">
        <v>23</v>
      </c>
      <c r="L625" s="113">
        <v>0.7</v>
      </c>
      <c r="M625" s="113">
        <v>23.062999999999999</v>
      </c>
      <c r="N625" s="113">
        <v>0.69386000000000003</v>
      </c>
      <c r="O625" s="114" t="s">
        <v>2626</v>
      </c>
    </row>
    <row r="626" spans="1:15" x14ac:dyDescent="0.25">
      <c r="A626" s="113" t="s">
        <v>55</v>
      </c>
      <c r="B626" s="113" t="s">
        <v>8</v>
      </c>
      <c r="C626" s="113">
        <v>100</v>
      </c>
      <c r="D626" s="113">
        <v>1000</v>
      </c>
      <c r="E626" s="113">
        <v>1E-3</v>
      </c>
      <c r="F626" s="113" t="s">
        <v>6</v>
      </c>
      <c r="G626" s="113" t="s">
        <v>4</v>
      </c>
      <c r="H626" s="113">
        <v>20</v>
      </c>
      <c r="I626" s="113">
        <v>50</v>
      </c>
      <c r="J626" s="113" t="s">
        <v>10</v>
      </c>
      <c r="K626" s="113">
        <v>23</v>
      </c>
      <c r="L626" s="113">
        <v>1.4</v>
      </c>
      <c r="M626" s="113">
        <v>22.896000000000001</v>
      </c>
      <c r="N626" s="113">
        <v>1.3895999999999999</v>
      </c>
      <c r="O626" s="114" t="s">
        <v>1753</v>
      </c>
    </row>
    <row r="627" spans="1:15" x14ac:dyDescent="0.25">
      <c r="A627" s="113" t="s">
        <v>55</v>
      </c>
      <c r="B627" s="113" t="s">
        <v>8</v>
      </c>
      <c r="C627" s="113">
        <v>100</v>
      </c>
      <c r="D627" s="113">
        <v>1000</v>
      </c>
      <c r="E627" s="113">
        <v>0.01</v>
      </c>
      <c r="F627" s="113" t="s">
        <v>6</v>
      </c>
      <c r="G627" s="113" t="s">
        <v>4</v>
      </c>
      <c r="H627" s="113">
        <v>50</v>
      </c>
      <c r="I627" s="113">
        <v>100</v>
      </c>
      <c r="J627" s="113" t="s">
        <v>10</v>
      </c>
      <c r="K627" s="113">
        <v>23</v>
      </c>
      <c r="L627" s="113">
        <v>3.5</v>
      </c>
      <c r="M627" s="113">
        <v>23.152999999999999</v>
      </c>
      <c r="N627" s="113">
        <v>3.4655999999999998</v>
      </c>
      <c r="O627" s="114" t="s">
        <v>2629</v>
      </c>
    </row>
    <row r="628" spans="1:15" x14ac:dyDescent="0.25">
      <c r="A628" s="113" t="s">
        <v>55</v>
      </c>
      <c r="B628" s="113" t="s">
        <v>8</v>
      </c>
      <c r="C628" s="113">
        <v>100</v>
      </c>
      <c r="D628" s="113">
        <v>330</v>
      </c>
      <c r="E628" s="113">
        <v>0.01</v>
      </c>
      <c r="F628" s="113" t="s">
        <v>6</v>
      </c>
      <c r="G628" s="113" t="s">
        <v>4</v>
      </c>
      <c r="H628" s="113">
        <v>1E-3</v>
      </c>
      <c r="I628" s="113">
        <v>0.04</v>
      </c>
      <c r="J628" s="113" t="s">
        <v>10</v>
      </c>
      <c r="K628" s="113">
        <v>48</v>
      </c>
      <c r="L628" s="113">
        <v>0.46128999999999998</v>
      </c>
      <c r="M628" s="113">
        <v>46.341000000000001</v>
      </c>
      <c r="N628" s="113">
        <v>0.46283000000000002</v>
      </c>
      <c r="O628" s="114" t="s">
        <v>1761</v>
      </c>
    </row>
    <row r="629" spans="1:15" x14ac:dyDescent="0.25">
      <c r="A629" s="113" t="s">
        <v>55</v>
      </c>
      <c r="B629" s="113" t="s">
        <v>8</v>
      </c>
      <c r="C629" s="113">
        <v>100</v>
      </c>
      <c r="D629" s="113">
        <v>1000</v>
      </c>
      <c r="E629" s="113">
        <v>0.01</v>
      </c>
      <c r="F629" s="113" t="s">
        <v>6</v>
      </c>
      <c r="G629" s="113" t="s">
        <v>4</v>
      </c>
      <c r="H629" s="113">
        <v>1</v>
      </c>
      <c r="I629" s="113">
        <v>20</v>
      </c>
      <c r="J629" s="113" t="s">
        <v>10</v>
      </c>
      <c r="K629" s="113">
        <v>23</v>
      </c>
      <c r="L629" s="113">
        <v>0.7</v>
      </c>
      <c r="M629" s="113">
        <v>23.256</v>
      </c>
      <c r="N629" s="113">
        <v>0.69369000000000003</v>
      </c>
      <c r="O629" s="114" t="s">
        <v>2627</v>
      </c>
    </row>
    <row r="630" spans="1:15" x14ac:dyDescent="0.25">
      <c r="A630" s="113" t="s">
        <v>55</v>
      </c>
      <c r="B630" s="113" t="s">
        <v>8</v>
      </c>
      <c r="C630" s="113">
        <v>100</v>
      </c>
      <c r="D630" s="113">
        <v>330</v>
      </c>
      <c r="E630" s="113">
        <v>0.01</v>
      </c>
      <c r="F630" s="113" t="s">
        <v>6</v>
      </c>
      <c r="G630" s="113" t="s">
        <v>4</v>
      </c>
      <c r="H630" s="113">
        <v>20</v>
      </c>
      <c r="I630" s="113">
        <v>50</v>
      </c>
      <c r="J630" s="113" t="s">
        <v>10</v>
      </c>
      <c r="K630" s="113">
        <v>23</v>
      </c>
      <c r="L630" s="113">
        <v>1.4</v>
      </c>
      <c r="M630" s="113">
        <v>23.187999999999999</v>
      </c>
      <c r="N630" s="113">
        <v>1.3875999999999999</v>
      </c>
      <c r="O630" s="114" t="s">
        <v>1762</v>
      </c>
    </row>
    <row r="631" spans="1:15" x14ac:dyDescent="0.25">
      <c r="A631" s="113" t="s">
        <v>55</v>
      </c>
      <c r="B631" s="113" t="s">
        <v>8</v>
      </c>
      <c r="C631" s="113">
        <v>100</v>
      </c>
      <c r="D631" s="113">
        <v>1000</v>
      </c>
      <c r="E631" s="113">
        <v>0.01</v>
      </c>
      <c r="F631" s="113" t="s">
        <v>6</v>
      </c>
      <c r="G631" s="113" t="s">
        <v>4</v>
      </c>
      <c r="H631" s="113">
        <v>20</v>
      </c>
      <c r="I631" s="113">
        <v>50</v>
      </c>
      <c r="J631" s="113" t="s">
        <v>10</v>
      </c>
      <c r="K631" s="113">
        <v>23</v>
      </c>
      <c r="L631" s="113">
        <v>1.4</v>
      </c>
      <c r="M631" s="113">
        <v>23.007000000000001</v>
      </c>
      <c r="N631" s="113">
        <v>1.3895</v>
      </c>
      <c r="O631" s="114" t="s">
        <v>1758</v>
      </c>
    </row>
    <row r="632" spans="1:15" x14ac:dyDescent="0.25">
      <c r="A632" s="113" t="s">
        <v>55</v>
      </c>
      <c r="B632" s="113" t="s">
        <v>8</v>
      </c>
      <c r="C632" s="113">
        <v>100</v>
      </c>
      <c r="D632" s="113">
        <v>330</v>
      </c>
      <c r="E632" s="113">
        <v>0.01</v>
      </c>
      <c r="F632" s="113" t="s">
        <v>6</v>
      </c>
      <c r="G632" s="113" t="s">
        <v>4</v>
      </c>
      <c r="H632" s="113">
        <v>50</v>
      </c>
      <c r="I632" s="113">
        <v>100</v>
      </c>
      <c r="J632" s="113" t="s">
        <v>10</v>
      </c>
      <c r="K632" s="113">
        <v>23</v>
      </c>
      <c r="L632" s="113">
        <v>3.5</v>
      </c>
      <c r="M632" s="113">
        <v>23.164000000000001</v>
      </c>
      <c r="N632" s="113">
        <v>3.4655</v>
      </c>
      <c r="O632" s="114" t="s">
        <v>1759</v>
      </c>
    </row>
    <row r="633" spans="1:15" x14ac:dyDescent="0.25">
      <c r="A633" s="113" t="s">
        <v>55</v>
      </c>
      <c r="B633" s="113" t="s">
        <v>8</v>
      </c>
      <c r="C633" s="113">
        <v>100</v>
      </c>
      <c r="D633" s="113">
        <v>330</v>
      </c>
      <c r="E633" s="113">
        <v>0.01</v>
      </c>
      <c r="F633" s="113" t="s">
        <v>6</v>
      </c>
      <c r="G633" s="113" t="s">
        <v>4</v>
      </c>
      <c r="H633" s="113">
        <v>0.04</v>
      </c>
      <c r="I633" s="113">
        <v>1</v>
      </c>
      <c r="J633" s="113" t="s">
        <v>10</v>
      </c>
      <c r="K633" s="113">
        <v>25</v>
      </c>
      <c r="L633" s="113">
        <v>0.46116000000000001</v>
      </c>
      <c r="M633" s="113">
        <v>23.338000000000001</v>
      </c>
      <c r="N633" s="113">
        <v>0.46273999999999998</v>
      </c>
      <c r="O633" s="114" t="s">
        <v>2628</v>
      </c>
    </row>
    <row r="634" spans="1:15" x14ac:dyDescent="0.25">
      <c r="A634" s="113" t="s">
        <v>55</v>
      </c>
      <c r="B634" s="113" t="s">
        <v>8</v>
      </c>
      <c r="C634" s="113">
        <v>100</v>
      </c>
      <c r="D634" s="113">
        <v>330</v>
      </c>
      <c r="E634" s="113">
        <v>0.01</v>
      </c>
      <c r="F634" s="113" t="s">
        <v>6</v>
      </c>
      <c r="G634" s="113" t="s">
        <v>4</v>
      </c>
      <c r="H634" s="113">
        <v>1</v>
      </c>
      <c r="I634" s="113">
        <v>20</v>
      </c>
      <c r="J634" s="113" t="s">
        <v>10</v>
      </c>
      <c r="K634" s="113">
        <v>23</v>
      </c>
      <c r="L634" s="113">
        <v>0.7</v>
      </c>
      <c r="M634" s="113">
        <v>23.291</v>
      </c>
      <c r="N634" s="113">
        <v>0.69333999999999996</v>
      </c>
      <c r="O634" s="114" t="s">
        <v>1760</v>
      </c>
    </row>
    <row r="635" spans="1:15" x14ac:dyDescent="0.25">
      <c r="A635" s="113" t="s">
        <v>55</v>
      </c>
      <c r="B635" s="113" t="s">
        <v>8</v>
      </c>
      <c r="C635" s="113">
        <v>100</v>
      </c>
      <c r="D635" s="113">
        <v>330</v>
      </c>
      <c r="E635" s="113">
        <v>0.1</v>
      </c>
      <c r="F635" s="113" t="s">
        <v>6</v>
      </c>
      <c r="G635" s="113" t="s">
        <v>4</v>
      </c>
      <c r="H635" s="113">
        <v>20</v>
      </c>
      <c r="I635" s="113">
        <v>50</v>
      </c>
      <c r="J635" s="113" t="s">
        <v>10</v>
      </c>
      <c r="K635" s="113">
        <v>35.929000000000002</v>
      </c>
      <c r="L635" s="113">
        <v>1.3608</v>
      </c>
      <c r="M635" s="113">
        <v>35.878</v>
      </c>
      <c r="N635" s="113">
        <v>1.3594999999999999</v>
      </c>
      <c r="O635" s="114" t="s">
        <v>1769</v>
      </c>
    </row>
    <row r="636" spans="1:15" x14ac:dyDescent="0.25">
      <c r="A636" s="113" t="s">
        <v>55</v>
      </c>
      <c r="B636" s="113" t="s">
        <v>8</v>
      </c>
      <c r="C636" s="113">
        <v>100</v>
      </c>
      <c r="D636" s="113">
        <v>1000</v>
      </c>
      <c r="E636" s="113">
        <v>0.1</v>
      </c>
      <c r="F636" s="113" t="s">
        <v>6</v>
      </c>
      <c r="G636" s="113" t="s">
        <v>4</v>
      </c>
      <c r="H636" s="113">
        <v>20</v>
      </c>
      <c r="I636" s="113">
        <v>50</v>
      </c>
      <c r="J636" s="113" t="s">
        <v>10</v>
      </c>
      <c r="K636" s="113">
        <v>33.01</v>
      </c>
      <c r="L636" s="113">
        <v>1.39</v>
      </c>
      <c r="M636" s="113">
        <v>33.875</v>
      </c>
      <c r="N636" s="113">
        <v>1.3797999999999999</v>
      </c>
      <c r="O636" s="114" t="s">
        <v>1766</v>
      </c>
    </row>
    <row r="637" spans="1:15" x14ac:dyDescent="0.25">
      <c r="A637" s="113" t="s">
        <v>55</v>
      </c>
      <c r="B637" s="113" t="s">
        <v>8</v>
      </c>
      <c r="C637" s="113">
        <v>100</v>
      </c>
      <c r="D637" s="113">
        <v>330</v>
      </c>
      <c r="E637" s="113">
        <v>0.1</v>
      </c>
      <c r="F637" s="113" t="s">
        <v>6</v>
      </c>
      <c r="G637" s="113" t="s">
        <v>4</v>
      </c>
      <c r="H637" s="113">
        <v>50</v>
      </c>
      <c r="I637" s="113">
        <v>100</v>
      </c>
      <c r="J637" s="113" t="s">
        <v>10</v>
      </c>
      <c r="K637" s="113">
        <v>24.914000000000001</v>
      </c>
      <c r="L637" s="113">
        <v>3.4942000000000002</v>
      </c>
      <c r="M637" s="113">
        <v>28.927</v>
      </c>
      <c r="N637" s="113">
        <v>3.4523000000000001</v>
      </c>
      <c r="O637" s="114" t="s">
        <v>1764</v>
      </c>
    </row>
    <row r="638" spans="1:15" x14ac:dyDescent="0.25">
      <c r="A638" s="113" t="s">
        <v>55</v>
      </c>
      <c r="B638" s="113" t="s">
        <v>8</v>
      </c>
      <c r="C638" s="113">
        <v>100</v>
      </c>
      <c r="D638" s="113">
        <v>330</v>
      </c>
      <c r="E638" s="113">
        <v>0.1</v>
      </c>
      <c r="F638" s="113" t="s">
        <v>6</v>
      </c>
      <c r="G638" s="113" t="s">
        <v>4</v>
      </c>
      <c r="H638" s="113">
        <v>1</v>
      </c>
      <c r="I638" s="113">
        <v>20</v>
      </c>
      <c r="J638" s="113" t="s">
        <v>10</v>
      </c>
      <c r="K638" s="113">
        <v>44.082999999999998</v>
      </c>
      <c r="L638" s="113">
        <v>0.65012000000000003</v>
      </c>
      <c r="M638" s="113">
        <v>43.963000000000001</v>
      </c>
      <c r="N638" s="113">
        <v>0.65027999999999997</v>
      </c>
      <c r="O638" s="114" t="s">
        <v>1765</v>
      </c>
    </row>
    <row r="639" spans="1:15" x14ac:dyDescent="0.25">
      <c r="A639" s="113" t="s">
        <v>55</v>
      </c>
      <c r="B639" s="113" t="s">
        <v>8</v>
      </c>
      <c r="C639" s="113">
        <v>100</v>
      </c>
      <c r="D639" s="113">
        <v>1000</v>
      </c>
      <c r="E639" s="113">
        <v>0.1</v>
      </c>
      <c r="F639" s="113" t="s">
        <v>6</v>
      </c>
      <c r="G639" s="113" t="s">
        <v>4</v>
      </c>
      <c r="H639" s="113">
        <v>1</v>
      </c>
      <c r="I639" s="113">
        <v>20</v>
      </c>
      <c r="J639" s="113" t="s">
        <v>10</v>
      </c>
      <c r="K639" s="113">
        <v>40.883000000000003</v>
      </c>
      <c r="L639" s="113">
        <v>0.68211999999999995</v>
      </c>
      <c r="M639" s="113">
        <v>41.185000000000002</v>
      </c>
      <c r="N639" s="113">
        <v>0.67806</v>
      </c>
      <c r="O639" s="114" t="s">
        <v>1763</v>
      </c>
    </row>
    <row r="640" spans="1:15" x14ac:dyDescent="0.25">
      <c r="A640" s="113" t="s">
        <v>55</v>
      </c>
      <c r="B640" s="113" t="s">
        <v>8</v>
      </c>
      <c r="C640" s="113">
        <v>100</v>
      </c>
      <c r="D640" s="113">
        <v>330</v>
      </c>
      <c r="E640" s="113">
        <v>0.1</v>
      </c>
      <c r="F640" s="113" t="s">
        <v>6</v>
      </c>
      <c r="G640" s="113" t="s">
        <v>4</v>
      </c>
      <c r="H640" s="113">
        <v>0.04</v>
      </c>
      <c r="I640" s="113">
        <v>1</v>
      </c>
      <c r="J640" s="113" t="s">
        <v>10</v>
      </c>
      <c r="K640" s="113">
        <v>49.031999999999996</v>
      </c>
      <c r="L640" s="113">
        <v>0.41284999999999999</v>
      </c>
      <c r="M640" s="113">
        <v>48.982999999999997</v>
      </c>
      <c r="N640" s="113">
        <v>0.41271000000000002</v>
      </c>
      <c r="O640" s="114" t="s">
        <v>1768</v>
      </c>
    </row>
    <row r="641" spans="1:15" x14ac:dyDescent="0.25">
      <c r="A641" s="113" t="s">
        <v>55</v>
      </c>
      <c r="B641" s="113" t="s">
        <v>8</v>
      </c>
      <c r="C641" s="113">
        <v>100</v>
      </c>
      <c r="D641" s="113">
        <v>330</v>
      </c>
      <c r="E641" s="113">
        <v>0.1</v>
      </c>
      <c r="F641" s="113" t="s">
        <v>6</v>
      </c>
      <c r="G641" s="113" t="s">
        <v>4</v>
      </c>
      <c r="H641" s="113">
        <v>1E-3</v>
      </c>
      <c r="I641" s="113">
        <v>0.04</v>
      </c>
      <c r="J641" s="113" t="s">
        <v>10</v>
      </c>
      <c r="K641" s="113">
        <v>66.331999999999994</v>
      </c>
      <c r="L641" s="113">
        <v>0.42712</v>
      </c>
      <c r="M641" s="113">
        <v>66.293999999999997</v>
      </c>
      <c r="N641" s="113">
        <v>0.42698000000000003</v>
      </c>
      <c r="O641" s="114" t="s">
        <v>1767</v>
      </c>
    </row>
    <row r="642" spans="1:15" x14ac:dyDescent="0.25">
      <c r="A642" s="113" t="s">
        <v>55</v>
      </c>
      <c r="B642" s="113" t="s">
        <v>8</v>
      </c>
      <c r="C642" s="113">
        <v>100</v>
      </c>
      <c r="D642" s="113">
        <v>1000</v>
      </c>
      <c r="E642" s="113">
        <v>0.1</v>
      </c>
      <c r="F642" s="113" t="s">
        <v>6</v>
      </c>
      <c r="G642" s="113" t="s">
        <v>4</v>
      </c>
      <c r="H642" s="113">
        <v>50</v>
      </c>
      <c r="I642" s="113">
        <v>100</v>
      </c>
      <c r="J642" s="113" t="s">
        <v>10</v>
      </c>
      <c r="K642" s="113">
        <v>24.483000000000001</v>
      </c>
      <c r="L642" s="113">
        <v>3.4984999999999999</v>
      </c>
      <c r="M642" s="113">
        <v>28.03</v>
      </c>
      <c r="N642" s="113">
        <v>3.4611999999999998</v>
      </c>
      <c r="O642" s="114" t="s">
        <v>2630</v>
      </c>
    </row>
    <row r="643" spans="1:15" x14ac:dyDescent="0.25">
      <c r="A643" s="113" t="s">
        <v>55</v>
      </c>
      <c r="B643" s="113" t="s">
        <v>8</v>
      </c>
      <c r="C643" s="113">
        <v>100</v>
      </c>
      <c r="D643" s="113">
        <v>1000</v>
      </c>
      <c r="E643" s="113">
        <v>1</v>
      </c>
      <c r="F643" s="113" t="s">
        <v>6</v>
      </c>
      <c r="G643" s="113" t="s">
        <v>4</v>
      </c>
      <c r="H643" s="113">
        <v>20</v>
      </c>
      <c r="I643" s="113">
        <v>50</v>
      </c>
      <c r="J643" s="113" t="s">
        <v>10</v>
      </c>
      <c r="K643" s="113">
        <v>496.92</v>
      </c>
      <c r="L643" s="113">
        <v>1.0291999999999999</v>
      </c>
      <c r="M643" s="113">
        <v>496.68</v>
      </c>
      <c r="N643" s="113">
        <v>1.0293000000000001</v>
      </c>
      <c r="O643" s="114" t="s">
        <v>1771</v>
      </c>
    </row>
    <row r="644" spans="1:15" x14ac:dyDescent="0.25">
      <c r="A644" s="113" t="s">
        <v>55</v>
      </c>
      <c r="B644" s="113" t="s">
        <v>8</v>
      </c>
      <c r="C644" s="113">
        <v>100</v>
      </c>
      <c r="D644" s="113">
        <v>330</v>
      </c>
      <c r="E644" s="113">
        <v>1</v>
      </c>
      <c r="F644" s="113" t="s">
        <v>6</v>
      </c>
      <c r="G644" s="113" t="s">
        <v>4</v>
      </c>
      <c r="H644" s="113">
        <v>1E-3</v>
      </c>
      <c r="I644" s="113">
        <v>0.04</v>
      </c>
      <c r="J644" s="113" t="s">
        <v>10</v>
      </c>
      <c r="K644" s="113">
        <v>573.41999999999996</v>
      </c>
      <c r="L644" s="113">
        <v>0.11327</v>
      </c>
      <c r="M644" s="113">
        <v>573.41999999999996</v>
      </c>
      <c r="N644" s="113">
        <v>0.11294</v>
      </c>
      <c r="O644" s="114" t="s">
        <v>1774</v>
      </c>
    </row>
    <row r="645" spans="1:15" x14ac:dyDescent="0.25">
      <c r="A645" s="113" t="s">
        <v>55</v>
      </c>
      <c r="B645" s="113" t="s">
        <v>8</v>
      </c>
      <c r="C645" s="113">
        <v>100</v>
      </c>
      <c r="D645" s="113">
        <v>1000</v>
      </c>
      <c r="E645" s="113">
        <v>1</v>
      </c>
      <c r="F645" s="113" t="s">
        <v>6</v>
      </c>
      <c r="G645" s="113" t="s">
        <v>4</v>
      </c>
      <c r="H645" s="113">
        <v>50</v>
      </c>
      <c r="I645" s="113">
        <v>100</v>
      </c>
      <c r="J645" s="113" t="s">
        <v>10</v>
      </c>
      <c r="K645" s="113">
        <v>369.25</v>
      </c>
      <c r="L645" s="113">
        <v>3.1671</v>
      </c>
      <c r="M645" s="113">
        <v>368.87</v>
      </c>
      <c r="N645" s="113">
        <v>3.1673</v>
      </c>
      <c r="O645" s="114" t="s">
        <v>2631</v>
      </c>
    </row>
    <row r="646" spans="1:15" x14ac:dyDescent="0.25">
      <c r="A646" s="113" t="s">
        <v>55</v>
      </c>
      <c r="B646" s="113" t="s">
        <v>8</v>
      </c>
      <c r="C646" s="113">
        <v>100</v>
      </c>
      <c r="D646" s="113">
        <v>1000</v>
      </c>
      <c r="E646" s="113">
        <v>1</v>
      </c>
      <c r="F646" s="113" t="s">
        <v>6</v>
      </c>
      <c r="G646" s="113" t="s">
        <v>4</v>
      </c>
      <c r="H646" s="113">
        <v>1</v>
      </c>
      <c r="I646" s="113">
        <v>20</v>
      </c>
      <c r="J646" s="113" t="s">
        <v>10</v>
      </c>
      <c r="K646" s="113">
        <v>547.47</v>
      </c>
      <c r="L646" s="113">
        <v>0.37317</v>
      </c>
      <c r="M646" s="113">
        <v>547.4</v>
      </c>
      <c r="N646" s="113">
        <v>0.37309999999999999</v>
      </c>
      <c r="O646" s="114" t="s">
        <v>1772</v>
      </c>
    </row>
    <row r="647" spans="1:15" x14ac:dyDescent="0.25">
      <c r="A647" s="113" t="s">
        <v>55</v>
      </c>
      <c r="B647" s="113" t="s">
        <v>8</v>
      </c>
      <c r="C647" s="113">
        <v>100</v>
      </c>
      <c r="D647" s="113">
        <v>330</v>
      </c>
      <c r="E647" s="113">
        <v>1</v>
      </c>
      <c r="F647" s="113" t="s">
        <v>6</v>
      </c>
      <c r="G647" s="113" t="s">
        <v>4</v>
      </c>
      <c r="H647" s="113">
        <v>50</v>
      </c>
      <c r="I647" s="113">
        <v>100</v>
      </c>
      <c r="J647" s="113" t="s">
        <v>10</v>
      </c>
      <c r="K647" s="113">
        <v>418.09</v>
      </c>
      <c r="L647" s="113">
        <v>2.6787000000000001</v>
      </c>
      <c r="M647" s="113">
        <v>417.63</v>
      </c>
      <c r="N647" s="113">
        <v>2.6793</v>
      </c>
      <c r="O647" s="114" t="s">
        <v>1770</v>
      </c>
    </row>
    <row r="648" spans="1:15" x14ac:dyDescent="0.25">
      <c r="A648" s="113" t="s">
        <v>55</v>
      </c>
      <c r="B648" s="113" t="s">
        <v>8</v>
      </c>
      <c r="C648" s="113">
        <v>100</v>
      </c>
      <c r="D648" s="113">
        <v>330</v>
      </c>
      <c r="E648" s="113">
        <v>1</v>
      </c>
      <c r="F648" s="113" t="s">
        <v>6</v>
      </c>
      <c r="G648" s="113" t="s">
        <v>4</v>
      </c>
      <c r="H648" s="113">
        <v>1</v>
      </c>
      <c r="I648" s="113">
        <v>20</v>
      </c>
      <c r="J648" s="113" t="s">
        <v>10</v>
      </c>
      <c r="K648" s="113">
        <v>565.1</v>
      </c>
      <c r="L648" s="113">
        <v>0.19691</v>
      </c>
      <c r="M648" s="113">
        <v>565.03</v>
      </c>
      <c r="N648" s="113">
        <v>0.19677</v>
      </c>
      <c r="O648" s="114" t="s">
        <v>1773</v>
      </c>
    </row>
    <row r="649" spans="1:15" x14ac:dyDescent="0.25">
      <c r="A649" s="113" t="s">
        <v>55</v>
      </c>
      <c r="B649" s="113" t="s">
        <v>8</v>
      </c>
      <c r="C649" s="113">
        <v>100</v>
      </c>
      <c r="D649" s="113">
        <v>330</v>
      </c>
      <c r="E649" s="113">
        <v>1</v>
      </c>
      <c r="F649" s="113" t="s">
        <v>6</v>
      </c>
      <c r="G649" s="113" t="s">
        <v>4</v>
      </c>
      <c r="H649" s="113">
        <v>0.04</v>
      </c>
      <c r="I649" s="113">
        <v>1</v>
      </c>
      <c r="J649" s="113" t="s">
        <v>10</v>
      </c>
      <c r="K649" s="113">
        <v>571.91999999999996</v>
      </c>
      <c r="L649" s="113">
        <v>9.6252000000000004E-2</v>
      </c>
      <c r="M649" s="113">
        <v>571.91999999999996</v>
      </c>
      <c r="N649" s="113">
        <v>9.5921000000000006E-2</v>
      </c>
      <c r="O649" s="114" t="s">
        <v>2632</v>
      </c>
    </row>
    <row r="650" spans="1:15" x14ac:dyDescent="0.25">
      <c r="A650" s="113" t="s">
        <v>55</v>
      </c>
      <c r="B650" s="113" t="s">
        <v>8</v>
      </c>
      <c r="C650" s="113">
        <v>100</v>
      </c>
      <c r="D650" s="113">
        <v>330</v>
      </c>
      <c r="E650" s="113">
        <v>1</v>
      </c>
      <c r="F650" s="113" t="s">
        <v>6</v>
      </c>
      <c r="G650" s="113" t="s">
        <v>4</v>
      </c>
      <c r="H650" s="113">
        <v>20</v>
      </c>
      <c r="I650" s="113">
        <v>50</v>
      </c>
      <c r="J650" s="113" t="s">
        <v>10</v>
      </c>
      <c r="K650" s="113">
        <v>533.77</v>
      </c>
      <c r="L650" s="113">
        <v>0.66047</v>
      </c>
      <c r="M650" s="113">
        <v>533.57000000000005</v>
      </c>
      <c r="N650" s="113">
        <v>0.66042000000000001</v>
      </c>
      <c r="O650" s="114" t="s">
        <v>2633</v>
      </c>
    </row>
    <row r="651" spans="1:15" x14ac:dyDescent="0.25">
      <c r="A651" s="113" t="s">
        <v>55</v>
      </c>
      <c r="B651" s="113" t="s">
        <v>8</v>
      </c>
      <c r="C651" s="113">
        <v>330</v>
      </c>
      <c r="D651" s="113">
        <v>1000</v>
      </c>
      <c r="E651" s="113">
        <v>1E-4</v>
      </c>
      <c r="F651" s="113" t="s">
        <v>6</v>
      </c>
      <c r="G651" s="113" t="s">
        <v>4</v>
      </c>
      <c r="H651" s="113">
        <v>1E-3</v>
      </c>
      <c r="I651" s="113">
        <v>0.04</v>
      </c>
      <c r="J651" s="113" t="s">
        <v>10</v>
      </c>
      <c r="K651" s="113">
        <v>50</v>
      </c>
      <c r="L651" s="113">
        <v>0.46</v>
      </c>
      <c r="M651" s="113">
        <v>46.106999999999999</v>
      </c>
      <c r="N651" s="113">
        <v>0.46338000000000001</v>
      </c>
      <c r="O651" s="114" t="s">
        <v>1776</v>
      </c>
    </row>
    <row r="652" spans="1:15" x14ac:dyDescent="0.25">
      <c r="A652" s="113" t="s">
        <v>55</v>
      </c>
      <c r="B652" s="113" t="s">
        <v>8</v>
      </c>
      <c r="C652" s="113">
        <v>330</v>
      </c>
      <c r="D652" s="113">
        <v>1000</v>
      </c>
      <c r="E652" s="113">
        <v>1E-4</v>
      </c>
      <c r="F652" s="113" t="s">
        <v>6</v>
      </c>
      <c r="G652" s="113" t="s">
        <v>4</v>
      </c>
      <c r="H652" s="113">
        <v>0.04</v>
      </c>
      <c r="I652" s="113">
        <v>1</v>
      </c>
      <c r="J652" s="113" t="s">
        <v>10</v>
      </c>
      <c r="K652" s="113">
        <v>27</v>
      </c>
      <c r="L652" s="113">
        <v>0.46</v>
      </c>
      <c r="M652" s="113">
        <v>23.030999999999999</v>
      </c>
      <c r="N652" s="113">
        <v>0.46343000000000001</v>
      </c>
      <c r="O652" s="114" t="s">
        <v>1777</v>
      </c>
    </row>
    <row r="653" spans="1:15" x14ac:dyDescent="0.25">
      <c r="A653" s="113" t="s">
        <v>55</v>
      </c>
      <c r="B653" s="113" t="s">
        <v>8</v>
      </c>
      <c r="C653" s="113">
        <v>330</v>
      </c>
      <c r="D653" s="113">
        <v>1000</v>
      </c>
      <c r="E653" s="113">
        <v>1E-4</v>
      </c>
      <c r="F653" s="113" t="s">
        <v>6</v>
      </c>
      <c r="G653" s="113" t="s">
        <v>4</v>
      </c>
      <c r="H653" s="113">
        <v>1</v>
      </c>
      <c r="I653" s="113">
        <v>10</v>
      </c>
      <c r="J653" s="113" t="s">
        <v>10</v>
      </c>
      <c r="K653" s="113">
        <v>23</v>
      </c>
      <c r="L653" s="113">
        <v>0.7</v>
      </c>
      <c r="M653" s="113">
        <v>23.056000000000001</v>
      </c>
      <c r="N653" s="113">
        <v>0.69386999999999999</v>
      </c>
      <c r="O653" s="114" t="s">
        <v>1775</v>
      </c>
    </row>
    <row r="654" spans="1:15" x14ac:dyDescent="0.25">
      <c r="A654" s="113" t="s">
        <v>55</v>
      </c>
      <c r="B654" s="113" t="s">
        <v>8</v>
      </c>
      <c r="C654" s="113">
        <v>330</v>
      </c>
      <c r="D654" s="113">
        <v>1000</v>
      </c>
      <c r="E654" s="113">
        <v>1E-3</v>
      </c>
      <c r="F654" s="113" t="s">
        <v>6</v>
      </c>
      <c r="G654" s="113" t="s">
        <v>4</v>
      </c>
      <c r="H654" s="113">
        <v>1</v>
      </c>
      <c r="I654" s="113">
        <v>10</v>
      </c>
      <c r="J654" s="113" t="s">
        <v>10</v>
      </c>
      <c r="K654" s="113">
        <v>23</v>
      </c>
      <c r="L654" s="113">
        <v>0.7</v>
      </c>
      <c r="M654" s="113">
        <v>23.062999999999999</v>
      </c>
      <c r="N654" s="113">
        <v>0.69386000000000003</v>
      </c>
      <c r="O654" s="114" t="s">
        <v>2634</v>
      </c>
    </row>
    <row r="655" spans="1:15" x14ac:dyDescent="0.25">
      <c r="A655" s="113" t="s">
        <v>55</v>
      </c>
      <c r="B655" s="113" t="s">
        <v>8</v>
      </c>
      <c r="C655" s="113">
        <v>330</v>
      </c>
      <c r="D655" s="113">
        <v>1000</v>
      </c>
      <c r="E655" s="113">
        <v>1E-3</v>
      </c>
      <c r="F655" s="113" t="s">
        <v>6</v>
      </c>
      <c r="G655" s="113" t="s">
        <v>4</v>
      </c>
      <c r="H655" s="113">
        <v>1E-3</v>
      </c>
      <c r="I655" s="113">
        <v>0.04</v>
      </c>
      <c r="J655" s="113" t="s">
        <v>10</v>
      </c>
      <c r="K655" s="113">
        <v>50</v>
      </c>
      <c r="L655" s="113">
        <v>0.46054</v>
      </c>
      <c r="M655" s="113">
        <v>46.107999999999997</v>
      </c>
      <c r="N655" s="113">
        <v>0.46338000000000001</v>
      </c>
      <c r="O655" s="114" t="s">
        <v>1779</v>
      </c>
    </row>
    <row r="656" spans="1:15" x14ac:dyDescent="0.25">
      <c r="A656" s="113" t="s">
        <v>55</v>
      </c>
      <c r="B656" s="113" t="s">
        <v>8</v>
      </c>
      <c r="C656" s="113">
        <v>330</v>
      </c>
      <c r="D656" s="113">
        <v>1000</v>
      </c>
      <c r="E656" s="113">
        <v>1E-3</v>
      </c>
      <c r="F656" s="113" t="s">
        <v>6</v>
      </c>
      <c r="G656" s="113" t="s">
        <v>4</v>
      </c>
      <c r="H656" s="113">
        <v>0.04</v>
      </c>
      <c r="I656" s="113">
        <v>1</v>
      </c>
      <c r="J656" s="113" t="s">
        <v>10</v>
      </c>
      <c r="K656" s="113">
        <v>27</v>
      </c>
      <c r="L656" s="113">
        <v>0.46050999999999997</v>
      </c>
      <c r="M656" s="113">
        <v>23.032</v>
      </c>
      <c r="N656" s="113">
        <v>0.46343000000000001</v>
      </c>
      <c r="O656" s="114" t="s">
        <v>1778</v>
      </c>
    </row>
    <row r="657" spans="1:15" x14ac:dyDescent="0.25">
      <c r="A657" s="113" t="s">
        <v>55</v>
      </c>
      <c r="B657" s="113" t="s">
        <v>8</v>
      </c>
      <c r="C657" s="113">
        <v>330</v>
      </c>
      <c r="D657" s="113">
        <v>1000</v>
      </c>
      <c r="E657" s="113">
        <v>0.01</v>
      </c>
      <c r="F657" s="113" t="s">
        <v>6</v>
      </c>
      <c r="G657" s="113" t="s">
        <v>4</v>
      </c>
      <c r="H657" s="113">
        <v>1</v>
      </c>
      <c r="I657" s="113">
        <v>10</v>
      </c>
      <c r="J657" s="113" t="s">
        <v>10</v>
      </c>
      <c r="K657" s="113">
        <v>23</v>
      </c>
      <c r="L657" s="113">
        <v>0.7</v>
      </c>
      <c r="M657" s="113">
        <v>23.256</v>
      </c>
      <c r="N657" s="113">
        <v>0.69369000000000003</v>
      </c>
      <c r="O657" s="114" t="s">
        <v>1781</v>
      </c>
    </row>
    <row r="658" spans="1:15" x14ac:dyDescent="0.25">
      <c r="A658" s="113" t="s">
        <v>55</v>
      </c>
      <c r="B658" s="113" t="s">
        <v>8</v>
      </c>
      <c r="C658" s="113">
        <v>330</v>
      </c>
      <c r="D658" s="113">
        <v>1000</v>
      </c>
      <c r="E658" s="113">
        <v>0.01</v>
      </c>
      <c r="F658" s="113" t="s">
        <v>6</v>
      </c>
      <c r="G658" s="113" t="s">
        <v>4</v>
      </c>
      <c r="H658" s="113">
        <v>0.04</v>
      </c>
      <c r="I658" s="113">
        <v>1</v>
      </c>
      <c r="J658" s="113" t="s">
        <v>10</v>
      </c>
      <c r="K658" s="113">
        <v>27</v>
      </c>
      <c r="L658" s="113">
        <v>0.46056000000000002</v>
      </c>
      <c r="M658" s="113">
        <v>23.29</v>
      </c>
      <c r="N658" s="113">
        <v>0.46321000000000001</v>
      </c>
      <c r="O658" s="114" t="s">
        <v>1780</v>
      </c>
    </row>
    <row r="659" spans="1:15" x14ac:dyDescent="0.25">
      <c r="A659" s="113" t="s">
        <v>55</v>
      </c>
      <c r="B659" s="113" t="s">
        <v>8</v>
      </c>
      <c r="C659" s="113">
        <v>330</v>
      </c>
      <c r="D659" s="113">
        <v>1000</v>
      </c>
      <c r="E659" s="113">
        <v>0.01</v>
      </c>
      <c r="F659" s="113" t="s">
        <v>6</v>
      </c>
      <c r="G659" s="113" t="s">
        <v>4</v>
      </c>
      <c r="H659" s="113">
        <v>1E-3</v>
      </c>
      <c r="I659" s="113">
        <v>0.04</v>
      </c>
      <c r="J659" s="113" t="s">
        <v>10</v>
      </c>
      <c r="K659" s="113">
        <v>50</v>
      </c>
      <c r="L659" s="113">
        <v>0.46059</v>
      </c>
      <c r="M659" s="113">
        <v>46.301000000000002</v>
      </c>
      <c r="N659" s="113">
        <v>0.46322000000000002</v>
      </c>
      <c r="O659" s="114" t="s">
        <v>2635</v>
      </c>
    </row>
    <row r="660" spans="1:15" x14ac:dyDescent="0.25">
      <c r="A660" s="113" t="s">
        <v>55</v>
      </c>
      <c r="B660" s="113" t="s">
        <v>8</v>
      </c>
      <c r="C660" s="113">
        <v>330</v>
      </c>
      <c r="D660" s="113">
        <v>1000</v>
      </c>
      <c r="E660" s="113">
        <v>0.1</v>
      </c>
      <c r="F660" s="113" t="s">
        <v>6</v>
      </c>
      <c r="G660" s="113" t="s">
        <v>4</v>
      </c>
      <c r="H660" s="113">
        <v>0.04</v>
      </c>
      <c r="I660" s="113">
        <v>1</v>
      </c>
      <c r="J660" s="113" t="s">
        <v>10</v>
      </c>
      <c r="K660" s="113">
        <v>45.920999999999999</v>
      </c>
      <c r="L660" s="113">
        <v>0.44399</v>
      </c>
      <c r="M660" s="113">
        <v>45.854999999999997</v>
      </c>
      <c r="N660" s="113">
        <v>0.44402000000000003</v>
      </c>
      <c r="O660" s="114" t="s">
        <v>1784</v>
      </c>
    </row>
    <row r="661" spans="1:15" x14ac:dyDescent="0.25">
      <c r="A661" s="113" t="s">
        <v>55</v>
      </c>
      <c r="B661" s="113" t="s">
        <v>8</v>
      </c>
      <c r="C661" s="113">
        <v>330</v>
      </c>
      <c r="D661" s="113">
        <v>1000</v>
      </c>
      <c r="E661" s="113">
        <v>0.1</v>
      </c>
      <c r="F661" s="113" t="s">
        <v>6</v>
      </c>
      <c r="G661" s="113" t="s">
        <v>4</v>
      </c>
      <c r="H661" s="113">
        <v>1</v>
      </c>
      <c r="I661" s="113">
        <v>10</v>
      </c>
      <c r="J661" s="113" t="s">
        <v>10</v>
      </c>
      <c r="K661" s="113">
        <v>40.883000000000003</v>
      </c>
      <c r="L661" s="113">
        <v>0.68211999999999995</v>
      </c>
      <c r="M661" s="113">
        <v>41.185000000000002</v>
      </c>
      <c r="N661" s="113">
        <v>0.67806</v>
      </c>
      <c r="O661" s="114" t="s">
        <v>1782</v>
      </c>
    </row>
    <row r="662" spans="1:15" x14ac:dyDescent="0.25">
      <c r="A662" s="113" t="s">
        <v>55</v>
      </c>
      <c r="B662" s="113" t="s">
        <v>8</v>
      </c>
      <c r="C662" s="113">
        <v>330</v>
      </c>
      <c r="D662" s="113">
        <v>1000</v>
      </c>
      <c r="E662" s="113">
        <v>0.1</v>
      </c>
      <c r="F662" s="113" t="s">
        <v>6</v>
      </c>
      <c r="G662" s="113" t="s">
        <v>4</v>
      </c>
      <c r="H662" s="113">
        <v>1E-3</v>
      </c>
      <c r="I662" s="113">
        <v>0.04</v>
      </c>
      <c r="J662" s="113" t="s">
        <v>10</v>
      </c>
      <c r="K662" s="113">
        <v>64.183999999999997</v>
      </c>
      <c r="L662" s="113">
        <v>0.4486</v>
      </c>
      <c r="M662" s="113">
        <v>64.129000000000005</v>
      </c>
      <c r="N662" s="113">
        <v>0.44862000000000002</v>
      </c>
      <c r="O662" s="114" t="s">
        <v>1783</v>
      </c>
    </row>
    <row r="663" spans="1:15" x14ac:dyDescent="0.25">
      <c r="A663" s="113" t="s">
        <v>55</v>
      </c>
      <c r="B663" s="113" t="s">
        <v>8</v>
      </c>
      <c r="C663" s="113">
        <v>330</v>
      </c>
      <c r="D663" s="113">
        <v>1000</v>
      </c>
      <c r="E663" s="113">
        <v>1</v>
      </c>
      <c r="F663" s="113" t="s">
        <v>6</v>
      </c>
      <c r="G663" s="113" t="s">
        <v>4</v>
      </c>
      <c r="H663" s="113">
        <v>1</v>
      </c>
      <c r="I663" s="113">
        <v>10</v>
      </c>
      <c r="J663" s="113" t="s">
        <v>10</v>
      </c>
      <c r="K663" s="113">
        <v>547.47</v>
      </c>
      <c r="L663" s="113">
        <v>0.37317</v>
      </c>
      <c r="M663" s="113">
        <v>547.4</v>
      </c>
      <c r="N663" s="113">
        <v>0.37309999999999999</v>
      </c>
      <c r="O663" s="114" t="s">
        <v>1785</v>
      </c>
    </row>
    <row r="664" spans="1:15" x14ac:dyDescent="0.25">
      <c r="A664" s="113" t="s">
        <v>55</v>
      </c>
      <c r="B664" s="113" t="s">
        <v>8</v>
      </c>
      <c r="C664" s="113">
        <v>330</v>
      </c>
      <c r="D664" s="113">
        <v>1000</v>
      </c>
      <c r="E664" s="113">
        <v>1</v>
      </c>
      <c r="F664" s="113" t="s">
        <v>6</v>
      </c>
      <c r="G664" s="113" t="s">
        <v>4</v>
      </c>
      <c r="H664" s="113">
        <v>1E-3</v>
      </c>
      <c r="I664" s="113">
        <v>0.04</v>
      </c>
      <c r="J664" s="113" t="s">
        <v>10</v>
      </c>
      <c r="K664" s="113">
        <v>564.15</v>
      </c>
      <c r="L664" s="113">
        <v>0.20594999999999999</v>
      </c>
      <c r="M664" s="113">
        <v>564.12</v>
      </c>
      <c r="N664" s="113">
        <v>0.20588999999999999</v>
      </c>
      <c r="O664" s="114" t="s">
        <v>2636</v>
      </c>
    </row>
    <row r="665" spans="1:15" x14ac:dyDescent="0.25">
      <c r="A665" s="113" t="s">
        <v>55</v>
      </c>
      <c r="B665" s="113" t="s">
        <v>8</v>
      </c>
      <c r="C665" s="113">
        <v>330</v>
      </c>
      <c r="D665" s="113">
        <v>1000</v>
      </c>
      <c r="E665" s="113">
        <v>1</v>
      </c>
      <c r="F665" s="113" t="s">
        <v>6</v>
      </c>
      <c r="G665" s="113" t="s">
        <v>4</v>
      </c>
      <c r="H665" s="113">
        <v>0.04</v>
      </c>
      <c r="I665" s="113">
        <v>1</v>
      </c>
      <c r="J665" s="113" t="s">
        <v>10</v>
      </c>
      <c r="K665" s="113">
        <v>562.27</v>
      </c>
      <c r="L665" s="113">
        <v>0.1928</v>
      </c>
      <c r="M665" s="113">
        <v>562.23</v>
      </c>
      <c r="N665" s="113">
        <v>0.19273999999999999</v>
      </c>
      <c r="O665" s="114" t="s">
        <v>1786</v>
      </c>
    </row>
    <row r="666" spans="1:15" x14ac:dyDescent="0.25">
      <c r="A666" s="113" t="s">
        <v>55</v>
      </c>
      <c r="B666" s="113" t="s">
        <v>91</v>
      </c>
      <c r="C666" s="113">
        <v>-270</v>
      </c>
      <c r="D666" s="113">
        <v>149</v>
      </c>
      <c r="E666" s="113">
        <v>0.1</v>
      </c>
      <c r="F666" s="113" t="s">
        <v>23</v>
      </c>
      <c r="G666" s="113" t="s">
        <v>23</v>
      </c>
      <c r="H666" s="113">
        <v>0</v>
      </c>
      <c r="I666" s="113">
        <v>0</v>
      </c>
      <c r="K666" s="113">
        <v>8.0416114999999996E-2</v>
      </c>
      <c r="L666" s="113">
        <v>0</v>
      </c>
      <c r="M666" s="113">
        <v>6.7383358000000004E-2</v>
      </c>
      <c r="N666" s="113">
        <v>0</v>
      </c>
      <c r="O666" s="114" t="s">
        <v>619</v>
      </c>
    </row>
    <row r="667" spans="1:15" x14ac:dyDescent="0.25">
      <c r="A667" s="113" t="s">
        <v>55</v>
      </c>
      <c r="B667" s="113" t="s">
        <v>91</v>
      </c>
      <c r="C667" s="113">
        <v>-270</v>
      </c>
      <c r="D667" s="113">
        <v>149</v>
      </c>
      <c r="E667" s="113">
        <v>1</v>
      </c>
      <c r="F667" s="113" t="s">
        <v>23</v>
      </c>
      <c r="G667" s="113" t="s">
        <v>23</v>
      </c>
      <c r="H667" s="113">
        <v>0</v>
      </c>
      <c r="I667" s="113">
        <v>0</v>
      </c>
      <c r="K667" s="113">
        <v>0.585017483</v>
      </c>
      <c r="L667" s="113">
        <v>0</v>
      </c>
      <c r="M667" s="113">
        <v>0.578394776</v>
      </c>
      <c r="N667" s="113">
        <v>0</v>
      </c>
      <c r="O667" s="114" t="s">
        <v>620</v>
      </c>
    </row>
    <row r="668" spans="1:15" x14ac:dyDescent="0.25">
      <c r="A668" s="113" t="s">
        <v>55</v>
      </c>
      <c r="B668" s="113" t="s">
        <v>91</v>
      </c>
      <c r="C668" s="113">
        <v>149.001</v>
      </c>
      <c r="D668" s="113">
        <v>593</v>
      </c>
      <c r="E668" s="113">
        <v>0.1</v>
      </c>
      <c r="F668" s="113" t="s">
        <v>23</v>
      </c>
      <c r="G668" s="113" t="s">
        <v>23</v>
      </c>
      <c r="H668" s="113">
        <v>0</v>
      </c>
      <c r="I668" s="113">
        <v>0</v>
      </c>
      <c r="K668" s="113">
        <v>6.9131376999999994E-2</v>
      </c>
      <c r="L668" s="113">
        <v>0</v>
      </c>
      <c r="M668" s="113">
        <v>6.7565681000000002E-2</v>
      </c>
      <c r="N668" s="113">
        <v>0</v>
      </c>
      <c r="O668" s="114" t="s">
        <v>621</v>
      </c>
    </row>
    <row r="669" spans="1:15" x14ac:dyDescent="0.25">
      <c r="A669" s="113" t="s">
        <v>55</v>
      </c>
      <c r="B669" s="113" t="s">
        <v>91</v>
      </c>
      <c r="C669" s="113">
        <v>149.001</v>
      </c>
      <c r="D669" s="113">
        <v>593</v>
      </c>
      <c r="E669" s="113">
        <v>1</v>
      </c>
      <c r="F669" s="113" t="s">
        <v>23</v>
      </c>
      <c r="G669" s="113" t="s">
        <v>23</v>
      </c>
      <c r="H669" s="113">
        <v>0</v>
      </c>
      <c r="I669" s="113">
        <v>0</v>
      </c>
      <c r="K669" s="113">
        <v>0.57915561400000004</v>
      </c>
      <c r="L669" s="113">
        <v>0</v>
      </c>
      <c r="M669" s="113">
        <v>0.57841604499999999</v>
      </c>
      <c r="N669" s="113">
        <v>0</v>
      </c>
      <c r="O669" s="114" t="s">
        <v>622</v>
      </c>
    </row>
    <row r="670" spans="1:15" x14ac:dyDescent="0.25">
      <c r="A670" s="113" t="s">
        <v>55</v>
      </c>
      <c r="B670" s="113" t="s">
        <v>91</v>
      </c>
      <c r="C670" s="113">
        <v>593.00099999999998</v>
      </c>
      <c r="D670" s="113">
        <v>1000</v>
      </c>
      <c r="E670" s="113">
        <v>0.1</v>
      </c>
      <c r="F670" s="113" t="s">
        <v>23</v>
      </c>
      <c r="G670" s="113" t="s">
        <v>23</v>
      </c>
      <c r="H670" s="113">
        <v>0</v>
      </c>
      <c r="I670" s="113">
        <v>0</v>
      </c>
      <c r="K670" s="113">
        <v>7.1535916000000005E-2</v>
      </c>
      <c r="L670" s="113">
        <v>0</v>
      </c>
      <c r="M670" s="113">
        <v>7.0024005E-2</v>
      </c>
      <c r="N670" s="113">
        <v>0</v>
      </c>
      <c r="O670" s="114" t="s">
        <v>623</v>
      </c>
    </row>
    <row r="671" spans="1:15" x14ac:dyDescent="0.25">
      <c r="A671" s="113" t="s">
        <v>55</v>
      </c>
      <c r="B671" s="113" t="s">
        <v>91</v>
      </c>
      <c r="C671" s="113">
        <v>593.00099999999998</v>
      </c>
      <c r="D671" s="113">
        <v>1000</v>
      </c>
      <c r="E671" s="113">
        <v>1</v>
      </c>
      <c r="F671" s="113" t="s">
        <v>23</v>
      </c>
      <c r="G671" s="113" t="s">
        <v>23</v>
      </c>
      <c r="H671" s="113">
        <v>0</v>
      </c>
      <c r="I671" s="113">
        <v>0</v>
      </c>
      <c r="K671" s="113">
        <v>0.57944755199999998</v>
      </c>
      <c r="L671" s="113">
        <v>0</v>
      </c>
      <c r="M671" s="113">
        <v>0.57870835600000003</v>
      </c>
      <c r="N671" s="113">
        <v>0</v>
      </c>
      <c r="O671" s="114" t="s">
        <v>624</v>
      </c>
    </row>
    <row r="672" spans="1:15" x14ac:dyDescent="0.25">
      <c r="A672" s="113" t="s">
        <v>55</v>
      </c>
      <c r="B672" s="113" t="s">
        <v>90</v>
      </c>
      <c r="C672" s="113">
        <v>-210</v>
      </c>
      <c r="D672" s="113">
        <v>259.99900000000002</v>
      </c>
      <c r="E672" s="113">
        <v>0.1</v>
      </c>
      <c r="F672" s="113" t="s">
        <v>23</v>
      </c>
      <c r="G672" s="113" t="s">
        <v>23</v>
      </c>
      <c r="H672" s="113">
        <v>0</v>
      </c>
      <c r="I672" s="113">
        <v>0</v>
      </c>
      <c r="K672" s="113">
        <v>9.1700324999999999E-2</v>
      </c>
      <c r="L672" s="113">
        <v>0</v>
      </c>
      <c r="M672" s="113">
        <v>7.0601223000000005E-2</v>
      </c>
      <c r="N672" s="113">
        <v>0</v>
      </c>
      <c r="O672" s="114" t="s">
        <v>613</v>
      </c>
    </row>
    <row r="673" spans="1:15" x14ac:dyDescent="0.25">
      <c r="A673" s="113" t="s">
        <v>55</v>
      </c>
      <c r="B673" s="113" t="s">
        <v>90</v>
      </c>
      <c r="C673" s="113">
        <v>-210</v>
      </c>
      <c r="D673" s="113">
        <v>259.99900000000002</v>
      </c>
      <c r="E673" s="113">
        <v>1</v>
      </c>
      <c r="F673" s="113" t="s">
        <v>23</v>
      </c>
      <c r="G673" s="113" t="s">
        <v>23</v>
      </c>
      <c r="H673" s="113">
        <v>0</v>
      </c>
      <c r="I673" s="113">
        <v>0</v>
      </c>
      <c r="K673" s="113">
        <v>0.59049318399999995</v>
      </c>
      <c r="L673" s="113">
        <v>0</v>
      </c>
      <c r="M673" s="113">
        <v>0.57877848300000001</v>
      </c>
      <c r="N673" s="113">
        <v>0</v>
      </c>
      <c r="O673" s="114" t="s">
        <v>614</v>
      </c>
    </row>
    <row r="674" spans="1:15" x14ac:dyDescent="0.25">
      <c r="A674" s="113" t="s">
        <v>55</v>
      </c>
      <c r="B674" s="113" t="s">
        <v>90</v>
      </c>
      <c r="C674" s="113">
        <v>260</v>
      </c>
      <c r="D674" s="113">
        <v>732</v>
      </c>
      <c r="E674" s="113">
        <v>0.1</v>
      </c>
      <c r="F674" s="113" t="s">
        <v>23</v>
      </c>
      <c r="G674" s="113" t="s">
        <v>23</v>
      </c>
      <c r="H674" s="113">
        <v>0</v>
      </c>
      <c r="I674" s="113">
        <v>0</v>
      </c>
      <c r="K674" s="113">
        <v>7.3715325999999998E-2</v>
      </c>
      <c r="L674" s="113">
        <v>0</v>
      </c>
      <c r="M674" s="113">
        <v>6.8215379000000007E-2</v>
      </c>
      <c r="N674" s="113">
        <v>0</v>
      </c>
      <c r="O674" s="114" t="s">
        <v>615</v>
      </c>
    </row>
    <row r="675" spans="1:15" x14ac:dyDescent="0.25">
      <c r="A675" s="113" t="s">
        <v>55</v>
      </c>
      <c r="B675" s="113" t="s">
        <v>90</v>
      </c>
      <c r="C675" s="113">
        <v>260</v>
      </c>
      <c r="D675" s="113">
        <v>732</v>
      </c>
      <c r="E675" s="113">
        <v>1</v>
      </c>
      <c r="F675" s="113" t="s">
        <v>23</v>
      </c>
      <c r="G675" s="113" t="s">
        <v>23</v>
      </c>
      <c r="H675" s="113">
        <v>0</v>
      </c>
      <c r="I675" s="113">
        <v>0</v>
      </c>
      <c r="K675" s="113">
        <v>0.58165565500000005</v>
      </c>
      <c r="L675" s="113">
        <v>0</v>
      </c>
      <c r="M675" s="113">
        <v>0.57849229700000004</v>
      </c>
      <c r="N675" s="113">
        <v>0</v>
      </c>
      <c r="O675" s="114" t="s">
        <v>616</v>
      </c>
    </row>
    <row r="676" spans="1:15" x14ac:dyDescent="0.25">
      <c r="A676" s="113" t="s">
        <v>55</v>
      </c>
      <c r="B676" s="113" t="s">
        <v>90</v>
      </c>
      <c r="C676" s="113">
        <v>732.00099999999998</v>
      </c>
      <c r="D676" s="113">
        <v>1200</v>
      </c>
      <c r="E676" s="113">
        <v>0.1</v>
      </c>
      <c r="F676" s="113" t="s">
        <v>23</v>
      </c>
      <c r="G676" s="113" t="s">
        <v>23</v>
      </c>
      <c r="H676" s="113">
        <v>0</v>
      </c>
      <c r="I676" s="113">
        <v>0</v>
      </c>
      <c r="K676" s="113">
        <v>7.6446990000000006E-2</v>
      </c>
      <c r="L676" s="113">
        <v>0</v>
      </c>
      <c r="M676" s="113">
        <v>7.1753449999999996E-2</v>
      </c>
      <c r="N676" s="113">
        <v>0</v>
      </c>
      <c r="O676" s="114" t="s">
        <v>617</v>
      </c>
    </row>
    <row r="677" spans="1:15" x14ac:dyDescent="0.25">
      <c r="A677" s="113" t="s">
        <v>55</v>
      </c>
      <c r="B677" s="113" t="s">
        <v>90</v>
      </c>
      <c r="C677" s="113">
        <v>732.00099999999998</v>
      </c>
      <c r="D677" s="113">
        <v>1200</v>
      </c>
      <c r="E677" s="113">
        <v>1</v>
      </c>
      <c r="F677" s="113" t="s">
        <v>23</v>
      </c>
      <c r="G677" s="113" t="s">
        <v>23</v>
      </c>
      <c r="H677" s="113">
        <v>0</v>
      </c>
      <c r="I677" s="113">
        <v>0</v>
      </c>
      <c r="K677" s="113">
        <v>0.58131823999999999</v>
      </c>
      <c r="L677" s="113">
        <v>0</v>
      </c>
      <c r="M677" s="113">
        <v>0.57892016499999999</v>
      </c>
      <c r="N677" s="113">
        <v>0</v>
      </c>
      <c r="O677" s="114" t="s">
        <v>618</v>
      </c>
    </row>
    <row r="678" spans="1:15" x14ac:dyDescent="0.25">
      <c r="A678" s="113" t="s">
        <v>55</v>
      </c>
      <c r="B678" s="113" t="s">
        <v>89</v>
      </c>
      <c r="C678" s="113">
        <v>-270</v>
      </c>
      <c r="D678" s="113">
        <v>-240.001</v>
      </c>
      <c r="E678" s="113">
        <v>0.1</v>
      </c>
      <c r="F678" s="113" t="s">
        <v>23</v>
      </c>
      <c r="G678" s="113" t="s">
        <v>23</v>
      </c>
      <c r="H678" s="113">
        <v>0</v>
      </c>
      <c r="I678" s="113">
        <v>0</v>
      </c>
      <c r="K678" s="113">
        <v>0.45662971600000002</v>
      </c>
      <c r="L678" s="113">
        <v>0</v>
      </c>
      <c r="M678" s="113">
        <v>0.45079213899999998</v>
      </c>
      <c r="N678" s="113">
        <v>0</v>
      </c>
      <c r="O678" s="114" t="s">
        <v>605</v>
      </c>
    </row>
    <row r="679" spans="1:15" x14ac:dyDescent="0.25">
      <c r="A679" s="113" t="s">
        <v>55</v>
      </c>
      <c r="B679" s="113" t="s">
        <v>89</v>
      </c>
      <c r="C679" s="113">
        <v>-270</v>
      </c>
      <c r="D679" s="113">
        <v>-240.001</v>
      </c>
      <c r="E679" s="113">
        <v>1</v>
      </c>
      <c r="F679" s="113" t="s">
        <v>23</v>
      </c>
      <c r="G679" s="113" t="s">
        <v>23</v>
      </c>
      <c r="H679" s="113">
        <v>0</v>
      </c>
      <c r="I679" s="113">
        <v>0</v>
      </c>
      <c r="K679" s="113">
        <v>0.74458185099999996</v>
      </c>
      <c r="L679" s="113">
        <v>0</v>
      </c>
      <c r="M679" s="113">
        <v>0.73021473000000003</v>
      </c>
      <c r="N679" s="113">
        <v>0</v>
      </c>
      <c r="O679" s="114" t="s">
        <v>606</v>
      </c>
    </row>
    <row r="680" spans="1:15" x14ac:dyDescent="0.25">
      <c r="A680" s="113" t="s">
        <v>55</v>
      </c>
      <c r="B680" s="113" t="s">
        <v>89</v>
      </c>
      <c r="C680" s="113">
        <v>-240</v>
      </c>
      <c r="D680" s="113">
        <v>259.99900000000002</v>
      </c>
      <c r="E680" s="113">
        <v>0.1</v>
      </c>
      <c r="F680" s="113" t="s">
        <v>23</v>
      </c>
      <c r="G680" s="113" t="s">
        <v>23</v>
      </c>
      <c r="H680" s="113">
        <v>0</v>
      </c>
      <c r="I680" s="113">
        <v>0</v>
      </c>
      <c r="K680" s="113">
        <v>0.113916513</v>
      </c>
      <c r="L680" s="113">
        <v>0</v>
      </c>
      <c r="M680" s="113">
        <v>9.1809138999999998E-2</v>
      </c>
      <c r="N680" s="113">
        <v>0</v>
      </c>
      <c r="O680" s="114" t="s">
        <v>607</v>
      </c>
    </row>
    <row r="681" spans="1:15" x14ac:dyDescent="0.25">
      <c r="A681" s="113" t="s">
        <v>55</v>
      </c>
      <c r="B681" s="113" t="s">
        <v>89</v>
      </c>
      <c r="C681" s="113">
        <v>-240</v>
      </c>
      <c r="D681" s="113">
        <v>259.99900000000002</v>
      </c>
      <c r="E681" s="113">
        <v>1</v>
      </c>
      <c r="F681" s="113" t="s">
        <v>23</v>
      </c>
      <c r="G681" s="113" t="s">
        <v>23</v>
      </c>
      <c r="H681" s="113">
        <v>0</v>
      </c>
      <c r="I681" s="113">
        <v>0</v>
      </c>
      <c r="K681" s="113">
        <v>0.59717763999999995</v>
      </c>
      <c r="L681" s="113">
        <v>0</v>
      </c>
      <c r="M681" s="113">
        <v>0.58174643800000003</v>
      </c>
      <c r="N681" s="113">
        <v>0</v>
      </c>
      <c r="O681" s="114" t="s">
        <v>608</v>
      </c>
    </row>
    <row r="682" spans="1:15" x14ac:dyDescent="0.25">
      <c r="A682" s="113" t="s">
        <v>55</v>
      </c>
      <c r="B682" s="113" t="s">
        <v>89</v>
      </c>
      <c r="C682" s="113">
        <v>260</v>
      </c>
      <c r="D682" s="113">
        <v>816</v>
      </c>
      <c r="E682" s="113">
        <v>0.1</v>
      </c>
      <c r="F682" s="113" t="s">
        <v>23</v>
      </c>
      <c r="G682" s="113" t="s">
        <v>23</v>
      </c>
      <c r="H682" s="113">
        <v>0</v>
      </c>
      <c r="I682" s="113">
        <v>0</v>
      </c>
      <c r="K682" s="113">
        <v>8.0979847999999993E-2</v>
      </c>
      <c r="L682" s="113">
        <v>0</v>
      </c>
      <c r="M682" s="113">
        <v>6.9993098000000004E-2</v>
      </c>
      <c r="N682" s="113">
        <v>0</v>
      </c>
      <c r="O682" s="114" t="s">
        <v>609</v>
      </c>
    </row>
    <row r="683" spans="1:15" x14ac:dyDescent="0.25">
      <c r="A683" s="113" t="s">
        <v>55</v>
      </c>
      <c r="B683" s="113" t="s">
        <v>89</v>
      </c>
      <c r="C683" s="113">
        <v>260</v>
      </c>
      <c r="D683" s="113">
        <v>816</v>
      </c>
      <c r="E683" s="113">
        <v>1</v>
      </c>
      <c r="F683" s="113" t="s">
        <v>23</v>
      </c>
      <c r="G683" s="113" t="s">
        <v>23</v>
      </c>
      <c r="H683" s="113">
        <v>0</v>
      </c>
      <c r="I683" s="113">
        <v>0</v>
      </c>
      <c r="K683" s="113">
        <v>0.58440896799999997</v>
      </c>
      <c r="L683" s="113">
        <v>0</v>
      </c>
      <c r="M683" s="113">
        <v>0.57870461699999998</v>
      </c>
      <c r="N683" s="113">
        <v>0</v>
      </c>
      <c r="O683" s="114" t="s">
        <v>610</v>
      </c>
    </row>
    <row r="684" spans="1:15" x14ac:dyDescent="0.25">
      <c r="A684" s="113" t="s">
        <v>55</v>
      </c>
      <c r="B684" s="113" t="s">
        <v>89</v>
      </c>
      <c r="C684" s="113">
        <v>816.00099999999998</v>
      </c>
      <c r="D684" s="113">
        <v>1371</v>
      </c>
      <c r="E684" s="113">
        <v>0.1</v>
      </c>
      <c r="F684" s="113" t="s">
        <v>23</v>
      </c>
      <c r="G684" s="113" t="s">
        <v>23</v>
      </c>
      <c r="H684" s="113">
        <v>0</v>
      </c>
      <c r="I684" s="113">
        <v>0</v>
      </c>
      <c r="K684" s="113">
        <v>9.0471350000000006E-2</v>
      </c>
      <c r="L684" s="113">
        <v>0</v>
      </c>
      <c r="M684" s="113">
        <v>7.6709093000000006E-2</v>
      </c>
      <c r="N684" s="113">
        <v>0</v>
      </c>
      <c r="O684" s="114" t="s">
        <v>611</v>
      </c>
    </row>
    <row r="685" spans="1:15" x14ac:dyDescent="0.25">
      <c r="A685" s="113" t="s">
        <v>55</v>
      </c>
      <c r="B685" s="113" t="s">
        <v>89</v>
      </c>
      <c r="C685" s="113">
        <v>816.00099999999998</v>
      </c>
      <c r="D685" s="113">
        <v>1371</v>
      </c>
      <c r="E685" s="113">
        <v>1</v>
      </c>
      <c r="F685" s="113" t="s">
        <v>23</v>
      </c>
      <c r="G685" s="113" t="s">
        <v>23</v>
      </c>
      <c r="H685" s="113">
        <v>0</v>
      </c>
      <c r="I685" s="113">
        <v>0</v>
      </c>
      <c r="K685" s="113">
        <v>0.58744140600000005</v>
      </c>
      <c r="L685" s="113">
        <v>0</v>
      </c>
      <c r="M685" s="113">
        <v>0.57955524800000002</v>
      </c>
      <c r="N685" s="113">
        <v>0</v>
      </c>
      <c r="O685" s="114" t="s">
        <v>612</v>
      </c>
    </row>
    <row r="686" spans="1:15" x14ac:dyDescent="0.25">
      <c r="A686" s="113" t="s">
        <v>55</v>
      </c>
      <c r="B686" s="113" t="s">
        <v>92</v>
      </c>
      <c r="C686" s="113">
        <v>-270</v>
      </c>
      <c r="D686" s="113">
        <v>-240.001</v>
      </c>
      <c r="E686" s="113">
        <v>0.1</v>
      </c>
      <c r="F686" s="113" t="s">
        <v>23</v>
      </c>
      <c r="G686" s="113" t="s">
        <v>23</v>
      </c>
      <c r="H686" s="113">
        <v>0</v>
      </c>
      <c r="I686" s="113">
        <v>0</v>
      </c>
      <c r="K686" s="113">
        <v>0.83169968400000005</v>
      </c>
      <c r="L686" s="113">
        <v>0</v>
      </c>
      <c r="M686" s="113">
        <v>0.82876732099999995</v>
      </c>
      <c r="N686" s="113">
        <v>0</v>
      </c>
      <c r="O686" s="114" t="s">
        <v>595</v>
      </c>
    </row>
    <row r="687" spans="1:15" x14ac:dyDescent="0.25">
      <c r="A687" s="113" t="s">
        <v>55</v>
      </c>
      <c r="B687" s="113" t="s">
        <v>92</v>
      </c>
      <c r="C687" s="113">
        <v>-270</v>
      </c>
      <c r="D687" s="113">
        <v>-240.001</v>
      </c>
      <c r="E687" s="113">
        <v>1</v>
      </c>
      <c r="F687" s="113" t="s">
        <v>23</v>
      </c>
      <c r="G687" s="113" t="s">
        <v>23</v>
      </c>
      <c r="H687" s="113">
        <v>0</v>
      </c>
      <c r="I687" s="113">
        <v>0</v>
      </c>
      <c r="K687" s="113">
        <v>1.018003754</v>
      </c>
      <c r="L687" s="113">
        <v>0</v>
      </c>
      <c r="M687" s="113">
        <v>1.008392419</v>
      </c>
      <c r="N687" s="113">
        <v>0</v>
      </c>
      <c r="O687" s="114" t="s">
        <v>596</v>
      </c>
    </row>
    <row r="688" spans="1:15" x14ac:dyDescent="0.25">
      <c r="A688" s="113" t="s">
        <v>55</v>
      </c>
      <c r="B688" s="113" t="s">
        <v>92</v>
      </c>
      <c r="C688" s="113">
        <v>-240</v>
      </c>
      <c r="D688" s="113">
        <v>-101.001</v>
      </c>
      <c r="E688" s="113">
        <v>0.1</v>
      </c>
      <c r="F688" s="113" t="s">
        <v>23</v>
      </c>
      <c r="G688" s="113" t="s">
        <v>23</v>
      </c>
      <c r="H688" s="113">
        <v>0</v>
      </c>
      <c r="I688" s="113">
        <v>0</v>
      </c>
      <c r="K688" s="113">
        <v>0.142236415</v>
      </c>
      <c r="L688" s="113">
        <v>0</v>
      </c>
      <c r="M688" s="113">
        <v>0.12394395800000001</v>
      </c>
      <c r="N688" s="113">
        <v>0</v>
      </c>
      <c r="O688" s="114" t="s">
        <v>597</v>
      </c>
    </row>
    <row r="689" spans="1:15" x14ac:dyDescent="0.25">
      <c r="A689" s="113" t="s">
        <v>55</v>
      </c>
      <c r="B689" s="113" t="s">
        <v>92</v>
      </c>
      <c r="C689" s="113">
        <v>-240</v>
      </c>
      <c r="D689" s="113">
        <v>-101.001</v>
      </c>
      <c r="E689" s="113">
        <v>1</v>
      </c>
      <c r="F689" s="113" t="s">
        <v>23</v>
      </c>
      <c r="G689" s="113" t="s">
        <v>23</v>
      </c>
      <c r="H689" s="113">
        <v>0</v>
      </c>
      <c r="I689" s="113">
        <v>0</v>
      </c>
      <c r="K689" s="113">
        <v>0.60401860600000001</v>
      </c>
      <c r="L689" s="113">
        <v>0</v>
      </c>
      <c r="M689" s="113">
        <v>0.58767516900000005</v>
      </c>
      <c r="N689" s="113">
        <v>0</v>
      </c>
      <c r="O689" s="114" t="s">
        <v>598</v>
      </c>
    </row>
    <row r="690" spans="1:15" x14ac:dyDescent="0.25">
      <c r="A690" s="113" t="s">
        <v>55</v>
      </c>
      <c r="B690" s="113" t="s">
        <v>92</v>
      </c>
      <c r="C690" s="113">
        <v>-101</v>
      </c>
      <c r="D690" s="113">
        <v>371</v>
      </c>
      <c r="E690" s="113">
        <v>0.1</v>
      </c>
      <c r="F690" s="113" t="s">
        <v>23</v>
      </c>
      <c r="G690" s="113" t="s">
        <v>23</v>
      </c>
      <c r="H690" s="113">
        <v>0</v>
      </c>
      <c r="I690" s="113">
        <v>0</v>
      </c>
      <c r="K690" s="113">
        <v>9.0241070000000007E-2</v>
      </c>
      <c r="L690" s="113">
        <v>0</v>
      </c>
      <c r="M690" s="113">
        <v>6.8695223999999999E-2</v>
      </c>
      <c r="N690" s="113">
        <v>0</v>
      </c>
      <c r="O690" s="114" t="s">
        <v>599</v>
      </c>
    </row>
    <row r="691" spans="1:15" x14ac:dyDescent="0.25">
      <c r="A691" s="113" t="s">
        <v>55</v>
      </c>
      <c r="B691" s="113" t="s">
        <v>92</v>
      </c>
      <c r="C691" s="113">
        <v>-101</v>
      </c>
      <c r="D691" s="113">
        <v>371</v>
      </c>
      <c r="E691" s="113">
        <v>1</v>
      </c>
      <c r="F691" s="113" t="s">
        <v>23</v>
      </c>
      <c r="G691" s="113" t="s">
        <v>23</v>
      </c>
      <c r="H691" s="113">
        <v>0</v>
      </c>
      <c r="I691" s="113">
        <v>0</v>
      </c>
      <c r="K691" s="113">
        <v>0.59026833000000001</v>
      </c>
      <c r="L691" s="113">
        <v>0</v>
      </c>
      <c r="M691" s="113">
        <v>0.57854907600000005</v>
      </c>
      <c r="N691" s="113">
        <v>0</v>
      </c>
      <c r="O691" s="114" t="s">
        <v>600</v>
      </c>
    </row>
    <row r="692" spans="1:15" x14ac:dyDescent="0.25">
      <c r="A692" s="113" t="s">
        <v>55</v>
      </c>
      <c r="B692" s="113" t="s">
        <v>92</v>
      </c>
      <c r="C692" s="113">
        <v>371.00099999999998</v>
      </c>
      <c r="D692" s="113">
        <v>816</v>
      </c>
      <c r="E692" s="113">
        <v>0.1</v>
      </c>
      <c r="F692" s="113" t="s">
        <v>23</v>
      </c>
      <c r="G692" s="113" t="s">
        <v>23</v>
      </c>
      <c r="H692" s="113">
        <v>0</v>
      </c>
      <c r="I692" s="113">
        <v>0</v>
      </c>
      <c r="K692" s="113">
        <v>8.1513450000000001E-2</v>
      </c>
      <c r="L692" s="113">
        <v>0</v>
      </c>
      <c r="M692" s="113">
        <v>6.9463811E-2</v>
      </c>
      <c r="N692" s="113">
        <v>0</v>
      </c>
      <c r="O692" s="114" t="s">
        <v>601</v>
      </c>
    </row>
    <row r="693" spans="1:15" x14ac:dyDescent="0.25">
      <c r="A693" s="113" t="s">
        <v>55</v>
      </c>
      <c r="B693" s="113" t="s">
        <v>92</v>
      </c>
      <c r="C693" s="113">
        <v>371.00099999999998</v>
      </c>
      <c r="D693" s="113">
        <v>816</v>
      </c>
      <c r="E693" s="113">
        <v>1</v>
      </c>
      <c r="F693" s="113" t="s">
        <v>23</v>
      </c>
      <c r="G693" s="113" t="s">
        <v>23</v>
      </c>
      <c r="H693" s="113">
        <v>0</v>
      </c>
      <c r="I693" s="113">
        <v>0</v>
      </c>
      <c r="K693" s="113">
        <v>0.58489495400000002</v>
      </c>
      <c r="L693" s="113">
        <v>0</v>
      </c>
      <c r="M693" s="113">
        <v>0.57864083899999996</v>
      </c>
      <c r="N693" s="113">
        <v>0</v>
      </c>
      <c r="O693" s="114" t="s">
        <v>602</v>
      </c>
    </row>
    <row r="694" spans="1:15" x14ac:dyDescent="0.25">
      <c r="A694" s="113" t="s">
        <v>55</v>
      </c>
      <c r="B694" s="113" t="s">
        <v>92</v>
      </c>
      <c r="C694" s="113">
        <v>816.00099999999998</v>
      </c>
      <c r="D694" s="113">
        <v>1300</v>
      </c>
      <c r="E694" s="113">
        <v>0.1</v>
      </c>
      <c r="F694" s="113" t="s">
        <v>23</v>
      </c>
      <c r="G694" s="113" t="s">
        <v>23</v>
      </c>
      <c r="H694" s="113">
        <v>0</v>
      </c>
      <c r="I694" s="113">
        <v>0</v>
      </c>
      <c r="K694" s="113">
        <v>8.6273836000000007E-2</v>
      </c>
      <c r="L694" s="113">
        <v>0</v>
      </c>
      <c r="M694" s="113">
        <v>7.3915043999999999E-2</v>
      </c>
      <c r="N694" s="113">
        <v>0</v>
      </c>
      <c r="O694" s="114" t="s">
        <v>603</v>
      </c>
    </row>
    <row r="695" spans="1:15" x14ac:dyDescent="0.25">
      <c r="A695" s="113" t="s">
        <v>55</v>
      </c>
      <c r="B695" s="113" t="s">
        <v>92</v>
      </c>
      <c r="C695" s="113">
        <v>816.00099999999998</v>
      </c>
      <c r="D695" s="113">
        <v>1300</v>
      </c>
      <c r="E695" s="113">
        <v>1</v>
      </c>
      <c r="F695" s="113" t="s">
        <v>23</v>
      </c>
      <c r="G695" s="113" t="s">
        <v>23</v>
      </c>
      <c r="H695" s="113">
        <v>0</v>
      </c>
      <c r="I695" s="113">
        <v>0</v>
      </c>
      <c r="K695" s="113">
        <v>0.58598839400000002</v>
      </c>
      <c r="L695" s="113">
        <v>0</v>
      </c>
      <c r="M695" s="113">
        <v>0.57919205200000001</v>
      </c>
      <c r="N695" s="113">
        <v>0</v>
      </c>
      <c r="O695" s="114" t="s">
        <v>604</v>
      </c>
    </row>
    <row r="696" spans="1:15" x14ac:dyDescent="0.25">
      <c r="A696" s="113" t="s">
        <v>55</v>
      </c>
      <c r="B696" s="113" t="s">
        <v>96</v>
      </c>
      <c r="C696" s="113">
        <v>-195.6</v>
      </c>
      <c r="D696" s="113">
        <v>0</v>
      </c>
      <c r="E696" s="113">
        <v>0.01</v>
      </c>
      <c r="F696" s="113" t="s">
        <v>23</v>
      </c>
      <c r="G696" s="113" t="s">
        <v>23</v>
      </c>
      <c r="H696" s="113">
        <v>0</v>
      </c>
      <c r="I696" s="113">
        <v>0</v>
      </c>
      <c r="K696" s="113">
        <v>8.4850399999999992E-3</v>
      </c>
      <c r="L696" s="113">
        <v>0</v>
      </c>
      <c r="M696" s="113">
        <v>7.6317240000000003E-3</v>
      </c>
      <c r="N696" s="113">
        <v>0</v>
      </c>
      <c r="O696" s="114" t="s">
        <v>580</v>
      </c>
    </row>
    <row r="697" spans="1:15" x14ac:dyDescent="0.25">
      <c r="A697" s="113" t="s">
        <v>55</v>
      </c>
      <c r="B697" s="113" t="s">
        <v>96</v>
      </c>
      <c r="C697" s="113">
        <v>-195.6</v>
      </c>
      <c r="D697" s="113">
        <v>0</v>
      </c>
      <c r="E697" s="113">
        <v>0.1</v>
      </c>
      <c r="F697" s="113" t="s">
        <v>23</v>
      </c>
      <c r="G697" s="113" t="s">
        <v>23</v>
      </c>
      <c r="H697" s="113">
        <v>0</v>
      </c>
      <c r="I697" s="113">
        <v>0</v>
      </c>
      <c r="K697" s="113">
        <v>5.8423059999999999E-2</v>
      </c>
      <c r="L697" s="113">
        <v>0</v>
      </c>
      <c r="M697" s="113">
        <v>5.7950350999999997E-2</v>
      </c>
      <c r="N697" s="113">
        <v>0</v>
      </c>
      <c r="O697" s="114" t="s">
        <v>581</v>
      </c>
    </row>
    <row r="698" spans="1:15" x14ac:dyDescent="0.25">
      <c r="A698" s="113" t="s">
        <v>55</v>
      </c>
      <c r="B698" s="113" t="s">
        <v>96</v>
      </c>
      <c r="C698" s="113">
        <v>-195.6</v>
      </c>
      <c r="D698" s="113">
        <v>0</v>
      </c>
      <c r="E698" s="113">
        <v>1</v>
      </c>
      <c r="F698" s="113" t="s">
        <v>23</v>
      </c>
      <c r="G698" s="113" t="s">
        <v>23</v>
      </c>
      <c r="H698" s="113">
        <v>0</v>
      </c>
      <c r="I698" s="113">
        <v>0</v>
      </c>
      <c r="K698" s="113">
        <v>0.57756236599999999</v>
      </c>
      <c r="L698" s="113">
        <v>0</v>
      </c>
      <c r="M698" s="113">
        <v>0.57737184100000005</v>
      </c>
      <c r="N698" s="113">
        <v>0</v>
      </c>
      <c r="O698" s="114" t="s">
        <v>582</v>
      </c>
    </row>
    <row r="699" spans="1:15" x14ac:dyDescent="0.25">
      <c r="A699" s="113" t="s">
        <v>55</v>
      </c>
      <c r="B699" s="113" t="s">
        <v>96</v>
      </c>
      <c r="C699" s="113">
        <v>1E-3</v>
      </c>
      <c r="D699" s="113">
        <v>204.44399999999999</v>
      </c>
      <c r="E699" s="113">
        <v>0.01</v>
      </c>
      <c r="F699" s="113" t="s">
        <v>23</v>
      </c>
      <c r="G699" s="113" t="s">
        <v>23</v>
      </c>
      <c r="H699" s="113">
        <v>0</v>
      </c>
      <c r="I699" s="113">
        <v>0</v>
      </c>
      <c r="K699" s="113">
        <v>1.0087018999999999E-2</v>
      </c>
      <c r="L699" s="113">
        <v>0</v>
      </c>
      <c r="M699" s="113">
        <v>9.380579E-3</v>
      </c>
      <c r="N699" s="113">
        <v>0</v>
      </c>
      <c r="O699" s="114" t="s">
        <v>583</v>
      </c>
    </row>
    <row r="700" spans="1:15" x14ac:dyDescent="0.25">
      <c r="A700" s="113" t="s">
        <v>55</v>
      </c>
      <c r="B700" s="113" t="s">
        <v>96</v>
      </c>
      <c r="C700" s="113">
        <v>1E-3</v>
      </c>
      <c r="D700" s="113">
        <v>204.44399999999999</v>
      </c>
      <c r="E700" s="113">
        <v>0.1</v>
      </c>
      <c r="F700" s="113" t="s">
        <v>23</v>
      </c>
      <c r="G700" s="113" t="s">
        <v>23</v>
      </c>
      <c r="H700" s="113">
        <v>0</v>
      </c>
      <c r="I700" s="113">
        <v>0</v>
      </c>
      <c r="K700" s="113">
        <v>5.8677133999999999E-2</v>
      </c>
      <c r="L700" s="113">
        <v>0</v>
      </c>
      <c r="M700" s="113">
        <v>5.8206488000000001E-2</v>
      </c>
      <c r="N700" s="113">
        <v>0</v>
      </c>
      <c r="O700" s="114" t="s">
        <v>584</v>
      </c>
    </row>
    <row r="701" spans="1:15" x14ac:dyDescent="0.25">
      <c r="A701" s="113" t="s">
        <v>55</v>
      </c>
      <c r="B701" s="113" t="s">
        <v>96</v>
      </c>
      <c r="C701" s="113">
        <v>1E-3</v>
      </c>
      <c r="D701" s="113">
        <v>204.44399999999999</v>
      </c>
      <c r="E701" s="113">
        <v>1</v>
      </c>
      <c r="F701" s="113" t="s">
        <v>23</v>
      </c>
      <c r="G701" s="113" t="s">
        <v>23</v>
      </c>
      <c r="H701" s="113">
        <v>0</v>
      </c>
      <c r="I701" s="113">
        <v>0</v>
      </c>
      <c r="K701" s="113">
        <v>0.57758812199999998</v>
      </c>
      <c r="L701" s="113">
        <v>0</v>
      </c>
      <c r="M701" s="113">
        <v>0.57739760600000001</v>
      </c>
      <c r="N701" s="113">
        <v>0</v>
      </c>
      <c r="O701" s="114" t="s">
        <v>585</v>
      </c>
    </row>
    <row r="702" spans="1:15" x14ac:dyDescent="0.25">
      <c r="A702" s="113" t="s">
        <v>55</v>
      </c>
      <c r="B702" s="113" t="s">
        <v>96</v>
      </c>
      <c r="C702" s="113">
        <v>204.44499999999999</v>
      </c>
      <c r="D702" s="113">
        <v>426.66699999999997</v>
      </c>
      <c r="E702" s="113">
        <v>0.01</v>
      </c>
      <c r="F702" s="113" t="s">
        <v>23</v>
      </c>
      <c r="G702" s="113" t="s">
        <v>23</v>
      </c>
      <c r="H702" s="113">
        <v>0</v>
      </c>
      <c r="I702" s="113">
        <v>0</v>
      </c>
      <c r="K702" s="113">
        <v>1.2329109E-2</v>
      </c>
      <c r="L702" s="113">
        <v>0</v>
      </c>
      <c r="M702" s="113">
        <v>1.1525970999999999E-2</v>
      </c>
      <c r="N702" s="113">
        <v>0</v>
      </c>
      <c r="O702" s="114" t="s">
        <v>586</v>
      </c>
    </row>
    <row r="703" spans="1:15" x14ac:dyDescent="0.25">
      <c r="A703" s="113" t="s">
        <v>55</v>
      </c>
      <c r="B703" s="113" t="s">
        <v>96</v>
      </c>
      <c r="C703" s="113">
        <v>204.44499999999999</v>
      </c>
      <c r="D703" s="113">
        <v>426.66699999999997</v>
      </c>
      <c r="E703" s="113">
        <v>0.1</v>
      </c>
      <c r="F703" s="113" t="s">
        <v>23</v>
      </c>
      <c r="G703" s="113" t="s">
        <v>23</v>
      </c>
      <c r="H703" s="113">
        <v>0</v>
      </c>
      <c r="I703" s="113">
        <v>0</v>
      </c>
      <c r="K703" s="113">
        <v>5.9240896000000001E-2</v>
      </c>
      <c r="L703" s="113">
        <v>0</v>
      </c>
      <c r="M703" s="113">
        <v>5.8590510999999998E-2</v>
      </c>
      <c r="N703" s="113">
        <v>0</v>
      </c>
      <c r="O703" s="114" t="s">
        <v>587</v>
      </c>
    </row>
    <row r="704" spans="1:15" x14ac:dyDescent="0.25">
      <c r="A704" s="113" t="s">
        <v>55</v>
      </c>
      <c r="B704" s="113" t="s">
        <v>96</v>
      </c>
      <c r="C704" s="113">
        <v>204.44499999999999</v>
      </c>
      <c r="D704" s="113">
        <v>426.66699999999997</v>
      </c>
      <c r="E704" s="113">
        <v>1</v>
      </c>
      <c r="F704" s="113" t="s">
        <v>23</v>
      </c>
      <c r="G704" s="113" t="s">
        <v>23</v>
      </c>
      <c r="H704" s="113">
        <v>0</v>
      </c>
      <c r="I704" s="113">
        <v>0</v>
      </c>
      <c r="K704" s="113">
        <v>0.57770181799999998</v>
      </c>
      <c r="L704" s="113">
        <v>0</v>
      </c>
      <c r="M704" s="113">
        <v>0.57743644500000002</v>
      </c>
      <c r="N704" s="113">
        <v>0</v>
      </c>
      <c r="O704" s="114" t="s">
        <v>588</v>
      </c>
    </row>
    <row r="705" spans="1:15" x14ac:dyDescent="0.25">
      <c r="A705" s="113" t="s">
        <v>55</v>
      </c>
      <c r="B705" s="113" t="s">
        <v>96</v>
      </c>
      <c r="C705" s="113">
        <v>426.66800000000001</v>
      </c>
      <c r="D705" s="113">
        <v>648.88900000000001</v>
      </c>
      <c r="E705" s="113">
        <v>0.01</v>
      </c>
      <c r="F705" s="113" t="s">
        <v>23</v>
      </c>
      <c r="G705" s="113" t="s">
        <v>23</v>
      </c>
      <c r="H705" s="113">
        <v>0</v>
      </c>
      <c r="I705" s="113">
        <v>0</v>
      </c>
      <c r="K705" s="113">
        <v>1.5887353999999999E-2</v>
      </c>
      <c r="L705" s="113">
        <v>0</v>
      </c>
      <c r="M705" s="113">
        <v>1.5272493999999999E-2</v>
      </c>
      <c r="N705" s="113">
        <v>0</v>
      </c>
      <c r="O705" s="114" t="s">
        <v>589</v>
      </c>
    </row>
    <row r="706" spans="1:15" x14ac:dyDescent="0.25">
      <c r="A706" s="113" t="s">
        <v>55</v>
      </c>
      <c r="B706" s="113" t="s">
        <v>96</v>
      </c>
      <c r="C706" s="113">
        <v>426.66800000000001</v>
      </c>
      <c r="D706" s="113">
        <v>648.88900000000001</v>
      </c>
      <c r="E706" s="113">
        <v>0.1</v>
      </c>
      <c r="F706" s="113" t="s">
        <v>23</v>
      </c>
      <c r="G706" s="113" t="s">
        <v>23</v>
      </c>
      <c r="H706" s="113">
        <v>0</v>
      </c>
      <c r="I706" s="113">
        <v>0</v>
      </c>
      <c r="K706" s="113">
        <v>6.0082317000000003E-2</v>
      </c>
      <c r="L706" s="113">
        <v>0</v>
      </c>
      <c r="M706" s="113">
        <v>5.9441140000000003E-2</v>
      </c>
      <c r="N706" s="113">
        <v>0</v>
      </c>
      <c r="O706" s="114" t="s">
        <v>590</v>
      </c>
    </row>
    <row r="707" spans="1:15" x14ac:dyDescent="0.25">
      <c r="A707" s="113" t="s">
        <v>55</v>
      </c>
      <c r="B707" s="113" t="s">
        <v>96</v>
      </c>
      <c r="C707" s="113">
        <v>426.66800000000001</v>
      </c>
      <c r="D707" s="113">
        <v>648.88900000000001</v>
      </c>
      <c r="E707" s="113">
        <v>1</v>
      </c>
      <c r="F707" s="113" t="s">
        <v>23</v>
      </c>
      <c r="G707" s="113" t="s">
        <v>23</v>
      </c>
      <c r="H707" s="113">
        <v>0</v>
      </c>
      <c r="I707" s="113">
        <v>0</v>
      </c>
      <c r="K707" s="113">
        <v>0.57778870900000001</v>
      </c>
      <c r="L707" s="113">
        <v>0</v>
      </c>
      <c r="M707" s="113">
        <v>0.57752337499999995</v>
      </c>
      <c r="N707" s="113">
        <v>0</v>
      </c>
      <c r="O707" s="114" t="s">
        <v>591</v>
      </c>
    </row>
    <row r="708" spans="1:15" x14ac:dyDescent="0.25">
      <c r="A708" s="113" t="s">
        <v>55</v>
      </c>
      <c r="B708" s="113" t="s">
        <v>96</v>
      </c>
      <c r="C708" s="113">
        <v>648.89</v>
      </c>
      <c r="D708" s="113">
        <v>850</v>
      </c>
      <c r="E708" s="113">
        <v>0.01</v>
      </c>
      <c r="F708" s="113" t="s">
        <v>23</v>
      </c>
      <c r="G708" s="113" t="s">
        <v>23</v>
      </c>
      <c r="H708" s="113">
        <v>0</v>
      </c>
      <c r="I708" s="113">
        <v>0</v>
      </c>
      <c r="K708" s="113">
        <v>1.9744199E-2</v>
      </c>
      <c r="L708" s="113">
        <v>0</v>
      </c>
      <c r="M708" s="113">
        <v>1.8879818999999999E-2</v>
      </c>
      <c r="N708" s="113">
        <v>0</v>
      </c>
      <c r="O708" s="114" t="s">
        <v>592</v>
      </c>
    </row>
    <row r="709" spans="1:15" x14ac:dyDescent="0.25">
      <c r="A709" s="113" t="s">
        <v>55</v>
      </c>
      <c r="B709" s="113" t="s">
        <v>96</v>
      </c>
      <c r="C709" s="113">
        <v>648.89</v>
      </c>
      <c r="D709" s="113">
        <v>850</v>
      </c>
      <c r="E709" s="113">
        <v>0.1</v>
      </c>
      <c r="F709" s="113" t="s">
        <v>23</v>
      </c>
      <c r="G709" s="113" t="s">
        <v>23</v>
      </c>
      <c r="H709" s="113">
        <v>0</v>
      </c>
      <c r="I709" s="113">
        <v>0</v>
      </c>
      <c r="K709" s="113">
        <v>6.1562903000000002E-2</v>
      </c>
      <c r="L709" s="113">
        <v>0</v>
      </c>
      <c r="M709" s="113">
        <v>6.0468567000000001E-2</v>
      </c>
      <c r="N709" s="113">
        <v>0</v>
      </c>
      <c r="O709" s="114" t="s">
        <v>593</v>
      </c>
    </row>
    <row r="710" spans="1:15" x14ac:dyDescent="0.25">
      <c r="A710" s="113" t="s">
        <v>55</v>
      </c>
      <c r="B710" s="113" t="s">
        <v>96</v>
      </c>
      <c r="C710" s="113">
        <v>648.89</v>
      </c>
      <c r="D710" s="113">
        <v>850</v>
      </c>
      <c r="E710" s="113">
        <v>1</v>
      </c>
      <c r="F710" s="113" t="s">
        <v>23</v>
      </c>
      <c r="G710" s="113" t="s">
        <v>23</v>
      </c>
      <c r="H710" s="113">
        <v>0</v>
      </c>
      <c r="I710" s="113">
        <v>0</v>
      </c>
      <c r="K710" s="113">
        <v>0.57809222500000002</v>
      </c>
      <c r="L710" s="113">
        <v>0</v>
      </c>
      <c r="M710" s="113">
        <v>0.57763002699999999</v>
      </c>
      <c r="N710" s="113">
        <v>0</v>
      </c>
      <c r="O710" s="114" t="s">
        <v>594</v>
      </c>
    </row>
    <row r="711" spans="1:15" x14ac:dyDescent="0.25">
      <c r="A711" s="113" t="s">
        <v>55</v>
      </c>
      <c r="B711" s="113" t="s">
        <v>97</v>
      </c>
      <c r="C711" s="113">
        <v>-195.6</v>
      </c>
      <c r="D711" s="113">
        <v>0</v>
      </c>
      <c r="E711" s="113">
        <v>0.01</v>
      </c>
      <c r="F711" s="113" t="s">
        <v>23</v>
      </c>
      <c r="G711" s="113" t="s">
        <v>23</v>
      </c>
      <c r="H711" s="113">
        <v>0</v>
      </c>
      <c r="I711" s="113">
        <v>0</v>
      </c>
      <c r="K711" s="113">
        <v>6.9514520000000003E-3</v>
      </c>
      <c r="L711" s="113">
        <v>0</v>
      </c>
      <c r="M711" s="113">
        <v>6.5655269999999998E-3</v>
      </c>
      <c r="N711" s="113">
        <v>0</v>
      </c>
      <c r="O711" s="114" t="s">
        <v>565</v>
      </c>
    </row>
    <row r="712" spans="1:15" x14ac:dyDescent="0.25">
      <c r="A712" s="113" t="s">
        <v>55</v>
      </c>
      <c r="B712" s="113" t="s">
        <v>97</v>
      </c>
      <c r="C712" s="113">
        <v>-195.6</v>
      </c>
      <c r="D712" s="113">
        <v>0</v>
      </c>
      <c r="E712" s="113">
        <v>0.1</v>
      </c>
      <c r="F712" s="113" t="s">
        <v>23</v>
      </c>
      <c r="G712" s="113" t="s">
        <v>23</v>
      </c>
      <c r="H712" s="113">
        <v>0</v>
      </c>
      <c r="I712" s="113">
        <v>0</v>
      </c>
      <c r="K712" s="113">
        <v>5.7999760999999997E-2</v>
      </c>
      <c r="L712" s="113">
        <v>0</v>
      </c>
      <c r="M712" s="113">
        <v>5.7819599999999999E-2</v>
      </c>
      <c r="N712" s="113">
        <v>0</v>
      </c>
      <c r="O712" s="114" t="s">
        <v>566</v>
      </c>
    </row>
    <row r="713" spans="1:15" x14ac:dyDescent="0.25">
      <c r="A713" s="113" t="s">
        <v>55</v>
      </c>
      <c r="B713" s="113" t="s">
        <v>97</v>
      </c>
      <c r="C713" s="113">
        <v>-195.6</v>
      </c>
      <c r="D713" s="113">
        <v>0</v>
      </c>
      <c r="E713" s="113">
        <v>1</v>
      </c>
      <c r="F713" s="113" t="s">
        <v>23</v>
      </c>
      <c r="G713" s="113" t="s">
        <v>23</v>
      </c>
      <c r="H713" s="113">
        <v>0</v>
      </c>
      <c r="I713" s="113">
        <v>0</v>
      </c>
      <c r="K713" s="113">
        <v>0.57743100999999997</v>
      </c>
      <c r="L713" s="113">
        <v>0</v>
      </c>
      <c r="M713" s="113">
        <v>0.57735873299999996</v>
      </c>
      <c r="N713" s="113">
        <v>0</v>
      </c>
      <c r="O713" s="114" t="s">
        <v>567</v>
      </c>
    </row>
    <row r="714" spans="1:15" x14ac:dyDescent="0.25">
      <c r="A714" s="113" t="s">
        <v>55</v>
      </c>
      <c r="B714" s="113" t="s">
        <v>97</v>
      </c>
      <c r="C714" s="113">
        <v>1E-3</v>
      </c>
      <c r="D714" s="113">
        <v>204.44399999999999</v>
      </c>
      <c r="E714" s="113">
        <v>0.01</v>
      </c>
      <c r="F714" s="113" t="s">
        <v>23</v>
      </c>
      <c r="G714" s="113" t="s">
        <v>23</v>
      </c>
      <c r="H714" s="113">
        <v>0</v>
      </c>
      <c r="I714" s="113">
        <v>0</v>
      </c>
      <c r="K714" s="113">
        <v>9.7193209999999995E-3</v>
      </c>
      <c r="L714" s="113">
        <v>0</v>
      </c>
      <c r="M714" s="113">
        <v>9.3614249999999996E-3</v>
      </c>
      <c r="N714" s="113">
        <v>0</v>
      </c>
      <c r="O714" s="114" t="s">
        <v>568</v>
      </c>
    </row>
    <row r="715" spans="1:15" x14ac:dyDescent="0.25">
      <c r="A715" s="113" t="s">
        <v>55</v>
      </c>
      <c r="B715" s="113" t="s">
        <v>97</v>
      </c>
      <c r="C715" s="113">
        <v>1E-3</v>
      </c>
      <c r="D715" s="113">
        <v>204.44399999999999</v>
      </c>
      <c r="E715" s="113">
        <v>0.1</v>
      </c>
      <c r="F715" s="113" t="s">
        <v>23</v>
      </c>
      <c r="G715" s="113" t="s">
        <v>23</v>
      </c>
      <c r="H715" s="113">
        <v>0</v>
      </c>
      <c r="I715" s="113">
        <v>0</v>
      </c>
      <c r="K715" s="113">
        <v>5.8437589999999998E-2</v>
      </c>
      <c r="L715" s="113">
        <v>0</v>
      </c>
      <c r="M715" s="113">
        <v>5.8203404E-2</v>
      </c>
      <c r="N715" s="113">
        <v>0</v>
      </c>
      <c r="O715" s="114" t="s">
        <v>569</v>
      </c>
    </row>
    <row r="716" spans="1:15" x14ac:dyDescent="0.25">
      <c r="A716" s="113" t="s">
        <v>55</v>
      </c>
      <c r="B716" s="113" t="s">
        <v>97</v>
      </c>
      <c r="C716" s="113">
        <v>1E-3</v>
      </c>
      <c r="D716" s="113">
        <v>204.44399999999999</v>
      </c>
      <c r="E716" s="113">
        <v>1</v>
      </c>
      <c r="F716" s="113" t="s">
        <v>23</v>
      </c>
      <c r="G716" s="113" t="s">
        <v>23</v>
      </c>
      <c r="H716" s="113">
        <v>0</v>
      </c>
      <c r="I716" s="113">
        <v>0</v>
      </c>
      <c r="K716" s="113">
        <v>0.57749190399999994</v>
      </c>
      <c r="L716" s="113">
        <v>0</v>
      </c>
      <c r="M716" s="113">
        <v>0.57739729500000003</v>
      </c>
      <c r="N716" s="113">
        <v>0</v>
      </c>
      <c r="O716" s="114" t="s">
        <v>570</v>
      </c>
    </row>
    <row r="717" spans="1:15" x14ac:dyDescent="0.25">
      <c r="A717" s="113" t="s">
        <v>55</v>
      </c>
      <c r="B717" s="113" t="s">
        <v>97</v>
      </c>
      <c r="C717" s="113">
        <v>204.44499999999999</v>
      </c>
      <c r="D717" s="113">
        <v>426.66699999999997</v>
      </c>
      <c r="E717" s="113">
        <v>0.01</v>
      </c>
      <c r="F717" s="113" t="s">
        <v>23</v>
      </c>
      <c r="G717" s="113" t="s">
        <v>23</v>
      </c>
      <c r="H717" s="113">
        <v>0</v>
      </c>
      <c r="I717" s="113">
        <v>0</v>
      </c>
      <c r="K717" s="113">
        <v>1.176788E-2</v>
      </c>
      <c r="L717" s="113">
        <v>0</v>
      </c>
      <c r="M717" s="113">
        <v>1.1474061000000001E-2</v>
      </c>
      <c r="N717" s="113">
        <v>0</v>
      </c>
      <c r="O717" s="114" t="s">
        <v>571</v>
      </c>
    </row>
    <row r="718" spans="1:15" x14ac:dyDescent="0.25">
      <c r="A718" s="113" t="s">
        <v>55</v>
      </c>
      <c r="B718" s="113" t="s">
        <v>97</v>
      </c>
      <c r="C718" s="113">
        <v>204.44499999999999</v>
      </c>
      <c r="D718" s="113">
        <v>426.66699999999997</v>
      </c>
      <c r="E718" s="113">
        <v>0.1</v>
      </c>
      <c r="F718" s="113" t="s">
        <v>23</v>
      </c>
      <c r="G718" s="113" t="s">
        <v>23</v>
      </c>
      <c r="H718" s="113">
        <v>0</v>
      </c>
      <c r="I718" s="113">
        <v>0</v>
      </c>
      <c r="K718" s="113">
        <v>5.8813007E-2</v>
      </c>
      <c r="L718" s="113">
        <v>0</v>
      </c>
      <c r="M718" s="113">
        <v>5.8580321999999997E-2</v>
      </c>
      <c r="N718" s="113">
        <v>0</v>
      </c>
      <c r="O718" s="114" t="s">
        <v>572</v>
      </c>
    </row>
    <row r="719" spans="1:15" x14ac:dyDescent="0.25">
      <c r="A719" s="113" t="s">
        <v>55</v>
      </c>
      <c r="B719" s="113" t="s">
        <v>97</v>
      </c>
      <c r="C719" s="113">
        <v>204.44499999999999</v>
      </c>
      <c r="D719" s="113">
        <v>426.66699999999997</v>
      </c>
      <c r="E719" s="113">
        <v>1</v>
      </c>
      <c r="F719" s="113" t="s">
        <v>23</v>
      </c>
      <c r="G719" s="113" t="s">
        <v>23</v>
      </c>
      <c r="H719" s="113">
        <v>0</v>
      </c>
      <c r="I719" s="113">
        <v>0</v>
      </c>
      <c r="K719" s="113">
        <v>0.57753001400000004</v>
      </c>
      <c r="L719" s="113">
        <v>0</v>
      </c>
      <c r="M719" s="113">
        <v>0.57743541099999995</v>
      </c>
      <c r="N719" s="113">
        <v>0</v>
      </c>
      <c r="O719" s="114" t="s">
        <v>573</v>
      </c>
    </row>
    <row r="720" spans="1:15" x14ac:dyDescent="0.25">
      <c r="A720" s="113" t="s">
        <v>55</v>
      </c>
      <c r="B720" s="113" t="s">
        <v>97</v>
      </c>
      <c r="C720" s="113">
        <v>426.66800000000001</v>
      </c>
      <c r="D720" s="113">
        <v>648.88900000000001</v>
      </c>
      <c r="E720" s="113">
        <v>0.01</v>
      </c>
      <c r="F720" s="113" t="s">
        <v>23</v>
      </c>
      <c r="G720" s="113" t="s">
        <v>23</v>
      </c>
      <c r="H720" s="113">
        <v>0</v>
      </c>
      <c r="I720" s="113">
        <v>0</v>
      </c>
      <c r="K720" s="113">
        <v>1.5791868000000001E-2</v>
      </c>
      <c r="L720" s="113">
        <v>0</v>
      </c>
      <c r="M720" s="113">
        <v>1.517314E-2</v>
      </c>
      <c r="N720" s="113">
        <v>0</v>
      </c>
      <c r="O720" s="114" t="s">
        <v>574</v>
      </c>
    </row>
    <row r="721" spans="1:15" x14ac:dyDescent="0.25">
      <c r="A721" s="113" t="s">
        <v>55</v>
      </c>
      <c r="B721" s="113" t="s">
        <v>97</v>
      </c>
      <c r="C721" s="113">
        <v>426.66800000000001</v>
      </c>
      <c r="D721" s="113">
        <v>648.88900000000001</v>
      </c>
      <c r="E721" s="113">
        <v>0.1</v>
      </c>
      <c r="F721" s="113" t="s">
        <v>23</v>
      </c>
      <c r="G721" s="113" t="s">
        <v>23</v>
      </c>
      <c r="H721" s="113">
        <v>0</v>
      </c>
      <c r="I721" s="113">
        <v>0</v>
      </c>
      <c r="K721" s="113">
        <v>6.0057138000000003E-2</v>
      </c>
      <c r="L721" s="113">
        <v>0</v>
      </c>
      <c r="M721" s="113">
        <v>5.941569E-2</v>
      </c>
      <c r="N721" s="113">
        <v>0</v>
      </c>
      <c r="O721" s="114" t="s">
        <v>575</v>
      </c>
    </row>
    <row r="722" spans="1:15" x14ac:dyDescent="0.25">
      <c r="A722" s="113" t="s">
        <v>55</v>
      </c>
      <c r="B722" s="113" t="s">
        <v>97</v>
      </c>
      <c r="C722" s="113">
        <v>426.66800000000001</v>
      </c>
      <c r="D722" s="113">
        <v>648.88900000000001</v>
      </c>
      <c r="E722" s="113">
        <v>1</v>
      </c>
      <c r="F722" s="113" t="s">
        <v>23</v>
      </c>
      <c r="G722" s="113" t="s">
        <v>23</v>
      </c>
      <c r="H722" s="113">
        <v>0</v>
      </c>
      <c r="I722" s="113">
        <v>0</v>
      </c>
      <c r="K722" s="113">
        <v>0.577786091</v>
      </c>
      <c r="L722" s="113">
        <v>0</v>
      </c>
      <c r="M722" s="113">
        <v>0.57752075599999997</v>
      </c>
      <c r="N722" s="113">
        <v>0</v>
      </c>
      <c r="O722" s="114" t="s">
        <v>576</v>
      </c>
    </row>
    <row r="723" spans="1:15" x14ac:dyDescent="0.25">
      <c r="A723" s="113" t="s">
        <v>55</v>
      </c>
      <c r="B723" s="113" t="s">
        <v>97</v>
      </c>
      <c r="C723" s="113">
        <v>648.89</v>
      </c>
      <c r="D723" s="113">
        <v>850</v>
      </c>
      <c r="E723" s="113">
        <v>0.01</v>
      </c>
      <c r="F723" s="113" t="s">
        <v>23</v>
      </c>
      <c r="G723" s="113" t="s">
        <v>23</v>
      </c>
      <c r="H723" s="113">
        <v>0</v>
      </c>
      <c r="I723" s="113">
        <v>0</v>
      </c>
      <c r="K723" s="113">
        <v>1.9042103000000001E-2</v>
      </c>
      <c r="L723" s="113">
        <v>0</v>
      </c>
      <c r="M723" s="113">
        <v>1.8733275000000001E-2</v>
      </c>
      <c r="N723" s="113">
        <v>0</v>
      </c>
      <c r="O723" s="114" t="s">
        <v>577</v>
      </c>
    </row>
    <row r="724" spans="1:15" x14ac:dyDescent="0.25">
      <c r="A724" s="113" t="s">
        <v>55</v>
      </c>
      <c r="B724" s="113" t="s">
        <v>97</v>
      </c>
      <c r="C724" s="113">
        <v>648.89</v>
      </c>
      <c r="D724" s="113">
        <v>850</v>
      </c>
      <c r="E724" s="113">
        <v>0.1</v>
      </c>
      <c r="F724" s="113" t="s">
        <v>23</v>
      </c>
      <c r="G724" s="113" t="s">
        <v>23</v>
      </c>
      <c r="H724" s="113">
        <v>0</v>
      </c>
      <c r="I724" s="113">
        <v>0</v>
      </c>
      <c r="K724" s="113">
        <v>6.0807893000000002E-2</v>
      </c>
      <c r="L724" s="113">
        <v>0</v>
      </c>
      <c r="M724" s="113">
        <v>6.0422971999999998E-2</v>
      </c>
      <c r="N724" s="113">
        <v>0</v>
      </c>
      <c r="O724" s="114" t="s">
        <v>578</v>
      </c>
    </row>
    <row r="725" spans="1:15" x14ac:dyDescent="0.25">
      <c r="A725" s="113" t="s">
        <v>55</v>
      </c>
      <c r="B725" s="113" t="s">
        <v>97</v>
      </c>
      <c r="C725" s="113">
        <v>648.89</v>
      </c>
      <c r="D725" s="113">
        <v>850</v>
      </c>
      <c r="E725" s="113">
        <v>1</v>
      </c>
      <c r="F725" s="113" t="s">
        <v>23</v>
      </c>
      <c r="G725" s="113" t="s">
        <v>23</v>
      </c>
      <c r="H725" s="113">
        <v>0</v>
      </c>
      <c r="I725" s="113">
        <v>0</v>
      </c>
      <c r="K725" s="113">
        <v>0.57778680599999999</v>
      </c>
      <c r="L725" s="113">
        <v>0</v>
      </c>
      <c r="M725" s="113">
        <v>0.57762525499999995</v>
      </c>
      <c r="N725" s="113">
        <v>0</v>
      </c>
      <c r="O725" s="114" t="s">
        <v>579</v>
      </c>
    </row>
    <row r="726" spans="1:15" x14ac:dyDescent="0.25">
      <c r="A726" s="113" t="s">
        <v>55</v>
      </c>
      <c r="B726" s="113" t="s">
        <v>93</v>
      </c>
      <c r="C726" s="113">
        <v>-50</v>
      </c>
      <c r="D726" s="113">
        <v>-1E-3</v>
      </c>
      <c r="E726" s="113">
        <v>0.1</v>
      </c>
      <c r="F726" s="113" t="s">
        <v>23</v>
      </c>
      <c r="G726" s="113" t="s">
        <v>23</v>
      </c>
      <c r="H726" s="113">
        <v>0</v>
      </c>
      <c r="I726" s="113">
        <v>0</v>
      </c>
      <c r="K726" s="113">
        <v>0.150846182</v>
      </c>
      <c r="L726" s="113">
        <v>0</v>
      </c>
      <c r="M726" s="113">
        <v>0.13393649299999999</v>
      </c>
      <c r="N726" s="113">
        <v>0</v>
      </c>
      <c r="O726" s="114" t="s">
        <v>557</v>
      </c>
    </row>
    <row r="727" spans="1:15" x14ac:dyDescent="0.25">
      <c r="A727" s="113" t="s">
        <v>55</v>
      </c>
      <c r="B727" s="113" t="s">
        <v>93</v>
      </c>
      <c r="C727" s="113">
        <v>-50</v>
      </c>
      <c r="D727" s="113">
        <v>-1E-3</v>
      </c>
      <c r="E727" s="113">
        <v>1</v>
      </c>
      <c r="F727" s="113" t="s">
        <v>23</v>
      </c>
      <c r="G727" s="113" t="s">
        <v>23</v>
      </c>
      <c r="H727" s="113">
        <v>0</v>
      </c>
      <c r="I727" s="113">
        <v>0</v>
      </c>
      <c r="K727" s="113">
        <v>0.605971394</v>
      </c>
      <c r="L727" s="113">
        <v>0</v>
      </c>
      <c r="M727" s="113">
        <v>0.58986353000000002</v>
      </c>
      <c r="N727" s="113">
        <v>0</v>
      </c>
      <c r="O727" s="114" t="s">
        <v>558</v>
      </c>
    </row>
    <row r="728" spans="1:15" x14ac:dyDescent="0.25">
      <c r="A728" s="113" t="s">
        <v>55</v>
      </c>
      <c r="B728" s="113" t="s">
        <v>93</v>
      </c>
      <c r="C728" s="113">
        <v>0</v>
      </c>
      <c r="D728" s="113">
        <v>593</v>
      </c>
      <c r="E728" s="113">
        <v>0.1</v>
      </c>
      <c r="F728" s="113" t="s">
        <v>23</v>
      </c>
      <c r="G728" s="113" t="s">
        <v>23</v>
      </c>
      <c r="H728" s="113">
        <v>0</v>
      </c>
      <c r="I728" s="113">
        <v>0</v>
      </c>
      <c r="K728" s="113">
        <v>0.11485242499999999</v>
      </c>
      <c r="L728" s="113">
        <v>0</v>
      </c>
      <c r="M728" s="113">
        <v>9.1517720999999996E-2</v>
      </c>
      <c r="N728" s="113">
        <v>0</v>
      </c>
      <c r="O728" s="114" t="s">
        <v>559</v>
      </c>
    </row>
    <row r="729" spans="1:15" x14ac:dyDescent="0.25">
      <c r="A729" s="113" t="s">
        <v>55</v>
      </c>
      <c r="B729" s="113" t="s">
        <v>93</v>
      </c>
      <c r="C729" s="113">
        <v>0</v>
      </c>
      <c r="D729" s="113">
        <v>593</v>
      </c>
      <c r="E729" s="113">
        <v>1</v>
      </c>
      <c r="F729" s="113" t="s">
        <v>23</v>
      </c>
      <c r="G729" s="113" t="s">
        <v>23</v>
      </c>
      <c r="H729" s="113">
        <v>0</v>
      </c>
      <c r="I729" s="113">
        <v>0</v>
      </c>
      <c r="K729" s="113">
        <v>0.59802829300000004</v>
      </c>
      <c r="L729" s="113">
        <v>0</v>
      </c>
      <c r="M729" s="113">
        <v>0.581700518</v>
      </c>
      <c r="N729" s="113">
        <v>0</v>
      </c>
      <c r="O729" s="114" t="s">
        <v>560</v>
      </c>
    </row>
    <row r="730" spans="1:15" x14ac:dyDescent="0.25">
      <c r="A730" s="113" t="s">
        <v>55</v>
      </c>
      <c r="B730" s="113" t="s">
        <v>93</v>
      </c>
      <c r="C730" s="113">
        <v>593.00099999999998</v>
      </c>
      <c r="D730" s="113">
        <v>1204</v>
      </c>
      <c r="E730" s="113">
        <v>0.1</v>
      </c>
      <c r="F730" s="113" t="s">
        <v>23</v>
      </c>
      <c r="G730" s="113" t="s">
        <v>23</v>
      </c>
      <c r="H730" s="113">
        <v>0</v>
      </c>
      <c r="I730" s="113">
        <v>0</v>
      </c>
      <c r="K730" s="113">
        <v>0.100632445</v>
      </c>
      <c r="L730" s="113">
        <v>0</v>
      </c>
      <c r="M730" s="113">
        <v>7.7848530999999999E-2</v>
      </c>
      <c r="N730" s="113">
        <v>0</v>
      </c>
      <c r="O730" s="114" t="s">
        <v>561</v>
      </c>
    </row>
    <row r="731" spans="1:15" x14ac:dyDescent="0.25">
      <c r="A731" s="113" t="s">
        <v>55</v>
      </c>
      <c r="B731" s="113" t="s">
        <v>93</v>
      </c>
      <c r="C731" s="113">
        <v>593.00099999999998</v>
      </c>
      <c r="D731" s="113">
        <v>1204</v>
      </c>
      <c r="E731" s="113">
        <v>1</v>
      </c>
      <c r="F731" s="113" t="s">
        <v>23</v>
      </c>
      <c r="G731" s="113" t="s">
        <v>23</v>
      </c>
      <c r="H731" s="113">
        <v>0</v>
      </c>
      <c r="I731" s="113">
        <v>0</v>
      </c>
      <c r="K731" s="113">
        <v>0.59357086699999995</v>
      </c>
      <c r="L731" s="113">
        <v>0</v>
      </c>
      <c r="M731" s="113">
        <v>0.57970716200000005</v>
      </c>
      <c r="N731" s="113">
        <v>0</v>
      </c>
      <c r="O731" s="114" t="s">
        <v>562</v>
      </c>
    </row>
    <row r="732" spans="1:15" x14ac:dyDescent="0.25">
      <c r="A732" s="113" t="s">
        <v>55</v>
      </c>
      <c r="B732" s="113" t="s">
        <v>93</v>
      </c>
      <c r="C732" s="113">
        <v>1204.001</v>
      </c>
      <c r="D732" s="113">
        <v>1768</v>
      </c>
      <c r="E732" s="113">
        <v>0.1</v>
      </c>
      <c r="F732" s="113" t="s">
        <v>23</v>
      </c>
      <c r="G732" s="113" t="s">
        <v>23</v>
      </c>
      <c r="H732" s="113">
        <v>0</v>
      </c>
      <c r="I732" s="113">
        <v>0</v>
      </c>
      <c r="K732" s="113">
        <v>0.108719156</v>
      </c>
      <c r="L732" s="113">
        <v>0</v>
      </c>
      <c r="M732" s="113">
        <v>8.8053164000000003E-2</v>
      </c>
      <c r="N732" s="113">
        <v>0</v>
      </c>
      <c r="O732" s="114" t="s">
        <v>563</v>
      </c>
    </row>
    <row r="733" spans="1:15" x14ac:dyDescent="0.25">
      <c r="A733" s="113" t="s">
        <v>55</v>
      </c>
      <c r="B733" s="113" t="s">
        <v>93</v>
      </c>
      <c r="C733" s="113">
        <v>1204.001</v>
      </c>
      <c r="D733" s="113">
        <v>1768</v>
      </c>
      <c r="E733" s="113">
        <v>1</v>
      </c>
      <c r="F733" s="113" t="s">
        <v>23</v>
      </c>
      <c r="G733" s="113" t="s">
        <v>23</v>
      </c>
      <c r="H733" s="113">
        <v>0</v>
      </c>
      <c r="I733" s="113">
        <v>0</v>
      </c>
      <c r="K733" s="113">
        <v>0.59499524400000003</v>
      </c>
      <c r="L733" s="113">
        <v>0</v>
      </c>
      <c r="M733" s="113">
        <v>0.58116551800000005</v>
      </c>
      <c r="N733" s="113">
        <v>0</v>
      </c>
      <c r="O733" s="114" t="s">
        <v>564</v>
      </c>
    </row>
    <row r="734" spans="1:15" x14ac:dyDescent="0.25">
      <c r="A734" s="113" t="s">
        <v>55</v>
      </c>
      <c r="B734" s="113" t="s">
        <v>94</v>
      </c>
      <c r="C734" s="113">
        <v>-50</v>
      </c>
      <c r="D734" s="113">
        <v>-1E-3</v>
      </c>
      <c r="E734" s="113">
        <v>0.1</v>
      </c>
      <c r="F734" s="113" t="s">
        <v>23</v>
      </c>
      <c r="G734" s="113" t="s">
        <v>23</v>
      </c>
      <c r="H734" s="113">
        <v>0</v>
      </c>
      <c r="I734" s="113">
        <v>0</v>
      </c>
      <c r="K734" s="113">
        <v>0.13149422599999999</v>
      </c>
      <c r="L734" s="113">
        <v>0</v>
      </c>
      <c r="M734" s="113">
        <v>0.111692189</v>
      </c>
      <c r="N734" s="113">
        <v>0</v>
      </c>
      <c r="O734" s="114" t="s">
        <v>549</v>
      </c>
    </row>
    <row r="735" spans="1:15" x14ac:dyDescent="0.25">
      <c r="A735" s="113" t="s">
        <v>55</v>
      </c>
      <c r="B735" s="113" t="s">
        <v>94</v>
      </c>
      <c r="C735" s="113">
        <v>-50</v>
      </c>
      <c r="D735" s="113">
        <v>-1E-3</v>
      </c>
      <c r="E735" s="113">
        <v>1</v>
      </c>
      <c r="F735" s="113" t="s">
        <v>23</v>
      </c>
      <c r="G735" s="113" t="s">
        <v>23</v>
      </c>
      <c r="H735" s="113">
        <v>0</v>
      </c>
      <c r="I735" s="113">
        <v>0</v>
      </c>
      <c r="K735" s="113">
        <v>0.601446166</v>
      </c>
      <c r="L735" s="113">
        <v>0</v>
      </c>
      <c r="M735" s="113">
        <v>0.58521376000000003</v>
      </c>
      <c r="N735" s="113">
        <v>0</v>
      </c>
      <c r="O735" s="114" t="s">
        <v>550</v>
      </c>
    </row>
    <row r="736" spans="1:15" x14ac:dyDescent="0.25">
      <c r="A736" s="113" t="s">
        <v>55</v>
      </c>
      <c r="B736" s="113" t="s">
        <v>94</v>
      </c>
      <c r="C736" s="113">
        <v>0</v>
      </c>
      <c r="D736" s="113">
        <v>593</v>
      </c>
      <c r="E736" s="113">
        <v>0.1</v>
      </c>
      <c r="F736" s="113" t="s">
        <v>23</v>
      </c>
      <c r="G736" s="113" t="s">
        <v>23</v>
      </c>
      <c r="H736" s="113">
        <v>0</v>
      </c>
      <c r="I736" s="113">
        <v>0</v>
      </c>
      <c r="K736" s="113">
        <v>0.109757297</v>
      </c>
      <c r="L736" s="113">
        <v>0</v>
      </c>
      <c r="M736" s="113">
        <v>8.5662658000000003E-2</v>
      </c>
      <c r="N736" s="113">
        <v>0</v>
      </c>
      <c r="O736" s="114" t="s">
        <v>551</v>
      </c>
    </row>
    <row r="737" spans="1:15" x14ac:dyDescent="0.25">
      <c r="A737" s="113" t="s">
        <v>55</v>
      </c>
      <c r="B737" s="113" t="s">
        <v>94</v>
      </c>
      <c r="C737" s="113">
        <v>0</v>
      </c>
      <c r="D737" s="113">
        <v>593</v>
      </c>
      <c r="E737" s="113">
        <v>1</v>
      </c>
      <c r="F737" s="113" t="s">
        <v>23</v>
      </c>
      <c r="G737" s="113" t="s">
        <v>23</v>
      </c>
      <c r="H737" s="113">
        <v>0</v>
      </c>
      <c r="I737" s="113">
        <v>0</v>
      </c>
      <c r="K737" s="113">
        <v>0.59680179700000002</v>
      </c>
      <c r="L737" s="113">
        <v>0</v>
      </c>
      <c r="M737" s="113">
        <v>0.58080813600000003</v>
      </c>
      <c r="N737" s="113">
        <v>0</v>
      </c>
      <c r="O737" s="114" t="s">
        <v>552</v>
      </c>
    </row>
    <row r="738" spans="1:15" x14ac:dyDescent="0.25">
      <c r="A738" s="113" t="s">
        <v>55</v>
      </c>
      <c r="B738" s="113" t="s">
        <v>94</v>
      </c>
      <c r="C738" s="113">
        <v>593.00099999999998</v>
      </c>
      <c r="D738" s="113">
        <v>1204</v>
      </c>
      <c r="E738" s="113">
        <v>0.1</v>
      </c>
      <c r="F738" s="113" t="s">
        <v>23</v>
      </c>
      <c r="G738" s="113" t="s">
        <v>23</v>
      </c>
      <c r="H738" s="113">
        <v>0</v>
      </c>
      <c r="I738" s="113">
        <v>0</v>
      </c>
      <c r="K738" s="113">
        <v>0.100632445</v>
      </c>
      <c r="L738" s="113">
        <v>0</v>
      </c>
      <c r="M738" s="113">
        <v>7.9868484000000003E-2</v>
      </c>
      <c r="N738" s="113">
        <v>0</v>
      </c>
      <c r="O738" s="114" t="s">
        <v>553</v>
      </c>
    </row>
    <row r="739" spans="1:15" x14ac:dyDescent="0.25">
      <c r="A739" s="113" t="s">
        <v>55</v>
      </c>
      <c r="B739" s="113" t="s">
        <v>94</v>
      </c>
      <c r="C739" s="113">
        <v>593.00099999999998</v>
      </c>
      <c r="D739" s="113">
        <v>1204</v>
      </c>
      <c r="E739" s="113">
        <v>1</v>
      </c>
      <c r="F739" s="113" t="s">
        <v>23</v>
      </c>
      <c r="G739" s="113" t="s">
        <v>23</v>
      </c>
      <c r="H739" s="113">
        <v>0</v>
      </c>
      <c r="I739" s="113">
        <v>0</v>
      </c>
      <c r="K739" s="113">
        <v>0.59383916599999997</v>
      </c>
      <c r="L739" s="113">
        <v>0</v>
      </c>
      <c r="M739" s="113">
        <v>0.57998187400000001</v>
      </c>
      <c r="N739" s="113">
        <v>0</v>
      </c>
      <c r="O739" s="114" t="s">
        <v>554</v>
      </c>
    </row>
    <row r="740" spans="1:15" x14ac:dyDescent="0.25">
      <c r="A740" s="113" t="s">
        <v>55</v>
      </c>
      <c r="B740" s="113" t="s">
        <v>94</v>
      </c>
      <c r="C740" s="113">
        <v>1204.001</v>
      </c>
      <c r="D740" s="113">
        <v>1768</v>
      </c>
      <c r="E740" s="113">
        <v>0.1</v>
      </c>
      <c r="F740" s="113" t="s">
        <v>23</v>
      </c>
      <c r="G740" s="113" t="s">
        <v>23</v>
      </c>
      <c r="H740" s="113">
        <v>0</v>
      </c>
      <c r="I740" s="113">
        <v>0</v>
      </c>
      <c r="K740" s="113">
        <v>0.11141328</v>
      </c>
      <c r="L740" s="113">
        <v>0</v>
      </c>
      <c r="M740" s="113">
        <v>9.1358763999999995E-2</v>
      </c>
      <c r="N740" s="113">
        <v>0</v>
      </c>
      <c r="O740" s="114" t="s">
        <v>555</v>
      </c>
    </row>
    <row r="741" spans="1:15" x14ac:dyDescent="0.25">
      <c r="A741" s="113" t="s">
        <v>55</v>
      </c>
      <c r="B741" s="113" t="s">
        <v>94</v>
      </c>
      <c r="C741" s="113">
        <v>1204.001</v>
      </c>
      <c r="D741" s="113">
        <v>1768</v>
      </c>
      <c r="E741" s="113">
        <v>1</v>
      </c>
      <c r="F741" s="113" t="s">
        <v>23</v>
      </c>
      <c r="G741" s="113" t="s">
        <v>23</v>
      </c>
      <c r="H741" s="113">
        <v>0</v>
      </c>
      <c r="I741" s="113">
        <v>0</v>
      </c>
      <c r="K741" s="113">
        <v>0.59549341300000003</v>
      </c>
      <c r="L741" s="113">
        <v>0</v>
      </c>
      <c r="M741" s="113">
        <v>0.58167553100000002</v>
      </c>
      <c r="N741" s="113">
        <v>0</v>
      </c>
      <c r="O741" s="114" t="s">
        <v>556</v>
      </c>
    </row>
    <row r="742" spans="1:15" x14ac:dyDescent="0.25">
      <c r="A742" s="113" t="s">
        <v>55</v>
      </c>
      <c r="B742" s="113" t="s">
        <v>95</v>
      </c>
      <c r="C742" s="113">
        <v>-270</v>
      </c>
      <c r="D742" s="113">
        <v>-240.001</v>
      </c>
      <c r="E742" s="113">
        <v>0.1</v>
      </c>
      <c r="F742" s="113" t="s">
        <v>23</v>
      </c>
      <c r="G742" s="113" t="s">
        <v>23</v>
      </c>
      <c r="H742" s="113">
        <v>0</v>
      </c>
      <c r="I742" s="113">
        <v>0</v>
      </c>
      <c r="K742" s="113">
        <v>0.24590050099999999</v>
      </c>
      <c r="L742" s="113">
        <v>0</v>
      </c>
      <c r="M742" s="113">
        <v>0.234882761</v>
      </c>
      <c r="N742" s="113">
        <v>0</v>
      </c>
      <c r="O742" s="114" t="s">
        <v>543</v>
      </c>
    </row>
    <row r="743" spans="1:15" x14ac:dyDescent="0.25">
      <c r="A743" s="113" t="s">
        <v>55</v>
      </c>
      <c r="B743" s="113" t="s">
        <v>95</v>
      </c>
      <c r="C743" s="113">
        <v>-270</v>
      </c>
      <c r="D743" s="113">
        <v>-240.001</v>
      </c>
      <c r="E743" s="113">
        <v>1</v>
      </c>
      <c r="F743" s="113" t="s">
        <v>23</v>
      </c>
      <c r="G743" s="113" t="s">
        <v>23</v>
      </c>
      <c r="H743" s="113">
        <v>0</v>
      </c>
      <c r="I743" s="113">
        <v>0</v>
      </c>
      <c r="K743" s="113">
        <v>0.63746254099999999</v>
      </c>
      <c r="L743" s="113">
        <v>0</v>
      </c>
      <c r="M743" s="113">
        <v>0.62062058600000003</v>
      </c>
      <c r="N743" s="113">
        <v>0</v>
      </c>
      <c r="O743" s="114" t="s">
        <v>544</v>
      </c>
    </row>
    <row r="744" spans="1:15" x14ac:dyDescent="0.25">
      <c r="A744" s="113" t="s">
        <v>55</v>
      </c>
      <c r="B744" s="113" t="s">
        <v>95</v>
      </c>
      <c r="C744" s="113">
        <v>-240</v>
      </c>
      <c r="D744" s="113">
        <v>92.998999999999995</v>
      </c>
      <c r="E744" s="113">
        <v>0.1</v>
      </c>
      <c r="F744" s="113" t="s">
        <v>23</v>
      </c>
      <c r="G744" s="113" t="s">
        <v>23</v>
      </c>
      <c r="H744" s="113">
        <v>0</v>
      </c>
      <c r="I744" s="113">
        <v>0</v>
      </c>
      <c r="K744" s="113">
        <v>0.108409273</v>
      </c>
      <c r="L744" s="113">
        <v>0</v>
      </c>
      <c r="M744" s="113">
        <v>8.5819788999999994E-2</v>
      </c>
      <c r="N744" s="113">
        <v>0</v>
      </c>
      <c r="O744" s="114" t="s">
        <v>545</v>
      </c>
    </row>
    <row r="745" spans="1:15" x14ac:dyDescent="0.25">
      <c r="A745" s="113" t="s">
        <v>55</v>
      </c>
      <c r="B745" s="113" t="s">
        <v>95</v>
      </c>
      <c r="C745" s="113">
        <v>-240</v>
      </c>
      <c r="D745" s="113">
        <v>92.998999999999995</v>
      </c>
      <c r="E745" s="113">
        <v>1</v>
      </c>
      <c r="F745" s="113" t="s">
        <v>23</v>
      </c>
      <c r="G745" s="113" t="s">
        <v>23</v>
      </c>
      <c r="H745" s="113">
        <v>0</v>
      </c>
      <c r="I745" s="113">
        <v>0</v>
      </c>
      <c r="K745" s="113">
        <v>0.59574757499999997</v>
      </c>
      <c r="L745" s="113">
        <v>0</v>
      </c>
      <c r="M745" s="113">
        <v>0.58083133200000003</v>
      </c>
      <c r="N745" s="113">
        <v>0</v>
      </c>
      <c r="O745" s="114" t="s">
        <v>546</v>
      </c>
    </row>
    <row r="746" spans="1:15" x14ac:dyDescent="0.25">
      <c r="A746" s="113" t="s">
        <v>55</v>
      </c>
      <c r="B746" s="113" t="s">
        <v>95</v>
      </c>
      <c r="C746" s="113">
        <v>93</v>
      </c>
      <c r="D746" s="113">
        <v>400</v>
      </c>
      <c r="E746" s="113">
        <v>0.1</v>
      </c>
      <c r="F746" s="113" t="s">
        <v>23</v>
      </c>
      <c r="G746" s="113" t="s">
        <v>23</v>
      </c>
      <c r="H746" s="113">
        <v>0</v>
      </c>
      <c r="I746" s="113">
        <v>0</v>
      </c>
      <c r="K746" s="113">
        <v>7.6721655999999999E-2</v>
      </c>
      <c r="L746" s="113">
        <v>0</v>
      </c>
      <c r="M746" s="113">
        <v>6.6644854000000003E-2</v>
      </c>
      <c r="N746" s="113">
        <v>0</v>
      </c>
      <c r="O746" s="114" t="s">
        <v>547</v>
      </c>
    </row>
    <row r="747" spans="1:15" x14ac:dyDescent="0.25">
      <c r="A747" s="113" t="s">
        <v>55</v>
      </c>
      <c r="B747" s="113" t="s">
        <v>95</v>
      </c>
      <c r="C747" s="113">
        <v>93</v>
      </c>
      <c r="D747" s="113">
        <v>400</v>
      </c>
      <c r="E747" s="113">
        <v>1</v>
      </c>
      <c r="F747" s="113" t="s">
        <v>23</v>
      </c>
      <c r="G747" s="113" t="s">
        <v>23</v>
      </c>
      <c r="H747" s="113">
        <v>0</v>
      </c>
      <c r="I747" s="113">
        <v>0</v>
      </c>
      <c r="K747" s="113">
        <v>0.58328401299999999</v>
      </c>
      <c r="L747" s="113">
        <v>0</v>
      </c>
      <c r="M747" s="113">
        <v>0.57830920500000005</v>
      </c>
      <c r="N747" s="113">
        <v>0</v>
      </c>
      <c r="O747" s="114" t="s">
        <v>548</v>
      </c>
    </row>
    <row r="748" spans="1:15" x14ac:dyDescent="0.25">
      <c r="A748" s="113" t="s">
        <v>55</v>
      </c>
      <c r="B748" s="113" t="s">
        <v>46</v>
      </c>
      <c r="C748" s="113">
        <v>0</v>
      </c>
      <c r="D748" s="113">
        <v>9.9999999999999995E-8</v>
      </c>
      <c r="E748" s="113">
        <v>9.9999999999999998E-13</v>
      </c>
      <c r="F748" s="113" t="s">
        <v>13</v>
      </c>
      <c r="G748" s="113" t="s">
        <v>70</v>
      </c>
      <c r="H748" s="113">
        <v>0</v>
      </c>
      <c r="I748" s="113">
        <v>0</v>
      </c>
      <c r="K748" s="113">
        <v>4.8000000000000001E-2</v>
      </c>
      <c r="L748" s="113">
        <v>34000</v>
      </c>
      <c r="M748" s="113">
        <v>4.6246000000000002E-2</v>
      </c>
      <c r="N748" s="113">
        <v>34649</v>
      </c>
      <c r="O748" s="114" t="s">
        <v>483</v>
      </c>
    </row>
    <row r="749" spans="1:15" x14ac:dyDescent="0.25">
      <c r="A749" s="113" t="s">
        <v>55</v>
      </c>
      <c r="B749" s="113" t="s">
        <v>46</v>
      </c>
      <c r="C749" s="113">
        <v>0</v>
      </c>
      <c r="D749" s="113">
        <v>9.9999999999999995E-8</v>
      </c>
      <c r="E749" s="113">
        <v>9.9999999999999994E-12</v>
      </c>
      <c r="F749" s="113" t="s">
        <v>13</v>
      </c>
      <c r="G749" s="113" t="s">
        <v>70</v>
      </c>
      <c r="H749" s="113">
        <v>0</v>
      </c>
      <c r="I749" s="113">
        <v>0</v>
      </c>
      <c r="K749" s="113">
        <v>4.8000000000000001E-2</v>
      </c>
      <c r="L749" s="113">
        <v>34000</v>
      </c>
      <c r="M749" s="113">
        <v>4.6600999999999997E-2</v>
      </c>
      <c r="N749" s="113">
        <v>34403</v>
      </c>
      <c r="O749" s="114" t="s">
        <v>484</v>
      </c>
    </row>
    <row r="750" spans="1:15" x14ac:dyDescent="0.25">
      <c r="A750" s="113" t="s">
        <v>55</v>
      </c>
      <c r="B750" s="113" t="s">
        <v>46</v>
      </c>
      <c r="C750" s="113">
        <v>0</v>
      </c>
      <c r="D750" s="113">
        <v>9.9999999999999995E-8</v>
      </c>
      <c r="E750" s="113">
        <v>1E-10</v>
      </c>
      <c r="F750" s="113" t="s">
        <v>13</v>
      </c>
      <c r="G750" s="113" t="s">
        <v>70</v>
      </c>
      <c r="H750" s="113">
        <v>0</v>
      </c>
      <c r="I750" s="113">
        <v>0</v>
      </c>
      <c r="K750" s="113">
        <v>7.4257000000000004E-2</v>
      </c>
      <c r="L750" s="113">
        <v>24027</v>
      </c>
      <c r="M750" s="113">
        <v>7.3969999999999994E-2</v>
      </c>
      <c r="N750" s="113">
        <v>22146</v>
      </c>
      <c r="O750" s="114" t="s">
        <v>485</v>
      </c>
    </row>
    <row r="751" spans="1:15" x14ac:dyDescent="0.25">
      <c r="A751" s="113" t="s">
        <v>55</v>
      </c>
      <c r="B751" s="113" t="s">
        <v>46</v>
      </c>
      <c r="C751" s="113">
        <v>0</v>
      </c>
      <c r="D751" s="113">
        <v>9.9999999999999995E-8</v>
      </c>
      <c r="E751" s="113">
        <v>1.0000000000000001E-9</v>
      </c>
      <c r="F751" s="113" t="s">
        <v>13</v>
      </c>
      <c r="G751" s="113" t="s">
        <v>70</v>
      </c>
      <c r="H751" s="113">
        <v>0</v>
      </c>
      <c r="I751" s="113">
        <v>0</v>
      </c>
      <c r="K751" s="113">
        <v>0.57935000000000003</v>
      </c>
      <c r="L751" s="113">
        <v>3897.9</v>
      </c>
      <c r="M751" s="113">
        <v>0.57920000000000005</v>
      </c>
      <c r="N751" s="113">
        <v>2870.4</v>
      </c>
      <c r="O751" s="114" t="s">
        <v>486</v>
      </c>
    </row>
    <row r="752" spans="1:15" x14ac:dyDescent="0.25">
      <c r="A752" s="113" t="s">
        <v>55</v>
      </c>
      <c r="B752" s="113" t="s">
        <v>46</v>
      </c>
      <c r="C752" s="113">
        <v>0</v>
      </c>
      <c r="D752" s="113">
        <v>9.9999999999999995E-8</v>
      </c>
      <c r="E752" s="113">
        <v>1E-8</v>
      </c>
      <c r="F752" s="113" t="s">
        <v>13</v>
      </c>
      <c r="G752" s="113" t="s">
        <v>70</v>
      </c>
      <c r="H752" s="113">
        <v>0</v>
      </c>
      <c r="I752" s="113">
        <v>0</v>
      </c>
      <c r="K752" s="113">
        <v>5.7737999999999996</v>
      </c>
      <c r="L752" s="113">
        <v>700.9</v>
      </c>
      <c r="M752" s="113">
        <v>5.7736999999999998</v>
      </c>
      <c r="N752" s="113">
        <v>288.02</v>
      </c>
      <c r="O752" s="114" t="s">
        <v>487</v>
      </c>
    </row>
    <row r="753" spans="1:15" x14ac:dyDescent="0.25">
      <c r="A753" s="113" t="s">
        <v>55</v>
      </c>
      <c r="B753" s="113" t="s">
        <v>46</v>
      </c>
      <c r="C753" s="113">
        <v>0</v>
      </c>
      <c r="D753" s="113">
        <v>9.9999999999999995E-8</v>
      </c>
      <c r="E753" s="113">
        <v>9.9999999999999995E-8</v>
      </c>
      <c r="F753" s="113" t="s">
        <v>13</v>
      </c>
      <c r="G753" s="113" t="s">
        <v>70</v>
      </c>
      <c r="H753" s="113">
        <v>0</v>
      </c>
      <c r="I753" s="113">
        <v>0</v>
      </c>
      <c r="K753" s="113">
        <v>57.735999999999997</v>
      </c>
      <c r="L753" s="113">
        <v>193.97</v>
      </c>
      <c r="M753" s="113">
        <v>57.735999999999997</v>
      </c>
      <c r="N753" s="113">
        <v>28.803000000000001</v>
      </c>
      <c r="O753" s="114" t="s">
        <v>488</v>
      </c>
    </row>
    <row r="754" spans="1:15" x14ac:dyDescent="0.25">
      <c r="A754" s="113" t="s">
        <v>55</v>
      </c>
      <c r="B754" s="113" t="s">
        <v>46</v>
      </c>
      <c r="C754" s="113">
        <v>0</v>
      </c>
      <c r="D754" s="113">
        <v>9.9999999999999995E-8</v>
      </c>
      <c r="E754" s="113">
        <v>9.9999999999999995E-7</v>
      </c>
      <c r="F754" s="113" t="s">
        <v>13</v>
      </c>
      <c r="G754" s="113" t="s">
        <v>70</v>
      </c>
      <c r="H754" s="113">
        <v>0</v>
      </c>
      <c r="I754" s="113">
        <v>0</v>
      </c>
      <c r="K754" s="113">
        <v>577.36</v>
      </c>
      <c r="L754" s="113">
        <v>68.944999999999993</v>
      </c>
      <c r="M754" s="113">
        <v>577.36</v>
      </c>
      <c r="N754" s="113">
        <v>2.8803000000000001</v>
      </c>
      <c r="O754" s="114" t="s">
        <v>489</v>
      </c>
    </row>
    <row r="755" spans="1:15" x14ac:dyDescent="0.25">
      <c r="A755" s="113" t="s">
        <v>55</v>
      </c>
      <c r="B755" s="113" t="s">
        <v>46</v>
      </c>
      <c r="C755" s="113">
        <v>0</v>
      </c>
      <c r="D755" s="113">
        <v>9.9999999999999995E-8</v>
      </c>
      <c r="E755" s="113">
        <v>1.0000000000000001E-5</v>
      </c>
      <c r="F755" s="113" t="s">
        <v>13</v>
      </c>
      <c r="G755" s="113" t="s">
        <v>70</v>
      </c>
      <c r="H755" s="113">
        <v>0</v>
      </c>
      <c r="I755" s="113">
        <v>0</v>
      </c>
      <c r="K755" s="113">
        <v>5773.6</v>
      </c>
      <c r="L755" s="113">
        <v>26.713999999999999</v>
      </c>
      <c r="M755" s="113">
        <v>5773.6</v>
      </c>
      <c r="N755" s="113">
        <v>0.28803000000000001</v>
      </c>
      <c r="O755" s="114" t="s">
        <v>490</v>
      </c>
    </row>
    <row r="756" spans="1:15" x14ac:dyDescent="0.25">
      <c r="A756" s="113" t="s">
        <v>55</v>
      </c>
      <c r="B756" s="113" t="s">
        <v>46</v>
      </c>
      <c r="C756" s="113">
        <v>0</v>
      </c>
      <c r="D756" s="113">
        <v>9.9999999999999995E-8</v>
      </c>
      <c r="E756" s="113">
        <v>1E-4</v>
      </c>
      <c r="F756" s="113" t="s">
        <v>13</v>
      </c>
      <c r="G756" s="113" t="s">
        <v>70</v>
      </c>
      <c r="H756" s="113">
        <v>0</v>
      </c>
      <c r="I756" s="113">
        <v>0</v>
      </c>
      <c r="K756" s="113">
        <v>57736</v>
      </c>
      <c r="L756" s="113">
        <v>10.599</v>
      </c>
      <c r="M756" s="113">
        <v>57736</v>
      </c>
      <c r="N756" s="113">
        <v>2.8736000000000001E-2</v>
      </c>
      <c r="O756" s="114" t="s">
        <v>491</v>
      </c>
    </row>
    <row r="757" spans="1:15" x14ac:dyDescent="0.25">
      <c r="A757" s="113" t="s">
        <v>55</v>
      </c>
      <c r="B757" s="113" t="s">
        <v>46</v>
      </c>
      <c r="C757" s="113">
        <v>0</v>
      </c>
      <c r="D757" s="113">
        <v>9.9999999999999995E-8</v>
      </c>
      <c r="E757" s="113">
        <v>1E-3</v>
      </c>
      <c r="F757" s="113" t="s">
        <v>13</v>
      </c>
      <c r="G757" s="113" t="s">
        <v>70</v>
      </c>
      <c r="H757" s="113">
        <v>0</v>
      </c>
      <c r="I757" s="113">
        <v>0</v>
      </c>
      <c r="K757" s="113">
        <v>577360</v>
      </c>
      <c r="L757" s="113">
        <v>4.2309000000000001</v>
      </c>
      <c r="M757" s="113">
        <v>577360</v>
      </c>
      <c r="N757" s="113">
        <v>0</v>
      </c>
      <c r="O757" s="114" t="s">
        <v>492</v>
      </c>
    </row>
    <row r="758" spans="1:15" x14ac:dyDescent="0.25">
      <c r="A758" s="113" t="s">
        <v>55</v>
      </c>
      <c r="B758" s="113" t="s">
        <v>46</v>
      </c>
      <c r="C758" s="113">
        <v>0</v>
      </c>
      <c r="D758" s="113">
        <v>9.9999999999999995E-8</v>
      </c>
      <c r="E758" s="113">
        <v>0.01</v>
      </c>
      <c r="F758" s="113" t="s">
        <v>13</v>
      </c>
      <c r="G758" s="113" t="s">
        <v>70</v>
      </c>
      <c r="H758" s="113">
        <v>0</v>
      </c>
      <c r="I758" s="113">
        <v>0</v>
      </c>
      <c r="K758" s="113">
        <v>5773600</v>
      </c>
      <c r="L758" s="113">
        <v>1.6933</v>
      </c>
      <c r="M758" s="113">
        <v>5773600</v>
      </c>
      <c r="N758" s="113">
        <v>0</v>
      </c>
      <c r="O758" s="114" t="s">
        <v>493</v>
      </c>
    </row>
    <row r="759" spans="1:15" x14ac:dyDescent="0.25">
      <c r="A759" s="113" t="s">
        <v>55</v>
      </c>
      <c r="B759" s="113" t="s">
        <v>46</v>
      </c>
      <c r="C759" s="113">
        <v>0</v>
      </c>
      <c r="D759" s="113">
        <v>9.9999999999999995E-8</v>
      </c>
      <c r="E759" s="113">
        <v>0.1</v>
      </c>
      <c r="F759" s="113" t="s">
        <v>13</v>
      </c>
      <c r="G759" s="113" t="s">
        <v>70</v>
      </c>
      <c r="H759" s="113">
        <v>0</v>
      </c>
      <c r="I759" s="113">
        <v>0</v>
      </c>
      <c r="K759" s="113">
        <v>57736000</v>
      </c>
      <c r="L759" s="113">
        <v>0.75258000000000003</v>
      </c>
      <c r="M759" s="113">
        <v>57736000</v>
      </c>
      <c r="N759" s="113">
        <v>0</v>
      </c>
      <c r="O759" s="114" t="s">
        <v>494</v>
      </c>
    </row>
    <row r="760" spans="1:15" x14ac:dyDescent="0.25">
      <c r="A760" s="113" t="s">
        <v>55</v>
      </c>
      <c r="B760" s="113" t="s">
        <v>46</v>
      </c>
      <c r="C760" s="113">
        <v>9.9999999999999995E-8</v>
      </c>
      <c r="D760" s="113">
        <v>9.9999999999999995E-7</v>
      </c>
      <c r="E760" s="113">
        <v>9.9999999999999998E-13</v>
      </c>
      <c r="F760" s="113" t="s">
        <v>13</v>
      </c>
      <c r="G760" s="113" t="s">
        <v>70</v>
      </c>
      <c r="H760" s="113">
        <v>0</v>
      </c>
      <c r="I760" s="113">
        <v>0</v>
      </c>
      <c r="K760" s="113">
        <v>4.8000000000000001E-2</v>
      </c>
      <c r="L760" s="113">
        <v>23000</v>
      </c>
      <c r="M760" s="113">
        <v>4.6073000000000003E-2</v>
      </c>
      <c r="N760" s="113">
        <v>24826</v>
      </c>
      <c r="O760" s="114" t="s">
        <v>495</v>
      </c>
    </row>
    <row r="761" spans="1:15" x14ac:dyDescent="0.25">
      <c r="A761" s="113" t="s">
        <v>55</v>
      </c>
      <c r="B761" s="113" t="s">
        <v>46</v>
      </c>
      <c r="C761" s="113">
        <v>9.9999999999999995E-8</v>
      </c>
      <c r="D761" s="113">
        <v>9.9999999999999995E-7</v>
      </c>
      <c r="E761" s="113">
        <v>9.9999999999999994E-12</v>
      </c>
      <c r="F761" s="113" t="s">
        <v>13</v>
      </c>
      <c r="G761" s="113" t="s">
        <v>70</v>
      </c>
      <c r="H761" s="113">
        <v>0</v>
      </c>
      <c r="I761" s="113">
        <v>0</v>
      </c>
      <c r="K761" s="113">
        <v>4.8000000000000001E-2</v>
      </c>
      <c r="L761" s="113">
        <v>23271</v>
      </c>
      <c r="M761" s="113">
        <v>4.6424E-2</v>
      </c>
      <c r="N761" s="113">
        <v>24708</v>
      </c>
      <c r="O761" s="114" t="s">
        <v>496</v>
      </c>
    </row>
    <row r="762" spans="1:15" x14ac:dyDescent="0.25">
      <c r="A762" s="113" t="s">
        <v>55</v>
      </c>
      <c r="B762" s="113" t="s">
        <v>46</v>
      </c>
      <c r="C762" s="113">
        <v>9.9999999999999995E-8</v>
      </c>
      <c r="D762" s="113">
        <v>9.9999999999999995E-7</v>
      </c>
      <c r="E762" s="113">
        <v>1E-10</v>
      </c>
      <c r="F762" s="113" t="s">
        <v>13</v>
      </c>
      <c r="G762" s="113" t="s">
        <v>70</v>
      </c>
      <c r="H762" s="113">
        <v>0</v>
      </c>
      <c r="I762" s="113">
        <v>0</v>
      </c>
      <c r="K762" s="113">
        <v>7.4091000000000004E-2</v>
      </c>
      <c r="L762" s="113">
        <v>17690</v>
      </c>
      <c r="M762" s="113">
        <v>7.3660000000000003E-2</v>
      </c>
      <c r="N762" s="113">
        <v>17772</v>
      </c>
      <c r="O762" s="114" t="s">
        <v>497</v>
      </c>
    </row>
    <row r="763" spans="1:15" x14ac:dyDescent="0.25">
      <c r="A763" s="113" t="s">
        <v>55</v>
      </c>
      <c r="B763" s="113" t="s">
        <v>46</v>
      </c>
      <c r="C763" s="113">
        <v>9.9999999999999995E-8</v>
      </c>
      <c r="D763" s="113">
        <v>9.9999999999999995E-7</v>
      </c>
      <c r="E763" s="113">
        <v>1.0000000000000001E-9</v>
      </c>
      <c r="F763" s="113" t="s">
        <v>13</v>
      </c>
      <c r="G763" s="113" t="s">
        <v>70</v>
      </c>
      <c r="H763" s="113">
        <v>0</v>
      </c>
      <c r="I763" s="113">
        <v>0</v>
      </c>
      <c r="K763" s="113">
        <v>0.57935999999999999</v>
      </c>
      <c r="L763" s="113">
        <v>2553.1999999999998</v>
      </c>
      <c r="M763" s="113">
        <v>0.57913999999999999</v>
      </c>
      <c r="N763" s="113">
        <v>2554.1</v>
      </c>
      <c r="O763" s="114" t="s">
        <v>498</v>
      </c>
    </row>
    <row r="764" spans="1:15" x14ac:dyDescent="0.25">
      <c r="A764" s="113" t="s">
        <v>55</v>
      </c>
      <c r="B764" s="113" t="s">
        <v>46</v>
      </c>
      <c r="C764" s="113">
        <v>9.9999999999999995E-8</v>
      </c>
      <c r="D764" s="113">
        <v>9.9999999999999995E-7</v>
      </c>
      <c r="E764" s="113">
        <v>1E-8</v>
      </c>
      <c r="F764" s="113" t="s">
        <v>13</v>
      </c>
      <c r="G764" s="113" t="s">
        <v>70</v>
      </c>
      <c r="H764" s="113">
        <v>0</v>
      </c>
      <c r="I764" s="113">
        <v>0</v>
      </c>
      <c r="K764" s="113">
        <v>5.7737999999999996</v>
      </c>
      <c r="L764" s="113">
        <v>256.81</v>
      </c>
      <c r="M764" s="113">
        <v>5.7736999999999998</v>
      </c>
      <c r="N764" s="113">
        <v>256.81</v>
      </c>
      <c r="O764" s="114" t="s">
        <v>499</v>
      </c>
    </row>
    <row r="765" spans="1:15" x14ac:dyDescent="0.25">
      <c r="A765" s="113" t="s">
        <v>55</v>
      </c>
      <c r="B765" s="113" t="s">
        <v>46</v>
      </c>
      <c r="C765" s="113">
        <v>9.9999999999999995E-8</v>
      </c>
      <c r="D765" s="113">
        <v>9.9999999999999995E-7</v>
      </c>
      <c r="E765" s="113">
        <v>9.9999999999999995E-8</v>
      </c>
      <c r="F765" s="113" t="s">
        <v>13</v>
      </c>
      <c r="G765" s="113" t="s">
        <v>70</v>
      </c>
      <c r="H765" s="113">
        <v>0</v>
      </c>
      <c r="I765" s="113">
        <v>0</v>
      </c>
      <c r="K765" s="113">
        <v>57.735999999999997</v>
      </c>
      <c r="L765" s="113">
        <v>25.681999999999999</v>
      </c>
      <c r="M765" s="113">
        <v>57.735999999999997</v>
      </c>
      <c r="N765" s="113">
        <v>25.681999999999999</v>
      </c>
      <c r="O765" s="114" t="s">
        <v>500</v>
      </c>
    </row>
    <row r="766" spans="1:15" x14ac:dyDescent="0.25">
      <c r="A766" s="113" t="s">
        <v>55</v>
      </c>
      <c r="B766" s="113" t="s">
        <v>46</v>
      </c>
      <c r="C766" s="113">
        <v>9.9999999999999995E-7</v>
      </c>
      <c r="D766" s="113">
        <v>1.0000000000000001E-5</v>
      </c>
      <c r="E766" s="113">
        <v>9.9999999999999998E-13</v>
      </c>
      <c r="F766" s="113" t="s">
        <v>13</v>
      </c>
      <c r="G766" s="113" t="s">
        <v>70</v>
      </c>
      <c r="H766" s="113">
        <v>0</v>
      </c>
      <c r="I766" s="113">
        <v>0</v>
      </c>
      <c r="K766" s="113">
        <v>0.13</v>
      </c>
      <c r="L766" s="113">
        <v>25000</v>
      </c>
      <c r="M766" s="113">
        <v>0.11375</v>
      </c>
      <c r="N766" s="113">
        <v>25625</v>
      </c>
      <c r="O766" s="114" t="s">
        <v>501</v>
      </c>
    </row>
    <row r="767" spans="1:15" x14ac:dyDescent="0.25">
      <c r="A767" s="113" t="s">
        <v>55</v>
      </c>
      <c r="B767" s="113" t="s">
        <v>46</v>
      </c>
      <c r="C767" s="113">
        <v>9.9999999999999995E-7</v>
      </c>
      <c r="D767" s="113">
        <v>1.0000000000000001E-5</v>
      </c>
      <c r="E767" s="113">
        <v>9.9999999999999994E-12</v>
      </c>
      <c r="F767" s="113" t="s">
        <v>13</v>
      </c>
      <c r="G767" s="113" t="s">
        <v>70</v>
      </c>
      <c r="H767" s="113">
        <v>0</v>
      </c>
      <c r="I767" s="113">
        <v>0</v>
      </c>
      <c r="K767" s="113">
        <v>0.13</v>
      </c>
      <c r="L767" s="113">
        <v>25119</v>
      </c>
      <c r="M767" s="113">
        <v>0.11389000000000001</v>
      </c>
      <c r="N767" s="113">
        <v>25617</v>
      </c>
      <c r="O767" s="114" t="s">
        <v>502</v>
      </c>
    </row>
    <row r="768" spans="1:15" x14ac:dyDescent="0.25">
      <c r="A768" s="113" t="s">
        <v>55</v>
      </c>
      <c r="B768" s="113" t="s">
        <v>46</v>
      </c>
      <c r="C768" s="113">
        <v>9.9999999999999995E-7</v>
      </c>
      <c r="D768" s="113">
        <v>1.0000000000000001E-5</v>
      </c>
      <c r="E768" s="113">
        <v>1E-10</v>
      </c>
      <c r="F768" s="113" t="s">
        <v>13</v>
      </c>
      <c r="G768" s="113" t="s">
        <v>70</v>
      </c>
      <c r="H768" s="113">
        <v>0</v>
      </c>
      <c r="I768" s="113">
        <v>0</v>
      </c>
      <c r="K768" s="113">
        <v>0.13</v>
      </c>
      <c r="L768" s="113">
        <v>24832</v>
      </c>
      <c r="M768" s="113">
        <v>0.12601999999999999</v>
      </c>
      <c r="N768" s="113">
        <v>24846</v>
      </c>
      <c r="O768" s="114" t="s">
        <v>503</v>
      </c>
    </row>
    <row r="769" spans="1:15" x14ac:dyDescent="0.25">
      <c r="A769" s="113" t="s">
        <v>55</v>
      </c>
      <c r="B769" s="113" t="s">
        <v>46</v>
      </c>
      <c r="C769" s="113">
        <v>9.9999999999999995E-7</v>
      </c>
      <c r="D769" s="113">
        <v>1.0000000000000001E-5</v>
      </c>
      <c r="E769" s="113">
        <v>1.0000000000000001E-9</v>
      </c>
      <c r="F769" s="113" t="s">
        <v>13</v>
      </c>
      <c r="G769" s="113" t="s">
        <v>70</v>
      </c>
      <c r="H769" s="113">
        <v>0</v>
      </c>
      <c r="I769" s="113">
        <v>0</v>
      </c>
      <c r="K769" s="113">
        <v>0.58396000000000003</v>
      </c>
      <c r="L769" s="113">
        <v>10197</v>
      </c>
      <c r="M769" s="113">
        <v>0.58374000000000004</v>
      </c>
      <c r="N769" s="113">
        <v>10200</v>
      </c>
      <c r="O769" s="114" t="s">
        <v>504</v>
      </c>
    </row>
    <row r="770" spans="1:15" x14ac:dyDescent="0.25">
      <c r="A770" s="113" t="s">
        <v>55</v>
      </c>
      <c r="B770" s="113" t="s">
        <v>46</v>
      </c>
      <c r="C770" s="113">
        <v>9.9999999999999995E-7</v>
      </c>
      <c r="D770" s="113">
        <v>1.0000000000000001E-5</v>
      </c>
      <c r="E770" s="113">
        <v>1E-8</v>
      </c>
      <c r="F770" s="113" t="s">
        <v>13</v>
      </c>
      <c r="G770" s="113" t="s">
        <v>70</v>
      </c>
      <c r="H770" s="113">
        <v>0</v>
      </c>
      <c r="I770" s="113">
        <v>0</v>
      </c>
      <c r="K770" s="113">
        <v>5.7742000000000004</v>
      </c>
      <c r="L770" s="113">
        <v>1129.0999999999999</v>
      </c>
      <c r="M770" s="113">
        <v>5.7740999999999998</v>
      </c>
      <c r="N770" s="113">
        <v>1129.0999999999999</v>
      </c>
      <c r="O770" s="114" t="s">
        <v>505</v>
      </c>
    </row>
    <row r="771" spans="1:15" x14ac:dyDescent="0.25">
      <c r="A771" s="113" t="s">
        <v>55</v>
      </c>
      <c r="B771" s="113" t="s">
        <v>46</v>
      </c>
      <c r="C771" s="113">
        <v>9.9999999999999995E-7</v>
      </c>
      <c r="D771" s="113">
        <v>1.0000000000000001E-5</v>
      </c>
      <c r="E771" s="113">
        <v>9.9999999999999995E-8</v>
      </c>
      <c r="F771" s="113" t="s">
        <v>13</v>
      </c>
      <c r="G771" s="113" t="s">
        <v>70</v>
      </c>
      <c r="H771" s="113">
        <v>0</v>
      </c>
      <c r="I771" s="113">
        <v>0</v>
      </c>
      <c r="K771" s="113">
        <v>57.735999999999997</v>
      </c>
      <c r="L771" s="113">
        <v>113.04</v>
      </c>
      <c r="M771" s="113">
        <v>57.734999999999999</v>
      </c>
      <c r="N771" s="113">
        <v>113.04</v>
      </c>
      <c r="O771" s="114" t="s">
        <v>506</v>
      </c>
    </row>
    <row r="772" spans="1:15" x14ac:dyDescent="0.25">
      <c r="A772" s="113" t="s">
        <v>55</v>
      </c>
      <c r="B772" s="113" t="s">
        <v>46</v>
      </c>
      <c r="C772" s="113">
        <v>1.0000000000000001E-5</v>
      </c>
      <c r="D772" s="113">
        <v>1E-4</v>
      </c>
      <c r="E772" s="113">
        <v>9.9999999999999994E-12</v>
      </c>
      <c r="F772" s="113" t="s">
        <v>13</v>
      </c>
      <c r="G772" s="113" t="s">
        <v>70</v>
      </c>
      <c r="H772" s="113">
        <v>0</v>
      </c>
      <c r="I772" s="113">
        <v>0</v>
      </c>
      <c r="K772" s="113">
        <v>0.16</v>
      </c>
      <c r="L772" s="113">
        <v>23000</v>
      </c>
      <c r="M772" s="113">
        <v>0.11411</v>
      </c>
      <c r="N772" s="113">
        <v>23000</v>
      </c>
      <c r="O772" s="114" t="s">
        <v>507</v>
      </c>
    </row>
    <row r="773" spans="1:15" x14ac:dyDescent="0.25">
      <c r="A773" s="113" t="s">
        <v>55</v>
      </c>
      <c r="B773" s="113" t="s">
        <v>46</v>
      </c>
      <c r="C773" s="113">
        <v>1.0000000000000001E-5</v>
      </c>
      <c r="D773" s="113">
        <v>1E-4</v>
      </c>
      <c r="E773" s="113">
        <v>1E-10</v>
      </c>
      <c r="F773" s="113" t="s">
        <v>13</v>
      </c>
      <c r="G773" s="113" t="s">
        <v>70</v>
      </c>
      <c r="H773" s="113">
        <v>0</v>
      </c>
      <c r="I773" s="113">
        <v>0</v>
      </c>
      <c r="K773" s="113">
        <v>0.16</v>
      </c>
      <c r="L773" s="113">
        <v>23403</v>
      </c>
      <c r="M773" s="113">
        <v>0.11928</v>
      </c>
      <c r="N773" s="113">
        <v>23403</v>
      </c>
      <c r="O773" s="114" t="s">
        <v>508</v>
      </c>
    </row>
    <row r="774" spans="1:15" x14ac:dyDescent="0.25">
      <c r="A774" s="113" t="s">
        <v>55</v>
      </c>
      <c r="B774" s="113" t="s">
        <v>46</v>
      </c>
      <c r="C774" s="113">
        <v>1.0000000000000001E-5</v>
      </c>
      <c r="D774" s="113">
        <v>1E-4</v>
      </c>
      <c r="E774" s="113">
        <v>1.0000000000000001E-9</v>
      </c>
      <c r="F774" s="113" t="s">
        <v>13</v>
      </c>
      <c r="G774" s="113" t="s">
        <v>70</v>
      </c>
      <c r="H774" s="113">
        <v>0</v>
      </c>
      <c r="I774" s="113">
        <v>0</v>
      </c>
      <c r="K774" s="113">
        <v>0.47123999999999999</v>
      </c>
      <c r="L774" s="113">
        <v>20574</v>
      </c>
      <c r="M774" s="113">
        <v>0.46866000000000002</v>
      </c>
      <c r="N774" s="113">
        <v>20574</v>
      </c>
      <c r="O774" s="114" t="s">
        <v>509</v>
      </c>
    </row>
    <row r="775" spans="1:15" x14ac:dyDescent="0.25">
      <c r="A775" s="113" t="s">
        <v>55</v>
      </c>
      <c r="B775" s="113" t="s">
        <v>46</v>
      </c>
      <c r="C775" s="113">
        <v>1.0000000000000001E-5</v>
      </c>
      <c r="D775" s="113">
        <v>1E-4</v>
      </c>
      <c r="E775" s="113">
        <v>1E-8</v>
      </c>
      <c r="F775" s="113" t="s">
        <v>13</v>
      </c>
      <c r="G775" s="113" t="s">
        <v>70</v>
      </c>
      <c r="H775" s="113">
        <v>0</v>
      </c>
      <c r="I775" s="113">
        <v>0</v>
      </c>
      <c r="K775" s="113">
        <v>5.7304000000000004</v>
      </c>
      <c r="L775" s="113">
        <v>5486.9</v>
      </c>
      <c r="M775" s="113">
        <v>5.7294</v>
      </c>
      <c r="N775" s="113">
        <v>5486.9</v>
      </c>
      <c r="O775" s="114" t="s">
        <v>510</v>
      </c>
    </row>
    <row r="776" spans="1:15" x14ac:dyDescent="0.25">
      <c r="A776" s="113" t="s">
        <v>55</v>
      </c>
      <c r="B776" s="113" t="s">
        <v>46</v>
      </c>
      <c r="C776" s="113">
        <v>1.0000000000000001E-5</v>
      </c>
      <c r="D776" s="113">
        <v>1E-4</v>
      </c>
      <c r="E776" s="113">
        <v>9.9999999999999995E-8</v>
      </c>
      <c r="F776" s="113" t="s">
        <v>13</v>
      </c>
      <c r="G776" s="113" t="s">
        <v>70</v>
      </c>
      <c r="H776" s="113">
        <v>0</v>
      </c>
      <c r="I776" s="113">
        <v>0</v>
      </c>
      <c r="K776" s="113">
        <v>57.731000000000002</v>
      </c>
      <c r="L776" s="113">
        <v>581.51</v>
      </c>
      <c r="M776" s="113">
        <v>57.731000000000002</v>
      </c>
      <c r="N776" s="113">
        <v>581.51</v>
      </c>
      <c r="O776" s="114" t="s">
        <v>511</v>
      </c>
    </row>
    <row r="777" spans="1:15" x14ac:dyDescent="0.25">
      <c r="A777" s="113" t="s">
        <v>55</v>
      </c>
      <c r="B777" s="113" t="s">
        <v>46</v>
      </c>
      <c r="C777" s="113">
        <v>1.0000000000000001E-5</v>
      </c>
      <c r="D777" s="113">
        <v>1E-4</v>
      </c>
      <c r="E777" s="113">
        <v>9.9999999999999995E-7</v>
      </c>
      <c r="F777" s="113" t="s">
        <v>13</v>
      </c>
      <c r="G777" s="113" t="s">
        <v>70</v>
      </c>
      <c r="H777" s="113">
        <v>0</v>
      </c>
      <c r="I777" s="113">
        <v>0</v>
      </c>
      <c r="K777" s="113">
        <v>577.35</v>
      </c>
      <c r="L777" s="113">
        <v>61.585000000000001</v>
      </c>
      <c r="M777" s="113">
        <v>577.35</v>
      </c>
      <c r="N777" s="113">
        <v>61.585000000000001</v>
      </c>
      <c r="O777" s="114" t="s">
        <v>512</v>
      </c>
    </row>
    <row r="778" spans="1:15" x14ac:dyDescent="0.25">
      <c r="A778" s="113" t="s">
        <v>55</v>
      </c>
      <c r="B778" s="113" t="s">
        <v>46</v>
      </c>
      <c r="C778" s="113">
        <v>1E-4</v>
      </c>
      <c r="D778" s="113">
        <v>1E-3</v>
      </c>
      <c r="E778" s="113">
        <v>1E-10</v>
      </c>
      <c r="F778" s="113" t="s">
        <v>13</v>
      </c>
      <c r="G778" s="113" t="s">
        <v>70</v>
      </c>
      <c r="H778" s="113">
        <v>0</v>
      </c>
      <c r="I778" s="113">
        <v>0</v>
      </c>
      <c r="K778" s="113">
        <v>6.3</v>
      </c>
      <c r="L778" s="113">
        <v>23000</v>
      </c>
      <c r="M778" s="113">
        <v>5.7455999999999996</v>
      </c>
      <c r="N778" s="113">
        <v>23552</v>
      </c>
      <c r="O778" s="114" t="s">
        <v>513</v>
      </c>
    </row>
    <row r="779" spans="1:15" x14ac:dyDescent="0.25">
      <c r="A779" s="113" t="s">
        <v>55</v>
      </c>
      <c r="B779" s="113" t="s">
        <v>46</v>
      </c>
      <c r="C779" s="113">
        <v>1E-4</v>
      </c>
      <c r="D779" s="113">
        <v>1E-3</v>
      </c>
      <c r="E779" s="113">
        <v>1.0000000000000001E-9</v>
      </c>
      <c r="F779" s="113" t="s">
        <v>13</v>
      </c>
      <c r="G779" s="113" t="s">
        <v>70</v>
      </c>
      <c r="H779" s="113">
        <v>0</v>
      </c>
      <c r="I779" s="113">
        <v>0</v>
      </c>
      <c r="K779" s="113">
        <v>6.3</v>
      </c>
      <c r="L779" s="113">
        <v>23340</v>
      </c>
      <c r="M779" s="113">
        <v>5.7675000000000001</v>
      </c>
      <c r="N779" s="113">
        <v>23536</v>
      </c>
      <c r="O779" s="114" t="s">
        <v>514</v>
      </c>
    </row>
    <row r="780" spans="1:15" x14ac:dyDescent="0.25">
      <c r="A780" s="113" t="s">
        <v>55</v>
      </c>
      <c r="B780" s="113" t="s">
        <v>46</v>
      </c>
      <c r="C780" s="113">
        <v>1E-4</v>
      </c>
      <c r="D780" s="113">
        <v>1E-3</v>
      </c>
      <c r="E780" s="113">
        <v>1E-8</v>
      </c>
      <c r="F780" s="113" t="s">
        <v>13</v>
      </c>
      <c r="G780" s="113" t="s">
        <v>70</v>
      </c>
      <c r="H780" s="113">
        <v>0</v>
      </c>
      <c r="I780" s="113">
        <v>0</v>
      </c>
      <c r="K780" s="113">
        <v>7.7388000000000003</v>
      </c>
      <c r="L780" s="113">
        <v>22133</v>
      </c>
      <c r="M780" s="113">
        <v>7.7351000000000001</v>
      </c>
      <c r="N780" s="113">
        <v>22126</v>
      </c>
      <c r="O780" s="114" t="s">
        <v>515</v>
      </c>
    </row>
    <row r="781" spans="1:15" x14ac:dyDescent="0.25">
      <c r="A781" s="113" t="s">
        <v>55</v>
      </c>
      <c r="B781" s="113" t="s">
        <v>46</v>
      </c>
      <c r="C781" s="113">
        <v>1E-4</v>
      </c>
      <c r="D781" s="113">
        <v>1E-3</v>
      </c>
      <c r="E781" s="113">
        <v>9.9999999999999995E-8</v>
      </c>
      <c r="F781" s="113" t="s">
        <v>13</v>
      </c>
      <c r="G781" s="113" t="s">
        <v>70</v>
      </c>
      <c r="H781" s="113">
        <v>0</v>
      </c>
      <c r="I781" s="113">
        <v>0</v>
      </c>
      <c r="K781" s="113">
        <v>57.585999999999999</v>
      </c>
      <c r="L781" s="113">
        <v>7177.2</v>
      </c>
      <c r="M781" s="113">
        <v>57.585000000000001</v>
      </c>
      <c r="N781" s="113">
        <v>7158.5</v>
      </c>
      <c r="O781" s="114" t="s">
        <v>516</v>
      </c>
    </row>
    <row r="782" spans="1:15" x14ac:dyDescent="0.25">
      <c r="A782" s="113" t="s">
        <v>55</v>
      </c>
      <c r="B782" s="113" t="s">
        <v>46</v>
      </c>
      <c r="C782" s="113">
        <v>1E-4</v>
      </c>
      <c r="D782" s="113">
        <v>1E-3</v>
      </c>
      <c r="E782" s="113">
        <v>9.9999999999999995E-7</v>
      </c>
      <c r="F782" s="113" t="s">
        <v>13</v>
      </c>
      <c r="G782" s="113" t="s">
        <v>70</v>
      </c>
      <c r="H782" s="113">
        <v>0</v>
      </c>
      <c r="I782" s="113">
        <v>0</v>
      </c>
      <c r="K782" s="113">
        <v>577.34</v>
      </c>
      <c r="L782" s="113">
        <v>770.78</v>
      </c>
      <c r="M782" s="113">
        <v>577.34</v>
      </c>
      <c r="N782" s="113">
        <v>762.27</v>
      </c>
      <c r="O782" s="114" t="s">
        <v>517</v>
      </c>
    </row>
    <row r="783" spans="1:15" x14ac:dyDescent="0.25">
      <c r="A783" s="113" t="s">
        <v>55</v>
      </c>
      <c r="B783" s="113" t="s">
        <v>46</v>
      </c>
      <c r="C783" s="113">
        <v>1E-4</v>
      </c>
      <c r="D783" s="113">
        <v>1E-3</v>
      </c>
      <c r="E783" s="113">
        <v>1.0000000000000001E-5</v>
      </c>
      <c r="F783" s="113" t="s">
        <v>13</v>
      </c>
      <c r="G783" s="113" t="s">
        <v>70</v>
      </c>
      <c r="H783" s="113">
        <v>0</v>
      </c>
      <c r="I783" s="113">
        <v>0</v>
      </c>
      <c r="K783" s="113">
        <v>5773.6</v>
      </c>
      <c r="L783" s="113">
        <v>79.686000000000007</v>
      </c>
      <c r="M783" s="113">
        <v>5773.5</v>
      </c>
      <c r="N783" s="113">
        <v>76.28</v>
      </c>
      <c r="O783" s="114" t="s">
        <v>518</v>
      </c>
    </row>
    <row r="784" spans="1:15" x14ac:dyDescent="0.25">
      <c r="A784" s="113" t="s">
        <v>55</v>
      </c>
      <c r="B784" s="113" t="s">
        <v>46</v>
      </c>
      <c r="C784" s="113">
        <v>1E-3</v>
      </c>
      <c r="D784" s="113">
        <v>0.01</v>
      </c>
      <c r="E784" s="113">
        <v>1.0000000000000001E-9</v>
      </c>
      <c r="F784" s="113" t="s">
        <v>13</v>
      </c>
      <c r="G784" s="113" t="s">
        <v>11</v>
      </c>
      <c r="H784" s="113">
        <v>0</v>
      </c>
      <c r="I784" s="113">
        <v>0</v>
      </c>
      <c r="K784" s="113">
        <v>6.4000000000000001E-2</v>
      </c>
      <c r="L784" s="113">
        <v>23</v>
      </c>
      <c r="M784" s="113">
        <v>5.7395000000000002E-2</v>
      </c>
      <c r="N784" s="113">
        <v>23.593</v>
      </c>
      <c r="O784" s="114" t="s">
        <v>519</v>
      </c>
    </row>
    <row r="785" spans="1:15" x14ac:dyDescent="0.25">
      <c r="A785" s="113" t="s">
        <v>55</v>
      </c>
      <c r="B785" s="113" t="s">
        <v>46</v>
      </c>
      <c r="C785" s="113">
        <v>1E-3</v>
      </c>
      <c r="D785" s="113">
        <v>0.01</v>
      </c>
      <c r="E785" s="113">
        <v>1E-8</v>
      </c>
      <c r="F785" s="113" t="s">
        <v>13</v>
      </c>
      <c r="G785" s="113" t="s">
        <v>11</v>
      </c>
      <c r="H785" s="113">
        <v>0</v>
      </c>
      <c r="I785" s="113">
        <v>0</v>
      </c>
      <c r="K785" s="113">
        <v>6.4000000000000001E-2</v>
      </c>
      <c r="L785" s="113">
        <v>23.49</v>
      </c>
      <c r="M785" s="113">
        <v>5.7620999999999999E-2</v>
      </c>
      <c r="N785" s="113">
        <v>23.576000000000001</v>
      </c>
      <c r="O785" s="114" t="s">
        <v>520</v>
      </c>
    </row>
    <row r="786" spans="1:15" x14ac:dyDescent="0.25">
      <c r="A786" s="113" t="s">
        <v>55</v>
      </c>
      <c r="B786" s="113" t="s">
        <v>46</v>
      </c>
      <c r="C786" s="113">
        <v>1E-3</v>
      </c>
      <c r="D786" s="113">
        <v>0.01</v>
      </c>
      <c r="E786" s="113">
        <v>9.9999999999999995E-8</v>
      </c>
      <c r="F786" s="113" t="s">
        <v>13</v>
      </c>
      <c r="G786" s="113" t="s">
        <v>11</v>
      </c>
      <c r="H786" s="113">
        <v>0</v>
      </c>
      <c r="I786" s="113">
        <v>0</v>
      </c>
      <c r="K786" s="113">
        <v>7.7329999999999996E-2</v>
      </c>
      <c r="L786" s="113">
        <v>22.172999999999998</v>
      </c>
      <c r="M786" s="113">
        <v>7.7294000000000002E-2</v>
      </c>
      <c r="N786" s="113">
        <v>22.166</v>
      </c>
      <c r="O786" s="114" t="s">
        <v>521</v>
      </c>
    </row>
    <row r="787" spans="1:15" x14ac:dyDescent="0.25">
      <c r="A787" s="113" t="s">
        <v>55</v>
      </c>
      <c r="B787" s="113" t="s">
        <v>46</v>
      </c>
      <c r="C787" s="113">
        <v>1E-3</v>
      </c>
      <c r="D787" s="113">
        <v>0.01</v>
      </c>
      <c r="E787" s="113">
        <v>9.9999999999999995E-7</v>
      </c>
      <c r="F787" s="113" t="s">
        <v>13</v>
      </c>
      <c r="G787" s="113" t="s">
        <v>11</v>
      </c>
      <c r="H787" s="113">
        <v>0</v>
      </c>
      <c r="I787" s="113">
        <v>0</v>
      </c>
      <c r="K787" s="113">
        <v>0.57584000000000002</v>
      </c>
      <c r="L787" s="113">
        <v>7.1948999999999996</v>
      </c>
      <c r="M787" s="113">
        <v>0.57582999999999995</v>
      </c>
      <c r="N787" s="113">
        <v>7.1763000000000003</v>
      </c>
      <c r="O787" s="114" t="s">
        <v>522</v>
      </c>
    </row>
    <row r="788" spans="1:15" x14ac:dyDescent="0.25">
      <c r="A788" s="113" t="s">
        <v>55</v>
      </c>
      <c r="B788" s="113" t="s">
        <v>46</v>
      </c>
      <c r="C788" s="113">
        <v>1E-3</v>
      </c>
      <c r="D788" s="113">
        <v>0.01</v>
      </c>
      <c r="E788" s="113">
        <v>1.0000000000000001E-5</v>
      </c>
      <c r="F788" s="113" t="s">
        <v>13</v>
      </c>
      <c r="G788" s="113" t="s">
        <v>11</v>
      </c>
      <c r="H788" s="113">
        <v>0</v>
      </c>
      <c r="I788" s="113">
        <v>0</v>
      </c>
      <c r="K788" s="113">
        <v>5.7733999999999996</v>
      </c>
      <c r="L788" s="113">
        <v>0.77276999999999996</v>
      </c>
      <c r="M788" s="113">
        <v>5.7733999999999996</v>
      </c>
      <c r="N788" s="113">
        <v>0.76426000000000005</v>
      </c>
      <c r="O788" s="114" t="s">
        <v>523</v>
      </c>
    </row>
    <row r="789" spans="1:15" x14ac:dyDescent="0.25">
      <c r="A789" s="113" t="s">
        <v>55</v>
      </c>
      <c r="B789" s="113" t="s">
        <v>46</v>
      </c>
      <c r="C789" s="113">
        <v>1E-3</v>
      </c>
      <c r="D789" s="113">
        <v>0.01</v>
      </c>
      <c r="E789" s="113">
        <v>1E-4</v>
      </c>
      <c r="F789" s="113" t="s">
        <v>13</v>
      </c>
      <c r="G789" s="113" t="s">
        <v>11</v>
      </c>
      <c r="H789" s="113">
        <v>0</v>
      </c>
      <c r="I789" s="113">
        <v>0</v>
      </c>
      <c r="K789" s="113">
        <v>57.735999999999997</v>
      </c>
      <c r="L789" s="113">
        <v>7.9884999999999998E-2</v>
      </c>
      <c r="M789" s="113">
        <v>57.734999999999999</v>
      </c>
      <c r="N789" s="113">
        <v>7.6479000000000005E-2</v>
      </c>
      <c r="O789" s="114" t="s">
        <v>524</v>
      </c>
    </row>
    <row r="790" spans="1:15" x14ac:dyDescent="0.25">
      <c r="A790" s="113" t="s">
        <v>55</v>
      </c>
      <c r="B790" s="113" t="s">
        <v>46</v>
      </c>
      <c r="C790" s="113">
        <v>0.01</v>
      </c>
      <c r="D790" s="113">
        <v>0.1</v>
      </c>
      <c r="E790" s="113">
        <v>1E-8</v>
      </c>
      <c r="F790" s="113" t="s">
        <v>13</v>
      </c>
      <c r="G790" s="113" t="s">
        <v>11</v>
      </c>
      <c r="H790" s="113">
        <v>0</v>
      </c>
      <c r="I790" s="113">
        <v>0</v>
      </c>
      <c r="K790" s="113">
        <v>0.67</v>
      </c>
      <c r="L790" s="113">
        <v>40</v>
      </c>
      <c r="M790" s="113">
        <v>0.57450999999999997</v>
      </c>
      <c r="N790" s="113">
        <v>40.857999999999997</v>
      </c>
      <c r="O790" s="114" t="s">
        <v>525</v>
      </c>
    </row>
    <row r="791" spans="1:15" x14ac:dyDescent="0.25">
      <c r="A791" s="113" t="s">
        <v>55</v>
      </c>
      <c r="B791" s="113" t="s">
        <v>46</v>
      </c>
      <c r="C791" s="113">
        <v>0.01</v>
      </c>
      <c r="D791" s="113">
        <v>0.1</v>
      </c>
      <c r="E791" s="113">
        <v>9.9999999999999995E-8</v>
      </c>
      <c r="F791" s="113" t="s">
        <v>13</v>
      </c>
      <c r="G791" s="113" t="s">
        <v>11</v>
      </c>
      <c r="H791" s="113">
        <v>0</v>
      </c>
      <c r="I791" s="113">
        <v>0</v>
      </c>
      <c r="K791" s="113">
        <v>0.67</v>
      </c>
      <c r="L791" s="113">
        <v>40.353999999999999</v>
      </c>
      <c r="M791" s="113">
        <v>0.57628999999999997</v>
      </c>
      <c r="N791" s="113">
        <v>40.844000000000001</v>
      </c>
      <c r="O791" s="114" t="s">
        <v>526</v>
      </c>
    </row>
    <row r="792" spans="1:15" x14ac:dyDescent="0.25">
      <c r="A792" s="113" t="s">
        <v>55</v>
      </c>
      <c r="B792" s="113" t="s">
        <v>46</v>
      </c>
      <c r="C792" s="113">
        <v>0.01</v>
      </c>
      <c r="D792" s="113">
        <v>0.1</v>
      </c>
      <c r="E792" s="113">
        <v>9.9999999999999995E-7</v>
      </c>
      <c r="F792" s="113" t="s">
        <v>13</v>
      </c>
      <c r="G792" s="113" t="s">
        <v>11</v>
      </c>
      <c r="H792" s="113">
        <v>0</v>
      </c>
      <c r="I792" s="113">
        <v>0</v>
      </c>
      <c r="K792" s="113">
        <v>0.75326000000000004</v>
      </c>
      <c r="L792" s="113">
        <v>39.473999999999997</v>
      </c>
      <c r="M792" s="113">
        <v>0.74494000000000005</v>
      </c>
      <c r="N792" s="113">
        <v>39.51</v>
      </c>
      <c r="O792" s="114" t="s">
        <v>527</v>
      </c>
    </row>
    <row r="793" spans="1:15" x14ac:dyDescent="0.25">
      <c r="A793" s="113" t="s">
        <v>55</v>
      </c>
      <c r="B793" s="113" t="s">
        <v>46</v>
      </c>
      <c r="C793" s="113">
        <v>0.01</v>
      </c>
      <c r="D793" s="113">
        <v>0.1</v>
      </c>
      <c r="E793" s="113">
        <v>1.0000000000000001E-5</v>
      </c>
      <c r="F793" s="113" t="s">
        <v>13</v>
      </c>
      <c r="G793" s="113" t="s">
        <v>11</v>
      </c>
      <c r="H793" s="113">
        <v>0</v>
      </c>
      <c r="I793" s="113">
        <v>0</v>
      </c>
      <c r="K793" s="113">
        <v>5.6886000000000001</v>
      </c>
      <c r="L793" s="113">
        <v>17.431000000000001</v>
      </c>
      <c r="M793" s="113">
        <v>5.6829999999999998</v>
      </c>
      <c r="N793" s="113">
        <v>17.367999999999999</v>
      </c>
      <c r="O793" s="114" t="s">
        <v>528</v>
      </c>
    </row>
    <row r="794" spans="1:15" x14ac:dyDescent="0.25">
      <c r="A794" s="113" t="s">
        <v>55</v>
      </c>
      <c r="B794" s="113" t="s">
        <v>46</v>
      </c>
      <c r="C794" s="113">
        <v>0.01</v>
      </c>
      <c r="D794" s="113">
        <v>0.1</v>
      </c>
      <c r="E794" s="113">
        <v>1E-4</v>
      </c>
      <c r="F794" s="113" t="s">
        <v>13</v>
      </c>
      <c r="G794" s="113" t="s">
        <v>11</v>
      </c>
      <c r="H794" s="113">
        <v>0</v>
      </c>
      <c r="I794" s="113">
        <v>0</v>
      </c>
      <c r="K794" s="113">
        <v>57.725999999999999</v>
      </c>
      <c r="L794" s="113">
        <v>2.0333999999999999</v>
      </c>
      <c r="M794" s="113">
        <v>57.723999999999997</v>
      </c>
      <c r="N794" s="113">
        <v>1.9935</v>
      </c>
      <c r="O794" s="114" t="s">
        <v>529</v>
      </c>
    </row>
    <row r="795" spans="1:15" x14ac:dyDescent="0.25">
      <c r="A795" s="113" t="s">
        <v>55</v>
      </c>
      <c r="B795" s="113" t="s">
        <v>46</v>
      </c>
      <c r="C795" s="113">
        <v>0.01</v>
      </c>
      <c r="D795" s="113">
        <v>0.1</v>
      </c>
      <c r="E795" s="113">
        <v>1E-3</v>
      </c>
      <c r="F795" s="113" t="s">
        <v>13</v>
      </c>
      <c r="G795" s="113" t="s">
        <v>11</v>
      </c>
      <c r="H795" s="113">
        <v>0</v>
      </c>
      <c r="I795" s="113">
        <v>0</v>
      </c>
      <c r="K795" s="113">
        <v>577.35</v>
      </c>
      <c r="L795" s="113">
        <v>0.21573000000000001</v>
      </c>
      <c r="M795" s="113">
        <v>577.34</v>
      </c>
      <c r="N795" s="113">
        <v>0.19968</v>
      </c>
      <c r="O795" s="114" t="s">
        <v>530</v>
      </c>
    </row>
    <row r="796" spans="1:15" x14ac:dyDescent="0.25">
      <c r="A796" s="113" t="s">
        <v>55</v>
      </c>
      <c r="B796" s="113" t="s">
        <v>46</v>
      </c>
      <c r="C796" s="113">
        <v>0.1</v>
      </c>
      <c r="D796" s="113">
        <v>1</v>
      </c>
      <c r="E796" s="113">
        <v>9.9999999999999995E-8</v>
      </c>
      <c r="F796" s="113" t="s">
        <v>13</v>
      </c>
      <c r="G796" s="113" t="s">
        <v>11</v>
      </c>
      <c r="H796" s="113">
        <v>0</v>
      </c>
      <c r="I796" s="113">
        <v>0</v>
      </c>
      <c r="K796" s="113">
        <v>12</v>
      </c>
      <c r="L796" s="113">
        <v>130</v>
      </c>
      <c r="M796" s="113">
        <v>11.536</v>
      </c>
      <c r="N796" s="113">
        <v>127.22</v>
      </c>
      <c r="O796" s="114" t="s">
        <v>531</v>
      </c>
    </row>
    <row r="797" spans="1:15" x14ac:dyDescent="0.25">
      <c r="A797" s="113" t="s">
        <v>55</v>
      </c>
      <c r="B797" s="113" t="s">
        <v>46</v>
      </c>
      <c r="C797" s="113">
        <v>0.1</v>
      </c>
      <c r="D797" s="113">
        <v>1</v>
      </c>
      <c r="E797" s="113">
        <v>9.9999999999999995E-7</v>
      </c>
      <c r="F797" s="113" t="s">
        <v>13</v>
      </c>
      <c r="G797" s="113" t="s">
        <v>11</v>
      </c>
      <c r="H797" s="113">
        <v>0</v>
      </c>
      <c r="I797" s="113">
        <v>0</v>
      </c>
      <c r="K797" s="113">
        <v>12</v>
      </c>
      <c r="L797" s="113">
        <v>130</v>
      </c>
      <c r="M797" s="113">
        <v>11.548</v>
      </c>
      <c r="N797" s="113">
        <v>127.21</v>
      </c>
      <c r="O797" s="114" t="s">
        <v>532</v>
      </c>
    </row>
    <row r="798" spans="1:15" x14ac:dyDescent="0.25">
      <c r="A798" s="113" t="s">
        <v>55</v>
      </c>
      <c r="B798" s="113" t="s">
        <v>46</v>
      </c>
      <c r="C798" s="113">
        <v>0.1</v>
      </c>
      <c r="D798" s="113">
        <v>1</v>
      </c>
      <c r="E798" s="113">
        <v>1.0000000000000001E-5</v>
      </c>
      <c r="F798" s="113" t="s">
        <v>13</v>
      </c>
      <c r="G798" s="113" t="s">
        <v>11</v>
      </c>
      <c r="H798" s="113">
        <v>0</v>
      </c>
      <c r="I798" s="113">
        <v>0</v>
      </c>
      <c r="K798" s="113">
        <v>12</v>
      </c>
      <c r="L798" s="113">
        <v>130</v>
      </c>
      <c r="M798" s="113">
        <v>12.276999999999999</v>
      </c>
      <c r="N798" s="113">
        <v>126.6</v>
      </c>
      <c r="O798" s="114" t="s">
        <v>533</v>
      </c>
    </row>
    <row r="799" spans="1:15" x14ac:dyDescent="0.25">
      <c r="A799" s="113" t="s">
        <v>55</v>
      </c>
      <c r="B799" s="113" t="s">
        <v>46</v>
      </c>
      <c r="C799" s="113">
        <v>0.1</v>
      </c>
      <c r="D799" s="113">
        <v>1</v>
      </c>
      <c r="E799" s="113">
        <v>1E-4</v>
      </c>
      <c r="F799" s="113" t="s">
        <v>13</v>
      </c>
      <c r="G799" s="113" t="s">
        <v>11</v>
      </c>
      <c r="H799" s="113">
        <v>0</v>
      </c>
      <c r="I799" s="113">
        <v>0</v>
      </c>
      <c r="K799" s="113">
        <v>52.948999999999998</v>
      </c>
      <c r="L799" s="113">
        <v>97.341999999999999</v>
      </c>
      <c r="M799" s="113">
        <v>52.884</v>
      </c>
      <c r="N799" s="113">
        <v>97.405000000000001</v>
      </c>
      <c r="O799" s="114" t="s">
        <v>534</v>
      </c>
    </row>
    <row r="800" spans="1:15" x14ac:dyDescent="0.25">
      <c r="A800" s="113" t="s">
        <v>55</v>
      </c>
      <c r="B800" s="113" t="s">
        <v>46</v>
      </c>
      <c r="C800" s="113">
        <v>0.1</v>
      </c>
      <c r="D800" s="113">
        <v>1</v>
      </c>
      <c r="E800" s="113">
        <v>1E-3</v>
      </c>
      <c r="F800" s="113" t="s">
        <v>13</v>
      </c>
      <c r="G800" s="113" t="s">
        <v>11</v>
      </c>
      <c r="H800" s="113">
        <v>0</v>
      </c>
      <c r="I800" s="113">
        <v>0</v>
      </c>
      <c r="K800" s="113">
        <v>576.12</v>
      </c>
      <c r="L800" s="113">
        <v>17.673999999999999</v>
      </c>
      <c r="M800" s="113">
        <v>576.1</v>
      </c>
      <c r="N800" s="113">
        <v>17.7</v>
      </c>
      <c r="O800" s="114" t="s">
        <v>535</v>
      </c>
    </row>
    <row r="801" spans="1:15" x14ac:dyDescent="0.25">
      <c r="A801" s="113" t="s">
        <v>55</v>
      </c>
      <c r="B801" s="113" t="s">
        <v>46</v>
      </c>
      <c r="C801" s="113">
        <v>0.1</v>
      </c>
      <c r="D801" s="113">
        <v>1</v>
      </c>
      <c r="E801" s="113">
        <v>0.01</v>
      </c>
      <c r="F801" s="113" t="s">
        <v>13</v>
      </c>
      <c r="G801" s="113" t="s">
        <v>11</v>
      </c>
      <c r="H801" s="113">
        <v>0</v>
      </c>
      <c r="I801" s="113">
        <v>0</v>
      </c>
      <c r="K801" s="113">
        <v>5773.4</v>
      </c>
      <c r="L801" s="113">
        <v>1.7853000000000001</v>
      </c>
      <c r="M801" s="113">
        <v>5771.8</v>
      </c>
      <c r="N801" s="113">
        <v>1.7958000000000001</v>
      </c>
      <c r="O801" s="114" t="s">
        <v>536</v>
      </c>
    </row>
    <row r="802" spans="1:15" x14ac:dyDescent="0.25">
      <c r="A802" s="113" t="s">
        <v>55</v>
      </c>
      <c r="B802" s="113" t="s">
        <v>46</v>
      </c>
      <c r="C802" s="113">
        <v>1</v>
      </c>
      <c r="D802" s="113">
        <v>20</v>
      </c>
      <c r="E802" s="113">
        <v>9.9999999999999995E-7</v>
      </c>
      <c r="F802" s="113" t="s">
        <v>13</v>
      </c>
      <c r="G802" s="113" t="s">
        <v>12</v>
      </c>
      <c r="H802" s="113">
        <v>0</v>
      </c>
      <c r="I802" s="113">
        <v>0</v>
      </c>
      <c r="K802" s="113">
        <v>6.8000000000000005E-2</v>
      </c>
      <c r="L802" s="113">
        <v>3.5999999999999999E-3</v>
      </c>
      <c r="M802" s="113">
        <v>4.2999999999999997E-2</v>
      </c>
      <c r="N802" s="113">
        <v>4.7600000000000003E-3</v>
      </c>
      <c r="O802" s="114" t="s">
        <v>537</v>
      </c>
    </row>
    <row r="803" spans="1:15" x14ac:dyDescent="0.25">
      <c r="A803" s="113" t="s">
        <v>55</v>
      </c>
      <c r="B803" s="113" t="s">
        <v>46</v>
      </c>
      <c r="C803" s="113">
        <v>1</v>
      </c>
      <c r="D803" s="113">
        <v>20</v>
      </c>
      <c r="E803" s="113">
        <v>1.0000000000000001E-5</v>
      </c>
      <c r="F803" s="113" t="s">
        <v>13</v>
      </c>
      <c r="G803" s="113" t="s">
        <v>12</v>
      </c>
      <c r="H803" s="113">
        <v>0</v>
      </c>
      <c r="I803" s="113">
        <v>0</v>
      </c>
      <c r="K803" s="113">
        <v>6.8000000000000005E-2</v>
      </c>
      <c r="L803" s="113">
        <v>3.5999999999999999E-3</v>
      </c>
      <c r="M803" s="113">
        <v>4.3318000000000002E-2</v>
      </c>
      <c r="N803" s="113">
        <v>4.7475E-3</v>
      </c>
      <c r="O803" s="114" t="s">
        <v>538</v>
      </c>
    </row>
    <row r="804" spans="1:15" x14ac:dyDescent="0.25">
      <c r="A804" s="113" t="s">
        <v>55</v>
      </c>
      <c r="B804" s="113" t="s">
        <v>46</v>
      </c>
      <c r="C804" s="113">
        <v>1</v>
      </c>
      <c r="D804" s="113">
        <v>20</v>
      </c>
      <c r="E804" s="113">
        <v>1E-4</v>
      </c>
      <c r="F804" s="113" t="s">
        <v>13</v>
      </c>
      <c r="G804" s="113" t="s">
        <v>12</v>
      </c>
      <c r="H804" s="113">
        <v>0</v>
      </c>
      <c r="I804" s="113">
        <v>0</v>
      </c>
      <c r="K804" s="113">
        <v>7.0892999999999998E-2</v>
      </c>
      <c r="L804" s="113">
        <v>3.8964999999999998E-3</v>
      </c>
      <c r="M804" s="113">
        <v>6.8928000000000003E-2</v>
      </c>
      <c r="N804" s="113">
        <v>3.8257999999999999E-3</v>
      </c>
      <c r="O804" s="114" t="s">
        <v>539</v>
      </c>
    </row>
    <row r="805" spans="1:15" x14ac:dyDescent="0.25">
      <c r="A805" s="113" t="s">
        <v>55</v>
      </c>
      <c r="B805" s="113" t="s">
        <v>46</v>
      </c>
      <c r="C805" s="113">
        <v>1</v>
      </c>
      <c r="D805" s="113">
        <v>20</v>
      </c>
      <c r="E805" s="113">
        <v>1E-3</v>
      </c>
      <c r="F805" s="113" t="s">
        <v>13</v>
      </c>
      <c r="G805" s="113" t="s">
        <v>12</v>
      </c>
      <c r="H805" s="113">
        <v>0</v>
      </c>
      <c r="I805" s="113">
        <v>0</v>
      </c>
      <c r="K805" s="113">
        <v>0.57833999999999997</v>
      </c>
      <c r="L805" s="113">
        <v>8.1072999999999996E-4</v>
      </c>
      <c r="M805" s="113">
        <v>0.57808999999999999</v>
      </c>
      <c r="N805" s="113">
        <v>6.9919999999999997E-4</v>
      </c>
      <c r="O805" s="114" t="s">
        <v>540</v>
      </c>
    </row>
    <row r="806" spans="1:15" x14ac:dyDescent="0.25">
      <c r="A806" s="113" t="s">
        <v>55</v>
      </c>
      <c r="B806" s="113" t="s">
        <v>46</v>
      </c>
      <c r="C806" s="113">
        <v>1</v>
      </c>
      <c r="D806" s="113">
        <v>20</v>
      </c>
      <c r="E806" s="113">
        <v>0.01</v>
      </c>
      <c r="F806" s="113" t="s">
        <v>13</v>
      </c>
      <c r="G806" s="113" t="s">
        <v>12</v>
      </c>
      <c r="H806" s="113">
        <v>0</v>
      </c>
      <c r="I806" s="113">
        <v>0</v>
      </c>
      <c r="K806" s="113">
        <v>5.7739000000000003</v>
      </c>
      <c r="L806" s="113">
        <v>1.1677E-4</v>
      </c>
      <c r="M806" s="113">
        <v>5.7736000000000001</v>
      </c>
      <c r="N806" s="113">
        <v>7.0888000000000003E-5</v>
      </c>
      <c r="O806" s="114" t="s">
        <v>541</v>
      </c>
    </row>
    <row r="807" spans="1:15" x14ac:dyDescent="0.25">
      <c r="A807" s="113" t="s">
        <v>55</v>
      </c>
      <c r="B807" s="113" t="s">
        <v>46</v>
      </c>
      <c r="C807" s="113">
        <v>1</v>
      </c>
      <c r="D807" s="113">
        <v>20</v>
      </c>
      <c r="E807" s="113">
        <v>0.1</v>
      </c>
      <c r="F807" s="113" t="s">
        <v>13</v>
      </c>
      <c r="G807" s="113" t="s">
        <v>12</v>
      </c>
      <c r="H807" s="113">
        <v>0</v>
      </c>
      <c r="I807" s="113">
        <v>0</v>
      </c>
      <c r="K807" s="113">
        <v>57.735999999999997</v>
      </c>
      <c r="L807" s="113">
        <v>2.5449E-5</v>
      </c>
      <c r="M807" s="113">
        <v>57.734999999999999</v>
      </c>
      <c r="N807" s="113">
        <v>7.0898000000000003E-6</v>
      </c>
      <c r="O807" s="114" t="s">
        <v>542</v>
      </c>
    </row>
    <row r="808" spans="1:15" x14ac:dyDescent="0.25">
      <c r="A808" s="113" t="s">
        <v>55</v>
      </c>
      <c r="B808" s="113" t="s">
        <v>3</v>
      </c>
      <c r="C808" s="113">
        <v>0</v>
      </c>
      <c r="D808" s="113">
        <v>0.1</v>
      </c>
      <c r="E808" s="113">
        <v>1E-8</v>
      </c>
      <c r="F808" s="113" t="s">
        <v>6</v>
      </c>
      <c r="G808" s="113" t="s">
        <v>5</v>
      </c>
      <c r="H808" s="113">
        <v>0</v>
      </c>
      <c r="I808" s="113">
        <v>0</v>
      </c>
      <c r="K808" s="113">
        <v>0.62</v>
      </c>
      <c r="L808" s="113">
        <v>8</v>
      </c>
      <c r="M808" s="113">
        <v>0.60546</v>
      </c>
      <c r="N808" s="113">
        <v>8.1091999999999995</v>
      </c>
      <c r="O808" s="114" t="s">
        <v>451</v>
      </c>
    </row>
    <row r="809" spans="1:15" x14ac:dyDescent="0.25">
      <c r="A809" s="113" t="s">
        <v>55</v>
      </c>
      <c r="B809" s="113" t="s">
        <v>3</v>
      </c>
      <c r="C809" s="113">
        <v>0</v>
      </c>
      <c r="D809" s="113">
        <v>0.1</v>
      </c>
      <c r="E809" s="113">
        <v>9.9999999999999995E-8</v>
      </c>
      <c r="F809" s="113" t="s">
        <v>6</v>
      </c>
      <c r="G809" s="113" t="s">
        <v>5</v>
      </c>
      <c r="H809" s="113">
        <v>0</v>
      </c>
      <c r="I809" s="113">
        <v>0</v>
      </c>
      <c r="K809" s="113">
        <v>0.62</v>
      </c>
      <c r="L809" s="113">
        <v>8.0237999999999996</v>
      </c>
      <c r="M809" s="113">
        <v>0.60819000000000001</v>
      </c>
      <c r="N809" s="113">
        <v>8.09</v>
      </c>
      <c r="O809" s="114" t="s">
        <v>452</v>
      </c>
    </row>
    <row r="810" spans="1:15" x14ac:dyDescent="0.25">
      <c r="A810" s="113" t="s">
        <v>55</v>
      </c>
      <c r="B810" s="113" t="s">
        <v>3</v>
      </c>
      <c r="C810" s="113">
        <v>0</v>
      </c>
      <c r="D810" s="113">
        <v>0.1</v>
      </c>
      <c r="E810" s="113">
        <v>9.9999999999999995E-7</v>
      </c>
      <c r="F810" s="113" t="s">
        <v>6</v>
      </c>
      <c r="G810" s="113" t="s">
        <v>5</v>
      </c>
      <c r="H810" s="113">
        <v>0</v>
      </c>
      <c r="I810" s="113">
        <v>0</v>
      </c>
      <c r="K810" s="113">
        <v>0.83938000000000001</v>
      </c>
      <c r="L810" s="113">
        <v>6.96</v>
      </c>
      <c r="M810" s="113">
        <v>0.83736999999999995</v>
      </c>
      <c r="N810" s="113">
        <v>6.93</v>
      </c>
      <c r="O810" s="114" t="s">
        <v>453</v>
      </c>
    </row>
    <row r="811" spans="1:15" x14ac:dyDescent="0.25">
      <c r="A811" s="113" t="s">
        <v>55</v>
      </c>
      <c r="B811" s="113" t="s">
        <v>3</v>
      </c>
      <c r="C811" s="113">
        <v>0</v>
      </c>
      <c r="D811" s="113">
        <v>0.1</v>
      </c>
      <c r="E811" s="113">
        <v>1.0000000000000001E-5</v>
      </c>
      <c r="F811" s="113" t="s">
        <v>6</v>
      </c>
      <c r="G811" s="113" t="s">
        <v>5</v>
      </c>
      <c r="H811" s="113">
        <v>0</v>
      </c>
      <c r="I811" s="113">
        <v>0</v>
      </c>
      <c r="K811" s="113">
        <v>5.8320999999999996</v>
      </c>
      <c r="L811" s="113">
        <v>1.43</v>
      </c>
      <c r="M811" s="113">
        <v>5.8310000000000004</v>
      </c>
      <c r="N811" s="113">
        <v>1.39</v>
      </c>
      <c r="O811" s="114" t="s">
        <v>454</v>
      </c>
    </row>
    <row r="812" spans="1:15" x14ac:dyDescent="0.25">
      <c r="A812" s="113" t="s">
        <v>55</v>
      </c>
      <c r="B812" s="113" t="s">
        <v>3</v>
      </c>
      <c r="C812" s="113">
        <v>0</v>
      </c>
      <c r="D812" s="113">
        <v>0.1</v>
      </c>
      <c r="E812" s="113">
        <v>1E-4</v>
      </c>
      <c r="F812" s="113" t="s">
        <v>6</v>
      </c>
      <c r="G812" s="113" t="s">
        <v>5</v>
      </c>
      <c r="H812" s="113">
        <v>0</v>
      </c>
      <c r="I812" s="113">
        <v>0</v>
      </c>
      <c r="K812" s="113">
        <v>58.003999999999998</v>
      </c>
      <c r="L812" s="113">
        <v>0.15762999999999999</v>
      </c>
      <c r="M812" s="113">
        <v>58.003</v>
      </c>
      <c r="N812" s="113">
        <v>0.14188000000000001</v>
      </c>
      <c r="O812" s="114" t="s">
        <v>455</v>
      </c>
    </row>
    <row r="813" spans="1:15" x14ac:dyDescent="0.25">
      <c r="A813" s="113" t="s">
        <v>55</v>
      </c>
      <c r="B813" s="113" t="s">
        <v>3</v>
      </c>
      <c r="C813" s="113">
        <v>0</v>
      </c>
      <c r="D813" s="113">
        <v>0.1</v>
      </c>
      <c r="E813" s="113">
        <v>1E-3</v>
      </c>
      <c r="F813" s="113" t="s">
        <v>6</v>
      </c>
      <c r="G813" s="113" t="s">
        <v>5</v>
      </c>
      <c r="H813" s="113">
        <v>0</v>
      </c>
      <c r="I813" s="113">
        <v>0</v>
      </c>
      <c r="K813" s="113">
        <v>580</v>
      </c>
      <c r="L813" s="113">
        <v>2.0493000000000001E-2</v>
      </c>
      <c r="M813" s="113">
        <v>580</v>
      </c>
      <c r="N813" s="113">
        <v>1.4191E-2</v>
      </c>
      <c r="O813" s="114" t="s">
        <v>456</v>
      </c>
    </row>
    <row r="814" spans="1:15" x14ac:dyDescent="0.25">
      <c r="A814" s="113" t="s">
        <v>55</v>
      </c>
      <c r="B814" s="113" t="s">
        <v>3</v>
      </c>
      <c r="C814" s="113">
        <v>0</v>
      </c>
      <c r="D814" s="113">
        <v>0.1</v>
      </c>
      <c r="E814" s="113">
        <v>0.01</v>
      </c>
      <c r="F814" s="113" t="s">
        <v>6</v>
      </c>
      <c r="G814" s="113" t="s">
        <v>4</v>
      </c>
      <c r="H814" s="113">
        <v>0</v>
      </c>
      <c r="I814" s="113">
        <v>0</v>
      </c>
      <c r="K814" s="113">
        <v>5.8</v>
      </c>
      <c r="L814" s="113">
        <v>3.9400000000000004E-6</v>
      </c>
      <c r="M814" s="113">
        <v>5.7999000000000001</v>
      </c>
      <c r="N814" s="113">
        <v>1.4191000000000001E-6</v>
      </c>
      <c r="O814" s="114" t="s">
        <v>457</v>
      </c>
    </row>
    <row r="815" spans="1:15" x14ac:dyDescent="0.25">
      <c r="A815" s="113" t="s">
        <v>55</v>
      </c>
      <c r="B815" s="113" t="s">
        <v>3</v>
      </c>
      <c r="C815" s="113">
        <v>0</v>
      </c>
      <c r="D815" s="113">
        <v>0.1</v>
      </c>
      <c r="E815" s="113">
        <v>0.1</v>
      </c>
      <c r="F815" s="113" t="s">
        <v>6</v>
      </c>
      <c r="G815" s="113" t="s">
        <v>4</v>
      </c>
      <c r="H815" s="113">
        <v>0</v>
      </c>
      <c r="I815" s="113">
        <v>0</v>
      </c>
      <c r="K815" s="113">
        <v>58</v>
      </c>
      <c r="L815" s="113">
        <v>1.1503E-6</v>
      </c>
      <c r="M815" s="113">
        <v>58</v>
      </c>
      <c r="N815" s="113">
        <v>1.4191E-7</v>
      </c>
      <c r="O815" s="114" t="s">
        <v>458</v>
      </c>
    </row>
    <row r="816" spans="1:15" x14ac:dyDescent="0.25">
      <c r="A816" s="113" t="s">
        <v>55</v>
      </c>
      <c r="B816" s="113" t="s">
        <v>3</v>
      </c>
      <c r="C816" s="113">
        <v>0</v>
      </c>
      <c r="D816" s="113">
        <v>0.1</v>
      </c>
      <c r="E816" s="113">
        <v>1</v>
      </c>
      <c r="F816" s="113" t="s">
        <v>6</v>
      </c>
      <c r="G816" s="113" t="s">
        <v>4</v>
      </c>
      <c r="H816" s="113">
        <v>0</v>
      </c>
      <c r="I816" s="113">
        <v>0</v>
      </c>
      <c r="K816" s="113">
        <v>580</v>
      </c>
      <c r="L816" s="113">
        <v>4.1754000000000002E-7</v>
      </c>
      <c r="M816" s="113">
        <v>580</v>
      </c>
      <c r="N816" s="113">
        <v>1.4190999999999999E-8</v>
      </c>
      <c r="O816" s="114" t="s">
        <v>459</v>
      </c>
    </row>
    <row r="817" spans="1:15" x14ac:dyDescent="0.25">
      <c r="A817" s="113" t="s">
        <v>55</v>
      </c>
      <c r="B817" s="113" t="s">
        <v>3</v>
      </c>
      <c r="C817" s="113">
        <v>0.1</v>
      </c>
      <c r="D817" s="113">
        <v>1</v>
      </c>
      <c r="E817" s="113">
        <v>1E-8</v>
      </c>
      <c r="F817" s="113" t="s">
        <v>6</v>
      </c>
      <c r="G817" s="113" t="s">
        <v>5</v>
      </c>
      <c r="H817" s="113">
        <v>0</v>
      </c>
      <c r="I817" s="113">
        <v>0</v>
      </c>
      <c r="K817" s="113">
        <v>0.44</v>
      </c>
      <c r="L817" s="113">
        <v>6</v>
      </c>
      <c r="M817" s="113">
        <v>0.43733</v>
      </c>
      <c r="N817" s="113">
        <v>5.9926000000000004</v>
      </c>
      <c r="O817" s="114" t="s">
        <v>460</v>
      </c>
    </row>
    <row r="818" spans="1:15" x14ac:dyDescent="0.25">
      <c r="A818" s="113" t="s">
        <v>55</v>
      </c>
      <c r="B818" s="113" t="s">
        <v>3</v>
      </c>
      <c r="C818" s="113">
        <v>0.1</v>
      </c>
      <c r="D818" s="113">
        <v>1</v>
      </c>
      <c r="E818" s="113">
        <v>9.9999999999999995E-8</v>
      </c>
      <c r="F818" s="113" t="s">
        <v>6</v>
      </c>
      <c r="G818" s="113" t="s">
        <v>5</v>
      </c>
      <c r="H818" s="113">
        <v>0</v>
      </c>
      <c r="I818" s="113">
        <v>0</v>
      </c>
      <c r="K818" s="113">
        <v>0.44094</v>
      </c>
      <c r="L818" s="113">
        <v>5.99</v>
      </c>
      <c r="M818" s="113">
        <v>0.43908999999999998</v>
      </c>
      <c r="N818" s="113">
        <v>5.9911000000000003</v>
      </c>
      <c r="O818" s="114" t="s">
        <v>461</v>
      </c>
    </row>
    <row r="819" spans="1:15" x14ac:dyDescent="0.25">
      <c r="A819" s="113" t="s">
        <v>55</v>
      </c>
      <c r="B819" s="113" t="s">
        <v>3</v>
      </c>
      <c r="C819" s="113">
        <v>0.1</v>
      </c>
      <c r="D819" s="113">
        <v>1</v>
      </c>
      <c r="E819" s="113">
        <v>9.9999999999999995E-7</v>
      </c>
      <c r="F819" s="113" t="s">
        <v>6</v>
      </c>
      <c r="G819" s="113" t="s">
        <v>5</v>
      </c>
      <c r="H819" s="113">
        <v>0</v>
      </c>
      <c r="I819" s="113">
        <v>0</v>
      </c>
      <c r="K819" s="113">
        <v>0.60901000000000005</v>
      </c>
      <c r="L819" s="113">
        <v>5.85</v>
      </c>
      <c r="M819" s="113">
        <v>0.60243999999999998</v>
      </c>
      <c r="N819" s="113">
        <v>5.8536000000000001</v>
      </c>
      <c r="O819" s="114" t="s">
        <v>462</v>
      </c>
    </row>
    <row r="820" spans="1:15" x14ac:dyDescent="0.25">
      <c r="A820" s="113" t="s">
        <v>55</v>
      </c>
      <c r="B820" s="113" t="s">
        <v>3</v>
      </c>
      <c r="C820" s="113">
        <v>0.1</v>
      </c>
      <c r="D820" s="113">
        <v>1</v>
      </c>
      <c r="E820" s="113">
        <v>1.0000000000000001E-5</v>
      </c>
      <c r="F820" s="113" t="s">
        <v>6</v>
      </c>
      <c r="G820" s="113" t="s">
        <v>5</v>
      </c>
      <c r="H820" s="113">
        <v>0</v>
      </c>
      <c r="I820" s="113">
        <v>0</v>
      </c>
      <c r="K820" s="113">
        <v>5.5890000000000004</v>
      </c>
      <c r="L820" s="113">
        <v>3.0792000000000002</v>
      </c>
      <c r="M820" s="113">
        <v>5.5845000000000002</v>
      </c>
      <c r="N820" s="113">
        <v>3.0749</v>
      </c>
      <c r="O820" s="114" t="s">
        <v>463</v>
      </c>
    </row>
    <row r="821" spans="1:15" x14ac:dyDescent="0.25">
      <c r="A821" s="113" t="s">
        <v>55</v>
      </c>
      <c r="B821" s="113" t="s">
        <v>3</v>
      </c>
      <c r="C821" s="113">
        <v>0.1</v>
      </c>
      <c r="D821" s="113">
        <v>1</v>
      </c>
      <c r="E821" s="113">
        <v>1E-4</v>
      </c>
      <c r="F821" s="113" t="s">
        <v>6</v>
      </c>
      <c r="G821" s="113" t="s">
        <v>5</v>
      </c>
      <c r="H821" s="113">
        <v>0</v>
      </c>
      <c r="I821" s="113">
        <v>0</v>
      </c>
      <c r="K821" s="113">
        <v>57.972999999999999</v>
      </c>
      <c r="L821" s="113">
        <v>0.3881</v>
      </c>
      <c r="M821" s="113">
        <v>57.970999999999997</v>
      </c>
      <c r="N821" s="113">
        <v>0.38451999999999997</v>
      </c>
      <c r="O821" s="114" t="s">
        <v>464</v>
      </c>
    </row>
    <row r="822" spans="1:15" x14ac:dyDescent="0.25">
      <c r="A822" s="113" t="s">
        <v>55</v>
      </c>
      <c r="B822" s="113" t="s">
        <v>3</v>
      </c>
      <c r="C822" s="113">
        <v>0.1</v>
      </c>
      <c r="D822" s="113">
        <v>1</v>
      </c>
      <c r="E822" s="113">
        <v>1E-3</v>
      </c>
      <c r="F822" s="113" t="s">
        <v>6</v>
      </c>
      <c r="G822" s="113" t="s">
        <v>5</v>
      </c>
      <c r="H822" s="113">
        <v>0</v>
      </c>
      <c r="I822" s="113">
        <v>0</v>
      </c>
      <c r="K822" s="113">
        <v>580</v>
      </c>
      <c r="L822" s="113">
        <v>4.0017999999999998E-2</v>
      </c>
      <c r="M822" s="113">
        <v>579.96</v>
      </c>
      <c r="N822" s="113">
        <v>3.8571000000000001E-2</v>
      </c>
      <c r="O822" s="114" t="s">
        <v>465</v>
      </c>
    </row>
    <row r="823" spans="1:15" x14ac:dyDescent="0.25">
      <c r="A823" s="113" t="s">
        <v>55</v>
      </c>
      <c r="B823" s="113" t="s">
        <v>3</v>
      </c>
      <c r="C823" s="113">
        <v>1</v>
      </c>
      <c r="D823" s="113">
        <v>10</v>
      </c>
      <c r="E823" s="113">
        <v>9.9999999999999995E-8</v>
      </c>
      <c r="F823" s="113" t="s">
        <v>6</v>
      </c>
      <c r="G823" s="113" t="s">
        <v>5</v>
      </c>
      <c r="H823" s="113">
        <v>0</v>
      </c>
      <c r="I823" s="113">
        <v>0</v>
      </c>
      <c r="K823" s="113">
        <v>1.2</v>
      </c>
      <c r="L823" s="113">
        <v>5.3</v>
      </c>
      <c r="M823" s="113">
        <v>0.75905</v>
      </c>
      <c r="N823" s="113">
        <v>5.3437000000000001</v>
      </c>
      <c r="O823" s="114" t="s">
        <v>466</v>
      </c>
    </row>
    <row r="824" spans="1:15" x14ac:dyDescent="0.25">
      <c r="A824" s="113" t="s">
        <v>55</v>
      </c>
      <c r="B824" s="113" t="s">
        <v>3</v>
      </c>
      <c r="C824" s="113">
        <v>1</v>
      </c>
      <c r="D824" s="113">
        <v>10</v>
      </c>
      <c r="E824" s="113">
        <v>9.9999999999999995E-7</v>
      </c>
      <c r="F824" s="113" t="s">
        <v>6</v>
      </c>
      <c r="G824" s="113" t="s">
        <v>5</v>
      </c>
      <c r="H824" s="113">
        <v>0</v>
      </c>
      <c r="I824" s="113">
        <v>0</v>
      </c>
      <c r="K824" s="113">
        <v>1.2</v>
      </c>
      <c r="L824" s="113">
        <v>5.3409000000000004</v>
      </c>
      <c r="M824" s="113">
        <v>0.78898000000000001</v>
      </c>
      <c r="N824" s="113">
        <v>5.3410000000000002</v>
      </c>
      <c r="O824" s="114" t="s">
        <v>467</v>
      </c>
    </row>
    <row r="825" spans="1:15" x14ac:dyDescent="0.25">
      <c r="A825" s="113" t="s">
        <v>55</v>
      </c>
      <c r="B825" s="113" t="s">
        <v>3</v>
      </c>
      <c r="C825" s="113">
        <v>1</v>
      </c>
      <c r="D825" s="113">
        <v>10</v>
      </c>
      <c r="E825" s="113">
        <v>1.0000000000000001E-5</v>
      </c>
      <c r="F825" s="113" t="s">
        <v>6</v>
      </c>
      <c r="G825" s="113" t="s">
        <v>5</v>
      </c>
      <c r="H825" s="113">
        <v>0</v>
      </c>
      <c r="I825" s="113">
        <v>0</v>
      </c>
      <c r="K825" s="113">
        <v>3.3010000000000002</v>
      </c>
      <c r="L825" s="113">
        <v>5.1204999999999998</v>
      </c>
      <c r="M825" s="113">
        <v>3.2984</v>
      </c>
      <c r="N825" s="113">
        <v>5.1207000000000003</v>
      </c>
      <c r="O825" s="114" t="s">
        <v>468</v>
      </c>
    </row>
    <row r="826" spans="1:15" x14ac:dyDescent="0.25">
      <c r="A826" s="113" t="s">
        <v>55</v>
      </c>
      <c r="B826" s="113" t="s">
        <v>3</v>
      </c>
      <c r="C826" s="113">
        <v>1</v>
      </c>
      <c r="D826" s="113">
        <v>10</v>
      </c>
      <c r="E826" s="113">
        <v>1E-4</v>
      </c>
      <c r="F826" s="113" t="s">
        <v>6</v>
      </c>
      <c r="G826" s="113" t="s">
        <v>5</v>
      </c>
      <c r="H826" s="113">
        <v>0</v>
      </c>
      <c r="I826" s="113">
        <v>0</v>
      </c>
      <c r="K826" s="113">
        <v>55.981000000000002</v>
      </c>
      <c r="L826" s="113">
        <v>2.3401000000000001</v>
      </c>
      <c r="M826" s="113">
        <v>55.98</v>
      </c>
      <c r="N826" s="113">
        <v>2.34</v>
      </c>
      <c r="O826" s="114" t="s">
        <v>469</v>
      </c>
    </row>
    <row r="827" spans="1:15" x14ac:dyDescent="0.25">
      <c r="A827" s="113" t="s">
        <v>55</v>
      </c>
      <c r="B827" s="113" t="s">
        <v>3</v>
      </c>
      <c r="C827" s="113">
        <v>1</v>
      </c>
      <c r="D827" s="113">
        <v>10</v>
      </c>
      <c r="E827" s="113">
        <v>1E-3</v>
      </c>
      <c r="F827" s="113" t="s">
        <v>6</v>
      </c>
      <c r="G827" s="113" t="s">
        <v>5</v>
      </c>
      <c r="H827" s="113">
        <v>0</v>
      </c>
      <c r="I827" s="113">
        <v>0</v>
      </c>
      <c r="K827" s="113">
        <v>579.76</v>
      </c>
      <c r="L827" s="113">
        <v>0.27723999999999999</v>
      </c>
      <c r="M827" s="113">
        <v>579.76</v>
      </c>
      <c r="N827" s="113">
        <v>0.27716000000000002</v>
      </c>
      <c r="O827" s="114" t="s">
        <v>470</v>
      </c>
    </row>
    <row r="828" spans="1:15" x14ac:dyDescent="0.25">
      <c r="A828" s="113" t="s">
        <v>55</v>
      </c>
      <c r="B828" s="113" t="s">
        <v>3</v>
      </c>
      <c r="C828" s="113">
        <v>1</v>
      </c>
      <c r="D828" s="113">
        <v>10</v>
      </c>
      <c r="E828" s="113">
        <v>0.01</v>
      </c>
      <c r="F828" s="113" t="s">
        <v>6</v>
      </c>
      <c r="G828" s="113" t="s">
        <v>5</v>
      </c>
      <c r="H828" s="113">
        <v>0</v>
      </c>
      <c r="I828" s="113">
        <v>0</v>
      </c>
      <c r="K828" s="113">
        <v>5800</v>
      </c>
      <c r="L828" s="113">
        <v>2.7807999999999999E-2</v>
      </c>
      <c r="M828" s="113">
        <v>5799.7</v>
      </c>
      <c r="N828" s="113">
        <v>2.7777E-2</v>
      </c>
      <c r="O828" s="114" t="s">
        <v>471</v>
      </c>
    </row>
    <row r="829" spans="1:15" x14ac:dyDescent="0.25">
      <c r="A829" s="113" t="s">
        <v>55</v>
      </c>
      <c r="B829" s="113" t="s">
        <v>3</v>
      </c>
      <c r="C829" s="113">
        <v>10</v>
      </c>
      <c r="D829" s="113">
        <v>100</v>
      </c>
      <c r="E829" s="113">
        <v>9.9999999999999995E-7</v>
      </c>
      <c r="F829" s="113" t="s">
        <v>6</v>
      </c>
      <c r="G829" s="113" t="s">
        <v>5</v>
      </c>
      <c r="H829" s="113">
        <v>0</v>
      </c>
      <c r="I829" s="113">
        <v>0</v>
      </c>
      <c r="K829" s="113">
        <v>34</v>
      </c>
      <c r="L829" s="113">
        <v>7.8</v>
      </c>
      <c r="M829" s="113">
        <v>33.131999999999998</v>
      </c>
      <c r="N829" s="113">
        <v>7.7866</v>
      </c>
      <c r="O829" s="114" t="s">
        <v>472</v>
      </c>
    </row>
    <row r="830" spans="1:15" x14ac:dyDescent="0.25">
      <c r="A830" s="113" t="s">
        <v>55</v>
      </c>
      <c r="B830" s="113" t="s">
        <v>3</v>
      </c>
      <c r="C830" s="113">
        <v>10</v>
      </c>
      <c r="D830" s="113">
        <v>100</v>
      </c>
      <c r="E830" s="113">
        <v>1.0000000000000001E-5</v>
      </c>
      <c r="F830" s="113" t="s">
        <v>6</v>
      </c>
      <c r="G830" s="113" t="s">
        <v>5</v>
      </c>
      <c r="H830" s="113">
        <v>0</v>
      </c>
      <c r="I830" s="113">
        <v>0</v>
      </c>
      <c r="K830" s="113">
        <v>34</v>
      </c>
      <c r="L830" s="113">
        <v>7.7847999999999997</v>
      </c>
      <c r="M830" s="113">
        <v>33.299999999999997</v>
      </c>
      <c r="N830" s="113">
        <v>7.7850999999999999</v>
      </c>
      <c r="O830" s="114" t="s">
        <v>473</v>
      </c>
    </row>
    <row r="831" spans="1:15" x14ac:dyDescent="0.25">
      <c r="A831" s="113" t="s">
        <v>55</v>
      </c>
      <c r="B831" s="113" t="s">
        <v>3</v>
      </c>
      <c r="C831" s="113">
        <v>10</v>
      </c>
      <c r="D831" s="113">
        <v>100</v>
      </c>
      <c r="E831" s="113">
        <v>1E-4</v>
      </c>
      <c r="F831" s="113" t="s">
        <v>6</v>
      </c>
      <c r="G831" s="113" t="s">
        <v>5</v>
      </c>
      <c r="H831" s="113">
        <v>0</v>
      </c>
      <c r="I831" s="113">
        <v>0</v>
      </c>
      <c r="K831" s="113">
        <v>48.99</v>
      </c>
      <c r="L831" s="113">
        <v>7.6505000000000001</v>
      </c>
      <c r="M831" s="113">
        <v>48.722999999999999</v>
      </c>
      <c r="N831" s="113">
        <v>7.6513999999999998</v>
      </c>
      <c r="O831" s="114" t="s">
        <v>474</v>
      </c>
    </row>
    <row r="832" spans="1:15" x14ac:dyDescent="0.25">
      <c r="A832" s="113" t="s">
        <v>55</v>
      </c>
      <c r="B832" s="113" t="s">
        <v>3</v>
      </c>
      <c r="C832" s="113">
        <v>10</v>
      </c>
      <c r="D832" s="113">
        <v>100</v>
      </c>
      <c r="E832" s="113">
        <v>1E-3</v>
      </c>
      <c r="F832" s="113" t="s">
        <v>6</v>
      </c>
      <c r="G832" s="113" t="s">
        <v>5</v>
      </c>
      <c r="H832" s="113">
        <v>0</v>
      </c>
      <c r="I832" s="113">
        <v>0</v>
      </c>
      <c r="K832" s="113">
        <v>545.46</v>
      </c>
      <c r="L832" s="113">
        <v>4.5282999999999998</v>
      </c>
      <c r="M832" s="113">
        <v>545.28</v>
      </c>
      <c r="N832" s="113">
        <v>4.5242000000000004</v>
      </c>
      <c r="O832" s="114" t="s">
        <v>475</v>
      </c>
    </row>
    <row r="833" spans="1:15" x14ac:dyDescent="0.25">
      <c r="A833" s="113" t="s">
        <v>55</v>
      </c>
      <c r="B833" s="113" t="s">
        <v>3</v>
      </c>
      <c r="C833" s="113">
        <v>10</v>
      </c>
      <c r="D833" s="113">
        <v>100</v>
      </c>
      <c r="E833" s="113">
        <v>0.01</v>
      </c>
      <c r="F833" s="113" t="s">
        <v>6</v>
      </c>
      <c r="G833" s="113" t="s">
        <v>5</v>
      </c>
      <c r="H833" s="113">
        <v>0</v>
      </c>
      <c r="I833" s="113">
        <v>0</v>
      </c>
      <c r="K833" s="113">
        <v>5795</v>
      </c>
      <c r="L833" s="113">
        <v>0.61987000000000003</v>
      </c>
      <c r="M833" s="113">
        <v>5794.9</v>
      </c>
      <c r="N833" s="113">
        <v>0.61636999999999997</v>
      </c>
      <c r="O833" s="114" t="s">
        <v>476</v>
      </c>
    </row>
    <row r="834" spans="1:15" x14ac:dyDescent="0.25">
      <c r="A834" s="113" t="s">
        <v>55</v>
      </c>
      <c r="B834" s="113" t="s">
        <v>3</v>
      </c>
      <c r="C834" s="113">
        <v>100</v>
      </c>
      <c r="D834" s="113">
        <v>1000</v>
      </c>
      <c r="E834" s="113">
        <v>1.0000000000000001E-5</v>
      </c>
      <c r="F834" s="113" t="s">
        <v>6</v>
      </c>
      <c r="G834" s="113" t="s">
        <v>4</v>
      </c>
      <c r="H834" s="113">
        <v>0</v>
      </c>
      <c r="I834" s="113">
        <v>0</v>
      </c>
      <c r="K834" s="113">
        <v>0.11</v>
      </c>
      <c r="L834" s="113">
        <v>8.6999999999999994E-3</v>
      </c>
      <c r="M834" s="113">
        <v>0.10063999999999999</v>
      </c>
      <c r="N834" s="113">
        <v>8.6546999999999995E-3</v>
      </c>
      <c r="O834" s="114" t="s">
        <v>477</v>
      </c>
    </row>
    <row r="835" spans="1:15" x14ac:dyDescent="0.25">
      <c r="A835" s="113" t="s">
        <v>55</v>
      </c>
      <c r="B835" s="113" t="s">
        <v>3</v>
      </c>
      <c r="C835" s="113">
        <v>100</v>
      </c>
      <c r="D835" s="113">
        <v>1000</v>
      </c>
      <c r="E835" s="113">
        <v>1E-4</v>
      </c>
      <c r="F835" s="113" t="s">
        <v>6</v>
      </c>
      <c r="G835" s="113" t="s">
        <v>4</v>
      </c>
      <c r="H835" s="113">
        <v>0</v>
      </c>
      <c r="I835" s="113">
        <v>0</v>
      </c>
      <c r="K835" s="113">
        <v>0.11</v>
      </c>
      <c r="L835" s="113">
        <v>8.6528999999999998E-3</v>
      </c>
      <c r="M835" s="113">
        <v>0.10253</v>
      </c>
      <c r="N835" s="113">
        <v>8.6529999999999992E-3</v>
      </c>
      <c r="O835" s="114" t="s">
        <v>478</v>
      </c>
    </row>
    <row r="836" spans="1:15" x14ac:dyDescent="0.25">
      <c r="A836" s="113" t="s">
        <v>55</v>
      </c>
      <c r="B836" s="113" t="s">
        <v>3</v>
      </c>
      <c r="C836" s="113">
        <v>100</v>
      </c>
      <c r="D836" s="113">
        <v>1000</v>
      </c>
      <c r="E836" s="113">
        <v>1E-3</v>
      </c>
      <c r="F836" s="113" t="s">
        <v>6</v>
      </c>
      <c r="G836" s="113" t="s">
        <v>4</v>
      </c>
      <c r="H836" s="113">
        <v>0</v>
      </c>
      <c r="I836" s="113">
        <v>0</v>
      </c>
      <c r="K836" s="113">
        <v>0.27989000000000003</v>
      </c>
      <c r="L836" s="113">
        <v>8.4975999999999993E-3</v>
      </c>
      <c r="M836" s="113">
        <v>0.27706999999999998</v>
      </c>
      <c r="N836" s="113">
        <v>8.4974999999999998E-3</v>
      </c>
      <c r="O836" s="114" t="s">
        <v>479</v>
      </c>
    </row>
    <row r="837" spans="1:15" x14ac:dyDescent="0.25">
      <c r="A837" s="113" t="s">
        <v>55</v>
      </c>
      <c r="B837" s="113" t="s">
        <v>3</v>
      </c>
      <c r="C837" s="113">
        <v>100</v>
      </c>
      <c r="D837" s="113">
        <v>1000</v>
      </c>
      <c r="E837" s="113">
        <v>0.01</v>
      </c>
      <c r="F837" s="113" t="s">
        <v>6</v>
      </c>
      <c r="G837" s="113" t="s">
        <v>4</v>
      </c>
      <c r="H837" s="113">
        <v>0</v>
      </c>
      <c r="I837" s="113">
        <v>0</v>
      </c>
      <c r="K837" s="113">
        <v>5.3677000000000001</v>
      </c>
      <c r="L837" s="113">
        <v>5.1444000000000004E-3</v>
      </c>
      <c r="M837" s="113">
        <v>5.3662999999999998</v>
      </c>
      <c r="N837" s="113">
        <v>5.1358999999999997E-3</v>
      </c>
      <c r="O837" s="114" t="s">
        <v>480</v>
      </c>
    </row>
    <row r="838" spans="1:15" x14ac:dyDescent="0.25">
      <c r="A838" s="113" t="s">
        <v>55</v>
      </c>
      <c r="B838" s="113" t="s">
        <v>3</v>
      </c>
      <c r="C838" s="113">
        <v>100</v>
      </c>
      <c r="D838" s="113">
        <v>1000</v>
      </c>
      <c r="E838" s="113">
        <v>0.1</v>
      </c>
      <c r="F838" s="113" t="s">
        <v>6</v>
      </c>
      <c r="G838" s="113" t="s">
        <v>4</v>
      </c>
      <c r="H838" s="113">
        <v>0</v>
      </c>
      <c r="I838" s="113">
        <v>0</v>
      </c>
      <c r="K838" s="113">
        <v>57.936</v>
      </c>
      <c r="L838" s="113">
        <v>7.2802999999999995E-4</v>
      </c>
      <c r="M838" s="113">
        <v>57.936</v>
      </c>
      <c r="N838" s="113">
        <v>7.2117999999999998E-4</v>
      </c>
      <c r="O838" s="114" t="s">
        <v>481</v>
      </c>
    </row>
    <row r="839" spans="1:15" x14ac:dyDescent="0.25">
      <c r="A839" s="113" t="s">
        <v>55</v>
      </c>
      <c r="B839" s="113" t="s">
        <v>3</v>
      </c>
      <c r="C839" s="113">
        <v>100</v>
      </c>
      <c r="D839" s="113">
        <v>1000</v>
      </c>
      <c r="E839" s="113">
        <v>1</v>
      </c>
      <c r="F839" s="113" t="s">
        <v>6</v>
      </c>
      <c r="G839" s="113" t="s">
        <v>4</v>
      </c>
      <c r="H839" s="113">
        <v>0</v>
      </c>
      <c r="I839" s="113">
        <v>0</v>
      </c>
      <c r="K839" s="113">
        <v>579.99</v>
      </c>
      <c r="L839" s="113">
        <v>7.5300000000000001E-5</v>
      </c>
      <c r="M839" s="113">
        <v>579.92999999999995</v>
      </c>
      <c r="N839" s="113">
        <v>7.2527999999999994E-5</v>
      </c>
      <c r="O839" s="114" t="s">
        <v>482</v>
      </c>
    </row>
    <row r="840" spans="1:15" x14ac:dyDescent="0.25">
      <c r="A840" s="113" t="s">
        <v>55</v>
      </c>
      <c r="B840" s="113" t="s">
        <v>80</v>
      </c>
      <c r="C840" s="113">
        <v>-454</v>
      </c>
      <c r="D840" s="113">
        <v>300</v>
      </c>
      <c r="E840" s="113">
        <v>0.1</v>
      </c>
      <c r="F840" s="113" t="s">
        <v>26</v>
      </c>
      <c r="G840" s="113" t="s">
        <v>26</v>
      </c>
      <c r="H840" s="113">
        <v>0</v>
      </c>
      <c r="I840" s="113">
        <v>0</v>
      </c>
      <c r="K840" s="113">
        <v>0.12</v>
      </c>
      <c r="L840" s="113">
        <v>0</v>
      </c>
      <c r="M840" s="113">
        <v>8.4620388000000005E-2</v>
      </c>
      <c r="N840" s="113">
        <v>0</v>
      </c>
      <c r="O840" s="114" t="s">
        <v>445</v>
      </c>
    </row>
    <row r="841" spans="1:15" x14ac:dyDescent="0.25">
      <c r="A841" s="113" t="s">
        <v>55</v>
      </c>
      <c r="B841" s="113" t="s">
        <v>80</v>
      </c>
      <c r="C841" s="113">
        <v>-454</v>
      </c>
      <c r="D841" s="113">
        <v>300</v>
      </c>
      <c r="E841" s="113">
        <v>1</v>
      </c>
      <c r="F841" s="113" t="s">
        <v>26</v>
      </c>
      <c r="G841" s="113" t="s">
        <v>26</v>
      </c>
      <c r="H841" s="113">
        <v>0</v>
      </c>
      <c r="I841" s="113">
        <v>0</v>
      </c>
      <c r="K841" s="113">
        <v>0.60176790400000002</v>
      </c>
      <c r="L841" s="113">
        <v>0</v>
      </c>
      <c r="M841" s="113">
        <v>0.58065532799999997</v>
      </c>
      <c r="N841" s="113">
        <v>0</v>
      </c>
      <c r="O841" s="114" t="s">
        <v>446</v>
      </c>
    </row>
    <row r="842" spans="1:15" x14ac:dyDescent="0.25">
      <c r="A842" s="113" t="s">
        <v>55</v>
      </c>
      <c r="B842" s="113" t="s">
        <v>80</v>
      </c>
      <c r="C842" s="113">
        <v>300.00099999999998</v>
      </c>
      <c r="D842" s="113">
        <v>1100</v>
      </c>
      <c r="E842" s="113">
        <v>0.1</v>
      </c>
      <c r="F842" s="113" t="s">
        <v>26</v>
      </c>
      <c r="G842" s="113" t="s">
        <v>26</v>
      </c>
      <c r="H842" s="113">
        <v>0</v>
      </c>
      <c r="I842" s="113">
        <v>0</v>
      </c>
      <c r="K842" s="113">
        <v>0.09</v>
      </c>
      <c r="L842" s="113">
        <v>0</v>
      </c>
      <c r="M842" s="113">
        <v>8.4258116999999993E-2</v>
      </c>
      <c r="N842" s="113">
        <v>0</v>
      </c>
      <c r="O842" s="114" t="s">
        <v>447</v>
      </c>
    </row>
    <row r="843" spans="1:15" x14ac:dyDescent="0.25">
      <c r="A843" s="113" t="s">
        <v>55</v>
      </c>
      <c r="B843" s="113" t="s">
        <v>80</v>
      </c>
      <c r="C843" s="113">
        <v>300.00099999999998</v>
      </c>
      <c r="D843" s="113">
        <v>1100</v>
      </c>
      <c r="E843" s="113">
        <v>1</v>
      </c>
      <c r="F843" s="113" t="s">
        <v>26</v>
      </c>
      <c r="G843" s="113" t="s">
        <v>26</v>
      </c>
      <c r="H843" s="113">
        <v>0</v>
      </c>
      <c r="I843" s="113">
        <v>0</v>
      </c>
      <c r="K843" s="113">
        <v>0.58298645599999999</v>
      </c>
      <c r="L843" s="113">
        <v>0</v>
      </c>
      <c r="M843" s="113">
        <v>0.58060264399999995</v>
      </c>
      <c r="N843" s="113">
        <v>0</v>
      </c>
      <c r="O843" s="114" t="s">
        <v>448</v>
      </c>
    </row>
    <row r="844" spans="1:15" x14ac:dyDescent="0.25">
      <c r="A844" s="113" t="s">
        <v>55</v>
      </c>
      <c r="B844" s="113" t="s">
        <v>80</v>
      </c>
      <c r="C844" s="113">
        <v>1100.001</v>
      </c>
      <c r="D844" s="113">
        <v>1832</v>
      </c>
      <c r="E844" s="113">
        <v>0.1</v>
      </c>
      <c r="F844" s="113" t="s">
        <v>26</v>
      </c>
      <c r="G844" s="113" t="s">
        <v>26</v>
      </c>
      <c r="H844" s="113">
        <v>0</v>
      </c>
      <c r="I844" s="113">
        <v>0</v>
      </c>
      <c r="K844" s="113">
        <v>9.1750578999999999E-2</v>
      </c>
      <c r="L844" s="113">
        <v>0</v>
      </c>
      <c r="M844" s="113">
        <v>8.7890410000000002E-2</v>
      </c>
      <c r="N844" s="113">
        <v>0</v>
      </c>
      <c r="O844" s="114" t="s">
        <v>449</v>
      </c>
    </row>
    <row r="845" spans="1:15" x14ac:dyDescent="0.25">
      <c r="A845" s="113" t="s">
        <v>55</v>
      </c>
      <c r="B845" s="113" t="s">
        <v>80</v>
      </c>
      <c r="C845" s="113">
        <v>1100.001</v>
      </c>
      <c r="D845" s="113">
        <v>1832</v>
      </c>
      <c r="E845" s="113">
        <v>1</v>
      </c>
      <c r="F845" s="113" t="s">
        <v>26</v>
      </c>
      <c r="G845" s="113" t="s">
        <v>26</v>
      </c>
      <c r="H845" s="113">
        <v>0</v>
      </c>
      <c r="I845" s="113">
        <v>0</v>
      </c>
      <c r="K845" s="113">
        <v>0.58352249499999997</v>
      </c>
      <c r="L845" s="113">
        <v>0</v>
      </c>
      <c r="M845" s="113">
        <v>0.58114088200000003</v>
      </c>
      <c r="N845" s="113">
        <v>0</v>
      </c>
      <c r="O845" s="114" t="s">
        <v>450</v>
      </c>
    </row>
    <row r="846" spans="1:15" x14ac:dyDescent="0.25">
      <c r="A846" s="113" t="s">
        <v>55</v>
      </c>
      <c r="B846" s="113" t="s">
        <v>81</v>
      </c>
      <c r="C846" s="113">
        <v>-346</v>
      </c>
      <c r="D846" s="113">
        <v>499.99900000000002</v>
      </c>
      <c r="E846" s="113">
        <v>0.1</v>
      </c>
      <c r="F846" s="113" t="s">
        <v>26</v>
      </c>
      <c r="G846" s="113" t="s">
        <v>26</v>
      </c>
      <c r="H846" s="113">
        <v>0</v>
      </c>
      <c r="I846" s="113">
        <v>0</v>
      </c>
      <c r="K846" s="113">
        <v>0.14000000000000001</v>
      </c>
      <c r="L846" s="113">
        <v>0</v>
      </c>
      <c r="M846" s="113">
        <v>9.1813959000000001E-2</v>
      </c>
      <c r="N846" s="113">
        <v>0</v>
      </c>
      <c r="O846" s="114" t="s">
        <v>439</v>
      </c>
    </row>
    <row r="847" spans="1:15" x14ac:dyDescent="0.25">
      <c r="A847" s="113" t="s">
        <v>55</v>
      </c>
      <c r="B847" s="113" t="s">
        <v>81</v>
      </c>
      <c r="C847" s="113">
        <v>-346</v>
      </c>
      <c r="D847" s="113">
        <v>499.99900000000002</v>
      </c>
      <c r="E847" s="113">
        <v>1</v>
      </c>
      <c r="F847" s="113" t="s">
        <v>26</v>
      </c>
      <c r="G847" s="113" t="s">
        <v>26</v>
      </c>
      <c r="H847" s="113">
        <v>0</v>
      </c>
      <c r="I847" s="113">
        <v>0</v>
      </c>
      <c r="K847" s="113">
        <v>0.61871661300000003</v>
      </c>
      <c r="L847" s="113">
        <v>0</v>
      </c>
      <c r="M847" s="113">
        <v>0.58174719900000005</v>
      </c>
      <c r="N847" s="113">
        <v>0</v>
      </c>
      <c r="O847" s="114" t="s">
        <v>440</v>
      </c>
    </row>
    <row r="848" spans="1:15" x14ac:dyDescent="0.25">
      <c r="A848" s="113" t="s">
        <v>55</v>
      </c>
      <c r="B848" s="113" t="s">
        <v>81</v>
      </c>
      <c r="C848" s="113">
        <v>500</v>
      </c>
      <c r="D848" s="113">
        <v>1350</v>
      </c>
      <c r="E848" s="113">
        <v>0.1</v>
      </c>
      <c r="F848" s="113" t="s">
        <v>26</v>
      </c>
      <c r="G848" s="113" t="s">
        <v>26</v>
      </c>
      <c r="H848" s="113">
        <v>0</v>
      </c>
      <c r="I848" s="113">
        <v>0</v>
      </c>
      <c r="K848" s="113">
        <v>0.11</v>
      </c>
      <c r="L848" s="113">
        <v>0</v>
      </c>
      <c r="M848" s="113">
        <v>8.5418892999999996E-2</v>
      </c>
      <c r="N848" s="113">
        <v>0</v>
      </c>
      <c r="O848" s="114" t="s">
        <v>441</v>
      </c>
    </row>
    <row r="849" spans="1:15" x14ac:dyDescent="0.25">
      <c r="A849" s="113" t="s">
        <v>55</v>
      </c>
      <c r="B849" s="113" t="s">
        <v>81</v>
      </c>
      <c r="C849" s="113">
        <v>500</v>
      </c>
      <c r="D849" s="113">
        <v>1350</v>
      </c>
      <c r="E849" s="113">
        <v>1</v>
      </c>
      <c r="F849" s="113" t="s">
        <v>26</v>
      </c>
      <c r="G849" s="113" t="s">
        <v>26</v>
      </c>
      <c r="H849" s="113">
        <v>0</v>
      </c>
      <c r="I849" s="113">
        <v>0</v>
      </c>
      <c r="K849" s="113">
        <v>0.59112989000000005</v>
      </c>
      <c r="L849" s="113">
        <v>0</v>
      </c>
      <c r="M849" s="113">
        <v>0.580772234</v>
      </c>
      <c r="N849" s="113">
        <v>0</v>
      </c>
      <c r="O849" s="114" t="s">
        <v>442</v>
      </c>
    </row>
    <row r="850" spans="1:15" x14ac:dyDescent="0.25">
      <c r="A850" s="113" t="s">
        <v>55</v>
      </c>
      <c r="B850" s="113" t="s">
        <v>81</v>
      </c>
      <c r="C850" s="113">
        <v>1350.001</v>
      </c>
      <c r="D850" s="113">
        <v>2192</v>
      </c>
      <c r="E850" s="113">
        <v>0.1</v>
      </c>
      <c r="F850" s="113" t="s">
        <v>26</v>
      </c>
      <c r="G850" s="113" t="s">
        <v>26</v>
      </c>
      <c r="H850" s="113">
        <v>0</v>
      </c>
      <c r="I850" s="113">
        <v>0</v>
      </c>
      <c r="K850" s="113">
        <v>0.11</v>
      </c>
      <c r="L850" s="113">
        <v>0</v>
      </c>
      <c r="M850" s="113">
        <v>9.0691639000000004E-2</v>
      </c>
      <c r="N850" s="113">
        <v>0</v>
      </c>
      <c r="O850" s="114" t="s">
        <v>443</v>
      </c>
    </row>
    <row r="851" spans="1:15" x14ac:dyDescent="0.25">
      <c r="A851" s="113" t="s">
        <v>55</v>
      </c>
      <c r="B851" s="113" t="s">
        <v>81</v>
      </c>
      <c r="C851" s="113">
        <v>1350.001</v>
      </c>
      <c r="D851" s="113">
        <v>2192</v>
      </c>
      <c r="E851" s="113">
        <v>1</v>
      </c>
      <c r="F851" s="113" t="s">
        <v>26</v>
      </c>
      <c r="G851" s="113" t="s">
        <v>26</v>
      </c>
      <c r="H851" s="113">
        <v>0</v>
      </c>
      <c r="I851" s="113">
        <v>0</v>
      </c>
      <c r="K851" s="113">
        <v>0.58927052499999999</v>
      </c>
      <c r="L851" s="113">
        <v>0</v>
      </c>
      <c r="M851" s="113">
        <v>0.58157112499999997</v>
      </c>
      <c r="N851" s="113">
        <v>0</v>
      </c>
      <c r="O851" s="114" t="s">
        <v>444</v>
      </c>
    </row>
    <row r="852" spans="1:15" x14ac:dyDescent="0.25">
      <c r="A852" s="113" t="s">
        <v>55</v>
      </c>
      <c r="B852" s="113" t="s">
        <v>82</v>
      </c>
      <c r="C852" s="113">
        <v>-454</v>
      </c>
      <c r="D852" s="113">
        <v>-400.00099999999998</v>
      </c>
      <c r="E852" s="113">
        <v>0.1</v>
      </c>
      <c r="F852" s="113" t="s">
        <v>26</v>
      </c>
      <c r="G852" s="113" t="s">
        <v>26</v>
      </c>
      <c r="H852" s="113">
        <v>0</v>
      </c>
      <c r="I852" s="113">
        <v>0</v>
      </c>
      <c r="K852" s="113">
        <v>0.77443041000000001</v>
      </c>
      <c r="L852" s="113">
        <v>0</v>
      </c>
      <c r="M852" s="113">
        <v>0.76326909399999998</v>
      </c>
      <c r="N852" s="113">
        <v>0</v>
      </c>
      <c r="O852" s="114" t="s">
        <v>431</v>
      </c>
    </row>
    <row r="853" spans="1:15" x14ac:dyDescent="0.25">
      <c r="A853" s="113" t="s">
        <v>55</v>
      </c>
      <c r="B853" s="113" t="s">
        <v>82</v>
      </c>
      <c r="C853" s="113">
        <v>-454</v>
      </c>
      <c r="D853" s="113">
        <v>-400.00099999999998</v>
      </c>
      <c r="E853" s="113">
        <v>1</v>
      </c>
      <c r="F853" s="113" t="s">
        <v>26</v>
      </c>
      <c r="G853" s="113" t="s">
        <v>26</v>
      </c>
      <c r="H853" s="113">
        <v>0</v>
      </c>
      <c r="I853" s="113">
        <v>0</v>
      </c>
      <c r="K853" s="113">
        <v>0.990570901</v>
      </c>
      <c r="L853" s="113">
        <v>0</v>
      </c>
      <c r="M853" s="113">
        <v>0.95529037999999999</v>
      </c>
      <c r="N853" s="113">
        <v>0</v>
      </c>
      <c r="O853" s="114" t="s">
        <v>432</v>
      </c>
    </row>
    <row r="854" spans="1:15" x14ac:dyDescent="0.25">
      <c r="A854" s="113" t="s">
        <v>55</v>
      </c>
      <c r="B854" s="113" t="s">
        <v>82</v>
      </c>
      <c r="C854" s="113">
        <v>-400</v>
      </c>
      <c r="D854" s="113">
        <v>499.99900000000002</v>
      </c>
      <c r="E854" s="113">
        <v>0.1</v>
      </c>
      <c r="F854" s="113" t="s">
        <v>26</v>
      </c>
      <c r="G854" s="113" t="s">
        <v>26</v>
      </c>
      <c r="H854" s="113">
        <v>0</v>
      </c>
      <c r="I854" s="113">
        <v>0</v>
      </c>
      <c r="K854" s="113">
        <v>0.19</v>
      </c>
      <c r="L854" s="113">
        <v>0</v>
      </c>
      <c r="M854" s="113">
        <v>0.135879482</v>
      </c>
      <c r="N854" s="113">
        <v>0</v>
      </c>
      <c r="O854" s="114" t="s">
        <v>433</v>
      </c>
    </row>
    <row r="855" spans="1:15" x14ac:dyDescent="0.25">
      <c r="A855" s="113" t="s">
        <v>55</v>
      </c>
      <c r="B855" s="113" t="s">
        <v>82</v>
      </c>
      <c r="C855" s="113">
        <v>-400</v>
      </c>
      <c r="D855" s="113">
        <v>499.99900000000002</v>
      </c>
      <c r="E855" s="113">
        <v>1</v>
      </c>
      <c r="F855" s="113" t="s">
        <v>26</v>
      </c>
      <c r="G855" s="113" t="s">
        <v>26</v>
      </c>
      <c r="H855" s="113">
        <v>0</v>
      </c>
      <c r="I855" s="113">
        <v>0</v>
      </c>
      <c r="K855" s="113">
        <v>0.63828364500000001</v>
      </c>
      <c r="L855" s="113">
        <v>0</v>
      </c>
      <c r="M855" s="113">
        <v>0.59030774500000005</v>
      </c>
      <c r="N855" s="113">
        <v>0</v>
      </c>
      <c r="O855" s="114" t="s">
        <v>434</v>
      </c>
    </row>
    <row r="856" spans="1:15" x14ac:dyDescent="0.25">
      <c r="A856" s="113" t="s">
        <v>55</v>
      </c>
      <c r="B856" s="113" t="s">
        <v>82</v>
      </c>
      <c r="C856" s="113">
        <v>500</v>
      </c>
      <c r="D856" s="113">
        <v>1500</v>
      </c>
      <c r="E856" s="113">
        <v>0.1</v>
      </c>
      <c r="F856" s="113" t="s">
        <v>26</v>
      </c>
      <c r="G856" s="113" t="s">
        <v>26</v>
      </c>
      <c r="H856" s="113">
        <v>0</v>
      </c>
      <c r="I856" s="113">
        <v>0</v>
      </c>
      <c r="K856" s="113">
        <v>0.12</v>
      </c>
      <c r="L856" s="113">
        <v>0</v>
      </c>
      <c r="M856" s="113">
        <v>8.8716091999999996E-2</v>
      </c>
      <c r="N856" s="113">
        <v>0</v>
      </c>
      <c r="O856" s="114" t="s">
        <v>435</v>
      </c>
    </row>
    <row r="857" spans="1:15" x14ac:dyDescent="0.25">
      <c r="A857" s="113" t="s">
        <v>55</v>
      </c>
      <c r="B857" s="113" t="s">
        <v>82</v>
      </c>
      <c r="C857" s="113">
        <v>500</v>
      </c>
      <c r="D857" s="113">
        <v>1500</v>
      </c>
      <c r="E857" s="113">
        <v>1</v>
      </c>
      <c r="F857" s="113" t="s">
        <v>26</v>
      </c>
      <c r="G857" s="113" t="s">
        <v>26</v>
      </c>
      <c r="H857" s="113">
        <v>0</v>
      </c>
      <c r="I857" s="113">
        <v>0</v>
      </c>
      <c r="K857" s="113">
        <v>0.59947253700000003</v>
      </c>
      <c r="L857" s="113">
        <v>0</v>
      </c>
      <c r="M857" s="113">
        <v>0.58126632899999997</v>
      </c>
      <c r="N857" s="113">
        <v>0</v>
      </c>
      <c r="O857" s="114" t="s">
        <v>436</v>
      </c>
    </row>
    <row r="858" spans="1:15" x14ac:dyDescent="0.25">
      <c r="A858" s="113" t="s">
        <v>55</v>
      </c>
      <c r="B858" s="113" t="s">
        <v>82</v>
      </c>
      <c r="C858" s="113">
        <v>1500.001</v>
      </c>
      <c r="D858" s="113">
        <v>2500</v>
      </c>
      <c r="E858" s="113">
        <v>0.1</v>
      </c>
      <c r="F858" s="113" t="s">
        <v>26</v>
      </c>
      <c r="G858" s="113" t="s">
        <v>26</v>
      </c>
      <c r="H858" s="113">
        <v>0</v>
      </c>
      <c r="I858" s="113">
        <v>0</v>
      </c>
      <c r="K858" s="113">
        <v>0.131346933</v>
      </c>
      <c r="L858" s="113">
        <v>0</v>
      </c>
      <c r="M858" s="113">
        <v>9.8982265999999999E-2</v>
      </c>
      <c r="N858" s="113">
        <v>0</v>
      </c>
      <c r="O858" s="114" t="s">
        <v>437</v>
      </c>
    </row>
    <row r="859" spans="1:15" x14ac:dyDescent="0.25">
      <c r="A859" s="113" t="s">
        <v>55</v>
      </c>
      <c r="B859" s="113" t="s">
        <v>82</v>
      </c>
      <c r="C859" s="113">
        <v>1500.001</v>
      </c>
      <c r="D859" s="113">
        <v>2500</v>
      </c>
      <c r="E859" s="113">
        <v>1</v>
      </c>
      <c r="F859" s="113" t="s">
        <v>26</v>
      </c>
      <c r="G859" s="113" t="s">
        <v>26</v>
      </c>
      <c r="H859" s="113">
        <v>0</v>
      </c>
      <c r="I859" s="113">
        <v>0</v>
      </c>
      <c r="K859" s="113">
        <v>0.60796019599999995</v>
      </c>
      <c r="L859" s="113">
        <v>0</v>
      </c>
      <c r="M859" s="113">
        <v>0.58292151199999998</v>
      </c>
      <c r="N859" s="113">
        <v>0</v>
      </c>
      <c r="O859" s="114" t="s">
        <v>438</v>
      </c>
    </row>
    <row r="860" spans="1:15" x14ac:dyDescent="0.25">
      <c r="A860" s="113" t="s">
        <v>55</v>
      </c>
      <c r="B860" s="113" t="s">
        <v>83</v>
      </c>
      <c r="C860" s="113">
        <v>-454</v>
      </c>
      <c r="D860" s="113">
        <v>-400.00099999999998</v>
      </c>
      <c r="E860" s="113">
        <v>0.1</v>
      </c>
      <c r="F860" s="113" t="s">
        <v>26</v>
      </c>
      <c r="G860" s="113" t="s">
        <v>26</v>
      </c>
      <c r="H860" s="113">
        <v>0</v>
      </c>
      <c r="I860" s="113">
        <v>0</v>
      </c>
      <c r="K860" s="113">
        <v>1.5</v>
      </c>
      <c r="L860" s="113">
        <v>0</v>
      </c>
      <c r="M860" s="113">
        <v>1.4288134379999999</v>
      </c>
      <c r="N860" s="113">
        <v>0</v>
      </c>
      <c r="O860" s="114" t="s">
        <v>421</v>
      </c>
    </row>
    <row r="861" spans="1:15" x14ac:dyDescent="0.25">
      <c r="A861" s="113" t="s">
        <v>55</v>
      </c>
      <c r="B861" s="113" t="s">
        <v>83</v>
      </c>
      <c r="C861" s="113">
        <v>-454</v>
      </c>
      <c r="D861" s="113">
        <v>-400.00099999999998</v>
      </c>
      <c r="E861" s="113">
        <v>1</v>
      </c>
      <c r="F861" s="113" t="s">
        <v>26</v>
      </c>
      <c r="G861" s="113" t="s">
        <v>26</v>
      </c>
      <c r="H861" s="113">
        <v>0</v>
      </c>
      <c r="I861" s="113">
        <v>0</v>
      </c>
      <c r="K861" s="113">
        <v>1.560324096</v>
      </c>
      <c r="L861" s="113">
        <v>0</v>
      </c>
      <c r="M861" s="113">
        <v>1.5399700780000001</v>
      </c>
      <c r="N861" s="113">
        <v>0</v>
      </c>
      <c r="O861" s="114" t="s">
        <v>422</v>
      </c>
    </row>
    <row r="862" spans="1:15" x14ac:dyDescent="0.25">
      <c r="A862" s="113" t="s">
        <v>55</v>
      </c>
      <c r="B862" s="113" t="s">
        <v>83</v>
      </c>
      <c r="C862" s="113">
        <v>-400</v>
      </c>
      <c r="D862" s="113">
        <v>-150.001</v>
      </c>
      <c r="E862" s="113">
        <v>0.1</v>
      </c>
      <c r="F862" s="113" t="s">
        <v>26</v>
      </c>
      <c r="G862" s="113" t="s">
        <v>26</v>
      </c>
      <c r="H862" s="113">
        <v>0</v>
      </c>
      <c r="I862" s="113">
        <v>0</v>
      </c>
      <c r="K862" s="113">
        <v>0.24</v>
      </c>
      <c r="L862" s="113">
        <v>0</v>
      </c>
      <c r="M862" s="113">
        <v>0.19872960000000001</v>
      </c>
      <c r="N862" s="113">
        <v>0</v>
      </c>
      <c r="O862" s="114" t="s">
        <v>423</v>
      </c>
    </row>
    <row r="863" spans="1:15" x14ac:dyDescent="0.25">
      <c r="A863" s="113" t="s">
        <v>55</v>
      </c>
      <c r="B863" s="113" t="s">
        <v>83</v>
      </c>
      <c r="C863" s="113">
        <v>-400</v>
      </c>
      <c r="D863" s="113">
        <v>-150.001</v>
      </c>
      <c r="E863" s="113">
        <v>1</v>
      </c>
      <c r="F863" s="113" t="s">
        <v>26</v>
      </c>
      <c r="G863" s="113" t="s">
        <v>26</v>
      </c>
      <c r="H863" s="113">
        <v>0</v>
      </c>
      <c r="I863" s="113">
        <v>0</v>
      </c>
      <c r="K863" s="113">
        <v>0.65772098800000001</v>
      </c>
      <c r="L863" s="113">
        <v>0</v>
      </c>
      <c r="M863" s="113">
        <v>0.60785973199999999</v>
      </c>
      <c r="N863" s="113">
        <v>0</v>
      </c>
      <c r="O863" s="114" t="s">
        <v>424</v>
      </c>
    </row>
    <row r="864" spans="1:15" x14ac:dyDescent="0.25">
      <c r="A864" s="113" t="s">
        <v>55</v>
      </c>
      <c r="B864" s="113" t="s">
        <v>83</v>
      </c>
      <c r="C864" s="113">
        <v>-150</v>
      </c>
      <c r="D864" s="113">
        <v>700</v>
      </c>
      <c r="E864" s="113">
        <v>0.1</v>
      </c>
      <c r="F864" s="113" t="s">
        <v>26</v>
      </c>
      <c r="G864" s="113" t="s">
        <v>26</v>
      </c>
      <c r="H864" s="113">
        <v>0</v>
      </c>
      <c r="I864" s="113">
        <v>0</v>
      </c>
      <c r="K864" s="113">
        <v>0.14000000000000001</v>
      </c>
      <c r="L864" s="113">
        <v>0</v>
      </c>
      <c r="M864" s="113">
        <v>8.8082791999999993E-2</v>
      </c>
      <c r="N864" s="113">
        <v>0</v>
      </c>
      <c r="O864" s="114" t="s">
        <v>425</v>
      </c>
    </row>
    <row r="865" spans="1:15" x14ac:dyDescent="0.25">
      <c r="A865" s="113" t="s">
        <v>55</v>
      </c>
      <c r="B865" s="113" t="s">
        <v>83</v>
      </c>
      <c r="C865" s="113">
        <v>-150</v>
      </c>
      <c r="D865" s="113">
        <v>700</v>
      </c>
      <c r="E865" s="113">
        <v>1</v>
      </c>
      <c r="F865" s="113" t="s">
        <v>26</v>
      </c>
      <c r="G865" s="113" t="s">
        <v>26</v>
      </c>
      <c r="H865" s="113">
        <v>0</v>
      </c>
      <c r="I865" s="113">
        <v>0</v>
      </c>
      <c r="K865" s="113">
        <v>0.61817394199999998</v>
      </c>
      <c r="L865" s="113">
        <v>0</v>
      </c>
      <c r="M865" s="113">
        <v>0.58117000799999996</v>
      </c>
      <c r="N865" s="113">
        <v>0</v>
      </c>
      <c r="O865" s="114" t="s">
        <v>426</v>
      </c>
    </row>
    <row r="866" spans="1:15" x14ac:dyDescent="0.25">
      <c r="A866" s="113" t="s">
        <v>55</v>
      </c>
      <c r="B866" s="113" t="s">
        <v>83</v>
      </c>
      <c r="C866" s="113">
        <v>700.00099999999998</v>
      </c>
      <c r="D866" s="113">
        <v>1500</v>
      </c>
      <c r="E866" s="113">
        <v>0.1</v>
      </c>
      <c r="F866" s="113" t="s">
        <v>26</v>
      </c>
      <c r="G866" s="113" t="s">
        <v>26</v>
      </c>
      <c r="H866" s="113">
        <v>0</v>
      </c>
      <c r="I866" s="113">
        <v>0</v>
      </c>
      <c r="K866" s="113">
        <v>0.12</v>
      </c>
      <c r="L866" s="113">
        <v>0</v>
      </c>
      <c r="M866" s="113">
        <v>8.7954482E-2</v>
      </c>
      <c r="N866" s="113">
        <v>0</v>
      </c>
      <c r="O866" s="114" t="s">
        <v>427</v>
      </c>
    </row>
    <row r="867" spans="1:15" x14ac:dyDescent="0.25">
      <c r="A867" s="113" t="s">
        <v>55</v>
      </c>
      <c r="B867" s="113" t="s">
        <v>83</v>
      </c>
      <c r="C867" s="113">
        <v>700.00099999999998</v>
      </c>
      <c r="D867" s="113">
        <v>1500</v>
      </c>
      <c r="E867" s="113">
        <v>1</v>
      </c>
      <c r="F867" s="113" t="s">
        <v>26</v>
      </c>
      <c r="G867" s="113" t="s">
        <v>26</v>
      </c>
      <c r="H867" s="113">
        <v>0</v>
      </c>
      <c r="I867" s="113">
        <v>0</v>
      </c>
      <c r="K867" s="113">
        <v>0.60109325599999996</v>
      </c>
      <c r="L867" s="113">
        <v>0</v>
      </c>
      <c r="M867" s="113">
        <v>0.581150575</v>
      </c>
      <c r="N867" s="113">
        <v>0</v>
      </c>
      <c r="O867" s="114" t="s">
        <v>428</v>
      </c>
    </row>
    <row r="868" spans="1:15" x14ac:dyDescent="0.25">
      <c r="A868" s="113" t="s">
        <v>55</v>
      </c>
      <c r="B868" s="113" t="s">
        <v>83</v>
      </c>
      <c r="C868" s="113">
        <v>1500.001</v>
      </c>
      <c r="D868" s="113">
        <v>2372</v>
      </c>
      <c r="E868" s="113">
        <v>0.1</v>
      </c>
      <c r="F868" s="113" t="s">
        <v>26</v>
      </c>
      <c r="G868" s="113" t="s">
        <v>26</v>
      </c>
      <c r="H868" s="113">
        <v>0</v>
      </c>
      <c r="I868" s="113">
        <v>0</v>
      </c>
      <c r="K868" s="113">
        <v>0.13</v>
      </c>
      <c r="L868" s="113">
        <v>0</v>
      </c>
      <c r="M868" s="113">
        <v>9.4805566999999993E-2</v>
      </c>
      <c r="N868" s="113">
        <v>0</v>
      </c>
      <c r="O868" s="114" t="s">
        <v>429</v>
      </c>
    </row>
    <row r="869" spans="1:15" x14ac:dyDescent="0.25">
      <c r="A869" s="113" t="s">
        <v>55</v>
      </c>
      <c r="B869" s="113" t="s">
        <v>83</v>
      </c>
      <c r="C869" s="113">
        <v>1500.001</v>
      </c>
      <c r="D869" s="113">
        <v>2372</v>
      </c>
      <c r="E869" s="113">
        <v>1</v>
      </c>
      <c r="F869" s="113" t="s">
        <v>26</v>
      </c>
      <c r="G869" s="113" t="s">
        <v>26</v>
      </c>
      <c r="H869" s="113">
        <v>0</v>
      </c>
      <c r="I869" s="113">
        <v>0</v>
      </c>
      <c r="K869" s="113">
        <v>0.60385887400000005</v>
      </c>
      <c r="L869" s="113">
        <v>0</v>
      </c>
      <c r="M869" s="113">
        <v>0.58222684199999997</v>
      </c>
      <c r="N869" s="113">
        <v>0</v>
      </c>
      <c r="O869" s="114" t="s">
        <v>430</v>
      </c>
    </row>
    <row r="870" spans="1:15" x14ac:dyDescent="0.25">
      <c r="A870" s="113" t="s">
        <v>55</v>
      </c>
      <c r="B870" s="113" t="s">
        <v>87</v>
      </c>
      <c r="C870" s="113">
        <v>-320</v>
      </c>
      <c r="D870" s="113">
        <v>32</v>
      </c>
      <c r="E870" s="113">
        <v>0.01</v>
      </c>
      <c r="F870" s="113" t="s">
        <v>26</v>
      </c>
      <c r="G870" s="113" t="s">
        <v>26</v>
      </c>
      <c r="H870" s="113">
        <v>0</v>
      </c>
      <c r="I870" s="113">
        <v>0</v>
      </c>
      <c r="K870" s="113">
        <v>1.2999999999999999E-2</v>
      </c>
      <c r="L870" s="113">
        <v>0</v>
      </c>
      <c r="M870" s="113">
        <v>1.0679012999999999E-2</v>
      </c>
      <c r="N870" s="113">
        <v>0</v>
      </c>
      <c r="O870" s="114" t="s">
        <v>406</v>
      </c>
    </row>
    <row r="871" spans="1:15" x14ac:dyDescent="0.25">
      <c r="A871" s="113" t="s">
        <v>55</v>
      </c>
      <c r="B871" s="113" t="s">
        <v>87</v>
      </c>
      <c r="C871" s="113">
        <v>-320</v>
      </c>
      <c r="D871" s="113">
        <v>32</v>
      </c>
      <c r="E871" s="113">
        <v>0.1</v>
      </c>
      <c r="F871" s="113" t="s">
        <v>26</v>
      </c>
      <c r="G871" s="113" t="s">
        <v>26</v>
      </c>
      <c r="H871" s="113">
        <v>0</v>
      </c>
      <c r="I871" s="113">
        <v>0</v>
      </c>
      <c r="K871" s="113">
        <v>5.9935600999999998E-2</v>
      </c>
      <c r="L871" s="113">
        <v>0</v>
      </c>
      <c r="M871" s="113">
        <v>5.8429797999999998E-2</v>
      </c>
      <c r="N871" s="113">
        <v>0</v>
      </c>
      <c r="O871" s="114" t="s">
        <v>407</v>
      </c>
    </row>
    <row r="872" spans="1:15" x14ac:dyDescent="0.25">
      <c r="A872" s="113" t="s">
        <v>55</v>
      </c>
      <c r="B872" s="113" t="s">
        <v>87</v>
      </c>
      <c r="C872" s="113">
        <v>-320</v>
      </c>
      <c r="D872" s="113">
        <v>32</v>
      </c>
      <c r="E872" s="113">
        <v>1</v>
      </c>
      <c r="F872" s="113" t="s">
        <v>26</v>
      </c>
      <c r="G872" s="113" t="s">
        <v>26</v>
      </c>
      <c r="H872" s="113">
        <v>0</v>
      </c>
      <c r="I872" s="113">
        <v>0</v>
      </c>
      <c r="K872" s="113">
        <v>0.57803718000000004</v>
      </c>
      <c r="L872" s="113">
        <v>0</v>
      </c>
      <c r="M872" s="113">
        <v>0.57742015999999996</v>
      </c>
      <c r="N872" s="113">
        <v>0</v>
      </c>
      <c r="O872" s="114" t="s">
        <v>408</v>
      </c>
    </row>
    <row r="873" spans="1:15" x14ac:dyDescent="0.25">
      <c r="A873" s="113" t="s">
        <v>55</v>
      </c>
      <c r="B873" s="113" t="s">
        <v>87</v>
      </c>
      <c r="C873" s="113">
        <v>32.000999999999998</v>
      </c>
      <c r="D873" s="113">
        <v>400</v>
      </c>
      <c r="E873" s="113">
        <v>0.01</v>
      </c>
      <c r="F873" s="113" t="s">
        <v>26</v>
      </c>
      <c r="G873" s="113" t="s">
        <v>26</v>
      </c>
      <c r="H873" s="113">
        <v>0</v>
      </c>
      <c r="I873" s="113">
        <v>0</v>
      </c>
      <c r="K873" s="113">
        <v>1.6E-2</v>
      </c>
      <c r="L873" s="113">
        <v>0</v>
      </c>
      <c r="M873" s="113">
        <v>1.450648E-2</v>
      </c>
      <c r="N873" s="113">
        <v>0</v>
      </c>
      <c r="O873" s="114" t="s">
        <v>409</v>
      </c>
    </row>
    <row r="874" spans="1:15" x14ac:dyDescent="0.25">
      <c r="A874" s="113" t="s">
        <v>55</v>
      </c>
      <c r="B874" s="113" t="s">
        <v>87</v>
      </c>
      <c r="C874" s="113">
        <v>32.000999999999998</v>
      </c>
      <c r="D874" s="113">
        <v>400</v>
      </c>
      <c r="E874" s="113">
        <v>0.1</v>
      </c>
      <c r="F874" s="113" t="s">
        <v>26</v>
      </c>
      <c r="G874" s="113" t="s">
        <v>26</v>
      </c>
      <c r="H874" s="113">
        <v>0</v>
      </c>
      <c r="I874" s="113">
        <v>0</v>
      </c>
      <c r="K874" s="113">
        <v>6.0734445999999997E-2</v>
      </c>
      <c r="L874" s="113">
        <v>0</v>
      </c>
      <c r="M874" s="113">
        <v>5.9248949000000002E-2</v>
      </c>
      <c r="N874" s="113">
        <v>0</v>
      </c>
      <c r="O874" s="114" t="s">
        <v>410</v>
      </c>
    </row>
    <row r="875" spans="1:15" x14ac:dyDescent="0.25">
      <c r="A875" s="113" t="s">
        <v>55</v>
      </c>
      <c r="B875" s="113" t="s">
        <v>87</v>
      </c>
      <c r="C875" s="113">
        <v>32.000999999999998</v>
      </c>
      <c r="D875" s="113">
        <v>400</v>
      </c>
      <c r="E875" s="113">
        <v>1</v>
      </c>
      <c r="F875" s="113" t="s">
        <v>26</v>
      </c>
      <c r="G875" s="113" t="s">
        <v>26</v>
      </c>
      <c r="H875" s="113">
        <v>0</v>
      </c>
      <c r="I875" s="113">
        <v>0</v>
      </c>
      <c r="K875" s="113">
        <v>0.57812055600000001</v>
      </c>
      <c r="L875" s="113">
        <v>0</v>
      </c>
      <c r="M875" s="113">
        <v>0.57750362600000005</v>
      </c>
      <c r="N875" s="113">
        <v>0</v>
      </c>
      <c r="O875" s="114" t="s">
        <v>411</v>
      </c>
    </row>
    <row r="876" spans="1:15" x14ac:dyDescent="0.25">
      <c r="A876" s="113" t="s">
        <v>55</v>
      </c>
      <c r="B876" s="113" t="s">
        <v>87</v>
      </c>
      <c r="C876" s="113">
        <v>400.00099999999998</v>
      </c>
      <c r="D876" s="113">
        <v>800</v>
      </c>
      <c r="E876" s="113">
        <v>0.01</v>
      </c>
      <c r="F876" s="113" t="s">
        <v>26</v>
      </c>
      <c r="G876" s="113" t="s">
        <v>26</v>
      </c>
      <c r="H876" s="113">
        <v>0</v>
      </c>
      <c r="I876" s="113">
        <v>0</v>
      </c>
      <c r="K876" s="113">
        <v>2.1000000000000001E-2</v>
      </c>
      <c r="L876" s="113">
        <v>0</v>
      </c>
      <c r="M876" s="113">
        <v>1.8861624E-2</v>
      </c>
      <c r="N876" s="113">
        <v>0</v>
      </c>
      <c r="O876" s="114" t="s">
        <v>412</v>
      </c>
    </row>
    <row r="877" spans="1:15" x14ac:dyDescent="0.25">
      <c r="A877" s="113" t="s">
        <v>55</v>
      </c>
      <c r="B877" s="113" t="s">
        <v>87</v>
      </c>
      <c r="C877" s="113">
        <v>400.00099999999998</v>
      </c>
      <c r="D877" s="113">
        <v>800</v>
      </c>
      <c r="E877" s="113">
        <v>0.1</v>
      </c>
      <c r="F877" s="113" t="s">
        <v>26</v>
      </c>
      <c r="G877" s="113" t="s">
        <v>26</v>
      </c>
      <c r="H877" s="113">
        <v>0</v>
      </c>
      <c r="I877" s="113">
        <v>0</v>
      </c>
      <c r="K877" s="113">
        <v>6.2482481999999999E-2</v>
      </c>
      <c r="L877" s="113">
        <v>0</v>
      </c>
      <c r="M877" s="113">
        <v>6.0462887999999999E-2</v>
      </c>
      <c r="N877" s="113">
        <v>0</v>
      </c>
      <c r="O877" s="114" t="s">
        <v>413</v>
      </c>
    </row>
    <row r="878" spans="1:15" x14ac:dyDescent="0.25">
      <c r="A878" s="113" t="s">
        <v>55</v>
      </c>
      <c r="B878" s="113" t="s">
        <v>87</v>
      </c>
      <c r="C878" s="113">
        <v>400.00099999999998</v>
      </c>
      <c r="D878" s="113">
        <v>800</v>
      </c>
      <c r="E878" s="113">
        <v>1</v>
      </c>
      <c r="F878" s="113" t="s">
        <v>26</v>
      </c>
      <c r="G878" s="113" t="s">
        <v>26</v>
      </c>
      <c r="H878" s="113">
        <v>0</v>
      </c>
      <c r="I878" s="113">
        <v>0</v>
      </c>
      <c r="K878" s="113">
        <v>0.57848851300000004</v>
      </c>
      <c r="L878" s="113">
        <v>0</v>
      </c>
      <c r="M878" s="113">
        <v>0.57762943200000005</v>
      </c>
      <c r="N878" s="113">
        <v>0</v>
      </c>
      <c r="O878" s="114" t="s">
        <v>414</v>
      </c>
    </row>
    <row r="879" spans="1:15" x14ac:dyDescent="0.25">
      <c r="A879" s="113" t="s">
        <v>55</v>
      </c>
      <c r="B879" s="113" t="s">
        <v>87</v>
      </c>
      <c r="C879" s="113">
        <v>800.00099999999998</v>
      </c>
      <c r="D879" s="113">
        <v>1200</v>
      </c>
      <c r="E879" s="113">
        <v>0.01</v>
      </c>
      <c r="F879" s="113" t="s">
        <v>26</v>
      </c>
      <c r="G879" s="113" t="s">
        <v>26</v>
      </c>
      <c r="H879" s="113">
        <v>0</v>
      </c>
      <c r="I879" s="113">
        <v>0</v>
      </c>
      <c r="K879" s="113">
        <v>2.7260507E-2</v>
      </c>
      <c r="L879" s="113">
        <v>0</v>
      </c>
      <c r="M879" s="113">
        <v>2.6097133000000002E-2</v>
      </c>
      <c r="N879" s="113">
        <v>0</v>
      </c>
      <c r="O879" s="114" t="s">
        <v>415</v>
      </c>
    </row>
    <row r="880" spans="1:15" x14ac:dyDescent="0.25">
      <c r="A880" s="113" t="s">
        <v>55</v>
      </c>
      <c r="B880" s="113" t="s">
        <v>87</v>
      </c>
      <c r="C880" s="113">
        <v>800.00099999999998</v>
      </c>
      <c r="D880" s="113">
        <v>1200</v>
      </c>
      <c r="E880" s="113">
        <v>0.1</v>
      </c>
      <c r="F880" s="113" t="s">
        <v>26</v>
      </c>
      <c r="G880" s="113" t="s">
        <v>26</v>
      </c>
      <c r="H880" s="113">
        <v>0</v>
      </c>
      <c r="I880" s="113">
        <v>0</v>
      </c>
      <c r="K880" s="113">
        <v>6.5033530000000006E-2</v>
      </c>
      <c r="L880" s="113">
        <v>0</v>
      </c>
      <c r="M880" s="113">
        <v>6.3095644000000006E-2</v>
      </c>
      <c r="N880" s="113">
        <v>0</v>
      </c>
      <c r="O880" s="114" t="s">
        <v>416</v>
      </c>
    </row>
    <row r="881" spans="1:15" x14ac:dyDescent="0.25">
      <c r="A881" s="113" t="s">
        <v>55</v>
      </c>
      <c r="B881" s="113" t="s">
        <v>87</v>
      </c>
      <c r="C881" s="113">
        <v>800.00099999999998</v>
      </c>
      <c r="D881" s="113">
        <v>1200</v>
      </c>
      <c r="E881" s="113">
        <v>1</v>
      </c>
      <c r="F881" s="113" t="s">
        <v>26</v>
      </c>
      <c r="G881" s="113" t="s">
        <v>26</v>
      </c>
      <c r="H881" s="113">
        <v>0</v>
      </c>
      <c r="I881" s="113">
        <v>0</v>
      </c>
      <c r="K881" s="113">
        <v>0.57876960799999999</v>
      </c>
      <c r="L881" s="113">
        <v>0</v>
      </c>
      <c r="M881" s="113">
        <v>0.57791094499999995</v>
      </c>
      <c r="N881" s="113">
        <v>0</v>
      </c>
      <c r="O881" s="114" t="s">
        <v>417</v>
      </c>
    </row>
    <row r="882" spans="1:15" x14ac:dyDescent="0.25">
      <c r="A882" s="113" t="s">
        <v>55</v>
      </c>
      <c r="B882" s="113" t="s">
        <v>87</v>
      </c>
      <c r="C882" s="113">
        <v>1200.001</v>
      </c>
      <c r="D882" s="113">
        <v>1562</v>
      </c>
      <c r="E882" s="113">
        <v>0.01</v>
      </c>
      <c r="F882" s="113" t="s">
        <v>26</v>
      </c>
      <c r="G882" s="113" t="s">
        <v>26</v>
      </c>
      <c r="H882" s="113">
        <v>0</v>
      </c>
      <c r="I882" s="113">
        <v>0</v>
      </c>
      <c r="K882" s="113">
        <v>3.4473085000000001E-2</v>
      </c>
      <c r="L882" s="113">
        <v>0</v>
      </c>
      <c r="M882" s="113">
        <v>3.2866752999999999E-2</v>
      </c>
      <c r="N882" s="113">
        <v>0</v>
      </c>
      <c r="O882" s="114" t="s">
        <v>418</v>
      </c>
    </row>
    <row r="883" spans="1:15" x14ac:dyDescent="0.25">
      <c r="A883" s="113" t="s">
        <v>55</v>
      </c>
      <c r="B883" s="113" t="s">
        <v>87</v>
      </c>
      <c r="C883" s="113">
        <v>1200.001</v>
      </c>
      <c r="D883" s="113">
        <v>1562</v>
      </c>
      <c r="E883" s="113">
        <v>0.1</v>
      </c>
      <c r="F883" s="113" t="s">
        <v>26</v>
      </c>
      <c r="G883" s="113" t="s">
        <v>26</v>
      </c>
      <c r="H883" s="113">
        <v>0</v>
      </c>
      <c r="I883" s="113">
        <v>0</v>
      </c>
      <c r="K883" s="113">
        <v>6.9375096999999997E-2</v>
      </c>
      <c r="L883" s="113">
        <v>0</v>
      </c>
      <c r="M883" s="113">
        <v>6.6183255999999996E-2</v>
      </c>
      <c r="N883" s="113">
        <v>0</v>
      </c>
      <c r="O883" s="114" t="s">
        <v>419</v>
      </c>
    </row>
    <row r="884" spans="1:15" x14ac:dyDescent="0.25">
      <c r="A884" s="113" t="s">
        <v>55</v>
      </c>
      <c r="B884" s="113" t="s">
        <v>87</v>
      </c>
      <c r="C884" s="113">
        <v>1200.001</v>
      </c>
      <c r="D884" s="113">
        <v>1562</v>
      </c>
      <c r="E884" s="113">
        <v>1</v>
      </c>
      <c r="F884" s="113" t="s">
        <v>26</v>
      </c>
      <c r="G884" s="113" t="s">
        <v>26</v>
      </c>
      <c r="H884" s="113">
        <v>0</v>
      </c>
      <c r="I884" s="113">
        <v>0</v>
      </c>
      <c r="K884" s="113">
        <v>0.57975076199999998</v>
      </c>
      <c r="L884" s="113">
        <v>0</v>
      </c>
      <c r="M884" s="113">
        <v>0.578256192</v>
      </c>
      <c r="N884" s="113">
        <v>0</v>
      </c>
      <c r="O884" s="114" t="s">
        <v>420</v>
      </c>
    </row>
    <row r="885" spans="1:15" x14ac:dyDescent="0.25">
      <c r="A885" s="113" t="s">
        <v>55</v>
      </c>
      <c r="B885" s="113" t="s">
        <v>88</v>
      </c>
      <c r="C885" s="113">
        <v>-320</v>
      </c>
      <c r="D885" s="113">
        <v>32</v>
      </c>
      <c r="E885" s="113">
        <v>0.01</v>
      </c>
      <c r="F885" s="113" t="s">
        <v>26</v>
      </c>
      <c r="G885" s="113" t="s">
        <v>26</v>
      </c>
      <c r="H885" s="113">
        <v>0</v>
      </c>
      <c r="I885" s="113">
        <v>0</v>
      </c>
      <c r="K885" s="113">
        <v>9.049797E-3</v>
      </c>
      <c r="L885" s="113">
        <v>0</v>
      </c>
      <c r="M885" s="113">
        <v>8.0620870000000008E-3</v>
      </c>
      <c r="N885" s="113">
        <v>0</v>
      </c>
      <c r="O885" s="114" t="s">
        <v>391</v>
      </c>
    </row>
    <row r="886" spans="1:15" x14ac:dyDescent="0.25">
      <c r="A886" s="113" t="s">
        <v>55</v>
      </c>
      <c r="B886" s="113" t="s">
        <v>88</v>
      </c>
      <c r="C886" s="113">
        <v>-320</v>
      </c>
      <c r="D886" s="113">
        <v>32</v>
      </c>
      <c r="E886" s="113">
        <v>0.1</v>
      </c>
      <c r="F886" s="113" t="s">
        <v>26</v>
      </c>
      <c r="G886" s="113" t="s">
        <v>26</v>
      </c>
      <c r="H886" s="113">
        <v>0</v>
      </c>
      <c r="I886" s="113">
        <v>0</v>
      </c>
      <c r="K886" s="113">
        <v>5.8588425E-2</v>
      </c>
      <c r="L886" s="113">
        <v>0</v>
      </c>
      <c r="M886" s="113">
        <v>5.8008596000000003E-2</v>
      </c>
      <c r="N886" s="113">
        <v>0</v>
      </c>
      <c r="O886" s="114" t="s">
        <v>392</v>
      </c>
    </row>
    <row r="887" spans="1:15" x14ac:dyDescent="0.25">
      <c r="A887" s="113" t="s">
        <v>55</v>
      </c>
      <c r="B887" s="113" t="s">
        <v>88</v>
      </c>
      <c r="C887" s="113">
        <v>-320</v>
      </c>
      <c r="D887" s="113">
        <v>32</v>
      </c>
      <c r="E887" s="113">
        <v>1</v>
      </c>
      <c r="F887" s="113" t="s">
        <v>26</v>
      </c>
      <c r="G887" s="113" t="s">
        <v>26</v>
      </c>
      <c r="H887" s="113">
        <v>0</v>
      </c>
      <c r="I887" s="113">
        <v>0</v>
      </c>
      <c r="K887" s="113">
        <v>0.57761182700000002</v>
      </c>
      <c r="L887" s="113">
        <v>0</v>
      </c>
      <c r="M887" s="113">
        <v>0.57737769000000005</v>
      </c>
      <c r="N887" s="113">
        <v>0</v>
      </c>
      <c r="O887" s="114" t="s">
        <v>393</v>
      </c>
    </row>
    <row r="888" spans="1:15" x14ac:dyDescent="0.25">
      <c r="A888" s="113" t="s">
        <v>55</v>
      </c>
      <c r="B888" s="113" t="s">
        <v>88</v>
      </c>
      <c r="C888" s="113">
        <v>32.000999999999998</v>
      </c>
      <c r="D888" s="113">
        <v>400</v>
      </c>
      <c r="E888" s="113">
        <v>0.01</v>
      </c>
      <c r="F888" s="113" t="s">
        <v>26</v>
      </c>
      <c r="G888" s="113" t="s">
        <v>26</v>
      </c>
      <c r="H888" s="113">
        <v>0</v>
      </c>
      <c r="I888" s="113">
        <v>0</v>
      </c>
      <c r="K888" s="113">
        <v>1.6E-2</v>
      </c>
      <c r="L888" s="113">
        <v>0</v>
      </c>
      <c r="M888" s="113">
        <v>1.4466336999999999E-2</v>
      </c>
      <c r="N888" s="113">
        <v>0</v>
      </c>
      <c r="O888" s="114" t="s">
        <v>394</v>
      </c>
    </row>
    <row r="889" spans="1:15" x14ac:dyDescent="0.25">
      <c r="A889" s="113" t="s">
        <v>55</v>
      </c>
      <c r="B889" s="113" t="s">
        <v>88</v>
      </c>
      <c r="C889" s="113">
        <v>32.000999999999998</v>
      </c>
      <c r="D889" s="113">
        <v>400</v>
      </c>
      <c r="E889" s="113">
        <v>0.1</v>
      </c>
      <c r="F889" s="113" t="s">
        <v>26</v>
      </c>
      <c r="G889" s="113" t="s">
        <v>26</v>
      </c>
      <c r="H889" s="113">
        <v>0</v>
      </c>
      <c r="I889" s="113">
        <v>0</v>
      </c>
      <c r="K889" s="113">
        <v>5.9981477999999998E-2</v>
      </c>
      <c r="L889" s="113">
        <v>0</v>
      </c>
      <c r="M889" s="113">
        <v>5.9239132999999999E-2</v>
      </c>
      <c r="N889" s="113">
        <v>0</v>
      </c>
      <c r="O889" s="114" t="s">
        <v>395</v>
      </c>
    </row>
    <row r="890" spans="1:15" x14ac:dyDescent="0.25">
      <c r="A890" s="113" t="s">
        <v>55</v>
      </c>
      <c r="B890" s="113" t="s">
        <v>88</v>
      </c>
      <c r="C890" s="113">
        <v>32.000999999999998</v>
      </c>
      <c r="D890" s="113">
        <v>400</v>
      </c>
      <c r="E890" s="113">
        <v>1</v>
      </c>
      <c r="F890" s="113" t="s">
        <v>26</v>
      </c>
      <c r="G890" s="113" t="s">
        <v>26</v>
      </c>
      <c r="H890" s="113">
        <v>0</v>
      </c>
      <c r="I890" s="113">
        <v>0</v>
      </c>
      <c r="K890" s="113">
        <v>0.57780904</v>
      </c>
      <c r="L890" s="113">
        <v>0</v>
      </c>
      <c r="M890" s="113">
        <v>0.57750261899999999</v>
      </c>
      <c r="N890" s="113">
        <v>0</v>
      </c>
      <c r="O890" s="114" t="s">
        <v>396</v>
      </c>
    </row>
    <row r="891" spans="1:15" x14ac:dyDescent="0.25">
      <c r="A891" s="113" t="s">
        <v>55</v>
      </c>
      <c r="B891" s="113" t="s">
        <v>88</v>
      </c>
      <c r="C891" s="113">
        <v>400.00099999999998</v>
      </c>
      <c r="D891" s="113">
        <v>800</v>
      </c>
      <c r="E891" s="113">
        <v>0.01</v>
      </c>
      <c r="F891" s="113" t="s">
        <v>26</v>
      </c>
      <c r="G891" s="113" t="s">
        <v>26</v>
      </c>
      <c r="H891" s="113">
        <v>0</v>
      </c>
      <c r="I891" s="113">
        <v>0</v>
      </c>
      <c r="K891" s="113">
        <v>0.02</v>
      </c>
      <c r="L891" s="113">
        <v>0</v>
      </c>
      <c r="M891" s="113">
        <v>1.8758799E-2</v>
      </c>
      <c r="N891" s="113">
        <v>0</v>
      </c>
      <c r="O891" s="114" t="s">
        <v>397</v>
      </c>
    </row>
    <row r="892" spans="1:15" x14ac:dyDescent="0.25">
      <c r="A892" s="113" t="s">
        <v>55</v>
      </c>
      <c r="B892" s="113" t="s">
        <v>88</v>
      </c>
      <c r="C892" s="113">
        <v>400.00099999999998</v>
      </c>
      <c r="D892" s="113">
        <v>800</v>
      </c>
      <c r="E892" s="113">
        <v>0.1</v>
      </c>
      <c r="F892" s="113" t="s">
        <v>26</v>
      </c>
      <c r="G892" s="113" t="s">
        <v>26</v>
      </c>
      <c r="H892" s="113">
        <v>0</v>
      </c>
      <c r="I892" s="113">
        <v>0</v>
      </c>
      <c r="K892" s="113">
        <v>6.1158772E-2</v>
      </c>
      <c r="L892" s="113">
        <v>0</v>
      </c>
      <c r="M892" s="113">
        <v>6.0430891E-2</v>
      </c>
      <c r="N892" s="113">
        <v>0</v>
      </c>
      <c r="O892" s="114" t="s">
        <v>398</v>
      </c>
    </row>
    <row r="893" spans="1:15" x14ac:dyDescent="0.25">
      <c r="A893" s="113" t="s">
        <v>55</v>
      </c>
      <c r="B893" s="113" t="s">
        <v>88</v>
      </c>
      <c r="C893" s="113">
        <v>400.00099999999998</v>
      </c>
      <c r="D893" s="113">
        <v>800</v>
      </c>
      <c r="E893" s="113">
        <v>1</v>
      </c>
      <c r="F893" s="113" t="s">
        <v>26</v>
      </c>
      <c r="G893" s="113" t="s">
        <v>26</v>
      </c>
      <c r="H893" s="113">
        <v>0</v>
      </c>
      <c r="I893" s="113">
        <v>0</v>
      </c>
      <c r="K893" s="113">
        <v>0.57793243900000002</v>
      </c>
      <c r="L893" s="113">
        <v>0</v>
      </c>
      <c r="M893" s="113">
        <v>0.57762608400000004</v>
      </c>
      <c r="N893" s="113">
        <v>0</v>
      </c>
      <c r="O893" s="114" t="s">
        <v>399</v>
      </c>
    </row>
    <row r="894" spans="1:15" x14ac:dyDescent="0.25">
      <c r="A894" s="113" t="s">
        <v>55</v>
      </c>
      <c r="B894" s="113" t="s">
        <v>88</v>
      </c>
      <c r="C894" s="113">
        <v>800.00099999999998</v>
      </c>
      <c r="D894" s="113">
        <v>1200</v>
      </c>
      <c r="E894" s="113">
        <v>0.01</v>
      </c>
      <c r="F894" s="113" t="s">
        <v>26</v>
      </c>
      <c r="G894" s="113" t="s">
        <v>26</v>
      </c>
      <c r="H894" s="113">
        <v>0</v>
      </c>
      <c r="I894" s="113">
        <v>0</v>
      </c>
      <c r="K894" s="113">
        <v>2.7080151E-2</v>
      </c>
      <c r="L894" s="113">
        <v>0</v>
      </c>
      <c r="M894" s="113">
        <v>2.5908679E-2</v>
      </c>
      <c r="N894" s="113">
        <v>0</v>
      </c>
      <c r="O894" s="114" t="s">
        <v>400</v>
      </c>
    </row>
    <row r="895" spans="1:15" x14ac:dyDescent="0.25">
      <c r="A895" s="113" t="s">
        <v>55</v>
      </c>
      <c r="B895" s="113" t="s">
        <v>88</v>
      </c>
      <c r="C895" s="113">
        <v>800.00099999999998</v>
      </c>
      <c r="D895" s="113">
        <v>1200</v>
      </c>
      <c r="E895" s="113">
        <v>0.1</v>
      </c>
      <c r="F895" s="113" t="s">
        <v>26</v>
      </c>
      <c r="G895" s="113" t="s">
        <v>26</v>
      </c>
      <c r="H895" s="113">
        <v>0</v>
      </c>
      <c r="I895" s="113">
        <v>0</v>
      </c>
      <c r="K895" s="113">
        <v>6.4958135E-2</v>
      </c>
      <c r="L895" s="113">
        <v>0</v>
      </c>
      <c r="M895" s="113">
        <v>6.3017930999999999E-2</v>
      </c>
      <c r="N895" s="113">
        <v>0</v>
      </c>
      <c r="O895" s="114" t="s">
        <v>401</v>
      </c>
    </row>
    <row r="896" spans="1:15" x14ac:dyDescent="0.25">
      <c r="A896" s="113" t="s">
        <v>55</v>
      </c>
      <c r="B896" s="113" t="s">
        <v>88</v>
      </c>
      <c r="C896" s="113">
        <v>800.00099999999998</v>
      </c>
      <c r="D896" s="113">
        <v>1200</v>
      </c>
      <c r="E896" s="113">
        <v>1</v>
      </c>
      <c r="F896" s="113" t="s">
        <v>26</v>
      </c>
      <c r="G896" s="113" t="s">
        <v>26</v>
      </c>
      <c r="H896" s="113">
        <v>0</v>
      </c>
      <c r="I896" s="113">
        <v>0</v>
      </c>
      <c r="K896" s="113">
        <v>0.57876114099999998</v>
      </c>
      <c r="L896" s="113">
        <v>0</v>
      </c>
      <c r="M896" s="113">
        <v>0.57790246599999995</v>
      </c>
      <c r="N896" s="113">
        <v>0</v>
      </c>
      <c r="O896" s="114" t="s">
        <v>402</v>
      </c>
    </row>
    <row r="897" spans="1:15" x14ac:dyDescent="0.25">
      <c r="A897" s="113" t="s">
        <v>55</v>
      </c>
      <c r="B897" s="113" t="s">
        <v>88</v>
      </c>
      <c r="C897" s="113">
        <v>1200.001</v>
      </c>
      <c r="D897" s="113">
        <v>1562</v>
      </c>
      <c r="E897" s="113">
        <v>0.01</v>
      </c>
      <c r="F897" s="113" t="s">
        <v>26</v>
      </c>
      <c r="G897" s="113" t="s">
        <v>26</v>
      </c>
      <c r="H897" s="113">
        <v>0</v>
      </c>
      <c r="I897" s="113">
        <v>0</v>
      </c>
      <c r="K897" s="113">
        <v>3.3168701000000002E-2</v>
      </c>
      <c r="L897" s="113">
        <v>0</v>
      </c>
      <c r="M897" s="113">
        <v>3.2593935999999997E-2</v>
      </c>
      <c r="N897" s="113">
        <v>0</v>
      </c>
      <c r="O897" s="114" t="s">
        <v>403</v>
      </c>
    </row>
    <row r="898" spans="1:15" x14ac:dyDescent="0.25">
      <c r="A898" s="113" t="s">
        <v>55</v>
      </c>
      <c r="B898" s="113" t="s">
        <v>88</v>
      </c>
      <c r="C898" s="113">
        <v>1200.001</v>
      </c>
      <c r="D898" s="113">
        <v>1562</v>
      </c>
      <c r="E898" s="113">
        <v>0.1</v>
      </c>
      <c r="F898" s="113" t="s">
        <v>26</v>
      </c>
      <c r="G898" s="113" t="s">
        <v>26</v>
      </c>
      <c r="H898" s="113">
        <v>0</v>
      </c>
      <c r="I898" s="113">
        <v>0</v>
      </c>
      <c r="K898" s="113">
        <v>6.7183012E-2</v>
      </c>
      <c r="L898" s="113">
        <v>0</v>
      </c>
      <c r="M898" s="113">
        <v>6.6048199000000002E-2</v>
      </c>
      <c r="N898" s="113">
        <v>0</v>
      </c>
      <c r="O898" s="114" t="s">
        <v>404</v>
      </c>
    </row>
    <row r="899" spans="1:15" x14ac:dyDescent="0.25">
      <c r="A899" s="113" t="s">
        <v>55</v>
      </c>
      <c r="B899" s="113" t="s">
        <v>88</v>
      </c>
      <c r="C899" s="113">
        <v>1200.001</v>
      </c>
      <c r="D899" s="113">
        <v>1562</v>
      </c>
      <c r="E899" s="113">
        <v>1</v>
      </c>
      <c r="F899" s="113" t="s">
        <v>26</v>
      </c>
      <c r="G899" s="113" t="s">
        <v>26</v>
      </c>
      <c r="H899" s="113">
        <v>0</v>
      </c>
      <c r="I899" s="113">
        <v>0</v>
      </c>
      <c r="K899" s="113">
        <v>0.57876345299999998</v>
      </c>
      <c r="L899" s="113">
        <v>0</v>
      </c>
      <c r="M899" s="113">
        <v>0.57824074999999997</v>
      </c>
      <c r="N899" s="113">
        <v>0</v>
      </c>
      <c r="O899" s="114" t="s">
        <v>405</v>
      </c>
    </row>
    <row r="900" spans="1:15" x14ac:dyDescent="0.25">
      <c r="A900" s="113" t="s">
        <v>55</v>
      </c>
      <c r="B900" s="113" t="s">
        <v>84</v>
      </c>
      <c r="C900" s="113">
        <v>-58</v>
      </c>
      <c r="D900" s="113">
        <v>31.998999999999999</v>
      </c>
      <c r="E900" s="113">
        <v>0.1</v>
      </c>
      <c r="F900" s="113" t="s">
        <v>26</v>
      </c>
      <c r="G900" s="113" t="s">
        <v>26</v>
      </c>
      <c r="H900" s="113">
        <v>0</v>
      </c>
      <c r="I900" s="113">
        <v>0</v>
      </c>
      <c r="K900" s="113">
        <v>0.26</v>
      </c>
      <c r="L900" s="113">
        <v>0</v>
      </c>
      <c r="M900" s="113">
        <v>0.22214629799999999</v>
      </c>
      <c r="N900" s="113">
        <v>0</v>
      </c>
      <c r="O900" s="114" t="s">
        <v>383</v>
      </c>
    </row>
    <row r="901" spans="1:15" x14ac:dyDescent="0.25">
      <c r="A901" s="113" t="s">
        <v>55</v>
      </c>
      <c r="B901" s="113" t="s">
        <v>84</v>
      </c>
      <c r="C901" s="113">
        <v>-58</v>
      </c>
      <c r="D901" s="113">
        <v>31.998999999999999</v>
      </c>
      <c r="E901" s="113">
        <v>1</v>
      </c>
      <c r="F901" s="113" t="s">
        <v>26</v>
      </c>
      <c r="G901" s="113" t="s">
        <v>26</v>
      </c>
      <c r="H901" s="113">
        <v>0</v>
      </c>
      <c r="I901" s="113">
        <v>0</v>
      </c>
      <c r="K901" s="113">
        <v>0.66464951500000002</v>
      </c>
      <c r="L901" s="113">
        <v>0</v>
      </c>
      <c r="M901" s="113">
        <v>0.61591312499999995</v>
      </c>
      <c r="N901" s="113">
        <v>0</v>
      </c>
      <c r="O901" s="114" t="s">
        <v>384</v>
      </c>
    </row>
    <row r="902" spans="1:15" x14ac:dyDescent="0.25">
      <c r="A902" s="113" t="s">
        <v>55</v>
      </c>
      <c r="B902" s="113" t="s">
        <v>84</v>
      </c>
      <c r="C902" s="113">
        <v>32</v>
      </c>
      <c r="D902" s="113">
        <v>1100</v>
      </c>
      <c r="E902" s="113">
        <v>0.1</v>
      </c>
      <c r="F902" s="113" t="s">
        <v>26</v>
      </c>
      <c r="G902" s="113" t="s">
        <v>26</v>
      </c>
      <c r="H902" s="113">
        <v>0</v>
      </c>
      <c r="I902" s="113">
        <v>0</v>
      </c>
      <c r="K902" s="113">
        <v>0.19</v>
      </c>
      <c r="L902" s="113">
        <v>0</v>
      </c>
      <c r="M902" s="113">
        <v>0.13897985700000001</v>
      </c>
      <c r="N902" s="113">
        <v>0</v>
      </c>
      <c r="O902" s="114" t="s">
        <v>385</v>
      </c>
    </row>
    <row r="903" spans="1:15" x14ac:dyDescent="0.25">
      <c r="A903" s="113" t="s">
        <v>55</v>
      </c>
      <c r="B903" s="113" t="s">
        <v>84</v>
      </c>
      <c r="C903" s="113">
        <v>32</v>
      </c>
      <c r="D903" s="113">
        <v>1100</v>
      </c>
      <c r="E903" s="113">
        <v>1</v>
      </c>
      <c r="F903" s="113" t="s">
        <v>26</v>
      </c>
      <c r="G903" s="113" t="s">
        <v>26</v>
      </c>
      <c r="H903" s="113">
        <v>0</v>
      </c>
      <c r="I903" s="113">
        <v>0</v>
      </c>
      <c r="K903" s="113">
        <v>0.64165832099999998</v>
      </c>
      <c r="L903" s="113">
        <v>0</v>
      </c>
      <c r="M903" s="113">
        <v>0.591029103</v>
      </c>
      <c r="N903" s="113">
        <v>0</v>
      </c>
      <c r="O903" s="114" t="s">
        <v>386</v>
      </c>
    </row>
    <row r="904" spans="1:15" x14ac:dyDescent="0.25">
      <c r="A904" s="113" t="s">
        <v>55</v>
      </c>
      <c r="B904" s="113" t="s">
        <v>84</v>
      </c>
      <c r="C904" s="113">
        <v>1100.001</v>
      </c>
      <c r="D904" s="113">
        <v>2200</v>
      </c>
      <c r="E904" s="113">
        <v>0.1</v>
      </c>
      <c r="F904" s="113" t="s">
        <v>26</v>
      </c>
      <c r="G904" s="113" t="s">
        <v>26</v>
      </c>
      <c r="H904" s="113">
        <v>0</v>
      </c>
      <c r="I904" s="113">
        <v>0</v>
      </c>
      <c r="K904" s="113">
        <v>0.16</v>
      </c>
      <c r="L904" s="113">
        <v>0</v>
      </c>
      <c r="M904" s="113">
        <v>0.105713381</v>
      </c>
      <c r="N904" s="113">
        <v>0</v>
      </c>
      <c r="O904" s="114" t="s">
        <v>387</v>
      </c>
    </row>
    <row r="905" spans="1:15" x14ac:dyDescent="0.25">
      <c r="A905" s="113" t="s">
        <v>55</v>
      </c>
      <c r="B905" s="113" t="s">
        <v>84</v>
      </c>
      <c r="C905" s="113">
        <v>1100.001</v>
      </c>
      <c r="D905" s="113">
        <v>2200</v>
      </c>
      <c r="E905" s="113">
        <v>1</v>
      </c>
      <c r="F905" s="113" t="s">
        <v>26</v>
      </c>
      <c r="G905" s="113" t="s">
        <v>26</v>
      </c>
      <c r="H905" s="113">
        <v>0</v>
      </c>
      <c r="I905" s="113">
        <v>0</v>
      </c>
      <c r="K905" s="113">
        <v>0.62759628499999998</v>
      </c>
      <c r="L905" s="113">
        <v>0</v>
      </c>
      <c r="M905" s="113">
        <v>0.58410214800000004</v>
      </c>
      <c r="N905" s="113">
        <v>0</v>
      </c>
      <c r="O905" s="114" t="s">
        <v>388</v>
      </c>
    </row>
    <row r="906" spans="1:15" x14ac:dyDescent="0.25">
      <c r="A906" s="113" t="s">
        <v>55</v>
      </c>
      <c r="B906" s="113" t="s">
        <v>84</v>
      </c>
      <c r="C906" s="113">
        <v>2200.0010000000002</v>
      </c>
      <c r="D906" s="113">
        <v>3214</v>
      </c>
      <c r="E906" s="113">
        <v>0.1</v>
      </c>
      <c r="F906" s="113" t="s">
        <v>26</v>
      </c>
      <c r="G906" s="113" t="s">
        <v>26</v>
      </c>
      <c r="H906" s="113">
        <v>0</v>
      </c>
      <c r="I906" s="113">
        <v>0</v>
      </c>
      <c r="K906" s="113">
        <v>0.17</v>
      </c>
      <c r="L906" s="113">
        <v>0</v>
      </c>
      <c r="M906" s="113">
        <v>0.122419896</v>
      </c>
      <c r="N906" s="113">
        <v>0</v>
      </c>
      <c r="O906" s="114" t="s">
        <v>389</v>
      </c>
    </row>
    <row r="907" spans="1:15" x14ac:dyDescent="0.25">
      <c r="A907" s="113" t="s">
        <v>55</v>
      </c>
      <c r="B907" s="113" t="s">
        <v>84</v>
      </c>
      <c r="C907" s="113">
        <v>2200.0010000000002</v>
      </c>
      <c r="D907" s="113">
        <v>3214</v>
      </c>
      <c r="E907" s="113">
        <v>1</v>
      </c>
      <c r="F907" s="113" t="s">
        <v>26</v>
      </c>
      <c r="G907" s="113" t="s">
        <v>26</v>
      </c>
      <c r="H907" s="113">
        <v>0</v>
      </c>
      <c r="I907" s="113">
        <v>0</v>
      </c>
      <c r="K907" s="113">
        <v>0.63062541100000002</v>
      </c>
      <c r="L907" s="113">
        <v>0</v>
      </c>
      <c r="M907" s="113">
        <v>0.58735562600000002</v>
      </c>
      <c r="N907" s="113">
        <v>0</v>
      </c>
      <c r="O907" s="114" t="s">
        <v>390</v>
      </c>
    </row>
    <row r="908" spans="1:15" x14ac:dyDescent="0.25">
      <c r="A908" s="113" t="s">
        <v>55</v>
      </c>
      <c r="B908" s="113" t="s">
        <v>85</v>
      </c>
      <c r="C908" s="113">
        <v>-58</v>
      </c>
      <c r="D908" s="113">
        <v>31.998999999999999</v>
      </c>
      <c r="E908" s="113">
        <v>0.1</v>
      </c>
      <c r="F908" s="113" t="s">
        <v>26</v>
      </c>
      <c r="G908" s="113" t="s">
        <v>26</v>
      </c>
      <c r="H908" s="113">
        <v>0</v>
      </c>
      <c r="I908" s="113">
        <v>0</v>
      </c>
      <c r="K908" s="113">
        <v>0.22</v>
      </c>
      <c r="L908" s="113">
        <v>0</v>
      </c>
      <c r="M908" s="113">
        <v>0.17935751599999999</v>
      </c>
      <c r="N908" s="113">
        <v>0</v>
      </c>
      <c r="O908" s="114" t="s">
        <v>375</v>
      </c>
    </row>
    <row r="909" spans="1:15" x14ac:dyDescent="0.25">
      <c r="A909" s="113" t="s">
        <v>55</v>
      </c>
      <c r="B909" s="113" t="s">
        <v>85</v>
      </c>
      <c r="C909" s="113">
        <v>-58</v>
      </c>
      <c r="D909" s="113">
        <v>31.998999999999999</v>
      </c>
      <c r="E909" s="113">
        <v>1</v>
      </c>
      <c r="F909" s="113" t="s">
        <v>26</v>
      </c>
      <c r="G909" s="113" t="s">
        <v>26</v>
      </c>
      <c r="H909" s="113">
        <v>0</v>
      </c>
      <c r="I909" s="113">
        <v>0</v>
      </c>
      <c r="K909" s="113">
        <v>0.65159735900000004</v>
      </c>
      <c r="L909" s="113">
        <v>0</v>
      </c>
      <c r="M909" s="113">
        <v>0.60180488399999998</v>
      </c>
      <c r="N909" s="113">
        <v>0</v>
      </c>
      <c r="O909" s="114" t="s">
        <v>376</v>
      </c>
    </row>
    <row r="910" spans="1:15" x14ac:dyDescent="0.25">
      <c r="A910" s="113" t="s">
        <v>55</v>
      </c>
      <c r="B910" s="113" t="s">
        <v>85</v>
      </c>
      <c r="C910" s="113">
        <v>32</v>
      </c>
      <c r="D910" s="113">
        <v>1100</v>
      </c>
      <c r="E910" s="113">
        <v>0.1</v>
      </c>
      <c r="F910" s="113" t="s">
        <v>26</v>
      </c>
      <c r="G910" s="113" t="s">
        <v>26</v>
      </c>
      <c r="H910" s="113">
        <v>0</v>
      </c>
      <c r="I910" s="113">
        <v>0</v>
      </c>
      <c r="K910" s="113">
        <v>0.18</v>
      </c>
      <c r="L910" s="113">
        <v>0</v>
      </c>
      <c r="M910" s="113">
        <v>0.12667225100000001</v>
      </c>
      <c r="N910" s="113">
        <v>0</v>
      </c>
      <c r="O910" s="114" t="s">
        <v>377</v>
      </c>
    </row>
    <row r="911" spans="1:15" x14ac:dyDescent="0.25">
      <c r="A911" s="113" t="s">
        <v>55</v>
      </c>
      <c r="B911" s="113" t="s">
        <v>85</v>
      </c>
      <c r="C911" s="113">
        <v>32</v>
      </c>
      <c r="D911" s="113">
        <v>1100</v>
      </c>
      <c r="E911" s="113">
        <v>1</v>
      </c>
      <c r="F911" s="113" t="s">
        <v>26</v>
      </c>
      <c r="G911" s="113" t="s">
        <v>26</v>
      </c>
      <c r="H911" s="113">
        <v>0</v>
      </c>
      <c r="I911" s="113">
        <v>0</v>
      </c>
      <c r="K911" s="113">
        <v>0.63801956900000001</v>
      </c>
      <c r="L911" s="113">
        <v>0</v>
      </c>
      <c r="M911" s="113">
        <v>0.58825662700000003</v>
      </c>
      <c r="N911" s="113">
        <v>0</v>
      </c>
      <c r="O911" s="114" t="s">
        <v>378</v>
      </c>
    </row>
    <row r="912" spans="1:15" x14ac:dyDescent="0.25">
      <c r="A912" s="113" t="s">
        <v>55</v>
      </c>
      <c r="B912" s="113" t="s">
        <v>85</v>
      </c>
      <c r="C912" s="113">
        <v>1100.001</v>
      </c>
      <c r="D912" s="113">
        <v>2200</v>
      </c>
      <c r="E912" s="113">
        <v>0.1</v>
      </c>
      <c r="F912" s="113" t="s">
        <v>26</v>
      </c>
      <c r="G912" s="113" t="s">
        <v>26</v>
      </c>
      <c r="H912" s="113">
        <v>0</v>
      </c>
      <c r="I912" s="113">
        <v>0</v>
      </c>
      <c r="K912" s="113">
        <v>0.17</v>
      </c>
      <c r="L912" s="113">
        <v>0</v>
      </c>
      <c r="M912" s="113">
        <v>0.105713381</v>
      </c>
      <c r="N912" s="113">
        <v>0</v>
      </c>
      <c r="O912" s="114" t="s">
        <v>379</v>
      </c>
    </row>
    <row r="913" spans="1:15" x14ac:dyDescent="0.25">
      <c r="A913" s="113" t="s">
        <v>55</v>
      </c>
      <c r="B913" s="113" t="s">
        <v>85</v>
      </c>
      <c r="C913" s="113">
        <v>1100.001</v>
      </c>
      <c r="D913" s="113">
        <v>2200</v>
      </c>
      <c r="E913" s="113">
        <v>1</v>
      </c>
      <c r="F913" s="113" t="s">
        <v>26</v>
      </c>
      <c r="G913" s="113" t="s">
        <v>26</v>
      </c>
      <c r="H913" s="113">
        <v>0</v>
      </c>
      <c r="I913" s="113">
        <v>0</v>
      </c>
      <c r="K913" s="113">
        <v>0.62833487399999999</v>
      </c>
      <c r="L913" s="113">
        <v>0</v>
      </c>
      <c r="M913" s="113">
        <v>0.58489566299999995</v>
      </c>
      <c r="N913" s="113">
        <v>0</v>
      </c>
      <c r="O913" s="114" t="s">
        <v>380</v>
      </c>
    </row>
    <row r="914" spans="1:15" x14ac:dyDescent="0.25">
      <c r="A914" s="113" t="s">
        <v>55</v>
      </c>
      <c r="B914" s="113" t="s">
        <v>85</v>
      </c>
      <c r="C914" s="113">
        <v>2200.0010000000002</v>
      </c>
      <c r="D914" s="113">
        <v>3214</v>
      </c>
      <c r="E914" s="113">
        <v>0.1</v>
      </c>
      <c r="F914" s="113" t="s">
        <v>26</v>
      </c>
      <c r="G914" s="113" t="s">
        <v>26</v>
      </c>
      <c r="H914" s="113">
        <v>0</v>
      </c>
      <c r="I914" s="113">
        <v>0</v>
      </c>
      <c r="K914" s="113">
        <v>0.17</v>
      </c>
      <c r="L914" s="113">
        <v>0</v>
      </c>
      <c r="M914" s="113">
        <v>0.122419896</v>
      </c>
      <c r="N914" s="113">
        <v>0</v>
      </c>
      <c r="O914" s="114" t="s">
        <v>381</v>
      </c>
    </row>
    <row r="915" spans="1:15" x14ac:dyDescent="0.25">
      <c r="A915" s="113" t="s">
        <v>55</v>
      </c>
      <c r="B915" s="113" t="s">
        <v>85</v>
      </c>
      <c r="C915" s="113">
        <v>2200.0010000000002</v>
      </c>
      <c r="D915" s="113">
        <v>3214</v>
      </c>
      <c r="E915" s="113">
        <v>1</v>
      </c>
      <c r="F915" s="113" t="s">
        <v>26</v>
      </c>
      <c r="G915" s="113" t="s">
        <v>26</v>
      </c>
      <c r="H915" s="113">
        <v>0</v>
      </c>
      <c r="I915" s="113">
        <v>0</v>
      </c>
      <c r="K915" s="113">
        <v>0.63062541100000002</v>
      </c>
      <c r="L915" s="113">
        <v>0</v>
      </c>
      <c r="M915" s="113">
        <v>0.58877774100000002</v>
      </c>
      <c r="N915" s="113">
        <v>0</v>
      </c>
      <c r="O915" s="114" t="s">
        <v>382</v>
      </c>
    </row>
    <row r="916" spans="1:15" x14ac:dyDescent="0.25">
      <c r="A916" s="113" t="s">
        <v>55</v>
      </c>
      <c r="B916" s="113" t="s">
        <v>86</v>
      </c>
      <c r="C916" s="113">
        <v>-454</v>
      </c>
      <c r="D916" s="113">
        <v>-400.00099999999998</v>
      </c>
      <c r="E916" s="113">
        <v>0.1</v>
      </c>
      <c r="F916" s="113" t="s">
        <v>26</v>
      </c>
      <c r="G916" s="113" t="s">
        <v>26</v>
      </c>
      <c r="H916" s="113">
        <v>0</v>
      </c>
      <c r="I916" s="113">
        <v>0</v>
      </c>
      <c r="K916" s="113">
        <v>0.41398294899999999</v>
      </c>
      <c r="L916" s="113">
        <v>0</v>
      </c>
      <c r="M916" s="113">
        <v>0.39270743800000002</v>
      </c>
      <c r="N916" s="113">
        <v>0</v>
      </c>
      <c r="O916" s="114" t="s">
        <v>369</v>
      </c>
    </row>
    <row r="917" spans="1:15" x14ac:dyDescent="0.25">
      <c r="A917" s="113" t="s">
        <v>55</v>
      </c>
      <c r="B917" s="113" t="s">
        <v>86</v>
      </c>
      <c r="C917" s="113">
        <v>-454</v>
      </c>
      <c r="D917" s="113">
        <v>-400.00099999999998</v>
      </c>
      <c r="E917" s="113">
        <v>1</v>
      </c>
      <c r="F917" s="113" t="s">
        <v>26</v>
      </c>
      <c r="G917" s="113" t="s">
        <v>26</v>
      </c>
      <c r="H917" s="113">
        <v>0</v>
      </c>
      <c r="I917" s="113">
        <v>0</v>
      </c>
      <c r="K917" s="113">
        <v>0.74355237399999996</v>
      </c>
      <c r="L917" s="113">
        <v>0</v>
      </c>
      <c r="M917" s="113">
        <v>0.69585855799999996</v>
      </c>
      <c r="N917" s="113">
        <v>0</v>
      </c>
      <c r="O917" s="114" t="s">
        <v>370</v>
      </c>
    </row>
    <row r="918" spans="1:15" x14ac:dyDescent="0.25">
      <c r="A918" s="113" t="s">
        <v>55</v>
      </c>
      <c r="B918" s="113" t="s">
        <v>86</v>
      </c>
      <c r="C918" s="113">
        <v>-400</v>
      </c>
      <c r="D918" s="113">
        <v>199.999</v>
      </c>
      <c r="E918" s="113">
        <v>0.1</v>
      </c>
      <c r="F918" s="113" t="s">
        <v>26</v>
      </c>
      <c r="G918" s="113" t="s">
        <v>26</v>
      </c>
      <c r="H918" s="113">
        <v>0</v>
      </c>
      <c r="I918" s="113">
        <v>0</v>
      </c>
      <c r="K918" s="113">
        <v>0.18</v>
      </c>
      <c r="L918" s="113">
        <v>0</v>
      </c>
      <c r="M918" s="113">
        <v>0.124119993</v>
      </c>
      <c r="N918" s="113">
        <v>0</v>
      </c>
      <c r="O918" s="114" t="s">
        <v>371</v>
      </c>
    </row>
    <row r="919" spans="1:15" x14ac:dyDescent="0.25">
      <c r="A919" s="113" t="s">
        <v>55</v>
      </c>
      <c r="B919" s="113" t="s">
        <v>86</v>
      </c>
      <c r="C919" s="113">
        <v>-400</v>
      </c>
      <c r="D919" s="113">
        <v>199.999</v>
      </c>
      <c r="E919" s="113">
        <v>1</v>
      </c>
      <c r="F919" s="113" t="s">
        <v>26</v>
      </c>
      <c r="G919" s="113" t="s">
        <v>26</v>
      </c>
      <c r="H919" s="113">
        <v>0</v>
      </c>
      <c r="I919" s="113">
        <v>0</v>
      </c>
      <c r="K919" s="113">
        <v>0.63424617999999999</v>
      </c>
      <c r="L919" s="113">
        <v>0</v>
      </c>
      <c r="M919" s="113">
        <v>0.58771232100000004</v>
      </c>
      <c r="N919" s="113">
        <v>0</v>
      </c>
      <c r="O919" s="114" t="s">
        <v>372</v>
      </c>
    </row>
    <row r="920" spans="1:15" x14ac:dyDescent="0.25">
      <c r="A920" s="113" t="s">
        <v>55</v>
      </c>
      <c r="B920" s="113" t="s">
        <v>86</v>
      </c>
      <c r="C920" s="113">
        <v>200</v>
      </c>
      <c r="D920" s="113">
        <v>752</v>
      </c>
      <c r="E920" s="113">
        <v>0.1</v>
      </c>
      <c r="F920" s="113" t="s">
        <v>26</v>
      </c>
      <c r="G920" s="113" t="s">
        <v>26</v>
      </c>
      <c r="H920" s="113">
        <v>0</v>
      </c>
      <c r="I920" s="113">
        <v>0</v>
      </c>
      <c r="K920" s="113">
        <v>0.11</v>
      </c>
      <c r="L920" s="113">
        <v>0</v>
      </c>
      <c r="M920" s="113">
        <v>8.3094007999999997E-2</v>
      </c>
      <c r="N920" s="113">
        <v>0</v>
      </c>
      <c r="O920" s="114" t="s">
        <v>373</v>
      </c>
    </row>
    <row r="921" spans="1:15" x14ac:dyDescent="0.25">
      <c r="A921" s="113" t="s">
        <v>55</v>
      </c>
      <c r="B921" s="113" t="s">
        <v>86</v>
      </c>
      <c r="C921" s="113">
        <v>200</v>
      </c>
      <c r="D921" s="113">
        <v>752</v>
      </c>
      <c r="E921" s="113">
        <v>1</v>
      </c>
      <c r="F921" s="113" t="s">
        <v>26</v>
      </c>
      <c r="G921" s="113" t="s">
        <v>26</v>
      </c>
      <c r="H921" s="113">
        <v>0</v>
      </c>
      <c r="I921" s="113">
        <v>0</v>
      </c>
      <c r="K921" s="113">
        <v>0.59634521399999996</v>
      </c>
      <c r="L921" s="113">
        <v>0</v>
      </c>
      <c r="M921" s="113">
        <v>0.58043484899999997</v>
      </c>
      <c r="N921" s="113">
        <v>0</v>
      </c>
      <c r="O921" s="114" t="s">
        <v>374</v>
      </c>
    </row>
    <row r="922" spans="1:15" x14ac:dyDescent="0.25">
      <c r="A922" s="113" t="s">
        <v>55</v>
      </c>
      <c r="B922" s="113" t="s">
        <v>17</v>
      </c>
      <c r="C922" s="113">
        <v>0</v>
      </c>
      <c r="D922" s="113">
        <v>40</v>
      </c>
      <c r="E922" s="113">
        <v>9.9999999999999995E-7</v>
      </c>
      <c r="F922" s="113" t="s">
        <v>9</v>
      </c>
      <c r="G922" s="113" t="s">
        <v>9</v>
      </c>
      <c r="H922" s="113">
        <v>0</v>
      </c>
      <c r="I922" s="113">
        <v>0</v>
      </c>
      <c r="K922" s="113">
        <v>0</v>
      </c>
      <c r="L922" s="113">
        <v>6E-10</v>
      </c>
      <c r="M922" s="113">
        <v>1.1000000000000001E-11</v>
      </c>
      <c r="N922" s="113">
        <v>5.7699999999999997E-10</v>
      </c>
      <c r="O922" s="114" t="s">
        <v>328</v>
      </c>
    </row>
    <row r="923" spans="1:15" x14ac:dyDescent="0.25">
      <c r="A923" s="113" t="s">
        <v>55</v>
      </c>
      <c r="B923" s="113" t="s">
        <v>17</v>
      </c>
      <c r="C923" s="113">
        <v>0</v>
      </c>
      <c r="D923" s="113">
        <v>40</v>
      </c>
      <c r="E923" s="113">
        <v>1.0000000000000001E-5</v>
      </c>
      <c r="F923" s="113" t="s">
        <v>9</v>
      </c>
      <c r="G923" s="113" t="s">
        <v>9</v>
      </c>
      <c r="H923" s="113">
        <v>0</v>
      </c>
      <c r="I923" s="113">
        <v>0</v>
      </c>
      <c r="K923" s="113">
        <v>0</v>
      </c>
      <c r="L923" s="113">
        <v>6E-10</v>
      </c>
      <c r="M923" s="113">
        <v>3E-11</v>
      </c>
      <c r="N923" s="113">
        <v>5.7699999999999997E-10</v>
      </c>
      <c r="O923" s="114" t="s">
        <v>329</v>
      </c>
    </row>
    <row r="924" spans="1:15" x14ac:dyDescent="0.25">
      <c r="A924" s="113" t="s">
        <v>55</v>
      </c>
      <c r="B924" s="113" t="s">
        <v>17</v>
      </c>
      <c r="C924" s="113">
        <v>0</v>
      </c>
      <c r="D924" s="113">
        <v>40</v>
      </c>
      <c r="E924" s="113">
        <v>1E-4</v>
      </c>
      <c r="F924" s="113" t="s">
        <v>9</v>
      </c>
      <c r="G924" s="113" t="s">
        <v>9</v>
      </c>
      <c r="H924" s="113">
        <v>0</v>
      </c>
      <c r="I924" s="113">
        <v>0</v>
      </c>
      <c r="K924" s="113">
        <v>0</v>
      </c>
      <c r="L924" s="113">
        <v>6E-10</v>
      </c>
      <c r="M924" s="113">
        <v>2.9509999999999998E-9</v>
      </c>
      <c r="N924" s="113">
        <v>5.7699999999999997E-10</v>
      </c>
      <c r="O924" s="114" t="s">
        <v>330</v>
      </c>
    </row>
    <row r="925" spans="1:15" x14ac:dyDescent="0.25">
      <c r="A925" s="113" t="s">
        <v>55</v>
      </c>
      <c r="B925" s="113" t="s">
        <v>17</v>
      </c>
      <c r="C925" s="113">
        <v>0</v>
      </c>
      <c r="D925" s="113">
        <v>40</v>
      </c>
      <c r="E925" s="113">
        <v>1E-3</v>
      </c>
      <c r="F925" s="113" t="s">
        <v>9</v>
      </c>
      <c r="G925" s="113" t="s">
        <v>9</v>
      </c>
      <c r="H925" s="113">
        <v>0</v>
      </c>
      <c r="I925" s="113">
        <v>0</v>
      </c>
      <c r="K925" s="113">
        <v>2.2343999999999999E-7</v>
      </c>
      <c r="L925" s="113">
        <v>5.9400000000000002E-10</v>
      </c>
      <c r="M925" s="113">
        <v>2.4522999999999998E-7</v>
      </c>
      <c r="N925" s="113">
        <v>5.7099999999999999E-10</v>
      </c>
      <c r="O925" s="114" t="s">
        <v>331</v>
      </c>
    </row>
    <row r="926" spans="1:15" x14ac:dyDescent="0.25">
      <c r="A926" s="113" t="s">
        <v>55</v>
      </c>
      <c r="B926" s="113" t="s">
        <v>17</v>
      </c>
      <c r="C926" s="113">
        <v>0</v>
      </c>
      <c r="D926" s="113">
        <v>40</v>
      </c>
      <c r="E926" s="113">
        <v>0.01</v>
      </c>
      <c r="F926" s="113" t="s">
        <v>9</v>
      </c>
      <c r="G926" s="113" t="s">
        <v>9</v>
      </c>
      <c r="H926" s="113">
        <v>0</v>
      </c>
      <c r="I926" s="113">
        <v>0</v>
      </c>
      <c r="K926" s="113">
        <v>5.3364999999999996E-6</v>
      </c>
      <c r="L926" s="113">
        <v>4.6700000000000004E-10</v>
      </c>
      <c r="M926" s="113">
        <v>5.3407999999999998E-6</v>
      </c>
      <c r="N926" s="113">
        <v>4.6200000000000001E-10</v>
      </c>
      <c r="O926" s="114" t="s">
        <v>332</v>
      </c>
    </row>
    <row r="927" spans="1:15" x14ac:dyDescent="0.25">
      <c r="A927" s="113" t="s">
        <v>55</v>
      </c>
      <c r="B927" s="113" t="s">
        <v>17</v>
      </c>
      <c r="C927" s="113">
        <v>0</v>
      </c>
      <c r="D927" s="113">
        <v>40</v>
      </c>
      <c r="E927" s="113">
        <v>0.1</v>
      </c>
      <c r="F927" s="113" t="s">
        <v>9</v>
      </c>
      <c r="G927" s="113" t="s">
        <v>9</v>
      </c>
      <c r="H927" s="113">
        <v>0</v>
      </c>
      <c r="I927" s="113">
        <v>0</v>
      </c>
      <c r="K927" s="113">
        <v>5.7624999999999998E-5</v>
      </c>
      <c r="L927" s="113">
        <v>1.1399999999999999E-10</v>
      </c>
      <c r="M927" s="113">
        <v>5.7299999999999997E-5</v>
      </c>
      <c r="N927" s="113">
        <v>1.1399999999999999E-10</v>
      </c>
      <c r="O927" s="114" t="s">
        <v>333</v>
      </c>
    </row>
    <row r="928" spans="1:15" x14ac:dyDescent="0.25">
      <c r="A928" s="113" t="s">
        <v>55</v>
      </c>
      <c r="B928" s="113" t="s">
        <v>17</v>
      </c>
      <c r="C928" s="113">
        <v>0</v>
      </c>
      <c r="D928" s="113">
        <v>40</v>
      </c>
      <c r="E928" s="113">
        <v>1</v>
      </c>
      <c r="F928" s="113" t="s">
        <v>9</v>
      </c>
      <c r="G928" s="113" t="s">
        <v>9</v>
      </c>
      <c r="H928" s="113">
        <v>0</v>
      </c>
      <c r="I928" s="113">
        <v>0</v>
      </c>
      <c r="K928" s="113">
        <v>5.7700000000000004E-4</v>
      </c>
      <c r="L928" s="113">
        <v>1.2000000000000001E-11</v>
      </c>
      <c r="M928" s="113">
        <v>5.7700000000000004E-4</v>
      </c>
      <c r="N928" s="113">
        <v>1.2000000000000001E-11</v>
      </c>
      <c r="O928" s="114" t="s">
        <v>334</v>
      </c>
    </row>
    <row r="929" spans="1:15" x14ac:dyDescent="0.25">
      <c r="A929" s="113" t="s">
        <v>55</v>
      </c>
      <c r="B929" s="113" t="s">
        <v>17</v>
      </c>
      <c r="C929" s="113">
        <v>0</v>
      </c>
      <c r="D929" s="113">
        <v>40</v>
      </c>
      <c r="E929" s="113">
        <v>10</v>
      </c>
      <c r="F929" s="113" t="s">
        <v>9</v>
      </c>
      <c r="G929" s="113" t="s">
        <v>9</v>
      </c>
      <c r="H929" s="113">
        <v>0</v>
      </c>
      <c r="I929" s="113">
        <v>0</v>
      </c>
      <c r="K929" s="113">
        <v>5.7736000000000003E-3</v>
      </c>
      <c r="L929" s="113">
        <v>9.9999999999999998E-13</v>
      </c>
      <c r="M929" s="113">
        <v>5.7730999999999998E-3</v>
      </c>
      <c r="N929" s="113">
        <v>9.9999999999999998E-13</v>
      </c>
      <c r="O929" s="114" t="s">
        <v>335</v>
      </c>
    </row>
    <row r="930" spans="1:15" x14ac:dyDescent="0.25">
      <c r="A930" s="113" t="s">
        <v>55</v>
      </c>
      <c r="B930" s="113" t="s">
        <v>17</v>
      </c>
      <c r="C930" s="113">
        <v>0</v>
      </c>
      <c r="D930" s="113">
        <v>40</v>
      </c>
      <c r="E930" s="113">
        <v>100</v>
      </c>
      <c r="F930" s="113" t="s">
        <v>9</v>
      </c>
      <c r="G930" s="113" t="s">
        <v>9</v>
      </c>
      <c r="H930" s="113">
        <v>0</v>
      </c>
      <c r="I930" s="113">
        <v>0</v>
      </c>
      <c r="K930" s="113">
        <v>5.7736000000000003E-2</v>
      </c>
      <c r="L930" s="113">
        <v>0</v>
      </c>
      <c r="M930" s="113">
        <v>5.7735000000000002E-2</v>
      </c>
      <c r="N930" s="113">
        <v>0</v>
      </c>
      <c r="O930" s="114" t="s">
        <v>1490</v>
      </c>
    </row>
    <row r="931" spans="1:15" x14ac:dyDescent="0.25">
      <c r="A931" s="113" t="s">
        <v>55</v>
      </c>
      <c r="B931" s="113" t="s">
        <v>17</v>
      </c>
      <c r="C931" s="113">
        <v>0</v>
      </c>
      <c r="D931" s="113">
        <v>40</v>
      </c>
      <c r="E931" s="113">
        <v>1000</v>
      </c>
      <c r="F931" s="113" t="s">
        <v>9</v>
      </c>
      <c r="G931" s="113" t="s">
        <v>9</v>
      </c>
      <c r="H931" s="113">
        <v>0</v>
      </c>
      <c r="I931" s="113">
        <v>0</v>
      </c>
      <c r="K931" s="113">
        <v>0.57735999999999998</v>
      </c>
      <c r="L931" s="113">
        <v>0</v>
      </c>
      <c r="M931" s="113">
        <v>0.57735000000000003</v>
      </c>
      <c r="N931" s="113">
        <v>0</v>
      </c>
      <c r="O931" s="114" t="s">
        <v>336</v>
      </c>
    </row>
    <row r="932" spans="1:15" x14ac:dyDescent="0.25">
      <c r="A932" s="113" t="s">
        <v>55</v>
      </c>
      <c r="B932" s="113" t="s">
        <v>17</v>
      </c>
      <c r="C932" s="113">
        <v>0</v>
      </c>
      <c r="D932" s="113">
        <v>40</v>
      </c>
      <c r="E932" s="113">
        <v>10000</v>
      </c>
      <c r="F932" s="113" t="s">
        <v>9</v>
      </c>
      <c r="G932" s="113" t="s">
        <v>9</v>
      </c>
      <c r="H932" s="113">
        <v>0</v>
      </c>
      <c r="I932" s="113">
        <v>0</v>
      </c>
      <c r="K932" s="113">
        <v>5.7736000000000001</v>
      </c>
      <c r="L932" s="113">
        <v>0</v>
      </c>
      <c r="M932" s="113">
        <v>5.7736000000000001</v>
      </c>
      <c r="N932" s="113">
        <v>0</v>
      </c>
      <c r="O932" s="114" t="s">
        <v>337</v>
      </c>
    </row>
    <row r="933" spans="1:15" x14ac:dyDescent="0.25">
      <c r="A933" s="113" t="s">
        <v>55</v>
      </c>
      <c r="B933" s="113" t="s">
        <v>17</v>
      </c>
      <c r="C933" s="113">
        <v>40</v>
      </c>
      <c r="D933" s="113">
        <v>1000</v>
      </c>
      <c r="E933" s="113">
        <v>1E-4</v>
      </c>
      <c r="F933" s="113" t="s">
        <v>9</v>
      </c>
      <c r="G933" s="113" t="s">
        <v>9</v>
      </c>
      <c r="H933" s="113">
        <v>0</v>
      </c>
      <c r="I933" s="113">
        <v>0</v>
      </c>
      <c r="K933" s="113">
        <v>2.8999999999999998E-7</v>
      </c>
      <c r="L933" s="113">
        <v>1.3E-7</v>
      </c>
      <c r="M933" s="113">
        <v>2.53E-7</v>
      </c>
      <c r="N933" s="113">
        <v>1.2897E-7</v>
      </c>
      <c r="O933" s="114" t="s">
        <v>338</v>
      </c>
    </row>
    <row r="934" spans="1:15" x14ac:dyDescent="0.25">
      <c r="A934" s="113" t="s">
        <v>55</v>
      </c>
      <c r="B934" s="113" t="s">
        <v>17</v>
      </c>
      <c r="C934" s="113">
        <v>40</v>
      </c>
      <c r="D934" s="113">
        <v>1000</v>
      </c>
      <c r="E934" s="113">
        <v>1E-3</v>
      </c>
      <c r="F934" s="113" t="s">
        <v>9</v>
      </c>
      <c r="G934" s="113" t="s">
        <v>9</v>
      </c>
      <c r="H934" s="113">
        <v>0</v>
      </c>
      <c r="I934" s="113">
        <v>0</v>
      </c>
      <c r="K934" s="113">
        <v>6.5700000000000002E-7</v>
      </c>
      <c r="L934" s="113">
        <v>1.2893999999999999E-7</v>
      </c>
      <c r="M934" s="113">
        <v>5.9800000000000003E-7</v>
      </c>
      <c r="N934" s="113">
        <v>1.2907E-7</v>
      </c>
      <c r="O934" s="114" t="s">
        <v>339</v>
      </c>
    </row>
    <row r="935" spans="1:15" x14ac:dyDescent="0.25">
      <c r="A935" s="113" t="s">
        <v>55</v>
      </c>
      <c r="B935" s="113" t="s">
        <v>17</v>
      </c>
      <c r="C935" s="113">
        <v>40</v>
      </c>
      <c r="D935" s="113">
        <v>1000</v>
      </c>
      <c r="E935" s="113">
        <v>0.01</v>
      </c>
      <c r="F935" s="113" t="s">
        <v>9</v>
      </c>
      <c r="G935" s="113" t="s">
        <v>9</v>
      </c>
      <c r="H935" s="113">
        <v>0</v>
      </c>
      <c r="I935" s="113">
        <v>0</v>
      </c>
      <c r="K935" s="113">
        <v>2.6089999999999999E-5</v>
      </c>
      <c r="L935" s="113">
        <v>1.3885E-7</v>
      </c>
      <c r="M935" s="113">
        <v>2.5942E-5</v>
      </c>
      <c r="N935" s="113">
        <v>1.3918000000000001E-7</v>
      </c>
      <c r="O935" s="114" t="s">
        <v>340</v>
      </c>
    </row>
    <row r="936" spans="1:15" x14ac:dyDescent="0.25">
      <c r="A936" s="113" t="s">
        <v>55</v>
      </c>
      <c r="B936" s="113" t="s">
        <v>17</v>
      </c>
      <c r="C936" s="113">
        <v>40</v>
      </c>
      <c r="D936" s="113">
        <v>1000</v>
      </c>
      <c r="E936" s="113">
        <v>0.1</v>
      </c>
      <c r="F936" s="113" t="s">
        <v>9</v>
      </c>
      <c r="G936" s="113" t="s">
        <v>9</v>
      </c>
      <c r="H936" s="113">
        <v>0</v>
      </c>
      <c r="I936" s="113">
        <v>0</v>
      </c>
      <c r="K936" s="113">
        <v>3.9689E-4</v>
      </c>
      <c r="L936" s="113">
        <v>5.5570000000000003E-7</v>
      </c>
      <c r="M936" s="113">
        <v>3.9680999999999999E-4</v>
      </c>
      <c r="N936" s="113">
        <v>5.5588000000000003E-7</v>
      </c>
      <c r="O936" s="114" t="s">
        <v>341</v>
      </c>
    </row>
    <row r="937" spans="1:15" x14ac:dyDescent="0.25">
      <c r="A937" s="113" t="s">
        <v>55</v>
      </c>
      <c r="B937" s="113" t="s">
        <v>17</v>
      </c>
      <c r="C937" s="113">
        <v>40</v>
      </c>
      <c r="D937" s="113">
        <v>1000</v>
      </c>
      <c r="E937" s="113">
        <v>1</v>
      </c>
      <c r="F937" s="113" t="s">
        <v>9</v>
      </c>
      <c r="G937" s="113" t="s">
        <v>9</v>
      </c>
      <c r="H937" s="113">
        <v>0</v>
      </c>
      <c r="I937" s="113">
        <v>0</v>
      </c>
      <c r="K937" s="113">
        <v>3.9871999999999998E-3</v>
      </c>
      <c r="L937" s="113">
        <v>5.4141000000000004E-6</v>
      </c>
      <c r="M937" s="113">
        <v>3.9871999999999998E-3</v>
      </c>
      <c r="N937" s="113">
        <v>5.4141000000000004E-6</v>
      </c>
      <c r="O937" s="114" t="s">
        <v>342</v>
      </c>
    </row>
    <row r="938" spans="1:15" x14ac:dyDescent="0.25">
      <c r="A938" s="113" t="s">
        <v>55</v>
      </c>
      <c r="B938" s="113" t="s">
        <v>17</v>
      </c>
      <c r="C938" s="113">
        <v>40</v>
      </c>
      <c r="D938" s="113">
        <v>1000</v>
      </c>
      <c r="E938" s="113">
        <v>10</v>
      </c>
      <c r="F938" s="113" t="s">
        <v>9</v>
      </c>
      <c r="G938" s="113" t="s">
        <v>9</v>
      </c>
      <c r="H938" s="113">
        <v>0</v>
      </c>
      <c r="I938" s="113">
        <v>0</v>
      </c>
      <c r="K938" s="113">
        <v>5.5948999999999999E-2</v>
      </c>
      <c r="L938" s="113">
        <v>5.41E-5</v>
      </c>
      <c r="M938" s="113">
        <v>5.5948999999999999E-2</v>
      </c>
      <c r="N938" s="113">
        <v>5.41E-5</v>
      </c>
      <c r="O938" s="114" t="s">
        <v>343</v>
      </c>
    </row>
    <row r="939" spans="1:15" x14ac:dyDescent="0.25">
      <c r="A939" s="113" t="s">
        <v>55</v>
      </c>
      <c r="B939" s="113" t="s">
        <v>17</v>
      </c>
      <c r="C939" s="113">
        <v>1000</v>
      </c>
      <c r="D939" s="113">
        <v>10000</v>
      </c>
      <c r="E939" s="113">
        <v>1E-3</v>
      </c>
      <c r="F939" s="113" t="s">
        <v>9</v>
      </c>
      <c r="G939" s="113" t="s">
        <v>9</v>
      </c>
      <c r="H939" s="113">
        <v>0</v>
      </c>
      <c r="I939" s="113">
        <v>0</v>
      </c>
      <c r="K939" s="113">
        <v>4.3999999999999997E-9</v>
      </c>
      <c r="L939" s="113">
        <v>1.3E-7</v>
      </c>
      <c r="M939" s="113">
        <v>7.4100000000000003E-10</v>
      </c>
      <c r="N939" s="113">
        <v>1.2921999999999999E-7</v>
      </c>
      <c r="O939" s="114" t="s">
        <v>344</v>
      </c>
    </row>
    <row r="940" spans="1:15" x14ac:dyDescent="0.25">
      <c r="A940" s="113" t="s">
        <v>55</v>
      </c>
      <c r="B940" s="113" t="s">
        <v>17</v>
      </c>
      <c r="C940" s="113">
        <v>1000</v>
      </c>
      <c r="D940" s="113">
        <v>10000</v>
      </c>
      <c r="E940" s="113">
        <v>0.01</v>
      </c>
      <c r="F940" s="113" t="s">
        <v>9</v>
      </c>
      <c r="G940" s="113" t="s">
        <v>9</v>
      </c>
      <c r="H940" s="113">
        <v>0</v>
      </c>
      <c r="I940" s="113">
        <v>0</v>
      </c>
      <c r="K940" s="113">
        <v>1.9500000000000001E-7</v>
      </c>
      <c r="L940" s="113">
        <v>1.29E-7</v>
      </c>
      <c r="M940" s="113">
        <v>1.3799999999999999E-7</v>
      </c>
      <c r="N940" s="113">
        <v>1.2921E-7</v>
      </c>
      <c r="O940" s="114" t="s">
        <v>345</v>
      </c>
    </row>
    <row r="941" spans="1:15" x14ac:dyDescent="0.25">
      <c r="A941" s="113" t="s">
        <v>55</v>
      </c>
      <c r="B941" s="113" t="s">
        <v>17</v>
      </c>
      <c r="C941" s="113">
        <v>1000</v>
      </c>
      <c r="D941" s="113">
        <v>10000</v>
      </c>
      <c r="E941" s="113">
        <v>0.1</v>
      </c>
      <c r="F941" s="113" t="s">
        <v>9</v>
      </c>
      <c r="G941" s="113" t="s">
        <v>9</v>
      </c>
      <c r="H941" s="113">
        <v>0</v>
      </c>
      <c r="I941" s="113">
        <v>0</v>
      </c>
      <c r="K941" s="113">
        <v>1.3574000000000001E-5</v>
      </c>
      <c r="L941" s="113">
        <v>1.2799E-7</v>
      </c>
      <c r="M941" s="113">
        <v>1.3570999999999999E-5</v>
      </c>
      <c r="N941" s="113">
        <v>1.2799E-7</v>
      </c>
      <c r="O941" s="114" t="s">
        <v>346</v>
      </c>
    </row>
    <row r="942" spans="1:15" x14ac:dyDescent="0.25">
      <c r="A942" s="113" t="s">
        <v>55</v>
      </c>
      <c r="B942" s="113" t="s">
        <v>17</v>
      </c>
      <c r="C942" s="113">
        <v>1000</v>
      </c>
      <c r="D942" s="113">
        <v>10000</v>
      </c>
      <c r="E942" s="113">
        <v>1</v>
      </c>
      <c r="F942" s="113" t="s">
        <v>9</v>
      </c>
      <c r="G942" s="113" t="s">
        <v>9</v>
      </c>
      <c r="H942" s="113">
        <v>0</v>
      </c>
      <c r="I942" s="113">
        <v>0</v>
      </c>
      <c r="K942" s="113">
        <v>6.8566000000000005E-4</v>
      </c>
      <c r="L942" s="113">
        <v>9.1516999999999998E-8</v>
      </c>
      <c r="M942" s="113">
        <v>6.8565E-4</v>
      </c>
      <c r="N942" s="113">
        <v>9.1517999999999999E-8</v>
      </c>
      <c r="O942" s="114" t="s">
        <v>347</v>
      </c>
    </row>
    <row r="943" spans="1:15" x14ac:dyDescent="0.25">
      <c r="A943" s="113" t="s">
        <v>55</v>
      </c>
      <c r="B943" s="113" t="s">
        <v>17</v>
      </c>
      <c r="C943" s="113">
        <v>1000</v>
      </c>
      <c r="D943" s="113">
        <v>10000</v>
      </c>
      <c r="E943" s="113">
        <v>10</v>
      </c>
      <c r="F943" s="113" t="s">
        <v>9</v>
      </c>
      <c r="G943" s="113" t="s">
        <v>9</v>
      </c>
      <c r="H943" s="113">
        <v>0</v>
      </c>
      <c r="I943" s="113">
        <v>0</v>
      </c>
      <c r="K943" s="113">
        <v>5.7844000000000003E-3</v>
      </c>
      <c r="L943" s="113">
        <v>1.571E-8</v>
      </c>
      <c r="M943" s="113">
        <v>5.7844000000000003E-3</v>
      </c>
      <c r="N943" s="113">
        <v>1.571E-8</v>
      </c>
      <c r="O943" s="114" t="s">
        <v>348</v>
      </c>
    </row>
    <row r="944" spans="1:15" x14ac:dyDescent="0.25">
      <c r="A944" s="113" t="s">
        <v>55</v>
      </c>
      <c r="B944" s="113" t="s">
        <v>17</v>
      </c>
      <c r="C944" s="113">
        <v>1000</v>
      </c>
      <c r="D944" s="113">
        <v>10000</v>
      </c>
      <c r="E944" s="113">
        <v>100</v>
      </c>
      <c r="F944" s="113" t="s">
        <v>9</v>
      </c>
      <c r="G944" s="113" t="s">
        <v>9</v>
      </c>
      <c r="H944" s="113">
        <v>0</v>
      </c>
      <c r="I944" s="113">
        <v>0</v>
      </c>
      <c r="K944" s="113">
        <v>5.7734000000000001E-2</v>
      </c>
      <c r="L944" s="113">
        <v>1.5900000000000001E-9</v>
      </c>
      <c r="M944" s="113">
        <v>5.772E-2</v>
      </c>
      <c r="N944" s="113">
        <v>1.5900000000000001E-9</v>
      </c>
      <c r="O944" s="114" t="s">
        <v>349</v>
      </c>
    </row>
    <row r="945" spans="1:15" x14ac:dyDescent="0.25">
      <c r="A945" s="113" t="s">
        <v>55</v>
      </c>
      <c r="B945" s="113" t="s">
        <v>17</v>
      </c>
      <c r="C945" s="113">
        <v>10000</v>
      </c>
      <c r="D945" s="113">
        <v>100000</v>
      </c>
      <c r="E945" s="113">
        <v>0.01</v>
      </c>
      <c r="F945" s="113" t="s">
        <v>9</v>
      </c>
      <c r="G945" s="113" t="s">
        <v>9</v>
      </c>
      <c r="H945" s="113">
        <v>0</v>
      </c>
      <c r="I945" s="113">
        <v>0</v>
      </c>
      <c r="K945" s="113">
        <v>4.3999999999999997E-8</v>
      </c>
      <c r="L945" s="113">
        <v>7.0000000000000001E-12</v>
      </c>
      <c r="M945" s="113">
        <v>7.4140000000000002E-9</v>
      </c>
      <c r="N945" s="113">
        <v>1.29E-7</v>
      </c>
      <c r="O945" s="114" t="s">
        <v>350</v>
      </c>
    </row>
    <row r="946" spans="1:15" x14ac:dyDescent="0.25">
      <c r="A946" s="113" t="s">
        <v>55</v>
      </c>
      <c r="B946" s="113" t="s">
        <v>17</v>
      </c>
      <c r="C946" s="113">
        <v>10000</v>
      </c>
      <c r="D946" s="113">
        <v>100000</v>
      </c>
      <c r="E946" s="113">
        <v>0.1</v>
      </c>
      <c r="F946" s="113" t="s">
        <v>9</v>
      </c>
      <c r="G946" s="113" t="s">
        <v>9</v>
      </c>
      <c r="H946" s="113">
        <v>0</v>
      </c>
      <c r="I946" s="113">
        <v>0</v>
      </c>
      <c r="K946" s="113">
        <v>1.9518000000000001E-6</v>
      </c>
      <c r="L946" s="113">
        <v>1.384E-9</v>
      </c>
      <c r="M946" s="113">
        <v>1.3799999999999999E-6</v>
      </c>
      <c r="N946" s="113">
        <v>1.2921E-7</v>
      </c>
      <c r="O946" s="114" t="s">
        <v>351</v>
      </c>
    </row>
    <row r="947" spans="1:15" x14ac:dyDescent="0.25">
      <c r="A947" s="113" t="s">
        <v>55</v>
      </c>
      <c r="B947" s="113" t="s">
        <v>17</v>
      </c>
      <c r="C947" s="113">
        <v>10000</v>
      </c>
      <c r="D947" s="113">
        <v>100000</v>
      </c>
      <c r="E947" s="113">
        <v>1</v>
      </c>
      <c r="F947" s="113" t="s">
        <v>9</v>
      </c>
      <c r="G947" s="113" t="s">
        <v>9</v>
      </c>
      <c r="H947" s="113">
        <v>0</v>
      </c>
      <c r="I947" s="113">
        <v>0</v>
      </c>
      <c r="K947" s="113">
        <v>1.3574E-4</v>
      </c>
      <c r="L947" s="113">
        <v>1.3570999999999999E-7</v>
      </c>
      <c r="M947" s="113">
        <v>1.3570999999999999E-4</v>
      </c>
      <c r="N947" s="113">
        <v>1.2799E-7</v>
      </c>
      <c r="O947" s="114" t="s">
        <v>352</v>
      </c>
    </row>
    <row r="948" spans="1:15" x14ac:dyDescent="0.25">
      <c r="A948" s="113" t="s">
        <v>55</v>
      </c>
      <c r="B948" s="113" t="s">
        <v>17</v>
      </c>
      <c r="C948" s="113">
        <v>10000</v>
      </c>
      <c r="D948" s="113">
        <v>100000</v>
      </c>
      <c r="E948" s="113">
        <v>10</v>
      </c>
      <c r="F948" s="113" t="s">
        <v>9</v>
      </c>
      <c r="G948" s="113" t="s">
        <v>9</v>
      </c>
      <c r="H948" s="113">
        <v>0</v>
      </c>
      <c r="I948" s="113">
        <v>0</v>
      </c>
      <c r="K948" s="113">
        <v>6.8566E-3</v>
      </c>
      <c r="L948" s="113">
        <v>6.8565000000000003E-6</v>
      </c>
      <c r="M948" s="113">
        <v>6.8564999999999997E-3</v>
      </c>
      <c r="N948" s="113">
        <v>9.1517999999999999E-8</v>
      </c>
      <c r="O948" s="114" t="s">
        <v>353</v>
      </c>
    </row>
    <row r="949" spans="1:15" x14ac:dyDescent="0.25">
      <c r="A949" s="113" t="s">
        <v>55</v>
      </c>
      <c r="B949" s="113" t="s">
        <v>17</v>
      </c>
      <c r="C949" s="113">
        <v>10000</v>
      </c>
      <c r="D949" s="113">
        <v>100000</v>
      </c>
      <c r="E949" s="113">
        <v>100</v>
      </c>
      <c r="F949" s="113" t="s">
        <v>9</v>
      </c>
      <c r="G949" s="113" t="s">
        <v>9</v>
      </c>
      <c r="H949" s="113">
        <v>0</v>
      </c>
      <c r="I949" s="113">
        <v>0</v>
      </c>
      <c r="K949" s="113">
        <v>5.7844E-2</v>
      </c>
      <c r="L949" s="113">
        <v>5.7843999999999997E-5</v>
      </c>
      <c r="M949" s="113">
        <v>5.7844E-2</v>
      </c>
      <c r="N949" s="113">
        <v>1.571E-8</v>
      </c>
      <c r="O949" s="114" t="s">
        <v>354</v>
      </c>
    </row>
    <row r="950" spans="1:15" x14ac:dyDescent="0.25">
      <c r="A950" s="113" t="s">
        <v>55</v>
      </c>
      <c r="B950" s="113" t="s">
        <v>17</v>
      </c>
      <c r="C950" s="113">
        <v>10000</v>
      </c>
      <c r="D950" s="113">
        <v>100000</v>
      </c>
      <c r="E950" s="113">
        <v>1000</v>
      </c>
      <c r="F950" s="113" t="s">
        <v>9</v>
      </c>
      <c r="G950" s="113" t="s">
        <v>9</v>
      </c>
      <c r="H950" s="113">
        <v>0</v>
      </c>
      <c r="I950" s="113">
        <v>0</v>
      </c>
      <c r="K950" s="113">
        <v>0.57733999999999996</v>
      </c>
      <c r="L950" s="113">
        <v>5.7720000000000004E-4</v>
      </c>
      <c r="M950" s="113">
        <v>0.57720000000000005</v>
      </c>
      <c r="N950" s="113">
        <v>1.5900000000000001E-9</v>
      </c>
      <c r="O950" s="114" t="s">
        <v>355</v>
      </c>
    </row>
    <row r="951" spans="1:15" x14ac:dyDescent="0.25">
      <c r="A951" s="113" t="s">
        <v>55</v>
      </c>
      <c r="B951" s="113" t="s">
        <v>17</v>
      </c>
      <c r="C951" s="113">
        <v>10000</v>
      </c>
      <c r="D951" s="113">
        <v>100000</v>
      </c>
      <c r="E951" s="113">
        <v>10000</v>
      </c>
      <c r="F951" s="113" t="s">
        <v>9</v>
      </c>
      <c r="G951" s="113" t="s">
        <v>9</v>
      </c>
      <c r="H951" s="113">
        <v>0</v>
      </c>
      <c r="I951" s="113">
        <v>0</v>
      </c>
      <c r="K951" s="113">
        <v>5.7736000000000001</v>
      </c>
      <c r="L951" s="113">
        <v>5.77E-3</v>
      </c>
      <c r="M951" s="113">
        <v>5.7733999999999996</v>
      </c>
      <c r="N951" s="113">
        <v>1.5899999999999999E-10</v>
      </c>
      <c r="O951" s="114" t="s">
        <v>356</v>
      </c>
    </row>
    <row r="952" spans="1:15" x14ac:dyDescent="0.25">
      <c r="A952" s="113" t="s">
        <v>55</v>
      </c>
      <c r="B952" s="113" t="s">
        <v>17</v>
      </c>
      <c r="C952" s="113">
        <v>100000</v>
      </c>
      <c r="D952" s="113">
        <v>1000000</v>
      </c>
      <c r="E952" s="113">
        <v>0.1</v>
      </c>
      <c r="F952" s="113" t="s">
        <v>9</v>
      </c>
      <c r="G952" s="113" t="s">
        <v>9</v>
      </c>
      <c r="H952" s="113">
        <v>0</v>
      </c>
      <c r="I952" s="113">
        <v>0</v>
      </c>
      <c r="K952" s="113">
        <v>4.4000000000000002E-7</v>
      </c>
      <c r="L952" s="113">
        <v>1.3E-7</v>
      </c>
      <c r="M952" s="113">
        <v>7.4099999999999995E-8</v>
      </c>
      <c r="N952" s="113">
        <v>1.2921999999999999E-7</v>
      </c>
      <c r="O952" s="114" t="s">
        <v>357</v>
      </c>
    </row>
    <row r="953" spans="1:15" x14ac:dyDescent="0.25">
      <c r="A953" s="113" t="s">
        <v>55</v>
      </c>
      <c r="B953" s="113" t="s">
        <v>17</v>
      </c>
      <c r="C953" s="113">
        <v>100000</v>
      </c>
      <c r="D953" s="113">
        <v>1000000</v>
      </c>
      <c r="E953" s="113">
        <v>1</v>
      </c>
      <c r="F953" s="113" t="s">
        <v>9</v>
      </c>
      <c r="G953" s="113" t="s">
        <v>9</v>
      </c>
      <c r="H953" s="113">
        <v>0</v>
      </c>
      <c r="I953" s="113">
        <v>0</v>
      </c>
      <c r="K953" s="113">
        <v>1.9517999999999998E-5</v>
      </c>
      <c r="L953" s="113">
        <v>1.2919999999999999E-7</v>
      </c>
      <c r="M953" s="113">
        <v>1.3837E-5</v>
      </c>
      <c r="N953" s="113">
        <v>1.2921E-7</v>
      </c>
      <c r="O953" s="114" t="s">
        <v>358</v>
      </c>
    </row>
    <row r="954" spans="1:15" x14ac:dyDescent="0.25">
      <c r="A954" s="113" t="s">
        <v>55</v>
      </c>
      <c r="B954" s="113" t="s">
        <v>17</v>
      </c>
      <c r="C954" s="113">
        <v>100000</v>
      </c>
      <c r="D954" s="113">
        <v>1000000</v>
      </c>
      <c r="E954" s="113">
        <v>10</v>
      </c>
      <c r="F954" s="113" t="s">
        <v>9</v>
      </c>
      <c r="G954" s="113" t="s">
        <v>9</v>
      </c>
      <c r="H954" s="113">
        <v>0</v>
      </c>
      <c r="I954" s="113">
        <v>0</v>
      </c>
      <c r="K954" s="113">
        <v>1.3573999999999999E-3</v>
      </c>
      <c r="L954" s="113">
        <v>1.2799E-7</v>
      </c>
      <c r="M954" s="113">
        <v>1.3571E-3</v>
      </c>
      <c r="N954" s="113">
        <v>1.2799E-7</v>
      </c>
      <c r="O954" s="114" t="s">
        <v>359</v>
      </c>
    </row>
    <row r="955" spans="1:15" x14ac:dyDescent="0.25">
      <c r="A955" s="113" t="s">
        <v>55</v>
      </c>
      <c r="B955" s="113" t="s">
        <v>17</v>
      </c>
      <c r="C955" s="113">
        <v>100000</v>
      </c>
      <c r="D955" s="113">
        <v>1000000</v>
      </c>
      <c r="E955" s="113">
        <v>100</v>
      </c>
      <c r="F955" s="113" t="s">
        <v>9</v>
      </c>
      <c r="G955" s="113" t="s">
        <v>9</v>
      </c>
      <c r="H955" s="113">
        <v>0</v>
      </c>
      <c r="I955" s="113">
        <v>0</v>
      </c>
      <c r="K955" s="113">
        <v>6.8566000000000002E-2</v>
      </c>
      <c r="L955" s="113">
        <v>9.1516999999999998E-8</v>
      </c>
      <c r="M955" s="113">
        <v>6.8565000000000001E-2</v>
      </c>
      <c r="N955" s="113">
        <v>9.1517999999999999E-8</v>
      </c>
      <c r="O955" s="114" t="s">
        <v>360</v>
      </c>
    </row>
    <row r="956" spans="1:15" x14ac:dyDescent="0.25">
      <c r="A956" s="113" t="s">
        <v>55</v>
      </c>
      <c r="B956" s="113" t="s">
        <v>17</v>
      </c>
      <c r="C956" s="113">
        <v>100000</v>
      </c>
      <c r="D956" s="113">
        <v>1000000</v>
      </c>
      <c r="E956" s="113">
        <v>1000</v>
      </c>
      <c r="F956" s="113" t="s">
        <v>9</v>
      </c>
      <c r="G956" s="113" t="s">
        <v>9</v>
      </c>
      <c r="H956" s="113">
        <v>0</v>
      </c>
      <c r="I956" s="113">
        <v>0</v>
      </c>
      <c r="K956" s="113">
        <v>0.57843999999999995</v>
      </c>
      <c r="L956" s="113">
        <v>1.571E-8</v>
      </c>
      <c r="M956" s="113">
        <v>0.57843999999999995</v>
      </c>
      <c r="N956" s="113">
        <v>1.571E-8</v>
      </c>
      <c r="O956" s="114" t="s">
        <v>361</v>
      </c>
    </row>
    <row r="957" spans="1:15" x14ac:dyDescent="0.25">
      <c r="A957" s="113" t="s">
        <v>55</v>
      </c>
      <c r="B957" s="113" t="s">
        <v>17</v>
      </c>
      <c r="C957" s="113">
        <v>100000</v>
      </c>
      <c r="D957" s="113">
        <v>1000000</v>
      </c>
      <c r="E957" s="113">
        <v>10000</v>
      </c>
      <c r="F957" s="113" t="s">
        <v>9</v>
      </c>
      <c r="G957" s="113" t="s">
        <v>9</v>
      </c>
      <c r="H957" s="113">
        <v>0</v>
      </c>
      <c r="I957" s="113">
        <v>0</v>
      </c>
      <c r="K957" s="113">
        <v>5.7733999999999996</v>
      </c>
      <c r="L957" s="113">
        <v>1.5900000000000001E-9</v>
      </c>
      <c r="M957" s="113">
        <v>5.7720000000000002</v>
      </c>
      <c r="N957" s="113">
        <v>1.5900000000000001E-9</v>
      </c>
      <c r="O957" s="114" t="s">
        <v>362</v>
      </c>
    </row>
    <row r="958" spans="1:15" x14ac:dyDescent="0.25">
      <c r="A958" s="113" t="s">
        <v>55</v>
      </c>
      <c r="B958" s="113" t="s">
        <v>17</v>
      </c>
      <c r="C958" s="113">
        <v>1000000</v>
      </c>
      <c r="D958" s="113">
        <v>10000000</v>
      </c>
      <c r="E958" s="113">
        <v>1</v>
      </c>
      <c r="F958" s="113" t="s">
        <v>9</v>
      </c>
      <c r="G958" s="113" t="s">
        <v>9</v>
      </c>
      <c r="H958" s="113">
        <v>0</v>
      </c>
      <c r="I958" s="113">
        <v>0</v>
      </c>
      <c r="K958" s="113">
        <v>4.4000000000000002E-6</v>
      </c>
      <c r="L958" s="113">
        <v>1.3E-7</v>
      </c>
      <c r="M958" s="113">
        <v>7.4137000000000003E-7</v>
      </c>
      <c r="N958" s="113">
        <v>1.2921999999999999E-7</v>
      </c>
      <c r="O958" s="114" t="s">
        <v>363</v>
      </c>
    </row>
    <row r="959" spans="1:15" x14ac:dyDescent="0.25">
      <c r="A959" s="113" t="s">
        <v>55</v>
      </c>
      <c r="B959" s="113" t="s">
        <v>17</v>
      </c>
      <c r="C959" s="113">
        <v>1000000</v>
      </c>
      <c r="D959" s="113">
        <v>10000000</v>
      </c>
      <c r="E959" s="113">
        <v>10</v>
      </c>
      <c r="F959" s="113" t="s">
        <v>9</v>
      </c>
      <c r="G959" s="113" t="s">
        <v>9</v>
      </c>
      <c r="H959" s="113">
        <v>0</v>
      </c>
      <c r="I959" s="113">
        <v>0</v>
      </c>
      <c r="K959" s="113">
        <v>1.9518000000000001E-4</v>
      </c>
      <c r="L959" s="113">
        <v>1.2919999999999999E-7</v>
      </c>
      <c r="M959" s="113">
        <v>1.3836999999999999E-4</v>
      </c>
      <c r="N959" s="113">
        <v>1.2921E-7</v>
      </c>
      <c r="O959" s="114" t="s">
        <v>364</v>
      </c>
    </row>
    <row r="960" spans="1:15" x14ac:dyDescent="0.25">
      <c r="A960" s="113" t="s">
        <v>55</v>
      </c>
      <c r="B960" s="113" t="s">
        <v>17</v>
      </c>
      <c r="C960" s="113">
        <v>1000000</v>
      </c>
      <c r="D960" s="113">
        <v>10000000</v>
      </c>
      <c r="E960" s="113">
        <v>100</v>
      </c>
      <c r="F960" s="113" t="s">
        <v>9</v>
      </c>
      <c r="G960" s="113" t="s">
        <v>9</v>
      </c>
      <c r="H960" s="113">
        <v>0</v>
      </c>
      <c r="I960" s="113">
        <v>0</v>
      </c>
      <c r="K960" s="113">
        <v>1.3573999999999999E-2</v>
      </c>
      <c r="L960" s="113">
        <v>1.2799E-7</v>
      </c>
      <c r="M960" s="113">
        <v>1.3571E-2</v>
      </c>
      <c r="N960" s="113">
        <v>1.2799E-7</v>
      </c>
      <c r="O960" s="114" t="s">
        <v>365</v>
      </c>
    </row>
    <row r="961" spans="1:15" x14ac:dyDescent="0.25">
      <c r="A961" s="113" t="s">
        <v>55</v>
      </c>
      <c r="B961" s="113" t="s">
        <v>17</v>
      </c>
      <c r="C961" s="113">
        <v>1000000</v>
      </c>
      <c r="D961" s="113">
        <v>10000000</v>
      </c>
      <c r="E961" s="113">
        <v>1000</v>
      </c>
      <c r="F961" s="113" t="s">
        <v>9</v>
      </c>
      <c r="G961" s="113" t="s">
        <v>9</v>
      </c>
      <c r="H961" s="113">
        <v>0</v>
      </c>
      <c r="I961" s="113">
        <v>0</v>
      </c>
      <c r="K961" s="113">
        <v>0.68566000000000005</v>
      </c>
      <c r="L961" s="113">
        <v>9.1516999999999998E-8</v>
      </c>
      <c r="M961" s="113">
        <v>0.68564999999999998</v>
      </c>
      <c r="N961" s="113">
        <v>9.1517999999999999E-8</v>
      </c>
      <c r="O961" s="114" t="s">
        <v>366</v>
      </c>
    </row>
    <row r="962" spans="1:15" x14ac:dyDescent="0.25">
      <c r="A962" s="113" t="s">
        <v>55</v>
      </c>
      <c r="B962" s="113" t="s">
        <v>17</v>
      </c>
      <c r="C962" s="113">
        <v>1000000</v>
      </c>
      <c r="D962" s="113">
        <v>10000000</v>
      </c>
      <c r="E962" s="113">
        <v>10000</v>
      </c>
      <c r="F962" s="113" t="s">
        <v>9</v>
      </c>
      <c r="G962" s="113" t="s">
        <v>9</v>
      </c>
      <c r="H962" s="113">
        <v>0</v>
      </c>
      <c r="I962" s="113">
        <v>0</v>
      </c>
      <c r="K962" s="113">
        <v>5.7843999999999998</v>
      </c>
      <c r="L962" s="113">
        <v>1.571E-8</v>
      </c>
      <c r="M962" s="113">
        <v>5.7843999999999998</v>
      </c>
      <c r="N962" s="113">
        <v>1.571E-8</v>
      </c>
      <c r="O962" s="114" t="s">
        <v>367</v>
      </c>
    </row>
    <row r="963" spans="1:15" x14ac:dyDescent="0.25">
      <c r="A963" s="113" t="s">
        <v>55</v>
      </c>
      <c r="B963" s="113" t="s">
        <v>17</v>
      </c>
      <c r="C963" s="113">
        <v>1000000</v>
      </c>
      <c r="D963" s="113">
        <v>10000000</v>
      </c>
      <c r="E963" s="113">
        <v>100000</v>
      </c>
      <c r="F963" s="113" t="s">
        <v>9</v>
      </c>
      <c r="G963" s="113" t="s">
        <v>9</v>
      </c>
      <c r="H963" s="113">
        <v>0</v>
      </c>
      <c r="I963" s="113">
        <v>0</v>
      </c>
      <c r="K963" s="113">
        <v>57.734000000000002</v>
      </c>
      <c r="L963" s="113">
        <v>1.5900000000000001E-9</v>
      </c>
      <c r="M963" s="113">
        <v>57.72</v>
      </c>
      <c r="N963" s="113">
        <v>1.5900000000000001E-9</v>
      </c>
      <c r="O963" s="114" t="s">
        <v>368</v>
      </c>
    </row>
    <row r="964" spans="1:15" x14ac:dyDescent="0.25">
      <c r="A964" s="113" t="s">
        <v>55</v>
      </c>
      <c r="B964" s="113" t="s">
        <v>7</v>
      </c>
      <c r="C964" s="113">
        <v>0</v>
      </c>
      <c r="D964" s="113">
        <v>10</v>
      </c>
      <c r="E964" s="113">
        <v>1.0000000000000001E-5</v>
      </c>
      <c r="F964" s="113" t="s">
        <v>102</v>
      </c>
      <c r="G964" s="113" t="s">
        <v>22</v>
      </c>
      <c r="H964" s="113">
        <v>0</v>
      </c>
      <c r="I964" s="113">
        <v>0</v>
      </c>
      <c r="K964" s="113">
        <v>65</v>
      </c>
      <c r="L964" s="113">
        <v>17</v>
      </c>
      <c r="M964" s="113">
        <v>61.667999999999999</v>
      </c>
      <c r="N964" s="113">
        <v>17.321000000000002</v>
      </c>
      <c r="O964" s="114" t="s">
        <v>268</v>
      </c>
    </row>
    <row r="965" spans="1:15" x14ac:dyDescent="0.25">
      <c r="A965" s="113" t="s">
        <v>55</v>
      </c>
      <c r="B965" s="113" t="s">
        <v>7</v>
      </c>
      <c r="C965" s="113">
        <v>0</v>
      </c>
      <c r="D965" s="113">
        <v>10</v>
      </c>
      <c r="E965" s="113">
        <v>1E-4</v>
      </c>
      <c r="F965" s="113" t="s">
        <v>102</v>
      </c>
      <c r="G965" s="113" t="s">
        <v>22</v>
      </c>
      <c r="H965" s="113">
        <v>0</v>
      </c>
      <c r="I965" s="113">
        <v>0</v>
      </c>
      <c r="K965" s="113">
        <v>81.733999999999995</v>
      </c>
      <c r="L965" s="113">
        <v>16.018000000000001</v>
      </c>
      <c r="M965" s="113">
        <v>81.655000000000001</v>
      </c>
      <c r="N965" s="113">
        <v>16.015000000000001</v>
      </c>
      <c r="O965" s="114" t="s">
        <v>269</v>
      </c>
    </row>
    <row r="966" spans="1:15" x14ac:dyDescent="0.25">
      <c r="A966" s="113" t="s">
        <v>55</v>
      </c>
      <c r="B966" s="113" t="s">
        <v>7</v>
      </c>
      <c r="C966" s="113">
        <v>0</v>
      </c>
      <c r="D966" s="113">
        <v>10</v>
      </c>
      <c r="E966" s="113">
        <v>1E-3</v>
      </c>
      <c r="F966" s="113" t="s">
        <v>102</v>
      </c>
      <c r="G966" s="113" t="s">
        <v>22</v>
      </c>
      <c r="H966" s="113">
        <v>0</v>
      </c>
      <c r="I966" s="113">
        <v>0</v>
      </c>
      <c r="K966" s="113">
        <v>578.24</v>
      </c>
      <c r="L966" s="113">
        <v>4.5206999999999997</v>
      </c>
      <c r="M966" s="113">
        <v>578.20000000000005</v>
      </c>
      <c r="N966" s="113">
        <v>4.5079000000000002</v>
      </c>
      <c r="O966" s="114" t="s">
        <v>270</v>
      </c>
    </row>
    <row r="967" spans="1:15" x14ac:dyDescent="0.25">
      <c r="A967" s="113" t="s">
        <v>55</v>
      </c>
      <c r="B967" s="113" t="s">
        <v>7</v>
      </c>
      <c r="C967" s="113">
        <v>0</v>
      </c>
      <c r="D967" s="113">
        <v>10</v>
      </c>
      <c r="E967" s="113">
        <v>0.01</v>
      </c>
      <c r="F967" s="113" t="s">
        <v>102</v>
      </c>
      <c r="G967" s="113" t="s">
        <v>22</v>
      </c>
      <c r="H967" s="113">
        <v>0</v>
      </c>
      <c r="I967" s="113">
        <v>0</v>
      </c>
      <c r="K967" s="113">
        <v>5773.6</v>
      </c>
      <c r="L967" s="113">
        <v>0.47627000000000003</v>
      </c>
      <c r="M967" s="113">
        <v>5773.6</v>
      </c>
      <c r="N967" s="113">
        <v>0.47059000000000001</v>
      </c>
      <c r="O967" s="114" t="s">
        <v>271</v>
      </c>
    </row>
    <row r="968" spans="1:15" x14ac:dyDescent="0.25">
      <c r="A968" s="113" t="s">
        <v>55</v>
      </c>
      <c r="B968" s="113" t="s">
        <v>7</v>
      </c>
      <c r="C968" s="113">
        <v>0</v>
      </c>
      <c r="D968" s="113">
        <v>10</v>
      </c>
      <c r="E968" s="113">
        <v>0.1</v>
      </c>
      <c r="F968" s="113" t="s">
        <v>102</v>
      </c>
      <c r="G968" s="113" t="s">
        <v>22</v>
      </c>
      <c r="H968" s="113">
        <v>0</v>
      </c>
      <c r="I968" s="113">
        <v>0</v>
      </c>
      <c r="K968" s="113">
        <v>57736</v>
      </c>
      <c r="L968" s="113">
        <v>4.9352E-2</v>
      </c>
      <c r="M968" s="113">
        <v>57736</v>
      </c>
      <c r="N968" s="113">
        <v>4.7080999999999998E-2</v>
      </c>
      <c r="O968" s="114" t="s">
        <v>272</v>
      </c>
    </row>
    <row r="969" spans="1:15" x14ac:dyDescent="0.25">
      <c r="A969" s="113" t="s">
        <v>55</v>
      </c>
      <c r="B969" s="113" t="s">
        <v>7</v>
      </c>
      <c r="C969" s="113">
        <v>0</v>
      </c>
      <c r="D969" s="113">
        <v>10</v>
      </c>
      <c r="E969" s="113">
        <v>1</v>
      </c>
      <c r="F969" s="113" t="s">
        <v>102</v>
      </c>
      <c r="G969" s="113" t="s">
        <v>22</v>
      </c>
      <c r="H969" s="113">
        <v>0</v>
      </c>
      <c r="I969" s="113">
        <v>0</v>
      </c>
      <c r="K969" s="113">
        <v>577360</v>
      </c>
      <c r="L969" s="113">
        <v>5.6165E-3</v>
      </c>
      <c r="M969" s="113">
        <v>577360</v>
      </c>
      <c r="N969" s="113">
        <v>4.7080999999999998E-3</v>
      </c>
      <c r="O969" s="114" t="s">
        <v>273</v>
      </c>
    </row>
    <row r="970" spans="1:15" x14ac:dyDescent="0.25">
      <c r="A970" s="113" t="s">
        <v>55</v>
      </c>
      <c r="B970" s="113" t="s">
        <v>7</v>
      </c>
      <c r="C970" s="113">
        <v>0</v>
      </c>
      <c r="D970" s="113">
        <v>10</v>
      </c>
      <c r="E970" s="113">
        <v>10</v>
      </c>
      <c r="F970" s="113" t="s">
        <v>102</v>
      </c>
      <c r="G970" s="113" t="s">
        <v>22</v>
      </c>
      <c r="H970" s="113">
        <v>0</v>
      </c>
      <c r="I970" s="113">
        <v>0</v>
      </c>
      <c r="K970" s="113">
        <v>5770000</v>
      </c>
      <c r="L970" s="113">
        <v>8.3416999999999996E-4</v>
      </c>
      <c r="M970" s="113">
        <v>5770000</v>
      </c>
      <c r="N970" s="113">
        <v>4.7081E-4</v>
      </c>
      <c r="O970" s="114" t="s">
        <v>274</v>
      </c>
    </row>
    <row r="971" spans="1:15" x14ac:dyDescent="0.25">
      <c r="A971" s="113" t="s">
        <v>55</v>
      </c>
      <c r="B971" s="113" t="s">
        <v>7</v>
      </c>
      <c r="C971" s="113">
        <v>0</v>
      </c>
      <c r="D971" s="113">
        <v>10</v>
      </c>
      <c r="E971" s="113">
        <v>100</v>
      </c>
      <c r="F971" s="113" t="s">
        <v>102</v>
      </c>
      <c r="G971" s="113" t="s">
        <v>22</v>
      </c>
      <c r="H971" s="113">
        <v>0</v>
      </c>
      <c r="I971" s="113">
        <v>0</v>
      </c>
      <c r="K971" s="113">
        <v>57736000</v>
      </c>
      <c r="L971" s="113">
        <v>1.9242E-4</v>
      </c>
      <c r="M971" s="113">
        <v>57736000</v>
      </c>
      <c r="N971" s="113">
        <v>4.7080000000000003E-5</v>
      </c>
      <c r="O971" s="114" t="s">
        <v>275</v>
      </c>
    </row>
    <row r="972" spans="1:15" x14ac:dyDescent="0.25">
      <c r="A972" s="113" t="s">
        <v>55</v>
      </c>
      <c r="B972" s="113" t="s">
        <v>7</v>
      </c>
      <c r="C972" s="113">
        <v>0</v>
      </c>
      <c r="D972" s="113">
        <v>10</v>
      </c>
      <c r="E972" s="113">
        <v>1000</v>
      </c>
      <c r="F972" s="113" t="s">
        <v>102</v>
      </c>
      <c r="G972" s="113" t="s">
        <v>22</v>
      </c>
      <c r="H972" s="113">
        <v>0</v>
      </c>
      <c r="I972" s="113">
        <v>0</v>
      </c>
      <c r="K972" s="113">
        <v>577360000</v>
      </c>
      <c r="L972" s="113">
        <v>6.2849999999999996E-5</v>
      </c>
      <c r="M972" s="113">
        <v>577360000</v>
      </c>
      <c r="N972" s="113">
        <v>4.7021000000000003E-6</v>
      </c>
      <c r="O972" s="114" t="s">
        <v>276</v>
      </c>
    </row>
    <row r="973" spans="1:15" x14ac:dyDescent="0.25">
      <c r="A973" s="113" t="s">
        <v>55</v>
      </c>
      <c r="B973" s="113" t="s">
        <v>7</v>
      </c>
      <c r="C973" s="113">
        <v>0</v>
      </c>
      <c r="D973" s="113">
        <v>10</v>
      </c>
      <c r="E973" s="113">
        <v>10000</v>
      </c>
      <c r="F973" s="113" t="s">
        <v>102</v>
      </c>
      <c r="G973" s="113" t="s">
        <v>22</v>
      </c>
      <c r="H973" s="113">
        <v>0</v>
      </c>
      <c r="I973" s="113">
        <v>0</v>
      </c>
      <c r="K973" s="113">
        <v>5773600000</v>
      </c>
      <c r="L973" s="113">
        <v>2.3736000000000001E-5</v>
      </c>
      <c r="M973" s="113">
        <v>5773600000</v>
      </c>
      <c r="N973" s="113">
        <v>0</v>
      </c>
      <c r="O973" s="114" t="s">
        <v>277</v>
      </c>
    </row>
    <row r="974" spans="1:15" x14ac:dyDescent="0.25">
      <c r="A974" s="113" t="s">
        <v>55</v>
      </c>
      <c r="B974" s="113" t="s">
        <v>7</v>
      </c>
      <c r="C974" s="113">
        <v>0</v>
      </c>
      <c r="D974" s="113">
        <v>10</v>
      </c>
      <c r="E974" s="113">
        <v>100000</v>
      </c>
      <c r="F974" s="113" t="s">
        <v>102</v>
      </c>
      <c r="G974" s="113" t="s">
        <v>22</v>
      </c>
      <c r="H974" s="113">
        <v>0</v>
      </c>
      <c r="I974" s="113">
        <v>0</v>
      </c>
      <c r="K974" s="113">
        <v>57736000000</v>
      </c>
      <c r="L974" s="113">
        <v>8.4771000000000005E-6</v>
      </c>
      <c r="M974" s="113">
        <v>57736000000</v>
      </c>
      <c r="N974" s="113">
        <v>0</v>
      </c>
      <c r="O974" s="114" t="s">
        <v>278</v>
      </c>
    </row>
    <row r="975" spans="1:15" x14ac:dyDescent="0.25">
      <c r="A975" s="113" t="s">
        <v>55</v>
      </c>
      <c r="B975" s="113" t="s">
        <v>7</v>
      </c>
      <c r="C975" s="113">
        <v>0</v>
      </c>
      <c r="D975" s="113">
        <v>10</v>
      </c>
      <c r="E975" s="113">
        <v>1000000</v>
      </c>
      <c r="F975" s="113" t="s">
        <v>102</v>
      </c>
      <c r="G975" s="113" t="s">
        <v>22</v>
      </c>
      <c r="H975" s="113">
        <v>0</v>
      </c>
      <c r="I975" s="113">
        <v>0</v>
      </c>
      <c r="K975" s="113">
        <v>577360000000</v>
      </c>
      <c r="L975" s="113">
        <v>0</v>
      </c>
      <c r="M975" s="113">
        <v>577360000000</v>
      </c>
      <c r="N975" s="113">
        <v>0</v>
      </c>
      <c r="O975" s="114" t="s">
        <v>279</v>
      </c>
    </row>
    <row r="976" spans="1:15" x14ac:dyDescent="0.25">
      <c r="A976" s="113" t="s">
        <v>55</v>
      </c>
      <c r="B976" s="113" t="s">
        <v>7</v>
      </c>
      <c r="C976" s="113">
        <v>10</v>
      </c>
      <c r="D976" s="113">
        <v>100</v>
      </c>
      <c r="E976" s="113">
        <v>1.0000000000000001E-5</v>
      </c>
      <c r="F976" s="113" t="s">
        <v>102</v>
      </c>
      <c r="G976" s="113" t="s">
        <v>22</v>
      </c>
      <c r="H976" s="113">
        <v>0</v>
      </c>
      <c r="I976" s="113">
        <v>0</v>
      </c>
      <c r="K976" s="113">
        <v>580</v>
      </c>
      <c r="L976" s="113">
        <v>14</v>
      </c>
      <c r="M976" s="113">
        <v>577.27</v>
      </c>
      <c r="N976" s="113">
        <v>0</v>
      </c>
      <c r="O976" s="114" t="s">
        <v>280</v>
      </c>
    </row>
    <row r="977" spans="1:15" x14ac:dyDescent="0.25">
      <c r="A977" s="113" t="s">
        <v>55</v>
      </c>
      <c r="B977" s="113" t="s">
        <v>7</v>
      </c>
      <c r="C977" s="113">
        <v>10</v>
      </c>
      <c r="D977" s="113">
        <v>100</v>
      </c>
      <c r="E977" s="113">
        <v>1E-4</v>
      </c>
      <c r="F977" s="113" t="s">
        <v>102</v>
      </c>
      <c r="G977" s="113" t="s">
        <v>22</v>
      </c>
      <c r="H977" s="113">
        <v>0</v>
      </c>
      <c r="I977" s="113">
        <v>0</v>
      </c>
      <c r="K977" s="113">
        <v>580</v>
      </c>
      <c r="L977" s="113">
        <v>13.975</v>
      </c>
      <c r="M977" s="113">
        <v>579.78</v>
      </c>
      <c r="N977" s="113">
        <v>13.975</v>
      </c>
      <c r="O977" s="114" t="s">
        <v>281</v>
      </c>
    </row>
    <row r="978" spans="1:15" x14ac:dyDescent="0.25">
      <c r="A978" s="113" t="s">
        <v>55</v>
      </c>
      <c r="B978" s="113" t="s">
        <v>7</v>
      </c>
      <c r="C978" s="113">
        <v>10</v>
      </c>
      <c r="D978" s="113">
        <v>100</v>
      </c>
      <c r="E978" s="113">
        <v>1E-3</v>
      </c>
      <c r="F978" s="113" t="s">
        <v>102</v>
      </c>
      <c r="G978" s="113" t="s">
        <v>22</v>
      </c>
      <c r="H978" s="113">
        <v>0</v>
      </c>
      <c r="I978" s="113">
        <v>0</v>
      </c>
      <c r="K978" s="113">
        <v>794.35</v>
      </c>
      <c r="L978" s="113">
        <v>12.648</v>
      </c>
      <c r="M978" s="113">
        <v>794.24</v>
      </c>
      <c r="N978" s="113">
        <v>12.648</v>
      </c>
      <c r="O978" s="114" t="s">
        <v>282</v>
      </c>
    </row>
    <row r="979" spans="1:15" x14ac:dyDescent="0.25">
      <c r="A979" s="113" t="s">
        <v>55</v>
      </c>
      <c r="B979" s="113" t="s">
        <v>7</v>
      </c>
      <c r="C979" s="113">
        <v>10</v>
      </c>
      <c r="D979" s="113">
        <v>100</v>
      </c>
      <c r="E979" s="113">
        <v>0.01</v>
      </c>
      <c r="F979" s="113" t="s">
        <v>102</v>
      </c>
      <c r="G979" s="113" t="s">
        <v>22</v>
      </c>
      <c r="H979" s="113">
        <v>0</v>
      </c>
      <c r="I979" s="113">
        <v>0</v>
      </c>
      <c r="K979" s="113">
        <v>5786.4</v>
      </c>
      <c r="L979" s="113">
        <v>3.1625999999999999</v>
      </c>
      <c r="M979" s="113">
        <v>5786.3</v>
      </c>
      <c r="N979" s="113">
        <v>3.1617000000000002</v>
      </c>
      <c r="O979" s="114" t="s">
        <v>283</v>
      </c>
    </row>
    <row r="980" spans="1:15" x14ac:dyDescent="0.25">
      <c r="A980" s="113" t="s">
        <v>55</v>
      </c>
      <c r="B980" s="113" t="s">
        <v>7</v>
      </c>
      <c r="C980" s="113">
        <v>10</v>
      </c>
      <c r="D980" s="113">
        <v>100</v>
      </c>
      <c r="E980" s="113">
        <v>0.1</v>
      </c>
      <c r="F980" s="113" t="s">
        <v>102</v>
      </c>
      <c r="G980" s="113" t="s">
        <v>22</v>
      </c>
      <c r="H980" s="113">
        <v>0</v>
      </c>
      <c r="I980" s="113">
        <v>0</v>
      </c>
      <c r="K980" s="113">
        <v>57737</v>
      </c>
      <c r="L980" s="113">
        <v>0.32668999999999998</v>
      </c>
      <c r="M980" s="113">
        <v>57737</v>
      </c>
      <c r="N980" s="113">
        <v>0.32628000000000001</v>
      </c>
      <c r="O980" s="114" t="s">
        <v>284</v>
      </c>
    </row>
    <row r="981" spans="1:15" x14ac:dyDescent="0.25">
      <c r="A981" s="113" t="s">
        <v>55</v>
      </c>
      <c r="B981" s="113" t="s">
        <v>7</v>
      </c>
      <c r="C981" s="113">
        <v>10</v>
      </c>
      <c r="D981" s="113">
        <v>100</v>
      </c>
      <c r="E981" s="113">
        <v>1</v>
      </c>
      <c r="F981" s="113" t="s">
        <v>102</v>
      </c>
      <c r="G981" s="113" t="s">
        <v>22</v>
      </c>
      <c r="H981" s="113">
        <v>0</v>
      </c>
      <c r="I981" s="113">
        <v>0</v>
      </c>
      <c r="K981" s="113">
        <v>577360</v>
      </c>
      <c r="L981" s="113">
        <v>3.2801999999999998E-2</v>
      </c>
      <c r="M981" s="113">
        <v>577350</v>
      </c>
      <c r="N981" s="113">
        <v>3.2639000000000001E-2</v>
      </c>
      <c r="O981" s="114" t="s">
        <v>285</v>
      </c>
    </row>
    <row r="982" spans="1:15" x14ac:dyDescent="0.25">
      <c r="A982" s="113" t="s">
        <v>55</v>
      </c>
      <c r="B982" s="113" t="s">
        <v>7</v>
      </c>
      <c r="C982" s="113">
        <v>100</v>
      </c>
      <c r="D982" s="113">
        <v>1000</v>
      </c>
      <c r="E982" s="113">
        <v>1E-4</v>
      </c>
      <c r="F982" s="113" t="s">
        <v>102</v>
      </c>
      <c r="G982" s="113" t="s">
        <v>22</v>
      </c>
      <c r="H982" s="113">
        <v>0</v>
      </c>
      <c r="I982" s="113">
        <v>0</v>
      </c>
      <c r="K982" s="113">
        <v>590</v>
      </c>
      <c r="L982" s="113">
        <v>12</v>
      </c>
      <c r="M982" s="113">
        <v>568.01</v>
      </c>
      <c r="N982" s="113">
        <v>11.811999999999999</v>
      </c>
      <c r="O982" s="114" t="s">
        <v>286</v>
      </c>
    </row>
    <row r="983" spans="1:15" x14ac:dyDescent="0.25">
      <c r="A983" s="113" t="s">
        <v>55</v>
      </c>
      <c r="B983" s="113" t="s">
        <v>7</v>
      </c>
      <c r="C983" s="113">
        <v>100</v>
      </c>
      <c r="D983" s="113">
        <v>1000</v>
      </c>
      <c r="E983" s="113">
        <v>1E-3</v>
      </c>
      <c r="F983" s="113" t="s">
        <v>102</v>
      </c>
      <c r="G983" s="113" t="s">
        <v>22</v>
      </c>
      <c r="H983" s="113">
        <v>0</v>
      </c>
      <c r="I983" s="113">
        <v>0</v>
      </c>
      <c r="K983" s="113">
        <v>647.66</v>
      </c>
      <c r="L983" s="113">
        <v>11.942</v>
      </c>
      <c r="M983" s="113">
        <v>669.04</v>
      </c>
      <c r="N983" s="113">
        <v>11.724</v>
      </c>
      <c r="O983" s="114" t="s">
        <v>287</v>
      </c>
    </row>
    <row r="984" spans="1:15" x14ac:dyDescent="0.25">
      <c r="A984" s="113" t="s">
        <v>55</v>
      </c>
      <c r="B984" s="113" t="s">
        <v>7</v>
      </c>
      <c r="C984" s="113">
        <v>100</v>
      </c>
      <c r="D984" s="113">
        <v>1000</v>
      </c>
      <c r="E984" s="113">
        <v>0.01</v>
      </c>
      <c r="F984" s="113" t="s">
        <v>102</v>
      </c>
      <c r="G984" s="113" t="s">
        <v>22</v>
      </c>
      <c r="H984" s="113">
        <v>0</v>
      </c>
      <c r="I984" s="113">
        <v>0</v>
      </c>
      <c r="K984" s="113">
        <v>5185.8</v>
      </c>
      <c r="L984" s="113">
        <v>8.4755000000000003</v>
      </c>
      <c r="M984" s="113">
        <v>5185</v>
      </c>
      <c r="N984" s="113">
        <v>8.4748000000000001</v>
      </c>
      <c r="O984" s="114" t="s">
        <v>288</v>
      </c>
    </row>
    <row r="985" spans="1:15" x14ac:dyDescent="0.25">
      <c r="A985" s="113" t="s">
        <v>55</v>
      </c>
      <c r="B985" s="113" t="s">
        <v>7</v>
      </c>
      <c r="C985" s="113">
        <v>100</v>
      </c>
      <c r="D985" s="113">
        <v>1000</v>
      </c>
      <c r="E985" s="113">
        <v>0.1</v>
      </c>
      <c r="F985" s="113" t="s">
        <v>102</v>
      </c>
      <c r="G985" s="113" t="s">
        <v>22</v>
      </c>
      <c r="H985" s="113">
        <v>0</v>
      </c>
      <c r="I985" s="113">
        <v>0</v>
      </c>
      <c r="K985" s="113">
        <v>57619</v>
      </c>
      <c r="L985" s="113">
        <v>1.4298999999999999</v>
      </c>
      <c r="M985" s="113">
        <v>57619</v>
      </c>
      <c r="N985" s="113">
        <v>1.4287000000000001</v>
      </c>
      <c r="O985" s="114" t="s">
        <v>289</v>
      </c>
    </row>
    <row r="986" spans="1:15" x14ac:dyDescent="0.25">
      <c r="A986" s="113" t="s">
        <v>55</v>
      </c>
      <c r="B986" s="113" t="s">
        <v>7</v>
      </c>
      <c r="C986" s="113">
        <v>100</v>
      </c>
      <c r="D986" s="113">
        <v>1000</v>
      </c>
      <c r="E986" s="113">
        <v>1</v>
      </c>
      <c r="F986" s="113" t="s">
        <v>102</v>
      </c>
      <c r="G986" s="113" t="s">
        <v>22</v>
      </c>
      <c r="H986" s="113">
        <v>0</v>
      </c>
      <c r="I986" s="113">
        <v>0</v>
      </c>
      <c r="K986" s="113">
        <v>577340</v>
      </c>
      <c r="L986" s="113">
        <v>0.14501</v>
      </c>
      <c r="M986" s="113">
        <v>577340</v>
      </c>
      <c r="N986" s="113">
        <v>0.14451</v>
      </c>
      <c r="O986" s="114" t="s">
        <v>290</v>
      </c>
    </row>
    <row r="987" spans="1:15" x14ac:dyDescent="0.25">
      <c r="A987" s="113" t="s">
        <v>55</v>
      </c>
      <c r="B987" s="113" t="s">
        <v>7</v>
      </c>
      <c r="C987" s="113">
        <v>100</v>
      </c>
      <c r="D987" s="113">
        <v>1000</v>
      </c>
      <c r="E987" s="113">
        <v>10</v>
      </c>
      <c r="F987" s="113" t="s">
        <v>102</v>
      </c>
      <c r="G987" s="113" t="s">
        <v>22</v>
      </c>
      <c r="H987" s="113">
        <v>0</v>
      </c>
      <c r="I987" s="113">
        <v>0</v>
      </c>
      <c r="K987" s="113">
        <v>5773600</v>
      </c>
      <c r="L987" s="113">
        <v>1.4652999999999999E-2</v>
      </c>
      <c r="M987" s="113">
        <v>5773500</v>
      </c>
      <c r="N987" s="113">
        <v>1.4453000000000001E-2</v>
      </c>
      <c r="O987" s="114" t="s">
        <v>291</v>
      </c>
    </row>
    <row r="988" spans="1:15" x14ac:dyDescent="0.25">
      <c r="A988" s="113" t="s">
        <v>55</v>
      </c>
      <c r="B988" s="113" t="s">
        <v>7</v>
      </c>
      <c r="C988" s="113">
        <v>1000</v>
      </c>
      <c r="D988" s="113">
        <v>10000</v>
      </c>
      <c r="E988" s="113">
        <v>1E-3</v>
      </c>
      <c r="F988" s="113" t="s">
        <v>102</v>
      </c>
      <c r="G988" s="113" t="s">
        <v>48</v>
      </c>
      <c r="H988" s="113">
        <v>0</v>
      </c>
      <c r="I988" s="113">
        <v>0</v>
      </c>
      <c r="K988" s="113">
        <v>5.9</v>
      </c>
      <c r="L988" s="113">
        <v>1.2E-2</v>
      </c>
      <c r="M988" s="113">
        <v>5.8777999999999997</v>
      </c>
      <c r="N988" s="113">
        <v>1.1642E-2</v>
      </c>
      <c r="O988" s="114" t="s">
        <v>292</v>
      </c>
    </row>
    <row r="989" spans="1:15" x14ac:dyDescent="0.25">
      <c r="A989" s="113" t="s">
        <v>55</v>
      </c>
      <c r="B989" s="113" t="s">
        <v>7</v>
      </c>
      <c r="C989" s="113">
        <v>1000</v>
      </c>
      <c r="D989" s="113">
        <v>10000</v>
      </c>
      <c r="E989" s="113">
        <v>0.01</v>
      </c>
      <c r="F989" s="113" t="s">
        <v>102</v>
      </c>
      <c r="G989" s="113" t="s">
        <v>48</v>
      </c>
      <c r="H989" s="113">
        <v>0</v>
      </c>
      <c r="I989" s="113">
        <v>0</v>
      </c>
      <c r="K989" s="113">
        <v>6.5110999999999999</v>
      </c>
      <c r="L989" s="113">
        <v>1.1939E-2</v>
      </c>
      <c r="M989" s="113">
        <v>6.8826999999999998</v>
      </c>
      <c r="N989" s="113">
        <v>1.1554999999999999E-2</v>
      </c>
      <c r="O989" s="114" t="s">
        <v>293</v>
      </c>
    </row>
    <row r="990" spans="1:15" x14ac:dyDescent="0.25">
      <c r="A990" s="113" t="s">
        <v>55</v>
      </c>
      <c r="B990" s="113" t="s">
        <v>7</v>
      </c>
      <c r="C990" s="113">
        <v>1000</v>
      </c>
      <c r="D990" s="113">
        <v>10000</v>
      </c>
      <c r="E990" s="113">
        <v>0.1</v>
      </c>
      <c r="F990" s="113" t="s">
        <v>102</v>
      </c>
      <c r="G990" s="113" t="s">
        <v>48</v>
      </c>
      <c r="H990" s="113">
        <v>0</v>
      </c>
      <c r="I990" s="113">
        <v>0</v>
      </c>
      <c r="K990" s="113">
        <v>52.024000000000001</v>
      </c>
      <c r="L990" s="113">
        <v>8.3239000000000004E-3</v>
      </c>
      <c r="M990" s="113">
        <v>52.009</v>
      </c>
      <c r="N990" s="113">
        <v>8.3230999999999999E-3</v>
      </c>
      <c r="O990" s="114" t="s">
        <v>294</v>
      </c>
    </row>
    <row r="991" spans="1:15" x14ac:dyDescent="0.25">
      <c r="A991" s="113" t="s">
        <v>55</v>
      </c>
      <c r="B991" s="113" t="s">
        <v>7</v>
      </c>
      <c r="C991" s="113">
        <v>1000</v>
      </c>
      <c r="D991" s="113">
        <v>10000</v>
      </c>
      <c r="E991" s="113">
        <v>1</v>
      </c>
      <c r="F991" s="113" t="s">
        <v>102</v>
      </c>
      <c r="G991" s="113" t="s">
        <v>48</v>
      </c>
      <c r="H991" s="113">
        <v>0</v>
      </c>
      <c r="I991" s="113">
        <v>0</v>
      </c>
      <c r="K991" s="113">
        <v>576.23</v>
      </c>
      <c r="L991" s="113">
        <v>1.3955E-3</v>
      </c>
      <c r="M991" s="113">
        <v>576.23</v>
      </c>
      <c r="N991" s="113">
        <v>1.3939E-3</v>
      </c>
      <c r="O991" s="114" t="s">
        <v>295</v>
      </c>
    </row>
    <row r="992" spans="1:15" x14ac:dyDescent="0.25">
      <c r="A992" s="113" t="s">
        <v>55</v>
      </c>
      <c r="B992" s="113" t="s">
        <v>7</v>
      </c>
      <c r="C992" s="113">
        <v>1000</v>
      </c>
      <c r="D992" s="113">
        <v>10000</v>
      </c>
      <c r="E992" s="113">
        <v>10</v>
      </c>
      <c r="F992" s="113" t="s">
        <v>102</v>
      </c>
      <c r="G992" s="113" t="s">
        <v>48</v>
      </c>
      <c r="H992" s="113">
        <v>0</v>
      </c>
      <c r="I992" s="113">
        <v>0</v>
      </c>
      <c r="K992" s="113">
        <v>5773.4</v>
      </c>
      <c r="L992" s="113">
        <v>1.416E-4</v>
      </c>
      <c r="M992" s="113">
        <v>5773.4</v>
      </c>
      <c r="N992" s="113">
        <v>1.4095000000000001E-4</v>
      </c>
      <c r="O992" s="114" t="s">
        <v>296</v>
      </c>
    </row>
    <row r="993" spans="1:15" x14ac:dyDescent="0.25">
      <c r="A993" s="113" t="s">
        <v>55</v>
      </c>
      <c r="B993" s="113" t="s">
        <v>7</v>
      </c>
      <c r="C993" s="113">
        <v>1000</v>
      </c>
      <c r="D993" s="113">
        <v>10000</v>
      </c>
      <c r="E993" s="113">
        <v>100</v>
      </c>
      <c r="F993" s="113" t="s">
        <v>102</v>
      </c>
      <c r="G993" s="113" t="s">
        <v>48</v>
      </c>
      <c r="H993" s="113">
        <v>0</v>
      </c>
      <c r="I993" s="113">
        <v>0</v>
      </c>
      <c r="K993" s="113">
        <v>57736</v>
      </c>
      <c r="L993" s="113">
        <v>1.4357E-5</v>
      </c>
      <c r="M993" s="113">
        <v>57735</v>
      </c>
      <c r="N993" s="113">
        <v>1.4097000000000001E-5</v>
      </c>
      <c r="O993" s="114" t="s">
        <v>297</v>
      </c>
    </row>
    <row r="994" spans="1:15" x14ac:dyDescent="0.25">
      <c r="A994" s="113" t="s">
        <v>55</v>
      </c>
      <c r="B994" s="113" t="s">
        <v>7</v>
      </c>
      <c r="C994" s="113">
        <v>10000</v>
      </c>
      <c r="D994" s="113">
        <v>100000</v>
      </c>
      <c r="E994" s="113">
        <v>0.01</v>
      </c>
      <c r="F994" s="113" t="s">
        <v>102</v>
      </c>
      <c r="G994" s="113" t="s">
        <v>48</v>
      </c>
      <c r="H994" s="113">
        <v>0</v>
      </c>
      <c r="I994" s="113">
        <v>0</v>
      </c>
      <c r="K994" s="113">
        <v>58</v>
      </c>
      <c r="L994" s="113">
        <v>1.2E-2</v>
      </c>
      <c r="M994" s="113">
        <v>53.872999999999998</v>
      </c>
      <c r="N994" s="113">
        <v>1.2026999999999999E-2</v>
      </c>
      <c r="O994" s="114" t="s">
        <v>298</v>
      </c>
    </row>
    <row r="995" spans="1:15" x14ac:dyDescent="0.25">
      <c r="A995" s="113" t="s">
        <v>55</v>
      </c>
      <c r="B995" s="113" t="s">
        <v>7</v>
      </c>
      <c r="C995" s="113">
        <v>10000</v>
      </c>
      <c r="D995" s="113">
        <v>100000</v>
      </c>
      <c r="E995" s="113">
        <v>0.1</v>
      </c>
      <c r="F995" s="113" t="s">
        <v>102</v>
      </c>
      <c r="G995" s="113" t="s">
        <v>48</v>
      </c>
      <c r="H995" s="113">
        <v>0</v>
      </c>
      <c r="I995" s="113">
        <v>0</v>
      </c>
      <c r="K995" s="113">
        <v>64.108000000000004</v>
      </c>
      <c r="L995" s="113">
        <v>1.1939E-2</v>
      </c>
      <c r="M995" s="113">
        <v>63.985999999999997</v>
      </c>
      <c r="N995" s="113">
        <v>1.1939E-2</v>
      </c>
      <c r="O995" s="114" t="s">
        <v>299</v>
      </c>
    </row>
    <row r="996" spans="1:15" x14ac:dyDescent="0.25">
      <c r="A996" s="113" t="s">
        <v>55</v>
      </c>
      <c r="B996" s="113" t="s">
        <v>7</v>
      </c>
      <c r="C996" s="113">
        <v>10000</v>
      </c>
      <c r="D996" s="113">
        <v>100000</v>
      </c>
      <c r="E996" s="113">
        <v>1</v>
      </c>
      <c r="F996" s="113" t="s">
        <v>102</v>
      </c>
      <c r="G996" s="113" t="s">
        <v>48</v>
      </c>
      <c r="H996" s="113">
        <v>0</v>
      </c>
      <c r="I996" s="113">
        <v>0</v>
      </c>
      <c r="K996" s="113">
        <v>516.51</v>
      </c>
      <c r="L996" s="113">
        <v>8.6656000000000007E-3</v>
      </c>
      <c r="M996" s="113">
        <v>516.37</v>
      </c>
      <c r="N996" s="113">
        <v>8.6648999999999997E-3</v>
      </c>
      <c r="O996" s="114" t="s">
        <v>300</v>
      </c>
    </row>
    <row r="997" spans="1:15" x14ac:dyDescent="0.25">
      <c r="A997" s="113" t="s">
        <v>55</v>
      </c>
      <c r="B997" s="113" t="s">
        <v>7</v>
      </c>
      <c r="C997" s="113">
        <v>10000</v>
      </c>
      <c r="D997" s="113">
        <v>100000</v>
      </c>
      <c r="E997" s="113">
        <v>10</v>
      </c>
      <c r="F997" s="113" t="s">
        <v>102</v>
      </c>
      <c r="G997" s="113" t="s">
        <v>48</v>
      </c>
      <c r="H997" s="113">
        <v>0</v>
      </c>
      <c r="I997" s="113">
        <v>0</v>
      </c>
      <c r="K997" s="113">
        <v>5761.5</v>
      </c>
      <c r="L997" s="113">
        <v>1.4741999999999999E-3</v>
      </c>
      <c r="M997" s="113">
        <v>5761.5</v>
      </c>
      <c r="N997" s="113">
        <v>1.4725999999999999E-3</v>
      </c>
      <c r="O997" s="114" t="s">
        <v>301</v>
      </c>
    </row>
    <row r="998" spans="1:15" x14ac:dyDescent="0.25">
      <c r="A998" s="113" t="s">
        <v>55</v>
      </c>
      <c r="B998" s="113" t="s">
        <v>7</v>
      </c>
      <c r="C998" s="113">
        <v>10000</v>
      </c>
      <c r="D998" s="113">
        <v>100000</v>
      </c>
      <c r="E998" s="113">
        <v>100</v>
      </c>
      <c r="F998" s="113" t="s">
        <v>102</v>
      </c>
      <c r="G998" s="113" t="s">
        <v>48</v>
      </c>
      <c r="H998" s="113">
        <v>0</v>
      </c>
      <c r="I998" s="113">
        <v>0</v>
      </c>
      <c r="K998" s="113">
        <v>57734</v>
      </c>
      <c r="L998" s="113">
        <v>1.4965000000000001E-4</v>
      </c>
      <c r="M998" s="113">
        <v>57734</v>
      </c>
      <c r="N998" s="113">
        <v>1.4899999999999999E-4</v>
      </c>
      <c r="O998" s="114" t="s">
        <v>302</v>
      </c>
    </row>
    <row r="999" spans="1:15" x14ac:dyDescent="0.25">
      <c r="A999" s="113" t="s">
        <v>55</v>
      </c>
      <c r="B999" s="113" t="s">
        <v>7</v>
      </c>
      <c r="C999" s="113">
        <v>10000</v>
      </c>
      <c r="D999" s="113">
        <v>100000</v>
      </c>
      <c r="E999" s="113">
        <v>1000</v>
      </c>
      <c r="F999" s="113" t="s">
        <v>102</v>
      </c>
      <c r="G999" s="113" t="s">
        <v>48</v>
      </c>
      <c r="H999" s="113">
        <v>0</v>
      </c>
      <c r="I999" s="113">
        <v>0</v>
      </c>
      <c r="K999" s="113">
        <v>577360</v>
      </c>
      <c r="L999" s="113">
        <v>1.5162E-5</v>
      </c>
      <c r="M999" s="113">
        <v>577350</v>
      </c>
      <c r="N999" s="113">
        <v>1.4902000000000001E-5</v>
      </c>
      <c r="O999" s="114" t="s">
        <v>303</v>
      </c>
    </row>
    <row r="1000" spans="1:15" x14ac:dyDescent="0.25">
      <c r="A1000" s="113" t="s">
        <v>55</v>
      </c>
      <c r="B1000" s="113" t="s">
        <v>7</v>
      </c>
      <c r="C1000" s="113">
        <v>100000</v>
      </c>
      <c r="D1000" s="113">
        <v>1000000</v>
      </c>
      <c r="E1000" s="113">
        <v>0.1</v>
      </c>
      <c r="F1000" s="113" t="s">
        <v>102</v>
      </c>
      <c r="G1000" s="113" t="s">
        <v>49</v>
      </c>
      <c r="H1000" s="113">
        <v>0</v>
      </c>
      <c r="I1000" s="113">
        <v>0</v>
      </c>
      <c r="K1000" s="113">
        <v>2.2999999999999998</v>
      </c>
      <c r="L1000" s="113">
        <v>1.8E-5</v>
      </c>
      <c r="M1000" s="113">
        <v>2.2686999999999999</v>
      </c>
      <c r="N1000" s="113">
        <v>1.7870999999999999E-5</v>
      </c>
      <c r="O1000" s="114" t="s">
        <v>304</v>
      </c>
    </row>
    <row r="1001" spans="1:15" x14ac:dyDescent="0.25">
      <c r="A1001" s="113" t="s">
        <v>55</v>
      </c>
      <c r="B1001" s="113" t="s">
        <v>7</v>
      </c>
      <c r="C1001" s="113">
        <v>100000</v>
      </c>
      <c r="D1001" s="113">
        <v>1000000</v>
      </c>
      <c r="E1001" s="113">
        <v>1</v>
      </c>
      <c r="F1001" s="113" t="s">
        <v>102</v>
      </c>
      <c r="G1001" s="113" t="s">
        <v>49</v>
      </c>
      <c r="H1001" s="113">
        <v>0</v>
      </c>
      <c r="I1001" s="113">
        <v>0</v>
      </c>
      <c r="K1001" s="113">
        <v>2.2999999999999998</v>
      </c>
      <c r="L1001" s="113">
        <v>1.8E-5</v>
      </c>
      <c r="M1001" s="113">
        <v>2.3129</v>
      </c>
      <c r="N1001" s="113">
        <v>1.7835000000000001E-5</v>
      </c>
      <c r="O1001" s="114" t="s">
        <v>305</v>
      </c>
    </row>
    <row r="1002" spans="1:15" x14ac:dyDescent="0.25">
      <c r="A1002" s="113" t="s">
        <v>55</v>
      </c>
      <c r="B1002" s="113" t="s">
        <v>7</v>
      </c>
      <c r="C1002" s="113">
        <v>100000</v>
      </c>
      <c r="D1002" s="113">
        <v>1000000</v>
      </c>
      <c r="E1002" s="113">
        <v>10</v>
      </c>
      <c r="F1002" s="113" t="s">
        <v>102</v>
      </c>
      <c r="G1002" s="113" t="s">
        <v>49</v>
      </c>
      <c r="H1002" s="113">
        <v>0</v>
      </c>
      <c r="I1002" s="113">
        <v>0</v>
      </c>
      <c r="K1002" s="113">
        <v>5.5163000000000002</v>
      </c>
      <c r="L1002" s="113">
        <v>1.5438E-5</v>
      </c>
      <c r="M1002" s="113">
        <v>5.5115999999999996</v>
      </c>
      <c r="N1002" s="113">
        <v>1.5438999999999999E-5</v>
      </c>
      <c r="O1002" s="114" t="s">
        <v>306</v>
      </c>
    </row>
    <row r="1003" spans="1:15" x14ac:dyDescent="0.25">
      <c r="A1003" s="113" t="s">
        <v>55</v>
      </c>
      <c r="B1003" s="113" t="s">
        <v>7</v>
      </c>
      <c r="C1003" s="113">
        <v>100000</v>
      </c>
      <c r="D1003" s="113">
        <v>1000000</v>
      </c>
      <c r="E1003" s="113">
        <v>100</v>
      </c>
      <c r="F1003" s="113" t="s">
        <v>102</v>
      </c>
      <c r="G1003" s="113" t="s">
        <v>49</v>
      </c>
      <c r="H1003" s="113">
        <v>0</v>
      </c>
      <c r="I1003" s="113">
        <v>0</v>
      </c>
      <c r="K1003" s="113">
        <v>57.515999999999998</v>
      </c>
      <c r="L1003" s="113">
        <v>3.6360999999999998E-6</v>
      </c>
      <c r="M1003" s="113">
        <v>57.515000000000001</v>
      </c>
      <c r="N1003" s="113">
        <v>3.6327E-6</v>
      </c>
      <c r="O1003" s="114" t="s">
        <v>307</v>
      </c>
    </row>
    <row r="1004" spans="1:15" x14ac:dyDescent="0.25">
      <c r="A1004" s="113" t="s">
        <v>55</v>
      </c>
      <c r="B1004" s="113" t="s">
        <v>7</v>
      </c>
      <c r="C1004" s="113">
        <v>100000</v>
      </c>
      <c r="D1004" s="113">
        <v>1000000</v>
      </c>
      <c r="E1004" s="113">
        <v>1000</v>
      </c>
      <c r="F1004" s="113" t="s">
        <v>102</v>
      </c>
      <c r="G1004" s="113" t="s">
        <v>49</v>
      </c>
      <c r="H1004" s="113">
        <v>0</v>
      </c>
      <c r="I1004" s="113">
        <v>0</v>
      </c>
      <c r="K1004" s="113">
        <v>577.33000000000004</v>
      </c>
      <c r="L1004" s="113">
        <v>3.7584000000000001E-7</v>
      </c>
      <c r="M1004" s="113">
        <v>577.33000000000004</v>
      </c>
      <c r="N1004" s="113">
        <v>3.7432999999999999E-7</v>
      </c>
      <c r="O1004" s="114" t="s">
        <v>308</v>
      </c>
    </row>
    <row r="1005" spans="1:15" x14ac:dyDescent="0.25">
      <c r="A1005" s="113" t="s">
        <v>55</v>
      </c>
      <c r="B1005" s="113" t="s">
        <v>7</v>
      </c>
      <c r="C1005" s="113">
        <v>100000</v>
      </c>
      <c r="D1005" s="113">
        <v>1000000</v>
      </c>
      <c r="E1005" s="113">
        <v>10000</v>
      </c>
      <c r="F1005" s="113" t="s">
        <v>102</v>
      </c>
      <c r="G1005" s="113" t="s">
        <v>49</v>
      </c>
      <c r="H1005" s="113">
        <v>0</v>
      </c>
      <c r="I1005" s="113">
        <v>0</v>
      </c>
      <c r="K1005" s="113">
        <v>5773.6</v>
      </c>
      <c r="L1005" s="113">
        <v>3.8047999999999998E-8</v>
      </c>
      <c r="M1005" s="113">
        <v>5773.5</v>
      </c>
      <c r="N1005" s="113">
        <v>3.7445000000000002E-8</v>
      </c>
      <c r="O1005" s="114" t="s">
        <v>309</v>
      </c>
    </row>
    <row r="1006" spans="1:15" x14ac:dyDescent="0.25">
      <c r="A1006" s="113" t="s">
        <v>55</v>
      </c>
      <c r="B1006" s="113" t="s">
        <v>7</v>
      </c>
      <c r="C1006" s="113">
        <v>1000000</v>
      </c>
      <c r="D1006" s="113">
        <v>10000000</v>
      </c>
      <c r="E1006" s="113">
        <v>1</v>
      </c>
      <c r="F1006" s="113" t="s">
        <v>102</v>
      </c>
      <c r="G1006" s="113" t="s">
        <v>49</v>
      </c>
      <c r="H1006" s="113">
        <v>0</v>
      </c>
      <c r="I1006" s="113">
        <v>0</v>
      </c>
      <c r="K1006" s="113">
        <v>120</v>
      </c>
      <c r="L1006" s="113">
        <v>5.8999999999999998E-5</v>
      </c>
      <c r="M1006" s="113">
        <v>115.5</v>
      </c>
      <c r="N1006" s="113">
        <v>5.7738999999999997E-5</v>
      </c>
      <c r="O1006" s="114" t="s">
        <v>310</v>
      </c>
    </row>
    <row r="1007" spans="1:15" x14ac:dyDescent="0.25">
      <c r="A1007" s="113" t="s">
        <v>55</v>
      </c>
      <c r="B1007" s="113" t="s">
        <v>7</v>
      </c>
      <c r="C1007" s="113">
        <v>1000000</v>
      </c>
      <c r="D1007" s="113">
        <v>10000000</v>
      </c>
      <c r="E1007" s="113">
        <v>10</v>
      </c>
      <c r="F1007" s="113" t="s">
        <v>102</v>
      </c>
      <c r="G1007" s="113" t="s">
        <v>49</v>
      </c>
      <c r="H1007" s="113">
        <v>0</v>
      </c>
      <c r="I1007" s="113">
        <v>0</v>
      </c>
      <c r="K1007" s="113">
        <v>120</v>
      </c>
      <c r="L1007" s="113">
        <v>5.8999999999999998E-5</v>
      </c>
      <c r="M1007" s="113">
        <v>115.61</v>
      </c>
      <c r="N1007" s="113">
        <v>5.7731E-5</v>
      </c>
      <c r="O1007" s="114" t="s">
        <v>311</v>
      </c>
    </row>
    <row r="1008" spans="1:15" x14ac:dyDescent="0.25">
      <c r="A1008" s="113" t="s">
        <v>55</v>
      </c>
      <c r="B1008" s="113" t="s">
        <v>7</v>
      </c>
      <c r="C1008" s="113">
        <v>1000000</v>
      </c>
      <c r="D1008" s="113">
        <v>10000000</v>
      </c>
      <c r="E1008" s="113">
        <v>100</v>
      </c>
      <c r="F1008" s="113" t="s">
        <v>102</v>
      </c>
      <c r="G1008" s="113" t="s">
        <v>49</v>
      </c>
      <c r="H1008" s="113">
        <v>0</v>
      </c>
      <c r="I1008" s="113">
        <v>0</v>
      </c>
      <c r="K1008" s="113">
        <v>124.34</v>
      </c>
      <c r="L1008" s="113">
        <v>5.8566999999999997E-5</v>
      </c>
      <c r="M1008" s="113">
        <v>125.65</v>
      </c>
      <c r="N1008" s="113">
        <v>5.6965000000000001E-5</v>
      </c>
      <c r="O1008" s="114" t="s">
        <v>312</v>
      </c>
    </row>
    <row r="1009" spans="1:15" x14ac:dyDescent="0.25">
      <c r="A1009" s="113" t="s">
        <v>55</v>
      </c>
      <c r="B1009" s="113" t="s">
        <v>7</v>
      </c>
      <c r="C1009" s="113">
        <v>1000000</v>
      </c>
      <c r="D1009" s="113">
        <v>10000000</v>
      </c>
      <c r="E1009" s="113">
        <v>1000</v>
      </c>
      <c r="F1009" s="113" t="s">
        <v>102</v>
      </c>
      <c r="G1009" s="113" t="s">
        <v>49</v>
      </c>
      <c r="H1009" s="113">
        <v>0</v>
      </c>
      <c r="I1009" s="113">
        <v>0</v>
      </c>
      <c r="K1009" s="113">
        <v>569.84</v>
      </c>
      <c r="L1009" s="113">
        <v>3.3312999999999998E-5</v>
      </c>
      <c r="M1009" s="113">
        <v>569.54999999999995</v>
      </c>
      <c r="N1009" s="113">
        <v>3.3235999999999998E-5</v>
      </c>
      <c r="O1009" s="114" t="s">
        <v>313</v>
      </c>
    </row>
    <row r="1010" spans="1:15" x14ac:dyDescent="0.25">
      <c r="A1010" s="113" t="s">
        <v>55</v>
      </c>
      <c r="B1010" s="113" t="s">
        <v>7</v>
      </c>
      <c r="C1010" s="113">
        <v>1000000</v>
      </c>
      <c r="D1010" s="113">
        <v>10000000</v>
      </c>
      <c r="E1010" s="113">
        <v>10000</v>
      </c>
      <c r="F1010" s="113" t="s">
        <v>102</v>
      </c>
      <c r="G1010" s="113" t="s">
        <v>49</v>
      </c>
      <c r="H1010" s="113">
        <v>0</v>
      </c>
      <c r="I1010" s="113">
        <v>0</v>
      </c>
      <c r="K1010" s="113">
        <v>5771.9</v>
      </c>
      <c r="L1010" s="113">
        <v>4.3707999999999997E-6</v>
      </c>
      <c r="M1010" s="113">
        <v>5771.8</v>
      </c>
      <c r="N1010" s="113">
        <v>4.3144999999999999E-6</v>
      </c>
      <c r="O1010" s="114" t="s">
        <v>314</v>
      </c>
    </row>
    <row r="1011" spans="1:15" x14ac:dyDescent="0.25">
      <c r="A1011" s="113" t="s">
        <v>55</v>
      </c>
      <c r="B1011" s="113" t="s">
        <v>7</v>
      </c>
      <c r="C1011" s="113">
        <v>1000000</v>
      </c>
      <c r="D1011" s="113">
        <v>10000000</v>
      </c>
      <c r="E1011" s="113">
        <v>100000</v>
      </c>
      <c r="F1011" s="113" t="s">
        <v>102</v>
      </c>
      <c r="G1011" s="113" t="s">
        <v>49</v>
      </c>
      <c r="H1011" s="113">
        <v>0</v>
      </c>
      <c r="I1011" s="113">
        <v>0</v>
      </c>
      <c r="K1011" s="113">
        <v>57735</v>
      </c>
      <c r="L1011" s="113">
        <v>4.5578999999999998E-7</v>
      </c>
      <c r="M1011" s="113">
        <v>57731</v>
      </c>
      <c r="N1011" s="113">
        <v>4.3308000000000001E-7</v>
      </c>
      <c r="O1011" s="114" t="s">
        <v>315</v>
      </c>
    </row>
    <row r="1012" spans="1:15" x14ac:dyDescent="0.25">
      <c r="A1012" s="113" t="s">
        <v>55</v>
      </c>
      <c r="B1012" s="113" t="s">
        <v>7</v>
      </c>
      <c r="C1012" s="113">
        <v>10000000</v>
      </c>
      <c r="D1012" s="113">
        <v>100000000</v>
      </c>
      <c r="E1012" s="113">
        <v>10</v>
      </c>
      <c r="F1012" s="113" t="s">
        <v>102</v>
      </c>
      <c r="G1012" s="113" t="s">
        <v>190</v>
      </c>
      <c r="H1012" s="113">
        <v>0</v>
      </c>
      <c r="I1012" s="113">
        <v>0</v>
      </c>
      <c r="K1012" s="113">
        <v>1.2</v>
      </c>
      <c r="L1012" s="113">
        <v>5.7999999999999995E-7</v>
      </c>
      <c r="M1012" s="113">
        <v>1.1508</v>
      </c>
      <c r="N1012" s="113">
        <v>5.7800000000000001E-7</v>
      </c>
      <c r="O1012" s="114" t="s">
        <v>316</v>
      </c>
    </row>
    <row r="1013" spans="1:15" x14ac:dyDescent="0.25">
      <c r="A1013" s="113" t="s">
        <v>55</v>
      </c>
      <c r="B1013" s="113" t="s">
        <v>7</v>
      </c>
      <c r="C1013" s="113">
        <v>10000000</v>
      </c>
      <c r="D1013" s="113">
        <v>100000000</v>
      </c>
      <c r="E1013" s="113">
        <v>100</v>
      </c>
      <c r="F1013" s="113" t="s">
        <v>102</v>
      </c>
      <c r="G1013" s="113" t="s">
        <v>190</v>
      </c>
      <c r="H1013" s="113">
        <v>0</v>
      </c>
      <c r="I1013" s="113">
        <v>0</v>
      </c>
      <c r="K1013" s="113">
        <v>1.2</v>
      </c>
      <c r="L1013" s="113">
        <v>5.7999999999999995E-7</v>
      </c>
      <c r="M1013" s="113">
        <v>1.1511</v>
      </c>
      <c r="N1013" s="113">
        <v>5.778E-7</v>
      </c>
      <c r="O1013" s="114" t="s">
        <v>317</v>
      </c>
    </row>
    <row r="1014" spans="1:15" x14ac:dyDescent="0.25">
      <c r="A1014" s="113" t="s">
        <v>55</v>
      </c>
      <c r="B1014" s="113" t="s">
        <v>7</v>
      </c>
      <c r="C1014" s="113">
        <v>10000000</v>
      </c>
      <c r="D1014" s="113">
        <v>100000000</v>
      </c>
      <c r="E1014" s="113">
        <v>1000</v>
      </c>
      <c r="F1014" s="113" t="s">
        <v>102</v>
      </c>
      <c r="G1014" s="113" t="s">
        <v>190</v>
      </c>
      <c r="H1014" s="113">
        <v>0</v>
      </c>
      <c r="I1014" s="113">
        <v>0</v>
      </c>
      <c r="K1014" s="113">
        <v>1.2</v>
      </c>
      <c r="L1014" s="113">
        <v>5.7999999999999995E-7</v>
      </c>
      <c r="M1014" s="113">
        <v>1.1777</v>
      </c>
      <c r="N1014" s="113">
        <v>5.7756000000000004E-7</v>
      </c>
      <c r="O1014" s="114" t="s">
        <v>318</v>
      </c>
    </row>
    <row r="1015" spans="1:15" x14ac:dyDescent="0.25">
      <c r="A1015" s="113" t="s">
        <v>55</v>
      </c>
      <c r="B1015" s="113" t="s">
        <v>7</v>
      </c>
      <c r="C1015" s="113">
        <v>10000000</v>
      </c>
      <c r="D1015" s="113">
        <v>100000000</v>
      </c>
      <c r="E1015" s="113">
        <v>10000</v>
      </c>
      <c r="F1015" s="113" t="s">
        <v>102</v>
      </c>
      <c r="G1015" s="113" t="s">
        <v>190</v>
      </c>
      <c r="H1015" s="113">
        <v>0</v>
      </c>
      <c r="I1015" s="113">
        <v>0</v>
      </c>
      <c r="K1015" s="113">
        <v>3.4529000000000001</v>
      </c>
      <c r="L1015" s="113">
        <v>5.5767999999999995E-7</v>
      </c>
      <c r="M1015" s="113">
        <v>3.4420000000000002</v>
      </c>
      <c r="N1015" s="113">
        <v>5.5771000000000004E-7</v>
      </c>
      <c r="O1015" s="114" t="s">
        <v>319</v>
      </c>
    </row>
    <row r="1016" spans="1:15" x14ac:dyDescent="0.25">
      <c r="A1016" s="113" t="s">
        <v>55</v>
      </c>
      <c r="B1016" s="113" t="s">
        <v>7</v>
      </c>
      <c r="C1016" s="113">
        <v>10000000</v>
      </c>
      <c r="D1016" s="113">
        <v>100000000</v>
      </c>
      <c r="E1016" s="113">
        <v>100000</v>
      </c>
      <c r="F1016" s="113" t="s">
        <v>102</v>
      </c>
      <c r="G1016" s="113" t="s">
        <v>190</v>
      </c>
      <c r="H1016" s="113">
        <v>0</v>
      </c>
      <c r="I1016" s="113">
        <v>0</v>
      </c>
      <c r="K1016" s="113">
        <v>55.448999999999998</v>
      </c>
      <c r="L1016" s="113">
        <v>2.7074E-7</v>
      </c>
      <c r="M1016" s="113">
        <v>55.444000000000003</v>
      </c>
      <c r="N1016" s="113">
        <v>2.7056000000000001E-7</v>
      </c>
      <c r="O1016" s="114" t="s">
        <v>320</v>
      </c>
    </row>
    <row r="1017" spans="1:15" x14ac:dyDescent="0.25">
      <c r="A1017" s="113" t="s">
        <v>55</v>
      </c>
      <c r="B1017" s="113" t="s">
        <v>7</v>
      </c>
      <c r="C1017" s="113">
        <v>10000000</v>
      </c>
      <c r="D1017" s="113">
        <v>100000000</v>
      </c>
      <c r="E1017" s="113">
        <v>10000000</v>
      </c>
      <c r="F1017" s="113" t="s">
        <v>102</v>
      </c>
      <c r="G1017" s="113" t="s">
        <v>190</v>
      </c>
      <c r="H1017" s="113">
        <v>0</v>
      </c>
      <c r="I1017" s="113">
        <v>0</v>
      </c>
      <c r="K1017" s="113">
        <v>5773.5</v>
      </c>
      <c r="L1017" s="113">
        <v>3.3069999999999999E-9</v>
      </c>
      <c r="M1017" s="113">
        <v>5770.9</v>
      </c>
      <c r="N1017" s="113">
        <v>3.2960000000000002E-9</v>
      </c>
      <c r="O1017" s="114" t="s">
        <v>321</v>
      </c>
    </row>
    <row r="1018" spans="1:15" x14ac:dyDescent="0.25">
      <c r="A1018" s="113" t="s">
        <v>55</v>
      </c>
      <c r="B1018" s="113" t="s">
        <v>7</v>
      </c>
      <c r="C1018" s="113">
        <v>100000000</v>
      </c>
      <c r="D1018" s="113">
        <v>1000000000</v>
      </c>
      <c r="E1018" s="113">
        <v>100</v>
      </c>
      <c r="F1018" s="113" t="s">
        <v>102</v>
      </c>
      <c r="G1018" s="113" t="s">
        <v>190</v>
      </c>
      <c r="H1018" s="113">
        <v>0</v>
      </c>
      <c r="I1018" s="113">
        <v>0</v>
      </c>
      <c r="K1018" s="113">
        <v>12</v>
      </c>
      <c r="L1018" s="113">
        <v>5.8000000000000004E-6</v>
      </c>
      <c r="M1018" s="113">
        <v>11.592000000000001</v>
      </c>
      <c r="N1018" s="113">
        <v>5.7734999999999999E-6</v>
      </c>
      <c r="O1018" s="114" t="s">
        <v>322</v>
      </c>
    </row>
    <row r="1019" spans="1:15" x14ac:dyDescent="0.25">
      <c r="A1019" s="113" t="s">
        <v>55</v>
      </c>
      <c r="B1019" s="113" t="s">
        <v>7</v>
      </c>
      <c r="C1019" s="113">
        <v>100000000</v>
      </c>
      <c r="D1019" s="113">
        <v>1000000000</v>
      </c>
      <c r="E1019" s="113">
        <v>1000</v>
      </c>
      <c r="F1019" s="113" t="s">
        <v>102</v>
      </c>
      <c r="G1019" s="113" t="s">
        <v>190</v>
      </c>
      <c r="H1019" s="113">
        <v>0</v>
      </c>
      <c r="I1019" s="113">
        <v>0</v>
      </c>
      <c r="K1019" s="113">
        <v>12</v>
      </c>
      <c r="L1019" s="113">
        <v>5.8000000000000004E-6</v>
      </c>
      <c r="M1019" s="113">
        <v>11.592000000000001</v>
      </c>
      <c r="N1019" s="113">
        <v>5.7734999999999999E-6</v>
      </c>
      <c r="O1019" s="114" t="s">
        <v>323</v>
      </c>
    </row>
    <row r="1020" spans="1:15" x14ac:dyDescent="0.25">
      <c r="A1020" s="113" t="s">
        <v>55</v>
      </c>
      <c r="B1020" s="113" t="s">
        <v>7</v>
      </c>
      <c r="C1020" s="113">
        <v>100000000</v>
      </c>
      <c r="D1020" s="113">
        <v>1000000000</v>
      </c>
      <c r="E1020" s="113">
        <v>10000</v>
      </c>
      <c r="F1020" s="113" t="s">
        <v>102</v>
      </c>
      <c r="G1020" s="113" t="s">
        <v>190</v>
      </c>
      <c r="H1020" s="113">
        <v>0</v>
      </c>
      <c r="I1020" s="113">
        <v>0</v>
      </c>
      <c r="K1020" s="113">
        <v>12</v>
      </c>
      <c r="L1020" s="113">
        <v>5.8000000000000004E-6</v>
      </c>
      <c r="M1020" s="113">
        <v>11.595000000000001</v>
      </c>
      <c r="N1020" s="113">
        <v>5.7706999999999997E-6</v>
      </c>
      <c r="O1020" s="114" t="s">
        <v>324</v>
      </c>
    </row>
    <row r="1021" spans="1:15" x14ac:dyDescent="0.25">
      <c r="A1021" s="113" t="s">
        <v>55</v>
      </c>
      <c r="B1021" s="113" t="s">
        <v>7</v>
      </c>
      <c r="C1021" s="113">
        <v>100000000</v>
      </c>
      <c r="D1021" s="113">
        <v>1000000000</v>
      </c>
      <c r="E1021" s="113">
        <v>100000</v>
      </c>
      <c r="F1021" s="113" t="s">
        <v>102</v>
      </c>
      <c r="G1021" s="113" t="s">
        <v>190</v>
      </c>
      <c r="H1021" s="113">
        <v>0</v>
      </c>
      <c r="I1021" s="113">
        <v>0</v>
      </c>
      <c r="K1021" s="113">
        <v>12</v>
      </c>
      <c r="L1021" s="113">
        <v>5.8000000000000004E-6</v>
      </c>
      <c r="M1021" s="113">
        <v>14.68</v>
      </c>
      <c r="N1021" s="113">
        <v>5.7706999999999997E-6</v>
      </c>
      <c r="O1021" s="114" t="s">
        <v>325</v>
      </c>
    </row>
    <row r="1022" spans="1:15" x14ac:dyDescent="0.25">
      <c r="A1022" s="113" t="s">
        <v>55</v>
      </c>
      <c r="B1022" s="113" t="s">
        <v>7</v>
      </c>
      <c r="C1022" s="113">
        <v>100000000</v>
      </c>
      <c r="D1022" s="113">
        <v>1000000000</v>
      </c>
      <c r="E1022" s="113">
        <v>10000000</v>
      </c>
      <c r="F1022" s="113" t="s">
        <v>102</v>
      </c>
      <c r="G1022" s="113" t="s">
        <v>190</v>
      </c>
      <c r="H1022" s="113">
        <v>0</v>
      </c>
      <c r="I1022" s="113">
        <v>0</v>
      </c>
      <c r="K1022" s="113">
        <v>5540.2</v>
      </c>
      <c r="L1022" s="113">
        <v>2.6330999999999998E-6</v>
      </c>
      <c r="M1022" s="113">
        <v>5540.2</v>
      </c>
      <c r="N1022" s="113">
        <v>2.633E-6</v>
      </c>
      <c r="O1022" s="114" t="s">
        <v>326</v>
      </c>
    </row>
    <row r="1023" spans="1:15" x14ac:dyDescent="0.25">
      <c r="A1023" s="113" t="s">
        <v>55</v>
      </c>
      <c r="B1023" s="113" t="s">
        <v>7</v>
      </c>
      <c r="C1023" s="113">
        <v>100000000</v>
      </c>
      <c r="D1023" s="113">
        <v>1000000000</v>
      </c>
      <c r="E1023" s="113">
        <v>100000000</v>
      </c>
      <c r="F1023" s="113" t="s">
        <v>102</v>
      </c>
      <c r="G1023" s="113" t="s">
        <v>190</v>
      </c>
      <c r="H1023" s="113">
        <v>0</v>
      </c>
      <c r="I1023" s="113">
        <v>0</v>
      </c>
      <c r="K1023" s="113">
        <v>57707</v>
      </c>
      <c r="L1023" s="113">
        <v>3.1791000000000002E-7</v>
      </c>
      <c r="M1023" s="113">
        <v>57475</v>
      </c>
      <c r="N1023" s="113">
        <v>3.1790000000000001E-7</v>
      </c>
      <c r="O1023" s="114" t="s">
        <v>327</v>
      </c>
    </row>
    <row r="1024" spans="1:15" x14ac:dyDescent="0.25">
      <c r="A1024" s="113" t="s">
        <v>54</v>
      </c>
      <c r="B1024" s="113" t="s">
        <v>47</v>
      </c>
      <c r="C1024" s="113">
        <v>0</v>
      </c>
      <c r="D1024" s="113">
        <v>3.3000999999999999E-4</v>
      </c>
      <c r="E1024" s="113">
        <v>1E-8</v>
      </c>
      <c r="F1024" s="113" t="s">
        <v>13</v>
      </c>
      <c r="G1024" s="113" t="s">
        <v>11</v>
      </c>
      <c r="H1024" s="113">
        <v>4.4999999999999998E-2</v>
      </c>
      <c r="I1024" s="113">
        <v>1.0000100000000001</v>
      </c>
      <c r="J1024" s="113" t="s">
        <v>10</v>
      </c>
      <c r="K1024" s="113">
        <v>0.14000000000000001</v>
      </c>
      <c r="L1024" s="113">
        <v>1400</v>
      </c>
      <c r="M1024" s="113">
        <v>0.11584999999999999</v>
      </c>
      <c r="N1024" s="113">
        <v>1442.9</v>
      </c>
      <c r="O1024" s="114" t="s">
        <v>2765</v>
      </c>
    </row>
    <row r="1025" spans="1:15" x14ac:dyDescent="0.25">
      <c r="A1025" s="113" t="s">
        <v>54</v>
      </c>
      <c r="B1025" s="113" t="s">
        <v>47</v>
      </c>
      <c r="C1025" s="113">
        <v>0</v>
      </c>
      <c r="D1025" s="113">
        <v>3.3000999999999999E-4</v>
      </c>
      <c r="E1025" s="113">
        <v>1E-8</v>
      </c>
      <c r="F1025" s="113" t="s">
        <v>13</v>
      </c>
      <c r="G1025" s="113" t="s">
        <v>11</v>
      </c>
      <c r="H1025" s="113">
        <v>1</v>
      </c>
      <c r="I1025" s="113">
        <v>5.01</v>
      </c>
      <c r="J1025" s="113" t="s">
        <v>10</v>
      </c>
      <c r="K1025" s="113">
        <v>0.18</v>
      </c>
      <c r="L1025" s="113">
        <v>3500</v>
      </c>
      <c r="M1025" s="113">
        <v>0.17344000000000001</v>
      </c>
      <c r="N1025" s="113">
        <v>3463.7</v>
      </c>
      <c r="O1025" s="114" t="s">
        <v>2292</v>
      </c>
    </row>
    <row r="1026" spans="1:15" x14ac:dyDescent="0.25">
      <c r="A1026" s="113" t="s">
        <v>54</v>
      </c>
      <c r="B1026" s="113" t="s">
        <v>47</v>
      </c>
      <c r="C1026" s="113">
        <v>0</v>
      </c>
      <c r="D1026" s="113">
        <v>3.3000999999999999E-4</v>
      </c>
      <c r="E1026" s="113">
        <v>1E-8</v>
      </c>
      <c r="F1026" s="113" t="s">
        <v>13</v>
      </c>
      <c r="G1026" s="113" t="s">
        <v>11</v>
      </c>
      <c r="H1026" s="113">
        <v>0.01</v>
      </c>
      <c r="I1026" s="113">
        <v>2.001E-2</v>
      </c>
      <c r="J1026" s="113" t="s">
        <v>10</v>
      </c>
      <c r="K1026" s="113">
        <v>0.13</v>
      </c>
      <c r="L1026" s="113">
        <v>2300</v>
      </c>
      <c r="M1026" s="113">
        <v>0.11565</v>
      </c>
      <c r="N1026" s="113">
        <v>2314.1999999999998</v>
      </c>
      <c r="O1026" s="114" t="s">
        <v>2296</v>
      </c>
    </row>
    <row r="1027" spans="1:15" x14ac:dyDescent="0.25">
      <c r="A1027" s="113" t="s">
        <v>54</v>
      </c>
      <c r="B1027" s="113" t="s">
        <v>47</v>
      </c>
      <c r="C1027" s="113">
        <v>0</v>
      </c>
      <c r="D1027" s="113">
        <v>3.3000999999999999E-4</v>
      </c>
      <c r="E1027" s="113">
        <v>1E-8</v>
      </c>
      <c r="F1027" s="113" t="s">
        <v>13</v>
      </c>
      <c r="G1027" s="113" t="s">
        <v>11</v>
      </c>
      <c r="H1027" s="113">
        <v>10</v>
      </c>
      <c r="I1027" s="113">
        <v>30</v>
      </c>
      <c r="J1027" s="113" t="s">
        <v>10</v>
      </c>
      <c r="K1027" s="113">
        <v>0.62</v>
      </c>
      <c r="L1027" s="113">
        <v>18000</v>
      </c>
      <c r="M1027" s="113">
        <v>0.46198</v>
      </c>
      <c r="N1027" s="113">
        <v>18475</v>
      </c>
      <c r="O1027" s="114" t="s">
        <v>2766</v>
      </c>
    </row>
    <row r="1028" spans="1:15" x14ac:dyDescent="0.25">
      <c r="A1028" s="113" t="s">
        <v>54</v>
      </c>
      <c r="B1028" s="113" t="s">
        <v>47</v>
      </c>
      <c r="C1028" s="113">
        <v>0</v>
      </c>
      <c r="D1028" s="113">
        <v>3.3000999999999999E-4</v>
      </c>
      <c r="E1028" s="113">
        <v>1E-8</v>
      </c>
      <c r="F1028" s="113" t="s">
        <v>13</v>
      </c>
      <c r="G1028" s="113" t="s">
        <v>11</v>
      </c>
      <c r="H1028" s="113">
        <v>0.02</v>
      </c>
      <c r="I1028" s="113">
        <v>4.5010000000000001E-2</v>
      </c>
      <c r="J1028" s="113" t="s">
        <v>10</v>
      </c>
      <c r="K1028" s="113">
        <v>0.13</v>
      </c>
      <c r="L1028" s="113">
        <v>1700</v>
      </c>
      <c r="M1028" s="113">
        <v>0.11582000000000001</v>
      </c>
      <c r="N1028" s="113">
        <v>1731.6</v>
      </c>
      <c r="O1028" s="114" t="s">
        <v>2293</v>
      </c>
    </row>
    <row r="1029" spans="1:15" x14ac:dyDescent="0.25">
      <c r="A1029" s="113" t="s">
        <v>54</v>
      </c>
      <c r="B1029" s="113" t="s">
        <v>47</v>
      </c>
      <c r="C1029" s="113">
        <v>0</v>
      </c>
      <c r="D1029" s="113">
        <v>3.3000999999999999E-4</v>
      </c>
      <c r="E1029" s="113">
        <v>1E-8</v>
      </c>
      <c r="F1029" s="113" t="s">
        <v>13</v>
      </c>
      <c r="G1029" s="113" t="s">
        <v>11</v>
      </c>
      <c r="H1029" s="113">
        <v>5</v>
      </c>
      <c r="I1029" s="113">
        <v>10.01</v>
      </c>
      <c r="J1029" s="113" t="s">
        <v>10</v>
      </c>
      <c r="K1029" s="113">
        <v>0.25</v>
      </c>
      <c r="L1029" s="113">
        <v>9200</v>
      </c>
      <c r="M1029" s="113">
        <v>0.23105999999999999</v>
      </c>
      <c r="N1029" s="113">
        <v>9237.4</v>
      </c>
      <c r="O1029" s="114" t="s">
        <v>2294</v>
      </c>
    </row>
    <row r="1030" spans="1:15" x14ac:dyDescent="0.25">
      <c r="A1030" s="113" t="s">
        <v>54</v>
      </c>
      <c r="B1030" s="113" t="s">
        <v>47</v>
      </c>
      <c r="C1030" s="113">
        <v>0</v>
      </c>
      <c r="D1030" s="113">
        <v>3.3000999999999999E-4</v>
      </c>
      <c r="E1030" s="113">
        <v>1E-8</v>
      </c>
      <c r="F1030" s="113" t="s">
        <v>13</v>
      </c>
      <c r="G1030" s="113" t="s">
        <v>11</v>
      </c>
      <c r="H1030" s="113">
        <v>30</v>
      </c>
      <c r="I1030" s="113">
        <v>30.1</v>
      </c>
      <c r="J1030" s="113" t="s">
        <v>10</v>
      </c>
      <c r="K1030" s="113">
        <v>0.62</v>
      </c>
      <c r="L1030" s="113">
        <v>18000</v>
      </c>
      <c r="M1030" s="113">
        <v>0.46198</v>
      </c>
      <c r="N1030" s="113">
        <v>18475</v>
      </c>
      <c r="O1030" s="114" t="s">
        <v>2295</v>
      </c>
    </row>
    <row r="1031" spans="1:15" x14ac:dyDescent="0.25">
      <c r="A1031" s="113" t="s">
        <v>54</v>
      </c>
      <c r="B1031" s="113" t="s">
        <v>47</v>
      </c>
      <c r="C1031" s="113">
        <v>0</v>
      </c>
      <c r="D1031" s="113">
        <v>3.3000999999999999E-4</v>
      </c>
      <c r="E1031" s="113">
        <v>9.9999999999999995E-8</v>
      </c>
      <c r="F1031" s="113" t="s">
        <v>13</v>
      </c>
      <c r="G1031" s="113" t="s">
        <v>11</v>
      </c>
      <c r="H1031" s="113">
        <v>4.4999999999999998E-2</v>
      </c>
      <c r="I1031" s="113">
        <v>1.0000100000000001</v>
      </c>
      <c r="J1031" s="113" t="s">
        <v>10</v>
      </c>
      <c r="K1031" s="113">
        <v>0.14000000000000001</v>
      </c>
      <c r="L1031" s="113">
        <v>1400</v>
      </c>
      <c r="M1031" s="113">
        <v>0.12669</v>
      </c>
      <c r="N1031" s="113">
        <v>1418.5</v>
      </c>
      <c r="O1031" s="114" t="s">
        <v>2302</v>
      </c>
    </row>
    <row r="1032" spans="1:15" x14ac:dyDescent="0.25">
      <c r="A1032" s="113" t="s">
        <v>54</v>
      </c>
      <c r="B1032" s="113" t="s">
        <v>47</v>
      </c>
      <c r="C1032" s="113">
        <v>0</v>
      </c>
      <c r="D1032" s="113">
        <v>3.3000999999999999E-4</v>
      </c>
      <c r="E1032" s="113">
        <v>9.9999999999999995E-8</v>
      </c>
      <c r="F1032" s="113" t="s">
        <v>13</v>
      </c>
      <c r="G1032" s="113" t="s">
        <v>11</v>
      </c>
      <c r="H1032" s="113">
        <v>5</v>
      </c>
      <c r="I1032" s="113">
        <v>10.01</v>
      </c>
      <c r="J1032" s="113" t="s">
        <v>10</v>
      </c>
      <c r="K1032" s="113">
        <v>0.25</v>
      </c>
      <c r="L1032" s="113">
        <v>9200</v>
      </c>
      <c r="M1032" s="113">
        <v>0.23463000000000001</v>
      </c>
      <c r="N1032" s="113">
        <v>9228.1</v>
      </c>
      <c r="O1032" s="114" t="s">
        <v>2301</v>
      </c>
    </row>
    <row r="1033" spans="1:15" x14ac:dyDescent="0.25">
      <c r="A1033" s="113" t="s">
        <v>54</v>
      </c>
      <c r="B1033" s="113" t="s">
        <v>47</v>
      </c>
      <c r="C1033" s="113">
        <v>0</v>
      </c>
      <c r="D1033" s="113">
        <v>3.3000999999999999E-4</v>
      </c>
      <c r="E1033" s="113">
        <v>9.9999999999999995E-8</v>
      </c>
      <c r="F1033" s="113" t="s">
        <v>13</v>
      </c>
      <c r="G1033" s="113" t="s">
        <v>11</v>
      </c>
      <c r="H1033" s="113">
        <v>1</v>
      </c>
      <c r="I1033" s="113">
        <v>5.01</v>
      </c>
      <c r="J1033" s="113" t="s">
        <v>10</v>
      </c>
      <c r="K1033" s="113">
        <v>0.18</v>
      </c>
      <c r="L1033" s="113">
        <v>3500</v>
      </c>
      <c r="M1033" s="113">
        <v>0.17984</v>
      </c>
      <c r="N1033" s="113">
        <v>3448.1</v>
      </c>
      <c r="O1033" s="114" t="s">
        <v>2298</v>
      </c>
    </row>
    <row r="1034" spans="1:15" x14ac:dyDescent="0.25">
      <c r="A1034" s="113" t="s">
        <v>54</v>
      </c>
      <c r="B1034" s="113" t="s">
        <v>47</v>
      </c>
      <c r="C1034" s="113">
        <v>0</v>
      </c>
      <c r="D1034" s="113">
        <v>3.3000999999999999E-4</v>
      </c>
      <c r="E1034" s="113">
        <v>9.9999999999999995E-8</v>
      </c>
      <c r="F1034" s="113" t="s">
        <v>13</v>
      </c>
      <c r="G1034" s="113" t="s">
        <v>11</v>
      </c>
      <c r="H1034" s="113">
        <v>0.02</v>
      </c>
      <c r="I1034" s="113">
        <v>4.5010000000000001E-2</v>
      </c>
      <c r="J1034" s="113" t="s">
        <v>10</v>
      </c>
      <c r="K1034" s="113">
        <v>0.13</v>
      </c>
      <c r="L1034" s="113">
        <v>1700</v>
      </c>
      <c r="M1034" s="113">
        <v>0.12620000000000001</v>
      </c>
      <c r="N1034" s="113">
        <v>1707.4</v>
      </c>
      <c r="O1034" s="114" t="s">
        <v>2297</v>
      </c>
    </row>
    <row r="1035" spans="1:15" x14ac:dyDescent="0.25">
      <c r="A1035" s="113" t="s">
        <v>54</v>
      </c>
      <c r="B1035" s="113" t="s">
        <v>47</v>
      </c>
      <c r="C1035" s="113">
        <v>0</v>
      </c>
      <c r="D1035" s="113">
        <v>3.3000999999999999E-4</v>
      </c>
      <c r="E1035" s="113">
        <v>9.9999999999999995E-8</v>
      </c>
      <c r="F1035" s="113" t="s">
        <v>13</v>
      </c>
      <c r="G1035" s="113" t="s">
        <v>11</v>
      </c>
      <c r="H1035" s="113">
        <v>30</v>
      </c>
      <c r="I1035" s="113">
        <v>30.1</v>
      </c>
      <c r="J1035" s="113" t="s">
        <v>10</v>
      </c>
      <c r="K1035" s="113">
        <v>0.62</v>
      </c>
      <c r="L1035" s="113">
        <v>18000</v>
      </c>
      <c r="M1035" s="113">
        <v>0.46389000000000002</v>
      </c>
      <c r="N1035" s="113">
        <v>18470</v>
      </c>
      <c r="O1035" s="114" t="s">
        <v>2767</v>
      </c>
    </row>
    <row r="1036" spans="1:15" x14ac:dyDescent="0.25">
      <c r="A1036" s="113" t="s">
        <v>54</v>
      </c>
      <c r="B1036" s="113" t="s">
        <v>47</v>
      </c>
      <c r="C1036" s="113">
        <v>0</v>
      </c>
      <c r="D1036" s="113">
        <v>3.3000999999999999E-4</v>
      </c>
      <c r="E1036" s="113">
        <v>9.9999999999999995E-8</v>
      </c>
      <c r="F1036" s="113" t="s">
        <v>13</v>
      </c>
      <c r="G1036" s="113" t="s">
        <v>11</v>
      </c>
      <c r="H1036" s="113">
        <v>0.01</v>
      </c>
      <c r="I1036" s="113">
        <v>2.001E-2</v>
      </c>
      <c r="J1036" s="113" t="s">
        <v>10</v>
      </c>
      <c r="K1036" s="113">
        <v>0.13</v>
      </c>
      <c r="L1036" s="113">
        <v>2300</v>
      </c>
      <c r="M1036" s="113">
        <v>0.12522</v>
      </c>
      <c r="N1036" s="113">
        <v>2290.9</v>
      </c>
      <c r="O1036" s="114" t="s">
        <v>2299</v>
      </c>
    </row>
    <row r="1037" spans="1:15" x14ac:dyDescent="0.25">
      <c r="A1037" s="113" t="s">
        <v>54</v>
      </c>
      <c r="B1037" s="113" t="s">
        <v>47</v>
      </c>
      <c r="C1037" s="113">
        <v>0</v>
      </c>
      <c r="D1037" s="113">
        <v>3.3000999999999999E-4</v>
      </c>
      <c r="E1037" s="113">
        <v>9.9999999999999995E-8</v>
      </c>
      <c r="F1037" s="113" t="s">
        <v>13</v>
      </c>
      <c r="G1037" s="113" t="s">
        <v>11</v>
      </c>
      <c r="H1037" s="113">
        <v>10</v>
      </c>
      <c r="I1037" s="113">
        <v>30</v>
      </c>
      <c r="J1037" s="113" t="s">
        <v>10</v>
      </c>
      <c r="K1037" s="113">
        <v>0.62</v>
      </c>
      <c r="L1037" s="113">
        <v>18000</v>
      </c>
      <c r="M1037" s="113">
        <v>0.46389000000000002</v>
      </c>
      <c r="N1037" s="113">
        <v>18470</v>
      </c>
      <c r="O1037" s="114" t="s">
        <v>2300</v>
      </c>
    </row>
    <row r="1038" spans="1:15" x14ac:dyDescent="0.25">
      <c r="A1038" s="113" t="s">
        <v>54</v>
      </c>
      <c r="B1038" s="113" t="s">
        <v>47</v>
      </c>
      <c r="C1038" s="113">
        <v>0</v>
      </c>
      <c r="D1038" s="113">
        <v>3.3000999999999999E-4</v>
      </c>
      <c r="E1038" s="113">
        <v>9.9999999999999995E-7</v>
      </c>
      <c r="F1038" s="113" t="s">
        <v>13</v>
      </c>
      <c r="G1038" s="113" t="s">
        <v>11</v>
      </c>
      <c r="H1038" s="113">
        <v>4.4999999999999998E-2</v>
      </c>
      <c r="I1038" s="113">
        <v>1.0000100000000001</v>
      </c>
      <c r="J1038" s="113" t="s">
        <v>10</v>
      </c>
      <c r="K1038" s="113">
        <v>0.57669999999999999</v>
      </c>
      <c r="L1038" s="113">
        <v>759.64</v>
      </c>
      <c r="M1038" s="113">
        <v>0.57647000000000004</v>
      </c>
      <c r="N1038" s="113">
        <v>758.92</v>
      </c>
      <c r="O1038" s="114" t="s">
        <v>2305</v>
      </c>
    </row>
    <row r="1039" spans="1:15" x14ac:dyDescent="0.25">
      <c r="A1039" s="113" t="s">
        <v>54</v>
      </c>
      <c r="B1039" s="113" t="s">
        <v>47</v>
      </c>
      <c r="C1039" s="113">
        <v>0</v>
      </c>
      <c r="D1039" s="113">
        <v>3.3000999999999999E-4</v>
      </c>
      <c r="E1039" s="113">
        <v>9.9999999999999995E-7</v>
      </c>
      <c r="F1039" s="113" t="s">
        <v>13</v>
      </c>
      <c r="G1039" s="113" t="s">
        <v>11</v>
      </c>
      <c r="H1039" s="113">
        <v>0.02</v>
      </c>
      <c r="I1039" s="113">
        <v>4.5010000000000001E-2</v>
      </c>
      <c r="J1039" s="113" t="s">
        <v>10</v>
      </c>
      <c r="K1039" s="113">
        <v>0.57237000000000005</v>
      </c>
      <c r="L1039" s="113">
        <v>986.73</v>
      </c>
      <c r="M1039" s="113">
        <v>0.57213000000000003</v>
      </c>
      <c r="N1039" s="113">
        <v>986.13</v>
      </c>
      <c r="O1039" s="114" t="s">
        <v>2770</v>
      </c>
    </row>
    <row r="1040" spans="1:15" x14ac:dyDescent="0.25">
      <c r="A1040" s="113" t="s">
        <v>54</v>
      </c>
      <c r="B1040" s="113" t="s">
        <v>47</v>
      </c>
      <c r="C1040" s="113">
        <v>0</v>
      </c>
      <c r="D1040" s="113">
        <v>3.3000999999999999E-4</v>
      </c>
      <c r="E1040" s="113">
        <v>9.9999999999999995E-7</v>
      </c>
      <c r="F1040" s="113" t="s">
        <v>13</v>
      </c>
      <c r="G1040" s="113" t="s">
        <v>11</v>
      </c>
      <c r="H1040" s="113">
        <v>10</v>
      </c>
      <c r="I1040" s="113">
        <v>30</v>
      </c>
      <c r="J1040" s="113" t="s">
        <v>10</v>
      </c>
      <c r="K1040" s="113">
        <v>0.62980000000000003</v>
      </c>
      <c r="L1040" s="113">
        <v>18044</v>
      </c>
      <c r="M1040" s="113">
        <v>0.62958000000000003</v>
      </c>
      <c r="N1040" s="113">
        <v>18044</v>
      </c>
      <c r="O1040" s="114" t="s">
        <v>2768</v>
      </c>
    </row>
    <row r="1041" spans="1:15" x14ac:dyDescent="0.25">
      <c r="A1041" s="113" t="s">
        <v>54</v>
      </c>
      <c r="B1041" s="113" t="s">
        <v>47</v>
      </c>
      <c r="C1041" s="113">
        <v>0</v>
      </c>
      <c r="D1041" s="113">
        <v>3.3000999999999999E-4</v>
      </c>
      <c r="E1041" s="113">
        <v>9.9999999999999995E-7</v>
      </c>
      <c r="F1041" s="113" t="s">
        <v>13</v>
      </c>
      <c r="G1041" s="113" t="s">
        <v>11</v>
      </c>
      <c r="H1041" s="113">
        <v>5</v>
      </c>
      <c r="I1041" s="113">
        <v>10.01</v>
      </c>
      <c r="J1041" s="113" t="s">
        <v>10</v>
      </c>
      <c r="K1041" s="113">
        <v>0.51629999999999998</v>
      </c>
      <c r="L1041" s="113">
        <v>8526.7000000000007</v>
      </c>
      <c r="M1041" s="113">
        <v>0.51576</v>
      </c>
      <c r="N1041" s="113">
        <v>8527.5</v>
      </c>
      <c r="O1041" s="114" t="s">
        <v>2304</v>
      </c>
    </row>
    <row r="1042" spans="1:15" x14ac:dyDescent="0.25">
      <c r="A1042" s="113" t="s">
        <v>54</v>
      </c>
      <c r="B1042" s="113" t="s">
        <v>47</v>
      </c>
      <c r="C1042" s="113">
        <v>0</v>
      </c>
      <c r="D1042" s="113">
        <v>3.3000999999999999E-4</v>
      </c>
      <c r="E1042" s="113">
        <v>9.9999999999999995E-7</v>
      </c>
      <c r="F1042" s="113" t="s">
        <v>13</v>
      </c>
      <c r="G1042" s="113" t="s">
        <v>11</v>
      </c>
      <c r="H1042" s="113">
        <v>30</v>
      </c>
      <c r="I1042" s="113">
        <v>30.1</v>
      </c>
      <c r="J1042" s="113" t="s">
        <v>10</v>
      </c>
      <c r="K1042" s="113">
        <v>0.62980000000000003</v>
      </c>
      <c r="L1042" s="113">
        <v>18044</v>
      </c>
      <c r="M1042" s="113">
        <v>0.62958000000000003</v>
      </c>
      <c r="N1042" s="113">
        <v>18044</v>
      </c>
      <c r="O1042" s="114" t="s">
        <v>2306</v>
      </c>
    </row>
    <row r="1043" spans="1:15" x14ac:dyDescent="0.25">
      <c r="A1043" s="113" t="s">
        <v>54</v>
      </c>
      <c r="B1043" s="113" t="s">
        <v>47</v>
      </c>
      <c r="C1043" s="113">
        <v>0</v>
      </c>
      <c r="D1043" s="113">
        <v>3.3000999999999999E-4</v>
      </c>
      <c r="E1043" s="113">
        <v>9.9999999999999995E-7</v>
      </c>
      <c r="F1043" s="113" t="s">
        <v>13</v>
      </c>
      <c r="G1043" s="113" t="s">
        <v>11</v>
      </c>
      <c r="H1043" s="113">
        <v>0.01</v>
      </c>
      <c r="I1043" s="113">
        <v>2.001E-2</v>
      </c>
      <c r="J1043" s="113" t="s">
        <v>10</v>
      </c>
      <c r="K1043" s="113">
        <v>0.56557999999999997</v>
      </c>
      <c r="L1043" s="113">
        <v>1474.9</v>
      </c>
      <c r="M1043" s="113">
        <v>0.56533</v>
      </c>
      <c r="N1043" s="113">
        <v>1474.5</v>
      </c>
      <c r="O1043" s="114" t="s">
        <v>2303</v>
      </c>
    </row>
    <row r="1044" spans="1:15" x14ac:dyDescent="0.25">
      <c r="A1044" s="113" t="s">
        <v>54</v>
      </c>
      <c r="B1044" s="113" t="s">
        <v>47</v>
      </c>
      <c r="C1044" s="113">
        <v>0</v>
      </c>
      <c r="D1044" s="113">
        <v>3.3000999999999999E-4</v>
      </c>
      <c r="E1044" s="113">
        <v>9.9999999999999995E-7</v>
      </c>
      <c r="F1044" s="113" t="s">
        <v>13</v>
      </c>
      <c r="G1044" s="113" t="s">
        <v>11</v>
      </c>
      <c r="H1044" s="113">
        <v>1</v>
      </c>
      <c r="I1044" s="113">
        <v>5.01</v>
      </c>
      <c r="J1044" s="113" t="s">
        <v>10</v>
      </c>
      <c r="K1044" s="113">
        <v>0.56230999999999998</v>
      </c>
      <c r="L1044" s="113">
        <v>2652.9</v>
      </c>
      <c r="M1044" s="113">
        <v>0.56206999999999996</v>
      </c>
      <c r="N1044" s="113">
        <v>2652.8</v>
      </c>
      <c r="O1044" s="114" t="s">
        <v>2769</v>
      </c>
    </row>
    <row r="1045" spans="1:15" x14ac:dyDescent="0.25">
      <c r="A1045" s="113" t="s">
        <v>54</v>
      </c>
      <c r="B1045" s="113" t="s">
        <v>47</v>
      </c>
      <c r="C1045" s="113">
        <v>0</v>
      </c>
      <c r="D1045" s="113">
        <v>3.3000999999999999E-4</v>
      </c>
      <c r="E1045" s="113">
        <v>1.0000000000000001E-5</v>
      </c>
      <c r="F1045" s="113" t="s">
        <v>13</v>
      </c>
      <c r="G1045" s="113" t="s">
        <v>11</v>
      </c>
      <c r="H1045" s="113">
        <v>0.01</v>
      </c>
      <c r="I1045" s="113">
        <v>2.001E-2</v>
      </c>
      <c r="J1045" s="113" t="s">
        <v>10</v>
      </c>
      <c r="K1045" s="113">
        <v>5.7994000000000003</v>
      </c>
      <c r="L1045" s="113">
        <v>124.28</v>
      </c>
      <c r="M1045" s="113">
        <v>5.7992999999999997</v>
      </c>
      <c r="N1045" s="113">
        <v>123.73</v>
      </c>
      <c r="O1045" s="114" t="s">
        <v>2309</v>
      </c>
    </row>
    <row r="1046" spans="1:15" x14ac:dyDescent="0.25">
      <c r="A1046" s="113" t="s">
        <v>54</v>
      </c>
      <c r="B1046" s="113" t="s">
        <v>47</v>
      </c>
      <c r="C1046" s="113">
        <v>0</v>
      </c>
      <c r="D1046" s="113">
        <v>3.3000999999999999E-4</v>
      </c>
      <c r="E1046" s="113">
        <v>1.0000000000000001E-5</v>
      </c>
      <c r="F1046" s="113" t="s">
        <v>13</v>
      </c>
      <c r="G1046" s="113" t="s">
        <v>11</v>
      </c>
      <c r="H1046" s="113">
        <v>0.02</v>
      </c>
      <c r="I1046" s="113">
        <v>4.5010000000000001E-2</v>
      </c>
      <c r="J1046" s="113" t="s">
        <v>10</v>
      </c>
      <c r="K1046" s="113">
        <v>5.7723000000000004</v>
      </c>
      <c r="L1046" s="113">
        <v>128.02000000000001</v>
      </c>
      <c r="M1046" s="113">
        <v>5.7721999999999998</v>
      </c>
      <c r="N1046" s="113">
        <v>127.48</v>
      </c>
      <c r="O1046" s="114" t="s">
        <v>2772</v>
      </c>
    </row>
    <row r="1047" spans="1:15" x14ac:dyDescent="0.25">
      <c r="A1047" s="113" t="s">
        <v>54</v>
      </c>
      <c r="B1047" s="113" t="s">
        <v>47</v>
      </c>
      <c r="C1047" s="113">
        <v>0</v>
      </c>
      <c r="D1047" s="113">
        <v>3.3000999999999999E-4</v>
      </c>
      <c r="E1047" s="113">
        <v>1.0000000000000001E-5</v>
      </c>
      <c r="F1047" s="113" t="s">
        <v>13</v>
      </c>
      <c r="G1047" s="113" t="s">
        <v>11</v>
      </c>
      <c r="H1047" s="113">
        <v>30</v>
      </c>
      <c r="I1047" s="113">
        <v>30.1</v>
      </c>
      <c r="J1047" s="113" t="s">
        <v>10</v>
      </c>
      <c r="K1047" s="113">
        <v>5.5819999999999999</v>
      </c>
      <c r="L1047" s="113">
        <v>9564.6</v>
      </c>
      <c r="M1047" s="113">
        <v>5.5818000000000003</v>
      </c>
      <c r="N1047" s="113">
        <v>9564.1</v>
      </c>
      <c r="O1047" s="114" t="s">
        <v>2771</v>
      </c>
    </row>
    <row r="1048" spans="1:15" x14ac:dyDescent="0.25">
      <c r="A1048" s="113" t="s">
        <v>54</v>
      </c>
      <c r="B1048" s="113" t="s">
        <v>47</v>
      </c>
      <c r="C1048" s="113">
        <v>0</v>
      </c>
      <c r="D1048" s="113">
        <v>3.3000999999999999E-4</v>
      </c>
      <c r="E1048" s="113">
        <v>1.0000000000000001E-5</v>
      </c>
      <c r="F1048" s="113" t="s">
        <v>13</v>
      </c>
      <c r="G1048" s="113" t="s">
        <v>11</v>
      </c>
      <c r="H1048" s="113">
        <v>10</v>
      </c>
      <c r="I1048" s="113">
        <v>30</v>
      </c>
      <c r="J1048" s="113" t="s">
        <v>10</v>
      </c>
      <c r="K1048" s="113">
        <v>5.5819999999999999</v>
      </c>
      <c r="L1048" s="113">
        <v>9564.6</v>
      </c>
      <c r="M1048" s="113">
        <v>5.5818000000000003</v>
      </c>
      <c r="N1048" s="113">
        <v>9564.1</v>
      </c>
      <c r="O1048" s="114" t="s">
        <v>2307</v>
      </c>
    </row>
    <row r="1049" spans="1:15" x14ac:dyDescent="0.25">
      <c r="A1049" s="113" t="s">
        <v>54</v>
      </c>
      <c r="B1049" s="113" t="s">
        <v>47</v>
      </c>
      <c r="C1049" s="113">
        <v>0</v>
      </c>
      <c r="D1049" s="113">
        <v>3.3000999999999999E-4</v>
      </c>
      <c r="E1049" s="113">
        <v>1.0000000000000001E-5</v>
      </c>
      <c r="F1049" s="113" t="s">
        <v>13</v>
      </c>
      <c r="G1049" s="113" t="s">
        <v>11</v>
      </c>
      <c r="H1049" s="113">
        <v>1</v>
      </c>
      <c r="I1049" s="113">
        <v>5.01</v>
      </c>
      <c r="J1049" s="113" t="s">
        <v>10</v>
      </c>
      <c r="K1049" s="113">
        <v>5.7664999999999997</v>
      </c>
      <c r="L1049" s="113">
        <v>471.27</v>
      </c>
      <c r="M1049" s="113">
        <v>5.7664</v>
      </c>
      <c r="N1049" s="113">
        <v>470.74</v>
      </c>
      <c r="O1049" s="114" t="s">
        <v>2311</v>
      </c>
    </row>
    <row r="1050" spans="1:15" x14ac:dyDescent="0.25">
      <c r="A1050" s="113" t="s">
        <v>54</v>
      </c>
      <c r="B1050" s="113" t="s">
        <v>47</v>
      </c>
      <c r="C1050" s="113">
        <v>0</v>
      </c>
      <c r="D1050" s="113">
        <v>3.3000999999999999E-4</v>
      </c>
      <c r="E1050" s="113">
        <v>1.0000000000000001E-5</v>
      </c>
      <c r="F1050" s="113" t="s">
        <v>13</v>
      </c>
      <c r="G1050" s="113" t="s">
        <v>11</v>
      </c>
      <c r="H1050" s="113">
        <v>5</v>
      </c>
      <c r="I1050" s="113">
        <v>10.01</v>
      </c>
      <c r="J1050" s="113" t="s">
        <v>10</v>
      </c>
      <c r="K1050" s="113">
        <v>5.7138999999999998</v>
      </c>
      <c r="L1050" s="113">
        <v>2807.7</v>
      </c>
      <c r="M1050" s="113">
        <v>5.7137000000000002</v>
      </c>
      <c r="N1050" s="113">
        <v>2806.8</v>
      </c>
      <c r="O1050" s="114" t="s">
        <v>2308</v>
      </c>
    </row>
    <row r="1051" spans="1:15" x14ac:dyDescent="0.25">
      <c r="A1051" s="113" t="s">
        <v>54</v>
      </c>
      <c r="B1051" s="113" t="s">
        <v>47</v>
      </c>
      <c r="C1051" s="113">
        <v>0</v>
      </c>
      <c r="D1051" s="113">
        <v>3.3000999999999999E-4</v>
      </c>
      <c r="E1051" s="113">
        <v>1.0000000000000001E-5</v>
      </c>
      <c r="F1051" s="113" t="s">
        <v>13</v>
      </c>
      <c r="G1051" s="113" t="s">
        <v>11</v>
      </c>
      <c r="H1051" s="113">
        <v>4.4999999999999998E-2</v>
      </c>
      <c r="I1051" s="113">
        <v>1.0000100000000001</v>
      </c>
      <c r="J1051" s="113" t="s">
        <v>10</v>
      </c>
      <c r="K1051" s="113">
        <v>5.7731000000000003</v>
      </c>
      <c r="L1051" s="113">
        <v>93.963999999999999</v>
      </c>
      <c r="M1051" s="113">
        <v>5.7729999999999997</v>
      </c>
      <c r="N1051" s="113">
        <v>93.42</v>
      </c>
      <c r="O1051" s="114" t="s">
        <v>2310</v>
      </c>
    </row>
    <row r="1052" spans="1:15" x14ac:dyDescent="0.25">
      <c r="A1052" s="113" t="s">
        <v>54</v>
      </c>
      <c r="B1052" s="113" t="s">
        <v>47</v>
      </c>
      <c r="C1052" s="113">
        <v>0</v>
      </c>
      <c r="D1052" s="113">
        <v>3.3000999999999999E-4</v>
      </c>
      <c r="E1052" s="113">
        <v>1E-4</v>
      </c>
      <c r="F1052" s="113" t="s">
        <v>13</v>
      </c>
      <c r="G1052" s="113" t="s">
        <v>11</v>
      </c>
      <c r="H1052" s="113">
        <v>30</v>
      </c>
      <c r="I1052" s="113">
        <v>30.1</v>
      </c>
      <c r="J1052" s="113" t="s">
        <v>10</v>
      </c>
      <c r="K1052" s="113">
        <v>57.709000000000003</v>
      </c>
      <c r="L1052" s="113">
        <v>1205.5</v>
      </c>
      <c r="M1052" s="113">
        <v>57.709000000000003</v>
      </c>
      <c r="N1052" s="113">
        <v>1205.0999999999999</v>
      </c>
      <c r="O1052" s="114" t="s">
        <v>2773</v>
      </c>
    </row>
    <row r="1053" spans="1:15" x14ac:dyDescent="0.25">
      <c r="A1053" s="113" t="s">
        <v>54</v>
      </c>
      <c r="B1053" s="113" t="s">
        <v>47</v>
      </c>
      <c r="C1053" s="113">
        <v>0</v>
      </c>
      <c r="D1053" s="113">
        <v>3.3000999999999999E-4</v>
      </c>
      <c r="E1053" s="113">
        <v>1E-4</v>
      </c>
      <c r="F1053" s="113" t="s">
        <v>13</v>
      </c>
      <c r="G1053" s="113" t="s">
        <v>11</v>
      </c>
      <c r="H1053" s="113">
        <v>0.01</v>
      </c>
      <c r="I1053" s="113">
        <v>2.001E-2</v>
      </c>
      <c r="J1053" s="113" t="s">
        <v>10</v>
      </c>
      <c r="K1053" s="113">
        <v>58.024999999999999</v>
      </c>
      <c r="L1053" s="113">
        <v>-857.45</v>
      </c>
      <c r="M1053" s="113">
        <v>58.024999999999999</v>
      </c>
      <c r="N1053" s="113">
        <v>-857.67</v>
      </c>
      <c r="O1053" s="114" t="s">
        <v>2313</v>
      </c>
    </row>
    <row r="1054" spans="1:15" x14ac:dyDescent="0.25">
      <c r="A1054" s="113" t="s">
        <v>54</v>
      </c>
      <c r="B1054" s="113" t="s">
        <v>47</v>
      </c>
      <c r="C1054" s="113">
        <v>0</v>
      </c>
      <c r="D1054" s="113">
        <v>3.3000999999999999E-4</v>
      </c>
      <c r="E1054" s="113">
        <v>1E-4</v>
      </c>
      <c r="F1054" s="113" t="s">
        <v>13</v>
      </c>
      <c r="G1054" s="113" t="s">
        <v>11</v>
      </c>
      <c r="H1054" s="113">
        <v>0.02</v>
      </c>
      <c r="I1054" s="113">
        <v>4.5010000000000001E-2</v>
      </c>
      <c r="J1054" s="113" t="s">
        <v>10</v>
      </c>
      <c r="K1054" s="113">
        <v>57.734999999999999</v>
      </c>
      <c r="L1054" s="113">
        <v>13.015000000000001</v>
      </c>
      <c r="M1054" s="113">
        <v>57.734999999999999</v>
      </c>
      <c r="N1054" s="113">
        <v>12.795</v>
      </c>
      <c r="O1054" s="114" t="s">
        <v>2312</v>
      </c>
    </row>
    <row r="1055" spans="1:15" x14ac:dyDescent="0.25">
      <c r="A1055" s="113" t="s">
        <v>54</v>
      </c>
      <c r="B1055" s="113" t="s">
        <v>47</v>
      </c>
      <c r="C1055" s="113">
        <v>0</v>
      </c>
      <c r="D1055" s="113">
        <v>3.3000999999999999E-4</v>
      </c>
      <c r="E1055" s="113">
        <v>1E-4</v>
      </c>
      <c r="F1055" s="113" t="s">
        <v>13</v>
      </c>
      <c r="G1055" s="113" t="s">
        <v>11</v>
      </c>
      <c r="H1055" s="113">
        <v>1</v>
      </c>
      <c r="I1055" s="113">
        <v>5.01</v>
      </c>
      <c r="J1055" s="113" t="s">
        <v>10</v>
      </c>
      <c r="K1055" s="113">
        <v>57.734999999999999</v>
      </c>
      <c r="L1055" s="113">
        <v>47.917999999999999</v>
      </c>
      <c r="M1055" s="113">
        <v>57.734999999999999</v>
      </c>
      <c r="N1055" s="113">
        <v>47.698999999999998</v>
      </c>
      <c r="O1055" s="114" t="s">
        <v>2315</v>
      </c>
    </row>
    <row r="1056" spans="1:15" x14ac:dyDescent="0.25">
      <c r="A1056" s="113" t="s">
        <v>54</v>
      </c>
      <c r="B1056" s="113" t="s">
        <v>47</v>
      </c>
      <c r="C1056" s="113">
        <v>0</v>
      </c>
      <c r="D1056" s="113">
        <v>3.3000999999999999E-4</v>
      </c>
      <c r="E1056" s="113">
        <v>1E-4</v>
      </c>
      <c r="F1056" s="113" t="s">
        <v>13</v>
      </c>
      <c r="G1056" s="113" t="s">
        <v>11</v>
      </c>
      <c r="H1056" s="113">
        <v>4.4999999999999998E-2</v>
      </c>
      <c r="I1056" s="113">
        <v>1.0000100000000001</v>
      </c>
      <c r="J1056" s="113" t="s">
        <v>10</v>
      </c>
      <c r="K1056" s="113">
        <v>57.735999999999997</v>
      </c>
      <c r="L1056" s="113">
        <v>9.5875000000000004</v>
      </c>
      <c r="M1056" s="113">
        <v>57.734999999999999</v>
      </c>
      <c r="N1056" s="113">
        <v>9.3679000000000006</v>
      </c>
      <c r="O1056" s="114" t="s">
        <v>2314</v>
      </c>
    </row>
    <row r="1057" spans="1:15" x14ac:dyDescent="0.25">
      <c r="A1057" s="113" t="s">
        <v>54</v>
      </c>
      <c r="B1057" s="113" t="s">
        <v>47</v>
      </c>
      <c r="C1057" s="113">
        <v>0</v>
      </c>
      <c r="D1057" s="113">
        <v>3.3000999999999999E-4</v>
      </c>
      <c r="E1057" s="113">
        <v>1E-4</v>
      </c>
      <c r="F1057" s="113" t="s">
        <v>13</v>
      </c>
      <c r="G1057" s="113" t="s">
        <v>11</v>
      </c>
      <c r="H1057" s="113">
        <v>5</v>
      </c>
      <c r="I1057" s="113">
        <v>10.01</v>
      </c>
      <c r="J1057" s="113" t="s">
        <v>10</v>
      </c>
      <c r="K1057" s="113">
        <v>57.728999999999999</v>
      </c>
      <c r="L1057" s="113">
        <v>302.48</v>
      </c>
      <c r="M1057" s="113">
        <v>57.728999999999999</v>
      </c>
      <c r="N1057" s="113">
        <v>302.01</v>
      </c>
      <c r="O1057" s="114" t="s">
        <v>2316</v>
      </c>
    </row>
    <row r="1058" spans="1:15" x14ac:dyDescent="0.25">
      <c r="A1058" s="113" t="s">
        <v>54</v>
      </c>
      <c r="B1058" s="113" t="s">
        <v>47</v>
      </c>
      <c r="C1058" s="113">
        <v>0</v>
      </c>
      <c r="D1058" s="113">
        <v>3.3000999999999999E-4</v>
      </c>
      <c r="E1058" s="113">
        <v>1E-4</v>
      </c>
      <c r="F1058" s="113" t="s">
        <v>13</v>
      </c>
      <c r="G1058" s="113" t="s">
        <v>11</v>
      </c>
      <c r="H1058" s="113">
        <v>10</v>
      </c>
      <c r="I1058" s="113">
        <v>30</v>
      </c>
      <c r="J1058" s="113" t="s">
        <v>10</v>
      </c>
      <c r="K1058" s="113">
        <v>57.709000000000003</v>
      </c>
      <c r="L1058" s="113">
        <v>1205.5</v>
      </c>
      <c r="M1058" s="113">
        <v>57.709000000000003</v>
      </c>
      <c r="N1058" s="113">
        <v>1205.0999999999999</v>
      </c>
      <c r="O1058" s="114" t="s">
        <v>2317</v>
      </c>
    </row>
    <row r="1059" spans="1:15" x14ac:dyDescent="0.25">
      <c r="A1059" s="113" t="s">
        <v>54</v>
      </c>
      <c r="B1059" s="113" t="s">
        <v>47</v>
      </c>
      <c r="C1059" s="113">
        <v>0</v>
      </c>
      <c r="D1059" s="113">
        <v>3.3000999999999999E-4</v>
      </c>
      <c r="E1059" s="113">
        <v>1E-3</v>
      </c>
      <c r="F1059" s="113" t="s">
        <v>13</v>
      </c>
      <c r="G1059" s="113" t="s">
        <v>11</v>
      </c>
      <c r="H1059" s="113">
        <v>30</v>
      </c>
      <c r="I1059" s="113">
        <v>30.1</v>
      </c>
      <c r="J1059" s="113" t="s">
        <v>10</v>
      </c>
      <c r="K1059" s="113">
        <v>577.35</v>
      </c>
      <c r="L1059" s="113">
        <v>121.09</v>
      </c>
      <c r="M1059" s="113">
        <v>577.32000000000005</v>
      </c>
      <c r="N1059" s="113">
        <v>120.9</v>
      </c>
      <c r="O1059" s="114" t="s">
        <v>2318</v>
      </c>
    </row>
    <row r="1060" spans="1:15" x14ac:dyDescent="0.25">
      <c r="A1060" s="113" t="s">
        <v>54</v>
      </c>
      <c r="B1060" s="113" t="s">
        <v>47</v>
      </c>
      <c r="C1060" s="113">
        <v>0</v>
      </c>
      <c r="D1060" s="113">
        <v>3.3000999999999999E-4</v>
      </c>
      <c r="E1060" s="113">
        <v>1E-3</v>
      </c>
      <c r="F1060" s="113" t="s">
        <v>13</v>
      </c>
      <c r="G1060" s="113" t="s">
        <v>11</v>
      </c>
      <c r="H1060" s="113">
        <v>0.01</v>
      </c>
      <c r="I1060" s="113">
        <v>2.001E-2</v>
      </c>
      <c r="J1060" s="113" t="s">
        <v>10</v>
      </c>
      <c r="K1060" s="113">
        <v>580.26</v>
      </c>
      <c r="L1060" s="113">
        <v>-8787.4</v>
      </c>
      <c r="M1060" s="113">
        <v>580.03</v>
      </c>
      <c r="N1060" s="113">
        <v>-8787.5</v>
      </c>
      <c r="O1060" s="114" t="s">
        <v>2321</v>
      </c>
    </row>
    <row r="1061" spans="1:15" x14ac:dyDescent="0.25">
      <c r="A1061" s="113" t="s">
        <v>54</v>
      </c>
      <c r="B1061" s="113" t="s">
        <v>47</v>
      </c>
      <c r="C1061" s="113">
        <v>0</v>
      </c>
      <c r="D1061" s="113">
        <v>3.3000999999999999E-4</v>
      </c>
      <c r="E1061" s="113">
        <v>1E-3</v>
      </c>
      <c r="F1061" s="113" t="s">
        <v>13</v>
      </c>
      <c r="G1061" s="113" t="s">
        <v>11</v>
      </c>
      <c r="H1061" s="113">
        <v>0.02</v>
      </c>
      <c r="I1061" s="113">
        <v>4.5010000000000001E-2</v>
      </c>
      <c r="J1061" s="113" t="s">
        <v>10</v>
      </c>
      <c r="K1061" s="113">
        <v>577.36</v>
      </c>
      <c r="L1061" s="113">
        <v>1.3673999999999999</v>
      </c>
      <c r="M1061" s="113">
        <v>577.35</v>
      </c>
      <c r="N1061" s="113">
        <v>1.2795000000000001</v>
      </c>
      <c r="O1061" s="114" t="s">
        <v>2322</v>
      </c>
    </row>
    <row r="1062" spans="1:15" x14ac:dyDescent="0.25">
      <c r="A1062" s="113" t="s">
        <v>54</v>
      </c>
      <c r="B1062" s="113" t="s">
        <v>47</v>
      </c>
      <c r="C1062" s="113">
        <v>0</v>
      </c>
      <c r="D1062" s="113">
        <v>3.3000999999999999E-4</v>
      </c>
      <c r="E1062" s="113">
        <v>1E-3</v>
      </c>
      <c r="F1062" s="113" t="s">
        <v>13</v>
      </c>
      <c r="G1062" s="113" t="s">
        <v>11</v>
      </c>
      <c r="H1062" s="113">
        <v>1</v>
      </c>
      <c r="I1062" s="113">
        <v>5.01</v>
      </c>
      <c r="J1062" s="113" t="s">
        <v>10</v>
      </c>
      <c r="K1062" s="113">
        <v>577.36</v>
      </c>
      <c r="L1062" s="113">
        <v>4.8582999999999998</v>
      </c>
      <c r="M1062" s="113">
        <v>577.35</v>
      </c>
      <c r="N1062" s="113">
        <v>4.7705000000000002</v>
      </c>
      <c r="O1062" s="114" t="s">
        <v>2774</v>
      </c>
    </row>
    <row r="1063" spans="1:15" x14ac:dyDescent="0.25">
      <c r="A1063" s="113" t="s">
        <v>54</v>
      </c>
      <c r="B1063" s="113" t="s">
        <v>47</v>
      </c>
      <c r="C1063" s="113">
        <v>0</v>
      </c>
      <c r="D1063" s="113">
        <v>3.3000999999999999E-4</v>
      </c>
      <c r="E1063" s="113">
        <v>1E-3</v>
      </c>
      <c r="F1063" s="113" t="s">
        <v>13</v>
      </c>
      <c r="G1063" s="113" t="s">
        <v>11</v>
      </c>
      <c r="H1063" s="113">
        <v>5</v>
      </c>
      <c r="I1063" s="113">
        <v>10.01</v>
      </c>
      <c r="J1063" s="113" t="s">
        <v>10</v>
      </c>
      <c r="K1063" s="113">
        <v>577.35</v>
      </c>
      <c r="L1063" s="113">
        <v>30.413</v>
      </c>
      <c r="M1063" s="113">
        <v>577.35</v>
      </c>
      <c r="N1063" s="113">
        <v>30.225999999999999</v>
      </c>
      <c r="O1063" s="114" t="s">
        <v>2319</v>
      </c>
    </row>
    <row r="1064" spans="1:15" x14ac:dyDescent="0.25">
      <c r="A1064" s="113" t="s">
        <v>54</v>
      </c>
      <c r="B1064" s="113" t="s">
        <v>47</v>
      </c>
      <c r="C1064" s="113">
        <v>0</v>
      </c>
      <c r="D1064" s="113">
        <v>3.3000999999999999E-4</v>
      </c>
      <c r="E1064" s="113">
        <v>1E-3</v>
      </c>
      <c r="F1064" s="113" t="s">
        <v>13</v>
      </c>
      <c r="G1064" s="113" t="s">
        <v>11</v>
      </c>
      <c r="H1064" s="113">
        <v>4.4999999999999998E-2</v>
      </c>
      <c r="I1064" s="113">
        <v>1.0000100000000001</v>
      </c>
      <c r="J1064" s="113" t="s">
        <v>10</v>
      </c>
      <c r="K1064" s="113">
        <v>577.36</v>
      </c>
      <c r="L1064" s="113">
        <v>1.0246</v>
      </c>
      <c r="M1064" s="113">
        <v>577.36</v>
      </c>
      <c r="N1064" s="113">
        <v>0.93681999999999999</v>
      </c>
      <c r="O1064" s="114" t="s">
        <v>2775</v>
      </c>
    </row>
    <row r="1065" spans="1:15" x14ac:dyDescent="0.25">
      <c r="A1065" s="113" t="s">
        <v>54</v>
      </c>
      <c r="B1065" s="113" t="s">
        <v>47</v>
      </c>
      <c r="C1065" s="113">
        <v>0</v>
      </c>
      <c r="D1065" s="113">
        <v>3.3000999999999999E-4</v>
      </c>
      <c r="E1065" s="113">
        <v>1E-3</v>
      </c>
      <c r="F1065" s="113" t="s">
        <v>13</v>
      </c>
      <c r="G1065" s="113" t="s">
        <v>11</v>
      </c>
      <c r="H1065" s="113">
        <v>10</v>
      </c>
      <c r="I1065" s="113">
        <v>30</v>
      </c>
      <c r="J1065" s="113" t="s">
        <v>10</v>
      </c>
      <c r="K1065" s="113">
        <v>577.35</v>
      </c>
      <c r="L1065" s="113">
        <v>121.09</v>
      </c>
      <c r="M1065" s="113">
        <v>577.32000000000005</v>
      </c>
      <c r="N1065" s="113">
        <v>120.9</v>
      </c>
      <c r="O1065" s="114" t="s">
        <v>2320</v>
      </c>
    </row>
    <row r="1066" spans="1:15" x14ac:dyDescent="0.25">
      <c r="A1066" s="113" t="s">
        <v>54</v>
      </c>
      <c r="B1066" s="113" t="s">
        <v>47</v>
      </c>
      <c r="C1066" s="113">
        <v>0</v>
      </c>
      <c r="D1066" s="113">
        <v>3.3000999999999999E-4</v>
      </c>
      <c r="E1066" s="113">
        <v>0.01</v>
      </c>
      <c r="F1066" s="113" t="s">
        <v>13</v>
      </c>
      <c r="G1066" s="113" t="s">
        <v>11</v>
      </c>
      <c r="H1066" s="113">
        <v>30</v>
      </c>
      <c r="I1066" s="113">
        <v>30.1</v>
      </c>
      <c r="J1066" s="113" t="s">
        <v>10</v>
      </c>
      <c r="K1066" s="113">
        <v>5773.6</v>
      </c>
      <c r="L1066" s="113">
        <v>12.164999999999999</v>
      </c>
      <c r="M1066" s="113">
        <v>5773.5</v>
      </c>
      <c r="N1066" s="113">
        <v>12.09</v>
      </c>
      <c r="O1066" s="114" t="s">
        <v>2326</v>
      </c>
    </row>
    <row r="1067" spans="1:15" x14ac:dyDescent="0.25">
      <c r="A1067" s="113" t="s">
        <v>54</v>
      </c>
      <c r="B1067" s="113" t="s">
        <v>47</v>
      </c>
      <c r="C1067" s="113">
        <v>0</v>
      </c>
      <c r="D1067" s="113">
        <v>3.3000999999999999E-4</v>
      </c>
      <c r="E1067" s="113">
        <v>0.01</v>
      </c>
      <c r="F1067" s="113" t="s">
        <v>13</v>
      </c>
      <c r="G1067" s="113" t="s">
        <v>11</v>
      </c>
      <c r="H1067" s="113">
        <v>1</v>
      </c>
      <c r="I1067" s="113">
        <v>5.01</v>
      </c>
      <c r="J1067" s="113" t="s">
        <v>10</v>
      </c>
      <c r="K1067" s="113">
        <v>5773.6</v>
      </c>
      <c r="L1067" s="113">
        <v>0.51217999999999997</v>
      </c>
      <c r="M1067" s="113">
        <v>5773.6</v>
      </c>
      <c r="N1067" s="113">
        <v>0.47704999999999997</v>
      </c>
      <c r="O1067" s="114" t="s">
        <v>2778</v>
      </c>
    </row>
    <row r="1068" spans="1:15" x14ac:dyDescent="0.25">
      <c r="A1068" s="113" t="s">
        <v>54</v>
      </c>
      <c r="B1068" s="113" t="s">
        <v>47</v>
      </c>
      <c r="C1068" s="113">
        <v>0</v>
      </c>
      <c r="D1068" s="113">
        <v>3.3000999999999999E-4</v>
      </c>
      <c r="E1068" s="113">
        <v>0.01</v>
      </c>
      <c r="F1068" s="113" t="s">
        <v>13</v>
      </c>
      <c r="G1068" s="113" t="s">
        <v>11</v>
      </c>
      <c r="H1068" s="113">
        <v>0.01</v>
      </c>
      <c r="I1068" s="113">
        <v>2.001E-2</v>
      </c>
      <c r="J1068" s="113" t="s">
        <v>10</v>
      </c>
      <c r="K1068" s="113">
        <v>5802.6</v>
      </c>
      <c r="L1068" s="113">
        <v>-87896</v>
      </c>
      <c r="M1068" s="113">
        <v>5800</v>
      </c>
      <c r="N1068" s="113">
        <v>-87896</v>
      </c>
      <c r="O1068" s="114" t="s">
        <v>2324</v>
      </c>
    </row>
    <row r="1069" spans="1:15" x14ac:dyDescent="0.25">
      <c r="A1069" s="113" t="s">
        <v>54</v>
      </c>
      <c r="B1069" s="113" t="s">
        <v>47</v>
      </c>
      <c r="C1069" s="113">
        <v>0</v>
      </c>
      <c r="D1069" s="113">
        <v>3.3000999999999999E-4</v>
      </c>
      <c r="E1069" s="113">
        <v>0.01</v>
      </c>
      <c r="F1069" s="113" t="s">
        <v>13</v>
      </c>
      <c r="G1069" s="113" t="s">
        <v>11</v>
      </c>
      <c r="H1069" s="113">
        <v>10</v>
      </c>
      <c r="I1069" s="113">
        <v>30</v>
      </c>
      <c r="J1069" s="113" t="s">
        <v>10</v>
      </c>
      <c r="K1069" s="113">
        <v>5773.6</v>
      </c>
      <c r="L1069" s="113">
        <v>12.164999999999999</v>
      </c>
      <c r="M1069" s="113">
        <v>5773.5</v>
      </c>
      <c r="N1069" s="113">
        <v>12.09</v>
      </c>
      <c r="O1069" s="114" t="s">
        <v>2777</v>
      </c>
    </row>
    <row r="1070" spans="1:15" x14ac:dyDescent="0.25">
      <c r="A1070" s="113" t="s">
        <v>54</v>
      </c>
      <c r="B1070" s="113" t="s">
        <v>47</v>
      </c>
      <c r="C1070" s="113">
        <v>0</v>
      </c>
      <c r="D1070" s="113">
        <v>3.3000999999999999E-4</v>
      </c>
      <c r="E1070" s="113">
        <v>0.01</v>
      </c>
      <c r="F1070" s="113" t="s">
        <v>13</v>
      </c>
      <c r="G1070" s="113" t="s">
        <v>11</v>
      </c>
      <c r="H1070" s="113">
        <v>0.02</v>
      </c>
      <c r="I1070" s="113">
        <v>4.5010000000000001E-2</v>
      </c>
      <c r="J1070" s="113" t="s">
        <v>10</v>
      </c>
      <c r="K1070" s="113">
        <v>5773.6</v>
      </c>
      <c r="L1070" s="113">
        <v>0.16308</v>
      </c>
      <c r="M1070" s="113">
        <v>5773.6</v>
      </c>
      <c r="N1070" s="113">
        <v>0.12795999999999999</v>
      </c>
      <c r="O1070" s="114" t="s">
        <v>2325</v>
      </c>
    </row>
    <row r="1071" spans="1:15" x14ac:dyDescent="0.25">
      <c r="A1071" s="113" t="s">
        <v>54</v>
      </c>
      <c r="B1071" s="113" t="s">
        <v>47</v>
      </c>
      <c r="C1071" s="113">
        <v>0</v>
      </c>
      <c r="D1071" s="113">
        <v>3.3000999999999999E-4</v>
      </c>
      <c r="E1071" s="113">
        <v>0.01</v>
      </c>
      <c r="F1071" s="113" t="s">
        <v>13</v>
      </c>
      <c r="G1071" s="113" t="s">
        <v>11</v>
      </c>
      <c r="H1071" s="113">
        <v>4.4999999999999998E-2</v>
      </c>
      <c r="I1071" s="113">
        <v>1.0000100000000001</v>
      </c>
      <c r="J1071" s="113" t="s">
        <v>10</v>
      </c>
      <c r="K1071" s="113">
        <v>5773.6</v>
      </c>
      <c r="L1071" s="113">
        <v>0.12881000000000001</v>
      </c>
      <c r="M1071" s="113">
        <v>5773.6</v>
      </c>
      <c r="N1071" s="113">
        <v>9.3682000000000001E-2</v>
      </c>
      <c r="O1071" s="114" t="s">
        <v>2776</v>
      </c>
    </row>
    <row r="1072" spans="1:15" x14ac:dyDescent="0.25">
      <c r="A1072" s="113" t="s">
        <v>54</v>
      </c>
      <c r="B1072" s="113" t="s">
        <v>47</v>
      </c>
      <c r="C1072" s="113">
        <v>0</v>
      </c>
      <c r="D1072" s="113">
        <v>3.3000999999999999E-4</v>
      </c>
      <c r="E1072" s="113">
        <v>0.01</v>
      </c>
      <c r="F1072" s="113" t="s">
        <v>13</v>
      </c>
      <c r="G1072" s="113" t="s">
        <v>11</v>
      </c>
      <c r="H1072" s="113">
        <v>5</v>
      </c>
      <c r="I1072" s="113">
        <v>10.01</v>
      </c>
      <c r="J1072" s="113" t="s">
        <v>10</v>
      </c>
      <c r="K1072" s="113">
        <v>5773.6</v>
      </c>
      <c r="L1072" s="113">
        <v>3.0975999999999999</v>
      </c>
      <c r="M1072" s="113">
        <v>5773.5</v>
      </c>
      <c r="N1072" s="113">
        <v>3.0226000000000002</v>
      </c>
      <c r="O1072" s="114" t="s">
        <v>2323</v>
      </c>
    </row>
    <row r="1073" spans="1:15" x14ac:dyDescent="0.25">
      <c r="A1073" s="113" t="s">
        <v>54</v>
      </c>
      <c r="B1073" s="113" t="s">
        <v>47</v>
      </c>
      <c r="C1073" s="113">
        <v>0</v>
      </c>
      <c r="D1073" s="113">
        <v>3.3000999999999999E-4</v>
      </c>
      <c r="E1073" s="113">
        <v>0.1</v>
      </c>
      <c r="F1073" s="113" t="s">
        <v>13</v>
      </c>
      <c r="G1073" s="113" t="s">
        <v>11</v>
      </c>
      <c r="H1073" s="113">
        <v>1</v>
      </c>
      <c r="I1073" s="113">
        <v>5.01</v>
      </c>
      <c r="J1073" s="113" t="s">
        <v>10</v>
      </c>
      <c r="K1073" s="113">
        <v>57736</v>
      </c>
      <c r="L1073" s="113">
        <v>6.1755999999999998E-2</v>
      </c>
      <c r="M1073" s="113">
        <v>57736</v>
      </c>
      <c r="N1073" s="113">
        <v>4.7704999999999997E-2</v>
      </c>
      <c r="O1073" s="114" t="s">
        <v>2779</v>
      </c>
    </row>
    <row r="1074" spans="1:15" x14ac:dyDescent="0.25">
      <c r="A1074" s="113" t="s">
        <v>54</v>
      </c>
      <c r="B1074" s="113" t="s">
        <v>47</v>
      </c>
      <c r="C1074" s="113">
        <v>0</v>
      </c>
      <c r="D1074" s="113">
        <v>3.3000999999999999E-4</v>
      </c>
      <c r="E1074" s="113">
        <v>0.1</v>
      </c>
      <c r="F1074" s="113" t="s">
        <v>13</v>
      </c>
      <c r="G1074" s="113" t="s">
        <v>11</v>
      </c>
      <c r="H1074" s="113">
        <v>30</v>
      </c>
      <c r="I1074" s="113">
        <v>30.1</v>
      </c>
      <c r="J1074" s="113" t="s">
        <v>10</v>
      </c>
      <c r="K1074" s="113">
        <v>57736</v>
      </c>
      <c r="L1074" s="113">
        <v>1.2390000000000001</v>
      </c>
      <c r="M1074" s="113">
        <v>57735</v>
      </c>
      <c r="N1074" s="113">
        <v>1.2090000000000001</v>
      </c>
      <c r="O1074" s="114" t="s">
        <v>2330</v>
      </c>
    </row>
    <row r="1075" spans="1:15" x14ac:dyDescent="0.25">
      <c r="A1075" s="113" t="s">
        <v>54</v>
      </c>
      <c r="B1075" s="113" t="s">
        <v>47</v>
      </c>
      <c r="C1075" s="113">
        <v>0</v>
      </c>
      <c r="D1075" s="113">
        <v>3.3000999999999999E-4</v>
      </c>
      <c r="E1075" s="113">
        <v>0.1</v>
      </c>
      <c r="F1075" s="113" t="s">
        <v>13</v>
      </c>
      <c r="G1075" s="113" t="s">
        <v>11</v>
      </c>
      <c r="H1075" s="113">
        <v>0.01</v>
      </c>
      <c r="I1075" s="113">
        <v>2.001E-2</v>
      </c>
      <c r="J1075" s="113" t="s">
        <v>10</v>
      </c>
      <c r="K1075" s="113">
        <v>58026</v>
      </c>
      <c r="L1075" s="113">
        <v>-878960</v>
      </c>
      <c r="M1075" s="113">
        <v>58000</v>
      </c>
      <c r="N1075" s="113">
        <v>-878960</v>
      </c>
      <c r="O1075" s="114" t="s">
        <v>2327</v>
      </c>
    </row>
    <row r="1076" spans="1:15" x14ac:dyDescent="0.25">
      <c r="A1076" s="113" t="s">
        <v>54</v>
      </c>
      <c r="B1076" s="113" t="s">
        <v>47</v>
      </c>
      <c r="C1076" s="113">
        <v>0</v>
      </c>
      <c r="D1076" s="113">
        <v>3.3000999999999999E-4</v>
      </c>
      <c r="E1076" s="113">
        <v>0.1</v>
      </c>
      <c r="F1076" s="113" t="s">
        <v>13</v>
      </c>
      <c r="G1076" s="113" t="s">
        <v>11</v>
      </c>
      <c r="H1076" s="113">
        <v>10</v>
      </c>
      <c r="I1076" s="113">
        <v>30</v>
      </c>
      <c r="J1076" s="113" t="s">
        <v>10</v>
      </c>
      <c r="K1076" s="113">
        <v>57736</v>
      </c>
      <c r="L1076" s="113">
        <v>1.2390000000000001</v>
      </c>
      <c r="M1076" s="113">
        <v>57735</v>
      </c>
      <c r="N1076" s="113">
        <v>1.2090000000000001</v>
      </c>
      <c r="O1076" s="114" t="s">
        <v>2328</v>
      </c>
    </row>
    <row r="1077" spans="1:15" x14ac:dyDescent="0.25">
      <c r="A1077" s="113" t="s">
        <v>54</v>
      </c>
      <c r="B1077" s="113" t="s">
        <v>47</v>
      </c>
      <c r="C1077" s="113">
        <v>0</v>
      </c>
      <c r="D1077" s="113">
        <v>3.3000999999999999E-4</v>
      </c>
      <c r="E1077" s="113">
        <v>0.1</v>
      </c>
      <c r="F1077" s="113" t="s">
        <v>13</v>
      </c>
      <c r="G1077" s="113" t="s">
        <v>11</v>
      </c>
      <c r="H1077" s="113">
        <v>5</v>
      </c>
      <c r="I1077" s="113">
        <v>10.01</v>
      </c>
      <c r="J1077" s="113" t="s">
        <v>10</v>
      </c>
      <c r="K1077" s="113">
        <v>57736</v>
      </c>
      <c r="L1077" s="113">
        <v>0.33223999999999998</v>
      </c>
      <c r="M1077" s="113">
        <v>57736</v>
      </c>
      <c r="N1077" s="113">
        <v>0.30225999999999997</v>
      </c>
      <c r="O1077" s="114" t="s">
        <v>2329</v>
      </c>
    </row>
    <row r="1078" spans="1:15" x14ac:dyDescent="0.25">
      <c r="A1078" s="113" t="s">
        <v>54</v>
      </c>
      <c r="B1078" s="113" t="s">
        <v>47</v>
      </c>
      <c r="C1078" s="113">
        <v>0</v>
      </c>
      <c r="D1078" s="113">
        <v>3.3000999999999999E-4</v>
      </c>
      <c r="E1078" s="113">
        <v>0.1</v>
      </c>
      <c r="F1078" s="113" t="s">
        <v>13</v>
      </c>
      <c r="G1078" s="113" t="s">
        <v>11</v>
      </c>
      <c r="H1078" s="113">
        <v>4.4999999999999998E-2</v>
      </c>
      <c r="I1078" s="113">
        <v>1.0000100000000001</v>
      </c>
      <c r="J1078" s="113" t="s">
        <v>10</v>
      </c>
      <c r="K1078" s="113">
        <v>57736</v>
      </c>
      <c r="L1078" s="113">
        <v>2.342E-2</v>
      </c>
      <c r="M1078" s="113">
        <v>57736</v>
      </c>
      <c r="N1078" s="113">
        <v>9.3682000000000001E-3</v>
      </c>
      <c r="O1078" s="114" t="s">
        <v>2331</v>
      </c>
    </row>
    <row r="1079" spans="1:15" x14ac:dyDescent="0.25">
      <c r="A1079" s="113" t="s">
        <v>54</v>
      </c>
      <c r="B1079" s="113" t="s">
        <v>47</v>
      </c>
      <c r="C1079" s="113">
        <v>0</v>
      </c>
      <c r="D1079" s="113">
        <v>3.3000999999999999E-4</v>
      </c>
      <c r="E1079" s="113">
        <v>0.1</v>
      </c>
      <c r="F1079" s="113" t="s">
        <v>13</v>
      </c>
      <c r="G1079" s="113" t="s">
        <v>11</v>
      </c>
      <c r="H1079" s="113">
        <v>0.02</v>
      </c>
      <c r="I1079" s="113">
        <v>4.5010000000000001E-2</v>
      </c>
      <c r="J1079" s="113" t="s">
        <v>10</v>
      </c>
      <c r="K1079" s="113">
        <v>57736</v>
      </c>
      <c r="L1079" s="113">
        <v>2.6846999999999999E-2</v>
      </c>
      <c r="M1079" s="113">
        <v>57736</v>
      </c>
      <c r="N1079" s="113">
        <v>1.2796E-2</v>
      </c>
      <c r="O1079" s="114" t="s">
        <v>2332</v>
      </c>
    </row>
    <row r="1080" spans="1:15" x14ac:dyDescent="0.25">
      <c r="A1080" s="113" t="s">
        <v>54</v>
      </c>
      <c r="B1080" s="113" t="s">
        <v>47</v>
      </c>
      <c r="C1080" s="113">
        <v>0</v>
      </c>
      <c r="D1080" s="113">
        <v>3.3000999999999999E-4</v>
      </c>
      <c r="E1080" s="113">
        <v>1</v>
      </c>
      <c r="F1080" s="113" t="s">
        <v>13</v>
      </c>
      <c r="G1080" s="113" t="s">
        <v>11</v>
      </c>
      <c r="H1080" s="113">
        <v>4.4999999999999998E-2</v>
      </c>
      <c r="I1080" s="113">
        <v>1.0000100000000001</v>
      </c>
      <c r="J1080" s="113" t="s">
        <v>10</v>
      </c>
      <c r="K1080" s="113">
        <v>577360</v>
      </c>
      <c r="L1080" s="113">
        <v>6.5572E-3</v>
      </c>
      <c r="M1080" s="113">
        <v>577360</v>
      </c>
      <c r="N1080" s="113">
        <v>9.3674000000000003E-4</v>
      </c>
      <c r="O1080" s="114" t="s">
        <v>2338</v>
      </c>
    </row>
    <row r="1081" spans="1:15" x14ac:dyDescent="0.25">
      <c r="A1081" s="113" t="s">
        <v>54</v>
      </c>
      <c r="B1081" s="113" t="s">
        <v>47</v>
      </c>
      <c r="C1081" s="113">
        <v>0</v>
      </c>
      <c r="D1081" s="113">
        <v>3.3000999999999999E-4</v>
      </c>
      <c r="E1081" s="113">
        <v>1</v>
      </c>
      <c r="F1081" s="113" t="s">
        <v>13</v>
      </c>
      <c r="G1081" s="113" t="s">
        <v>11</v>
      </c>
      <c r="H1081" s="113">
        <v>5</v>
      </c>
      <c r="I1081" s="113">
        <v>10.01</v>
      </c>
      <c r="J1081" s="113" t="s">
        <v>10</v>
      </c>
      <c r="K1081" s="113">
        <v>577360</v>
      </c>
      <c r="L1081" s="113">
        <v>4.2220000000000001E-2</v>
      </c>
      <c r="M1081" s="113">
        <v>577360</v>
      </c>
      <c r="N1081" s="113">
        <v>3.0225999999999999E-2</v>
      </c>
      <c r="O1081" s="114" t="s">
        <v>2337</v>
      </c>
    </row>
    <row r="1082" spans="1:15" x14ac:dyDescent="0.25">
      <c r="A1082" s="113" t="s">
        <v>54</v>
      </c>
      <c r="B1082" s="113" t="s">
        <v>47</v>
      </c>
      <c r="C1082" s="113">
        <v>0</v>
      </c>
      <c r="D1082" s="113">
        <v>3.3000999999999999E-4</v>
      </c>
      <c r="E1082" s="113">
        <v>1</v>
      </c>
      <c r="F1082" s="113" t="s">
        <v>13</v>
      </c>
      <c r="G1082" s="113" t="s">
        <v>11</v>
      </c>
      <c r="H1082" s="113">
        <v>30</v>
      </c>
      <c r="I1082" s="113">
        <v>30.1</v>
      </c>
      <c r="J1082" s="113" t="s">
        <v>10</v>
      </c>
      <c r="K1082" s="113">
        <v>577360</v>
      </c>
      <c r="L1082" s="113">
        <v>0.13289999999999999</v>
      </c>
      <c r="M1082" s="113">
        <v>577360</v>
      </c>
      <c r="N1082" s="113">
        <v>0.12089999999999999</v>
      </c>
      <c r="O1082" s="114" t="s">
        <v>2336</v>
      </c>
    </row>
    <row r="1083" spans="1:15" x14ac:dyDescent="0.25">
      <c r="A1083" s="113" t="s">
        <v>54</v>
      </c>
      <c r="B1083" s="113" t="s">
        <v>47</v>
      </c>
      <c r="C1083" s="113">
        <v>0</v>
      </c>
      <c r="D1083" s="113">
        <v>3.3000999999999999E-4</v>
      </c>
      <c r="E1083" s="113">
        <v>1</v>
      </c>
      <c r="F1083" s="113" t="s">
        <v>13</v>
      </c>
      <c r="G1083" s="113" t="s">
        <v>11</v>
      </c>
      <c r="H1083" s="113">
        <v>10</v>
      </c>
      <c r="I1083" s="113">
        <v>30</v>
      </c>
      <c r="J1083" s="113" t="s">
        <v>10</v>
      </c>
      <c r="K1083" s="113">
        <v>577360</v>
      </c>
      <c r="L1083" s="113">
        <v>0.13289999999999999</v>
      </c>
      <c r="M1083" s="113">
        <v>577360</v>
      </c>
      <c r="N1083" s="113">
        <v>0.12089999999999999</v>
      </c>
      <c r="O1083" s="114" t="s">
        <v>2333</v>
      </c>
    </row>
    <row r="1084" spans="1:15" x14ac:dyDescent="0.25">
      <c r="A1084" s="113" t="s">
        <v>54</v>
      </c>
      <c r="B1084" s="113" t="s">
        <v>47</v>
      </c>
      <c r="C1084" s="113">
        <v>0</v>
      </c>
      <c r="D1084" s="113">
        <v>3.3000999999999999E-4</v>
      </c>
      <c r="E1084" s="113">
        <v>1</v>
      </c>
      <c r="F1084" s="113" t="s">
        <v>13</v>
      </c>
      <c r="G1084" s="113" t="s">
        <v>11</v>
      </c>
      <c r="H1084" s="113">
        <v>1</v>
      </c>
      <c r="I1084" s="113">
        <v>5.01</v>
      </c>
      <c r="J1084" s="113" t="s">
        <v>10</v>
      </c>
      <c r="K1084" s="113">
        <v>577360</v>
      </c>
      <c r="L1084" s="113">
        <v>1.0390999999999999E-2</v>
      </c>
      <c r="M1084" s="113">
        <v>577360</v>
      </c>
      <c r="N1084" s="113">
        <v>4.7702999999999999E-3</v>
      </c>
      <c r="O1084" s="114" t="s">
        <v>2335</v>
      </c>
    </row>
    <row r="1085" spans="1:15" x14ac:dyDescent="0.25">
      <c r="A1085" s="113" t="s">
        <v>54</v>
      </c>
      <c r="B1085" s="113" t="s">
        <v>47</v>
      </c>
      <c r="C1085" s="113">
        <v>0</v>
      </c>
      <c r="D1085" s="113">
        <v>3.3000999999999999E-4</v>
      </c>
      <c r="E1085" s="113">
        <v>1</v>
      </c>
      <c r="F1085" s="113" t="s">
        <v>13</v>
      </c>
      <c r="G1085" s="113" t="s">
        <v>11</v>
      </c>
      <c r="H1085" s="113">
        <v>0.02</v>
      </c>
      <c r="I1085" s="113">
        <v>4.5010000000000001E-2</v>
      </c>
      <c r="J1085" s="113" t="s">
        <v>10</v>
      </c>
      <c r="K1085" s="113">
        <v>577360</v>
      </c>
      <c r="L1085" s="113">
        <v>6.8998000000000002E-3</v>
      </c>
      <c r="M1085" s="113">
        <v>577360</v>
      </c>
      <c r="N1085" s="113">
        <v>1.2794E-3</v>
      </c>
      <c r="O1085" s="114" t="s">
        <v>2780</v>
      </c>
    </row>
    <row r="1086" spans="1:15" x14ac:dyDescent="0.25">
      <c r="A1086" s="113" t="s">
        <v>54</v>
      </c>
      <c r="B1086" s="113" t="s">
        <v>47</v>
      </c>
      <c r="C1086" s="113">
        <v>0</v>
      </c>
      <c r="D1086" s="113">
        <v>3.3000999999999999E-4</v>
      </c>
      <c r="E1086" s="113">
        <v>1</v>
      </c>
      <c r="F1086" s="113" t="s">
        <v>13</v>
      </c>
      <c r="G1086" s="113" t="s">
        <v>11</v>
      </c>
      <c r="H1086" s="113">
        <v>0.01</v>
      </c>
      <c r="I1086" s="113">
        <v>2.001E-2</v>
      </c>
      <c r="J1086" s="113" t="s">
        <v>10</v>
      </c>
      <c r="K1086" s="113">
        <v>580260</v>
      </c>
      <c r="L1086" s="113">
        <v>-8789600</v>
      </c>
      <c r="M1086" s="113">
        <v>580000</v>
      </c>
      <c r="N1086" s="113">
        <v>-8789600</v>
      </c>
      <c r="O1086" s="114" t="s">
        <v>2334</v>
      </c>
    </row>
    <row r="1087" spans="1:15" x14ac:dyDescent="0.25">
      <c r="A1087" s="113" t="s">
        <v>54</v>
      </c>
      <c r="B1087" s="113" t="s">
        <v>47</v>
      </c>
      <c r="C1087" s="113">
        <v>0</v>
      </c>
      <c r="D1087" s="113">
        <v>3.3000999999999999E-4</v>
      </c>
      <c r="E1087" s="113">
        <v>10</v>
      </c>
      <c r="F1087" s="113" t="s">
        <v>13</v>
      </c>
      <c r="G1087" s="113" t="s">
        <v>11</v>
      </c>
      <c r="H1087" s="113">
        <v>30</v>
      </c>
      <c r="I1087" s="113">
        <v>30.1</v>
      </c>
      <c r="J1087" s="113" t="s">
        <v>10</v>
      </c>
      <c r="K1087" s="113">
        <v>5773600</v>
      </c>
      <c r="L1087" s="113">
        <v>1.6888E-2</v>
      </c>
      <c r="M1087" s="113">
        <v>5773600</v>
      </c>
      <c r="N1087" s="113">
        <v>1.2089000000000001E-2</v>
      </c>
      <c r="O1087" s="114" t="s">
        <v>2782</v>
      </c>
    </row>
    <row r="1088" spans="1:15" x14ac:dyDescent="0.25">
      <c r="A1088" s="113" t="s">
        <v>54</v>
      </c>
      <c r="B1088" s="113" t="s">
        <v>47</v>
      </c>
      <c r="C1088" s="113">
        <v>0</v>
      </c>
      <c r="D1088" s="113">
        <v>3.3000999999999999E-4</v>
      </c>
      <c r="E1088" s="113">
        <v>10</v>
      </c>
      <c r="F1088" s="113" t="s">
        <v>13</v>
      </c>
      <c r="G1088" s="113" t="s">
        <v>11</v>
      </c>
      <c r="H1088" s="113">
        <v>10</v>
      </c>
      <c r="I1088" s="113">
        <v>30</v>
      </c>
      <c r="J1088" s="113" t="s">
        <v>10</v>
      </c>
      <c r="K1088" s="113">
        <v>5773600</v>
      </c>
      <c r="L1088" s="113">
        <v>1.6888E-2</v>
      </c>
      <c r="M1088" s="113">
        <v>5773600</v>
      </c>
      <c r="N1088" s="113">
        <v>1.2089000000000001E-2</v>
      </c>
      <c r="O1088" s="114" t="s">
        <v>2341</v>
      </c>
    </row>
    <row r="1089" spans="1:15" x14ac:dyDescent="0.25">
      <c r="A1089" s="113" t="s">
        <v>54</v>
      </c>
      <c r="B1089" s="113" t="s">
        <v>47</v>
      </c>
      <c r="C1089" s="113">
        <v>0</v>
      </c>
      <c r="D1089" s="113">
        <v>3.3000999999999999E-4</v>
      </c>
      <c r="E1089" s="113">
        <v>10</v>
      </c>
      <c r="F1089" s="113" t="s">
        <v>13</v>
      </c>
      <c r="G1089" s="113" t="s">
        <v>11</v>
      </c>
      <c r="H1089" s="113">
        <v>1</v>
      </c>
      <c r="I1089" s="113">
        <v>5.01</v>
      </c>
      <c r="J1089" s="113" t="s">
        <v>10</v>
      </c>
      <c r="K1089" s="113">
        <v>5773600</v>
      </c>
      <c r="L1089" s="113">
        <v>2.7258999999999999E-3</v>
      </c>
      <c r="M1089" s="113">
        <v>5773600</v>
      </c>
      <c r="N1089" s="113">
        <v>4.7648999999999999E-4</v>
      </c>
      <c r="O1089" s="114" t="s">
        <v>2340</v>
      </c>
    </row>
    <row r="1090" spans="1:15" x14ac:dyDescent="0.25">
      <c r="A1090" s="113" t="s">
        <v>54</v>
      </c>
      <c r="B1090" s="113" t="s">
        <v>47</v>
      </c>
      <c r="C1090" s="113">
        <v>0</v>
      </c>
      <c r="D1090" s="113">
        <v>3.3000999999999999E-4</v>
      </c>
      <c r="E1090" s="113">
        <v>10</v>
      </c>
      <c r="F1090" s="113" t="s">
        <v>13</v>
      </c>
      <c r="G1090" s="113" t="s">
        <v>11</v>
      </c>
      <c r="H1090" s="113">
        <v>0.02</v>
      </c>
      <c r="I1090" s="113">
        <v>4.5010000000000001E-2</v>
      </c>
      <c r="J1090" s="113" t="s">
        <v>10</v>
      </c>
      <c r="K1090" s="113">
        <v>5773600</v>
      </c>
      <c r="L1090" s="113">
        <v>2.3793999999999998E-3</v>
      </c>
      <c r="M1090" s="113">
        <v>5773600</v>
      </c>
      <c r="N1090" s="113">
        <v>1.2994999999999999E-4</v>
      </c>
      <c r="O1090" s="114" t="s">
        <v>2342</v>
      </c>
    </row>
    <row r="1091" spans="1:15" x14ac:dyDescent="0.25">
      <c r="A1091" s="113" t="s">
        <v>54</v>
      </c>
      <c r="B1091" s="113" t="s">
        <v>47</v>
      </c>
      <c r="C1091" s="113">
        <v>0</v>
      </c>
      <c r="D1091" s="113">
        <v>3.3000999999999999E-4</v>
      </c>
      <c r="E1091" s="113">
        <v>10</v>
      </c>
      <c r="F1091" s="113" t="s">
        <v>13</v>
      </c>
      <c r="G1091" s="113" t="s">
        <v>11</v>
      </c>
      <c r="H1091" s="113">
        <v>0.01</v>
      </c>
      <c r="I1091" s="113">
        <v>2.001E-2</v>
      </c>
      <c r="J1091" s="113" t="s">
        <v>10</v>
      </c>
      <c r="K1091" s="113">
        <v>5802600</v>
      </c>
      <c r="L1091" s="113">
        <v>-87896000</v>
      </c>
      <c r="M1091" s="113">
        <v>5800000</v>
      </c>
      <c r="N1091" s="113">
        <v>-87896000</v>
      </c>
      <c r="O1091" s="114" t="s">
        <v>2781</v>
      </c>
    </row>
    <row r="1092" spans="1:15" x14ac:dyDescent="0.25">
      <c r="A1092" s="113" t="s">
        <v>54</v>
      </c>
      <c r="B1092" s="113" t="s">
        <v>47</v>
      </c>
      <c r="C1092" s="113">
        <v>0</v>
      </c>
      <c r="D1092" s="113">
        <v>3.3000999999999999E-4</v>
      </c>
      <c r="E1092" s="113">
        <v>10</v>
      </c>
      <c r="F1092" s="113" t="s">
        <v>13</v>
      </c>
      <c r="G1092" s="113" t="s">
        <v>11</v>
      </c>
      <c r="H1092" s="113">
        <v>5</v>
      </c>
      <c r="I1092" s="113">
        <v>10.01</v>
      </c>
      <c r="J1092" s="113" t="s">
        <v>10</v>
      </c>
      <c r="K1092" s="113">
        <v>5773600</v>
      </c>
      <c r="L1092" s="113">
        <v>7.8188000000000007E-3</v>
      </c>
      <c r="M1092" s="113">
        <v>5773600</v>
      </c>
      <c r="N1092" s="113">
        <v>3.0228999999999998E-3</v>
      </c>
      <c r="O1092" s="114" t="s">
        <v>2783</v>
      </c>
    </row>
    <row r="1093" spans="1:15" x14ac:dyDescent="0.25">
      <c r="A1093" s="113" t="s">
        <v>54</v>
      </c>
      <c r="B1093" s="113" t="s">
        <v>47</v>
      </c>
      <c r="C1093" s="113">
        <v>0</v>
      </c>
      <c r="D1093" s="113">
        <v>3.3000999999999999E-4</v>
      </c>
      <c r="E1093" s="113">
        <v>10</v>
      </c>
      <c r="F1093" s="113" t="s">
        <v>13</v>
      </c>
      <c r="G1093" s="113" t="s">
        <v>11</v>
      </c>
      <c r="H1093" s="113">
        <v>4.4999999999999998E-2</v>
      </c>
      <c r="I1093" s="113">
        <v>1.0000100000000001</v>
      </c>
      <c r="J1093" s="113" t="s">
        <v>10</v>
      </c>
      <c r="K1093" s="113">
        <v>5773600</v>
      </c>
      <c r="L1093" s="113">
        <v>2.3422E-3</v>
      </c>
      <c r="M1093" s="113">
        <v>5773600</v>
      </c>
      <c r="N1093" s="113">
        <v>9.5916999999999997E-5</v>
      </c>
      <c r="O1093" s="114" t="s">
        <v>2339</v>
      </c>
    </row>
    <row r="1094" spans="1:15" x14ac:dyDescent="0.25">
      <c r="A1094" s="113" t="s">
        <v>54</v>
      </c>
      <c r="B1094" s="113" t="s">
        <v>47</v>
      </c>
      <c r="C1094" s="113">
        <v>3.3E-4</v>
      </c>
      <c r="D1094" s="113">
        <v>3.3000999999999998E-3</v>
      </c>
      <c r="E1094" s="113">
        <v>1E-8</v>
      </c>
      <c r="F1094" s="113" t="s">
        <v>13</v>
      </c>
      <c r="G1094" s="113" t="s">
        <v>11</v>
      </c>
      <c r="H1094" s="113">
        <v>1</v>
      </c>
      <c r="I1094" s="113">
        <v>5.01</v>
      </c>
      <c r="J1094" s="113" t="s">
        <v>10</v>
      </c>
      <c r="K1094" s="113">
        <v>0.27</v>
      </c>
      <c r="L1094" s="113">
        <v>2300</v>
      </c>
      <c r="M1094" s="113">
        <v>0.23111999999999999</v>
      </c>
      <c r="N1094" s="113">
        <v>2309.6999999999998</v>
      </c>
      <c r="O1094" s="114" t="s">
        <v>2786</v>
      </c>
    </row>
    <row r="1095" spans="1:15" x14ac:dyDescent="0.25">
      <c r="A1095" s="113" t="s">
        <v>54</v>
      </c>
      <c r="B1095" s="113" t="s">
        <v>47</v>
      </c>
      <c r="C1095" s="113">
        <v>3.3E-4</v>
      </c>
      <c r="D1095" s="113">
        <v>3.3000999999999998E-3</v>
      </c>
      <c r="E1095" s="113">
        <v>1E-8</v>
      </c>
      <c r="F1095" s="113" t="s">
        <v>13</v>
      </c>
      <c r="G1095" s="113" t="s">
        <v>11</v>
      </c>
      <c r="H1095" s="113">
        <v>0.02</v>
      </c>
      <c r="I1095" s="113">
        <v>4.5010000000000001E-2</v>
      </c>
      <c r="J1095" s="113" t="s">
        <v>10</v>
      </c>
      <c r="K1095" s="113">
        <v>0.32</v>
      </c>
      <c r="L1095" s="113">
        <v>1400</v>
      </c>
      <c r="M1095" s="113">
        <v>0.17327000000000001</v>
      </c>
      <c r="N1095" s="113">
        <v>1443.8</v>
      </c>
      <c r="O1095" s="114" t="s">
        <v>2345</v>
      </c>
    </row>
    <row r="1096" spans="1:15" x14ac:dyDescent="0.25">
      <c r="A1096" s="113" t="s">
        <v>54</v>
      </c>
      <c r="B1096" s="113" t="s">
        <v>47</v>
      </c>
      <c r="C1096" s="113">
        <v>3.3E-4</v>
      </c>
      <c r="D1096" s="113">
        <v>3.3000999999999998E-3</v>
      </c>
      <c r="E1096" s="113">
        <v>1E-8</v>
      </c>
      <c r="F1096" s="113" t="s">
        <v>13</v>
      </c>
      <c r="G1096" s="113" t="s">
        <v>11</v>
      </c>
      <c r="H1096" s="113">
        <v>0.01</v>
      </c>
      <c r="I1096" s="113">
        <v>2.001E-2</v>
      </c>
      <c r="J1096" s="113" t="s">
        <v>10</v>
      </c>
      <c r="K1096" s="113">
        <v>0.23</v>
      </c>
      <c r="L1096" s="113">
        <v>2300</v>
      </c>
      <c r="M1096" s="113">
        <v>0.17326</v>
      </c>
      <c r="N1096" s="113">
        <v>2315.4</v>
      </c>
      <c r="O1096" s="114" t="s">
        <v>2785</v>
      </c>
    </row>
    <row r="1097" spans="1:15" x14ac:dyDescent="0.25">
      <c r="A1097" s="113" t="s">
        <v>54</v>
      </c>
      <c r="B1097" s="113" t="s">
        <v>47</v>
      </c>
      <c r="C1097" s="113">
        <v>3.3E-4</v>
      </c>
      <c r="D1097" s="113">
        <v>3.3000999999999998E-3</v>
      </c>
      <c r="E1097" s="113">
        <v>1E-8</v>
      </c>
      <c r="F1097" s="113" t="s">
        <v>13</v>
      </c>
      <c r="G1097" s="113" t="s">
        <v>11</v>
      </c>
      <c r="H1097" s="113">
        <v>30</v>
      </c>
      <c r="I1097" s="113">
        <v>30.1</v>
      </c>
      <c r="J1097" s="113" t="s">
        <v>10</v>
      </c>
      <c r="K1097" s="113">
        <v>0.7</v>
      </c>
      <c r="L1097" s="113">
        <v>12000</v>
      </c>
      <c r="M1097" s="113">
        <v>0.69332000000000005</v>
      </c>
      <c r="N1097" s="113">
        <v>11547</v>
      </c>
      <c r="O1097" s="114" t="s">
        <v>2344</v>
      </c>
    </row>
    <row r="1098" spans="1:15" x14ac:dyDescent="0.25">
      <c r="A1098" s="113" t="s">
        <v>54</v>
      </c>
      <c r="B1098" s="113" t="s">
        <v>47</v>
      </c>
      <c r="C1098" s="113">
        <v>3.3E-4</v>
      </c>
      <c r="D1098" s="113">
        <v>3.3000999999999998E-3</v>
      </c>
      <c r="E1098" s="113">
        <v>1E-8</v>
      </c>
      <c r="F1098" s="113" t="s">
        <v>13</v>
      </c>
      <c r="G1098" s="113" t="s">
        <v>11</v>
      </c>
      <c r="H1098" s="113">
        <v>10</v>
      </c>
      <c r="I1098" s="113">
        <v>30</v>
      </c>
      <c r="J1098" s="113" t="s">
        <v>10</v>
      </c>
      <c r="K1098" s="113">
        <v>0.7</v>
      </c>
      <c r="L1098" s="113">
        <v>12000</v>
      </c>
      <c r="M1098" s="113">
        <v>0.69332000000000005</v>
      </c>
      <c r="N1098" s="113">
        <v>11547</v>
      </c>
      <c r="O1098" s="114" t="s">
        <v>2346</v>
      </c>
    </row>
    <row r="1099" spans="1:15" x14ac:dyDescent="0.25">
      <c r="A1099" s="113" t="s">
        <v>54</v>
      </c>
      <c r="B1099" s="113" t="s">
        <v>47</v>
      </c>
      <c r="C1099" s="113">
        <v>3.3E-4</v>
      </c>
      <c r="D1099" s="113">
        <v>3.3000999999999998E-3</v>
      </c>
      <c r="E1099" s="113">
        <v>1E-8</v>
      </c>
      <c r="F1099" s="113" t="s">
        <v>13</v>
      </c>
      <c r="G1099" s="113" t="s">
        <v>11</v>
      </c>
      <c r="H1099" s="113">
        <v>4.4999999999999998E-2</v>
      </c>
      <c r="I1099" s="113">
        <v>1.0000100000000001</v>
      </c>
      <c r="J1099" s="113" t="s">
        <v>10</v>
      </c>
      <c r="K1099" s="113">
        <v>0.18</v>
      </c>
      <c r="L1099" s="113">
        <v>1200</v>
      </c>
      <c r="M1099" s="113">
        <v>0.17374999999999999</v>
      </c>
      <c r="N1099" s="113">
        <v>1155.2</v>
      </c>
      <c r="O1099" s="114" t="s">
        <v>2784</v>
      </c>
    </row>
    <row r="1100" spans="1:15" x14ac:dyDescent="0.25">
      <c r="A1100" s="113" t="s">
        <v>54</v>
      </c>
      <c r="B1100" s="113" t="s">
        <v>47</v>
      </c>
      <c r="C1100" s="113">
        <v>3.3E-4</v>
      </c>
      <c r="D1100" s="113">
        <v>3.3000999999999998E-3</v>
      </c>
      <c r="E1100" s="113">
        <v>1E-8</v>
      </c>
      <c r="F1100" s="113" t="s">
        <v>13</v>
      </c>
      <c r="G1100" s="113" t="s">
        <v>11</v>
      </c>
      <c r="H1100" s="113">
        <v>5</v>
      </c>
      <c r="I1100" s="113">
        <v>10.01</v>
      </c>
      <c r="J1100" s="113" t="s">
        <v>10</v>
      </c>
      <c r="K1100" s="113">
        <v>0.35</v>
      </c>
      <c r="L1100" s="113">
        <v>5800</v>
      </c>
      <c r="M1100" s="113">
        <v>0.34654000000000001</v>
      </c>
      <c r="N1100" s="113">
        <v>5773.6</v>
      </c>
      <c r="O1100" s="114" t="s">
        <v>2343</v>
      </c>
    </row>
    <row r="1101" spans="1:15" x14ac:dyDescent="0.25">
      <c r="A1101" s="113" t="s">
        <v>54</v>
      </c>
      <c r="B1101" s="113" t="s">
        <v>47</v>
      </c>
      <c r="C1101" s="113">
        <v>3.3E-4</v>
      </c>
      <c r="D1101" s="113">
        <v>3.3000999999999998E-3</v>
      </c>
      <c r="E1101" s="113">
        <v>9.9999999999999995E-8</v>
      </c>
      <c r="F1101" s="113" t="s">
        <v>13</v>
      </c>
      <c r="G1101" s="113" t="s">
        <v>11</v>
      </c>
      <c r="H1101" s="113">
        <v>4.4999999999999998E-2</v>
      </c>
      <c r="I1101" s="113">
        <v>1.0000100000000001</v>
      </c>
      <c r="J1101" s="113" t="s">
        <v>10</v>
      </c>
      <c r="K1101" s="113">
        <v>0.18</v>
      </c>
      <c r="L1101" s="113">
        <v>1200</v>
      </c>
      <c r="M1101" s="113">
        <v>0.17651</v>
      </c>
      <c r="N1101" s="113">
        <v>1154.4000000000001</v>
      </c>
      <c r="O1101" s="114" t="s">
        <v>2349</v>
      </c>
    </row>
    <row r="1102" spans="1:15" x14ac:dyDescent="0.25">
      <c r="A1102" s="113" t="s">
        <v>54</v>
      </c>
      <c r="B1102" s="113" t="s">
        <v>47</v>
      </c>
      <c r="C1102" s="113">
        <v>3.3E-4</v>
      </c>
      <c r="D1102" s="113">
        <v>3.3000999999999998E-3</v>
      </c>
      <c r="E1102" s="113">
        <v>9.9999999999999995E-8</v>
      </c>
      <c r="F1102" s="113" t="s">
        <v>13</v>
      </c>
      <c r="G1102" s="113" t="s">
        <v>11</v>
      </c>
      <c r="H1102" s="113">
        <v>30</v>
      </c>
      <c r="I1102" s="113">
        <v>30.1</v>
      </c>
      <c r="J1102" s="113" t="s">
        <v>10</v>
      </c>
      <c r="K1102" s="113">
        <v>0.7</v>
      </c>
      <c r="L1102" s="113">
        <v>12000</v>
      </c>
      <c r="M1102" s="113">
        <v>0.69338999999999995</v>
      </c>
      <c r="N1102" s="113">
        <v>11547</v>
      </c>
      <c r="O1102" s="114" t="s">
        <v>2787</v>
      </c>
    </row>
    <row r="1103" spans="1:15" x14ac:dyDescent="0.25">
      <c r="A1103" s="113" t="s">
        <v>54</v>
      </c>
      <c r="B1103" s="113" t="s">
        <v>47</v>
      </c>
      <c r="C1103" s="113">
        <v>3.3E-4</v>
      </c>
      <c r="D1103" s="113">
        <v>3.3000999999999998E-3</v>
      </c>
      <c r="E1103" s="113">
        <v>9.9999999999999995E-8</v>
      </c>
      <c r="F1103" s="113" t="s">
        <v>13</v>
      </c>
      <c r="G1103" s="113" t="s">
        <v>11</v>
      </c>
      <c r="H1103" s="113">
        <v>0.01</v>
      </c>
      <c r="I1103" s="113">
        <v>2.001E-2</v>
      </c>
      <c r="J1103" s="113" t="s">
        <v>10</v>
      </c>
      <c r="K1103" s="113">
        <v>0.23</v>
      </c>
      <c r="L1103" s="113">
        <v>2300</v>
      </c>
      <c r="M1103" s="113">
        <v>0.17480999999999999</v>
      </c>
      <c r="N1103" s="113">
        <v>2314.9</v>
      </c>
      <c r="O1103" s="114" t="s">
        <v>2350</v>
      </c>
    </row>
    <row r="1104" spans="1:15" x14ac:dyDescent="0.25">
      <c r="A1104" s="113" t="s">
        <v>54</v>
      </c>
      <c r="B1104" s="113" t="s">
        <v>47</v>
      </c>
      <c r="C1104" s="113">
        <v>3.3E-4</v>
      </c>
      <c r="D1104" s="113">
        <v>3.3000999999999998E-3</v>
      </c>
      <c r="E1104" s="113">
        <v>9.9999999999999995E-8</v>
      </c>
      <c r="F1104" s="113" t="s">
        <v>13</v>
      </c>
      <c r="G1104" s="113" t="s">
        <v>11</v>
      </c>
      <c r="H1104" s="113">
        <v>0.02</v>
      </c>
      <c r="I1104" s="113">
        <v>4.5010000000000001E-2</v>
      </c>
      <c r="J1104" s="113" t="s">
        <v>10</v>
      </c>
      <c r="K1104" s="113">
        <v>0.32</v>
      </c>
      <c r="L1104" s="113">
        <v>1400</v>
      </c>
      <c r="M1104" s="113">
        <v>0.17604</v>
      </c>
      <c r="N1104" s="113">
        <v>1443.1</v>
      </c>
      <c r="O1104" s="114" t="s">
        <v>2352</v>
      </c>
    </row>
    <row r="1105" spans="1:15" x14ac:dyDescent="0.25">
      <c r="A1105" s="113" t="s">
        <v>54</v>
      </c>
      <c r="B1105" s="113" t="s">
        <v>47</v>
      </c>
      <c r="C1105" s="113">
        <v>3.3E-4</v>
      </c>
      <c r="D1105" s="113">
        <v>3.3000999999999998E-3</v>
      </c>
      <c r="E1105" s="113">
        <v>9.9999999999999995E-8</v>
      </c>
      <c r="F1105" s="113" t="s">
        <v>13</v>
      </c>
      <c r="G1105" s="113" t="s">
        <v>11</v>
      </c>
      <c r="H1105" s="113">
        <v>10</v>
      </c>
      <c r="I1105" s="113">
        <v>30</v>
      </c>
      <c r="J1105" s="113" t="s">
        <v>10</v>
      </c>
      <c r="K1105" s="113">
        <v>0.7</v>
      </c>
      <c r="L1105" s="113">
        <v>12000</v>
      </c>
      <c r="M1105" s="113">
        <v>0.69338999999999995</v>
      </c>
      <c r="N1105" s="113">
        <v>11547</v>
      </c>
      <c r="O1105" s="114" t="s">
        <v>2347</v>
      </c>
    </row>
    <row r="1106" spans="1:15" x14ac:dyDescent="0.25">
      <c r="A1106" s="113" t="s">
        <v>54</v>
      </c>
      <c r="B1106" s="113" t="s">
        <v>47</v>
      </c>
      <c r="C1106" s="113">
        <v>3.3E-4</v>
      </c>
      <c r="D1106" s="113">
        <v>3.3000999999999998E-3</v>
      </c>
      <c r="E1106" s="113">
        <v>9.9999999999999995E-8</v>
      </c>
      <c r="F1106" s="113" t="s">
        <v>13</v>
      </c>
      <c r="G1106" s="113" t="s">
        <v>11</v>
      </c>
      <c r="H1106" s="113">
        <v>1</v>
      </c>
      <c r="I1106" s="113">
        <v>5.01</v>
      </c>
      <c r="J1106" s="113" t="s">
        <v>10</v>
      </c>
      <c r="K1106" s="113">
        <v>0.27</v>
      </c>
      <c r="L1106" s="113">
        <v>2300</v>
      </c>
      <c r="M1106" s="113">
        <v>0.23280000000000001</v>
      </c>
      <c r="N1106" s="113">
        <v>2309.1999999999998</v>
      </c>
      <c r="O1106" s="114" t="s">
        <v>2351</v>
      </c>
    </row>
    <row r="1107" spans="1:15" x14ac:dyDescent="0.25">
      <c r="A1107" s="113" t="s">
        <v>54</v>
      </c>
      <c r="B1107" s="113" t="s">
        <v>47</v>
      </c>
      <c r="C1107" s="113">
        <v>3.3E-4</v>
      </c>
      <c r="D1107" s="113">
        <v>3.3000999999999998E-3</v>
      </c>
      <c r="E1107" s="113">
        <v>9.9999999999999995E-8</v>
      </c>
      <c r="F1107" s="113" t="s">
        <v>13</v>
      </c>
      <c r="G1107" s="113" t="s">
        <v>11</v>
      </c>
      <c r="H1107" s="113">
        <v>5</v>
      </c>
      <c r="I1107" s="113">
        <v>10.01</v>
      </c>
      <c r="J1107" s="113" t="s">
        <v>10</v>
      </c>
      <c r="K1107" s="113">
        <v>0.35</v>
      </c>
      <c r="L1107" s="113">
        <v>5800</v>
      </c>
      <c r="M1107" s="113">
        <v>0.34723999999999999</v>
      </c>
      <c r="N1107" s="113">
        <v>5773.4</v>
      </c>
      <c r="O1107" s="114" t="s">
        <v>2348</v>
      </c>
    </row>
    <row r="1108" spans="1:15" x14ac:dyDescent="0.25">
      <c r="A1108" s="113" t="s">
        <v>54</v>
      </c>
      <c r="B1108" s="113" t="s">
        <v>47</v>
      </c>
      <c r="C1108" s="113">
        <v>3.3E-4</v>
      </c>
      <c r="D1108" s="113">
        <v>3.3000999999999998E-3</v>
      </c>
      <c r="E1108" s="113">
        <v>9.9999999999999995E-7</v>
      </c>
      <c r="F1108" s="113" t="s">
        <v>13</v>
      </c>
      <c r="G1108" s="113" t="s">
        <v>11</v>
      </c>
      <c r="H1108" s="113">
        <v>5</v>
      </c>
      <c r="I1108" s="113">
        <v>10.01</v>
      </c>
      <c r="J1108" s="113" t="s">
        <v>10</v>
      </c>
      <c r="K1108" s="113">
        <v>0.41769000000000001</v>
      </c>
      <c r="L1108" s="113">
        <v>5779.5</v>
      </c>
      <c r="M1108" s="113">
        <v>0.4264</v>
      </c>
      <c r="N1108" s="113">
        <v>5752</v>
      </c>
      <c r="O1108" s="114" t="s">
        <v>2357</v>
      </c>
    </row>
    <row r="1109" spans="1:15" x14ac:dyDescent="0.25">
      <c r="A1109" s="113" t="s">
        <v>54</v>
      </c>
      <c r="B1109" s="113" t="s">
        <v>47</v>
      </c>
      <c r="C1109" s="113">
        <v>3.3E-4</v>
      </c>
      <c r="D1109" s="113">
        <v>3.3000999999999998E-3</v>
      </c>
      <c r="E1109" s="113">
        <v>9.9999999999999995E-7</v>
      </c>
      <c r="F1109" s="113" t="s">
        <v>13</v>
      </c>
      <c r="G1109" s="113" t="s">
        <v>11</v>
      </c>
      <c r="H1109" s="113">
        <v>0.01</v>
      </c>
      <c r="I1109" s="113">
        <v>2.001E-2</v>
      </c>
      <c r="J1109" s="113" t="s">
        <v>10</v>
      </c>
      <c r="K1109" s="113">
        <v>0.35293999999999998</v>
      </c>
      <c r="L1109" s="113">
        <v>2267.3000000000002</v>
      </c>
      <c r="M1109" s="113">
        <v>0.35227000000000003</v>
      </c>
      <c r="N1109" s="113">
        <v>2267.5</v>
      </c>
      <c r="O1109" s="114" t="s">
        <v>2788</v>
      </c>
    </row>
    <row r="1110" spans="1:15" x14ac:dyDescent="0.25">
      <c r="A1110" s="113" t="s">
        <v>54</v>
      </c>
      <c r="B1110" s="113" t="s">
        <v>47</v>
      </c>
      <c r="C1110" s="113">
        <v>3.3E-4</v>
      </c>
      <c r="D1110" s="113">
        <v>3.3000999999999998E-3</v>
      </c>
      <c r="E1110" s="113">
        <v>9.9999999999999995E-7</v>
      </c>
      <c r="F1110" s="113" t="s">
        <v>13</v>
      </c>
      <c r="G1110" s="113" t="s">
        <v>11</v>
      </c>
      <c r="H1110" s="113">
        <v>30</v>
      </c>
      <c r="I1110" s="113">
        <v>30.1</v>
      </c>
      <c r="J1110" s="113" t="s">
        <v>10</v>
      </c>
      <c r="K1110" s="113">
        <v>0.7</v>
      </c>
      <c r="L1110" s="113">
        <v>12000</v>
      </c>
      <c r="M1110" s="113">
        <v>0.7339</v>
      </c>
      <c r="N1110" s="113">
        <v>11536</v>
      </c>
      <c r="O1110" s="114" t="s">
        <v>2356</v>
      </c>
    </row>
    <row r="1111" spans="1:15" x14ac:dyDescent="0.25">
      <c r="A1111" s="113" t="s">
        <v>54</v>
      </c>
      <c r="B1111" s="113" t="s">
        <v>47</v>
      </c>
      <c r="C1111" s="113">
        <v>3.3E-4</v>
      </c>
      <c r="D1111" s="113">
        <v>3.3000999999999998E-3</v>
      </c>
      <c r="E1111" s="113">
        <v>9.9999999999999995E-7</v>
      </c>
      <c r="F1111" s="113" t="s">
        <v>13</v>
      </c>
      <c r="G1111" s="113" t="s">
        <v>11</v>
      </c>
      <c r="H1111" s="113">
        <v>10</v>
      </c>
      <c r="I1111" s="113">
        <v>30</v>
      </c>
      <c r="J1111" s="113" t="s">
        <v>10</v>
      </c>
      <c r="K1111" s="113">
        <v>0.7</v>
      </c>
      <c r="L1111" s="113">
        <v>12000</v>
      </c>
      <c r="M1111" s="113">
        <v>0.7339</v>
      </c>
      <c r="N1111" s="113">
        <v>11536</v>
      </c>
      <c r="O1111" s="114" t="s">
        <v>2354</v>
      </c>
    </row>
    <row r="1112" spans="1:15" x14ac:dyDescent="0.25">
      <c r="A1112" s="113" t="s">
        <v>54</v>
      </c>
      <c r="B1112" s="113" t="s">
        <v>47</v>
      </c>
      <c r="C1112" s="113">
        <v>3.3E-4</v>
      </c>
      <c r="D1112" s="113">
        <v>3.3000999999999998E-3</v>
      </c>
      <c r="E1112" s="113">
        <v>9.9999999999999995E-7</v>
      </c>
      <c r="F1112" s="113" t="s">
        <v>13</v>
      </c>
      <c r="G1112" s="113" t="s">
        <v>11</v>
      </c>
      <c r="H1112" s="113">
        <v>0.02</v>
      </c>
      <c r="I1112" s="113">
        <v>4.5010000000000001E-2</v>
      </c>
      <c r="J1112" s="113" t="s">
        <v>10</v>
      </c>
      <c r="K1112" s="113">
        <v>0.41399000000000002</v>
      </c>
      <c r="L1112" s="113">
        <v>1381.1</v>
      </c>
      <c r="M1112" s="113">
        <v>0.41349000000000002</v>
      </c>
      <c r="N1112" s="113">
        <v>1381.2</v>
      </c>
      <c r="O1112" s="114" t="s">
        <v>2355</v>
      </c>
    </row>
    <row r="1113" spans="1:15" x14ac:dyDescent="0.25">
      <c r="A1113" s="113" t="s">
        <v>54</v>
      </c>
      <c r="B1113" s="113" t="s">
        <v>47</v>
      </c>
      <c r="C1113" s="113">
        <v>3.3E-4</v>
      </c>
      <c r="D1113" s="113">
        <v>3.3000999999999998E-3</v>
      </c>
      <c r="E1113" s="113">
        <v>9.9999999999999995E-7</v>
      </c>
      <c r="F1113" s="113" t="s">
        <v>13</v>
      </c>
      <c r="G1113" s="113" t="s">
        <v>11</v>
      </c>
      <c r="H1113" s="113">
        <v>1</v>
      </c>
      <c r="I1113" s="113">
        <v>5.01</v>
      </c>
      <c r="J1113" s="113" t="s">
        <v>10</v>
      </c>
      <c r="K1113" s="113">
        <v>0.40200999999999998</v>
      </c>
      <c r="L1113" s="113">
        <v>2264.3000000000002</v>
      </c>
      <c r="M1113" s="113">
        <v>0.40155999999999997</v>
      </c>
      <c r="N1113" s="113">
        <v>2264.4</v>
      </c>
      <c r="O1113" s="114" t="s">
        <v>2358</v>
      </c>
    </row>
    <row r="1114" spans="1:15" x14ac:dyDescent="0.25">
      <c r="A1114" s="113" t="s">
        <v>54</v>
      </c>
      <c r="B1114" s="113" t="s">
        <v>47</v>
      </c>
      <c r="C1114" s="113">
        <v>3.3E-4</v>
      </c>
      <c r="D1114" s="113">
        <v>3.3000999999999998E-3</v>
      </c>
      <c r="E1114" s="113">
        <v>9.9999999999999995E-7</v>
      </c>
      <c r="F1114" s="113" t="s">
        <v>13</v>
      </c>
      <c r="G1114" s="113" t="s">
        <v>11</v>
      </c>
      <c r="H1114" s="113">
        <v>4.4999999999999998E-2</v>
      </c>
      <c r="I1114" s="113">
        <v>1.0000100000000001</v>
      </c>
      <c r="J1114" s="113" t="s">
        <v>10</v>
      </c>
      <c r="K1114" s="113">
        <v>0.43013000000000001</v>
      </c>
      <c r="L1114" s="113">
        <v>1124.2</v>
      </c>
      <c r="M1114" s="113">
        <v>0.44201000000000001</v>
      </c>
      <c r="N1114" s="113">
        <v>1086.4000000000001</v>
      </c>
      <c r="O1114" s="114" t="s">
        <v>2353</v>
      </c>
    </row>
    <row r="1115" spans="1:15" x14ac:dyDescent="0.25">
      <c r="A1115" s="113" t="s">
        <v>54</v>
      </c>
      <c r="B1115" s="113" t="s">
        <v>47</v>
      </c>
      <c r="C1115" s="113">
        <v>3.3E-4</v>
      </c>
      <c r="D1115" s="113">
        <v>3.3000999999999998E-3</v>
      </c>
      <c r="E1115" s="113">
        <v>1.0000000000000001E-5</v>
      </c>
      <c r="F1115" s="113" t="s">
        <v>13</v>
      </c>
      <c r="G1115" s="113" t="s">
        <v>11</v>
      </c>
      <c r="H1115" s="113">
        <v>0.02</v>
      </c>
      <c r="I1115" s="113">
        <v>4.5010000000000001E-2</v>
      </c>
      <c r="J1115" s="113" t="s">
        <v>10</v>
      </c>
      <c r="K1115" s="113">
        <v>5.6117999999999997</v>
      </c>
      <c r="L1115" s="113">
        <v>601.75</v>
      </c>
      <c r="M1115" s="113">
        <v>5.6113999999999997</v>
      </c>
      <c r="N1115" s="113">
        <v>601.72</v>
      </c>
      <c r="O1115" s="114" t="s">
        <v>2361</v>
      </c>
    </row>
    <row r="1116" spans="1:15" x14ac:dyDescent="0.25">
      <c r="A1116" s="113" t="s">
        <v>54</v>
      </c>
      <c r="B1116" s="113" t="s">
        <v>47</v>
      </c>
      <c r="C1116" s="113">
        <v>3.3E-4</v>
      </c>
      <c r="D1116" s="113">
        <v>3.3000999999999998E-3</v>
      </c>
      <c r="E1116" s="113">
        <v>1.0000000000000001E-5</v>
      </c>
      <c r="F1116" s="113" t="s">
        <v>13</v>
      </c>
      <c r="G1116" s="113" t="s">
        <v>11</v>
      </c>
      <c r="H1116" s="113">
        <v>1</v>
      </c>
      <c r="I1116" s="113">
        <v>5.01</v>
      </c>
      <c r="J1116" s="113" t="s">
        <v>10</v>
      </c>
      <c r="K1116" s="113">
        <v>5.4265999999999996</v>
      </c>
      <c r="L1116" s="113">
        <v>1309.3</v>
      </c>
      <c r="M1116" s="113">
        <v>5.4263000000000003</v>
      </c>
      <c r="N1116" s="113">
        <v>1309.3</v>
      </c>
      <c r="O1116" s="114" t="s">
        <v>2791</v>
      </c>
    </row>
    <row r="1117" spans="1:15" x14ac:dyDescent="0.25">
      <c r="A1117" s="113" t="s">
        <v>54</v>
      </c>
      <c r="B1117" s="113" t="s">
        <v>47</v>
      </c>
      <c r="C1117" s="113">
        <v>3.3E-4</v>
      </c>
      <c r="D1117" s="113">
        <v>3.3000999999999998E-3</v>
      </c>
      <c r="E1117" s="113">
        <v>1.0000000000000001E-5</v>
      </c>
      <c r="F1117" s="113" t="s">
        <v>13</v>
      </c>
      <c r="G1117" s="113" t="s">
        <v>11</v>
      </c>
      <c r="H1117" s="113">
        <v>4.4999999999999998E-2</v>
      </c>
      <c r="I1117" s="113">
        <v>1.0000100000000001</v>
      </c>
      <c r="J1117" s="113" t="s">
        <v>10</v>
      </c>
      <c r="K1117" s="113">
        <v>5.6654</v>
      </c>
      <c r="L1117" s="113">
        <v>409.29</v>
      </c>
      <c r="M1117" s="113">
        <v>5.6650999999999998</v>
      </c>
      <c r="N1117" s="113">
        <v>409.25</v>
      </c>
      <c r="O1117" s="114" t="s">
        <v>2359</v>
      </c>
    </row>
    <row r="1118" spans="1:15" x14ac:dyDescent="0.25">
      <c r="A1118" s="113" t="s">
        <v>54</v>
      </c>
      <c r="B1118" s="113" t="s">
        <v>47</v>
      </c>
      <c r="C1118" s="113">
        <v>3.3E-4</v>
      </c>
      <c r="D1118" s="113">
        <v>3.3000999999999998E-3</v>
      </c>
      <c r="E1118" s="113">
        <v>1.0000000000000001E-5</v>
      </c>
      <c r="F1118" s="113" t="s">
        <v>13</v>
      </c>
      <c r="G1118" s="113" t="s">
        <v>11</v>
      </c>
      <c r="H1118" s="113">
        <v>10</v>
      </c>
      <c r="I1118" s="113">
        <v>30</v>
      </c>
      <c r="J1118" s="113" t="s">
        <v>10</v>
      </c>
      <c r="K1118" s="113">
        <v>3.6591999999999998</v>
      </c>
      <c r="L1118" s="113">
        <v>11103</v>
      </c>
      <c r="M1118" s="113">
        <v>3.7772999999999999</v>
      </c>
      <c r="N1118" s="113">
        <v>10742</v>
      </c>
      <c r="O1118" s="114" t="s">
        <v>2362</v>
      </c>
    </row>
    <row r="1119" spans="1:15" x14ac:dyDescent="0.25">
      <c r="A1119" s="113" t="s">
        <v>54</v>
      </c>
      <c r="B1119" s="113" t="s">
        <v>47</v>
      </c>
      <c r="C1119" s="113">
        <v>3.3E-4</v>
      </c>
      <c r="D1119" s="113">
        <v>3.3000999999999998E-3</v>
      </c>
      <c r="E1119" s="113">
        <v>1.0000000000000001E-5</v>
      </c>
      <c r="F1119" s="113" t="s">
        <v>13</v>
      </c>
      <c r="G1119" s="113" t="s">
        <v>11</v>
      </c>
      <c r="H1119" s="113">
        <v>30</v>
      </c>
      <c r="I1119" s="113">
        <v>30.1</v>
      </c>
      <c r="J1119" s="113" t="s">
        <v>10</v>
      </c>
      <c r="K1119" s="113">
        <v>3.6591999999999998</v>
      </c>
      <c r="L1119" s="113">
        <v>11103</v>
      </c>
      <c r="M1119" s="113">
        <v>3.7772999999999999</v>
      </c>
      <c r="N1119" s="113">
        <v>10742</v>
      </c>
      <c r="O1119" s="114" t="s">
        <v>2790</v>
      </c>
    </row>
    <row r="1120" spans="1:15" x14ac:dyDescent="0.25">
      <c r="A1120" s="113" t="s">
        <v>54</v>
      </c>
      <c r="B1120" s="113" t="s">
        <v>47</v>
      </c>
      <c r="C1120" s="113">
        <v>3.3E-4</v>
      </c>
      <c r="D1120" s="113">
        <v>3.3000999999999998E-3</v>
      </c>
      <c r="E1120" s="113">
        <v>1.0000000000000001E-5</v>
      </c>
      <c r="F1120" s="113" t="s">
        <v>13</v>
      </c>
      <c r="G1120" s="113" t="s">
        <v>11</v>
      </c>
      <c r="H1120" s="113">
        <v>0.01</v>
      </c>
      <c r="I1120" s="113">
        <v>2.001E-2</v>
      </c>
      <c r="J1120" s="113" t="s">
        <v>10</v>
      </c>
      <c r="K1120" s="113">
        <v>5.4199000000000002</v>
      </c>
      <c r="L1120" s="113">
        <v>1301.8</v>
      </c>
      <c r="M1120" s="113">
        <v>5.4195000000000002</v>
      </c>
      <c r="N1120" s="113">
        <v>1301.8</v>
      </c>
      <c r="O1120" s="114" t="s">
        <v>2360</v>
      </c>
    </row>
    <row r="1121" spans="1:15" x14ac:dyDescent="0.25">
      <c r="A1121" s="113" t="s">
        <v>54</v>
      </c>
      <c r="B1121" s="113" t="s">
        <v>47</v>
      </c>
      <c r="C1121" s="113">
        <v>3.3E-4</v>
      </c>
      <c r="D1121" s="113">
        <v>3.3000999999999998E-3</v>
      </c>
      <c r="E1121" s="113">
        <v>1.0000000000000001E-5</v>
      </c>
      <c r="F1121" s="113" t="s">
        <v>13</v>
      </c>
      <c r="G1121" s="113" t="s">
        <v>11</v>
      </c>
      <c r="H1121" s="113">
        <v>5</v>
      </c>
      <c r="I1121" s="113">
        <v>10.01</v>
      </c>
      <c r="J1121" s="113" t="s">
        <v>10</v>
      </c>
      <c r="K1121" s="113">
        <v>4.6372999999999998</v>
      </c>
      <c r="L1121" s="113">
        <v>4728.3</v>
      </c>
      <c r="M1121" s="113">
        <v>4.6368999999999998</v>
      </c>
      <c r="N1121" s="113">
        <v>4728.3</v>
      </c>
      <c r="O1121" s="114" t="s">
        <v>2789</v>
      </c>
    </row>
    <row r="1122" spans="1:15" x14ac:dyDescent="0.25">
      <c r="A1122" s="113" t="s">
        <v>54</v>
      </c>
      <c r="B1122" s="113" t="s">
        <v>47</v>
      </c>
      <c r="C1122" s="113">
        <v>3.3E-4</v>
      </c>
      <c r="D1122" s="113">
        <v>3.3000999999999998E-3</v>
      </c>
      <c r="E1122" s="113">
        <v>1E-4</v>
      </c>
      <c r="F1122" s="113" t="s">
        <v>13</v>
      </c>
      <c r="G1122" s="113" t="s">
        <v>11</v>
      </c>
      <c r="H1122" s="113">
        <v>0.01</v>
      </c>
      <c r="I1122" s="113">
        <v>2.001E-2</v>
      </c>
      <c r="J1122" s="113" t="s">
        <v>10</v>
      </c>
      <c r="K1122" s="113">
        <v>57.686</v>
      </c>
      <c r="L1122" s="113">
        <v>174.69</v>
      </c>
      <c r="M1122" s="113">
        <v>57.685000000000002</v>
      </c>
      <c r="N1122" s="113">
        <v>174.66</v>
      </c>
      <c r="O1122" s="114" t="s">
        <v>2367</v>
      </c>
    </row>
    <row r="1123" spans="1:15" x14ac:dyDescent="0.25">
      <c r="A1123" s="113" t="s">
        <v>54</v>
      </c>
      <c r="B1123" s="113" t="s">
        <v>47</v>
      </c>
      <c r="C1123" s="113">
        <v>3.3E-4</v>
      </c>
      <c r="D1123" s="113">
        <v>3.3000999999999998E-3</v>
      </c>
      <c r="E1123" s="113">
        <v>1E-4</v>
      </c>
      <c r="F1123" s="113" t="s">
        <v>13</v>
      </c>
      <c r="G1123" s="113" t="s">
        <v>11</v>
      </c>
      <c r="H1123" s="113">
        <v>4.4999999999999998E-2</v>
      </c>
      <c r="I1123" s="113">
        <v>1.0000100000000001</v>
      </c>
      <c r="J1123" s="113" t="s">
        <v>10</v>
      </c>
      <c r="K1123" s="113">
        <v>57.722999999999999</v>
      </c>
      <c r="L1123" s="113">
        <v>45.396999999999998</v>
      </c>
      <c r="M1123" s="113">
        <v>57.722999999999999</v>
      </c>
      <c r="N1123" s="113">
        <v>45.366</v>
      </c>
      <c r="O1123" s="114" t="s">
        <v>2364</v>
      </c>
    </row>
    <row r="1124" spans="1:15" x14ac:dyDescent="0.25">
      <c r="A1124" s="113" t="s">
        <v>54</v>
      </c>
      <c r="B1124" s="113" t="s">
        <v>47</v>
      </c>
      <c r="C1124" s="113">
        <v>3.3E-4</v>
      </c>
      <c r="D1124" s="113">
        <v>3.3000999999999998E-3</v>
      </c>
      <c r="E1124" s="113">
        <v>1E-4</v>
      </c>
      <c r="F1124" s="113" t="s">
        <v>13</v>
      </c>
      <c r="G1124" s="113" t="s">
        <v>11</v>
      </c>
      <c r="H1124" s="113">
        <v>10</v>
      </c>
      <c r="I1124" s="113">
        <v>30</v>
      </c>
      <c r="J1124" s="113" t="s">
        <v>10</v>
      </c>
      <c r="K1124" s="113">
        <v>56.616999999999997</v>
      </c>
      <c r="L1124" s="113">
        <v>3922.7</v>
      </c>
      <c r="M1124" s="113">
        <v>56.616</v>
      </c>
      <c r="N1124" s="113">
        <v>3922.6</v>
      </c>
      <c r="O1124" s="114" t="s">
        <v>2792</v>
      </c>
    </row>
    <row r="1125" spans="1:15" x14ac:dyDescent="0.25">
      <c r="A1125" s="113" t="s">
        <v>54</v>
      </c>
      <c r="B1125" s="113" t="s">
        <v>47</v>
      </c>
      <c r="C1125" s="113">
        <v>3.3E-4</v>
      </c>
      <c r="D1125" s="113">
        <v>3.3000999999999998E-3</v>
      </c>
      <c r="E1125" s="113">
        <v>1E-4</v>
      </c>
      <c r="F1125" s="113" t="s">
        <v>13</v>
      </c>
      <c r="G1125" s="113" t="s">
        <v>11</v>
      </c>
      <c r="H1125" s="113">
        <v>30</v>
      </c>
      <c r="I1125" s="113">
        <v>30.1</v>
      </c>
      <c r="J1125" s="113" t="s">
        <v>10</v>
      </c>
      <c r="K1125" s="113">
        <v>56.616999999999997</v>
      </c>
      <c r="L1125" s="113">
        <v>3922.7</v>
      </c>
      <c r="M1125" s="113">
        <v>56.616</v>
      </c>
      <c r="N1125" s="113">
        <v>3922.6</v>
      </c>
      <c r="O1125" s="114" t="s">
        <v>2793</v>
      </c>
    </row>
    <row r="1126" spans="1:15" x14ac:dyDescent="0.25">
      <c r="A1126" s="113" t="s">
        <v>54</v>
      </c>
      <c r="B1126" s="113" t="s">
        <v>47</v>
      </c>
      <c r="C1126" s="113">
        <v>3.3E-4</v>
      </c>
      <c r="D1126" s="113">
        <v>3.3000999999999998E-3</v>
      </c>
      <c r="E1126" s="113">
        <v>1E-4</v>
      </c>
      <c r="F1126" s="113" t="s">
        <v>13</v>
      </c>
      <c r="G1126" s="113" t="s">
        <v>11</v>
      </c>
      <c r="H1126" s="113">
        <v>1</v>
      </c>
      <c r="I1126" s="113">
        <v>5.01</v>
      </c>
      <c r="J1126" s="113" t="s">
        <v>10</v>
      </c>
      <c r="K1126" s="113">
        <v>57.686</v>
      </c>
      <c r="L1126" s="113">
        <v>176.15</v>
      </c>
      <c r="M1126" s="113">
        <v>57.686</v>
      </c>
      <c r="N1126" s="113">
        <v>176.12</v>
      </c>
      <c r="O1126" s="114" t="s">
        <v>2366</v>
      </c>
    </row>
    <row r="1127" spans="1:15" x14ac:dyDescent="0.25">
      <c r="A1127" s="113" t="s">
        <v>54</v>
      </c>
      <c r="B1127" s="113" t="s">
        <v>47</v>
      </c>
      <c r="C1127" s="113">
        <v>3.3E-4</v>
      </c>
      <c r="D1127" s="113">
        <v>3.3000999999999998E-3</v>
      </c>
      <c r="E1127" s="113">
        <v>1E-4</v>
      </c>
      <c r="F1127" s="113" t="s">
        <v>13</v>
      </c>
      <c r="G1127" s="113" t="s">
        <v>11</v>
      </c>
      <c r="H1127" s="113">
        <v>5</v>
      </c>
      <c r="I1127" s="113">
        <v>10.01</v>
      </c>
      <c r="J1127" s="113" t="s">
        <v>10</v>
      </c>
      <c r="K1127" s="113">
        <v>57.432000000000002</v>
      </c>
      <c r="L1127" s="113">
        <v>1053.3</v>
      </c>
      <c r="M1127" s="113">
        <v>57.432000000000002</v>
      </c>
      <c r="N1127" s="113">
        <v>1053.2</v>
      </c>
      <c r="O1127" s="114" t="s">
        <v>2363</v>
      </c>
    </row>
    <row r="1128" spans="1:15" x14ac:dyDescent="0.25">
      <c r="A1128" s="113" t="s">
        <v>54</v>
      </c>
      <c r="B1128" s="113" t="s">
        <v>47</v>
      </c>
      <c r="C1128" s="113">
        <v>3.3E-4</v>
      </c>
      <c r="D1128" s="113">
        <v>3.3000999999999998E-3</v>
      </c>
      <c r="E1128" s="113">
        <v>1E-4</v>
      </c>
      <c r="F1128" s="113" t="s">
        <v>13</v>
      </c>
      <c r="G1128" s="113" t="s">
        <v>11</v>
      </c>
      <c r="H1128" s="113">
        <v>0.02</v>
      </c>
      <c r="I1128" s="113">
        <v>4.5010000000000001E-2</v>
      </c>
      <c r="J1128" s="113" t="s">
        <v>10</v>
      </c>
      <c r="K1128" s="113">
        <v>57.716000000000001</v>
      </c>
      <c r="L1128" s="113">
        <v>69.766000000000005</v>
      </c>
      <c r="M1128" s="113">
        <v>57.716000000000001</v>
      </c>
      <c r="N1128" s="113">
        <v>69.734999999999999</v>
      </c>
      <c r="O1128" s="114" t="s">
        <v>2365</v>
      </c>
    </row>
    <row r="1129" spans="1:15" x14ac:dyDescent="0.25">
      <c r="A1129" s="113" t="s">
        <v>54</v>
      </c>
      <c r="B1129" s="113" t="s">
        <v>47</v>
      </c>
      <c r="C1129" s="113">
        <v>3.3E-3</v>
      </c>
      <c r="D1129" s="113">
        <v>3.3001000000000003E-2</v>
      </c>
      <c r="E1129" s="113">
        <v>1E-8</v>
      </c>
      <c r="F1129" s="113" t="s">
        <v>13</v>
      </c>
      <c r="G1129" s="113" t="s">
        <v>11</v>
      </c>
      <c r="H1129" s="113">
        <v>10</v>
      </c>
      <c r="I1129" s="113">
        <v>30</v>
      </c>
      <c r="J1129" s="113" t="s">
        <v>10</v>
      </c>
      <c r="K1129" s="113">
        <v>5.3</v>
      </c>
      <c r="L1129" s="113">
        <v>4600</v>
      </c>
      <c r="M1129" s="113">
        <v>4.6162999999999998</v>
      </c>
      <c r="N1129" s="113">
        <v>4619.8999999999996</v>
      </c>
      <c r="O1129" s="114" t="s">
        <v>2368</v>
      </c>
    </row>
    <row r="1130" spans="1:15" x14ac:dyDescent="0.25">
      <c r="A1130" s="113" t="s">
        <v>54</v>
      </c>
      <c r="B1130" s="113" t="s">
        <v>47</v>
      </c>
      <c r="C1130" s="113">
        <v>3.3E-3</v>
      </c>
      <c r="D1130" s="113">
        <v>3.3001000000000003E-2</v>
      </c>
      <c r="E1130" s="113">
        <v>1E-8</v>
      </c>
      <c r="F1130" s="113" t="s">
        <v>13</v>
      </c>
      <c r="G1130" s="113" t="s">
        <v>11</v>
      </c>
      <c r="H1130" s="113">
        <v>1</v>
      </c>
      <c r="I1130" s="113">
        <v>5.01</v>
      </c>
      <c r="J1130" s="113" t="s">
        <v>10</v>
      </c>
      <c r="K1130" s="113">
        <v>2.4</v>
      </c>
      <c r="L1130" s="113">
        <v>930</v>
      </c>
      <c r="M1130" s="113">
        <v>2.3048000000000002</v>
      </c>
      <c r="N1130" s="113">
        <v>925.75</v>
      </c>
      <c r="O1130" s="114" t="s">
        <v>2371</v>
      </c>
    </row>
    <row r="1131" spans="1:15" x14ac:dyDescent="0.25">
      <c r="A1131" s="113" t="s">
        <v>54</v>
      </c>
      <c r="B1131" s="113" t="s">
        <v>47</v>
      </c>
      <c r="C1131" s="113">
        <v>3.3E-3</v>
      </c>
      <c r="D1131" s="113">
        <v>3.3001000000000003E-2</v>
      </c>
      <c r="E1131" s="113">
        <v>1E-8</v>
      </c>
      <c r="F1131" s="113" t="s">
        <v>13</v>
      </c>
      <c r="G1131" s="113" t="s">
        <v>11</v>
      </c>
      <c r="H1131" s="113">
        <v>5</v>
      </c>
      <c r="I1131" s="113">
        <v>10.01</v>
      </c>
      <c r="J1131" s="113" t="s">
        <v>10</v>
      </c>
      <c r="K1131" s="113">
        <v>3.8</v>
      </c>
      <c r="L1131" s="113">
        <v>2300</v>
      </c>
      <c r="M1131" s="113">
        <v>3.4643999999999999</v>
      </c>
      <c r="N1131" s="113">
        <v>2309.4</v>
      </c>
      <c r="O1131" s="114" t="s">
        <v>2372</v>
      </c>
    </row>
    <row r="1132" spans="1:15" x14ac:dyDescent="0.25">
      <c r="A1132" s="113" t="s">
        <v>54</v>
      </c>
      <c r="B1132" s="113" t="s">
        <v>47</v>
      </c>
      <c r="C1132" s="113">
        <v>3.3E-3</v>
      </c>
      <c r="D1132" s="113">
        <v>3.3001000000000003E-2</v>
      </c>
      <c r="E1132" s="113">
        <v>1E-8</v>
      </c>
      <c r="F1132" s="113" t="s">
        <v>13</v>
      </c>
      <c r="G1132" s="113" t="s">
        <v>11</v>
      </c>
      <c r="H1132" s="113">
        <v>4.4999999999999998E-2</v>
      </c>
      <c r="I1132" s="113">
        <v>1.0000100000000001</v>
      </c>
      <c r="J1132" s="113" t="s">
        <v>10</v>
      </c>
      <c r="K1132" s="113">
        <v>2.4</v>
      </c>
      <c r="L1132" s="113">
        <v>470</v>
      </c>
      <c r="M1132" s="113">
        <v>2.2997999999999998</v>
      </c>
      <c r="N1132" s="113">
        <v>465.62</v>
      </c>
      <c r="O1132" s="114" t="s">
        <v>2370</v>
      </c>
    </row>
    <row r="1133" spans="1:15" x14ac:dyDescent="0.25">
      <c r="A1133" s="113" t="s">
        <v>54</v>
      </c>
      <c r="B1133" s="113" t="s">
        <v>47</v>
      </c>
      <c r="C1133" s="113">
        <v>3.3E-3</v>
      </c>
      <c r="D1133" s="113">
        <v>3.3001000000000003E-2</v>
      </c>
      <c r="E1133" s="113">
        <v>1E-8</v>
      </c>
      <c r="F1133" s="113" t="s">
        <v>13</v>
      </c>
      <c r="G1133" s="113" t="s">
        <v>11</v>
      </c>
      <c r="H1133" s="113">
        <v>0.01</v>
      </c>
      <c r="I1133" s="113">
        <v>2.001E-2</v>
      </c>
      <c r="J1133" s="113" t="s">
        <v>10</v>
      </c>
      <c r="K1133" s="113">
        <v>2.4</v>
      </c>
      <c r="L1133" s="113">
        <v>2100</v>
      </c>
      <c r="M1133" s="113">
        <v>2.3005</v>
      </c>
      <c r="N1133" s="113">
        <v>2087.6</v>
      </c>
      <c r="O1133" s="114" t="s">
        <v>2369</v>
      </c>
    </row>
    <row r="1134" spans="1:15" x14ac:dyDescent="0.25">
      <c r="A1134" s="113" t="s">
        <v>54</v>
      </c>
      <c r="B1134" s="113" t="s">
        <v>47</v>
      </c>
      <c r="C1134" s="113">
        <v>3.3E-3</v>
      </c>
      <c r="D1134" s="113">
        <v>3.3001000000000003E-2</v>
      </c>
      <c r="E1134" s="113">
        <v>1E-8</v>
      </c>
      <c r="F1134" s="113" t="s">
        <v>13</v>
      </c>
      <c r="G1134" s="113" t="s">
        <v>11</v>
      </c>
      <c r="H1134" s="113">
        <v>0.02</v>
      </c>
      <c r="I1134" s="113">
        <v>4.5010000000000001E-2</v>
      </c>
      <c r="J1134" s="113" t="s">
        <v>10</v>
      </c>
      <c r="K1134" s="113">
        <v>3.8</v>
      </c>
      <c r="L1134" s="113">
        <v>1000</v>
      </c>
      <c r="M1134" s="113">
        <v>2.2968000000000002</v>
      </c>
      <c r="N1134" s="113">
        <v>1043.5999999999999</v>
      </c>
      <c r="O1134" s="114" t="s">
        <v>2794</v>
      </c>
    </row>
    <row r="1135" spans="1:15" x14ac:dyDescent="0.25">
      <c r="A1135" s="113" t="s">
        <v>54</v>
      </c>
      <c r="B1135" s="113" t="s">
        <v>47</v>
      </c>
      <c r="C1135" s="113">
        <v>3.3E-3</v>
      </c>
      <c r="D1135" s="113">
        <v>3.3001000000000003E-2</v>
      </c>
      <c r="E1135" s="113">
        <v>9.9999999999999995E-8</v>
      </c>
      <c r="F1135" s="113" t="s">
        <v>13</v>
      </c>
      <c r="G1135" s="113" t="s">
        <v>11</v>
      </c>
      <c r="H1135" s="113">
        <v>5</v>
      </c>
      <c r="I1135" s="113">
        <v>10.01</v>
      </c>
      <c r="J1135" s="113" t="s">
        <v>10</v>
      </c>
      <c r="K1135" s="113">
        <v>3.8</v>
      </c>
      <c r="L1135" s="113">
        <v>2300</v>
      </c>
      <c r="M1135" s="113">
        <v>3.4807000000000001</v>
      </c>
      <c r="N1135" s="113">
        <v>2309</v>
      </c>
      <c r="O1135" s="114" t="s">
        <v>2795</v>
      </c>
    </row>
    <row r="1136" spans="1:15" x14ac:dyDescent="0.25">
      <c r="A1136" s="113" t="s">
        <v>54</v>
      </c>
      <c r="B1136" s="113" t="s">
        <v>47</v>
      </c>
      <c r="C1136" s="113">
        <v>3.3E-3</v>
      </c>
      <c r="D1136" s="113">
        <v>3.3001000000000003E-2</v>
      </c>
      <c r="E1136" s="113">
        <v>9.9999999999999995E-8</v>
      </c>
      <c r="F1136" s="113" t="s">
        <v>13</v>
      </c>
      <c r="G1136" s="113" t="s">
        <v>11</v>
      </c>
      <c r="H1136" s="113">
        <v>10</v>
      </c>
      <c r="I1136" s="113">
        <v>30</v>
      </c>
      <c r="J1136" s="113" t="s">
        <v>10</v>
      </c>
      <c r="K1136" s="113">
        <v>5.3</v>
      </c>
      <c r="L1136" s="113">
        <v>4600</v>
      </c>
      <c r="M1136" s="113">
        <v>4.6261999999999999</v>
      </c>
      <c r="N1136" s="113">
        <v>4619.6000000000004</v>
      </c>
      <c r="O1136" s="114" t="s">
        <v>2376</v>
      </c>
    </row>
    <row r="1137" spans="1:15" x14ac:dyDescent="0.25">
      <c r="A1137" s="113" t="s">
        <v>54</v>
      </c>
      <c r="B1137" s="113" t="s">
        <v>47</v>
      </c>
      <c r="C1137" s="113">
        <v>3.3E-3</v>
      </c>
      <c r="D1137" s="113">
        <v>3.3001000000000003E-2</v>
      </c>
      <c r="E1137" s="113">
        <v>9.9999999999999995E-8</v>
      </c>
      <c r="F1137" s="113" t="s">
        <v>13</v>
      </c>
      <c r="G1137" s="113" t="s">
        <v>11</v>
      </c>
      <c r="H1137" s="113">
        <v>0.01</v>
      </c>
      <c r="I1137" s="113">
        <v>2.001E-2</v>
      </c>
      <c r="J1137" s="113" t="s">
        <v>10</v>
      </c>
      <c r="K1137" s="113">
        <v>2.4</v>
      </c>
      <c r="L1137" s="113">
        <v>2100</v>
      </c>
      <c r="M1137" s="113">
        <v>2.3157000000000001</v>
      </c>
      <c r="N1137" s="113">
        <v>2087.1</v>
      </c>
      <c r="O1137" s="114" t="s">
        <v>2374</v>
      </c>
    </row>
    <row r="1138" spans="1:15" x14ac:dyDescent="0.25">
      <c r="A1138" s="113" t="s">
        <v>54</v>
      </c>
      <c r="B1138" s="113" t="s">
        <v>47</v>
      </c>
      <c r="C1138" s="113">
        <v>3.3E-3</v>
      </c>
      <c r="D1138" s="113">
        <v>3.3001000000000003E-2</v>
      </c>
      <c r="E1138" s="113">
        <v>9.9999999999999995E-8</v>
      </c>
      <c r="F1138" s="113" t="s">
        <v>13</v>
      </c>
      <c r="G1138" s="113" t="s">
        <v>11</v>
      </c>
      <c r="H1138" s="113">
        <v>0.02</v>
      </c>
      <c r="I1138" s="113">
        <v>4.5010000000000001E-2</v>
      </c>
      <c r="J1138" s="113" t="s">
        <v>10</v>
      </c>
      <c r="K1138" s="113">
        <v>3.8</v>
      </c>
      <c r="L1138" s="113">
        <v>1000</v>
      </c>
      <c r="M1138" s="113">
        <v>2.3281999999999998</v>
      </c>
      <c r="N1138" s="113">
        <v>1042.8</v>
      </c>
      <c r="O1138" s="114" t="s">
        <v>2375</v>
      </c>
    </row>
    <row r="1139" spans="1:15" x14ac:dyDescent="0.25">
      <c r="A1139" s="113" t="s">
        <v>54</v>
      </c>
      <c r="B1139" s="113" t="s">
        <v>47</v>
      </c>
      <c r="C1139" s="113">
        <v>3.3E-3</v>
      </c>
      <c r="D1139" s="113">
        <v>3.3001000000000003E-2</v>
      </c>
      <c r="E1139" s="113">
        <v>9.9999999999999995E-8</v>
      </c>
      <c r="F1139" s="113" t="s">
        <v>13</v>
      </c>
      <c r="G1139" s="113" t="s">
        <v>11</v>
      </c>
      <c r="H1139" s="113">
        <v>1</v>
      </c>
      <c r="I1139" s="113">
        <v>5.01</v>
      </c>
      <c r="J1139" s="113" t="s">
        <v>10</v>
      </c>
      <c r="K1139" s="113">
        <v>2.4</v>
      </c>
      <c r="L1139" s="113">
        <v>930</v>
      </c>
      <c r="M1139" s="113">
        <v>2.3386</v>
      </c>
      <c r="N1139" s="113">
        <v>924.88</v>
      </c>
      <c r="O1139" s="114" t="s">
        <v>2796</v>
      </c>
    </row>
    <row r="1140" spans="1:15" x14ac:dyDescent="0.25">
      <c r="A1140" s="113" t="s">
        <v>54</v>
      </c>
      <c r="B1140" s="113" t="s">
        <v>47</v>
      </c>
      <c r="C1140" s="113">
        <v>3.3E-3</v>
      </c>
      <c r="D1140" s="113">
        <v>3.3001000000000003E-2</v>
      </c>
      <c r="E1140" s="113">
        <v>9.9999999999999995E-8</v>
      </c>
      <c r="F1140" s="113" t="s">
        <v>13</v>
      </c>
      <c r="G1140" s="113" t="s">
        <v>11</v>
      </c>
      <c r="H1140" s="113">
        <v>4.4999999999999998E-2</v>
      </c>
      <c r="I1140" s="113">
        <v>1.0000100000000001</v>
      </c>
      <c r="J1140" s="113" t="s">
        <v>10</v>
      </c>
      <c r="K1140" s="113">
        <v>2.4</v>
      </c>
      <c r="L1140" s="113">
        <v>470</v>
      </c>
      <c r="M1140" s="113">
        <v>2.3464</v>
      </c>
      <c r="N1140" s="113">
        <v>464.49</v>
      </c>
      <c r="O1140" s="114" t="s">
        <v>2373</v>
      </c>
    </row>
    <row r="1141" spans="1:15" x14ac:dyDescent="0.25">
      <c r="A1141" s="113" t="s">
        <v>54</v>
      </c>
      <c r="B1141" s="113" t="s">
        <v>47</v>
      </c>
      <c r="C1141" s="113">
        <v>3.3E-3</v>
      </c>
      <c r="D1141" s="113">
        <v>3.3001000000000003E-2</v>
      </c>
      <c r="E1141" s="113">
        <v>9.9999999999999995E-7</v>
      </c>
      <c r="F1141" s="113" t="s">
        <v>13</v>
      </c>
      <c r="G1141" s="113" t="s">
        <v>11</v>
      </c>
      <c r="H1141" s="113">
        <v>0.01</v>
      </c>
      <c r="I1141" s="113">
        <v>2.001E-2</v>
      </c>
      <c r="J1141" s="113" t="s">
        <v>10</v>
      </c>
      <c r="K1141" s="113">
        <v>4.0896999999999997</v>
      </c>
      <c r="L1141" s="113">
        <v>2048.8000000000002</v>
      </c>
      <c r="M1141" s="113">
        <v>4.1185</v>
      </c>
      <c r="N1141" s="113">
        <v>2039.5</v>
      </c>
      <c r="O1141" s="114" t="s">
        <v>2378</v>
      </c>
    </row>
    <row r="1142" spans="1:15" x14ac:dyDescent="0.25">
      <c r="A1142" s="113" t="s">
        <v>54</v>
      </c>
      <c r="B1142" s="113" t="s">
        <v>47</v>
      </c>
      <c r="C1142" s="113">
        <v>3.3E-3</v>
      </c>
      <c r="D1142" s="113">
        <v>3.3001000000000003E-2</v>
      </c>
      <c r="E1142" s="113">
        <v>9.9999999999999995E-7</v>
      </c>
      <c r="F1142" s="113" t="s">
        <v>13</v>
      </c>
      <c r="G1142" s="113" t="s">
        <v>11</v>
      </c>
      <c r="H1142" s="113">
        <v>5</v>
      </c>
      <c r="I1142" s="113">
        <v>10.01</v>
      </c>
      <c r="J1142" s="113" t="s">
        <v>10</v>
      </c>
      <c r="K1142" s="113">
        <v>5.0186000000000002</v>
      </c>
      <c r="L1142" s="113">
        <v>2268.6999999999998</v>
      </c>
      <c r="M1142" s="113">
        <v>5.0129000000000001</v>
      </c>
      <c r="N1142" s="113">
        <v>2268.8000000000002</v>
      </c>
      <c r="O1142" s="114" t="s">
        <v>2379</v>
      </c>
    </row>
    <row r="1143" spans="1:15" x14ac:dyDescent="0.25">
      <c r="A1143" s="113" t="s">
        <v>54</v>
      </c>
      <c r="B1143" s="113" t="s">
        <v>47</v>
      </c>
      <c r="C1143" s="113">
        <v>3.3E-3</v>
      </c>
      <c r="D1143" s="113">
        <v>3.3001000000000003E-2</v>
      </c>
      <c r="E1143" s="113">
        <v>9.9999999999999995E-7</v>
      </c>
      <c r="F1143" s="113" t="s">
        <v>13</v>
      </c>
      <c r="G1143" s="113" t="s">
        <v>11</v>
      </c>
      <c r="H1143" s="113">
        <v>1</v>
      </c>
      <c r="I1143" s="113">
        <v>5.01</v>
      </c>
      <c r="J1143" s="113" t="s">
        <v>10</v>
      </c>
      <c r="K1143" s="113">
        <v>5.0491000000000001</v>
      </c>
      <c r="L1143" s="113">
        <v>857.92</v>
      </c>
      <c r="M1143" s="113">
        <v>5.0465999999999998</v>
      </c>
      <c r="N1143" s="113">
        <v>857.92</v>
      </c>
      <c r="O1143" s="114" t="s">
        <v>2380</v>
      </c>
    </row>
    <row r="1144" spans="1:15" x14ac:dyDescent="0.25">
      <c r="A1144" s="113" t="s">
        <v>54</v>
      </c>
      <c r="B1144" s="113" t="s">
        <v>47</v>
      </c>
      <c r="C1144" s="113">
        <v>3.3E-3</v>
      </c>
      <c r="D1144" s="113">
        <v>3.3001000000000003E-2</v>
      </c>
      <c r="E1144" s="113">
        <v>9.9999999999999995E-7</v>
      </c>
      <c r="F1144" s="113" t="s">
        <v>13</v>
      </c>
      <c r="G1144" s="113" t="s">
        <v>11</v>
      </c>
      <c r="H1144" s="113">
        <v>0.02</v>
      </c>
      <c r="I1144" s="113">
        <v>4.5010000000000001E-2</v>
      </c>
      <c r="J1144" s="113" t="s">
        <v>10</v>
      </c>
      <c r="K1144" s="113">
        <v>4.9169999999999998</v>
      </c>
      <c r="L1144" s="113">
        <v>977.92</v>
      </c>
      <c r="M1144" s="113">
        <v>4.9145000000000003</v>
      </c>
      <c r="N1144" s="113">
        <v>977.93</v>
      </c>
      <c r="O1144" s="114" t="s">
        <v>2797</v>
      </c>
    </row>
    <row r="1145" spans="1:15" x14ac:dyDescent="0.25">
      <c r="A1145" s="113" t="s">
        <v>54</v>
      </c>
      <c r="B1145" s="113" t="s">
        <v>47</v>
      </c>
      <c r="C1145" s="113">
        <v>3.3E-3</v>
      </c>
      <c r="D1145" s="113">
        <v>3.3001000000000003E-2</v>
      </c>
      <c r="E1145" s="113">
        <v>9.9999999999999995E-7</v>
      </c>
      <c r="F1145" s="113" t="s">
        <v>13</v>
      </c>
      <c r="G1145" s="113" t="s">
        <v>11</v>
      </c>
      <c r="H1145" s="113">
        <v>4.4999999999999998E-2</v>
      </c>
      <c r="I1145" s="113">
        <v>1.0000100000000001</v>
      </c>
      <c r="J1145" s="113" t="s">
        <v>10</v>
      </c>
      <c r="K1145" s="113">
        <v>5.6395999999999997</v>
      </c>
      <c r="L1145" s="113">
        <v>392.41</v>
      </c>
      <c r="M1145" s="113">
        <v>5.6368999999999998</v>
      </c>
      <c r="N1145" s="113">
        <v>392.36</v>
      </c>
      <c r="O1145" s="114" t="s">
        <v>2798</v>
      </c>
    </row>
    <row r="1146" spans="1:15" x14ac:dyDescent="0.25">
      <c r="A1146" s="113" t="s">
        <v>54</v>
      </c>
      <c r="B1146" s="113" t="s">
        <v>47</v>
      </c>
      <c r="C1146" s="113">
        <v>3.3E-3</v>
      </c>
      <c r="D1146" s="113">
        <v>3.3001000000000003E-2</v>
      </c>
      <c r="E1146" s="113">
        <v>9.9999999999999995E-7</v>
      </c>
      <c r="F1146" s="113" t="s">
        <v>13</v>
      </c>
      <c r="G1146" s="113" t="s">
        <v>11</v>
      </c>
      <c r="H1146" s="113">
        <v>10</v>
      </c>
      <c r="I1146" s="113">
        <v>30</v>
      </c>
      <c r="J1146" s="113" t="s">
        <v>10</v>
      </c>
      <c r="K1146" s="113">
        <v>5.5293999999999999</v>
      </c>
      <c r="L1146" s="113">
        <v>4595.5</v>
      </c>
      <c r="M1146" s="113">
        <v>5.5179</v>
      </c>
      <c r="N1146" s="113">
        <v>4595.8</v>
      </c>
      <c r="O1146" s="114" t="s">
        <v>2377</v>
      </c>
    </row>
    <row r="1147" spans="1:15" x14ac:dyDescent="0.25">
      <c r="A1147" s="113" t="s">
        <v>54</v>
      </c>
      <c r="B1147" s="113" t="s">
        <v>47</v>
      </c>
      <c r="C1147" s="113">
        <v>3.3E-3</v>
      </c>
      <c r="D1147" s="113">
        <v>3.3001000000000003E-2</v>
      </c>
      <c r="E1147" s="113">
        <v>1.0000000000000001E-5</v>
      </c>
      <c r="F1147" s="113" t="s">
        <v>13</v>
      </c>
      <c r="G1147" s="113" t="s">
        <v>11</v>
      </c>
      <c r="H1147" s="113">
        <v>10</v>
      </c>
      <c r="I1147" s="113">
        <v>30</v>
      </c>
      <c r="J1147" s="113" t="s">
        <v>10</v>
      </c>
      <c r="K1147" s="113">
        <v>49.259</v>
      </c>
      <c r="L1147" s="113">
        <v>3578.8</v>
      </c>
      <c r="M1147" s="113">
        <v>49.247</v>
      </c>
      <c r="N1147" s="113">
        <v>3578.8</v>
      </c>
      <c r="O1147" s="114" t="s">
        <v>2381</v>
      </c>
    </row>
    <row r="1148" spans="1:15" x14ac:dyDescent="0.25">
      <c r="A1148" s="113" t="s">
        <v>54</v>
      </c>
      <c r="B1148" s="113" t="s">
        <v>47</v>
      </c>
      <c r="C1148" s="113">
        <v>3.3E-3</v>
      </c>
      <c r="D1148" s="113">
        <v>3.3001000000000003E-2</v>
      </c>
      <c r="E1148" s="113">
        <v>1.0000000000000001E-5</v>
      </c>
      <c r="F1148" s="113" t="s">
        <v>13</v>
      </c>
      <c r="G1148" s="113" t="s">
        <v>11</v>
      </c>
      <c r="H1148" s="113">
        <v>5</v>
      </c>
      <c r="I1148" s="113">
        <v>10.01</v>
      </c>
      <c r="J1148" s="113" t="s">
        <v>10</v>
      </c>
      <c r="K1148" s="113">
        <v>54.396999999999998</v>
      </c>
      <c r="L1148" s="113">
        <v>1333.5</v>
      </c>
      <c r="M1148" s="113">
        <v>54.39</v>
      </c>
      <c r="N1148" s="113">
        <v>1333.5</v>
      </c>
      <c r="O1148" s="114" t="s">
        <v>2800</v>
      </c>
    </row>
    <row r="1149" spans="1:15" x14ac:dyDescent="0.25">
      <c r="A1149" s="113" t="s">
        <v>54</v>
      </c>
      <c r="B1149" s="113" t="s">
        <v>47</v>
      </c>
      <c r="C1149" s="113">
        <v>3.3E-3</v>
      </c>
      <c r="D1149" s="113">
        <v>3.3001000000000003E-2</v>
      </c>
      <c r="E1149" s="113">
        <v>1.0000000000000001E-5</v>
      </c>
      <c r="F1149" s="113" t="s">
        <v>13</v>
      </c>
      <c r="G1149" s="113" t="s">
        <v>11</v>
      </c>
      <c r="H1149" s="113">
        <v>1</v>
      </c>
      <c r="I1149" s="113">
        <v>5.01</v>
      </c>
      <c r="J1149" s="113" t="s">
        <v>10</v>
      </c>
      <c r="K1149" s="113">
        <v>57.046999999999997</v>
      </c>
      <c r="L1149" s="113">
        <v>284.47000000000003</v>
      </c>
      <c r="M1149" s="113">
        <v>57.045000000000002</v>
      </c>
      <c r="N1149" s="113">
        <v>284.35000000000002</v>
      </c>
      <c r="O1149" s="114" t="s">
        <v>2799</v>
      </c>
    </row>
    <row r="1150" spans="1:15" x14ac:dyDescent="0.25">
      <c r="A1150" s="113" t="s">
        <v>54</v>
      </c>
      <c r="B1150" s="113" t="s">
        <v>47</v>
      </c>
      <c r="C1150" s="113">
        <v>3.3E-3</v>
      </c>
      <c r="D1150" s="113">
        <v>3.3001000000000003E-2</v>
      </c>
      <c r="E1150" s="113">
        <v>1.0000000000000001E-5</v>
      </c>
      <c r="F1150" s="113" t="s">
        <v>13</v>
      </c>
      <c r="G1150" s="113" t="s">
        <v>11</v>
      </c>
      <c r="H1150" s="113">
        <v>0.02</v>
      </c>
      <c r="I1150" s="113">
        <v>4.5010000000000001E-2</v>
      </c>
      <c r="J1150" s="113" t="s">
        <v>10</v>
      </c>
      <c r="K1150" s="113">
        <v>56.865000000000002</v>
      </c>
      <c r="L1150" s="113">
        <v>350.66</v>
      </c>
      <c r="M1150" s="113">
        <v>56.863</v>
      </c>
      <c r="N1150" s="113">
        <v>350.55</v>
      </c>
      <c r="O1150" s="114" t="s">
        <v>2383</v>
      </c>
    </row>
    <row r="1151" spans="1:15" x14ac:dyDescent="0.25">
      <c r="A1151" s="113" t="s">
        <v>54</v>
      </c>
      <c r="B1151" s="113" t="s">
        <v>47</v>
      </c>
      <c r="C1151" s="113">
        <v>3.3E-3</v>
      </c>
      <c r="D1151" s="113">
        <v>3.3001000000000003E-2</v>
      </c>
      <c r="E1151" s="113">
        <v>1.0000000000000001E-5</v>
      </c>
      <c r="F1151" s="113" t="s">
        <v>13</v>
      </c>
      <c r="G1151" s="113" t="s">
        <v>11</v>
      </c>
      <c r="H1151" s="113">
        <v>0.01</v>
      </c>
      <c r="I1151" s="113">
        <v>2.001E-2</v>
      </c>
      <c r="J1151" s="113" t="s">
        <v>10</v>
      </c>
      <c r="K1151" s="113">
        <v>54.774000000000001</v>
      </c>
      <c r="L1151" s="113">
        <v>1117.8</v>
      </c>
      <c r="M1151" s="113">
        <v>54.773000000000003</v>
      </c>
      <c r="N1151" s="113">
        <v>1117.7</v>
      </c>
      <c r="O1151" s="114" t="s">
        <v>2382</v>
      </c>
    </row>
    <row r="1152" spans="1:15" x14ac:dyDescent="0.25">
      <c r="A1152" s="113" t="s">
        <v>54</v>
      </c>
      <c r="B1152" s="113" t="s">
        <v>47</v>
      </c>
      <c r="C1152" s="113">
        <v>3.3E-3</v>
      </c>
      <c r="D1152" s="113">
        <v>3.3001000000000003E-2</v>
      </c>
      <c r="E1152" s="113">
        <v>1.0000000000000001E-5</v>
      </c>
      <c r="F1152" s="113" t="s">
        <v>13</v>
      </c>
      <c r="G1152" s="113" t="s">
        <v>11</v>
      </c>
      <c r="H1152" s="113">
        <v>4.4999999999999998E-2</v>
      </c>
      <c r="I1152" s="113">
        <v>1.0000100000000001</v>
      </c>
      <c r="J1152" s="113" t="s">
        <v>10</v>
      </c>
      <c r="K1152" s="113">
        <v>57.584000000000003</v>
      </c>
      <c r="L1152" s="113">
        <v>84.81</v>
      </c>
      <c r="M1152" s="113">
        <v>57.582999999999998</v>
      </c>
      <c r="N1152" s="113">
        <v>84.671999999999997</v>
      </c>
      <c r="O1152" s="114" t="s">
        <v>2384</v>
      </c>
    </row>
    <row r="1153" spans="1:15" x14ac:dyDescent="0.25">
      <c r="A1153" s="113" t="s">
        <v>54</v>
      </c>
      <c r="B1153" s="113" t="s">
        <v>47</v>
      </c>
      <c r="C1153" s="113">
        <v>3.3E-3</v>
      </c>
      <c r="D1153" s="113">
        <v>3.3001000000000003E-2</v>
      </c>
      <c r="E1153" s="113">
        <v>1E-4</v>
      </c>
      <c r="F1153" s="113" t="s">
        <v>13</v>
      </c>
      <c r="G1153" s="113" t="s">
        <v>11</v>
      </c>
      <c r="H1153" s="113">
        <v>1</v>
      </c>
      <c r="I1153" s="113">
        <v>5.01</v>
      </c>
      <c r="J1153" s="113" t="s">
        <v>10</v>
      </c>
      <c r="K1153" s="113">
        <v>577.28</v>
      </c>
      <c r="L1153" s="113">
        <v>30.67</v>
      </c>
      <c r="M1153" s="113">
        <v>577.28</v>
      </c>
      <c r="N1153" s="113">
        <v>30.611999999999998</v>
      </c>
      <c r="O1153" s="114" t="s">
        <v>2385</v>
      </c>
    </row>
    <row r="1154" spans="1:15" x14ac:dyDescent="0.25">
      <c r="A1154" s="113" t="s">
        <v>54</v>
      </c>
      <c r="B1154" s="113" t="s">
        <v>47</v>
      </c>
      <c r="C1154" s="113">
        <v>3.3E-3</v>
      </c>
      <c r="D1154" s="113">
        <v>3.3001000000000003E-2</v>
      </c>
      <c r="E1154" s="113">
        <v>1E-4</v>
      </c>
      <c r="F1154" s="113" t="s">
        <v>13</v>
      </c>
      <c r="G1154" s="113" t="s">
        <v>11</v>
      </c>
      <c r="H1154" s="113">
        <v>0.01</v>
      </c>
      <c r="I1154" s="113">
        <v>2.001E-2</v>
      </c>
      <c r="J1154" s="113" t="s">
        <v>10</v>
      </c>
      <c r="K1154" s="113">
        <v>576.95000000000005</v>
      </c>
      <c r="L1154" s="113">
        <v>144.81</v>
      </c>
      <c r="M1154" s="113">
        <v>576.95000000000005</v>
      </c>
      <c r="N1154" s="113">
        <v>144.75</v>
      </c>
      <c r="O1154" s="114" t="s">
        <v>2801</v>
      </c>
    </row>
    <row r="1155" spans="1:15" x14ac:dyDescent="0.25">
      <c r="A1155" s="113" t="s">
        <v>54</v>
      </c>
      <c r="B1155" s="113" t="s">
        <v>47</v>
      </c>
      <c r="C1155" s="113">
        <v>3.3E-3</v>
      </c>
      <c r="D1155" s="113">
        <v>3.3001000000000003E-2</v>
      </c>
      <c r="E1155" s="113">
        <v>1E-4</v>
      </c>
      <c r="F1155" s="113" t="s">
        <v>13</v>
      </c>
      <c r="G1155" s="113" t="s">
        <v>11</v>
      </c>
      <c r="H1155" s="113">
        <v>10</v>
      </c>
      <c r="I1155" s="113">
        <v>30</v>
      </c>
      <c r="J1155" s="113" t="s">
        <v>10</v>
      </c>
      <c r="K1155" s="113">
        <v>575.41</v>
      </c>
      <c r="L1155" s="113">
        <v>695.3</v>
      </c>
      <c r="M1155" s="113">
        <v>575.4</v>
      </c>
      <c r="N1155" s="113">
        <v>695.06</v>
      </c>
      <c r="O1155" s="114" t="s">
        <v>2386</v>
      </c>
    </row>
    <row r="1156" spans="1:15" x14ac:dyDescent="0.25">
      <c r="A1156" s="113" t="s">
        <v>54</v>
      </c>
      <c r="B1156" s="113" t="s">
        <v>47</v>
      </c>
      <c r="C1156" s="113">
        <v>3.3E-3</v>
      </c>
      <c r="D1156" s="113">
        <v>3.3001000000000003E-2</v>
      </c>
      <c r="E1156" s="113">
        <v>1E-4</v>
      </c>
      <c r="F1156" s="113" t="s">
        <v>13</v>
      </c>
      <c r="G1156" s="113" t="s">
        <v>11</v>
      </c>
      <c r="H1156" s="113">
        <v>5</v>
      </c>
      <c r="I1156" s="113">
        <v>10.01</v>
      </c>
      <c r="J1156" s="113" t="s">
        <v>10</v>
      </c>
      <c r="K1156" s="113">
        <v>576.87</v>
      </c>
      <c r="L1156" s="113">
        <v>180.75</v>
      </c>
      <c r="M1156" s="113">
        <v>576.87</v>
      </c>
      <c r="N1156" s="113">
        <v>180.65</v>
      </c>
      <c r="O1156" s="114" t="s">
        <v>2389</v>
      </c>
    </row>
    <row r="1157" spans="1:15" x14ac:dyDescent="0.25">
      <c r="A1157" s="113" t="s">
        <v>54</v>
      </c>
      <c r="B1157" s="113" t="s">
        <v>47</v>
      </c>
      <c r="C1157" s="113">
        <v>3.3E-3</v>
      </c>
      <c r="D1157" s="113">
        <v>3.3001000000000003E-2</v>
      </c>
      <c r="E1157" s="113">
        <v>1E-4</v>
      </c>
      <c r="F1157" s="113" t="s">
        <v>13</v>
      </c>
      <c r="G1157" s="113" t="s">
        <v>11</v>
      </c>
      <c r="H1157" s="113">
        <v>0.02</v>
      </c>
      <c r="I1157" s="113">
        <v>4.5010000000000001E-2</v>
      </c>
      <c r="J1157" s="113" t="s">
        <v>10</v>
      </c>
      <c r="K1157" s="113">
        <v>577.26</v>
      </c>
      <c r="L1157" s="113">
        <v>38.406999999999996</v>
      </c>
      <c r="M1157" s="113">
        <v>577.26</v>
      </c>
      <c r="N1157" s="113">
        <v>38.348999999999997</v>
      </c>
      <c r="O1157" s="114" t="s">
        <v>2802</v>
      </c>
    </row>
    <row r="1158" spans="1:15" x14ac:dyDescent="0.25">
      <c r="A1158" s="113" t="s">
        <v>54</v>
      </c>
      <c r="B1158" s="113" t="s">
        <v>47</v>
      </c>
      <c r="C1158" s="113">
        <v>3.3E-3</v>
      </c>
      <c r="D1158" s="113">
        <v>3.3001000000000003E-2</v>
      </c>
      <c r="E1158" s="113">
        <v>1E-4</v>
      </c>
      <c r="F1158" s="113" t="s">
        <v>13</v>
      </c>
      <c r="G1158" s="113" t="s">
        <v>11</v>
      </c>
      <c r="H1158" s="113">
        <v>4.4999999999999998E-2</v>
      </c>
      <c r="I1158" s="113">
        <v>1.0000100000000001</v>
      </c>
      <c r="J1158" s="113" t="s">
        <v>10</v>
      </c>
      <c r="K1158" s="113">
        <v>577.34</v>
      </c>
      <c r="L1158" s="113">
        <v>8.7265999999999995</v>
      </c>
      <c r="M1158" s="113">
        <v>577.34</v>
      </c>
      <c r="N1158" s="113">
        <v>8.6681000000000008</v>
      </c>
      <c r="O1158" s="114" t="s">
        <v>2388</v>
      </c>
    </row>
    <row r="1159" spans="1:15" x14ac:dyDescent="0.25">
      <c r="A1159" s="113" t="s">
        <v>54</v>
      </c>
      <c r="B1159" s="113" t="s">
        <v>47</v>
      </c>
      <c r="C1159" s="113">
        <v>3.3E-3</v>
      </c>
      <c r="D1159" s="113">
        <v>3.3001000000000003E-2</v>
      </c>
      <c r="E1159" s="113">
        <v>1E-4</v>
      </c>
      <c r="F1159" s="113" t="s">
        <v>13</v>
      </c>
      <c r="G1159" s="113" t="s">
        <v>11</v>
      </c>
      <c r="H1159" s="113">
        <v>30</v>
      </c>
      <c r="I1159" s="113">
        <v>30.01</v>
      </c>
      <c r="J1159" s="113" t="s">
        <v>10</v>
      </c>
      <c r="K1159" s="113">
        <v>575.41</v>
      </c>
      <c r="L1159" s="113">
        <v>695.3</v>
      </c>
      <c r="M1159" s="113">
        <v>575.4</v>
      </c>
      <c r="N1159" s="113">
        <v>695.06</v>
      </c>
      <c r="O1159" s="114" t="s">
        <v>2387</v>
      </c>
    </row>
    <row r="1160" spans="1:15" x14ac:dyDescent="0.25">
      <c r="A1160" s="113" t="s">
        <v>54</v>
      </c>
      <c r="B1160" s="113" t="s">
        <v>47</v>
      </c>
      <c r="C1160" s="113">
        <v>3.3000000000000002E-2</v>
      </c>
      <c r="D1160" s="113">
        <v>0.33001000000000003</v>
      </c>
      <c r="E1160" s="113">
        <v>9.9999999999999995E-7</v>
      </c>
      <c r="F1160" s="113" t="s">
        <v>13</v>
      </c>
      <c r="G1160" s="113" t="s">
        <v>12</v>
      </c>
      <c r="H1160" s="113">
        <v>5</v>
      </c>
      <c r="I1160" s="113">
        <v>10.01</v>
      </c>
      <c r="J1160" s="113" t="s">
        <v>10</v>
      </c>
      <c r="K1160" s="113">
        <v>0.12</v>
      </c>
      <c r="L1160" s="113">
        <v>2.2999999999999998</v>
      </c>
      <c r="M1160" s="113">
        <v>0.11543</v>
      </c>
      <c r="N1160" s="113">
        <v>2.3113999999999999</v>
      </c>
      <c r="O1160" s="114" t="s">
        <v>2392</v>
      </c>
    </row>
    <row r="1161" spans="1:15" x14ac:dyDescent="0.25">
      <c r="A1161" s="113" t="s">
        <v>54</v>
      </c>
      <c r="B1161" s="113" t="s">
        <v>47</v>
      </c>
      <c r="C1161" s="113">
        <v>3.3000000000000002E-2</v>
      </c>
      <c r="D1161" s="113">
        <v>0.33001000000000003</v>
      </c>
      <c r="E1161" s="113">
        <v>9.9999999999999995E-7</v>
      </c>
      <c r="F1161" s="113" t="s">
        <v>13</v>
      </c>
      <c r="G1161" s="113" t="s">
        <v>12</v>
      </c>
      <c r="H1161" s="113">
        <v>4.4999999999999998E-2</v>
      </c>
      <c r="I1161" s="113">
        <v>1.0000100000000001</v>
      </c>
      <c r="J1161" s="113" t="s">
        <v>10</v>
      </c>
      <c r="K1161" s="113">
        <v>2.4E-2</v>
      </c>
      <c r="L1161" s="113">
        <v>0.47</v>
      </c>
      <c r="M1161" s="113">
        <v>2.282E-2</v>
      </c>
      <c r="N1161" s="113">
        <v>0.47204000000000002</v>
      </c>
      <c r="O1161" s="114" t="s">
        <v>2390</v>
      </c>
    </row>
    <row r="1162" spans="1:15" x14ac:dyDescent="0.25">
      <c r="A1162" s="113" t="s">
        <v>54</v>
      </c>
      <c r="B1162" s="113" t="s">
        <v>47</v>
      </c>
      <c r="C1162" s="113">
        <v>3.3000000000000002E-2</v>
      </c>
      <c r="D1162" s="113">
        <v>0.33001000000000003</v>
      </c>
      <c r="E1162" s="113">
        <v>9.9999999999999995E-7</v>
      </c>
      <c r="F1162" s="113" t="s">
        <v>13</v>
      </c>
      <c r="G1162" s="113" t="s">
        <v>12</v>
      </c>
      <c r="H1162" s="113">
        <v>10</v>
      </c>
      <c r="I1162" s="113">
        <v>30</v>
      </c>
      <c r="J1162" s="113" t="s">
        <v>10</v>
      </c>
      <c r="K1162" s="113">
        <v>0.24</v>
      </c>
      <c r="L1162" s="113">
        <v>4.5999999999999996</v>
      </c>
      <c r="M1162" s="113">
        <v>0.23085</v>
      </c>
      <c r="N1162" s="113">
        <v>4.6219000000000001</v>
      </c>
      <c r="O1162" s="114" t="s">
        <v>2393</v>
      </c>
    </row>
    <row r="1163" spans="1:15" x14ac:dyDescent="0.25">
      <c r="A1163" s="113" t="s">
        <v>54</v>
      </c>
      <c r="B1163" s="113" t="s">
        <v>47</v>
      </c>
      <c r="C1163" s="113">
        <v>3.3000000000000002E-2</v>
      </c>
      <c r="D1163" s="113">
        <v>0.33001000000000003</v>
      </c>
      <c r="E1163" s="113">
        <v>9.9999999999999995E-7</v>
      </c>
      <c r="F1163" s="113" t="s">
        <v>13</v>
      </c>
      <c r="G1163" s="113" t="s">
        <v>12</v>
      </c>
      <c r="H1163" s="113">
        <v>0.01</v>
      </c>
      <c r="I1163" s="113">
        <v>2.001E-2</v>
      </c>
      <c r="J1163" s="113" t="s">
        <v>10</v>
      </c>
      <c r="K1163" s="113">
        <v>2.3E-2</v>
      </c>
      <c r="L1163" s="113">
        <v>2.1</v>
      </c>
      <c r="M1163" s="113">
        <v>2.2917E-2</v>
      </c>
      <c r="N1163" s="113">
        <v>2.0907</v>
      </c>
      <c r="O1163" s="114" t="s">
        <v>2396</v>
      </c>
    </row>
    <row r="1164" spans="1:15" x14ac:dyDescent="0.25">
      <c r="A1164" s="113" t="s">
        <v>54</v>
      </c>
      <c r="B1164" s="113" t="s">
        <v>47</v>
      </c>
      <c r="C1164" s="113">
        <v>3.3000000000000002E-2</v>
      </c>
      <c r="D1164" s="113">
        <v>0.33001000000000003</v>
      </c>
      <c r="E1164" s="113">
        <v>9.9999999999999995E-7</v>
      </c>
      <c r="F1164" s="113" t="s">
        <v>13</v>
      </c>
      <c r="G1164" s="113" t="s">
        <v>12</v>
      </c>
      <c r="H1164" s="113">
        <v>1</v>
      </c>
      <c r="I1164" s="113">
        <v>5.01</v>
      </c>
      <c r="J1164" s="113" t="s">
        <v>10</v>
      </c>
      <c r="K1164" s="113">
        <v>5.8000000000000003E-2</v>
      </c>
      <c r="L1164" s="113">
        <v>1.2</v>
      </c>
      <c r="M1164" s="113">
        <v>5.7624000000000002E-2</v>
      </c>
      <c r="N1164" s="113">
        <v>1.1588000000000001</v>
      </c>
      <c r="O1164" s="114" t="s">
        <v>2395</v>
      </c>
    </row>
    <row r="1165" spans="1:15" x14ac:dyDescent="0.25">
      <c r="A1165" s="113" t="s">
        <v>54</v>
      </c>
      <c r="B1165" s="113" t="s">
        <v>47</v>
      </c>
      <c r="C1165" s="113">
        <v>3.3000000000000002E-2</v>
      </c>
      <c r="D1165" s="113">
        <v>0.33001000000000003</v>
      </c>
      <c r="E1165" s="113">
        <v>9.9999999999999995E-7</v>
      </c>
      <c r="F1165" s="113" t="s">
        <v>13</v>
      </c>
      <c r="G1165" s="113" t="s">
        <v>12</v>
      </c>
      <c r="H1165" s="113">
        <v>30</v>
      </c>
      <c r="I1165" s="113">
        <v>30.01</v>
      </c>
      <c r="J1165" s="113" t="s">
        <v>10</v>
      </c>
      <c r="K1165" s="113">
        <v>0.24</v>
      </c>
      <c r="L1165" s="113">
        <v>4.5999999999999996</v>
      </c>
      <c r="M1165" s="113">
        <v>0.23085</v>
      </c>
      <c r="N1165" s="113">
        <v>4.6219000000000001</v>
      </c>
      <c r="O1165" s="114" t="s">
        <v>2391</v>
      </c>
    </row>
    <row r="1166" spans="1:15" x14ac:dyDescent="0.25">
      <c r="A1166" s="113" t="s">
        <v>54</v>
      </c>
      <c r="B1166" s="113" t="s">
        <v>47</v>
      </c>
      <c r="C1166" s="113">
        <v>3.3000000000000002E-2</v>
      </c>
      <c r="D1166" s="113">
        <v>0.33001000000000003</v>
      </c>
      <c r="E1166" s="113">
        <v>9.9999999999999995E-7</v>
      </c>
      <c r="F1166" s="113" t="s">
        <v>13</v>
      </c>
      <c r="G1166" s="113" t="s">
        <v>12</v>
      </c>
      <c r="H1166" s="113">
        <v>0.02</v>
      </c>
      <c r="I1166" s="113">
        <v>4.5010000000000001E-2</v>
      </c>
      <c r="J1166" s="113" t="s">
        <v>10</v>
      </c>
      <c r="K1166" s="113">
        <v>3.7999999999999999E-2</v>
      </c>
      <c r="L1166" s="113">
        <v>1</v>
      </c>
      <c r="M1166" s="113">
        <v>2.3094E-2</v>
      </c>
      <c r="N1166" s="113">
        <v>1.0436000000000001</v>
      </c>
      <c r="O1166" s="114" t="s">
        <v>2394</v>
      </c>
    </row>
    <row r="1167" spans="1:15" x14ac:dyDescent="0.25">
      <c r="A1167" s="113" t="s">
        <v>54</v>
      </c>
      <c r="B1167" s="113" t="s">
        <v>47</v>
      </c>
      <c r="C1167" s="113">
        <v>3.3000000000000002E-2</v>
      </c>
      <c r="D1167" s="113">
        <v>0.33001000000000003</v>
      </c>
      <c r="E1167" s="113">
        <v>1.0000000000000001E-5</v>
      </c>
      <c r="F1167" s="113" t="s">
        <v>13</v>
      </c>
      <c r="G1167" s="113" t="s">
        <v>12</v>
      </c>
      <c r="H1167" s="113">
        <v>1</v>
      </c>
      <c r="I1167" s="113">
        <v>5.01</v>
      </c>
      <c r="J1167" s="113" t="s">
        <v>10</v>
      </c>
      <c r="K1167" s="113">
        <v>5.8000000000000003E-2</v>
      </c>
      <c r="L1167" s="113">
        <v>1.2</v>
      </c>
      <c r="M1167" s="113">
        <v>5.7825000000000001E-2</v>
      </c>
      <c r="N1167" s="113">
        <v>1.1583000000000001</v>
      </c>
      <c r="O1167" s="114" t="s">
        <v>2398</v>
      </c>
    </row>
    <row r="1168" spans="1:15" x14ac:dyDescent="0.25">
      <c r="A1168" s="113" t="s">
        <v>54</v>
      </c>
      <c r="B1168" s="113" t="s">
        <v>47</v>
      </c>
      <c r="C1168" s="113">
        <v>3.3000000000000002E-2</v>
      </c>
      <c r="D1168" s="113">
        <v>0.33001000000000003</v>
      </c>
      <c r="E1168" s="113">
        <v>1.0000000000000001E-5</v>
      </c>
      <c r="F1168" s="113" t="s">
        <v>13</v>
      </c>
      <c r="G1168" s="113" t="s">
        <v>12</v>
      </c>
      <c r="H1168" s="113">
        <v>4.4999999999999998E-2</v>
      </c>
      <c r="I1168" s="113">
        <v>1.0000100000000001</v>
      </c>
      <c r="J1168" s="113" t="s">
        <v>10</v>
      </c>
      <c r="K1168" s="113">
        <v>2.4E-2</v>
      </c>
      <c r="L1168" s="113">
        <v>0.47</v>
      </c>
      <c r="M1168" s="113">
        <v>2.3285E-2</v>
      </c>
      <c r="N1168" s="113">
        <v>0.47091</v>
      </c>
      <c r="O1168" s="114" t="s">
        <v>2804</v>
      </c>
    </row>
    <row r="1169" spans="1:15" x14ac:dyDescent="0.25">
      <c r="A1169" s="113" t="s">
        <v>54</v>
      </c>
      <c r="B1169" s="113" t="s">
        <v>47</v>
      </c>
      <c r="C1169" s="113">
        <v>3.3000000000000002E-2</v>
      </c>
      <c r="D1169" s="113">
        <v>0.33001000000000003</v>
      </c>
      <c r="E1169" s="113">
        <v>1.0000000000000001E-5</v>
      </c>
      <c r="F1169" s="113" t="s">
        <v>13</v>
      </c>
      <c r="G1169" s="113" t="s">
        <v>12</v>
      </c>
      <c r="H1169" s="113">
        <v>0.02</v>
      </c>
      <c r="I1169" s="113">
        <v>4.5010000000000001E-2</v>
      </c>
      <c r="J1169" s="113" t="s">
        <v>10</v>
      </c>
      <c r="K1169" s="113">
        <v>3.7999999999999999E-2</v>
      </c>
      <c r="L1169" s="113">
        <v>1</v>
      </c>
      <c r="M1169" s="113">
        <v>2.3358E-2</v>
      </c>
      <c r="N1169" s="113">
        <v>1.0427999999999999</v>
      </c>
      <c r="O1169" s="114" t="s">
        <v>2397</v>
      </c>
    </row>
    <row r="1170" spans="1:15" x14ac:dyDescent="0.25">
      <c r="A1170" s="113" t="s">
        <v>54</v>
      </c>
      <c r="B1170" s="113" t="s">
        <v>47</v>
      </c>
      <c r="C1170" s="113">
        <v>3.3000000000000002E-2</v>
      </c>
      <c r="D1170" s="113">
        <v>0.33001000000000003</v>
      </c>
      <c r="E1170" s="113">
        <v>1.0000000000000001E-5</v>
      </c>
      <c r="F1170" s="113" t="s">
        <v>13</v>
      </c>
      <c r="G1170" s="113" t="s">
        <v>12</v>
      </c>
      <c r="H1170" s="113">
        <v>0.01</v>
      </c>
      <c r="I1170" s="113">
        <v>2.001E-2</v>
      </c>
      <c r="J1170" s="113" t="s">
        <v>10</v>
      </c>
      <c r="K1170" s="113">
        <v>2.3E-2</v>
      </c>
      <c r="L1170" s="113">
        <v>2.1</v>
      </c>
      <c r="M1170" s="113">
        <v>2.3129E-2</v>
      </c>
      <c r="N1170" s="113">
        <v>2.0901000000000001</v>
      </c>
      <c r="O1170" s="114" t="s">
        <v>2400</v>
      </c>
    </row>
    <row r="1171" spans="1:15" x14ac:dyDescent="0.25">
      <c r="A1171" s="113" t="s">
        <v>54</v>
      </c>
      <c r="B1171" s="113" t="s">
        <v>47</v>
      </c>
      <c r="C1171" s="113">
        <v>3.3000000000000002E-2</v>
      </c>
      <c r="D1171" s="113">
        <v>0.33001000000000003</v>
      </c>
      <c r="E1171" s="113">
        <v>1.0000000000000001E-5</v>
      </c>
      <c r="F1171" s="113" t="s">
        <v>13</v>
      </c>
      <c r="G1171" s="113" t="s">
        <v>12</v>
      </c>
      <c r="H1171" s="113">
        <v>5</v>
      </c>
      <c r="I1171" s="113">
        <v>10.01</v>
      </c>
      <c r="J1171" s="113" t="s">
        <v>10</v>
      </c>
      <c r="K1171" s="113">
        <v>0.12</v>
      </c>
      <c r="L1171" s="113">
        <v>2.2999999999999998</v>
      </c>
      <c r="M1171" s="113">
        <v>0.11552</v>
      </c>
      <c r="N1171" s="113">
        <v>2.3111999999999999</v>
      </c>
      <c r="O1171" s="114" t="s">
        <v>2803</v>
      </c>
    </row>
    <row r="1172" spans="1:15" x14ac:dyDescent="0.25">
      <c r="A1172" s="113" t="s">
        <v>54</v>
      </c>
      <c r="B1172" s="113" t="s">
        <v>47</v>
      </c>
      <c r="C1172" s="113">
        <v>3.3000000000000002E-2</v>
      </c>
      <c r="D1172" s="113">
        <v>0.33001000000000003</v>
      </c>
      <c r="E1172" s="113">
        <v>1.0000000000000001E-5</v>
      </c>
      <c r="F1172" s="113" t="s">
        <v>13</v>
      </c>
      <c r="G1172" s="113" t="s">
        <v>12</v>
      </c>
      <c r="H1172" s="113">
        <v>10</v>
      </c>
      <c r="I1172" s="113">
        <v>30</v>
      </c>
      <c r="J1172" s="113" t="s">
        <v>10</v>
      </c>
      <c r="K1172" s="113">
        <v>0.24</v>
      </c>
      <c r="L1172" s="113">
        <v>4.5999999999999996</v>
      </c>
      <c r="M1172" s="113">
        <v>0.23089999999999999</v>
      </c>
      <c r="N1172" s="113">
        <v>4.6218000000000004</v>
      </c>
      <c r="O1172" s="114" t="s">
        <v>2399</v>
      </c>
    </row>
    <row r="1173" spans="1:15" x14ac:dyDescent="0.25">
      <c r="A1173" s="113" t="s">
        <v>54</v>
      </c>
      <c r="B1173" s="113" t="s">
        <v>47</v>
      </c>
      <c r="C1173" s="113">
        <v>3.3000000000000002E-2</v>
      </c>
      <c r="D1173" s="113">
        <v>0.33001000000000003</v>
      </c>
      <c r="E1173" s="113">
        <v>1.0000000000000001E-5</v>
      </c>
      <c r="F1173" s="113" t="s">
        <v>13</v>
      </c>
      <c r="G1173" s="113" t="s">
        <v>12</v>
      </c>
      <c r="H1173" s="113">
        <v>30</v>
      </c>
      <c r="I1173" s="113">
        <v>30.01</v>
      </c>
      <c r="J1173" s="113" t="s">
        <v>10</v>
      </c>
      <c r="K1173" s="113">
        <v>0.24</v>
      </c>
      <c r="L1173" s="113">
        <v>4.5999999999999996</v>
      </c>
      <c r="M1173" s="113">
        <v>0.23089999999999999</v>
      </c>
      <c r="N1173" s="113">
        <v>4.6218000000000004</v>
      </c>
      <c r="O1173" s="114" t="s">
        <v>2401</v>
      </c>
    </row>
    <row r="1174" spans="1:15" x14ac:dyDescent="0.25">
      <c r="A1174" s="113" t="s">
        <v>54</v>
      </c>
      <c r="B1174" s="113" t="s">
        <v>47</v>
      </c>
      <c r="C1174" s="113">
        <v>3.3000000000000002E-2</v>
      </c>
      <c r="D1174" s="113">
        <v>0.33001000000000003</v>
      </c>
      <c r="E1174" s="113">
        <v>1E-4</v>
      </c>
      <c r="F1174" s="113" t="s">
        <v>13</v>
      </c>
      <c r="G1174" s="113" t="s">
        <v>12</v>
      </c>
      <c r="H1174" s="113">
        <v>10</v>
      </c>
      <c r="I1174" s="113">
        <v>30</v>
      </c>
      <c r="J1174" s="113" t="s">
        <v>10</v>
      </c>
      <c r="K1174" s="113">
        <v>0.24</v>
      </c>
      <c r="L1174" s="113">
        <v>4.5999999999999996</v>
      </c>
      <c r="M1174" s="113">
        <v>0.23555999999999999</v>
      </c>
      <c r="N1174" s="113">
        <v>4.6105</v>
      </c>
      <c r="O1174" s="114" t="s">
        <v>2403</v>
      </c>
    </row>
    <row r="1175" spans="1:15" x14ac:dyDescent="0.25">
      <c r="A1175" s="113" t="s">
        <v>54</v>
      </c>
      <c r="B1175" s="113" t="s">
        <v>47</v>
      </c>
      <c r="C1175" s="113">
        <v>3.3000000000000002E-2</v>
      </c>
      <c r="D1175" s="113">
        <v>0.33001000000000003</v>
      </c>
      <c r="E1175" s="113">
        <v>1E-4</v>
      </c>
      <c r="F1175" s="113" t="s">
        <v>13</v>
      </c>
      <c r="G1175" s="113" t="s">
        <v>12</v>
      </c>
      <c r="H1175" s="113">
        <v>5</v>
      </c>
      <c r="I1175" s="113">
        <v>10.01</v>
      </c>
      <c r="J1175" s="113" t="s">
        <v>10</v>
      </c>
      <c r="K1175" s="113">
        <v>0.12471</v>
      </c>
      <c r="L1175" s="113">
        <v>2.2890999999999999</v>
      </c>
      <c r="M1175" s="113">
        <v>0.12466000000000001</v>
      </c>
      <c r="N1175" s="113">
        <v>2.2892000000000001</v>
      </c>
      <c r="O1175" s="114" t="s">
        <v>2405</v>
      </c>
    </row>
    <row r="1176" spans="1:15" x14ac:dyDescent="0.25">
      <c r="A1176" s="113" t="s">
        <v>54</v>
      </c>
      <c r="B1176" s="113" t="s">
        <v>47</v>
      </c>
      <c r="C1176" s="113">
        <v>3.3000000000000002E-2</v>
      </c>
      <c r="D1176" s="113">
        <v>0.33001000000000003</v>
      </c>
      <c r="E1176" s="113">
        <v>1E-4</v>
      </c>
      <c r="F1176" s="113" t="s">
        <v>13</v>
      </c>
      <c r="G1176" s="113" t="s">
        <v>12</v>
      </c>
      <c r="H1176" s="113">
        <v>30</v>
      </c>
      <c r="I1176" s="113">
        <v>30.01</v>
      </c>
      <c r="J1176" s="113" t="s">
        <v>10</v>
      </c>
      <c r="K1176" s="113">
        <v>0.24</v>
      </c>
      <c r="L1176" s="113">
        <v>4.5999999999999996</v>
      </c>
      <c r="M1176" s="113">
        <v>0.23555999999999999</v>
      </c>
      <c r="N1176" s="113">
        <v>4.6105</v>
      </c>
      <c r="O1176" s="114" t="s">
        <v>2805</v>
      </c>
    </row>
    <row r="1177" spans="1:15" x14ac:dyDescent="0.25">
      <c r="A1177" s="113" t="s">
        <v>54</v>
      </c>
      <c r="B1177" s="113" t="s">
        <v>47</v>
      </c>
      <c r="C1177" s="113">
        <v>3.3000000000000002E-2</v>
      </c>
      <c r="D1177" s="113">
        <v>0.33001000000000003</v>
      </c>
      <c r="E1177" s="113">
        <v>1E-4</v>
      </c>
      <c r="F1177" s="113" t="s">
        <v>13</v>
      </c>
      <c r="G1177" s="113" t="s">
        <v>12</v>
      </c>
      <c r="H1177" s="113">
        <v>0.02</v>
      </c>
      <c r="I1177" s="113">
        <v>4.5010000000000001E-2</v>
      </c>
      <c r="J1177" s="113" t="s">
        <v>10</v>
      </c>
      <c r="K1177" s="113">
        <v>4.9202999999999997E-2</v>
      </c>
      <c r="L1177" s="113">
        <v>0.97804000000000002</v>
      </c>
      <c r="M1177" s="113">
        <v>4.9192E-2</v>
      </c>
      <c r="N1177" s="113">
        <v>0.97804000000000002</v>
      </c>
      <c r="O1177" s="114" t="s">
        <v>2806</v>
      </c>
    </row>
    <row r="1178" spans="1:15" x14ac:dyDescent="0.25">
      <c r="A1178" s="113" t="s">
        <v>54</v>
      </c>
      <c r="B1178" s="113" t="s">
        <v>47</v>
      </c>
      <c r="C1178" s="113">
        <v>3.3000000000000002E-2</v>
      </c>
      <c r="D1178" s="113">
        <v>0.33001000000000003</v>
      </c>
      <c r="E1178" s="113">
        <v>1E-4</v>
      </c>
      <c r="F1178" s="113" t="s">
        <v>13</v>
      </c>
      <c r="G1178" s="113" t="s">
        <v>12</v>
      </c>
      <c r="H1178" s="113">
        <v>1</v>
      </c>
      <c r="I1178" s="113">
        <v>5.01</v>
      </c>
      <c r="J1178" s="113" t="s">
        <v>10</v>
      </c>
      <c r="K1178" s="113">
        <v>7.3934E-2</v>
      </c>
      <c r="L1178" s="113">
        <v>1.1516999999999999</v>
      </c>
      <c r="M1178" s="113">
        <v>7.5028999999999998E-2</v>
      </c>
      <c r="N1178" s="113">
        <v>1.1174999999999999</v>
      </c>
      <c r="O1178" s="114" t="s">
        <v>2404</v>
      </c>
    </row>
    <row r="1179" spans="1:15" x14ac:dyDescent="0.25">
      <c r="A1179" s="113" t="s">
        <v>54</v>
      </c>
      <c r="B1179" s="113" t="s">
        <v>47</v>
      </c>
      <c r="C1179" s="113">
        <v>3.3000000000000002E-2</v>
      </c>
      <c r="D1179" s="113">
        <v>0.33001000000000003</v>
      </c>
      <c r="E1179" s="113">
        <v>1E-4</v>
      </c>
      <c r="F1179" s="113" t="s">
        <v>13</v>
      </c>
      <c r="G1179" s="113" t="s">
        <v>12</v>
      </c>
      <c r="H1179" s="113">
        <v>4.4999999999999998E-2</v>
      </c>
      <c r="I1179" s="113">
        <v>1.0000100000000001</v>
      </c>
      <c r="J1179" s="113" t="s">
        <v>10</v>
      </c>
      <c r="K1179" s="113">
        <v>5.6196999999999997E-2</v>
      </c>
      <c r="L1179" s="113">
        <v>0.39853</v>
      </c>
      <c r="M1179" s="113">
        <v>5.6184999999999999E-2</v>
      </c>
      <c r="N1179" s="113">
        <v>0.39850999999999998</v>
      </c>
      <c r="O1179" s="114" t="s">
        <v>2402</v>
      </c>
    </row>
    <row r="1180" spans="1:15" x14ac:dyDescent="0.25">
      <c r="A1180" s="113" t="s">
        <v>54</v>
      </c>
      <c r="B1180" s="113" t="s">
        <v>47</v>
      </c>
      <c r="C1180" s="113">
        <v>3.3000000000000002E-2</v>
      </c>
      <c r="D1180" s="113">
        <v>0.33001000000000003</v>
      </c>
      <c r="E1180" s="113">
        <v>1E-4</v>
      </c>
      <c r="F1180" s="113" t="s">
        <v>13</v>
      </c>
      <c r="G1180" s="113" t="s">
        <v>12</v>
      </c>
      <c r="H1180" s="113">
        <v>0.01</v>
      </c>
      <c r="I1180" s="113">
        <v>2.001E-2</v>
      </c>
      <c r="J1180" s="113" t="s">
        <v>10</v>
      </c>
      <c r="K1180" s="113">
        <v>4.1051999999999998E-2</v>
      </c>
      <c r="L1180" s="113">
        <v>2.0453000000000001</v>
      </c>
      <c r="M1180" s="113">
        <v>4.1147999999999997E-2</v>
      </c>
      <c r="N1180" s="113">
        <v>2.0425</v>
      </c>
      <c r="O1180" s="114" t="s">
        <v>2406</v>
      </c>
    </row>
    <row r="1181" spans="1:15" x14ac:dyDescent="0.25">
      <c r="A1181" s="113" t="s">
        <v>54</v>
      </c>
      <c r="B1181" s="113" t="s">
        <v>47</v>
      </c>
      <c r="C1181" s="113">
        <v>3.3000000000000002E-2</v>
      </c>
      <c r="D1181" s="113">
        <v>0.33001000000000003</v>
      </c>
      <c r="E1181" s="113">
        <v>1E-3</v>
      </c>
      <c r="F1181" s="113" t="s">
        <v>13</v>
      </c>
      <c r="G1181" s="113" t="s">
        <v>12</v>
      </c>
      <c r="H1181" s="113">
        <v>0.01</v>
      </c>
      <c r="I1181" s="113">
        <v>2.001E-2</v>
      </c>
      <c r="J1181" s="113" t="s">
        <v>10</v>
      </c>
      <c r="K1181" s="113">
        <v>0.54766999999999999</v>
      </c>
      <c r="L1181" s="113">
        <v>1.1202000000000001</v>
      </c>
      <c r="M1181" s="113">
        <v>0.54766000000000004</v>
      </c>
      <c r="N1181" s="113">
        <v>1.1202000000000001</v>
      </c>
      <c r="O1181" s="114" t="s">
        <v>2407</v>
      </c>
    </row>
    <row r="1182" spans="1:15" x14ac:dyDescent="0.25">
      <c r="A1182" s="113" t="s">
        <v>54</v>
      </c>
      <c r="B1182" s="113" t="s">
        <v>47</v>
      </c>
      <c r="C1182" s="113">
        <v>3.3000000000000002E-2</v>
      </c>
      <c r="D1182" s="113">
        <v>0.33001000000000003</v>
      </c>
      <c r="E1182" s="113">
        <v>1E-3</v>
      </c>
      <c r="F1182" s="113" t="s">
        <v>13</v>
      </c>
      <c r="G1182" s="113" t="s">
        <v>12</v>
      </c>
      <c r="H1182" s="113">
        <v>4.4999999999999998E-2</v>
      </c>
      <c r="I1182" s="113">
        <v>1.0000100000000001</v>
      </c>
      <c r="J1182" s="113" t="s">
        <v>10</v>
      </c>
      <c r="K1182" s="113">
        <v>0.57577999999999996</v>
      </c>
      <c r="L1182" s="113">
        <v>8.6645E-2</v>
      </c>
      <c r="M1182" s="113">
        <v>0.57577</v>
      </c>
      <c r="N1182" s="113">
        <v>8.6583999999999994E-2</v>
      </c>
      <c r="O1182" s="114" t="s">
        <v>2411</v>
      </c>
    </row>
    <row r="1183" spans="1:15" x14ac:dyDescent="0.25">
      <c r="A1183" s="113" t="s">
        <v>54</v>
      </c>
      <c r="B1183" s="113" t="s">
        <v>47</v>
      </c>
      <c r="C1183" s="113">
        <v>3.3000000000000002E-2</v>
      </c>
      <c r="D1183" s="113">
        <v>0.33001000000000003</v>
      </c>
      <c r="E1183" s="113">
        <v>1E-3</v>
      </c>
      <c r="F1183" s="113" t="s">
        <v>13</v>
      </c>
      <c r="G1183" s="113" t="s">
        <v>12</v>
      </c>
      <c r="H1183" s="113">
        <v>10</v>
      </c>
      <c r="I1183" s="113">
        <v>30</v>
      </c>
      <c r="J1183" s="113" t="s">
        <v>10</v>
      </c>
      <c r="K1183" s="113">
        <v>0.56477999999999995</v>
      </c>
      <c r="L1183" s="113">
        <v>3.8904999999999998</v>
      </c>
      <c r="M1183" s="113">
        <v>0.56466000000000005</v>
      </c>
      <c r="N1183" s="113">
        <v>3.8906000000000001</v>
      </c>
      <c r="O1183" s="114" t="s">
        <v>2408</v>
      </c>
    </row>
    <row r="1184" spans="1:15" x14ac:dyDescent="0.25">
      <c r="A1184" s="113" t="s">
        <v>54</v>
      </c>
      <c r="B1184" s="113" t="s">
        <v>47</v>
      </c>
      <c r="C1184" s="113">
        <v>3.3000000000000002E-2</v>
      </c>
      <c r="D1184" s="113">
        <v>0.33001000000000003</v>
      </c>
      <c r="E1184" s="113">
        <v>1E-3</v>
      </c>
      <c r="F1184" s="113" t="s">
        <v>13</v>
      </c>
      <c r="G1184" s="113" t="s">
        <v>12</v>
      </c>
      <c r="H1184" s="113">
        <v>5</v>
      </c>
      <c r="I1184" s="113">
        <v>10.01</v>
      </c>
      <c r="J1184" s="113" t="s">
        <v>10</v>
      </c>
      <c r="K1184" s="113">
        <v>0.55922000000000005</v>
      </c>
      <c r="L1184" s="113">
        <v>1.4903999999999999</v>
      </c>
      <c r="M1184" s="113">
        <v>0.55915999999999999</v>
      </c>
      <c r="N1184" s="113">
        <v>1.4903999999999999</v>
      </c>
      <c r="O1184" s="114" t="s">
        <v>2410</v>
      </c>
    </row>
    <row r="1185" spans="1:15" x14ac:dyDescent="0.25">
      <c r="A1185" s="113" t="s">
        <v>54</v>
      </c>
      <c r="B1185" s="113" t="s">
        <v>47</v>
      </c>
      <c r="C1185" s="113">
        <v>3.3000000000000002E-2</v>
      </c>
      <c r="D1185" s="113">
        <v>0.33001000000000003</v>
      </c>
      <c r="E1185" s="113">
        <v>1E-3</v>
      </c>
      <c r="F1185" s="113" t="s">
        <v>13</v>
      </c>
      <c r="G1185" s="113" t="s">
        <v>12</v>
      </c>
      <c r="H1185" s="113">
        <v>0.02</v>
      </c>
      <c r="I1185" s="113">
        <v>4.5010000000000001E-2</v>
      </c>
      <c r="J1185" s="113" t="s">
        <v>10</v>
      </c>
      <c r="K1185" s="113">
        <v>0.56864000000000003</v>
      </c>
      <c r="L1185" s="113">
        <v>0.35072999999999999</v>
      </c>
      <c r="M1185" s="113">
        <v>0.56864000000000003</v>
      </c>
      <c r="N1185" s="113">
        <v>0.35067999999999999</v>
      </c>
      <c r="O1185" s="114" t="s">
        <v>2412</v>
      </c>
    </row>
    <row r="1186" spans="1:15" x14ac:dyDescent="0.25">
      <c r="A1186" s="113" t="s">
        <v>54</v>
      </c>
      <c r="B1186" s="113" t="s">
        <v>47</v>
      </c>
      <c r="C1186" s="113">
        <v>3.3000000000000002E-2</v>
      </c>
      <c r="D1186" s="113">
        <v>0.33001000000000003</v>
      </c>
      <c r="E1186" s="113">
        <v>1E-3</v>
      </c>
      <c r="F1186" s="113" t="s">
        <v>13</v>
      </c>
      <c r="G1186" s="113" t="s">
        <v>12</v>
      </c>
      <c r="H1186" s="113">
        <v>30</v>
      </c>
      <c r="I1186" s="113">
        <v>30.01</v>
      </c>
      <c r="J1186" s="113" t="s">
        <v>10</v>
      </c>
      <c r="K1186" s="113">
        <v>0.56477999999999995</v>
      </c>
      <c r="L1186" s="113">
        <v>3.8904999999999998</v>
      </c>
      <c r="M1186" s="113">
        <v>0.56466000000000005</v>
      </c>
      <c r="N1186" s="113">
        <v>3.8906000000000001</v>
      </c>
      <c r="O1186" s="114" t="s">
        <v>2409</v>
      </c>
    </row>
    <row r="1187" spans="1:15" x14ac:dyDescent="0.25">
      <c r="A1187" s="113" t="s">
        <v>54</v>
      </c>
      <c r="B1187" s="113" t="s">
        <v>47</v>
      </c>
      <c r="C1187" s="113">
        <v>3.3000000000000002E-2</v>
      </c>
      <c r="D1187" s="113">
        <v>0.33001000000000003</v>
      </c>
      <c r="E1187" s="113">
        <v>1E-3</v>
      </c>
      <c r="F1187" s="113" t="s">
        <v>13</v>
      </c>
      <c r="G1187" s="113" t="s">
        <v>12</v>
      </c>
      <c r="H1187" s="113">
        <v>1</v>
      </c>
      <c r="I1187" s="113">
        <v>5.01</v>
      </c>
      <c r="J1187" s="113" t="s">
        <v>10</v>
      </c>
      <c r="K1187" s="113">
        <v>0.56964999999999999</v>
      </c>
      <c r="L1187" s="113">
        <v>0.47367999999999999</v>
      </c>
      <c r="M1187" s="113">
        <v>0.56962999999999997</v>
      </c>
      <c r="N1187" s="113">
        <v>0.47360999999999998</v>
      </c>
      <c r="O1187" s="114" t="s">
        <v>2807</v>
      </c>
    </row>
    <row r="1188" spans="1:15" x14ac:dyDescent="0.25">
      <c r="A1188" s="113" t="s">
        <v>54</v>
      </c>
      <c r="B1188" s="113" t="s">
        <v>47</v>
      </c>
      <c r="C1188" s="113">
        <v>3.3000000000000002E-2</v>
      </c>
      <c r="D1188" s="113">
        <v>0.33001000000000003</v>
      </c>
      <c r="E1188" s="113">
        <v>0.01</v>
      </c>
      <c r="F1188" s="113" t="s">
        <v>13</v>
      </c>
      <c r="G1188" s="113" t="s">
        <v>12</v>
      </c>
      <c r="H1188" s="113">
        <v>4.4999999999999998E-2</v>
      </c>
      <c r="I1188" s="113">
        <v>1.0000100000000001</v>
      </c>
      <c r="J1188" s="113" t="s">
        <v>10</v>
      </c>
      <c r="K1188" s="113">
        <v>5.7733999999999996</v>
      </c>
      <c r="L1188" s="113">
        <v>8.8941000000000003E-3</v>
      </c>
      <c r="M1188" s="113">
        <v>5.7733999999999996</v>
      </c>
      <c r="N1188" s="113">
        <v>8.8681999999999997E-3</v>
      </c>
      <c r="O1188" s="114" t="s">
        <v>2415</v>
      </c>
    </row>
    <row r="1189" spans="1:15" x14ac:dyDescent="0.25">
      <c r="A1189" s="113" t="s">
        <v>54</v>
      </c>
      <c r="B1189" s="113" t="s">
        <v>47</v>
      </c>
      <c r="C1189" s="113">
        <v>3.3000000000000002E-2</v>
      </c>
      <c r="D1189" s="113">
        <v>0.33001000000000003</v>
      </c>
      <c r="E1189" s="113">
        <v>0.01</v>
      </c>
      <c r="F1189" s="113" t="s">
        <v>13</v>
      </c>
      <c r="G1189" s="113" t="s">
        <v>12</v>
      </c>
      <c r="H1189" s="113">
        <v>10</v>
      </c>
      <c r="I1189" s="113">
        <v>30</v>
      </c>
      <c r="J1189" s="113" t="s">
        <v>10</v>
      </c>
      <c r="K1189" s="113">
        <v>5.7587000000000002</v>
      </c>
      <c r="L1189" s="113">
        <v>0.83674000000000004</v>
      </c>
      <c r="M1189" s="113">
        <v>5.7587000000000002</v>
      </c>
      <c r="N1189" s="113">
        <v>0.83650999999999998</v>
      </c>
      <c r="O1189" s="114" t="s">
        <v>2808</v>
      </c>
    </row>
    <row r="1190" spans="1:15" x14ac:dyDescent="0.25">
      <c r="A1190" s="113" t="s">
        <v>54</v>
      </c>
      <c r="B1190" s="113" t="s">
        <v>47</v>
      </c>
      <c r="C1190" s="113">
        <v>3.3000000000000002E-2</v>
      </c>
      <c r="D1190" s="113">
        <v>0.33001000000000003</v>
      </c>
      <c r="E1190" s="113">
        <v>0.01</v>
      </c>
      <c r="F1190" s="113" t="s">
        <v>13</v>
      </c>
      <c r="G1190" s="113" t="s">
        <v>12</v>
      </c>
      <c r="H1190" s="113">
        <v>30</v>
      </c>
      <c r="I1190" s="113">
        <v>30.01</v>
      </c>
      <c r="J1190" s="113" t="s">
        <v>10</v>
      </c>
      <c r="K1190" s="113">
        <v>5.7587000000000002</v>
      </c>
      <c r="L1190" s="113">
        <v>0.83674000000000004</v>
      </c>
      <c r="M1190" s="113">
        <v>5.7587000000000002</v>
      </c>
      <c r="N1190" s="113">
        <v>0.83650999999999998</v>
      </c>
      <c r="O1190" s="114" t="s">
        <v>2413</v>
      </c>
    </row>
    <row r="1191" spans="1:15" x14ac:dyDescent="0.25">
      <c r="A1191" s="113" t="s">
        <v>54</v>
      </c>
      <c r="B1191" s="113" t="s">
        <v>47</v>
      </c>
      <c r="C1191" s="113">
        <v>3.3000000000000002E-2</v>
      </c>
      <c r="D1191" s="113">
        <v>0.33001000000000003</v>
      </c>
      <c r="E1191" s="113">
        <v>0.01</v>
      </c>
      <c r="F1191" s="113" t="s">
        <v>13</v>
      </c>
      <c r="G1191" s="113" t="s">
        <v>12</v>
      </c>
      <c r="H1191" s="113">
        <v>1</v>
      </c>
      <c r="I1191" s="113">
        <v>5.01</v>
      </c>
      <c r="J1191" s="113" t="s">
        <v>10</v>
      </c>
      <c r="K1191" s="113">
        <v>5.7725999999999997</v>
      </c>
      <c r="L1191" s="113">
        <v>5.3741999999999998E-2</v>
      </c>
      <c r="M1191" s="113">
        <v>5.7725999999999997</v>
      </c>
      <c r="N1191" s="113">
        <v>5.3697000000000002E-2</v>
      </c>
      <c r="O1191" s="114" t="s">
        <v>2418</v>
      </c>
    </row>
    <row r="1192" spans="1:15" x14ac:dyDescent="0.25">
      <c r="A1192" s="113" t="s">
        <v>54</v>
      </c>
      <c r="B1192" s="113" t="s">
        <v>47</v>
      </c>
      <c r="C1192" s="113">
        <v>3.3000000000000002E-2</v>
      </c>
      <c r="D1192" s="113">
        <v>0.33001000000000003</v>
      </c>
      <c r="E1192" s="113">
        <v>0.01</v>
      </c>
      <c r="F1192" s="113" t="s">
        <v>13</v>
      </c>
      <c r="G1192" s="113" t="s">
        <v>12</v>
      </c>
      <c r="H1192" s="113">
        <v>5</v>
      </c>
      <c r="I1192" s="113">
        <v>10.01</v>
      </c>
      <c r="J1192" s="113" t="s">
        <v>10</v>
      </c>
      <c r="K1192" s="113">
        <v>5.7697000000000003</v>
      </c>
      <c r="L1192" s="113">
        <v>0.21298</v>
      </c>
      <c r="M1192" s="113">
        <v>5.7697000000000003</v>
      </c>
      <c r="N1192" s="113">
        <v>0.21288000000000001</v>
      </c>
      <c r="O1192" s="114" t="s">
        <v>2414</v>
      </c>
    </row>
    <row r="1193" spans="1:15" x14ac:dyDescent="0.25">
      <c r="A1193" s="113" t="s">
        <v>54</v>
      </c>
      <c r="B1193" s="113" t="s">
        <v>47</v>
      </c>
      <c r="C1193" s="113">
        <v>3.3000000000000002E-2</v>
      </c>
      <c r="D1193" s="113">
        <v>0.33001000000000003</v>
      </c>
      <c r="E1193" s="113">
        <v>0.01</v>
      </c>
      <c r="F1193" s="113" t="s">
        <v>13</v>
      </c>
      <c r="G1193" s="113" t="s">
        <v>12</v>
      </c>
      <c r="H1193" s="113">
        <v>0.01</v>
      </c>
      <c r="I1193" s="113">
        <v>2.001E-2</v>
      </c>
      <c r="J1193" s="113" t="s">
        <v>10</v>
      </c>
      <c r="K1193" s="113">
        <v>5.7694999999999999</v>
      </c>
      <c r="L1193" s="113">
        <v>0.14516999999999999</v>
      </c>
      <c r="M1193" s="113">
        <v>5.7694999999999999</v>
      </c>
      <c r="N1193" s="113">
        <v>0.14515</v>
      </c>
      <c r="O1193" s="114" t="s">
        <v>2416</v>
      </c>
    </row>
    <row r="1194" spans="1:15" x14ac:dyDescent="0.25">
      <c r="A1194" s="113" t="s">
        <v>54</v>
      </c>
      <c r="B1194" s="113" t="s">
        <v>47</v>
      </c>
      <c r="C1194" s="113">
        <v>3.3000000000000002E-2</v>
      </c>
      <c r="D1194" s="113">
        <v>0.33001000000000003</v>
      </c>
      <c r="E1194" s="113">
        <v>0.01</v>
      </c>
      <c r="F1194" s="113" t="s">
        <v>13</v>
      </c>
      <c r="G1194" s="113" t="s">
        <v>12</v>
      </c>
      <c r="H1194" s="113">
        <v>0.02</v>
      </c>
      <c r="I1194" s="113">
        <v>4.5010000000000001E-2</v>
      </c>
      <c r="J1194" s="113" t="s">
        <v>10</v>
      </c>
      <c r="K1194" s="113">
        <v>5.7725999999999997</v>
      </c>
      <c r="L1194" s="113">
        <v>3.8390000000000001E-2</v>
      </c>
      <c r="M1194" s="113">
        <v>5.7725999999999997</v>
      </c>
      <c r="N1194" s="113">
        <v>3.8365000000000003E-2</v>
      </c>
      <c r="O1194" s="114" t="s">
        <v>2417</v>
      </c>
    </row>
    <row r="1195" spans="1:15" x14ac:dyDescent="0.25">
      <c r="A1195" s="113" t="s">
        <v>54</v>
      </c>
      <c r="B1195" s="113" t="s">
        <v>47</v>
      </c>
      <c r="C1195" s="113">
        <v>0.33</v>
      </c>
      <c r="D1195" s="113">
        <v>1.1000099999999999</v>
      </c>
      <c r="E1195" s="113">
        <v>1.0000000000000001E-5</v>
      </c>
      <c r="F1195" s="113" t="s">
        <v>13</v>
      </c>
      <c r="G1195" s="113" t="s">
        <v>12</v>
      </c>
      <c r="H1195" s="113">
        <v>4.4999999999999998E-2</v>
      </c>
      <c r="I1195" s="113">
        <v>1.0000100000000001</v>
      </c>
      <c r="J1195" s="113" t="s">
        <v>10</v>
      </c>
      <c r="K1195" s="113">
        <v>0.12</v>
      </c>
      <c r="L1195" s="113">
        <v>0.57999999999999996</v>
      </c>
      <c r="M1195" s="113">
        <v>0.11734</v>
      </c>
      <c r="N1195" s="113">
        <v>0.57738999999999996</v>
      </c>
      <c r="O1195" s="114" t="s">
        <v>2421</v>
      </c>
    </row>
    <row r="1196" spans="1:15" x14ac:dyDescent="0.25">
      <c r="A1196" s="113" t="s">
        <v>54</v>
      </c>
      <c r="B1196" s="113" t="s">
        <v>47</v>
      </c>
      <c r="C1196" s="113">
        <v>0.33</v>
      </c>
      <c r="D1196" s="113">
        <v>1.1000099999999999</v>
      </c>
      <c r="E1196" s="113">
        <v>1.0000000000000001E-5</v>
      </c>
      <c r="F1196" s="113" t="s">
        <v>13</v>
      </c>
      <c r="G1196" s="113" t="s">
        <v>12</v>
      </c>
      <c r="H1196" s="113">
        <v>1</v>
      </c>
      <c r="I1196" s="113">
        <v>5.01</v>
      </c>
      <c r="J1196" s="113" t="s">
        <v>10</v>
      </c>
      <c r="K1196" s="113">
        <v>1.2</v>
      </c>
      <c r="L1196" s="113">
        <v>6.9</v>
      </c>
      <c r="M1196" s="113">
        <v>1.1549</v>
      </c>
      <c r="N1196" s="113">
        <v>6.9282000000000004</v>
      </c>
      <c r="O1196" s="114" t="s">
        <v>2420</v>
      </c>
    </row>
    <row r="1197" spans="1:15" x14ac:dyDescent="0.25">
      <c r="A1197" s="113" t="s">
        <v>54</v>
      </c>
      <c r="B1197" s="113" t="s">
        <v>47</v>
      </c>
      <c r="C1197" s="113">
        <v>0.33</v>
      </c>
      <c r="D1197" s="113">
        <v>1.1000099999999999</v>
      </c>
      <c r="E1197" s="113">
        <v>1.0000000000000001E-5</v>
      </c>
      <c r="F1197" s="113" t="s">
        <v>13</v>
      </c>
      <c r="G1197" s="113" t="s">
        <v>12</v>
      </c>
      <c r="H1197" s="113">
        <v>5</v>
      </c>
      <c r="I1197" s="113">
        <v>10</v>
      </c>
      <c r="J1197" s="113" t="s">
        <v>10</v>
      </c>
      <c r="K1197" s="113">
        <v>5.8</v>
      </c>
      <c r="L1197" s="113">
        <v>29</v>
      </c>
      <c r="M1197" s="113">
        <v>5.7733999999999996</v>
      </c>
      <c r="N1197" s="113">
        <v>28.867999999999999</v>
      </c>
      <c r="O1197" s="114" t="s">
        <v>2809</v>
      </c>
    </row>
    <row r="1198" spans="1:15" x14ac:dyDescent="0.25">
      <c r="A1198" s="113" t="s">
        <v>54</v>
      </c>
      <c r="B1198" s="113" t="s">
        <v>47</v>
      </c>
      <c r="C1198" s="113">
        <v>0.33</v>
      </c>
      <c r="D1198" s="113">
        <v>1.1000099999999999</v>
      </c>
      <c r="E1198" s="113">
        <v>1.0000000000000001E-5</v>
      </c>
      <c r="F1198" s="113" t="s">
        <v>13</v>
      </c>
      <c r="G1198" s="113" t="s">
        <v>12</v>
      </c>
      <c r="H1198" s="113">
        <v>0.01</v>
      </c>
      <c r="I1198" s="113">
        <v>4.5010000000000001E-2</v>
      </c>
      <c r="J1198" s="113" t="s">
        <v>10</v>
      </c>
      <c r="K1198" s="113">
        <v>0.12</v>
      </c>
      <c r="L1198" s="113">
        <v>2.1</v>
      </c>
      <c r="M1198" s="113">
        <v>0.11617</v>
      </c>
      <c r="N1198" s="113">
        <v>2.0783999999999998</v>
      </c>
      <c r="O1198" s="114" t="s">
        <v>2419</v>
      </c>
    </row>
    <row r="1199" spans="1:15" x14ac:dyDescent="0.25">
      <c r="A1199" s="113" t="s">
        <v>54</v>
      </c>
      <c r="B1199" s="113" t="s">
        <v>47</v>
      </c>
      <c r="C1199" s="113">
        <v>0.33</v>
      </c>
      <c r="D1199" s="113">
        <v>1.1000099999999999</v>
      </c>
      <c r="E1199" s="113">
        <v>1.0000000000000001E-5</v>
      </c>
      <c r="F1199" s="113" t="s">
        <v>13</v>
      </c>
      <c r="G1199" s="113" t="s">
        <v>12</v>
      </c>
      <c r="H1199" s="113">
        <v>10</v>
      </c>
      <c r="I1199" s="113">
        <v>10.01</v>
      </c>
      <c r="J1199" s="113" t="s">
        <v>10</v>
      </c>
      <c r="K1199" s="113">
        <v>5.8</v>
      </c>
      <c r="L1199" s="113">
        <v>29</v>
      </c>
      <c r="M1199" s="113">
        <v>5.7733999999999996</v>
      </c>
      <c r="N1199" s="113">
        <v>28.867999999999999</v>
      </c>
      <c r="O1199" s="114" t="s">
        <v>2422</v>
      </c>
    </row>
    <row r="1200" spans="1:15" x14ac:dyDescent="0.25">
      <c r="A1200" s="113" t="s">
        <v>54</v>
      </c>
      <c r="B1200" s="113" t="s">
        <v>47</v>
      </c>
      <c r="C1200" s="113">
        <v>0.33</v>
      </c>
      <c r="D1200" s="113">
        <v>1.1000099999999999</v>
      </c>
      <c r="E1200" s="113">
        <v>1E-4</v>
      </c>
      <c r="F1200" s="113" t="s">
        <v>13</v>
      </c>
      <c r="G1200" s="113" t="s">
        <v>12</v>
      </c>
      <c r="H1200" s="113">
        <v>0.01</v>
      </c>
      <c r="I1200" s="113">
        <v>4.5010000000000001E-2</v>
      </c>
      <c r="J1200" s="113" t="s">
        <v>10</v>
      </c>
      <c r="K1200" s="113">
        <v>0.12</v>
      </c>
      <c r="L1200" s="113">
        <v>2.1</v>
      </c>
      <c r="M1200" s="113">
        <v>0.11882</v>
      </c>
      <c r="N1200" s="113">
        <v>2.0766</v>
      </c>
      <c r="O1200" s="114" t="s">
        <v>2425</v>
      </c>
    </row>
    <row r="1201" spans="1:15" x14ac:dyDescent="0.25">
      <c r="A1201" s="113" t="s">
        <v>54</v>
      </c>
      <c r="B1201" s="113" t="s">
        <v>47</v>
      </c>
      <c r="C1201" s="113">
        <v>0.33</v>
      </c>
      <c r="D1201" s="113">
        <v>1.1000099999999999</v>
      </c>
      <c r="E1201" s="113">
        <v>1E-4</v>
      </c>
      <c r="F1201" s="113" t="s">
        <v>13</v>
      </c>
      <c r="G1201" s="113" t="s">
        <v>12</v>
      </c>
      <c r="H1201" s="113">
        <v>4.4999999999999998E-2</v>
      </c>
      <c r="I1201" s="113">
        <v>1.0000100000000001</v>
      </c>
      <c r="J1201" s="113" t="s">
        <v>10</v>
      </c>
      <c r="K1201" s="113">
        <v>0.12267</v>
      </c>
      <c r="L1201" s="113">
        <v>0.57757999999999998</v>
      </c>
      <c r="M1201" s="113">
        <v>0.124</v>
      </c>
      <c r="N1201" s="113">
        <v>0.57333000000000001</v>
      </c>
      <c r="O1201" s="114" t="s">
        <v>2810</v>
      </c>
    </row>
    <row r="1202" spans="1:15" x14ac:dyDescent="0.25">
      <c r="A1202" s="113" t="s">
        <v>54</v>
      </c>
      <c r="B1202" s="113" t="s">
        <v>47</v>
      </c>
      <c r="C1202" s="113">
        <v>0.33</v>
      </c>
      <c r="D1202" s="113">
        <v>1.1000099999999999</v>
      </c>
      <c r="E1202" s="113">
        <v>1E-4</v>
      </c>
      <c r="F1202" s="113" t="s">
        <v>13</v>
      </c>
      <c r="G1202" s="113" t="s">
        <v>12</v>
      </c>
      <c r="H1202" s="113">
        <v>1</v>
      </c>
      <c r="I1202" s="113">
        <v>5.01</v>
      </c>
      <c r="J1202" s="113" t="s">
        <v>10</v>
      </c>
      <c r="K1202" s="113">
        <v>1.2</v>
      </c>
      <c r="L1202" s="113">
        <v>6.9</v>
      </c>
      <c r="M1202" s="113">
        <v>1.1555</v>
      </c>
      <c r="N1202" s="113">
        <v>6.9278000000000004</v>
      </c>
      <c r="O1202" s="114" t="s">
        <v>2424</v>
      </c>
    </row>
    <row r="1203" spans="1:15" x14ac:dyDescent="0.25">
      <c r="A1203" s="113" t="s">
        <v>54</v>
      </c>
      <c r="B1203" s="113" t="s">
        <v>47</v>
      </c>
      <c r="C1203" s="113">
        <v>0.33</v>
      </c>
      <c r="D1203" s="113">
        <v>1.1000099999999999</v>
      </c>
      <c r="E1203" s="113">
        <v>1E-4</v>
      </c>
      <c r="F1203" s="113" t="s">
        <v>13</v>
      </c>
      <c r="G1203" s="113" t="s">
        <v>12</v>
      </c>
      <c r="H1203" s="113">
        <v>5</v>
      </c>
      <c r="I1203" s="113">
        <v>10</v>
      </c>
      <c r="J1203" s="113" t="s">
        <v>10</v>
      </c>
      <c r="K1203" s="113">
        <v>5.8</v>
      </c>
      <c r="L1203" s="113">
        <v>29</v>
      </c>
      <c r="M1203" s="113">
        <v>5.7742000000000004</v>
      </c>
      <c r="N1203" s="113">
        <v>28.867000000000001</v>
      </c>
      <c r="O1203" s="114" t="s">
        <v>2423</v>
      </c>
    </row>
    <row r="1204" spans="1:15" x14ac:dyDescent="0.25">
      <c r="A1204" s="113" t="s">
        <v>54</v>
      </c>
      <c r="B1204" s="113" t="s">
        <v>47</v>
      </c>
      <c r="C1204" s="113">
        <v>0.33</v>
      </c>
      <c r="D1204" s="113">
        <v>1.1000099999999999</v>
      </c>
      <c r="E1204" s="113">
        <v>1E-4</v>
      </c>
      <c r="F1204" s="113" t="s">
        <v>13</v>
      </c>
      <c r="G1204" s="113" t="s">
        <v>12</v>
      </c>
      <c r="H1204" s="113">
        <v>10</v>
      </c>
      <c r="I1204" s="113">
        <v>10.01</v>
      </c>
      <c r="J1204" s="113" t="s">
        <v>10</v>
      </c>
      <c r="K1204" s="113">
        <v>5.8</v>
      </c>
      <c r="L1204" s="113">
        <v>29</v>
      </c>
      <c r="M1204" s="113">
        <v>5.7742000000000004</v>
      </c>
      <c r="N1204" s="113">
        <v>28.867000000000001</v>
      </c>
      <c r="O1204" s="114" t="s">
        <v>2811</v>
      </c>
    </row>
    <row r="1205" spans="1:15" x14ac:dyDescent="0.25">
      <c r="A1205" s="113" t="s">
        <v>54</v>
      </c>
      <c r="B1205" s="113" t="s">
        <v>47</v>
      </c>
      <c r="C1205" s="113">
        <v>0.33</v>
      </c>
      <c r="D1205" s="113">
        <v>1.1000099999999999</v>
      </c>
      <c r="E1205" s="113">
        <v>1E-3</v>
      </c>
      <c r="F1205" s="113" t="s">
        <v>13</v>
      </c>
      <c r="G1205" s="113" t="s">
        <v>12</v>
      </c>
      <c r="H1205" s="113">
        <v>1</v>
      </c>
      <c r="I1205" s="113">
        <v>5.01</v>
      </c>
      <c r="J1205" s="113" t="s">
        <v>10</v>
      </c>
      <c r="K1205" s="113">
        <v>1.2163999999999999</v>
      </c>
      <c r="L1205" s="113">
        <v>6.8902999999999999</v>
      </c>
      <c r="M1205" s="113">
        <v>1.2155</v>
      </c>
      <c r="N1205" s="113">
        <v>6.8903999999999996</v>
      </c>
      <c r="O1205" s="114" t="s">
        <v>2429</v>
      </c>
    </row>
    <row r="1206" spans="1:15" x14ac:dyDescent="0.25">
      <c r="A1206" s="113" t="s">
        <v>54</v>
      </c>
      <c r="B1206" s="113" t="s">
        <v>47</v>
      </c>
      <c r="C1206" s="113">
        <v>0.33</v>
      </c>
      <c r="D1206" s="113">
        <v>1.1000099999999999</v>
      </c>
      <c r="E1206" s="113">
        <v>1E-3</v>
      </c>
      <c r="F1206" s="113" t="s">
        <v>13</v>
      </c>
      <c r="G1206" s="113" t="s">
        <v>12</v>
      </c>
      <c r="H1206" s="113">
        <v>4.4999999999999998E-2</v>
      </c>
      <c r="I1206" s="113">
        <v>1.0000100000000001</v>
      </c>
      <c r="J1206" s="113" t="s">
        <v>10</v>
      </c>
      <c r="K1206" s="113">
        <v>0.52825</v>
      </c>
      <c r="L1206" s="113">
        <v>0.38235000000000002</v>
      </c>
      <c r="M1206" s="113">
        <v>0.52822999999999998</v>
      </c>
      <c r="N1206" s="113">
        <v>0.38200000000000001</v>
      </c>
      <c r="O1206" s="114" t="s">
        <v>2428</v>
      </c>
    </row>
    <row r="1207" spans="1:15" x14ac:dyDescent="0.25">
      <c r="A1207" s="113" t="s">
        <v>54</v>
      </c>
      <c r="B1207" s="113" t="s">
        <v>47</v>
      </c>
      <c r="C1207" s="113">
        <v>0.33</v>
      </c>
      <c r="D1207" s="113">
        <v>1.1000099999999999</v>
      </c>
      <c r="E1207" s="113">
        <v>1E-3</v>
      </c>
      <c r="F1207" s="113" t="s">
        <v>13</v>
      </c>
      <c r="G1207" s="113" t="s">
        <v>12</v>
      </c>
      <c r="H1207" s="113">
        <v>10</v>
      </c>
      <c r="I1207" s="113">
        <v>10.01</v>
      </c>
      <c r="J1207" s="113" t="s">
        <v>10</v>
      </c>
      <c r="K1207" s="113">
        <v>5.8</v>
      </c>
      <c r="L1207" s="113">
        <v>29</v>
      </c>
      <c r="M1207" s="113">
        <v>5.7873999999999999</v>
      </c>
      <c r="N1207" s="113">
        <v>28.859000000000002</v>
      </c>
      <c r="O1207" s="114" t="s">
        <v>2812</v>
      </c>
    </row>
    <row r="1208" spans="1:15" x14ac:dyDescent="0.25">
      <c r="A1208" s="113" t="s">
        <v>54</v>
      </c>
      <c r="B1208" s="113" t="s">
        <v>47</v>
      </c>
      <c r="C1208" s="113">
        <v>0.33</v>
      </c>
      <c r="D1208" s="113">
        <v>1.1000099999999999</v>
      </c>
      <c r="E1208" s="113">
        <v>1E-3</v>
      </c>
      <c r="F1208" s="113" t="s">
        <v>13</v>
      </c>
      <c r="G1208" s="113" t="s">
        <v>12</v>
      </c>
      <c r="H1208" s="113">
        <v>5</v>
      </c>
      <c r="I1208" s="113">
        <v>10</v>
      </c>
      <c r="J1208" s="113" t="s">
        <v>10</v>
      </c>
      <c r="K1208" s="113">
        <v>5.8</v>
      </c>
      <c r="L1208" s="113">
        <v>29</v>
      </c>
      <c r="M1208" s="113">
        <v>5.7873999999999999</v>
      </c>
      <c r="N1208" s="113">
        <v>28.859000000000002</v>
      </c>
      <c r="O1208" s="114" t="s">
        <v>2426</v>
      </c>
    </row>
    <row r="1209" spans="1:15" x14ac:dyDescent="0.25">
      <c r="A1209" s="113" t="s">
        <v>54</v>
      </c>
      <c r="B1209" s="113" t="s">
        <v>47</v>
      </c>
      <c r="C1209" s="113">
        <v>0.33</v>
      </c>
      <c r="D1209" s="113">
        <v>1.1000099999999999</v>
      </c>
      <c r="E1209" s="113">
        <v>1E-3</v>
      </c>
      <c r="F1209" s="113" t="s">
        <v>13</v>
      </c>
      <c r="G1209" s="113" t="s">
        <v>12</v>
      </c>
      <c r="H1209" s="113">
        <v>0.01</v>
      </c>
      <c r="I1209" s="113">
        <v>4.5010000000000001E-2</v>
      </c>
      <c r="J1209" s="113" t="s">
        <v>10</v>
      </c>
      <c r="K1209" s="113">
        <v>0.35291</v>
      </c>
      <c r="L1209" s="113">
        <v>1.9255</v>
      </c>
      <c r="M1209" s="113">
        <v>0.35283999999999999</v>
      </c>
      <c r="N1209" s="113">
        <v>1.9254</v>
      </c>
      <c r="O1209" s="114" t="s">
        <v>2427</v>
      </c>
    </row>
    <row r="1210" spans="1:15" x14ac:dyDescent="0.25">
      <c r="A1210" s="113" t="s">
        <v>54</v>
      </c>
      <c r="B1210" s="113" t="s">
        <v>47</v>
      </c>
      <c r="C1210" s="113">
        <v>0.33</v>
      </c>
      <c r="D1210" s="113">
        <v>1.1000099999999999</v>
      </c>
      <c r="E1210" s="113">
        <v>0.01</v>
      </c>
      <c r="F1210" s="113" t="s">
        <v>13</v>
      </c>
      <c r="G1210" s="113" t="s">
        <v>12</v>
      </c>
      <c r="H1210" s="113">
        <v>4.4999999999999998E-2</v>
      </c>
      <c r="I1210" s="113">
        <v>1.0000100000000001</v>
      </c>
      <c r="J1210" s="113" t="s">
        <v>10</v>
      </c>
      <c r="K1210" s="113">
        <v>5.7643000000000004</v>
      </c>
      <c r="L1210" s="113">
        <v>5.3023000000000001E-2</v>
      </c>
      <c r="M1210" s="113">
        <v>5.7643000000000004</v>
      </c>
      <c r="N1210" s="113">
        <v>5.2760000000000001E-2</v>
      </c>
      <c r="O1210" s="114" t="s">
        <v>2433</v>
      </c>
    </row>
    <row r="1211" spans="1:15" x14ac:dyDescent="0.25">
      <c r="A1211" s="113" t="s">
        <v>54</v>
      </c>
      <c r="B1211" s="113" t="s">
        <v>47</v>
      </c>
      <c r="C1211" s="113">
        <v>0.33</v>
      </c>
      <c r="D1211" s="113">
        <v>1.1000099999999999</v>
      </c>
      <c r="E1211" s="113">
        <v>0.01</v>
      </c>
      <c r="F1211" s="113" t="s">
        <v>13</v>
      </c>
      <c r="G1211" s="113" t="s">
        <v>12</v>
      </c>
      <c r="H1211" s="113">
        <v>5</v>
      </c>
      <c r="I1211" s="113">
        <v>10</v>
      </c>
      <c r="J1211" s="113" t="s">
        <v>10</v>
      </c>
      <c r="K1211" s="113">
        <v>7.0907999999999998</v>
      </c>
      <c r="L1211" s="113">
        <v>28.073</v>
      </c>
      <c r="M1211" s="113">
        <v>7.0891000000000002</v>
      </c>
      <c r="N1211" s="113">
        <v>28.073</v>
      </c>
      <c r="O1211" s="114" t="s">
        <v>2431</v>
      </c>
    </row>
    <row r="1212" spans="1:15" x14ac:dyDescent="0.25">
      <c r="A1212" s="113" t="s">
        <v>54</v>
      </c>
      <c r="B1212" s="113" t="s">
        <v>47</v>
      </c>
      <c r="C1212" s="113">
        <v>0.33</v>
      </c>
      <c r="D1212" s="113">
        <v>1.1000099999999999</v>
      </c>
      <c r="E1212" s="113">
        <v>0.01</v>
      </c>
      <c r="F1212" s="113" t="s">
        <v>13</v>
      </c>
      <c r="G1212" s="113" t="s">
        <v>12</v>
      </c>
      <c r="H1212" s="113">
        <v>0.01</v>
      </c>
      <c r="I1212" s="113">
        <v>4.5010000000000001E-2</v>
      </c>
      <c r="J1212" s="113" t="s">
        <v>10</v>
      </c>
      <c r="K1212" s="113">
        <v>5.6471</v>
      </c>
      <c r="L1212" s="113">
        <v>0.55145</v>
      </c>
      <c r="M1212" s="113">
        <v>5.6471</v>
      </c>
      <c r="N1212" s="113">
        <v>0.55120999999999998</v>
      </c>
      <c r="O1212" s="114" t="s">
        <v>2813</v>
      </c>
    </row>
    <row r="1213" spans="1:15" x14ac:dyDescent="0.25">
      <c r="A1213" s="113" t="s">
        <v>54</v>
      </c>
      <c r="B1213" s="113" t="s">
        <v>47</v>
      </c>
      <c r="C1213" s="113">
        <v>0.33</v>
      </c>
      <c r="D1213" s="113">
        <v>1.1000099999999999</v>
      </c>
      <c r="E1213" s="113">
        <v>0.01</v>
      </c>
      <c r="F1213" s="113" t="s">
        <v>13</v>
      </c>
      <c r="G1213" s="113" t="s">
        <v>12</v>
      </c>
      <c r="H1213" s="113">
        <v>10</v>
      </c>
      <c r="I1213" s="113">
        <v>10.01</v>
      </c>
      <c r="J1213" s="113" t="s">
        <v>10</v>
      </c>
      <c r="K1213" s="113">
        <v>7.0907999999999998</v>
      </c>
      <c r="L1213" s="113">
        <v>28.073</v>
      </c>
      <c r="M1213" s="113">
        <v>7.0891000000000002</v>
      </c>
      <c r="N1213" s="113">
        <v>28.073</v>
      </c>
      <c r="O1213" s="114" t="s">
        <v>2432</v>
      </c>
    </row>
    <row r="1214" spans="1:15" x14ac:dyDescent="0.25">
      <c r="A1214" s="113" t="s">
        <v>54</v>
      </c>
      <c r="B1214" s="113" t="s">
        <v>47</v>
      </c>
      <c r="C1214" s="113">
        <v>0.33</v>
      </c>
      <c r="D1214" s="113">
        <v>1.1000099999999999</v>
      </c>
      <c r="E1214" s="113">
        <v>0.01</v>
      </c>
      <c r="F1214" s="113" t="s">
        <v>13</v>
      </c>
      <c r="G1214" s="113" t="s">
        <v>12</v>
      </c>
      <c r="H1214" s="113">
        <v>1</v>
      </c>
      <c r="I1214" s="113">
        <v>5.01</v>
      </c>
      <c r="J1214" s="113" t="s">
        <v>10</v>
      </c>
      <c r="K1214" s="113">
        <v>5.1010999999999997</v>
      </c>
      <c r="L1214" s="113">
        <v>4.9149000000000003</v>
      </c>
      <c r="M1214" s="113">
        <v>5.0998000000000001</v>
      </c>
      <c r="N1214" s="113">
        <v>4.9135999999999997</v>
      </c>
      <c r="O1214" s="114" t="s">
        <v>2430</v>
      </c>
    </row>
    <row r="1215" spans="1:15" x14ac:dyDescent="0.25">
      <c r="A1215" s="113" t="s">
        <v>54</v>
      </c>
      <c r="B1215" s="113" t="s">
        <v>47</v>
      </c>
      <c r="C1215" s="113">
        <v>0.33</v>
      </c>
      <c r="D1215" s="113">
        <v>1.1000099999999999</v>
      </c>
      <c r="E1215" s="113">
        <v>0.1</v>
      </c>
      <c r="F1215" s="113" t="s">
        <v>13</v>
      </c>
      <c r="G1215" s="113" t="s">
        <v>12</v>
      </c>
      <c r="H1215" s="113">
        <v>5</v>
      </c>
      <c r="I1215" s="113">
        <v>10</v>
      </c>
      <c r="J1215" s="113" t="s">
        <v>10</v>
      </c>
      <c r="K1215" s="113">
        <v>55.816000000000003</v>
      </c>
      <c r="L1215" s="113">
        <v>11.862</v>
      </c>
      <c r="M1215" s="113">
        <v>55.814999999999998</v>
      </c>
      <c r="N1215" s="113">
        <v>11.86</v>
      </c>
      <c r="O1215" s="114" t="s">
        <v>2815</v>
      </c>
    </row>
    <row r="1216" spans="1:15" x14ac:dyDescent="0.25">
      <c r="A1216" s="113" t="s">
        <v>54</v>
      </c>
      <c r="B1216" s="113" t="s">
        <v>47</v>
      </c>
      <c r="C1216" s="113">
        <v>0.33</v>
      </c>
      <c r="D1216" s="113">
        <v>1.1000099999999999</v>
      </c>
      <c r="E1216" s="113">
        <v>0.1</v>
      </c>
      <c r="F1216" s="113" t="s">
        <v>13</v>
      </c>
      <c r="G1216" s="113" t="s">
        <v>12</v>
      </c>
      <c r="H1216" s="113">
        <v>4.4999999999999998E-2</v>
      </c>
      <c r="I1216" s="113">
        <v>1.0000100000000001</v>
      </c>
      <c r="J1216" s="113" t="s">
        <v>10</v>
      </c>
      <c r="K1216" s="113">
        <v>57.734999999999999</v>
      </c>
      <c r="L1216" s="113">
        <v>5.4079999999999996E-3</v>
      </c>
      <c r="M1216" s="113">
        <v>57.734999999999999</v>
      </c>
      <c r="N1216" s="113">
        <v>5.3017999999999997E-3</v>
      </c>
      <c r="O1216" s="114" t="s">
        <v>2435</v>
      </c>
    </row>
    <row r="1217" spans="1:15" x14ac:dyDescent="0.25">
      <c r="A1217" s="113" t="s">
        <v>54</v>
      </c>
      <c r="B1217" s="113" t="s">
        <v>47</v>
      </c>
      <c r="C1217" s="113">
        <v>0.33</v>
      </c>
      <c r="D1217" s="113">
        <v>1.1000099999999999</v>
      </c>
      <c r="E1217" s="113">
        <v>0.1</v>
      </c>
      <c r="F1217" s="113" t="s">
        <v>13</v>
      </c>
      <c r="G1217" s="113" t="s">
        <v>12</v>
      </c>
      <c r="H1217" s="113">
        <v>0.01</v>
      </c>
      <c r="I1217" s="113">
        <v>4.5010000000000001E-2</v>
      </c>
      <c r="J1217" s="113" t="s">
        <v>10</v>
      </c>
      <c r="K1217" s="113">
        <v>57.722000000000001</v>
      </c>
      <c r="L1217" s="113">
        <v>5.7755000000000001E-2</v>
      </c>
      <c r="M1217" s="113">
        <v>57.722000000000001</v>
      </c>
      <c r="N1217" s="113">
        <v>5.7648999999999999E-2</v>
      </c>
      <c r="O1217" s="114" t="s">
        <v>2814</v>
      </c>
    </row>
    <row r="1218" spans="1:15" x14ac:dyDescent="0.25">
      <c r="A1218" s="113" t="s">
        <v>54</v>
      </c>
      <c r="B1218" s="113" t="s">
        <v>47</v>
      </c>
      <c r="C1218" s="113">
        <v>0.33</v>
      </c>
      <c r="D1218" s="113">
        <v>1.1000099999999999</v>
      </c>
      <c r="E1218" s="113">
        <v>0.1</v>
      </c>
      <c r="F1218" s="113" t="s">
        <v>13</v>
      </c>
      <c r="G1218" s="113" t="s">
        <v>12</v>
      </c>
      <c r="H1218" s="113">
        <v>1</v>
      </c>
      <c r="I1218" s="113">
        <v>5.01</v>
      </c>
      <c r="J1218" s="113" t="s">
        <v>10</v>
      </c>
      <c r="K1218" s="113">
        <v>57.597999999999999</v>
      </c>
      <c r="L1218" s="113">
        <v>0.72965000000000002</v>
      </c>
      <c r="M1218" s="113">
        <v>57.597999999999999</v>
      </c>
      <c r="N1218" s="113">
        <v>0.72819</v>
      </c>
      <c r="O1218" s="114" t="s">
        <v>2434</v>
      </c>
    </row>
    <row r="1219" spans="1:15" x14ac:dyDescent="0.25">
      <c r="A1219" s="113" t="s">
        <v>54</v>
      </c>
      <c r="B1219" s="113" t="s">
        <v>47</v>
      </c>
      <c r="C1219" s="113">
        <v>0.33</v>
      </c>
      <c r="D1219" s="113">
        <v>1.1000099999999999</v>
      </c>
      <c r="E1219" s="113">
        <v>0.1</v>
      </c>
      <c r="F1219" s="113" t="s">
        <v>13</v>
      </c>
      <c r="G1219" s="113" t="s">
        <v>12</v>
      </c>
      <c r="H1219" s="113">
        <v>10</v>
      </c>
      <c r="I1219" s="113">
        <v>10.01</v>
      </c>
      <c r="J1219" s="113" t="s">
        <v>10</v>
      </c>
      <c r="K1219" s="113">
        <v>55.816000000000003</v>
      </c>
      <c r="L1219" s="113">
        <v>11.862</v>
      </c>
      <c r="M1219" s="113">
        <v>55.814999999999998</v>
      </c>
      <c r="N1219" s="113">
        <v>11.86</v>
      </c>
      <c r="O1219" s="114" t="s">
        <v>2436</v>
      </c>
    </row>
    <row r="1220" spans="1:15" x14ac:dyDescent="0.25">
      <c r="A1220" s="113" t="s">
        <v>54</v>
      </c>
      <c r="B1220" s="113" t="s">
        <v>47</v>
      </c>
      <c r="C1220" s="113">
        <v>1.1000000000000001</v>
      </c>
      <c r="D1220" s="113">
        <v>3.0009999999999999</v>
      </c>
      <c r="E1220" s="113">
        <v>1.0000000000000001E-5</v>
      </c>
      <c r="F1220" s="113" t="s">
        <v>13</v>
      </c>
      <c r="G1220" s="113" t="s">
        <v>12</v>
      </c>
      <c r="H1220" s="113">
        <v>0.01</v>
      </c>
      <c r="I1220" s="113">
        <v>4.5010000000000001E-2</v>
      </c>
      <c r="J1220" s="113" t="s">
        <v>10</v>
      </c>
      <c r="K1220" s="113">
        <v>0.12</v>
      </c>
      <c r="L1220" s="113">
        <v>2.1</v>
      </c>
      <c r="M1220" s="113">
        <v>0.11589000000000001</v>
      </c>
      <c r="N1220" s="113">
        <v>2.0787</v>
      </c>
      <c r="O1220" s="114" t="s">
        <v>2440</v>
      </c>
    </row>
    <row r="1221" spans="1:15" x14ac:dyDescent="0.25">
      <c r="A1221" s="113" t="s">
        <v>54</v>
      </c>
      <c r="B1221" s="113" t="s">
        <v>47</v>
      </c>
      <c r="C1221" s="113">
        <v>1.1000000000000001</v>
      </c>
      <c r="D1221" s="113">
        <v>3.0009999999999999</v>
      </c>
      <c r="E1221" s="113">
        <v>1.0000000000000001E-5</v>
      </c>
      <c r="F1221" s="113" t="s">
        <v>13</v>
      </c>
      <c r="G1221" s="113" t="s">
        <v>12</v>
      </c>
      <c r="H1221" s="113">
        <v>10</v>
      </c>
      <c r="I1221" s="113">
        <v>10.01</v>
      </c>
      <c r="J1221" s="113" t="s">
        <v>10</v>
      </c>
      <c r="K1221" s="113">
        <v>5.8</v>
      </c>
      <c r="L1221" s="113">
        <v>29</v>
      </c>
      <c r="M1221" s="113">
        <v>5.7729999999999997</v>
      </c>
      <c r="N1221" s="113">
        <v>28.867999999999999</v>
      </c>
      <c r="O1221" s="114" t="s">
        <v>2439</v>
      </c>
    </row>
    <row r="1222" spans="1:15" x14ac:dyDescent="0.25">
      <c r="A1222" s="113" t="s">
        <v>54</v>
      </c>
      <c r="B1222" s="113" t="s">
        <v>47</v>
      </c>
      <c r="C1222" s="113">
        <v>1.1000000000000001</v>
      </c>
      <c r="D1222" s="113">
        <v>3.0009999999999999</v>
      </c>
      <c r="E1222" s="113">
        <v>1.0000000000000001E-5</v>
      </c>
      <c r="F1222" s="113" t="s">
        <v>13</v>
      </c>
      <c r="G1222" s="113" t="s">
        <v>12</v>
      </c>
      <c r="H1222" s="113">
        <v>1</v>
      </c>
      <c r="I1222" s="113">
        <v>5.01</v>
      </c>
      <c r="J1222" s="113" t="s">
        <v>10</v>
      </c>
      <c r="K1222" s="113">
        <v>1.3</v>
      </c>
      <c r="L1222" s="113">
        <v>6.9</v>
      </c>
      <c r="M1222" s="113">
        <v>1.1548</v>
      </c>
      <c r="N1222" s="113">
        <v>6.9283000000000001</v>
      </c>
      <c r="O1222" s="114" t="s">
        <v>2816</v>
      </c>
    </row>
    <row r="1223" spans="1:15" x14ac:dyDescent="0.25">
      <c r="A1223" s="113" t="s">
        <v>54</v>
      </c>
      <c r="B1223" s="113" t="s">
        <v>47</v>
      </c>
      <c r="C1223" s="113">
        <v>1.1000000000000001</v>
      </c>
      <c r="D1223" s="113">
        <v>3.0009999999999999</v>
      </c>
      <c r="E1223" s="113">
        <v>1.0000000000000001E-5</v>
      </c>
      <c r="F1223" s="113" t="s">
        <v>13</v>
      </c>
      <c r="G1223" s="113" t="s">
        <v>12</v>
      </c>
      <c r="H1223" s="113">
        <v>5</v>
      </c>
      <c r="I1223" s="113">
        <v>10</v>
      </c>
      <c r="J1223" s="113" t="s">
        <v>10</v>
      </c>
      <c r="K1223" s="113">
        <v>5.8</v>
      </c>
      <c r="L1223" s="113">
        <v>29</v>
      </c>
      <c r="M1223" s="113">
        <v>5.7729999999999997</v>
      </c>
      <c r="N1223" s="113">
        <v>28.867999999999999</v>
      </c>
      <c r="O1223" s="114" t="s">
        <v>2438</v>
      </c>
    </row>
    <row r="1224" spans="1:15" x14ac:dyDescent="0.25">
      <c r="A1224" s="113" t="s">
        <v>54</v>
      </c>
      <c r="B1224" s="113" t="s">
        <v>47</v>
      </c>
      <c r="C1224" s="113">
        <v>1.1000000000000001</v>
      </c>
      <c r="D1224" s="113">
        <v>3.0009999999999999</v>
      </c>
      <c r="E1224" s="113">
        <v>1.0000000000000001E-5</v>
      </c>
      <c r="F1224" s="113" t="s">
        <v>13</v>
      </c>
      <c r="G1224" s="113" t="s">
        <v>12</v>
      </c>
      <c r="H1224" s="113">
        <v>4.4999999999999998E-2</v>
      </c>
      <c r="I1224" s="113">
        <v>1.0000100000000001</v>
      </c>
      <c r="J1224" s="113" t="s">
        <v>10</v>
      </c>
      <c r="K1224" s="113">
        <v>0.13</v>
      </c>
      <c r="L1224" s="113">
        <v>0.69</v>
      </c>
      <c r="M1224" s="113">
        <v>0.11619</v>
      </c>
      <c r="N1224" s="113">
        <v>0.69369000000000003</v>
      </c>
      <c r="O1224" s="114" t="s">
        <v>2437</v>
      </c>
    </row>
    <row r="1225" spans="1:15" x14ac:dyDescent="0.25">
      <c r="A1225" s="113" t="s">
        <v>54</v>
      </c>
      <c r="B1225" s="113" t="s">
        <v>47</v>
      </c>
      <c r="C1225" s="113">
        <v>1.1000000000000001</v>
      </c>
      <c r="D1225" s="113">
        <v>3.0009999999999999</v>
      </c>
      <c r="E1225" s="113">
        <v>1E-4</v>
      </c>
      <c r="F1225" s="113" t="s">
        <v>13</v>
      </c>
      <c r="G1225" s="113" t="s">
        <v>12</v>
      </c>
      <c r="H1225" s="113">
        <v>0.01</v>
      </c>
      <c r="I1225" s="113">
        <v>4.5010000000000001E-2</v>
      </c>
      <c r="J1225" s="113" t="s">
        <v>10</v>
      </c>
      <c r="K1225" s="113">
        <v>0.12</v>
      </c>
      <c r="L1225" s="113">
        <v>2.1</v>
      </c>
      <c r="M1225" s="113">
        <v>0.11676</v>
      </c>
      <c r="N1225" s="113">
        <v>2.0785</v>
      </c>
      <c r="O1225" s="114" t="s">
        <v>2444</v>
      </c>
    </row>
    <row r="1226" spans="1:15" x14ac:dyDescent="0.25">
      <c r="A1226" s="113" t="s">
        <v>54</v>
      </c>
      <c r="B1226" s="113" t="s">
        <v>47</v>
      </c>
      <c r="C1226" s="113">
        <v>1.1000000000000001</v>
      </c>
      <c r="D1226" s="113">
        <v>3.0009999999999999</v>
      </c>
      <c r="E1226" s="113">
        <v>1E-4</v>
      </c>
      <c r="F1226" s="113" t="s">
        <v>13</v>
      </c>
      <c r="G1226" s="113" t="s">
        <v>12</v>
      </c>
      <c r="H1226" s="113">
        <v>5</v>
      </c>
      <c r="I1226" s="113">
        <v>10</v>
      </c>
      <c r="J1226" s="113" t="s">
        <v>10</v>
      </c>
      <c r="K1226" s="113">
        <v>5.8</v>
      </c>
      <c r="L1226" s="113">
        <v>29</v>
      </c>
      <c r="M1226" s="113">
        <v>5.7731000000000003</v>
      </c>
      <c r="N1226" s="113">
        <v>28.867999999999999</v>
      </c>
      <c r="O1226" s="114" t="s">
        <v>2442</v>
      </c>
    </row>
    <row r="1227" spans="1:15" x14ac:dyDescent="0.25">
      <c r="A1227" s="113" t="s">
        <v>54</v>
      </c>
      <c r="B1227" s="113" t="s">
        <v>47</v>
      </c>
      <c r="C1227" s="113">
        <v>1.1000000000000001</v>
      </c>
      <c r="D1227" s="113">
        <v>3.0009999999999999</v>
      </c>
      <c r="E1227" s="113">
        <v>1E-4</v>
      </c>
      <c r="F1227" s="113" t="s">
        <v>13</v>
      </c>
      <c r="G1227" s="113" t="s">
        <v>12</v>
      </c>
      <c r="H1227" s="113">
        <v>4.4999999999999998E-2</v>
      </c>
      <c r="I1227" s="113">
        <v>1.0000100000000001</v>
      </c>
      <c r="J1227" s="113" t="s">
        <v>10</v>
      </c>
      <c r="K1227" s="113">
        <v>0.13</v>
      </c>
      <c r="L1227" s="113">
        <v>0.69</v>
      </c>
      <c r="M1227" s="113">
        <v>0.11867999999999999</v>
      </c>
      <c r="N1227" s="113">
        <v>0.69310000000000005</v>
      </c>
      <c r="O1227" s="114" t="s">
        <v>2817</v>
      </c>
    </row>
    <row r="1228" spans="1:15" x14ac:dyDescent="0.25">
      <c r="A1228" s="113" t="s">
        <v>54</v>
      </c>
      <c r="B1228" s="113" t="s">
        <v>47</v>
      </c>
      <c r="C1228" s="113">
        <v>1.1000000000000001</v>
      </c>
      <c r="D1228" s="113">
        <v>3.0009999999999999</v>
      </c>
      <c r="E1228" s="113">
        <v>1E-4</v>
      </c>
      <c r="F1228" s="113" t="s">
        <v>13</v>
      </c>
      <c r="G1228" s="113" t="s">
        <v>12</v>
      </c>
      <c r="H1228" s="113">
        <v>10</v>
      </c>
      <c r="I1228" s="113">
        <v>10.01</v>
      </c>
      <c r="J1228" s="113" t="s">
        <v>10</v>
      </c>
      <c r="K1228" s="113">
        <v>5.8</v>
      </c>
      <c r="L1228" s="113">
        <v>29</v>
      </c>
      <c r="M1228" s="113">
        <v>5.7731000000000003</v>
      </c>
      <c r="N1228" s="113">
        <v>28.867999999999999</v>
      </c>
      <c r="O1228" s="114" t="s">
        <v>2441</v>
      </c>
    </row>
    <row r="1229" spans="1:15" x14ac:dyDescent="0.25">
      <c r="A1229" s="113" t="s">
        <v>54</v>
      </c>
      <c r="B1229" s="113" t="s">
        <v>47</v>
      </c>
      <c r="C1229" s="113">
        <v>1.1000000000000001</v>
      </c>
      <c r="D1229" s="113">
        <v>3.0009999999999999</v>
      </c>
      <c r="E1229" s="113">
        <v>1E-4</v>
      </c>
      <c r="F1229" s="113" t="s">
        <v>13</v>
      </c>
      <c r="G1229" s="113" t="s">
        <v>12</v>
      </c>
      <c r="H1229" s="113">
        <v>1</v>
      </c>
      <c r="I1229" s="113">
        <v>5.01</v>
      </c>
      <c r="J1229" s="113" t="s">
        <v>10</v>
      </c>
      <c r="K1229" s="113">
        <v>1.3</v>
      </c>
      <c r="L1229" s="113">
        <v>6.9</v>
      </c>
      <c r="M1229" s="113">
        <v>1.1552</v>
      </c>
      <c r="N1229" s="113">
        <v>6.9282000000000004</v>
      </c>
      <c r="O1229" s="114" t="s">
        <v>2443</v>
      </c>
    </row>
    <row r="1230" spans="1:15" x14ac:dyDescent="0.25">
      <c r="A1230" s="113" t="s">
        <v>54</v>
      </c>
      <c r="B1230" s="113" t="s">
        <v>47</v>
      </c>
      <c r="C1230" s="113">
        <v>1.1000000000000001</v>
      </c>
      <c r="D1230" s="113">
        <v>3.0009999999999999</v>
      </c>
      <c r="E1230" s="113">
        <v>1E-3</v>
      </c>
      <c r="F1230" s="113" t="s">
        <v>13</v>
      </c>
      <c r="G1230" s="113" t="s">
        <v>12</v>
      </c>
      <c r="H1230" s="113">
        <v>10</v>
      </c>
      <c r="I1230" s="113">
        <v>10.01</v>
      </c>
      <c r="J1230" s="113" t="s">
        <v>10</v>
      </c>
      <c r="K1230" s="113">
        <v>5.8</v>
      </c>
      <c r="L1230" s="113">
        <v>29</v>
      </c>
      <c r="M1230" s="113">
        <v>5.78</v>
      </c>
      <c r="N1230" s="113">
        <v>28.866</v>
      </c>
      <c r="O1230" s="114" t="s">
        <v>2446</v>
      </c>
    </row>
    <row r="1231" spans="1:15" x14ac:dyDescent="0.25">
      <c r="A1231" s="113" t="s">
        <v>54</v>
      </c>
      <c r="B1231" s="113" t="s">
        <v>47</v>
      </c>
      <c r="C1231" s="113">
        <v>1.1000000000000001</v>
      </c>
      <c r="D1231" s="113">
        <v>3.0009999999999999</v>
      </c>
      <c r="E1231" s="113">
        <v>1E-3</v>
      </c>
      <c r="F1231" s="113" t="s">
        <v>13</v>
      </c>
      <c r="G1231" s="113" t="s">
        <v>12</v>
      </c>
      <c r="H1231" s="113">
        <v>5</v>
      </c>
      <c r="I1231" s="113">
        <v>10</v>
      </c>
      <c r="J1231" s="113" t="s">
        <v>10</v>
      </c>
      <c r="K1231" s="113">
        <v>5.8</v>
      </c>
      <c r="L1231" s="113">
        <v>29</v>
      </c>
      <c r="M1231" s="113">
        <v>5.78</v>
      </c>
      <c r="N1231" s="113">
        <v>28.866</v>
      </c>
      <c r="O1231" s="114" t="s">
        <v>2447</v>
      </c>
    </row>
    <row r="1232" spans="1:15" x14ac:dyDescent="0.25">
      <c r="A1232" s="113" t="s">
        <v>54</v>
      </c>
      <c r="B1232" s="113" t="s">
        <v>47</v>
      </c>
      <c r="C1232" s="113">
        <v>1.1000000000000001</v>
      </c>
      <c r="D1232" s="113">
        <v>3.0009999999999999</v>
      </c>
      <c r="E1232" s="113">
        <v>1E-3</v>
      </c>
      <c r="F1232" s="113" t="s">
        <v>13</v>
      </c>
      <c r="G1232" s="113" t="s">
        <v>12</v>
      </c>
      <c r="H1232" s="113">
        <v>1</v>
      </c>
      <c r="I1232" s="113">
        <v>5.01</v>
      </c>
      <c r="J1232" s="113" t="s">
        <v>10</v>
      </c>
      <c r="K1232" s="113">
        <v>1.3</v>
      </c>
      <c r="L1232" s="113">
        <v>6.9</v>
      </c>
      <c r="M1232" s="113">
        <v>1.1803999999999999</v>
      </c>
      <c r="N1232" s="113">
        <v>6.9222999999999999</v>
      </c>
      <c r="O1232" s="114" t="s">
        <v>2818</v>
      </c>
    </row>
    <row r="1233" spans="1:15" x14ac:dyDescent="0.25">
      <c r="A1233" s="113" t="s">
        <v>54</v>
      </c>
      <c r="B1233" s="113" t="s">
        <v>47</v>
      </c>
      <c r="C1233" s="113">
        <v>1.1000000000000001</v>
      </c>
      <c r="D1233" s="113">
        <v>3.0009999999999999</v>
      </c>
      <c r="E1233" s="113">
        <v>1E-3</v>
      </c>
      <c r="F1233" s="113" t="s">
        <v>13</v>
      </c>
      <c r="G1233" s="113" t="s">
        <v>12</v>
      </c>
      <c r="H1233" s="113">
        <v>4.4999999999999998E-2</v>
      </c>
      <c r="I1233" s="113">
        <v>1.0000100000000001</v>
      </c>
      <c r="J1233" s="113" t="s">
        <v>10</v>
      </c>
      <c r="K1233" s="113">
        <v>0.35192000000000001</v>
      </c>
      <c r="L1233" s="113">
        <v>0.64234000000000002</v>
      </c>
      <c r="M1233" s="113">
        <v>0.34550999999999998</v>
      </c>
      <c r="N1233" s="113">
        <v>0.6421</v>
      </c>
      <c r="O1233" s="114" t="s">
        <v>2445</v>
      </c>
    </row>
    <row r="1234" spans="1:15" x14ac:dyDescent="0.25">
      <c r="A1234" s="113" t="s">
        <v>54</v>
      </c>
      <c r="B1234" s="113" t="s">
        <v>47</v>
      </c>
      <c r="C1234" s="113">
        <v>1.1000000000000001</v>
      </c>
      <c r="D1234" s="113">
        <v>3.0009999999999999</v>
      </c>
      <c r="E1234" s="113">
        <v>1E-3</v>
      </c>
      <c r="F1234" s="113" t="s">
        <v>13</v>
      </c>
      <c r="G1234" s="113" t="s">
        <v>12</v>
      </c>
      <c r="H1234" s="113">
        <v>0.01</v>
      </c>
      <c r="I1234" s="113">
        <v>4.5010000000000001E-2</v>
      </c>
      <c r="J1234" s="113" t="s">
        <v>10</v>
      </c>
      <c r="K1234" s="113">
        <v>0.18892</v>
      </c>
      <c r="L1234" s="113">
        <v>2.077</v>
      </c>
      <c r="M1234" s="113">
        <v>0.20868</v>
      </c>
      <c r="N1234" s="113">
        <v>2.0565000000000002</v>
      </c>
      <c r="O1234" s="114" t="s">
        <v>2819</v>
      </c>
    </row>
    <row r="1235" spans="1:15" x14ac:dyDescent="0.25">
      <c r="A1235" s="113" t="s">
        <v>54</v>
      </c>
      <c r="B1235" s="113" t="s">
        <v>47</v>
      </c>
      <c r="C1235" s="113">
        <v>1.1000000000000001</v>
      </c>
      <c r="D1235" s="113">
        <v>3.0009999999999999</v>
      </c>
      <c r="E1235" s="113">
        <v>0.01</v>
      </c>
      <c r="F1235" s="113" t="s">
        <v>13</v>
      </c>
      <c r="G1235" s="113" t="s">
        <v>12</v>
      </c>
      <c r="H1235" s="113">
        <v>5</v>
      </c>
      <c r="I1235" s="113">
        <v>10</v>
      </c>
      <c r="J1235" s="113" t="s">
        <v>10</v>
      </c>
      <c r="K1235" s="113">
        <v>6.2283999999999997</v>
      </c>
      <c r="L1235" s="113">
        <v>28.856999999999999</v>
      </c>
      <c r="M1235" s="113">
        <v>6.3663999999999996</v>
      </c>
      <c r="N1235" s="113">
        <v>28.73</v>
      </c>
      <c r="O1235" s="114" t="s">
        <v>2452</v>
      </c>
    </row>
    <row r="1236" spans="1:15" x14ac:dyDescent="0.25">
      <c r="A1236" s="113" t="s">
        <v>54</v>
      </c>
      <c r="B1236" s="113" t="s">
        <v>47</v>
      </c>
      <c r="C1236" s="113">
        <v>1.1000000000000001</v>
      </c>
      <c r="D1236" s="113">
        <v>3.0009999999999999</v>
      </c>
      <c r="E1236" s="113">
        <v>0.01</v>
      </c>
      <c r="F1236" s="113" t="s">
        <v>13</v>
      </c>
      <c r="G1236" s="113" t="s">
        <v>12</v>
      </c>
      <c r="H1236" s="113">
        <v>0.01</v>
      </c>
      <c r="I1236" s="113">
        <v>4.5010000000000001E-2</v>
      </c>
      <c r="J1236" s="113" t="s">
        <v>10</v>
      </c>
      <c r="K1236" s="113">
        <v>4.9070999999999998</v>
      </c>
      <c r="L1236" s="113">
        <v>1.2281</v>
      </c>
      <c r="M1236" s="113">
        <v>4.9043000000000001</v>
      </c>
      <c r="N1236" s="113">
        <v>1.2264999999999999</v>
      </c>
      <c r="O1236" s="114" t="s">
        <v>2450</v>
      </c>
    </row>
    <row r="1237" spans="1:15" x14ac:dyDescent="0.25">
      <c r="A1237" s="113" t="s">
        <v>54</v>
      </c>
      <c r="B1237" s="113" t="s">
        <v>47</v>
      </c>
      <c r="C1237" s="113">
        <v>1.1000000000000001</v>
      </c>
      <c r="D1237" s="113">
        <v>3.0009999999999999</v>
      </c>
      <c r="E1237" s="113">
        <v>0.01</v>
      </c>
      <c r="F1237" s="113" t="s">
        <v>13</v>
      </c>
      <c r="G1237" s="113" t="s">
        <v>12</v>
      </c>
      <c r="H1237" s="113">
        <v>1</v>
      </c>
      <c r="I1237" s="113">
        <v>5.01</v>
      </c>
      <c r="J1237" s="113" t="s">
        <v>10</v>
      </c>
      <c r="K1237" s="113">
        <v>3.4546999999999999</v>
      </c>
      <c r="L1237" s="113">
        <v>6.4116</v>
      </c>
      <c r="M1237" s="113">
        <v>3.4521000000000002</v>
      </c>
      <c r="N1237" s="113">
        <v>6.4115000000000002</v>
      </c>
      <c r="O1237" s="114" t="s">
        <v>2451</v>
      </c>
    </row>
    <row r="1238" spans="1:15" x14ac:dyDescent="0.25">
      <c r="A1238" s="113" t="s">
        <v>54</v>
      </c>
      <c r="B1238" s="113" t="s">
        <v>47</v>
      </c>
      <c r="C1238" s="113">
        <v>1.1000000000000001</v>
      </c>
      <c r="D1238" s="113">
        <v>3.0009999999999999</v>
      </c>
      <c r="E1238" s="113">
        <v>0.01</v>
      </c>
      <c r="F1238" s="113" t="s">
        <v>13</v>
      </c>
      <c r="G1238" s="113" t="s">
        <v>12</v>
      </c>
      <c r="H1238" s="113">
        <v>4.4999999999999998E-2</v>
      </c>
      <c r="I1238" s="113">
        <v>1.0000100000000001</v>
      </c>
      <c r="J1238" s="113" t="s">
        <v>10</v>
      </c>
      <c r="K1238" s="113">
        <v>5.6463000000000001</v>
      </c>
      <c r="L1238" s="113">
        <v>0.18057000000000001</v>
      </c>
      <c r="M1238" s="113">
        <v>5.6448</v>
      </c>
      <c r="N1238" s="113">
        <v>0.17757999999999999</v>
      </c>
      <c r="O1238" s="114" t="s">
        <v>2449</v>
      </c>
    </row>
    <row r="1239" spans="1:15" x14ac:dyDescent="0.25">
      <c r="A1239" s="113" t="s">
        <v>54</v>
      </c>
      <c r="B1239" s="113" t="s">
        <v>47</v>
      </c>
      <c r="C1239" s="113">
        <v>1.1000000000000001</v>
      </c>
      <c r="D1239" s="113">
        <v>3.0009999999999999</v>
      </c>
      <c r="E1239" s="113">
        <v>0.01</v>
      </c>
      <c r="F1239" s="113" t="s">
        <v>13</v>
      </c>
      <c r="G1239" s="113" t="s">
        <v>12</v>
      </c>
      <c r="H1239" s="113">
        <v>10</v>
      </c>
      <c r="I1239" s="113">
        <v>10.01</v>
      </c>
      <c r="J1239" s="113" t="s">
        <v>10</v>
      </c>
      <c r="K1239" s="113">
        <v>6.2283999999999997</v>
      </c>
      <c r="L1239" s="113">
        <v>28.856999999999999</v>
      </c>
      <c r="M1239" s="113">
        <v>6.3663999999999996</v>
      </c>
      <c r="N1239" s="113">
        <v>28.73</v>
      </c>
      <c r="O1239" s="114" t="s">
        <v>2448</v>
      </c>
    </row>
    <row r="1240" spans="1:15" x14ac:dyDescent="0.25">
      <c r="A1240" s="113" t="s">
        <v>54</v>
      </c>
      <c r="B1240" s="113" t="s">
        <v>47</v>
      </c>
      <c r="C1240" s="113">
        <v>1.1000000000000001</v>
      </c>
      <c r="D1240" s="113">
        <v>3.0009999999999999</v>
      </c>
      <c r="E1240" s="113">
        <v>0.1</v>
      </c>
      <c r="F1240" s="113" t="s">
        <v>13</v>
      </c>
      <c r="G1240" s="113" t="s">
        <v>12</v>
      </c>
      <c r="H1240" s="113">
        <v>10</v>
      </c>
      <c r="I1240" s="113">
        <v>10.01</v>
      </c>
      <c r="J1240" s="113" t="s">
        <v>10</v>
      </c>
      <c r="K1240" s="113">
        <v>45.661999999999999</v>
      </c>
      <c r="L1240" s="113">
        <v>21.093</v>
      </c>
      <c r="M1240" s="113">
        <v>45.658999999999999</v>
      </c>
      <c r="N1240" s="113">
        <v>21.091999999999999</v>
      </c>
      <c r="O1240" s="114" t="s">
        <v>2453</v>
      </c>
    </row>
    <row r="1241" spans="1:15" x14ac:dyDescent="0.25">
      <c r="A1241" s="113" t="s">
        <v>54</v>
      </c>
      <c r="B1241" s="113" t="s">
        <v>47</v>
      </c>
      <c r="C1241" s="113">
        <v>1.1000000000000001</v>
      </c>
      <c r="D1241" s="113">
        <v>3.0009999999999999</v>
      </c>
      <c r="E1241" s="113">
        <v>0.1</v>
      </c>
      <c r="F1241" s="113" t="s">
        <v>13</v>
      </c>
      <c r="G1241" s="113" t="s">
        <v>12</v>
      </c>
      <c r="H1241" s="113">
        <v>4.4999999999999998E-2</v>
      </c>
      <c r="I1241" s="113">
        <v>1.0000100000000001</v>
      </c>
      <c r="J1241" s="113" t="s">
        <v>10</v>
      </c>
      <c r="K1241" s="113">
        <v>57.722000000000001</v>
      </c>
      <c r="L1241" s="113">
        <v>1.9812E-2</v>
      </c>
      <c r="M1241" s="113">
        <v>57.722000000000001</v>
      </c>
      <c r="N1241" s="113">
        <v>1.8474000000000001E-2</v>
      </c>
      <c r="O1241" s="114" t="s">
        <v>2820</v>
      </c>
    </row>
    <row r="1242" spans="1:15" x14ac:dyDescent="0.25">
      <c r="A1242" s="113" t="s">
        <v>54</v>
      </c>
      <c r="B1242" s="113" t="s">
        <v>47</v>
      </c>
      <c r="C1242" s="113">
        <v>1.1000000000000001</v>
      </c>
      <c r="D1242" s="113">
        <v>3.0009999999999999</v>
      </c>
      <c r="E1242" s="113">
        <v>0.1</v>
      </c>
      <c r="F1242" s="113" t="s">
        <v>13</v>
      </c>
      <c r="G1242" s="113" t="s">
        <v>12</v>
      </c>
      <c r="H1242" s="113">
        <v>1</v>
      </c>
      <c r="I1242" s="113">
        <v>5.01</v>
      </c>
      <c r="J1242" s="113" t="s">
        <v>10</v>
      </c>
      <c r="K1242" s="113">
        <v>56.451000000000001</v>
      </c>
      <c r="L1242" s="113">
        <v>1.7722</v>
      </c>
      <c r="M1242" s="113">
        <v>56.451000000000001</v>
      </c>
      <c r="N1242" s="113">
        <v>1.7709999999999999</v>
      </c>
      <c r="O1242" s="114" t="s">
        <v>2454</v>
      </c>
    </row>
    <row r="1243" spans="1:15" x14ac:dyDescent="0.25">
      <c r="A1243" s="113" t="s">
        <v>54</v>
      </c>
      <c r="B1243" s="113" t="s">
        <v>47</v>
      </c>
      <c r="C1243" s="113">
        <v>1.1000000000000001</v>
      </c>
      <c r="D1243" s="113">
        <v>3.0009999999999999</v>
      </c>
      <c r="E1243" s="113">
        <v>0.1</v>
      </c>
      <c r="F1243" s="113" t="s">
        <v>13</v>
      </c>
      <c r="G1243" s="113" t="s">
        <v>12</v>
      </c>
      <c r="H1243" s="113">
        <v>5</v>
      </c>
      <c r="I1243" s="113">
        <v>10</v>
      </c>
      <c r="J1243" s="113" t="s">
        <v>10</v>
      </c>
      <c r="K1243" s="113">
        <v>45.661999999999999</v>
      </c>
      <c r="L1243" s="113">
        <v>21.093</v>
      </c>
      <c r="M1243" s="113">
        <v>45.658999999999999</v>
      </c>
      <c r="N1243" s="113">
        <v>21.091999999999999</v>
      </c>
      <c r="O1243" s="114" t="s">
        <v>2455</v>
      </c>
    </row>
    <row r="1244" spans="1:15" x14ac:dyDescent="0.25">
      <c r="A1244" s="113" t="s">
        <v>54</v>
      </c>
      <c r="B1244" s="113" t="s">
        <v>47</v>
      </c>
      <c r="C1244" s="113">
        <v>1.1000000000000001</v>
      </c>
      <c r="D1244" s="113">
        <v>3.0009999999999999</v>
      </c>
      <c r="E1244" s="113">
        <v>0.1</v>
      </c>
      <c r="F1244" s="113" t="s">
        <v>13</v>
      </c>
      <c r="G1244" s="113" t="s">
        <v>12</v>
      </c>
      <c r="H1244" s="113">
        <v>0.01</v>
      </c>
      <c r="I1244" s="113">
        <v>4.5010000000000001E-2</v>
      </c>
      <c r="J1244" s="113" t="s">
        <v>10</v>
      </c>
      <c r="K1244" s="113">
        <v>57.613</v>
      </c>
      <c r="L1244" s="113">
        <v>0.15837999999999999</v>
      </c>
      <c r="M1244" s="113">
        <v>57.613</v>
      </c>
      <c r="N1244" s="113">
        <v>0.15706000000000001</v>
      </c>
      <c r="O1244" s="114" t="s">
        <v>2821</v>
      </c>
    </row>
    <row r="1245" spans="1:15" x14ac:dyDescent="0.25">
      <c r="A1245" s="113" t="s">
        <v>54</v>
      </c>
      <c r="B1245" s="113" t="s">
        <v>47</v>
      </c>
      <c r="C1245" s="113">
        <v>3</v>
      </c>
      <c r="D1245" s="113">
        <v>11.000999999999999</v>
      </c>
      <c r="E1245" s="113">
        <v>1E-4</v>
      </c>
      <c r="F1245" s="113" t="s">
        <v>13</v>
      </c>
      <c r="G1245" s="113" t="s">
        <v>12</v>
      </c>
      <c r="H1245" s="113">
        <v>5</v>
      </c>
      <c r="I1245" s="113">
        <v>5.01</v>
      </c>
      <c r="J1245" s="113" t="s">
        <v>10</v>
      </c>
      <c r="K1245" s="113">
        <v>2.5</v>
      </c>
      <c r="L1245" s="113">
        <v>35</v>
      </c>
      <c r="M1245" s="113">
        <v>2.3102999999999998</v>
      </c>
      <c r="N1245" s="113">
        <v>34.640999999999998</v>
      </c>
      <c r="O1245" s="114" t="s">
        <v>2456</v>
      </c>
    </row>
    <row r="1246" spans="1:15" x14ac:dyDescent="0.25">
      <c r="A1246" s="113" t="s">
        <v>54</v>
      </c>
      <c r="B1246" s="113" t="s">
        <v>47</v>
      </c>
      <c r="C1246" s="113">
        <v>3</v>
      </c>
      <c r="D1246" s="113">
        <v>11.000999999999999</v>
      </c>
      <c r="E1246" s="113">
        <v>1E-4</v>
      </c>
      <c r="F1246" s="113" t="s">
        <v>13</v>
      </c>
      <c r="G1246" s="113" t="s">
        <v>12</v>
      </c>
      <c r="H1246" s="113">
        <v>1</v>
      </c>
      <c r="I1246" s="113">
        <v>5</v>
      </c>
      <c r="J1246" s="113" t="s">
        <v>10</v>
      </c>
      <c r="K1246" s="113">
        <v>2.5</v>
      </c>
      <c r="L1246" s="113">
        <v>35</v>
      </c>
      <c r="M1246" s="113">
        <v>2.3102999999999998</v>
      </c>
      <c r="N1246" s="113">
        <v>34.640999999999998</v>
      </c>
      <c r="O1246" s="114" t="s">
        <v>2457</v>
      </c>
    </row>
    <row r="1247" spans="1:15" x14ac:dyDescent="0.25">
      <c r="A1247" s="113" t="s">
        <v>54</v>
      </c>
      <c r="B1247" s="113" t="s">
        <v>47</v>
      </c>
      <c r="C1247" s="113">
        <v>3</v>
      </c>
      <c r="D1247" s="113">
        <v>11.000999999999999</v>
      </c>
      <c r="E1247" s="113">
        <v>1E-4</v>
      </c>
      <c r="F1247" s="113" t="s">
        <v>13</v>
      </c>
      <c r="G1247" s="113" t="s">
        <v>12</v>
      </c>
      <c r="H1247" s="113">
        <v>4.4999999999999998E-2</v>
      </c>
      <c r="I1247" s="113">
        <v>0.10001</v>
      </c>
      <c r="J1247" s="113" t="s">
        <v>10</v>
      </c>
      <c r="K1247" s="113">
        <v>2.4</v>
      </c>
      <c r="L1247" s="113">
        <v>0.69</v>
      </c>
      <c r="M1247" s="113">
        <v>2.3298000000000001</v>
      </c>
      <c r="N1247" s="113">
        <v>0.69372999999999996</v>
      </c>
      <c r="O1247" s="114" t="s">
        <v>2822</v>
      </c>
    </row>
    <row r="1248" spans="1:15" x14ac:dyDescent="0.25">
      <c r="A1248" s="113" t="s">
        <v>54</v>
      </c>
      <c r="B1248" s="113" t="s">
        <v>47</v>
      </c>
      <c r="C1248" s="113">
        <v>3</v>
      </c>
      <c r="D1248" s="113">
        <v>11.000999999999999</v>
      </c>
      <c r="E1248" s="113">
        <v>1E-4</v>
      </c>
      <c r="F1248" s="113" t="s">
        <v>13</v>
      </c>
      <c r="G1248" s="113" t="s">
        <v>12</v>
      </c>
      <c r="H1248" s="113">
        <v>0.1</v>
      </c>
      <c r="I1248" s="113">
        <v>1.0000100000000001</v>
      </c>
      <c r="J1248" s="113" t="s">
        <v>10</v>
      </c>
      <c r="K1248" s="113">
        <v>2.4</v>
      </c>
      <c r="L1248" s="113">
        <v>1.2</v>
      </c>
      <c r="M1248" s="113">
        <v>2.3239999999999998</v>
      </c>
      <c r="N1248" s="113">
        <v>1.1553</v>
      </c>
      <c r="O1248" s="114" t="s">
        <v>2823</v>
      </c>
    </row>
    <row r="1249" spans="1:15" x14ac:dyDescent="0.25">
      <c r="A1249" s="113" t="s">
        <v>54</v>
      </c>
      <c r="B1249" s="113" t="s">
        <v>47</v>
      </c>
      <c r="C1249" s="113">
        <v>3</v>
      </c>
      <c r="D1249" s="113">
        <v>11.000999999999999</v>
      </c>
      <c r="E1249" s="113">
        <v>1E-3</v>
      </c>
      <c r="F1249" s="113" t="s">
        <v>13</v>
      </c>
      <c r="G1249" s="113" t="s">
        <v>12</v>
      </c>
      <c r="H1249" s="113">
        <v>1</v>
      </c>
      <c r="I1249" s="113">
        <v>5</v>
      </c>
      <c r="J1249" s="113" t="s">
        <v>10</v>
      </c>
      <c r="K1249" s="113">
        <v>2.5</v>
      </c>
      <c r="L1249" s="113">
        <v>35</v>
      </c>
      <c r="M1249" s="113">
        <v>2.3111999999999999</v>
      </c>
      <c r="N1249" s="113">
        <v>34.640999999999998</v>
      </c>
      <c r="O1249" s="114" t="s">
        <v>2460</v>
      </c>
    </row>
    <row r="1250" spans="1:15" x14ac:dyDescent="0.25">
      <c r="A1250" s="113" t="s">
        <v>54</v>
      </c>
      <c r="B1250" s="113" t="s">
        <v>47</v>
      </c>
      <c r="C1250" s="113">
        <v>3</v>
      </c>
      <c r="D1250" s="113">
        <v>11.000999999999999</v>
      </c>
      <c r="E1250" s="113">
        <v>1E-3</v>
      </c>
      <c r="F1250" s="113" t="s">
        <v>13</v>
      </c>
      <c r="G1250" s="113" t="s">
        <v>12</v>
      </c>
      <c r="H1250" s="113">
        <v>4.4999999999999998E-2</v>
      </c>
      <c r="I1250" s="113">
        <v>0.10001</v>
      </c>
      <c r="J1250" s="113" t="s">
        <v>10</v>
      </c>
      <c r="K1250" s="113">
        <v>2.4</v>
      </c>
      <c r="L1250" s="113">
        <v>0.69</v>
      </c>
      <c r="M1250" s="113">
        <v>2.3708999999999998</v>
      </c>
      <c r="N1250" s="113">
        <v>0.69111999999999996</v>
      </c>
      <c r="O1250" s="114" t="s">
        <v>2459</v>
      </c>
    </row>
    <row r="1251" spans="1:15" x14ac:dyDescent="0.25">
      <c r="A1251" s="113" t="s">
        <v>54</v>
      </c>
      <c r="B1251" s="113" t="s">
        <v>47</v>
      </c>
      <c r="C1251" s="113">
        <v>3</v>
      </c>
      <c r="D1251" s="113">
        <v>11.000999999999999</v>
      </c>
      <c r="E1251" s="113">
        <v>1E-3</v>
      </c>
      <c r="F1251" s="113" t="s">
        <v>13</v>
      </c>
      <c r="G1251" s="113" t="s">
        <v>12</v>
      </c>
      <c r="H1251" s="113">
        <v>0.1</v>
      </c>
      <c r="I1251" s="113">
        <v>1.0000100000000001</v>
      </c>
      <c r="J1251" s="113" t="s">
        <v>10</v>
      </c>
      <c r="K1251" s="113">
        <v>2.4</v>
      </c>
      <c r="L1251" s="113">
        <v>1.2</v>
      </c>
      <c r="M1251" s="113">
        <v>2.3551000000000002</v>
      </c>
      <c r="N1251" s="113">
        <v>1.1531</v>
      </c>
      <c r="O1251" s="114" t="s">
        <v>2824</v>
      </c>
    </row>
    <row r="1252" spans="1:15" x14ac:dyDescent="0.25">
      <c r="A1252" s="113" t="s">
        <v>54</v>
      </c>
      <c r="B1252" s="113" t="s">
        <v>47</v>
      </c>
      <c r="C1252" s="113">
        <v>3</v>
      </c>
      <c r="D1252" s="113">
        <v>11.000999999999999</v>
      </c>
      <c r="E1252" s="113">
        <v>1E-3</v>
      </c>
      <c r="F1252" s="113" t="s">
        <v>13</v>
      </c>
      <c r="G1252" s="113" t="s">
        <v>12</v>
      </c>
      <c r="H1252" s="113">
        <v>5</v>
      </c>
      <c r="I1252" s="113">
        <v>5.01</v>
      </c>
      <c r="J1252" s="113" t="s">
        <v>10</v>
      </c>
      <c r="K1252" s="113">
        <v>2.5</v>
      </c>
      <c r="L1252" s="113">
        <v>35</v>
      </c>
      <c r="M1252" s="113">
        <v>2.3111999999999999</v>
      </c>
      <c r="N1252" s="113">
        <v>34.640999999999998</v>
      </c>
      <c r="O1252" s="114" t="s">
        <v>2458</v>
      </c>
    </row>
    <row r="1253" spans="1:15" x14ac:dyDescent="0.25">
      <c r="A1253" s="113" t="s">
        <v>54</v>
      </c>
      <c r="B1253" s="113" t="s">
        <v>47</v>
      </c>
      <c r="C1253" s="113">
        <v>3</v>
      </c>
      <c r="D1253" s="113">
        <v>11.000999999999999</v>
      </c>
      <c r="E1253" s="113">
        <v>0.01</v>
      </c>
      <c r="F1253" s="113" t="s">
        <v>13</v>
      </c>
      <c r="G1253" s="113" t="s">
        <v>12</v>
      </c>
      <c r="H1253" s="113">
        <v>0.1</v>
      </c>
      <c r="I1253" s="113">
        <v>1.0000100000000001</v>
      </c>
      <c r="J1253" s="113" t="s">
        <v>10</v>
      </c>
      <c r="K1253" s="113">
        <v>5.1971999999999996</v>
      </c>
      <c r="L1253" s="113">
        <v>0.99041000000000001</v>
      </c>
      <c r="M1253" s="113">
        <v>5.1951000000000001</v>
      </c>
      <c r="N1253" s="113">
        <v>0.99036000000000002</v>
      </c>
      <c r="O1253" s="114" t="s">
        <v>2462</v>
      </c>
    </row>
    <row r="1254" spans="1:15" x14ac:dyDescent="0.25">
      <c r="A1254" s="113" t="s">
        <v>54</v>
      </c>
      <c r="B1254" s="113" t="s">
        <v>47</v>
      </c>
      <c r="C1254" s="113">
        <v>3</v>
      </c>
      <c r="D1254" s="113">
        <v>11.000999999999999</v>
      </c>
      <c r="E1254" s="113">
        <v>0.01</v>
      </c>
      <c r="F1254" s="113" t="s">
        <v>13</v>
      </c>
      <c r="G1254" s="113" t="s">
        <v>12</v>
      </c>
      <c r="H1254" s="113">
        <v>4.4999999999999998E-2</v>
      </c>
      <c r="I1254" s="113">
        <v>0.10001</v>
      </c>
      <c r="J1254" s="113" t="s">
        <v>10</v>
      </c>
      <c r="K1254" s="113">
        <v>5.6643999999999997</v>
      </c>
      <c r="L1254" s="113">
        <v>0.53041000000000005</v>
      </c>
      <c r="M1254" s="113">
        <v>5.6622000000000003</v>
      </c>
      <c r="N1254" s="113">
        <v>0.53025999999999995</v>
      </c>
      <c r="O1254" s="114" t="s">
        <v>2825</v>
      </c>
    </row>
    <row r="1255" spans="1:15" x14ac:dyDescent="0.25">
      <c r="A1255" s="113" t="s">
        <v>54</v>
      </c>
      <c r="B1255" s="113" t="s">
        <v>47</v>
      </c>
      <c r="C1255" s="113">
        <v>3</v>
      </c>
      <c r="D1255" s="113">
        <v>11.000999999999999</v>
      </c>
      <c r="E1255" s="113">
        <v>0.01</v>
      </c>
      <c r="F1255" s="113" t="s">
        <v>13</v>
      </c>
      <c r="G1255" s="113" t="s">
        <v>12</v>
      </c>
      <c r="H1255" s="113">
        <v>1</v>
      </c>
      <c r="I1255" s="113">
        <v>5</v>
      </c>
      <c r="J1255" s="113" t="s">
        <v>10</v>
      </c>
      <c r="K1255" s="113">
        <v>2.5</v>
      </c>
      <c r="L1255" s="113">
        <v>35</v>
      </c>
      <c r="M1255" s="113">
        <v>2.5084</v>
      </c>
      <c r="N1255" s="113">
        <v>34.627000000000002</v>
      </c>
      <c r="O1255" s="114" t="s">
        <v>2461</v>
      </c>
    </row>
    <row r="1256" spans="1:15" x14ac:dyDescent="0.25">
      <c r="A1256" s="113" t="s">
        <v>54</v>
      </c>
      <c r="B1256" s="113" t="s">
        <v>47</v>
      </c>
      <c r="C1256" s="113">
        <v>3</v>
      </c>
      <c r="D1256" s="113">
        <v>11.000999999999999</v>
      </c>
      <c r="E1256" s="113">
        <v>0.01</v>
      </c>
      <c r="F1256" s="113" t="s">
        <v>13</v>
      </c>
      <c r="G1256" s="113" t="s">
        <v>12</v>
      </c>
      <c r="H1256" s="113">
        <v>5</v>
      </c>
      <c r="I1256" s="113">
        <v>5.01</v>
      </c>
      <c r="J1256" s="113" t="s">
        <v>10</v>
      </c>
      <c r="K1256" s="113">
        <v>2.5</v>
      </c>
      <c r="L1256" s="113">
        <v>35</v>
      </c>
      <c r="M1256" s="113">
        <v>2.5084</v>
      </c>
      <c r="N1256" s="113">
        <v>34.627000000000002</v>
      </c>
      <c r="O1256" s="114" t="s">
        <v>2826</v>
      </c>
    </row>
    <row r="1257" spans="1:15" x14ac:dyDescent="0.25">
      <c r="A1257" s="113" t="s">
        <v>54</v>
      </c>
      <c r="B1257" s="113" t="s">
        <v>47</v>
      </c>
      <c r="C1257" s="113">
        <v>3</v>
      </c>
      <c r="D1257" s="113">
        <v>11.000999999999999</v>
      </c>
      <c r="E1257" s="113">
        <v>0.1</v>
      </c>
      <c r="F1257" s="113" t="s">
        <v>13</v>
      </c>
      <c r="G1257" s="113" t="s">
        <v>12</v>
      </c>
      <c r="H1257" s="113">
        <v>5</v>
      </c>
      <c r="I1257" s="113">
        <v>5.01</v>
      </c>
      <c r="J1257" s="113" t="s">
        <v>10</v>
      </c>
      <c r="K1257" s="113">
        <v>20.888000000000002</v>
      </c>
      <c r="L1257" s="113">
        <v>33.345999999999997</v>
      </c>
      <c r="M1257" s="113">
        <v>20.867000000000001</v>
      </c>
      <c r="N1257" s="113">
        <v>33.347000000000001</v>
      </c>
      <c r="O1257" s="114" t="s">
        <v>2465</v>
      </c>
    </row>
    <row r="1258" spans="1:15" x14ac:dyDescent="0.25">
      <c r="A1258" s="113" t="s">
        <v>54</v>
      </c>
      <c r="B1258" s="113" t="s">
        <v>47</v>
      </c>
      <c r="C1258" s="113">
        <v>3</v>
      </c>
      <c r="D1258" s="113">
        <v>11.000999999999999</v>
      </c>
      <c r="E1258" s="113">
        <v>0.1</v>
      </c>
      <c r="F1258" s="113" t="s">
        <v>13</v>
      </c>
      <c r="G1258" s="113" t="s">
        <v>12</v>
      </c>
      <c r="H1258" s="113">
        <v>0.1</v>
      </c>
      <c r="I1258" s="113">
        <v>1.0000100000000001</v>
      </c>
      <c r="J1258" s="113" t="s">
        <v>10</v>
      </c>
      <c r="K1258" s="113">
        <v>57.411999999999999</v>
      </c>
      <c r="L1258" s="113">
        <v>0.20433000000000001</v>
      </c>
      <c r="M1258" s="113">
        <v>57.411000000000001</v>
      </c>
      <c r="N1258" s="113">
        <v>0.20413000000000001</v>
      </c>
      <c r="O1258" s="114" t="s">
        <v>2463</v>
      </c>
    </row>
    <row r="1259" spans="1:15" x14ac:dyDescent="0.25">
      <c r="A1259" s="113" t="s">
        <v>54</v>
      </c>
      <c r="B1259" s="113" t="s">
        <v>47</v>
      </c>
      <c r="C1259" s="113">
        <v>3</v>
      </c>
      <c r="D1259" s="113">
        <v>11.000999999999999</v>
      </c>
      <c r="E1259" s="113">
        <v>0.1</v>
      </c>
      <c r="F1259" s="113" t="s">
        <v>13</v>
      </c>
      <c r="G1259" s="113" t="s">
        <v>12</v>
      </c>
      <c r="H1259" s="113">
        <v>4.4999999999999998E-2</v>
      </c>
      <c r="I1259" s="113">
        <v>0.10001</v>
      </c>
      <c r="J1259" s="113" t="s">
        <v>10</v>
      </c>
      <c r="K1259" s="113">
        <v>57.646999999999998</v>
      </c>
      <c r="L1259" s="113">
        <v>8.5551000000000002E-2</v>
      </c>
      <c r="M1259" s="113">
        <v>57.646000000000001</v>
      </c>
      <c r="N1259" s="113">
        <v>8.5343000000000002E-2</v>
      </c>
      <c r="O1259" s="114" t="s">
        <v>2827</v>
      </c>
    </row>
    <row r="1260" spans="1:15" x14ac:dyDescent="0.25">
      <c r="A1260" s="113" t="s">
        <v>54</v>
      </c>
      <c r="B1260" s="113" t="s">
        <v>47</v>
      </c>
      <c r="C1260" s="113">
        <v>3</v>
      </c>
      <c r="D1260" s="113">
        <v>11.000999999999999</v>
      </c>
      <c r="E1260" s="113">
        <v>0.1</v>
      </c>
      <c r="F1260" s="113" t="s">
        <v>13</v>
      </c>
      <c r="G1260" s="113" t="s">
        <v>12</v>
      </c>
      <c r="H1260" s="113">
        <v>1</v>
      </c>
      <c r="I1260" s="113">
        <v>5</v>
      </c>
      <c r="J1260" s="113" t="s">
        <v>10</v>
      </c>
      <c r="K1260" s="113">
        <v>20.888000000000002</v>
      </c>
      <c r="L1260" s="113">
        <v>33.345999999999997</v>
      </c>
      <c r="M1260" s="113">
        <v>20.867000000000001</v>
      </c>
      <c r="N1260" s="113">
        <v>33.347000000000001</v>
      </c>
      <c r="O1260" s="114" t="s">
        <v>2464</v>
      </c>
    </row>
    <row r="1261" spans="1:15" x14ac:dyDescent="0.25">
      <c r="A1261" s="113" t="s">
        <v>54</v>
      </c>
      <c r="B1261" s="113" t="s">
        <v>47</v>
      </c>
      <c r="C1261" s="113">
        <v>3</v>
      </c>
      <c r="D1261" s="113">
        <v>11.000999999999999</v>
      </c>
      <c r="E1261" s="113">
        <v>1</v>
      </c>
      <c r="F1261" s="113" t="s">
        <v>13</v>
      </c>
      <c r="G1261" s="113" t="s">
        <v>12</v>
      </c>
      <c r="H1261" s="113">
        <v>0.1</v>
      </c>
      <c r="I1261" s="113">
        <v>1.0000100000000001</v>
      </c>
      <c r="J1261" s="113" t="s">
        <v>10</v>
      </c>
      <c r="K1261" s="113">
        <v>577.32000000000005</v>
      </c>
      <c r="L1261" s="113">
        <v>2.0884E-2</v>
      </c>
      <c r="M1261" s="113">
        <v>577.32000000000005</v>
      </c>
      <c r="N1261" s="113">
        <v>2.0799000000000002E-2</v>
      </c>
      <c r="O1261" s="114" t="s">
        <v>2468</v>
      </c>
    </row>
    <row r="1262" spans="1:15" x14ac:dyDescent="0.25">
      <c r="A1262" s="113" t="s">
        <v>54</v>
      </c>
      <c r="B1262" s="113" t="s">
        <v>47</v>
      </c>
      <c r="C1262" s="113">
        <v>3</v>
      </c>
      <c r="D1262" s="113">
        <v>11.000999999999999</v>
      </c>
      <c r="E1262" s="113">
        <v>1</v>
      </c>
      <c r="F1262" s="113" t="s">
        <v>13</v>
      </c>
      <c r="G1262" s="113" t="s">
        <v>12</v>
      </c>
      <c r="H1262" s="113">
        <v>1</v>
      </c>
      <c r="I1262" s="113">
        <v>5</v>
      </c>
      <c r="J1262" s="113" t="s">
        <v>10</v>
      </c>
      <c r="K1262" s="113">
        <v>547.30999999999995</v>
      </c>
      <c r="L1262" s="113">
        <v>13.25</v>
      </c>
      <c r="M1262" s="113">
        <v>547.29999999999995</v>
      </c>
      <c r="N1262" s="113">
        <v>13.249000000000001</v>
      </c>
      <c r="O1262" s="114" t="s">
        <v>2469</v>
      </c>
    </row>
    <row r="1263" spans="1:15" x14ac:dyDescent="0.25">
      <c r="A1263" s="113" t="s">
        <v>54</v>
      </c>
      <c r="B1263" s="113" t="s">
        <v>47</v>
      </c>
      <c r="C1263" s="113">
        <v>3</v>
      </c>
      <c r="D1263" s="113">
        <v>11.000999999999999</v>
      </c>
      <c r="E1263" s="113">
        <v>1</v>
      </c>
      <c r="F1263" s="113" t="s">
        <v>13</v>
      </c>
      <c r="G1263" s="113" t="s">
        <v>12</v>
      </c>
      <c r="H1263" s="113">
        <v>5</v>
      </c>
      <c r="I1263" s="113">
        <v>5.01</v>
      </c>
      <c r="J1263" s="113" t="s">
        <v>10</v>
      </c>
      <c r="K1263" s="113">
        <v>547.30999999999995</v>
      </c>
      <c r="L1263" s="113">
        <v>13.25</v>
      </c>
      <c r="M1263" s="113">
        <v>547.29999999999995</v>
      </c>
      <c r="N1263" s="113">
        <v>13.249000000000001</v>
      </c>
      <c r="O1263" s="114" t="s">
        <v>2467</v>
      </c>
    </row>
    <row r="1264" spans="1:15" x14ac:dyDescent="0.25">
      <c r="A1264" s="113" t="s">
        <v>54</v>
      </c>
      <c r="B1264" s="113" t="s">
        <v>47</v>
      </c>
      <c r="C1264" s="113">
        <v>3</v>
      </c>
      <c r="D1264" s="113">
        <v>11.000999999999999</v>
      </c>
      <c r="E1264" s="113">
        <v>1</v>
      </c>
      <c r="F1264" s="113" t="s">
        <v>13</v>
      </c>
      <c r="G1264" s="113" t="s">
        <v>12</v>
      </c>
      <c r="H1264" s="113">
        <v>4.4999999999999998E-2</v>
      </c>
      <c r="I1264" s="113">
        <v>0.10001</v>
      </c>
      <c r="J1264" s="113" t="s">
        <v>10</v>
      </c>
      <c r="K1264" s="113">
        <v>577.35</v>
      </c>
      <c r="L1264" s="113">
        <v>8.6937999999999998E-3</v>
      </c>
      <c r="M1264" s="113">
        <v>577.35</v>
      </c>
      <c r="N1264" s="113">
        <v>8.6087000000000004E-3</v>
      </c>
      <c r="O1264" s="114" t="s">
        <v>2466</v>
      </c>
    </row>
    <row r="1265" spans="1:15" x14ac:dyDescent="0.25">
      <c r="A1265" s="113" t="s">
        <v>54</v>
      </c>
      <c r="B1265" s="113" t="s">
        <v>47</v>
      </c>
      <c r="C1265" s="113">
        <v>11</v>
      </c>
      <c r="D1265" s="113">
        <v>20.501000000000001</v>
      </c>
      <c r="E1265" s="113">
        <v>1E-4</v>
      </c>
      <c r="F1265" s="113" t="s">
        <v>13</v>
      </c>
      <c r="G1265" s="113" t="s">
        <v>12</v>
      </c>
      <c r="H1265" s="113">
        <v>4.4999999999999998E-2</v>
      </c>
      <c r="I1265" s="113">
        <v>0.10001</v>
      </c>
      <c r="J1265" s="113" t="s">
        <v>10</v>
      </c>
      <c r="K1265" s="113">
        <v>5.8</v>
      </c>
      <c r="L1265" s="113">
        <v>1.4</v>
      </c>
      <c r="M1265" s="113">
        <v>5.7744999999999997</v>
      </c>
      <c r="N1265" s="113">
        <v>1.3859999999999999</v>
      </c>
      <c r="O1265" s="114" t="s">
        <v>2470</v>
      </c>
    </row>
    <row r="1266" spans="1:15" x14ac:dyDescent="0.25">
      <c r="A1266" s="113" t="s">
        <v>54</v>
      </c>
      <c r="B1266" s="113" t="s">
        <v>47</v>
      </c>
      <c r="C1266" s="113">
        <v>11</v>
      </c>
      <c r="D1266" s="113">
        <v>20.501000000000001</v>
      </c>
      <c r="E1266" s="113">
        <v>1E-4</v>
      </c>
      <c r="F1266" s="113" t="s">
        <v>13</v>
      </c>
      <c r="G1266" s="113" t="s">
        <v>12</v>
      </c>
      <c r="H1266" s="113">
        <v>1</v>
      </c>
      <c r="I1266" s="113">
        <v>5</v>
      </c>
      <c r="J1266" s="113" t="s">
        <v>10</v>
      </c>
      <c r="K1266" s="113">
        <v>5.9</v>
      </c>
      <c r="L1266" s="113">
        <v>35</v>
      </c>
      <c r="M1266" s="113">
        <v>5.7742000000000004</v>
      </c>
      <c r="N1266" s="113">
        <v>34.640999999999998</v>
      </c>
      <c r="O1266" s="114" t="s">
        <v>2471</v>
      </c>
    </row>
    <row r="1267" spans="1:15" x14ac:dyDescent="0.25">
      <c r="A1267" s="113" t="s">
        <v>54</v>
      </c>
      <c r="B1267" s="113" t="s">
        <v>47</v>
      </c>
      <c r="C1267" s="113">
        <v>11</v>
      </c>
      <c r="D1267" s="113">
        <v>20.501000000000001</v>
      </c>
      <c r="E1267" s="113">
        <v>1E-4</v>
      </c>
      <c r="F1267" s="113" t="s">
        <v>13</v>
      </c>
      <c r="G1267" s="113" t="s">
        <v>12</v>
      </c>
      <c r="H1267" s="113">
        <v>5</v>
      </c>
      <c r="I1267" s="113">
        <v>5.01</v>
      </c>
      <c r="J1267" s="113" t="s">
        <v>10</v>
      </c>
      <c r="K1267" s="113">
        <v>5.9</v>
      </c>
      <c r="L1267" s="113">
        <v>35</v>
      </c>
      <c r="M1267" s="113">
        <v>5.7742000000000004</v>
      </c>
      <c r="N1267" s="113">
        <v>34.640999999999998</v>
      </c>
      <c r="O1267" s="114" t="s">
        <v>2473</v>
      </c>
    </row>
    <row r="1268" spans="1:15" x14ac:dyDescent="0.25">
      <c r="A1268" s="113" t="s">
        <v>54</v>
      </c>
      <c r="B1268" s="113" t="s">
        <v>47</v>
      </c>
      <c r="C1268" s="113">
        <v>11</v>
      </c>
      <c r="D1268" s="113">
        <v>20.501000000000001</v>
      </c>
      <c r="E1268" s="113">
        <v>1E-4</v>
      </c>
      <c r="F1268" s="113" t="s">
        <v>13</v>
      </c>
      <c r="G1268" s="113" t="s">
        <v>12</v>
      </c>
      <c r="H1268" s="113">
        <v>0.1</v>
      </c>
      <c r="I1268" s="113">
        <v>1.0000100000000001</v>
      </c>
      <c r="J1268" s="113" t="s">
        <v>10</v>
      </c>
      <c r="K1268" s="113">
        <v>6.5</v>
      </c>
      <c r="L1268" s="113">
        <v>1.7</v>
      </c>
      <c r="M1268" s="113">
        <v>5.7754000000000003</v>
      </c>
      <c r="N1268" s="113">
        <v>1.7323999999999999</v>
      </c>
      <c r="O1268" s="114" t="s">
        <v>2472</v>
      </c>
    </row>
    <row r="1269" spans="1:15" x14ac:dyDescent="0.25">
      <c r="A1269" s="113" t="s">
        <v>54</v>
      </c>
      <c r="B1269" s="113" t="s">
        <v>47</v>
      </c>
      <c r="C1269" s="113">
        <v>11</v>
      </c>
      <c r="D1269" s="113">
        <v>20.501000000000001</v>
      </c>
      <c r="E1269" s="113">
        <v>1E-3</v>
      </c>
      <c r="F1269" s="113" t="s">
        <v>13</v>
      </c>
      <c r="G1269" s="113" t="s">
        <v>12</v>
      </c>
      <c r="H1269" s="113">
        <v>5</v>
      </c>
      <c r="I1269" s="113">
        <v>5.01</v>
      </c>
      <c r="J1269" s="113" t="s">
        <v>10</v>
      </c>
      <c r="K1269" s="113">
        <v>5.9</v>
      </c>
      <c r="L1269" s="113">
        <v>35</v>
      </c>
      <c r="M1269" s="113">
        <v>5.7744999999999997</v>
      </c>
      <c r="N1269" s="113">
        <v>34.640999999999998</v>
      </c>
      <c r="O1269" s="114" t="s">
        <v>2477</v>
      </c>
    </row>
    <row r="1270" spans="1:15" x14ac:dyDescent="0.25">
      <c r="A1270" s="113" t="s">
        <v>54</v>
      </c>
      <c r="B1270" s="113" t="s">
        <v>47</v>
      </c>
      <c r="C1270" s="113">
        <v>11</v>
      </c>
      <c r="D1270" s="113">
        <v>20.501000000000001</v>
      </c>
      <c r="E1270" s="113">
        <v>1E-3</v>
      </c>
      <c r="F1270" s="113" t="s">
        <v>13</v>
      </c>
      <c r="G1270" s="113" t="s">
        <v>12</v>
      </c>
      <c r="H1270" s="113">
        <v>4.4999999999999998E-2</v>
      </c>
      <c r="I1270" s="113">
        <v>0.10001</v>
      </c>
      <c r="J1270" s="113" t="s">
        <v>10</v>
      </c>
      <c r="K1270" s="113">
        <v>5.8</v>
      </c>
      <c r="L1270" s="113">
        <v>1.4</v>
      </c>
      <c r="M1270" s="113">
        <v>5.7854999999999999</v>
      </c>
      <c r="N1270" s="113">
        <v>1.3856999999999999</v>
      </c>
      <c r="O1270" s="114" t="s">
        <v>2475</v>
      </c>
    </row>
    <row r="1271" spans="1:15" x14ac:dyDescent="0.25">
      <c r="A1271" s="113" t="s">
        <v>54</v>
      </c>
      <c r="B1271" s="113" t="s">
        <v>47</v>
      </c>
      <c r="C1271" s="113">
        <v>11</v>
      </c>
      <c r="D1271" s="113">
        <v>20.501000000000001</v>
      </c>
      <c r="E1271" s="113">
        <v>1E-3</v>
      </c>
      <c r="F1271" s="113" t="s">
        <v>13</v>
      </c>
      <c r="G1271" s="113" t="s">
        <v>12</v>
      </c>
      <c r="H1271" s="113">
        <v>1</v>
      </c>
      <c r="I1271" s="113">
        <v>5</v>
      </c>
      <c r="J1271" s="113" t="s">
        <v>10</v>
      </c>
      <c r="K1271" s="113">
        <v>5.9</v>
      </c>
      <c r="L1271" s="113">
        <v>35</v>
      </c>
      <c r="M1271" s="113">
        <v>5.7744999999999997</v>
      </c>
      <c r="N1271" s="113">
        <v>34.640999999999998</v>
      </c>
      <c r="O1271" s="114" t="s">
        <v>2474</v>
      </c>
    </row>
    <row r="1272" spans="1:15" x14ac:dyDescent="0.25">
      <c r="A1272" s="113" t="s">
        <v>54</v>
      </c>
      <c r="B1272" s="113" t="s">
        <v>47</v>
      </c>
      <c r="C1272" s="113">
        <v>11</v>
      </c>
      <c r="D1272" s="113">
        <v>20.501000000000001</v>
      </c>
      <c r="E1272" s="113">
        <v>1E-3</v>
      </c>
      <c r="F1272" s="113" t="s">
        <v>13</v>
      </c>
      <c r="G1272" s="113" t="s">
        <v>12</v>
      </c>
      <c r="H1272" s="113">
        <v>0.1</v>
      </c>
      <c r="I1272" s="113">
        <v>1.0000100000000001</v>
      </c>
      <c r="J1272" s="113" t="s">
        <v>10</v>
      </c>
      <c r="K1272" s="113">
        <v>6.5</v>
      </c>
      <c r="L1272" s="113">
        <v>1.7</v>
      </c>
      <c r="M1272" s="113">
        <v>5.7851999999999997</v>
      </c>
      <c r="N1272" s="113">
        <v>1.7321</v>
      </c>
      <c r="O1272" s="114" t="s">
        <v>2476</v>
      </c>
    </row>
    <row r="1273" spans="1:15" x14ac:dyDescent="0.25">
      <c r="A1273" s="113" t="s">
        <v>54</v>
      </c>
      <c r="B1273" s="113" t="s">
        <v>47</v>
      </c>
      <c r="C1273" s="113">
        <v>11</v>
      </c>
      <c r="D1273" s="113">
        <v>20.501000000000001</v>
      </c>
      <c r="E1273" s="113">
        <v>0.01</v>
      </c>
      <c r="F1273" s="113" t="s">
        <v>13</v>
      </c>
      <c r="G1273" s="113" t="s">
        <v>12</v>
      </c>
      <c r="H1273" s="113">
        <v>1</v>
      </c>
      <c r="I1273" s="113">
        <v>5</v>
      </c>
      <c r="J1273" s="113" t="s">
        <v>10</v>
      </c>
      <c r="K1273" s="113">
        <v>5.9</v>
      </c>
      <c r="L1273" s="113">
        <v>35</v>
      </c>
      <c r="M1273" s="113">
        <v>5.8395000000000001</v>
      </c>
      <c r="N1273" s="113">
        <v>34.639000000000003</v>
      </c>
      <c r="O1273" s="114" t="s">
        <v>2480</v>
      </c>
    </row>
    <row r="1274" spans="1:15" x14ac:dyDescent="0.25">
      <c r="A1274" s="113" t="s">
        <v>54</v>
      </c>
      <c r="B1274" s="113" t="s">
        <v>47</v>
      </c>
      <c r="C1274" s="113">
        <v>11</v>
      </c>
      <c r="D1274" s="113">
        <v>20.501000000000001</v>
      </c>
      <c r="E1274" s="113">
        <v>0.01</v>
      </c>
      <c r="F1274" s="113" t="s">
        <v>13</v>
      </c>
      <c r="G1274" s="113" t="s">
        <v>12</v>
      </c>
      <c r="H1274" s="113">
        <v>4.4999999999999998E-2</v>
      </c>
      <c r="I1274" s="113">
        <v>0.10001</v>
      </c>
      <c r="J1274" s="113" t="s">
        <v>10</v>
      </c>
      <c r="K1274" s="113">
        <v>6.9249000000000001</v>
      </c>
      <c r="L1274" s="113">
        <v>1.3567</v>
      </c>
      <c r="M1274" s="113">
        <v>6.9028</v>
      </c>
      <c r="N1274" s="113">
        <v>1.3548</v>
      </c>
      <c r="O1274" s="114" t="s">
        <v>2828</v>
      </c>
    </row>
    <row r="1275" spans="1:15" x14ac:dyDescent="0.25">
      <c r="A1275" s="113" t="s">
        <v>54</v>
      </c>
      <c r="B1275" s="113" t="s">
        <v>47</v>
      </c>
      <c r="C1275" s="113">
        <v>11</v>
      </c>
      <c r="D1275" s="113">
        <v>20.501000000000001</v>
      </c>
      <c r="E1275" s="113">
        <v>0.01</v>
      </c>
      <c r="F1275" s="113" t="s">
        <v>13</v>
      </c>
      <c r="G1275" s="113" t="s">
        <v>12</v>
      </c>
      <c r="H1275" s="113">
        <v>0.1</v>
      </c>
      <c r="I1275" s="113">
        <v>1.0000100000000001</v>
      </c>
      <c r="J1275" s="113" t="s">
        <v>10</v>
      </c>
      <c r="K1275" s="113">
        <v>6.7671000000000001</v>
      </c>
      <c r="L1275" s="113">
        <v>1.7061999999999999</v>
      </c>
      <c r="M1275" s="113">
        <v>6.7465999999999999</v>
      </c>
      <c r="N1275" s="113">
        <v>1.7047000000000001</v>
      </c>
      <c r="O1275" s="114" t="s">
        <v>2479</v>
      </c>
    </row>
    <row r="1276" spans="1:15" x14ac:dyDescent="0.25">
      <c r="A1276" s="113" t="s">
        <v>54</v>
      </c>
      <c r="B1276" s="113" t="s">
        <v>47</v>
      </c>
      <c r="C1276" s="113">
        <v>11</v>
      </c>
      <c r="D1276" s="113">
        <v>20.501000000000001</v>
      </c>
      <c r="E1276" s="113">
        <v>0.01</v>
      </c>
      <c r="F1276" s="113" t="s">
        <v>13</v>
      </c>
      <c r="G1276" s="113" t="s">
        <v>12</v>
      </c>
      <c r="H1276" s="113">
        <v>5</v>
      </c>
      <c r="I1276" s="113">
        <v>5.01</v>
      </c>
      <c r="J1276" s="113" t="s">
        <v>10</v>
      </c>
      <c r="K1276" s="113">
        <v>5.9</v>
      </c>
      <c r="L1276" s="113">
        <v>35</v>
      </c>
      <c r="M1276" s="113">
        <v>5.8395000000000001</v>
      </c>
      <c r="N1276" s="113">
        <v>34.639000000000003</v>
      </c>
      <c r="O1276" s="114" t="s">
        <v>2478</v>
      </c>
    </row>
    <row r="1277" spans="1:15" x14ac:dyDescent="0.25">
      <c r="A1277" s="113" t="s">
        <v>54</v>
      </c>
      <c r="B1277" s="113" t="s">
        <v>47</v>
      </c>
      <c r="C1277" s="113">
        <v>11</v>
      </c>
      <c r="D1277" s="113">
        <v>20.501000000000001</v>
      </c>
      <c r="E1277" s="113">
        <v>0.1</v>
      </c>
      <c r="F1277" s="113" t="s">
        <v>13</v>
      </c>
      <c r="G1277" s="113" t="s">
        <v>12</v>
      </c>
      <c r="H1277" s="113">
        <v>5</v>
      </c>
      <c r="I1277" s="113">
        <v>5.01</v>
      </c>
      <c r="J1277" s="113" t="s">
        <v>10</v>
      </c>
      <c r="K1277" s="113">
        <v>6.5765000000000002</v>
      </c>
      <c r="L1277" s="113">
        <v>34.962000000000003</v>
      </c>
      <c r="M1277" s="113">
        <v>12.385999999999999</v>
      </c>
      <c r="N1277" s="113">
        <v>34.433</v>
      </c>
      <c r="O1277" s="114" t="s">
        <v>2482</v>
      </c>
    </row>
    <row r="1278" spans="1:15" x14ac:dyDescent="0.25">
      <c r="A1278" s="113" t="s">
        <v>54</v>
      </c>
      <c r="B1278" s="113" t="s">
        <v>47</v>
      </c>
      <c r="C1278" s="113">
        <v>11</v>
      </c>
      <c r="D1278" s="113">
        <v>20.501000000000001</v>
      </c>
      <c r="E1278" s="113">
        <v>0.1</v>
      </c>
      <c r="F1278" s="113" t="s">
        <v>13</v>
      </c>
      <c r="G1278" s="113" t="s">
        <v>12</v>
      </c>
      <c r="H1278" s="113">
        <v>1</v>
      </c>
      <c r="I1278" s="113">
        <v>5</v>
      </c>
      <c r="J1278" s="113" t="s">
        <v>10</v>
      </c>
      <c r="K1278" s="113">
        <v>6.5765000000000002</v>
      </c>
      <c r="L1278" s="113">
        <v>34.962000000000003</v>
      </c>
      <c r="M1278" s="113">
        <v>12.385999999999999</v>
      </c>
      <c r="N1278" s="113">
        <v>34.433</v>
      </c>
      <c r="O1278" s="114" t="s">
        <v>2829</v>
      </c>
    </row>
    <row r="1279" spans="1:15" x14ac:dyDescent="0.25">
      <c r="A1279" s="113" t="s">
        <v>54</v>
      </c>
      <c r="B1279" s="113" t="s">
        <v>47</v>
      </c>
      <c r="C1279" s="113">
        <v>11</v>
      </c>
      <c r="D1279" s="113">
        <v>20.501000000000001</v>
      </c>
      <c r="E1279" s="113">
        <v>0.1</v>
      </c>
      <c r="F1279" s="113" t="s">
        <v>13</v>
      </c>
      <c r="G1279" s="113" t="s">
        <v>12</v>
      </c>
      <c r="H1279" s="113">
        <v>4.4999999999999998E-2</v>
      </c>
      <c r="I1279" s="113">
        <v>0.10001</v>
      </c>
      <c r="J1279" s="113" t="s">
        <v>10</v>
      </c>
      <c r="K1279" s="113">
        <v>55.152999999999999</v>
      </c>
      <c r="L1279" s="113">
        <v>0.59996000000000005</v>
      </c>
      <c r="M1279" s="113">
        <v>55.167999999999999</v>
      </c>
      <c r="N1279" s="113">
        <v>0.59309999999999996</v>
      </c>
      <c r="O1279" s="114" t="s">
        <v>2481</v>
      </c>
    </row>
    <row r="1280" spans="1:15" x14ac:dyDescent="0.25">
      <c r="A1280" s="113" t="s">
        <v>54</v>
      </c>
      <c r="B1280" s="113" t="s">
        <v>47</v>
      </c>
      <c r="C1280" s="113">
        <v>11</v>
      </c>
      <c r="D1280" s="113">
        <v>20.501000000000001</v>
      </c>
      <c r="E1280" s="113">
        <v>0.1</v>
      </c>
      <c r="F1280" s="113" t="s">
        <v>13</v>
      </c>
      <c r="G1280" s="113" t="s">
        <v>12</v>
      </c>
      <c r="H1280" s="113">
        <v>0.1</v>
      </c>
      <c r="I1280" s="113">
        <v>1.0000100000000001</v>
      </c>
      <c r="J1280" s="113" t="s">
        <v>10</v>
      </c>
      <c r="K1280" s="113">
        <v>53.698999999999998</v>
      </c>
      <c r="L1280" s="113">
        <v>0.85924999999999996</v>
      </c>
      <c r="M1280" s="113">
        <v>53.709000000000003</v>
      </c>
      <c r="N1280" s="113">
        <v>0.85296000000000005</v>
      </c>
      <c r="O1280" s="114" t="s">
        <v>2483</v>
      </c>
    </row>
    <row r="1281" spans="1:15" x14ac:dyDescent="0.25">
      <c r="A1281" s="113" t="s">
        <v>54</v>
      </c>
      <c r="B1281" s="113" t="s">
        <v>47</v>
      </c>
      <c r="C1281" s="113">
        <v>11</v>
      </c>
      <c r="D1281" s="113">
        <v>20.501000000000001</v>
      </c>
      <c r="E1281" s="113">
        <v>1</v>
      </c>
      <c r="F1281" s="113" t="s">
        <v>13</v>
      </c>
      <c r="G1281" s="113" t="s">
        <v>12</v>
      </c>
      <c r="H1281" s="113">
        <v>1</v>
      </c>
      <c r="I1281" s="113">
        <v>5</v>
      </c>
      <c r="J1281" s="113" t="s">
        <v>10</v>
      </c>
      <c r="K1281" s="113">
        <v>437.55</v>
      </c>
      <c r="L1281" s="113">
        <v>23.603000000000002</v>
      </c>
      <c r="M1281" s="113">
        <v>437.54</v>
      </c>
      <c r="N1281" s="113">
        <v>23.602</v>
      </c>
      <c r="O1281" s="114" t="s">
        <v>2484</v>
      </c>
    </row>
    <row r="1282" spans="1:15" x14ac:dyDescent="0.25">
      <c r="A1282" s="113" t="s">
        <v>54</v>
      </c>
      <c r="B1282" s="113" t="s">
        <v>47</v>
      </c>
      <c r="C1282" s="113">
        <v>11</v>
      </c>
      <c r="D1282" s="113">
        <v>20.501000000000001</v>
      </c>
      <c r="E1282" s="113">
        <v>1</v>
      </c>
      <c r="F1282" s="113" t="s">
        <v>13</v>
      </c>
      <c r="G1282" s="113" t="s">
        <v>12</v>
      </c>
      <c r="H1282" s="113">
        <v>4.4999999999999998E-2</v>
      </c>
      <c r="I1282" s="113">
        <v>0.10001</v>
      </c>
      <c r="J1282" s="113" t="s">
        <v>10</v>
      </c>
      <c r="K1282" s="113">
        <v>579.65</v>
      </c>
      <c r="L1282" s="113">
        <v>6.9317000000000004E-2</v>
      </c>
      <c r="M1282" s="113">
        <v>579.66</v>
      </c>
      <c r="N1282" s="113">
        <v>6.5887000000000001E-2</v>
      </c>
      <c r="O1282" s="114" t="s">
        <v>2485</v>
      </c>
    </row>
    <row r="1283" spans="1:15" x14ac:dyDescent="0.25">
      <c r="A1283" s="113" t="s">
        <v>54</v>
      </c>
      <c r="B1283" s="113" t="s">
        <v>47</v>
      </c>
      <c r="C1283" s="113">
        <v>11</v>
      </c>
      <c r="D1283" s="113">
        <v>20.501000000000001</v>
      </c>
      <c r="E1283" s="113">
        <v>1</v>
      </c>
      <c r="F1283" s="113" t="s">
        <v>13</v>
      </c>
      <c r="G1283" s="113" t="s">
        <v>12</v>
      </c>
      <c r="H1283" s="113">
        <v>5</v>
      </c>
      <c r="I1283" s="113">
        <v>5.01</v>
      </c>
      <c r="J1283" s="113" t="s">
        <v>10</v>
      </c>
      <c r="K1283" s="113">
        <v>437.55</v>
      </c>
      <c r="L1283" s="113">
        <v>23.603000000000002</v>
      </c>
      <c r="M1283" s="113">
        <v>437.54</v>
      </c>
      <c r="N1283" s="113">
        <v>23.602</v>
      </c>
      <c r="O1283" s="114" t="s">
        <v>2486</v>
      </c>
    </row>
    <row r="1284" spans="1:15" x14ac:dyDescent="0.25">
      <c r="A1284" s="113" t="s">
        <v>54</v>
      </c>
      <c r="B1284" s="113" t="s">
        <v>47</v>
      </c>
      <c r="C1284" s="113">
        <v>11</v>
      </c>
      <c r="D1284" s="113">
        <v>20.501000000000001</v>
      </c>
      <c r="E1284" s="113">
        <v>1</v>
      </c>
      <c r="F1284" s="113" t="s">
        <v>13</v>
      </c>
      <c r="G1284" s="113" t="s">
        <v>12</v>
      </c>
      <c r="H1284" s="113">
        <v>0.1</v>
      </c>
      <c r="I1284" s="113">
        <v>1.0000100000000001</v>
      </c>
      <c r="J1284" s="113" t="s">
        <v>10</v>
      </c>
      <c r="K1284" s="113">
        <v>579.44000000000005</v>
      </c>
      <c r="L1284" s="113">
        <v>0.10199999999999999</v>
      </c>
      <c r="M1284" s="113">
        <v>579.45000000000005</v>
      </c>
      <c r="N1284" s="113">
        <v>9.8572000000000007E-2</v>
      </c>
      <c r="O1284" s="114" t="s">
        <v>2830</v>
      </c>
    </row>
    <row r="1285" spans="1:15" x14ac:dyDescent="0.25">
      <c r="A1285" s="113" t="s">
        <v>54</v>
      </c>
      <c r="B1285" s="113" t="s">
        <v>61</v>
      </c>
      <c r="C1285" s="113">
        <v>1</v>
      </c>
      <c r="D1285" s="113">
        <v>11.000999999999999</v>
      </c>
      <c r="E1285" s="113">
        <v>1E-4</v>
      </c>
      <c r="F1285" s="113" t="s">
        <v>13</v>
      </c>
      <c r="G1285" s="113" t="s">
        <v>12</v>
      </c>
      <c r="H1285" s="113">
        <v>0.01</v>
      </c>
      <c r="I1285" s="113">
        <v>4.5010000000000001E-2</v>
      </c>
      <c r="J1285" s="113" t="s">
        <v>10</v>
      </c>
      <c r="K1285" s="113">
        <v>3.3</v>
      </c>
      <c r="L1285" s="113">
        <v>2.7</v>
      </c>
      <c r="M1285" s="113">
        <v>0.97318000000000005</v>
      </c>
      <c r="N1285" s="113">
        <v>2.8730000000000002</v>
      </c>
      <c r="O1285" s="114" t="s">
        <v>2218</v>
      </c>
    </row>
    <row r="1286" spans="1:15" x14ac:dyDescent="0.25">
      <c r="A1286" s="113" t="s">
        <v>54</v>
      </c>
      <c r="B1286" s="113" t="s">
        <v>61</v>
      </c>
      <c r="C1286" s="113">
        <v>1</v>
      </c>
      <c r="D1286" s="113">
        <v>11.000999999999999</v>
      </c>
      <c r="E1286" s="113">
        <v>1E-3</v>
      </c>
      <c r="F1286" s="113" t="s">
        <v>13</v>
      </c>
      <c r="G1286" s="113" t="s">
        <v>12</v>
      </c>
      <c r="H1286" s="113">
        <v>10</v>
      </c>
      <c r="I1286" s="113">
        <v>10.01</v>
      </c>
      <c r="J1286" s="113" t="s">
        <v>10</v>
      </c>
      <c r="K1286" s="113">
        <v>58</v>
      </c>
      <c r="L1286" s="113">
        <v>29</v>
      </c>
      <c r="M1286" s="113">
        <v>57.703000000000003</v>
      </c>
      <c r="N1286" s="113">
        <v>28.928999999999998</v>
      </c>
      <c r="O1286" s="114" t="s">
        <v>2223</v>
      </c>
    </row>
    <row r="1287" spans="1:15" x14ac:dyDescent="0.25">
      <c r="A1287" s="113" t="s">
        <v>54</v>
      </c>
      <c r="B1287" s="113" t="s">
        <v>61</v>
      </c>
      <c r="C1287" s="113">
        <v>1</v>
      </c>
      <c r="D1287" s="113">
        <v>11.000999999999999</v>
      </c>
      <c r="E1287" s="113">
        <v>1E-3</v>
      </c>
      <c r="F1287" s="113" t="s">
        <v>13</v>
      </c>
      <c r="G1287" s="113" t="s">
        <v>12</v>
      </c>
      <c r="H1287" s="113">
        <v>5</v>
      </c>
      <c r="I1287" s="113">
        <v>10</v>
      </c>
      <c r="J1287" s="113" t="s">
        <v>10</v>
      </c>
      <c r="K1287" s="113">
        <v>58</v>
      </c>
      <c r="L1287" s="113">
        <v>29</v>
      </c>
      <c r="M1287" s="113">
        <v>57.703000000000003</v>
      </c>
      <c r="N1287" s="113">
        <v>28.928999999999998</v>
      </c>
      <c r="O1287" s="114" t="s">
        <v>2219</v>
      </c>
    </row>
    <row r="1288" spans="1:15" x14ac:dyDescent="0.25">
      <c r="A1288" s="113" t="s">
        <v>54</v>
      </c>
      <c r="B1288" s="113" t="s">
        <v>61</v>
      </c>
      <c r="C1288" s="113">
        <v>1</v>
      </c>
      <c r="D1288" s="113">
        <v>11.000999999999999</v>
      </c>
      <c r="E1288" s="113">
        <v>1E-3</v>
      </c>
      <c r="F1288" s="113" t="s">
        <v>13</v>
      </c>
      <c r="G1288" s="113" t="s">
        <v>12</v>
      </c>
      <c r="H1288" s="113">
        <v>1</v>
      </c>
      <c r="I1288" s="113">
        <v>5.01</v>
      </c>
      <c r="J1288" s="113" t="s">
        <v>10</v>
      </c>
      <c r="K1288" s="113">
        <v>12</v>
      </c>
      <c r="L1288" s="113">
        <v>7.2</v>
      </c>
      <c r="M1288" s="113">
        <v>11.404999999999999</v>
      </c>
      <c r="N1288" s="113">
        <v>7.1882000000000001</v>
      </c>
      <c r="O1288" s="114" t="s">
        <v>2221</v>
      </c>
    </row>
    <row r="1289" spans="1:15" x14ac:dyDescent="0.25">
      <c r="A1289" s="113" t="s">
        <v>54</v>
      </c>
      <c r="B1289" s="113" t="s">
        <v>61</v>
      </c>
      <c r="C1289" s="113">
        <v>1</v>
      </c>
      <c r="D1289" s="113">
        <v>11.000999999999999</v>
      </c>
      <c r="E1289" s="113">
        <v>1E-3</v>
      </c>
      <c r="F1289" s="113" t="s">
        <v>13</v>
      </c>
      <c r="G1289" s="113" t="s">
        <v>12</v>
      </c>
      <c r="H1289" s="113">
        <v>4.4999999999999998E-2</v>
      </c>
      <c r="I1289" s="113">
        <v>1.0000100000000001</v>
      </c>
      <c r="J1289" s="113" t="s">
        <v>10</v>
      </c>
      <c r="K1289" s="113">
        <v>0.66</v>
      </c>
      <c r="L1289" s="113">
        <v>2.1</v>
      </c>
      <c r="M1289" s="113">
        <v>0.65508</v>
      </c>
      <c r="N1289" s="113">
        <v>2.0543</v>
      </c>
      <c r="O1289" s="114" t="s">
        <v>2220</v>
      </c>
    </row>
    <row r="1290" spans="1:15" x14ac:dyDescent="0.25">
      <c r="A1290" s="113" t="s">
        <v>54</v>
      </c>
      <c r="B1290" s="113" t="s">
        <v>61</v>
      </c>
      <c r="C1290" s="113">
        <v>1</v>
      </c>
      <c r="D1290" s="113">
        <v>11.000999999999999</v>
      </c>
      <c r="E1290" s="113">
        <v>1E-3</v>
      </c>
      <c r="F1290" s="113" t="s">
        <v>13</v>
      </c>
      <c r="G1290" s="113" t="s">
        <v>12</v>
      </c>
      <c r="H1290" s="113">
        <v>0.01</v>
      </c>
      <c r="I1290" s="113">
        <v>4.5010000000000001E-2</v>
      </c>
      <c r="J1290" s="113" t="s">
        <v>10</v>
      </c>
      <c r="K1290" s="113">
        <v>4.3265000000000002</v>
      </c>
      <c r="L1290" s="113">
        <v>2.6149</v>
      </c>
      <c r="M1290" s="113">
        <v>4.3204000000000002</v>
      </c>
      <c r="N1290" s="113">
        <v>2.6147999999999998</v>
      </c>
      <c r="O1290" s="114" t="s">
        <v>2222</v>
      </c>
    </row>
    <row r="1291" spans="1:15" x14ac:dyDescent="0.25">
      <c r="A1291" s="113" t="s">
        <v>54</v>
      </c>
      <c r="B1291" s="113" t="s">
        <v>61</v>
      </c>
      <c r="C1291" s="113">
        <v>1</v>
      </c>
      <c r="D1291" s="113">
        <v>11.000999999999999</v>
      </c>
      <c r="E1291" s="113">
        <v>0.01</v>
      </c>
      <c r="F1291" s="113" t="s">
        <v>13</v>
      </c>
      <c r="G1291" s="113" t="s">
        <v>12</v>
      </c>
      <c r="H1291" s="113">
        <v>1</v>
      </c>
      <c r="I1291" s="113">
        <v>5.01</v>
      </c>
      <c r="J1291" s="113" t="s">
        <v>10</v>
      </c>
      <c r="K1291" s="113">
        <v>12.361000000000001</v>
      </c>
      <c r="L1291" s="113">
        <v>7.1186999999999996</v>
      </c>
      <c r="M1291" s="113">
        <v>12.349</v>
      </c>
      <c r="N1291" s="113">
        <v>7.1191000000000004</v>
      </c>
      <c r="O1291" s="114" t="s">
        <v>2224</v>
      </c>
    </row>
    <row r="1292" spans="1:15" x14ac:dyDescent="0.25">
      <c r="A1292" s="113" t="s">
        <v>54</v>
      </c>
      <c r="B1292" s="113" t="s">
        <v>61</v>
      </c>
      <c r="C1292" s="113">
        <v>1</v>
      </c>
      <c r="D1292" s="113">
        <v>11.000999999999999</v>
      </c>
      <c r="E1292" s="113">
        <v>0.01</v>
      </c>
      <c r="F1292" s="113" t="s">
        <v>13</v>
      </c>
      <c r="G1292" s="113" t="s">
        <v>12</v>
      </c>
      <c r="H1292" s="113">
        <v>5</v>
      </c>
      <c r="I1292" s="113">
        <v>10</v>
      </c>
      <c r="J1292" s="113" t="s">
        <v>10</v>
      </c>
      <c r="K1292" s="113">
        <v>58</v>
      </c>
      <c r="L1292" s="113">
        <v>28.914000000000001</v>
      </c>
      <c r="M1292" s="113">
        <v>57.905000000000001</v>
      </c>
      <c r="N1292" s="113">
        <v>28.914999999999999</v>
      </c>
      <c r="O1292" s="114" t="s">
        <v>2226</v>
      </c>
    </row>
    <row r="1293" spans="1:15" x14ac:dyDescent="0.25">
      <c r="A1293" s="113" t="s">
        <v>54</v>
      </c>
      <c r="B1293" s="113" t="s">
        <v>61</v>
      </c>
      <c r="C1293" s="113">
        <v>1</v>
      </c>
      <c r="D1293" s="113">
        <v>11.000999999999999</v>
      </c>
      <c r="E1293" s="113">
        <v>0.01</v>
      </c>
      <c r="F1293" s="113" t="s">
        <v>13</v>
      </c>
      <c r="G1293" s="113" t="s">
        <v>12</v>
      </c>
      <c r="H1293" s="113">
        <v>10</v>
      </c>
      <c r="I1293" s="113">
        <v>10.01</v>
      </c>
      <c r="J1293" s="113" t="s">
        <v>10</v>
      </c>
      <c r="K1293" s="113">
        <v>58</v>
      </c>
      <c r="L1293" s="113">
        <v>28.914000000000001</v>
      </c>
      <c r="M1293" s="113">
        <v>57.905000000000001</v>
      </c>
      <c r="N1293" s="113">
        <v>28.914999999999999</v>
      </c>
      <c r="O1293" s="114" t="s">
        <v>2749</v>
      </c>
    </row>
    <row r="1294" spans="1:15" x14ac:dyDescent="0.25">
      <c r="A1294" s="113" t="s">
        <v>54</v>
      </c>
      <c r="B1294" s="113" t="s">
        <v>61</v>
      </c>
      <c r="C1294" s="113">
        <v>1</v>
      </c>
      <c r="D1294" s="113">
        <v>11.000999999999999</v>
      </c>
      <c r="E1294" s="113">
        <v>0.01</v>
      </c>
      <c r="F1294" s="113" t="s">
        <v>13</v>
      </c>
      <c r="G1294" s="113" t="s">
        <v>12</v>
      </c>
      <c r="H1294" s="113">
        <v>0.01</v>
      </c>
      <c r="I1294" s="113">
        <v>4.5010000000000001E-2</v>
      </c>
      <c r="J1294" s="113" t="s">
        <v>10</v>
      </c>
      <c r="K1294" s="113">
        <v>57.286999999999999</v>
      </c>
      <c r="L1294" s="113">
        <v>0.84058999999999995</v>
      </c>
      <c r="M1294" s="113">
        <v>57.284999999999997</v>
      </c>
      <c r="N1294" s="113">
        <v>0.83952000000000004</v>
      </c>
      <c r="O1294" s="114" t="s">
        <v>2748</v>
      </c>
    </row>
    <row r="1295" spans="1:15" x14ac:dyDescent="0.25">
      <c r="A1295" s="113" t="s">
        <v>54</v>
      </c>
      <c r="B1295" s="113" t="s">
        <v>61</v>
      </c>
      <c r="C1295" s="113">
        <v>1</v>
      </c>
      <c r="D1295" s="113">
        <v>11.000999999999999</v>
      </c>
      <c r="E1295" s="113">
        <v>0.01</v>
      </c>
      <c r="F1295" s="113" t="s">
        <v>13</v>
      </c>
      <c r="G1295" s="113" t="s">
        <v>12</v>
      </c>
      <c r="H1295" s="113">
        <v>4.4999999999999998E-2</v>
      </c>
      <c r="I1295" s="113">
        <v>1.0000100000000001</v>
      </c>
      <c r="J1295" s="113" t="s">
        <v>10</v>
      </c>
      <c r="K1295" s="113">
        <v>4.6182999999999996</v>
      </c>
      <c r="L1295" s="113">
        <v>1.7586999999999999</v>
      </c>
      <c r="M1295" s="113">
        <v>4.6169000000000002</v>
      </c>
      <c r="N1295" s="113">
        <v>1.7583</v>
      </c>
      <c r="O1295" s="114" t="s">
        <v>2225</v>
      </c>
    </row>
    <row r="1296" spans="1:15" x14ac:dyDescent="0.25">
      <c r="A1296" s="113" t="s">
        <v>54</v>
      </c>
      <c r="B1296" s="113" t="s">
        <v>61</v>
      </c>
      <c r="C1296" s="113">
        <v>1</v>
      </c>
      <c r="D1296" s="113">
        <v>11.000999999999999</v>
      </c>
      <c r="E1296" s="113">
        <v>0.1</v>
      </c>
      <c r="F1296" s="113" t="s">
        <v>13</v>
      </c>
      <c r="G1296" s="113" t="s">
        <v>12</v>
      </c>
      <c r="H1296" s="113">
        <v>1</v>
      </c>
      <c r="I1296" s="113">
        <v>5.01</v>
      </c>
      <c r="J1296" s="113" t="s">
        <v>10</v>
      </c>
      <c r="K1296" s="113">
        <v>56.262</v>
      </c>
      <c r="L1296" s="113">
        <v>4.6574</v>
      </c>
      <c r="M1296" s="113">
        <v>56.247999999999998</v>
      </c>
      <c r="N1296" s="113">
        <v>4.6563999999999997</v>
      </c>
      <c r="O1296" s="114" t="s">
        <v>2750</v>
      </c>
    </row>
    <row r="1297" spans="1:15" x14ac:dyDescent="0.25">
      <c r="A1297" s="113" t="s">
        <v>54</v>
      </c>
      <c r="B1297" s="113" t="s">
        <v>61</v>
      </c>
      <c r="C1297" s="113">
        <v>1</v>
      </c>
      <c r="D1297" s="113">
        <v>11.000999999999999</v>
      </c>
      <c r="E1297" s="113">
        <v>0.1</v>
      </c>
      <c r="F1297" s="113" t="s">
        <v>13</v>
      </c>
      <c r="G1297" s="113" t="s">
        <v>12</v>
      </c>
      <c r="H1297" s="113">
        <v>5</v>
      </c>
      <c r="I1297" s="113">
        <v>10</v>
      </c>
      <c r="J1297" s="113" t="s">
        <v>10</v>
      </c>
      <c r="K1297" s="113">
        <v>76.668000000000006</v>
      </c>
      <c r="L1297" s="113">
        <v>27.611000000000001</v>
      </c>
      <c r="M1297" s="113">
        <v>76.638000000000005</v>
      </c>
      <c r="N1297" s="113">
        <v>27.611999999999998</v>
      </c>
      <c r="O1297" s="114" t="s">
        <v>2228</v>
      </c>
    </row>
    <row r="1298" spans="1:15" x14ac:dyDescent="0.25">
      <c r="A1298" s="113" t="s">
        <v>54</v>
      </c>
      <c r="B1298" s="113" t="s">
        <v>61</v>
      </c>
      <c r="C1298" s="113">
        <v>1</v>
      </c>
      <c r="D1298" s="113">
        <v>11.000999999999999</v>
      </c>
      <c r="E1298" s="113">
        <v>0.1</v>
      </c>
      <c r="F1298" s="113" t="s">
        <v>13</v>
      </c>
      <c r="G1298" s="113" t="s">
        <v>12</v>
      </c>
      <c r="H1298" s="113">
        <v>0.01</v>
      </c>
      <c r="I1298" s="113">
        <v>4.5010000000000001E-2</v>
      </c>
      <c r="J1298" s="113" t="s">
        <v>10</v>
      </c>
      <c r="K1298" s="113">
        <v>579.91999999999996</v>
      </c>
      <c r="L1298" s="113">
        <v>9.0643000000000001E-2</v>
      </c>
      <c r="M1298" s="113">
        <v>579.91999999999996</v>
      </c>
      <c r="N1298" s="113">
        <v>9.0135999999999994E-2</v>
      </c>
      <c r="O1298" s="114" t="s">
        <v>2229</v>
      </c>
    </row>
    <row r="1299" spans="1:15" x14ac:dyDescent="0.25">
      <c r="A1299" s="113" t="s">
        <v>54</v>
      </c>
      <c r="B1299" s="113" t="s">
        <v>61</v>
      </c>
      <c r="C1299" s="113">
        <v>1</v>
      </c>
      <c r="D1299" s="113">
        <v>11.000999999999999</v>
      </c>
      <c r="E1299" s="113">
        <v>0.1</v>
      </c>
      <c r="F1299" s="113" t="s">
        <v>13</v>
      </c>
      <c r="G1299" s="113" t="s">
        <v>12</v>
      </c>
      <c r="H1299" s="113">
        <v>4.4999999999999998E-2</v>
      </c>
      <c r="I1299" s="113">
        <v>1.0000100000000001</v>
      </c>
      <c r="J1299" s="113" t="s">
        <v>10</v>
      </c>
      <c r="K1299" s="113">
        <v>57.618000000000002</v>
      </c>
      <c r="L1299" s="113">
        <v>0.44323000000000001</v>
      </c>
      <c r="M1299" s="113">
        <v>57.618000000000002</v>
      </c>
      <c r="N1299" s="113">
        <v>0.44244</v>
      </c>
      <c r="O1299" s="114" t="s">
        <v>2230</v>
      </c>
    </row>
    <row r="1300" spans="1:15" x14ac:dyDescent="0.25">
      <c r="A1300" s="113" t="s">
        <v>54</v>
      </c>
      <c r="B1300" s="113" t="s">
        <v>61</v>
      </c>
      <c r="C1300" s="113">
        <v>1</v>
      </c>
      <c r="D1300" s="113">
        <v>11.000999999999999</v>
      </c>
      <c r="E1300" s="113">
        <v>0.1</v>
      </c>
      <c r="F1300" s="113" t="s">
        <v>13</v>
      </c>
      <c r="G1300" s="113" t="s">
        <v>12</v>
      </c>
      <c r="H1300" s="113">
        <v>10</v>
      </c>
      <c r="I1300" s="113">
        <v>10.01</v>
      </c>
      <c r="J1300" s="113" t="s">
        <v>10</v>
      </c>
      <c r="K1300" s="113">
        <v>76.668000000000006</v>
      </c>
      <c r="L1300" s="113">
        <v>27.611000000000001</v>
      </c>
      <c r="M1300" s="113">
        <v>76.638000000000005</v>
      </c>
      <c r="N1300" s="113">
        <v>27.611999999999998</v>
      </c>
      <c r="O1300" s="114" t="s">
        <v>2227</v>
      </c>
    </row>
    <row r="1301" spans="1:15" x14ac:dyDescent="0.25">
      <c r="A1301" s="113" t="s">
        <v>54</v>
      </c>
      <c r="B1301" s="113" t="s">
        <v>61</v>
      </c>
      <c r="C1301" s="113">
        <v>1</v>
      </c>
      <c r="D1301" s="113">
        <v>11.000999999999999</v>
      </c>
      <c r="E1301" s="113">
        <v>1</v>
      </c>
      <c r="F1301" s="113" t="s">
        <v>13</v>
      </c>
      <c r="G1301" s="113" t="s">
        <v>12</v>
      </c>
      <c r="H1301" s="113">
        <v>10</v>
      </c>
      <c r="I1301" s="113">
        <v>10.01</v>
      </c>
      <c r="J1301" s="113" t="s">
        <v>10</v>
      </c>
      <c r="K1301" s="113">
        <v>575.98</v>
      </c>
      <c r="L1301" s="113">
        <v>10.476000000000001</v>
      </c>
      <c r="M1301" s="113">
        <v>575.96</v>
      </c>
      <c r="N1301" s="113">
        <v>10.474</v>
      </c>
      <c r="O1301" s="114" t="s">
        <v>2235</v>
      </c>
    </row>
    <row r="1302" spans="1:15" x14ac:dyDescent="0.25">
      <c r="A1302" s="113" t="s">
        <v>54</v>
      </c>
      <c r="B1302" s="113" t="s">
        <v>61</v>
      </c>
      <c r="C1302" s="113">
        <v>1</v>
      </c>
      <c r="D1302" s="113">
        <v>11.000999999999999</v>
      </c>
      <c r="E1302" s="113">
        <v>1</v>
      </c>
      <c r="F1302" s="113" t="s">
        <v>13</v>
      </c>
      <c r="G1302" s="113" t="s">
        <v>12</v>
      </c>
      <c r="H1302" s="113">
        <v>0.01</v>
      </c>
      <c r="I1302" s="113">
        <v>4.5010000000000001E-2</v>
      </c>
      <c r="J1302" s="113" t="s">
        <v>10</v>
      </c>
      <c r="K1302" s="113">
        <v>5800</v>
      </c>
      <c r="L1302" s="113">
        <v>9.2241000000000007E-3</v>
      </c>
      <c r="M1302" s="113">
        <v>5800</v>
      </c>
      <c r="N1302" s="113">
        <v>9.0206999999999996E-3</v>
      </c>
      <c r="O1302" s="114" t="s">
        <v>2234</v>
      </c>
    </row>
    <row r="1303" spans="1:15" x14ac:dyDescent="0.25">
      <c r="A1303" s="113" t="s">
        <v>54</v>
      </c>
      <c r="B1303" s="113" t="s">
        <v>61</v>
      </c>
      <c r="C1303" s="113">
        <v>1</v>
      </c>
      <c r="D1303" s="113">
        <v>11.000999999999999</v>
      </c>
      <c r="E1303" s="113">
        <v>1</v>
      </c>
      <c r="F1303" s="113" t="s">
        <v>13</v>
      </c>
      <c r="G1303" s="113" t="s">
        <v>12</v>
      </c>
      <c r="H1303" s="113">
        <v>1</v>
      </c>
      <c r="I1303" s="113">
        <v>5.01</v>
      </c>
      <c r="J1303" s="113" t="s">
        <v>10</v>
      </c>
      <c r="K1303" s="113">
        <v>579.63</v>
      </c>
      <c r="L1303" s="113">
        <v>0.67288000000000003</v>
      </c>
      <c r="M1303" s="113">
        <v>579.63</v>
      </c>
      <c r="N1303" s="113">
        <v>0.67162999999999995</v>
      </c>
      <c r="O1303" s="114" t="s">
        <v>2233</v>
      </c>
    </row>
    <row r="1304" spans="1:15" x14ac:dyDescent="0.25">
      <c r="A1304" s="113" t="s">
        <v>54</v>
      </c>
      <c r="B1304" s="113" t="s">
        <v>61</v>
      </c>
      <c r="C1304" s="113">
        <v>1</v>
      </c>
      <c r="D1304" s="113">
        <v>11.000999999999999</v>
      </c>
      <c r="E1304" s="113">
        <v>1</v>
      </c>
      <c r="F1304" s="113" t="s">
        <v>13</v>
      </c>
      <c r="G1304" s="113" t="s">
        <v>12</v>
      </c>
      <c r="H1304" s="113">
        <v>5</v>
      </c>
      <c r="I1304" s="113">
        <v>10</v>
      </c>
      <c r="J1304" s="113" t="s">
        <v>10</v>
      </c>
      <c r="K1304" s="113">
        <v>575.98</v>
      </c>
      <c r="L1304" s="113">
        <v>10.476000000000001</v>
      </c>
      <c r="M1304" s="113">
        <v>575.96</v>
      </c>
      <c r="N1304" s="113">
        <v>10.474</v>
      </c>
      <c r="O1304" s="114" t="s">
        <v>2231</v>
      </c>
    </row>
    <row r="1305" spans="1:15" x14ac:dyDescent="0.25">
      <c r="A1305" s="113" t="s">
        <v>54</v>
      </c>
      <c r="B1305" s="113" t="s">
        <v>61</v>
      </c>
      <c r="C1305" s="113">
        <v>1</v>
      </c>
      <c r="D1305" s="113">
        <v>11.000999999999999</v>
      </c>
      <c r="E1305" s="113">
        <v>1</v>
      </c>
      <c r="F1305" s="113" t="s">
        <v>13</v>
      </c>
      <c r="G1305" s="113" t="s">
        <v>12</v>
      </c>
      <c r="H1305" s="113">
        <v>4.4999999999999998E-2</v>
      </c>
      <c r="I1305" s="113">
        <v>1.0000100000000001</v>
      </c>
      <c r="J1305" s="113" t="s">
        <v>10</v>
      </c>
      <c r="K1305" s="113">
        <v>579.96</v>
      </c>
      <c r="L1305" s="113">
        <v>4.6302000000000003E-2</v>
      </c>
      <c r="M1305" s="113">
        <v>579.96</v>
      </c>
      <c r="N1305" s="113">
        <v>4.5959E-2</v>
      </c>
      <c r="O1305" s="114" t="s">
        <v>2232</v>
      </c>
    </row>
    <row r="1306" spans="1:15" x14ac:dyDescent="0.25">
      <c r="A1306" s="113" t="s">
        <v>54</v>
      </c>
      <c r="B1306" s="113" t="s">
        <v>61</v>
      </c>
      <c r="C1306" s="113">
        <v>1</v>
      </c>
      <c r="D1306" s="113">
        <v>11.000999999999999</v>
      </c>
      <c r="E1306" s="113">
        <v>10</v>
      </c>
      <c r="F1306" s="113" t="s">
        <v>13</v>
      </c>
      <c r="G1306" s="113" t="s">
        <v>12</v>
      </c>
      <c r="H1306" s="113">
        <v>10</v>
      </c>
      <c r="I1306" s="113">
        <v>10.01</v>
      </c>
      <c r="J1306" s="113" t="s">
        <v>10</v>
      </c>
      <c r="K1306" s="113">
        <v>5799.5</v>
      </c>
      <c r="L1306" s="113">
        <v>1.1535</v>
      </c>
      <c r="M1306" s="113">
        <v>5799.5</v>
      </c>
      <c r="N1306" s="113">
        <v>1.1523000000000001</v>
      </c>
      <c r="O1306" s="114" t="s">
        <v>2239</v>
      </c>
    </row>
    <row r="1307" spans="1:15" x14ac:dyDescent="0.25">
      <c r="A1307" s="113" t="s">
        <v>54</v>
      </c>
      <c r="B1307" s="113" t="s">
        <v>61</v>
      </c>
      <c r="C1307" s="113">
        <v>1</v>
      </c>
      <c r="D1307" s="113">
        <v>11.000999999999999</v>
      </c>
      <c r="E1307" s="113">
        <v>10</v>
      </c>
      <c r="F1307" s="113" t="s">
        <v>13</v>
      </c>
      <c r="G1307" s="113" t="s">
        <v>12</v>
      </c>
      <c r="H1307" s="113">
        <v>5</v>
      </c>
      <c r="I1307" s="113">
        <v>10</v>
      </c>
      <c r="J1307" s="113" t="s">
        <v>10</v>
      </c>
      <c r="K1307" s="113">
        <v>5799.5</v>
      </c>
      <c r="L1307" s="113">
        <v>1.1535</v>
      </c>
      <c r="M1307" s="113">
        <v>5799.5</v>
      </c>
      <c r="N1307" s="113">
        <v>1.1523000000000001</v>
      </c>
      <c r="O1307" s="114" t="s">
        <v>2236</v>
      </c>
    </row>
    <row r="1308" spans="1:15" x14ac:dyDescent="0.25">
      <c r="A1308" s="113" t="s">
        <v>54</v>
      </c>
      <c r="B1308" s="113" t="s">
        <v>61</v>
      </c>
      <c r="C1308" s="113">
        <v>1</v>
      </c>
      <c r="D1308" s="113">
        <v>11.000999999999999</v>
      </c>
      <c r="E1308" s="113">
        <v>10</v>
      </c>
      <c r="F1308" s="113" t="s">
        <v>13</v>
      </c>
      <c r="G1308" s="113" t="s">
        <v>12</v>
      </c>
      <c r="H1308" s="113">
        <v>4.4999999999999998E-2</v>
      </c>
      <c r="I1308" s="113">
        <v>1.0000100000000001</v>
      </c>
      <c r="J1308" s="113" t="s">
        <v>10</v>
      </c>
      <c r="K1308" s="113">
        <v>5800</v>
      </c>
      <c r="L1308" s="113">
        <v>4.7349999999999996E-3</v>
      </c>
      <c r="M1308" s="113">
        <v>5800</v>
      </c>
      <c r="N1308" s="113">
        <v>4.5976999999999997E-3</v>
      </c>
      <c r="O1308" s="114" t="s">
        <v>2238</v>
      </c>
    </row>
    <row r="1309" spans="1:15" x14ac:dyDescent="0.25">
      <c r="A1309" s="113" t="s">
        <v>54</v>
      </c>
      <c r="B1309" s="113" t="s">
        <v>61</v>
      </c>
      <c r="C1309" s="113">
        <v>1</v>
      </c>
      <c r="D1309" s="113">
        <v>11.000999999999999</v>
      </c>
      <c r="E1309" s="113">
        <v>10</v>
      </c>
      <c r="F1309" s="113" t="s">
        <v>13</v>
      </c>
      <c r="G1309" s="113" t="s">
        <v>12</v>
      </c>
      <c r="H1309" s="113">
        <v>0.01</v>
      </c>
      <c r="I1309" s="113">
        <v>4.5010000000000001E-2</v>
      </c>
      <c r="J1309" s="113" t="s">
        <v>10</v>
      </c>
      <c r="K1309" s="113">
        <v>58000</v>
      </c>
      <c r="L1309" s="113">
        <v>9.8346000000000002E-4</v>
      </c>
      <c r="M1309" s="113">
        <v>58000</v>
      </c>
      <c r="N1309" s="113">
        <v>9.0207999999999998E-4</v>
      </c>
      <c r="O1309" s="114" t="s">
        <v>2237</v>
      </c>
    </row>
    <row r="1310" spans="1:15" x14ac:dyDescent="0.25">
      <c r="A1310" s="113" t="s">
        <v>54</v>
      </c>
      <c r="B1310" s="113" t="s">
        <v>61</v>
      </c>
      <c r="C1310" s="113">
        <v>1</v>
      </c>
      <c r="D1310" s="113">
        <v>11.000999999999999</v>
      </c>
      <c r="E1310" s="113">
        <v>10</v>
      </c>
      <c r="F1310" s="113" t="s">
        <v>13</v>
      </c>
      <c r="G1310" s="113" t="s">
        <v>12</v>
      </c>
      <c r="H1310" s="113">
        <v>1</v>
      </c>
      <c r="I1310" s="113">
        <v>5.01</v>
      </c>
      <c r="J1310" s="113" t="s">
        <v>10</v>
      </c>
      <c r="K1310" s="113">
        <v>5800</v>
      </c>
      <c r="L1310" s="113">
        <v>6.8090999999999999E-2</v>
      </c>
      <c r="M1310" s="113">
        <v>5800</v>
      </c>
      <c r="N1310" s="113">
        <v>6.7582000000000003E-2</v>
      </c>
      <c r="O1310" s="114" t="s">
        <v>2751</v>
      </c>
    </row>
    <row r="1311" spans="1:15" x14ac:dyDescent="0.25">
      <c r="A1311" s="113" t="s">
        <v>54</v>
      </c>
      <c r="B1311" s="113" t="s">
        <v>61</v>
      </c>
      <c r="C1311" s="113">
        <v>11</v>
      </c>
      <c r="D1311" s="113">
        <v>30.001000000000001</v>
      </c>
      <c r="E1311" s="113">
        <v>1E-3</v>
      </c>
      <c r="F1311" s="113" t="s">
        <v>13</v>
      </c>
      <c r="G1311" s="113" t="s">
        <v>12</v>
      </c>
      <c r="H1311" s="113">
        <v>10</v>
      </c>
      <c r="I1311" s="113">
        <v>10.01</v>
      </c>
      <c r="J1311" s="113" t="s">
        <v>10</v>
      </c>
      <c r="K1311" s="113">
        <v>58</v>
      </c>
      <c r="L1311" s="113">
        <v>29</v>
      </c>
      <c r="M1311" s="113">
        <v>57.627000000000002</v>
      </c>
      <c r="N1311" s="113">
        <v>28.936</v>
      </c>
      <c r="O1311" s="114" t="s">
        <v>2241</v>
      </c>
    </row>
    <row r="1312" spans="1:15" x14ac:dyDescent="0.25">
      <c r="A1312" s="113" t="s">
        <v>54</v>
      </c>
      <c r="B1312" s="113" t="s">
        <v>61</v>
      </c>
      <c r="C1312" s="113">
        <v>11</v>
      </c>
      <c r="D1312" s="113">
        <v>30.001000000000001</v>
      </c>
      <c r="E1312" s="113">
        <v>1E-3</v>
      </c>
      <c r="F1312" s="113" t="s">
        <v>13</v>
      </c>
      <c r="G1312" s="113" t="s">
        <v>12</v>
      </c>
      <c r="H1312" s="113">
        <v>5</v>
      </c>
      <c r="I1312" s="113">
        <v>10</v>
      </c>
      <c r="J1312" s="113" t="s">
        <v>10</v>
      </c>
      <c r="K1312" s="113">
        <v>58</v>
      </c>
      <c r="L1312" s="113">
        <v>29</v>
      </c>
      <c r="M1312" s="113">
        <v>57.627000000000002</v>
      </c>
      <c r="N1312" s="113">
        <v>28.936</v>
      </c>
      <c r="O1312" s="114" t="s">
        <v>2242</v>
      </c>
    </row>
    <row r="1313" spans="1:15" x14ac:dyDescent="0.25">
      <c r="A1313" s="113" t="s">
        <v>54</v>
      </c>
      <c r="B1313" s="113" t="s">
        <v>61</v>
      </c>
      <c r="C1313" s="113">
        <v>11</v>
      </c>
      <c r="D1313" s="113">
        <v>30.001000000000001</v>
      </c>
      <c r="E1313" s="113">
        <v>1E-3</v>
      </c>
      <c r="F1313" s="113" t="s">
        <v>13</v>
      </c>
      <c r="G1313" s="113" t="s">
        <v>12</v>
      </c>
      <c r="H1313" s="113">
        <v>0.01</v>
      </c>
      <c r="I1313" s="113">
        <v>4.5010000000000001E-2</v>
      </c>
      <c r="J1313" s="113" t="s">
        <v>10</v>
      </c>
      <c r="K1313" s="113">
        <v>0.87</v>
      </c>
      <c r="L1313" s="113">
        <v>2.9</v>
      </c>
      <c r="M1313" s="113">
        <v>0.85389000000000004</v>
      </c>
      <c r="N1313" s="113">
        <v>2.8839000000000001</v>
      </c>
      <c r="O1313" s="114" t="s">
        <v>2752</v>
      </c>
    </row>
    <row r="1314" spans="1:15" x14ac:dyDescent="0.25">
      <c r="A1314" s="113" t="s">
        <v>54</v>
      </c>
      <c r="B1314" s="113" t="s">
        <v>61</v>
      </c>
      <c r="C1314" s="113">
        <v>11</v>
      </c>
      <c r="D1314" s="113">
        <v>30.001000000000001</v>
      </c>
      <c r="E1314" s="113">
        <v>1E-3</v>
      </c>
      <c r="F1314" s="113" t="s">
        <v>13</v>
      </c>
      <c r="G1314" s="113" t="s">
        <v>12</v>
      </c>
      <c r="H1314" s="113">
        <v>4.4999999999999998E-2</v>
      </c>
      <c r="I1314" s="113">
        <v>1.0000100000000001</v>
      </c>
      <c r="J1314" s="113" t="s">
        <v>10</v>
      </c>
      <c r="K1314" s="113">
        <v>0.9</v>
      </c>
      <c r="L1314" s="113">
        <v>2.1</v>
      </c>
      <c r="M1314" s="113">
        <v>0.42297000000000001</v>
      </c>
      <c r="N1314" s="113">
        <v>2.1154999999999999</v>
      </c>
      <c r="O1314" s="114" t="s">
        <v>2243</v>
      </c>
    </row>
    <row r="1315" spans="1:15" x14ac:dyDescent="0.25">
      <c r="A1315" s="113" t="s">
        <v>54</v>
      </c>
      <c r="B1315" s="113" t="s">
        <v>61</v>
      </c>
      <c r="C1315" s="113">
        <v>11</v>
      </c>
      <c r="D1315" s="113">
        <v>30.001000000000001</v>
      </c>
      <c r="E1315" s="113">
        <v>1E-3</v>
      </c>
      <c r="F1315" s="113" t="s">
        <v>13</v>
      </c>
      <c r="G1315" s="113" t="s">
        <v>12</v>
      </c>
      <c r="H1315" s="113">
        <v>1</v>
      </c>
      <c r="I1315" s="113">
        <v>5.01</v>
      </c>
      <c r="J1315" s="113" t="s">
        <v>10</v>
      </c>
      <c r="K1315" s="113">
        <v>12</v>
      </c>
      <c r="L1315" s="113">
        <v>7.2</v>
      </c>
      <c r="M1315" s="113">
        <v>11.173999999999999</v>
      </c>
      <c r="N1315" s="113">
        <v>7.2092000000000001</v>
      </c>
      <c r="O1315" s="114" t="s">
        <v>2240</v>
      </c>
    </row>
    <row r="1316" spans="1:15" x14ac:dyDescent="0.25">
      <c r="A1316" s="113" t="s">
        <v>54</v>
      </c>
      <c r="B1316" s="113" t="s">
        <v>61</v>
      </c>
      <c r="C1316" s="113">
        <v>11</v>
      </c>
      <c r="D1316" s="113">
        <v>30.001000000000001</v>
      </c>
      <c r="E1316" s="113">
        <v>0.01</v>
      </c>
      <c r="F1316" s="113" t="s">
        <v>13</v>
      </c>
      <c r="G1316" s="113" t="s">
        <v>12</v>
      </c>
      <c r="H1316" s="113">
        <v>1</v>
      </c>
      <c r="I1316" s="113">
        <v>5.01</v>
      </c>
      <c r="J1316" s="113" t="s">
        <v>10</v>
      </c>
      <c r="K1316" s="113">
        <v>12</v>
      </c>
      <c r="L1316" s="113">
        <v>7.2</v>
      </c>
      <c r="M1316" s="113">
        <v>11.422000000000001</v>
      </c>
      <c r="N1316" s="113">
        <v>7.2034000000000002</v>
      </c>
      <c r="O1316" s="114" t="s">
        <v>2246</v>
      </c>
    </row>
    <row r="1317" spans="1:15" x14ac:dyDescent="0.25">
      <c r="A1317" s="113" t="s">
        <v>54</v>
      </c>
      <c r="B1317" s="113" t="s">
        <v>61</v>
      </c>
      <c r="C1317" s="113">
        <v>11</v>
      </c>
      <c r="D1317" s="113">
        <v>30.001000000000001</v>
      </c>
      <c r="E1317" s="113">
        <v>0.01</v>
      </c>
      <c r="F1317" s="113" t="s">
        <v>13</v>
      </c>
      <c r="G1317" s="113" t="s">
        <v>12</v>
      </c>
      <c r="H1317" s="113">
        <v>4.4999999999999998E-2</v>
      </c>
      <c r="I1317" s="113">
        <v>1.0000100000000001</v>
      </c>
      <c r="J1317" s="113" t="s">
        <v>10</v>
      </c>
      <c r="K1317" s="113">
        <v>1.3908</v>
      </c>
      <c r="L1317" s="113">
        <v>2.0926999999999998</v>
      </c>
      <c r="M1317" s="113">
        <v>1.3648</v>
      </c>
      <c r="N1317" s="113">
        <v>2.0928</v>
      </c>
      <c r="O1317" s="114" t="s">
        <v>2247</v>
      </c>
    </row>
    <row r="1318" spans="1:15" x14ac:dyDescent="0.25">
      <c r="A1318" s="113" t="s">
        <v>54</v>
      </c>
      <c r="B1318" s="113" t="s">
        <v>61</v>
      </c>
      <c r="C1318" s="113">
        <v>11</v>
      </c>
      <c r="D1318" s="113">
        <v>30.001000000000001</v>
      </c>
      <c r="E1318" s="113">
        <v>0.01</v>
      </c>
      <c r="F1318" s="113" t="s">
        <v>13</v>
      </c>
      <c r="G1318" s="113" t="s">
        <v>12</v>
      </c>
      <c r="H1318" s="113">
        <v>0.01</v>
      </c>
      <c r="I1318" s="113">
        <v>4.5010000000000001E-2</v>
      </c>
      <c r="J1318" s="113" t="s">
        <v>10</v>
      </c>
      <c r="K1318" s="113">
        <v>1.4280999999999999</v>
      </c>
      <c r="L1318" s="113">
        <v>2.8814000000000002</v>
      </c>
      <c r="M1318" s="113">
        <v>1.5428999999999999</v>
      </c>
      <c r="N1318" s="113">
        <v>2.8673000000000002</v>
      </c>
      <c r="O1318" s="114" t="s">
        <v>2248</v>
      </c>
    </row>
    <row r="1319" spans="1:15" x14ac:dyDescent="0.25">
      <c r="A1319" s="113" t="s">
        <v>54</v>
      </c>
      <c r="B1319" s="113" t="s">
        <v>61</v>
      </c>
      <c r="C1319" s="113">
        <v>11</v>
      </c>
      <c r="D1319" s="113">
        <v>30.001000000000001</v>
      </c>
      <c r="E1319" s="113">
        <v>0.01</v>
      </c>
      <c r="F1319" s="113" t="s">
        <v>13</v>
      </c>
      <c r="G1319" s="113" t="s">
        <v>12</v>
      </c>
      <c r="H1319" s="113">
        <v>5</v>
      </c>
      <c r="I1319" s="113">
        <v>10</v>
      </c>
      <c r="J1319" s="113" t="s">
        <v>10</v>
      </c>
      <c r="K1319" s="113">
        <v>58</v>
      </c>
      <c r="L1319" s="113">
        <v>29</v>
      </c>
      <c r="M1319" s="113">
        <v>57.682000000000002</v>
      </c>
      <c r="N1319" s="113">
        <v>28.934999999999999</v>
      </c>
      <c r="O1319" s="114" t="s">
        <v>2245</v>
      </c>
    </row>
    <row r="1320" spans="1:15" x14ac:dyDescent="0.25">
      <c r="A1320" s="113" t="s">
        <v>54</v>
      </c>
      <c r="B1320" s="113" t="s">
        <v>61</v>
      </c>
      <c r="C1320" s="113">
        <v>11</v>
      </c>
      <c r="D1320" s="113">
        <v>30.001000000000001</v>
      </c>
      <c r="E1320" s="113">
        <v>0.01</v>
      </c>
      <c r="F1320" s="113" t="s">
        <v>13</v>
      </c>
      <c r="G1320" s="113" t="s">
        <v>12</v>
      </c>
      <c r="H1320" s="113">
        <v>10</v>
      </c>
      <c r="I1320" s="113">
        <v>10.01</v>
      </c>
      <c r="J1320" s="113" t="s">
        <v>10</v>
      </c>
      <c r="K1320" s="113">
        <v>58</v>
      </c>
      <c r="L1320" s="113">
        <v>29</v>
      </c>
      <c r="M1320" s="113">
        <v>57.682000000000002</v>
      </c>
      <c r="N1320" s="113">
        <v>28.934999999999999</v>
      </c>
      <c r="O1320" s="114" t="s">
        <v>2244</v>
      </c>
    </row>
    <row r="1321" spans="1:15" x14ac:dyDescent="0.25">
      <c r="A1321" s="113" t="s">
        <v>54</v>
      </c>
      <c r="B1321" s="113" t="s">
        <v>61</v>
      </c>
      <c r="C1321" s="113">
        <v>11</v>
      </c>
      <c r="D1321" s="113">
        <v>30.001000000000001</v>
      </c>
      <c r="E1321" s="113">
        <v>0.1</v>
      </c>
      <c r="F1321" s="113" t="s">
        <v>13</v>
      </c>
      <c r="G1321" s="113" t="s">
        <v>12</v>
      </c>
      <c r="H1321" s="113">
        <v>1</v>
      </c>
      <c r="I1321" s="113">
        <v>5.01</v>
      </c>
      <c r="J1321" s="113" t="s">
        <v>10</v>
      </c>
      <c r="K1321" s="113">
        <v>33.826999999999998</v>
      </c>
      <c r="L1321" s="113">
        <v>6.6978</v>
      </c>
      <c r="M1321" s="113">
        <v>33.792000000000002</v>
      </c>
      <c r="N1321" s="113">
        <v>6.6978999999999997</v>
      </c>
      <c r="O1321" s="114" t="s">
        <v>2753</v>
      </c>
    </row>
    <row r="1322" spans="1:15" x14ac:dyDescent="0.25">
      <c r="A1322" s="113" t="s">
        <v>54</v>
      </c>
      <c r="B1322" s="113" t="s">
        <v>61</v>
      </c>
      <c r="C1322" s="113">
        <v>11</v>
      </c>
      <c r="D1322" s="113">
        <v>30.001000000000001</v>
      </c>
      <c r="E1322" s="113">
        <v>0.1</v>
      </c>
      <c r="F1322" s="113" t="s">
        <v>13</v>
      </c>
      <c r="G1322" s="113" t="s">
        <v>12</v>
      </c>
      <c r="H1322" s="113">
        <v>5</v>
      </c>
      <c r="I1322" s="113">
        <v>10</v>
      </c>
      <c r="J1322" s="113" t="s">
        <v>10</v>
      </c>
      <c r="K1322" s="113">
        <v>63.353000000000002</v>
      </c>
      <c r="L1322" s="113">
        <v>28.821999999999999</v>
      </c>
      <c r="M1322" s="113">
        <v>63.613</v>
      </c>
      <c r="N1322" s="113">
        <v>28.797000000000001</v>
      </c>
      <c r="O1322" s="114" t="s">
        <v>2250</v>
      </c>
    </row>
    <row r="1323" spans="1:15" x14ac:dyDescent="0.25">
      <c r="A1323" s="113" t="s">
        <v>54</v>
      </c>
      <c r="B1323" s="113" t="s">
        <v>61</v>
      </c>
      <c r="C1323" s="113">
        <v>11</v>
      </c>
      <c r="D1323" s="113">
        <v>30.001000000000001</v>
      </c>
      <c r="E1323" s="113">
        <v>0.1</v>
      </c>
      <c r="F1323" s="113" t="s">
        <v>13</v>
      </c>
      <c r="G1323" s="113" t="s">
        <v>12</v>
      </c>
      <c r="H1323" s="113">
        <v>10</v>
      </c>
      <c r="I1323" s="113">
        <v>10.01</v>
      </c>
      <c r="J1323" s="113" t="s">
        <v>10</v>
      </c>
      <c r="K1323" s="113">
        <v>63.353000000000002</v>
      </c>
      <c r="L1323" s="113">
        <v>28.821999999999999</v>
      </c>
      <c r="M1323" s="113">
        <v>63.613</v>
      </c>
      <c r="N1323" s="113">
        <v>28.797000000000001</v>
      </c>
      <c r="O1323" s="114" t="s">
        <v>2754</v>
      </c>
    </row>
    <row r="1324" spans="1:15" x14ac:dyDescent="0.25">
      <c r="A1324" s="113" t="s">
        <v>54</v>
      </c>
      <c r="B1324" s="113" t="s">
        <v>61</v>
      </c>
      <c r="C1324" s="113">
        <v>11</v>
      </c>
      <c r="D1324" s="113">
        <v>30.001000000000001</v>
      </c>
      <c r="E1324" s="113">
        <v>0.1</v>
      </c>
      <c r="F1324" s="113" t="s">
        <v>13</v>
      </c>
      <c r="G1324" s="113" t="s">
        <v>12</v>
      </c>
      <c r="H1324" s="113">
        <v>0.01</v>
      </c>
      <c r="I1324" s="113">
        <v>4.5010000000000001E-2</v>
      </c>
      <c r="J1324" s="113" t="s">
        <v>10</v>
      </c>
      <c r="K1324" s="113">
        <v>44.393999999999998</v>
      </c>
      <c r="L1324" s="113">
        <v>2.0188000000000001</v>
      </c>
      <c r="M1324" s="113">
        <v>44.317</v>
      </c>
      <c r="N1324" s="113">
        <v>2.0184000000000002</v>
      </c>
      <c r="O1324" s="114" t="s">
        <v>2251</v>
      </c>
    </row>
    <row r="1325" spans="1:15" x14ac:dyDescent="0.25">
      <c r="A1325" s="113" t="s">
        <v>54</v>
      </c>
      <c r="B1325" s="113" t="s">
        <v>61</v>
      </c>
      <c r="C1325" s="113">
        <v>11</v>
      </c>
      <c r="D1325" s="113">
        <v>30.001000000000001</v>
      </c>
      <c r="E1325" s="113">
        <v>0.1</v>
      </c>
      <c r="F1325" s="113" t="s">
        <v>13</v>
      </c>
      <c r="G1325" s="113" t="s">
        <v>12</v>
      </c>
      <c r="H1325" s="113">
        <v>4.4999999999999998E-2</v>
      </c>
      <c r="I1325" s="113">
        <v>1.0000100000000001</v>
      </c>
      <c r="J1325" s="113" t="s">
        <v>10</v>
      </c>
      <c r="K1325" s="113">
        <v>48.985999999999997</v>
      </c>
      <c r="L1325" s="113">
        <v>1.2457</v>
      </c>
      <c r="M1325" s="113">
        <v>48.966999999999999</v>
      </c>
      <c r="N1325" s="113">
        <v>1.244</v>
      </c>
      <c r="O1325" s="114" t="s">
        <v>2249</v>
      </c>
    </row>
    <row r="1326" spans="1:15" x14ac:dyDescent="0.25">
      <c r="A1326" s="113" t="s">
        <v>54</v>
      </c>
      <c r="B1326" s="113" t="s">
        <v>61</v>
      </c>
      <c r="C1326" s="113">
        <v>11</v>
      </c>
      <c r="D1326" s="113">
        <v>30.001000000000001</v>
      </c>
      <c r="E1326" s="113">
        <v>1</v>
      </c>
      <c r="F1326" s="113" t="s">
        <v>13</v>
      </c>
      <c r="G1326" s="113" t="s">
        <v>12</v>
      </c>
      <c r="H1326" s="113">
        <v>1</v>
      </c>
      <c r="I1326" s="113">
        <v>5.01</v>
      </c>
      <c r="J1326" s="113" t="s">
        <v>10</v>
      </c>
      <c r="K1326" s="113">
        <v>566.19000000000005</v>
      </c>
      <c r="L1326" s="113">
        <v>1.8955</v>
      </c>
      <c r="M1326" s="113">
        <v>566.17999999999995</v>
      </c>
      <c r="N1326" s="113">
        <v>1.8942000000000001</v>
      </c>
      <c r="O1326" s="114" t="s">
        <v>2255</v>
      </c>
    </row>
    <row r="1327" spans="1:15" x14ac:dyDescent="0.25">
      <c r="A1327" s="113" t="s">
        <v>54</v>
      </c>
      <c r="B1327" s="113" t="s">
        <v>61</v>
      </c>
      <c r="C1327" s="113">
        <v>11</v>
      </c>
      <c r="D1327" s="113">
        <v>30.001000000000001</v>
      </c>
      <c r="E1327" s="113">
        <v>1</v>
      </c>
      <c r="F1327" s="113" t="s">
        <v>13</v>
      </c>
      <c r="G1327" s="113" t="s">
        <v>12</v>
      </c>
      <c r="H1327" s="113">
        <v>10</v>
      </c>
      <c r="I1327" s="113">
        <v>10.01</v>
      </c>
      <c r="J1327" s="113" t="s">
        <v>10</v>
      </c>
      <c r="K1327" s="113">
        <v>458.92</v>
      </c>
      <c r="L1327" s="113">
        <v>21.117999999999999</v>
      </c>
      <c r="M1327" s="113">
        <v>458.89</v>
      </c>
      <c r="N1327" s="113">
        <v>21.117000000000001</v>
      </c>
      <c r="O1327" s="114" t="s">
        <v>2254</v>
      </c>
    </row>
    <row r="1328" spans="1:15" x14ac:dyDescent="0.25">
      <c r="A1328" s="113" t="s">
        <v>54</v>
      </c>
      <c r="B1328" s="113" t="s">
        <v>61</v>
      </c>
      <c r="C1328" s="113">
        <v>11</v>
      </c>
      <c r="D1328" s="113">
        <v>30.001000000000001</v>
      </c>
      <c r="E1328" s="113">
        <v>1</v>
      </c>
      <c r="F1328" s="113" t="s">
        <v>13</v>
      </c>
      <c r="G1328" s="113" t="s">
        <v>12</v>
      </c>
      <c r="H1328" s="113">
        <v>5</v>
      </c>
      <c r="I1328" s="113">
        <v>10</v>
      </c>
      <c r="J1328" s="113" t="s">
        <v>10</v>
      </c>
      <c r="K1328" s="113">
        <v>458.92</v>
      </c>
      <c r="L1328" s="113">
        <v>21.117999999999999</v>
      </c>
      <c r="M1328" s="113">
        <v>458.89</v>
      </c>
      <c r="N1328" s="113">
        <v>21.117000000000001</v>
      </c>
      <c r="O1328" s="114" t="s">
        <v>2252</v>
      </c>
    </row>
    <row r="1329" spans="1:15" x14ac:dyDescent="0.25">
      <c r="A1329" s="113" t="s">
        <v>54</v>
      </c>
      <c r="B1329" s="113" t="s">
        <v>61</v>
      </c>
      <c r="C1329" s="113">
        <v>11</v>
      </c>
      <c r="D1329" s="113">
        <v>30.001000000000001</v>
      </c>
      <c r="E1329" s="113">
        <v>1</v>
      </c>
      <c r="F1329" s="113" t="s">
        <v>13</v>
      </c>
      <c r="G1329" s="113" t="s">
        <v>12</v>
      </c>
      <c r="H1329" s="113">
        <v>4.4999999999999998E-2</v>
      </c>
      <c r="I1329" s="113">
        <v>1.0000100000000001</v>
      </c>
      <c r="J1329" s="113" t="s">
        <v>10</v>
      </c>
      <c r="K1329" s="113">
        <v>578.74</v>
      </c>
      <c r="L1329" s="113">
        <v>0.1605</v>
      </c>
      <c r="M1329" s="113">
        <v>578.73</v>
      </c>
      <c r="N1329" s="113">
        <v>0.15917999999999999</v>
      </c>
      <c r="O1329" s="114" t="s">
        <v>2755</v>
      </c>
    </row>
    <row r="1330" spans="1:15" x14ac:dyDescent="0.25">
      <c r="A1330" s="113" t="s">
        <v>54</v>
      </c>
      <c r="B1330" s="113" t="s">
        <v>61</v>
      </c>
      <c r="C1330" s="113">
        <v>11</v>
      </c>
      <c r="D1330" s="113">
        <v>30.001000000000001</v>
      </c>
      <c r="E1330" s="113">
        <v>1</v>
      </c>
      <c r="F1330" s="113" t="s">
        <v>13</v>
      </c>
      <c r="G1330" s="113" t="s">
        <v>12</v>
      </c>
      <c r="H1330" s="113">
        <v>0.01</v>
      </c>
      <c r="I1330" s="113">
        <v>4.5010000000000001E-2</v>
      </c>
      <c r="J1330" s="113" t="s">
        <v>10</v>
      </c>
      <c r="K1330" s="113">
        <v>577.67999999999995</v>
      </c>
      <c r="L1330" s="113">
        <v>0.29774</v>
      </c>
      <c r="M1330" s="113">
        <v>577.66</v>
      </c>
      <c r="N1330" s="113">
        <v>0.29630000000000001</v>
      </c>
      <c r="O1330" s="114" t="s">
        <v>2253</v>
      </c>
    </row>
    <row r="1331" spans="1:15" x14ac:dyDescent="0.25">
      <c r="A1331" s="113" t="s">
        <v>54</v>
      </c>
      <c r="B1331" s="113" t="s">
        <v>61</v>
      </c>
      <c r="C1331" s="113">
        <v>11</v>
      </c>
      <c r="D1331" s="113">
        <v>30.001000000000001</v>
      </c>
      <c r="E1331" s="113">
        <v>10</v>
      </c>
      <c r="F1331" s="113" t="s">
        <v>13</v>
      </c>
      <c r="G1331" s="113" t="s">
        <v>12</v>
      </c>
      <c r="H1331" s="113">
        <v>5</v>
      </c>
      <c r="I1331" s="113">
        <v>10</v>
      </c>
      <c r="J1331" s="113" t="s">
        <v>10</v>
      </c>
      <c r="K1331" s="113">
        <v>5776.7</v>
      </c>
      <c r="L1331" s="113">
        <v>3.2241</v>
      </c>
      <c r="M1331" s="113">
        <v>5776.7</v>
      </c>
      <c r="N1331" s="113">
        <v>3.2231000000000001</v>
      </c>
      <c r="O1331" s="114" t="s">
        <v>2256</v>
      </c>
    </row>
    <row r="1332" spans="1:15" x14ac:dyDescent="0.25">
      <c r="A1332" s="113" t="s">
        <v>54</v>
      </c>
      <c r="B1332" s="113" t="s">
        <v>61</v>
      </c>
      <c r="C1332" s="113">
        <v>11</v>
      </c>
      <c r="D1332" s="113">
        <v>30.001000000000001</v>
      </c>
      <c r="E1332" s="113">
        <v>10</v>
      </c>
      <c r="F1332" s="113" t="s">
        <v>13</v>
      </c>
      <c r="G1332" s="113" t="s">
        <v>12</v>
      </c>
      <c r="H1332" s="113">
        <v>10</v>
      </c>
      <c r="I1332" s="113">
        <v>10.01</v>
      </c>
      <c r="J1332" s="113" t="s">
        <v>10</v>
      </c>
      <c r="K1332" s="113">
        <v>5776.7</v>
      </c>
      <c r="L1332" s="113">
        <v>3.2241</v>
      </c>
      <c r="M1332" s="113">
        <v>5776.7</v>
      </c>
      <c r="N1332" s="113">
        <v>3.2231000000000001</v>
      </c>
      <c r="O1332" s="114" t="s">
        <v>2757</v>
      </c>
    </row>
    <row r="1333" spans="1:15" x14ac:dyDescent="0.25">
      <c r="A1333" s="113" t="s">
        <v>54</v>
      </c>
      <c r="B1333" s="113" t="s">
        <v>61</v>
      </c>
      <c r="C1333" s="113">
        <v>11</v>
      </c>
      <c r="D1333" s="113">
        <v>30.001000000000001</v>
      </c>
      <c r="E1333" s="113">
        <v>10</v>
      </c>
      <c r="F1333" s="113" t="s">
        <v>13</v>
      </c>
      <c r="G1333" s="113" t="s">
        <v>12</v>
      </c>
      <c r="H1333" s="113">
        <v>0.01</v>
      </c>
      <c r="I1333" s="113">
        <v>4.5010000000000001E-2</v>
      </c>
      <c r="J1333" s="113" t="s">
        <v>10</v>
      </c>
      <c r="K1333" s="113">
        <v>5799.8</v>
      </c>
      <c r="L1333" s="113">
        <v>3.0408000000000001E-2</v>
      </c>
      <c r="M1333" s="113">
        <v>5799.8</v>
      </c>
      <c r="N1333" s="113">
        <v>2.9818999999999998E-2</v>
      </c>
      <c r="O1333" s="114" t="s">
        <v>2756</v>
      </c>
    </row>
    <row r="1334" spans="1:15" x14ac:dyDescent="0.25">
      <c r="A1334" s="113" t="s">
        <v>54</v>
      </c>
      <c r="B1334" s="113" t="s">
        <v>61</v>
      </c>
      <c r="C1334" s="113">
        <v>11</v>
      </c>
      <c r="D1334" s="113">
        <v>30.001000000000001</v>
      </c>
      <c r="E1334" s="113">
        <v>10</v>
      </c>
      <c r="F1334" s="113" t="s">
        <v>13</v>
      </c>
      <c r="G1334" s="113" t="s">
        <v>12</v>
      </c>
      <c r="H1334" s="113">
        <v>1</v>
      </c>
      <c r="I1334" s="113">
        <v>5.01</v>
      </c>
      <c r="J1334" s="113" t="s">
        <v>10</v>
      </c>
      <c r="K1334" s="113">
        <v>5798.5</v>
      </c>
      <c r="L1334" s="113">
        <v>0.19808000000000001</v>
      </c>
      <c r="M1334" s="113">
        <v>5798.5</v>
      </c>
      <c r="N1334" s="113">
        <v>0.19750000000000001</v>
      </c>
      <c r="O1334" s="114" t="s">
        <v>2258</v>
      </c>
    </row>
    <row r="1335" spans="1:15" x14ac:dyDescent="0.25">
      <c r="A1335" s="113" t="s">
        <v>54</v>
      </c>
      <c r="B1335" s="113" t="s">
        <v>61</v>
      </c>
      <c r="C1335" s="113">
        <v>11</v>
      </c>
      <c r="D1335" s="113">
        <v>30.001000000000001</v>
      </c>
      <c r="E1335" s="113">
        <v>10</v>
      </c>
      <c r="F1335" s="113" t="s">
        <v>13</v>
      </c>
      <c r="G1335" s="113" t="s">
        <v>12</v>
      </c>
      <c r="H1335" s="113">
        <v>4.4999999999999998E-2</v>
      </c>
      <c r="I1335" s="113">
        <v>1.0000100000000001</v>
      </c>
      <c r="J1335" s="113" t="s">
        <v>10</v>
      </c>
      <c r="K1335" s="113">
        <v>5799.9</v>
      </c>
      <c r="L1335" s="113">
        <v>1.6507000000000001E-2</v>
      </c>
      <c r="M1335" s="113">
        <v>5799.9</v>
      </c>
      <c r="N1335" s="113">
        <v>1.5972E-2</v>
      </c>
      <c r="O1335" s="114" t="s">
        <v>2257</v>
      </c>
    </row>
    <row r="1336" spans="1:15" x14ac:dyDescent="0.25">
      <c r="A1336" s="113" t="s">
        <v>54</v>
      </c>
      <c r="B1336" s="113" t="s">
        <v>61</v>
      </c>
      <c r="C1336" s="113">
        <v>30</v>
      </c>
      <c r="D1336" s="113">
        <v>110.01</v>
      </c>
      <c r="E1336" s="113">
        <v>0.01</v>
      </c>
      <c r="F1336" s="113" t="s">
        <v>13</v>
      </c>
      <c r="G1336" s="113" t="s">
        <v>12</v>
      </c>
      <c r="H1336" s="113">
        <v>1</v>
      </c>
      <c r="I1336" s="113">
        <v>5</v>
      </c>
      <c r="J1336" s="113" t="s">
        <v>10</v>
      </c>
      <c r="K1336" s="113">
        <v>24</v>
      </c>
      <c r="L1336" s="113">
        <v>35</v>
      </c>
      <c r="M1336" s="113">
        <v>23.064</v>
      </c>
      <c r="N1336" s="113">
        <v>34.698999999999998</v>
      </c>
      <c r="O1336" s="114" t="s">
        <v>2259</v>
      </c>
    </row>
    <row r="1337" spans="1:15" x14ac:dyDescent="0.25">
      <c r="A1337" s="113" t="s">
        <v>54</v>
      </c>
      <c r="B1337" s="113" t="s">
        <v>61</v>
      </c>
      <c r="C1337" s="113">
        <v>30</v>
      </c>
      <c r="D1337" s="113">
        <v>110.01</v>
      </c>
      <c r="E1337" s="113">
        <v>0.01</v>
      </c>
      <c r="F1337" s="113" t="s">
        <v>13</v>
      </c>
      <c r="G1337" s="113" t="s">
        <v>12</v>
      </c>
      <c r="H1337" s="113">
        <v>0.1</v>
      </c>
      <c r="I1337" s="113">
        <v>1.0000100000000001</v>
      </c>
      <c r="J1337" s="113" t="s">
        <v>10</v>
      </c>
      <c r="K1337" s="113">
        <v>15</v>
      </c>
      <c r="L1337" s="113">
        <v>2.2999999999999998</v>
      </c>
      <c r="M1337" s="113">
        <v>14.872</v>
      </c>
      <c r="N1337" s="113">
        <v>2.2866</v>
      </c>
      <c r="O1337" s="114" t="s">
        <v>2261</v>
      </c>
    </row>
    <row r="1338" spans="1:15" x14ac:dyDescent="0.25">
      <c r="A1338" s="113" t="s">
        <v>54</v>
      </c>
      <c r="B1338" s="113" t="s">
        <v>61</v>
      </c>
      <c r="C1338" s="113">
        <v>30</v>
      </c>
      <c r="D1338" s="113">
        <v>110.01</v>
      </c>
      <c r="E1338" s="113">
        <v>0.01</v>
      </c>
      <c r="F1338" s="113" t="s">
        <v>13</v>
      </c>
      <c r="G1338" s="113" t="s">
        <v>12</v>
      </c>
      <c r="H1338" s="113">
        <v>4.4999999999999998E-2</v>
      </c>
      <c r="I1338" s="113">
        <v>0.10001</v>
      </c>
      <c r="J1338" s="113" t="s">
        <v>10</v>
      </c>
      <c r="K1338" s="113">
        <v>12</v>
      </c>
      <c r="L1338" s="113">
        <v>2.1</v>
      </c>
      <c r="M1338" s="113">
        <v>11.984</v>
      </c>
      <c r="N1338" s="113">
        <v>2.0859999999999999</v>
      </c>
      <c r="O1338" s="114" t="s">
        <v>2260</v>
      </c>
    </row>
    <row r="1339" spans="1:15" x14ac:dyDescent="0.25">
      <c r="A1339" s="113" t="s">
        <v>54</v>
      </c>
      <c r="B1339" s="113" t="s">
        <v>61</v>
      </c>
      <c r="C1339" s="113">
        <v>30</v>
      </c>
      <c r="D1339" s="113">
        <v>110.01</v>
      </c>
      <c r="E1339" s="113">
        <v>0.01</v>
      </c>
      <c r="F1339" s="113" t="s">
        <v>13</v>
      </c>
      <c r="G1339" s="113" t="s">
        <v>12</v>
      </c>
      <c r="H1339" s="113">
        <v>5</v>
      </c>
      <c r="I1339" s="113">
        <v>5.01</v>
      </c>
      <c r="J1339" s="113" t="s">
        <v>10</v>
      </c>
      <c r="K1339" s="113">
        <v>24</v>
      </c>
      <c r="L1339" s="113">
        <v>35</v>
      </c>
      <c r="M1339" s="113">
        <v>23.064</v>
      </c>
      <c r="N1339" s="113">
        <v>34.698999999999998</v>
      </c>
      <c r="O1339" s="114" t="s">
        <v>2262</v>
      </c>
    </row>
    <row r="1340" spans="1:15" x14ac:dyDescent="0.25">
      <c r="A1340" s="113" t="s">
        <v>54</v>
      </c>
      <c r="B1340" s="113" t="s">
        <v>61</v>
      </c>
      <c r="C1340" s="113">
        <v>30</v>
      </c>
      <c r="D1340" s="113">
        <v>110.01</v>
      </c>
      <c r="E1340" s="113">
        <v>0.1</v>
      </c>
      <c r="F1340" s="113" t="s">
        <v>13</v>
      </c>
      <c r="G1340" s="113" t="s">
        <v>12</v>
      </c>
      <c r="H1340" s="113">
        <v>0.1</v>
      </c>
      <c r="I1340" s="113">
        <v>1.0000100000000001</v>
      </c>
      <c r="J1340" s="113" t="s">
        <v>10</v>
      </c>
      <c r="K1340" s="113">
        <v>37.347999999999999</v>
      </c>
      <c r="L1340" s="113">
        <v>2.1392000000000002</v>
      </c>
      <c r="M1340" s="113">
        <v>37.319000000000003</v>
      </c>
      <c r="N1340" s="113">
        <v>2.1387</v>
      </c>
      <c r="O1340" s="114" t="s">
        <v>2263</v>
      </c>
    </row>
    <row r="1341" spans="1:15" x14ac:dyDescent="0.25">
      <c r="A1341" s="113" t="s">
        <v>54</v>
      </c>
      <c r="B1341" s="113" t="s">
        <v>61</v>
      </c>
      <c r="C1341" s="113">
        <v>30</v>
      </c>
      <c r="D1341" s="113">
        <v>110.01</v>
      </c>
      <c r="E1341" s="113">
        <v>0.1</v>
      </c>
      <c r="F1341" s="113" t="s">
        <v>13</v>
      </c>
      <c r="G1341" s="113" t="s">
        <v>12</v>
      </c>
      <c r="H1341" s="113">
        <v>5</v>
      </c>
      <c r="I1341" s="113">
        <v>5.01</v>
      </c>
      <c r="J1341" s="113" t="s">
        <v>10</v>
      </c>
      <c r="K1341" s="113">
        <v>24</v>
      </c>
      <c r="L1341" s="113">
        <v>35</v>
      </c>
      <c r="M1341" s="113">
        <v>25.111999999999998</v>
      </c>
      <c r="N1341" s="113">
        <v>34.683999999999997</v>
      </c>
      <c r="O1341" s="114" t="s">
        <v>2266</v>
      </c>
    </row>
    <row r="1342" spans="1:15" x14ac:dyDescent="0.25">
      <c r="A1342" s="113" t="s">
        <v>54</v>
      </c>
      <c r="B1342" s="113" t="s">
        <v>61</v>
      </c>
      <c r="C1342" s="113">
        <v>30</v>
      </c>
      <c r="D1342" s="113">
        <v>110.01</v>
      </c>
      <c r="E1342" s="113">
        <v>0.1</v>
      </c>
      <c r="F1342" s="113" t="s">
        <v>13</v>
      </c>
      <c r="G1342" s="113" t="s">
        <v>12</v>
      </c>
      <c r="H1342" s="113">
        <v>1</v>
      </c>
      <c r="I1342" s="113">
        <v>5</v>
      </c>
      <c r="J1342" s="113" t="s">
        <v>10</v>
      </c>
      <c r="K1342" s="113">
        <v>24</v>
      </c>
      <c r="L1342" s="113">
        <v>35</v>
      </c>
      <c r="M1342" s="113">
        <v>25.111999999999998</v>
      </c>
      <c r="N1342" s="113">
        <v>34.683999999999997</v>
      </c>
      <c r="O1342" s="114" t="s">
        <v>2265</v>
      </c>
    </row>
    <row r="1343" spans="1:15" x14ac:dyDescent="0.25">
      <c r="A1343" s="113" t="s">
        <v>54</v>
      </c>
      <c r="B1343" s="113" t="s">
        <v>61</v>
      </c>
      <c r="C1343" s="113">
        <v>30</v>
      </c>
      <c r="D1343" s="113">
        <v>110.01</v>
      </c>
      <c r="E1343" s="113">
        <v>0.1</v>
      </c>
      <c r="F1343" s="113" t="s">
        <v>13</v>
      </c>
      <c r="G1343" s="113" t="s">
        <v>12</v>
      </c>
      <c r="H1343" s="113">
        <v>4.4999999999999998E-2</v>
      </c>
      <c r="I1343" s="113">
        <v>0.10001</v>
      </c>
      <c r="J1343" s="113" t="s">
        <v>10</v>
      </c>
      <c r="K1343" s="113">
        <v>36.579000000000001</v>
      </c>
      <c r="L1343" s="113">
        <v>1.9251</v>
      </c>
      <c r="M1343" s="113">
        <v>36.551000000000002</v>
      </c>
      <c r="N1343" s="113">
        <v>1.9245000000000001</v>
      </c>
      <c r="O1343" s="114" t="s">
        <v>2264</v>
      </c>
    </row>
    <row r="1344" spans="1:15" x14ac:dyDescent="0.25">
      <c r="A1344" s="113" t="s">
        <v>54</v>
      </c>
      <c r="B1344" s="113" t="s">
        <v>61</v>
      </c>
      <c r="C1344" s="113">
        <v>30</v>
      </c>
      <c r="D1344" s="113">
        <v>110.01</v>
      </c>
      <c r="E1344" s="113">
        <v>1</v>
      </c>
      <c r="F1344" s="113" t="s">
        <v>13</v>
      </c>
      <c r="G1344" s="113" t="s">
        <v>12</v>
      </c>
      <c r="H1344" s="113">
        <v>5</v>
      </c>
      <c r="I1344" s="113">
        <v>5.01</v>
      </c>
      <c r="J1344" s="113" t="s">
        <v>10</v>
      </c>
      <c r="K1344" s="113">
        <v>210.04</v>
      </c>
      <c r="L1344" s="113">
        <v>33.396000000000001</v>
      </c>
      <c r="M1344" s="113">
        <v>210.02</v>
      </c>
      <c r="N1344" s="113">
        <v>33.395000000000003</v>
      </c>
      <c r="O1344" s="114" t="s">
        <v>2269</v>
      </c>
    </row>
    <row r="1345" spans="1:15" x14ac:dyDescent="0.25">
      <c r="A1345" s="113" t="s">
        <v>54</v>
      </c>
      <c r="B1345" s="113" t="s">
        <v>61</v>
      </c>
      <c r="C1345" s="113">
        <v>30</v>
      </c>
      <c r="D1345" s="113">
        <v>110.01</v>
      </c>
      <c r="E1345" s="113">
        <v>1</v>
      </c>
      <c r="F1345" s="113" t="s">
        <v>13</v>
      </c>
      <c r="G1345" s="113" t="s">
        <v>12</v>
      </c>
      <c r="H1345" s="113">
        <v>1</v>
      </c>
      <c r="I1345" s="113">
        <v>5</v>
      </c>
      <c r="J1345" s="113" t="s">
        <v>10</v>
      </c>
      <c r="K1345" s="113">
        <v>210.04</v>
      </c>
      <c r="L1345" s="113">
        <v>33.396000000000001</v>
      </c>
      <c r="M1345" s="113">
        <v>210.02</v>
      </c>
      <c r="N1345" s="113">
        <v>33.395000000000003</v>
      </c>
      <c r="O1345" s="114" t="s">
        <v>2268</v>
      </c>
    </row>
    <row r="1346" spans="1:15" x14ac:dyDescent="0.25">
      <c r="A1346" s="113" t="s">
        <v>54</v>
      </c>
      <c r="B1346" s="113" t="s">
        <v>61</v>
      </c>
      <c r="C1346" s="113">
        <v>30</v>
      </c>
      <c r="D1346" s="113">
        <v>110.01</v>
      </c>
      <c r="E1346" s="113">
        <v>1</v>
      </c>
      <c r="F1346" s="113" t="s">
        <v>13</v>
      </c>
      <c r="G1346" s="113" t="s">
        <v>12</v>
      </c>
      <c r="H1346" s="113">
        <v>0.1</v>
      </c>
      <c r="I1346" s="113">
        <v>1.0000100000000001</v>
      </c>
      <c r="J1346" s="113" t="s">
        <v>10</v>
      </c>
      <c r="K1346" s="113">
        <v>566.33000000000004</v>
      </c>
      <c r="L1346" s="113">
        <v>0.65491999999999995</v>
      </c>
      <c r="M1346" s="113">
        <v>566.34</v>
      </c>
      <c r="N1346" s="113">
        <v>0.65351000000000004</v>
      </c>
      <c r="O1346" s="114" t="s">
        <v>2270</v>
      </c>
    </row>
    <row r="1347" spans="1:15" x14ac:dyDescent="0.25">
      <c r="A1347" s="113" t="s">
        <v>54</v>
      </c>
      <c r="B1347" s="113" t="s">
        <v>61</v>
      </c>
      <c r="C1347" s="113">
        <v>30</v>
      </c>
      <c r="D1347" s="113">
        <v>110.01</v>
      </c>
      <c r="E1347" s="113">
        <v>1</v>
      </c>
      <c r="F1347" s="113" t="s">
        <v>13</v>
      </c>
      <c r="G1347" s="113" t="s">
        <v>12</v>
      </c>
      <c r="H1347" s="113">
        <v>4.4999999999999998E-2</v>
      </c>
      <c r="I1347" s="113">
        <v>0.10001</v>
      </c>
      <c r="J1347" s="113" t="s">
        <v>10</v>
      </c>
      <c r="K1347" s="113">
        <v>568.42999999999995</v>
      </c>
      <c r="L1347" s="113">
        <v>0.54491000000000001</v>
      </c>
      <c r="M1347" s="113">
        <v>568.44000000000005</v>
      </c>
      <c r="N1347" s="113">
        <v>0.54347000000000001</v>
      </c>
      <c r="O1347" s="114" t="s">
        <v>2267</v>
      </c>
    </row>
    <row r="1348" spans="1:15" x14ac:dyDescent="0.25">
      <c r="A1348" s="113" t="s">
        <v>54</v>
      </c>
      <c r="B1348" s="113" t="s">
        <v>61</v>
      </c>
      <c r="C1348" s="113">
        <v>30</v>
      </c>
      <c r="D1348" s="113">
        <v>110.01</v>
      </c>
      <c r="E1348" s="113">
        <v>10</v>
      </c>
      <c r="F1348" s="113" t="s">
        <v>13</v>
      </c>
      <c r="G1348" s="113" t="s">
        <v>12</v>
      </c>
      <c r="H1348" s="113">
        <v>1</v>
      </c>
      <c r="I1348" s="113">
        <v>5</v>
      </c>
      <c r="J1348" s="113" t="s">
        <v>10</v>
      </c>
      <c r="K1348" s="113">
        <v>5499.6</v>
      </c>
      <c r="L1348" s="113">
        <v>13.241</v>
      </c>
      <c r="M1348" s="113">
        <v>5499.7</v>
      </c>
      <c r="N1348" s="113">
        <v>13.239000000000001</v>
      </c>
      <c r="O1348" s="114" t="s">
        <v>2273</v>
      </c>
    </row>
    <row r="1349" spans="1:15" x14ac:dyDescent="0.25">
      <c r="A1349" s="113" t="s">
        <v>54</v>
      </c>
      <c r="B1349" s="113" t="s">
        <v>61</v>
      </c>
      <c r="C1349" s="113">
        <v>30</v>
      </c>
      <c r="D1349" s="113">
        <v>110.01</v>
      </c>
      <c r="E1349" s="113">
        <v>10</v>
      </c>
      <c r="F1349" s="113" t="s">
        <v>13</v>
      </c>
      <c r="G1349" s="113" t="s">
        <v>12</v>
      </c>
      <c r="H1349" s="113">
        <v>0.1</v>
      </c>
      <c r="I1349" s="113">
        <v>1.0000100000000001</v>
      </c>
      <c r="J1349" s="113" t="s">
        <v>10</v>
      </c>
      <c r="K1349" s="113">
        <v>5798.5</v>
      </c>
      <c r="L1349" s="113">
        <v>6.9560999999999998E-2</v>
      </c>
      <c r="M1349" s="113">
        <v>5798.5</v>
      </c>
      <c r="N1349" s="113">
        <v>6.8926000000000001E-2</v>
      </c>
      <c r="O1349" s="114" t="s">
        <v>2758</v>
      </c>
    </row>
    <row r="1350" spans="1:15" x14ac:dyDescent="0.25">
      <c r="A1350" s="113" t="s">
        <v>54</v>
      </c>
      <c r="B1350" s="113" t="s">
        <v>61</v>
      </c>
      <c r="C1350" s="113">
        <v>30</v>
      </c>
      <c r="D1350" s="113">
        <v>110.01</v>
      </c>
      <c r="E1350" s="113">
        <v>10</v>
      </c>
      <c r="F1350" s="113" t="s">
        <v>13</v>
      </c>
      <c r="G1350" s="113" t="s">
        <v>12</v>
      </c>
      <c r="H1350" s="113">
        <v>5</v>
      </c>
      <c r="I1350" s="113">
        <v>5.01</v>
      </c>
      <c r="J1350" s="113" t="s">
        <v>10</v>
      </c>
      <c r="K1350" s="113">
        <v>5499.6</v>
      </c>
      <c r="L1350" s="113">
        <v>13.241</v>
      </c>
      <c r="M1350" s="113">
        <v>5499.7</v>
      </c>
      <c r="N1350" s="113">
        <v>13.239000000000001</v>
      </c>
      <c r="O1350" s="114" t="s">
        <v>2272</v>
      </c>
    </row>
    <row r="1351" spans="1:15" x14ac:dyDescent="0.25">
      <c r="A1351" s="113" t="s">
        <v>54</v>
      </c>
      <c r="B1351" s="113" t="s">
        <v>61</v>
      </c>
      <c r="C1351" s="113">
        <v>30</v>
      </c>
      <c r="D1351" s="113">
        <v>110.01</v>
      </c>
      <c r="E1351" s="113">
        <v>10</v>
      </c>
      <c r="F1351" s="113" t="s">
        <v>13</v>
      </c>
      <c r="G1351" s="113" t="s">
        <v>12</v>
      </c>
      <c r="H1351" s="113">
        <v>4.4999999999999998E-2</v>
      </c>
      <c r="I1351" s="113">
        <v>0.10001</v>
      </c>
      <c r="J1351" s="113" t="s">
        <v>10</v>
      </c>
      <c r="K1351" s="113">
        <v>5798.8</v>
      </c>
      <c r="L1351" s="113">
        <v>5.7436000000000001E-2</v>
      </c>
      <c r="M1351" s="113">
        <v>5798.8</v>
      </c>
      <c r="N1351" s="113">
        <v>5.6800999999999997E-2</v>
      </c>
      <c r="O1351" s="114" t="s">
        <v>2271</v>
      </c>
    </row>
    <row r="1352" spans="1:15" x14ac:dyDescent="0.25">
      <c r="A1352" s="113" t="s">
        <v>54</v>
      </c>
      <c r="B1352" s="113" t="s">
        <v>61</v>
      </c>
      <c r="C1352" s="113">
        <v>30</v>
      </c>
      <c r="D1352" s="113">
        <v>110.01</v>
      </c>
      <c r="E1352" s="113">
        <v>100</v>
      </c>
      <c r="F1352" s="113" t="s">
        <v>13</v>
      </c>
      <c r="G1352" s="113" t="s">
        <v>12</v>
      </c>
      <c r="H1352" s="113">
        <v>0.1</v>
      </c>
      <c r="I1352" s="113">
        <v>1.0000100000000001</v>
      </c>
      <c r="J1352" s="113" t="s">
        <v>10</v>
      </c>
      <c r="K1352" s="113">
        <v>58000</v>
      </c>
      <c r="L1352" s="113">
        <v>7.1509E-3</v>
      </c>
      <c r="M1352" s="113">
        <v>58000</v>
      </c>
      <c r="N1352" s="113">
        <v>6.8966000000000001E-3</v>
      </c>
      <c r="O1352" s="114" t="s">
        <v>2275</v>
      </c>
    </row>
    <row r="1353" spans="1:15" x14ac:dyDescent="0.25">
      <c r="A1353" s="113" t="s">
        <v>54</v>
      </c>
      <c r="B1353" s="113" t="s">
        <v>61</v>
      </c>
      <c r="C1353" s="113">
        <v>30</v>
      </c>
      <c r="D1353" s="113">
        <v>110.01</v>
      </c>
      <c r="E1353" s="113">
        <v>100</v>
      </c>
      <c r="F1353" s="113" t="s">
        <v>13</v>
      </c>
      <c r="G1353" s="113" t="s">
        <v>12</v>
      </c>
      <c r="H1353" s="113">
        <v>4.4999999999999998E-2</v>
      </c>
      <c r="I1353" s="113">
        <v>0.10001</v>
      </c>
      <c r="J1353" s="113" t="s">
        <v>10</v>
      </c>
      <c r="K1353" s="113">
        <v>58000</v>
      </c>
      <c r="L1353" s="113">
        <v>5.9370999999999998E-3</v>
      </c>
      <c r="M1353" s="113">
        <v>58000</v>
      </c>
      <c r="N1353" s="113">
        <v>5.6828E-3</v>
      </c>
      <c r="O1353" s="114" t="s">
        <v>2274</v>
      </c>
    </row>
    <row r="1354" spans="1:15" x14ac:dyDescent="0.25">
      <c r="A1354" s="113" t="s">
        <v>54</v>
      </c>
      <c r="B1354" s="113" t="s">
        <v>61</v>
      </c>
      <c r="C1354" s="113">
        <v>30</v>
      </c>
      <c r="D1354" s="113">
        <v>110.01</v>
      </c>
      <c r="E1354" s="113">
        <v>100</v>
      </c>
      <c r="F1354" s="113" t="s">
        <v>13</v>
      </c>
      <c r="G1354" s="113" t="s">
        <v>12</v>
      </c>
      <c r="H1354" s="113">
        <v>1</v>
      </c>
      <c r="I1354" s="113">
        <v>5</v>
      </c>
      <c r="J1354" s="113" t="s">
        <v>10</v>
      </c>
      <c r="K1354" s="113">
        <v>57966</v>
      </c>
      <c r="L1354" s="113">
        <v>1.4661</v>
      </c>
      <c r="M1354" s="113">
        <v>57966</v>
      </c>
      <c r="N1354" s="113">
        <v>1.4652000000000001</v>
      </c>
      <c r="O1354" s="114" t="s">
        <v>2759</v>
      </c>
    </row>
    <row r="1355" spans="1:15" x14ac:dyDescent="0.25">
      <c r="A1355" s="113" t="s">
        <v>54</v>
      </c>
      <c r="B1355" s="113" t="s">
        <v>61</v>
      </c>
      <c r="C1355" s="113">
        <v>30</v>
      </c>
      <c r="D1355" s="113">
        <v>110.01</v>
      </c>
      <c r="E1355" s="113">
        <v>100</v>
      </c>
      <c r="F1355" s="113" t="s">
        <v>13</v>
      </c>
      <c r="G1355" s="113" t="s">
        <v>12</v>
      </c>
      <c r="H1355" s="113">
        <v>5</v>
      </c>
      <c r="I1355" s="113">
        <v>5.01</v>
      </c>
      <c r="J1355" s="113" t="s">
        <v>10</v>
      </c>
      <c r="K1355" s="113">
        <v>57966</v>
      </c>
      <c r="L1355" s="113">
        <v>1.4661</v>
      </c>
      <c r="M1355" s="113">
        <v>57966</v>
      </c>
      <c r="N1355" s="113">
        <v>1.4652000000000001</v>
      </c>
      <c r="O1355" s="114" t="s">
        <v>2760</v>
      </c>
    </row>
    <row r="1356" spans="1:15" x14ac:dyDescent="0.25">
      <c r="A1356" s="113" t="s">
        <v>54</v>
      </c>
      <c r="B1356" s="113" t="s">
        <v>61</v>
      </c>
      <c r="C1356" s="113">
        <v>110</v>
      </c>
      <c r="D1356" s="113">
        <v>205.01</v>
      </c>
      <c r="E1356" s="113">
        <v>0.01</v>
      </c>
      <c r="F1356" s="113" t="s">
        <v>13</v>
      </c>
      <c r="G1356" s="113" t="s">
        <v>12</v>
      </c>
      <c r="H1356" s="113">
        <v>0.1</v>
      </c>
      <c r="I1356" s="113">
        <v>1.0000100000000001</v>
      </c>
      <c r="J1356" s="113" t="s">
        <v>10</v>
      </c>
      <c r="K1356" s="113">
        <v>49</v>
      </c>
      <c r="L1356" s="113">
        <v>2.6</v>
      </c>
      <c r="M1356" s="113">
        <v>42.201999999999998</v>
      </c>
      <c r="N1356" s="113">
        <v>2.6324000000000001</v>
      </c>
      <c r="O1356" s="114" t="s">
        <v>2761</v>
      </c>
    </row>
    <row r="1357" spans="1:15" x14ac:dyDescent="0.25">
      <c r="A1357" s="113" t="s">
        <v>54</v>
      </c>
      <c r="B1357" s="113" t="s">
        <v>61</v>
      </c>
      <c r="C1357" s="113">
        <v>110</v>
      </c>
      <c r="D1357" s="113">
        <v>205.01</v>
      </c>
      <c r="E1357" s="113">
        <v>0.01</v>
      </c>
      <c r="F1357" s="113" t="s">
        <v>13</v>
      </c>
      <c r="G1357" s="113" t="s">
        <v>12</v>
      </c>
      <c r="H1357" s="113">
        <v>5</v>
      </c>
      <c r="I1357" s="113">
        <v>5.01</v>
      </c>
      <c r="J1357" s="113" t="s">
        <v>10</v>
      </c>
      <c r="K1357" s="113">
        <v>58</v>
      </c>
      <c r="L1357" s="113">
        <v>35</v>
      </c>
      <c r="M1357" s="113">
        <v>57.612000000000002</v>
      </c>
      <c r="N1357" s="113">
        <v>34.698999999999998</v>
      </c>
      <c r="O1357" s="114" t="s">
        <v>2276</v>
      </c>
    </row>
    <row r="1358" spans="1:15" x14ac:dyDescent="0.25">
      <c r="A1358" s="113" t="s">
        <v>54</v>
      </c>
      <c r="B1358" s="113" t="s">
        <v>61</v>
      </c>
      <c r="C1358" s="113">
        <v>110</v>
      </c>
      <c r="D1358" s="113">
        <v>205.01</v>
      </c>
      <c r="E1358" s="113">
        <v>0.01</v>
      </c>
      <c r="F1358" s="113" t="s">
        <v>13</v>
      </c>
      <c r="G1358" s="113" t="s">
        <v>12</v>
      </c>
      <c r="H1358" s="113">
        <v>4.4999999999999998E-2</v>
      </c>
      <c r="I1358" s="113">
        <v>0.10001</v>
      </c>
      <c r="J1358" s="113" t="s">
        <v>10</v>
      </c>
      <c r="K1358" s="113">
        <v>42</v>
      </c>
      <c r="L1358" s="113">
        <v>2.4</v>
      </c>
      <c r="M1358" s="113">
        <v>38.552999999999997</v>
      </c>
      <c r="N1358" s="113">
        <v>2.4159000000000002</v>
      </c>
      <c r="O1358" s="114" t="s">
        <v>2277</v>
      </c>
    </row>
    <row r="1359" spans="1:15" x14ac:dyDescent="0.25">
      <c r="A1359" s="113" t="s">
        <v>54</v>
      </c>
      <c r="B1359" s="113" t="s">
        <v>61</v>
      </c>
      <c r="C1359" s="113">
        <v>110</v>
      </c>
      <c r="D1359" s="113">
        <v>205.01</v>
      </c>
      <c r="E1359" s="113">
        <v>0.01</v>
      </c>
      <c r="F1359" s="113" t="s">
        <v>13</v>
      </c>
      <c r="G1359" s="113" t="s">
        <v>12</v>
      </c>
      <c r="H1359" s="113">
        <v>1</v>
      </c>
      <c r="I1359" s="113">
        <v>5</v>
      </c>
      <c r="J1359" s="113" t="s">
        <v>10</v>
      </c>
      <c r="K1359" s="113">
        <v>58</v>
      </c>
      <c r="L1359" s="113">
        <v>35</v>
      </c>
      <c r="M1359" s="113">
        <v>57.612000000000002</v>
      </c>
      <c r="N1359" s="113">
        <v>34.698999999999998</v>
      </c>
      <c r="O1359" s="114" t="s">
        <v>2762</v>
      </c>
    </row>
    <row r="1360" spans="1:15" x14ac:dyDescent="0.25">
      <c r="A1360" s="113" t="s">
        <v>54</v>
      </c>
      <c r="B1360" s="113" t="s">
        <v>61</v>
      </c>
      <c r="C1360" s="113">
        <v>110</v>
      </c>
      <c r="D1360" s="113">
        <v>205.01</v>
      </c>
      <c r="E1360" s="113">
        <v>0.1</v>
      </c>
      <c r="F1360" s="113" t="s">
        <v>13</v>
      </c>
      <c r="G1360" s="113" t="s">
        <v>12</v>
      </c>
      <c r="H1360" s="113">
        <v>0.1</v>
      </c>
      <c r="I1360" s="113">
        <v>1.0000100000000001</v>
      </c>
      <c r="J1360" s="113" t="s">
        <v>10</v>
      </c>
      <c r="K1360" s="113">
        <v>49.765000000000001</v>
      </c>
      <c r="L1360" s="113">
        <v>2.6107999999999998</v>
      </c>
      <c r="M1360" s="113">
        <v>49.649000000000001</v>
      </c>
      <c r="N1360" s="113">
        <v>2.61</v>
      </c>
      <c r="O1360" s="114" t="s">
        <v>2763</v>
      </c>
    </row>
    <row r="1361" spans="1:15" x14ac:dyDescent="0.25">
      <c r="A1361" s="113" t="s">
        <v>54</v>
      </c>
      <c r="B1361" s="113" t="s">
        <v>61</v>
      </c>
      <c r="C1361" s="113">
        <v>110</v>
      </c>
      <c r="D1361" s="113">
        <v>205.01</v>
      </c>
      <c r="E1361" s="113">
        <v>0.1</v>
      </c>
      <c r="F1361" s="113" t="s">
        <v>13</v>
      </c>
      <c r="G1361" s="113" t="s">
        <v>12</v>
      </c>
      <c r="H1361" s="113">
        <v>4.4999999999999998E-2</v>
      </c>
      <c r="I1361" s="113">
        <v>0.10001</v>
      </c>
      <c r="J1361" s="113" t="s">
        <v>10</v>
      </c>
      <c r="K1361" s="113">
        <v>46.786999999999999</v>
      </c>
      <c r="L1361" s="113">
        <v>2.3923999999999999</v>
      </c>
      <c r="M1361" s="113">
        <v>46.65</v>
      </c>
      <c r="N1361" s="113">
        <v>2.3915999999999999</v>
      </c>
      <c r="O1361" s="114" t="s">
        <v>2279</v>
      </c>
    </row>
    <row r="1362" spans="1:15" x14ac:dyDescent="0.25">
      <c r="A1362" s="113" t="s">
        <v>54</v>
      </c>
      <c r="B1362" s="113" t="s">
        <v>61</v>
      </c>
      <c r="C1362" s="113">
        <v>110</v>
      </c>
      <c r="D1362" s="113">
        <v>205.01</v>
      </c>
      <c r="E1362" s="113">
        <v>0.1</v>
      </c>
      <c r="F1362" s="113" t="s">
        <v>13</v>
      </c>
      <c r="G1362" s="113" t="s">
        <v>12</v>
      </c>
      <c r="H1362" s="113">
        <v>5</v>
      </c>
      <c r="I1362" s="113">
        <v>5.01</v>
      </c>
      <c r="J1362" s="113" t="s">
        <v>10</v>
      </c>
      <c r="K1362" s="113">
        <v>58</v>
      </c>
      <c r="L1362" s="113">
        <v>35</v>
      </c>
      <c r="M1362" s="113">
        <v>58.262</v>
      </c>
      <c r="N1362" s="113">
        <v>34.697000000000003</v>
      </c>
      <c r="O1362" s="114" t="s">
        <v>2764</v>
      </c>
    </row>
    <row r="1363" spans="1:15" x14ac:dyDescent="0.25">
      <c r="A1363" s="113" t="s">
        <v>54</v>
      </c>
      <c r="B1363" s="113" t="s">
        <v>61</v>
      </c>
      <c r="C1363" s="113">
        <v>110</v>
      </c>
      <c r="D1363" s="113">
        <v>205.01</v>
      </c>
      <c r="E1363" s="113">
        <v>0.1</v>
      </c>
      <c r="F1363" s="113" t="s">
        <v>13</v>
      </c>
      <c r="G1363" s="113" t="s">
        <v>12</v>
      </c>
      <c r="H1363" s="113">
        <v>1</v>
      </c>
      <c r="I1363" s="113">
        <v>5</v>
      </c>
      <c r="J1363" s="113" t="s">
        <v>10</v>
      </c>
      <c r="K1363" s="113">
        <v>58</v>
      </c>
      <c r="L1363" s="113">
        <v>35</v>
      </c>
      <c r="M1363" s="113">
        <v>58.262</v>
      </c>
      <c r="N1363" s="113">
        <v>34.697000000000003</v>
      </c>
      <c r="O1363" s="114" t="s">
        <v>2278</v>
      </c>
    </row>
    <row r="1364" spans="1:15" x14ac:dyDescent="0.25">
      <c r="A1364" s="113" t="s">
        <v>54</v>
      </c>
      <c r="B1364" s="113" t="s">
        <v>61</v>
      </c>
      <c r="C1364" s="113">
        <v>110</v>
      </c>
      <c r="D1364" s="113">
        <v>205.01</v>
      </c>
      <c r="E1364" s="113">
        <v>1</v>
      </c>
      <c r="F1364" s="113" t="s">
        <v>13</v>
      </c>
      <c r="G1364" s="113" t="s">
        <v>12</v>
      </c>
      <c r="H1364" s="113">
        <v>0.1</v>
      </c>
      <c r="I1364" s="113">
        <v>1.0000100000000001</v>
      </c>
      <c r="J1364" s="113" t="s">
        <v>10</v>
      </c>
      <c r="K1364" s="113">
        <v>490.55</v>
      </c>
      <c r="L1364" s="113">
        <v>1.6184000000000001</v>
      </c>
      <c r="M1364" s="113">
        <v>490.58</v>
      </c>
      <c r="N1364" s="113">
        <v>1.6144000000000001</v>
      </c>
      <c r="O1364" s="114" t="s">
        <v>2282</v>
      </c>
    </row>
    <row r="1365" spans="1:15" x14ac:dyDescent="0.25">
      <c r="A1365" s="113" t="s">
        <v>54</v>
      </c>
      <c r="B1365" s="113" t="s">
        <v>61</v>
      </c>
      <c r="C1365" s="113">
        <v>110</v>
      </c>
      <c r="D1365" s="113">
        <v>205.01</v>
      </c>
      <c r="E1365" s="113">
        <v>1</v>
      </c>
      <c r="F1365" s="113" t="s">
        <v>13</v>
      </c>
      <c r="G1365" s="113" t="s">
        <v>12</v>
      </c>
      <c r="H1365" s="113">
        <v>1</v>
      </c>
      <c r="I1365" s="113">
        <v>5</v>
      </c>
      <c r="J1365" s="113" t="s">
        <v>10</v>
      </c>
      <c r="K1365" s="113">
        <v>79.069999999999993</v>
      </c>
      <c r="L1365" s="113">
        <v>34.896999999999998</v>
      </c>
      <c r="M1365" s="113">
        <v>123.66</v>
      </c>
      <c r="N1365" s="113">
        <v>34.491</v>
      </c>
      <c r="O1365" s="114" t="s">
        <v>2283</v>
      </c>
    </row>
    <row r="1366" spans="1:15" x14ac:dyDescent="0.25">
      <c r="A1366" s="113" t="s">
        <v>54</v>
      </c>
      <c r="B1366" s="113" t="s">
        <v>61</v>
      </c>
      <c r="C1366" s="113">
        <v>110</v>
      </c>
      <c r="D1366" s="113">
        <v>205.01</v>
      </c>
      <c r="E1366" s="113">
        <v>1</v>
      </c>
      <c r="F1366" s="113" t="s">
        <v>13</v>
      </c>
      <c r="G1366" s="113" t="s">
        <v>12</v>
      </c>
      <c r="H1366" s="113">
        <v>4.4999999999999998E-2</v>
      </c>
      <c r="I1366" s="113">
        <v>0.10001</v>
      </c>
      <c r="J1366" s="113" t="s">
        <v>10</v>
      </c>
      <c r="K1366" s="113">
        <v>500.59</v>
      </c>
      <c r="L1366" s="113">
        <v>1.4072</v>
      </c>
      <c r="M1366" s="113">
        <v>500.63</v>
      </c>
      <c r="N1366" s="113">
        <v>1.403</v>
      </c>
      <c r="O1366" s="114" t="s">
        <v>2281</v>
      </c>
    </row>
    <row r="1367" spans="1:15" x14ac:dyDescent="0.25">
      <c r="A1367" s="113" t="s">
        <v>54</v>
      </c>
      <c r="B1367" s="113" t="s">
        <v>61</v>
      </c>
      <c r="C1367" s="113">
        <v>110</v>
      </c>
      <c r="D1367" s="113">
        <v>205.01</v>
      </c>
      <c r="E1367" s="113">
        <v>1</v>
      </c>
      <c r="F1367" s="113" t="s">
        <v>13</v>
      </c>
      <c r="G1367" s="113" t="s">
        <v>12</v>
      </c>
      <c r="H1367" s="113">
        <v>5</v>
      </c>
      <c r="I1367" s="113">
        <v>5.01</v>
      </c>
      <c r="J1367" s="113" t="s">
        <v>10</v>
      </c>
      <c r="K1367" s="113">
        <v>79.069999999999993</v>
      </c>
      <c r="L1367" s="113">
        <v>34.896999999999998</v>
      </c>
      <c r="M1367" s="113">
        <v>123.66</v>
      </c>
      <c r="N1367" s="113">
        <v>34.491</v>
      </c>
      <c r="O1367" s="114" t="s">
        <v>2280</v>
      </c>
    </row>
    <row r="1368" spans="1:15" x14ac:dyDescent="0.25">
      <c r="A1368" s="113" t="s">
        <v>54</v>
      </c>
      <c r="B1368" s="113" t="s">
        <v>61</v>
      </c>
      <c r="C1368" s="113">
        <v>110</v>
      </c>
      <c r="D1368" s="113">
        <v>205.01</v>
      </c>
      <c r="E1368" s="113">
        <v>10</v>
      </c>
      <c r="F1368" s="113" t="s">
        <v>13</v>
      </c>
      <c r="G1368" s="113" t="s">
        <v>12</v>
      </c>
      <c r="H1368" s="113">
        <v>0.1</v>
      </c>
      <c r="I1368" s="113">
        <v>1.0000100000000001</v>
      </c>
      <c r="J1368" s="113" t="s">
        <v>10</v>
      </c>
      <c r="K1368" s="113">
        <v>5786.7</v>
      </c>
      <c r="L1368" s="113">
        <v>0.20930000000000001</v>
      </c>
      <c r="M1368" s="113">
        <v>5786.8</v>
      </c>
      <c r="N1368" s="113">
        <v>0.20663999999999999</v>
      </c>
      <c r="O1368" s="114" t="s">
        <v>2286</v>
      </c>
    </row>
    <row r="1369" spans="1:15" x14ac:dyDescent="0.25">
      <c r="A1369" s="113" t="s">
        <v>54</v>
      </c>
      <c r="B1369" s="113" t="s">
        <v>61</v>
      </c>
      <c r="C1369" s="113">
        <v>110</v>
      </c>
      <c r="D1369" s="113">
        <v>205.01</v>
      </c>
      <c r="E1369" s="113">
        <v>10</v>
      </c>
      <c r="F1369" s="113" t="s">
        <v>13</v>
      </c>
      <c r="G1369" s="113" t="s">
        <v>12</v>
      </c>
      <c r="H1369" s="113">
        <v>4.4999999999999998E-2</v>
      </c>
      <c r="I1369" s="113">
        <v>0.10001</v>
      </c>
      <c r="J1369" s="113" t="s">
        <v>10</v>
      </c>
      <c r="K1369" s="113">
        <v>5788.7</v>
      </c>
      <c r="L1369" s="113">
        <v>0.17673</v>
      </c>
      <c r="M1369" s="113">
        <v>5788.8</v>
      </c>
      <c r="N1369" s="113">
        <v>0.17407</v>
      </c>
      <c r="O1369" s="114" t="s">
        <v>2287</v>
      </c>
    </row>
    <row r="1370" spans="1:15" x14ac:dyDescent="0.25">
      <c r="A1370" s="113" t="s">
        <v>54</v>
      </c>
      <c r="B1370" s="113" t="s">
        <v>61</v>
      </c>
      <c r="C1370" s="113">
        <v>110</v>
      </c>
      <c r="D1370" s="113">
        <v>205.01</v>
      </c>
      <c r="E1370" s="113">
        <v>10</v>
      </c>
      <c r="F1370" s="113" t="s">
        <v>13</v>
      </c>
      <c r="G1370" s="113" t="s">
        <v>12</v>
      </c>
      <c r="H1370" s="113">
        <v>5</v>
      </c>
      <c r="I1370" s="113">
        <v>5.01</v>
      </c>
      <c r="J1370" s="113" t="s">
        <v>10</v>
      </c>
      <c r="K1370" s="113">
        <v>4372.5</v>
      </c>
      <c r="L1370" s="113">
        <v>23.661999999999999</v>
      </c>
      <c r="M1370" s="113">
        <v>4372.3999999999996</v>
      </c>
      <c r="N1370" s="113">
        <v>23.661000000000001</v>
      </c>
      <c r="O1370" s="114" t="s">
        <v>2284</v>
      </c>
    </row>
    <row r="1371" spans="1:15" x14ac:dyDescent="0.25">
      <c r="A1371" s="113" t="s">
        <v>54</v>
      </c>
      <c r="B1371" s="113" t="s">
        <v>61</v>
      </c>
      <c r="C1371" s="113">
        <v>110</v>
      </c>
      <c r="D1371" s="113">
        <v>205.01</v>
      </c>
      <c r="E1371" s="113">
        <v>10</v>
      </c>
      <c r="F1371" s="113" t="s">
        <v>13</v>
      </c>
      <c r="G1371" s="113" t="s">
        <v>12</v>
      </c>
      <c r="H1371" s="113">
        <v>1</v>
      </c>
      <c r="I1371" s="113">
        <v>5</v>
      </c>
      <c r="J1371" s="113" t="s">
        <v>10</v>
      </c>
      <c r="K1371" s="113">
        <v>4372.5</v>
      </c>
      <c r="L1371" s="113">
        <v>23.661999999999999</v>
      </c>
      <c r="M1371" s="113">
        <v>4372.3999999999996</v>
      </c>
      <c r="N1371" s="113">
        <v>23.661000000000001</v>
      </c>
      <c r="O1371" s="114" t="s">
        <v>2285</v>
      </c>
    </row>
    <row r="1372" spans="1:15" x14ac:dyDescent="0.25">
      <c r="A1372" s="113" t="s">
        <v>54</v>
      </c>
      <c r="B1372" s="113" t="s">
        <v>61</v>
      </c>
      <c r="C1372" s="113">
        <v>110</v>
      </c>
      <c r="D1372" s="113">
        <v>205.01</v>
      </c>
      <c r="E1372" s="113">
        <v>100</v>
      </c>
      <c r="F1372" s="113" t="s">
        <v>13</v>
      </c>
      <c r="G1372" s="113" t="s">
        <v>12</v>
      </c>
      <c r="H1372" s="113">
        <v>0.1</v>
      </c>
      <c r="I1372" s="113">
        <v>1.0000100000000001</v>
      </c>
      <c r="J1372" s="113" t="s">
        <v>10</v>
      </c>
      <c r="K1372" s="113">
        <v>57999</v>
      </c>
      <c r="L1372" s="113">
        <v>2.1802999999999999E-2</v>
      </c>
      <c r="M1372" s="113">
        <v>57999</v>
      </c>
      <c r="N1372" s="113">
        <v>2.0732E-2</v>
      </c>
      <c r="O1372" s="114" t="s">
        <v>2290</v>
      </c>
    </row>
    <row r="1373" spans="1:15" x14ac:dyDescent="0.25">
      <c r="A1373" s="113" t="s">
        <v>54</v>
      </c>
      <c r="B1373" s="113" t="s">
        <v>61</v>
      </c>
      <c r="C1373" s="113">
        <v>110</v>
      </c>
      <c r="D1373" s="113">
        <v>205.01</v>
      </c>
      <c r="E1373" s="113">
        <v>100</v>
      </c>
      <c r="F1373" s="113" t="s">
        <v>13</v>
      </c>
      <c r="G1373" s="113" t="s">
        <v>12</v>
      </c>
      <c r="H1373" s="113">
        <v>4.4999999999999998E-2</v>
      </c>
      <c r="I1373" s="113">
        <v>0.10001</v>
      </c>
      <c r="J1373" s="113" t="s">
        <v>10</v>
      </c>
      <c r="K1373" s="113">
        <v>57999</v>
      </c>
      <c r="L1373" s="113">
        <v>1.8526000000000001E-2</v>
      </c>
      <c r="M1373" s="113">
        <v>57999</v>
      </c>
      <c r="N1373" s="113">
        <v>1.7454999999999998E-2</v>
      </c>
      <c r="O1373" s="114" t="s">
        <v>2288</v>
      </c>
    </row>
    <row r="1374" spans="1:15" x14ac:dyDescent="0.25">
      <c r="A1374" s="113" t="s">
        <v>54</v>
      </c>
      <c r="B1374" s="113" t="s">
        <v>61</v>
      </c>
      <c r="C1374" s="113">
        <v>110</v>
      </c>
      <c r="D1374" s="113">
        <v>205.01</v>
      </c>
      <c r="E1374" s="113">
        <v>100</v>
      </c>
      <c r="F1374" s="113" t="s">
        <v>13</v>
      </c>
      <c r="G1374" s="113" t="s">
        <v>12</v>
      </c>
      <c r="H1374" s="113">
        <v>1</v>
      </c>
      <c r="I1374" s="113">
        <v>5</v>
      </c>
      <c r="J1374" s="113" t="s">
        <v>10</v>
      </c>
      <c r="K1374" s="113">
        <v>57768</v>
      </c>
      <c r="L1374" s="113">
        <v>3.2888999999999999</v>
      </c>
      <c r="M1374" s="113">
        <v>57768</v>
      </c>
      <c r="N1374" s="113">
        <v>3.2877999999999998</v>
      </c>
      <c r="O1374" s="114" t="s">
        <v>2289</v>
      </c>
    </row>
    <row r="1375" spans="1:15" x14ac:dyDescent="0.25">
      <c r="A1375" s="113" t="s">
        <v>54</v>
      </c>
      <c r="B1375" s="113" t="s">
        <v>61</v>
      </c>
      <c r="C1375" s="113">
        <v>110</v>
      </c>
      <c r="D1375" s="113">
        <v>205.01</v>
      </c>
      <c r="E1375" s="113">
        <v>100</v>
      </c>
      <c r="F1375" s="113" t="s">
        <v>13</v>
      </c>
      <c r="G1375" s="113" t="s">
        <v>12</v>
      </c>
      <c r="H1375" s="113">
        <v>5</v>
      </c>
      <c r="I1375" s="113">
        <v>5.01</v>
      </c>
      <c r="J1375" s="113" t="s">
        <v>10</v>
      </c>
      <c r="K1375" s="113">
        <v>57768</v>
      </c>
      <c r="L1375" s="113">
        <v>3.2888999999999999</v>
      </c>
      <c r="M1375" s="113">
        <v>57768</v>
      </c>
      <c r="N1375" s="113">
        <v>3.2877999999999998</v>
      </c>
      <c r="O1375" s="114" t="s">
        <v>2291</v>
      </c>
    </row>
    <row r="1376" spans="1:15" x14ac:dyDescent="0.25">
      <c r="A1376" s="113" t="s">
        <v>54</v>
      </c>
      <c r="B1376" s="113" t="s">
        <v>62</v>
      </c>
      <c r="C1376" s="113">
        <v>22</v>
      </c>
      <c r="D1376" s="113">
        <v>60.000999999999998</v>
      </c>
      <c r="E1376" s="113">
        <v>1E-3</v>
      </c>
      <c r="F1376" s="113" t="s">
        <v>13</v>
      </c>
      <c r="G1376" s="113" t="s">
        <v>12</v>
      </c>
      <c r="H1376" s="113">
        <v>1</v>
      </c>
      <c r="I1376" s="113">
        <v>5.01</v>
      </c>
      <c r="J1376" s="113" t="s">
        <v>10</v>
      </c>
      <c r="K1376" s="113">
        <v>2.2999999999999998</v>
      </c>
      <c r="L1376" s="113">
        <v>7.6</v>
      </c>
      <c r="M1376" s="113">
        <v>2.2214999999999998</v>
      </c>
      <c r="N1376" s="113">
        <v>7.5885999999999996</v>
      </c>
      <c r="O1376" s="114" t="s">
        <v>2171</v>
      </c>
    </row>
    <row r="1377" spans="1:15" x14ac:dyDescent="0.25">
      <c r="A1377" s="113" t="s">
        <v>54</v>
      </c>
      <c r="B1377" s="113" t="s">
        <v>62</v>
      </c>
      <c r="C1377" s="113">
        <v>22</v>
      </c>
      <c r="D1377" s="113">
        <v>60.000999999999998</v>
      </c>
      <c r="E1377" s="113">
        <v>1E-3</v>
      </c>
      <c r="F1377" s="113" t="s">
        <v>13</v>
      </c>
      <c r="G1377" s="113" t="s">
        <v>12</v>
      </c>
      <c r="H1377" s="113">
        <v>0.01</v>
      </c>
      <c r="I1377" s="113">
        <v>4.5010000000000001E-2</v>
      </c>
      <c r="J1377" s="113" t="s">
        <v>10</v>
      </c>
      <c r="K1377" s="113">
        <v>-5.2</v>
      </c>
      <c r="L1377" s="113">
        <v>3</v>
      </c>
      <c r="M1377" s="113">
        <v>-6.3514999999999997</v>
      </c>
      <c r="N1377" s="113">
        <v>3.0358000000000001</v>
      </c>
      <c r="O1377" s="114" t="s">
        <v>2170</v>
      </c>
    </row>
    <row r="1378" spans="1:15" x14ac:dyDescent="0.25">
      <c r="A1378" s="113" t="s">
        <v>54</v>
      </c>
      <c r="B1378" s="113" t="s">
        <v>62</v>
      </c>
      <c r="C1378" s="113">
        <v>22</v>
      </c>
      <c r="D1378" s="113">
        <v>60.000999999999998</v>
      </c>
      <c r="E1378" s="113">
        <v>1E-3</v>
      </c>
      <c r="F1378" s="113" t="s">
        <v>13</v>
      </c>
      <c r="G1378" s="113" t="s">
        <v>12</v>
      </c>
      <c r="H1378" s="113">
        <v>10</v>
      </c>
      <c r="I1378" s="113">
        <v>10.01</v>
      </c>
      <c r="J1378" s="113" t="s">
        <v>10</v>
      </c>
      <c r="K1378" s="113">
        <v>52</v>
      </c>
      <c r="L1378" s="113">
        <v>30</v>
      </c>
      <c r="M1378" s="113">
        <v>34.529000000000003</v>
      </c>
      <c r="N1378" s="113">
        <v>30.459</v>
      </c>
      <c r="O1378" s="114" t="s">
        <v>2172</v>
      </c>
    </row>
    <row r="1379" spans="1:15" x14ac:dyDescent="0.25">
      <c r="A1379" s="113" t="s">
        <v>54</v>
      </c>
      <c r="B1379" s="113" t="s">
        <v>62</v>
      </c>
      <c r="C1379" s="113">
        <v>22</v>
      </c>
      <c r="D1379" s="113">
        <v>60.000999999999998</v>
      </c>
      <c r="E1379" s="113">
        <v>1E-3</v>
      </c>
      <c r="F1379" s="113" t="s">
        <v>13</v>
      </c>
      <c r="G1379" s="113" t="s">
        <v>12</v>
      </c>
      <c r="H1379" s="113">
        <v>5</v>
      </c>
      <c r="I1379" s="113">
        <v>10</v>
      </c>
      <c r="J1379" s="113" t="s">
        <v>10</v>
      </c>
      <c r="K1379" s="113">
        <v>52</v>
      </c>
      <c r="L1379" s="113">
        <v>30</v>
      </c>
      <c r="M1379" s="113">
        <v>34.529000000000003</v>
      </c>
      <c r="N1379" s="113">
        <v>30.459</v>
      </c>
      <c r="O1379" s="114" t="s">
        <v>2732</v>
      </c>
    </row>
    <row r="1380" spans="1:15" x14ac:dyDescent="0.25">
      <c r="A1380" s="113" t="s">
        <v>54</v>
      </c>
      <c r="B1380" s="113" t="s">
        <v>62</v>
      </c>
      <c r="C1380" s="113">
        <v>22</v>
      </c>
      <c r="D1380" s="113">
        <v>60.000999999999998</v>
      </c>
      <c r="E1380" s="113">
        <v>1E-3</v>
      </c>
      <c r="F1380" s="113" t="s">
        <v>13</v>
      </c>
      <c r="G1380" s="113" t="s">
        <v>12</v>
      </c>
      <c r="H1380" s="113">
        <v>4.4999999999999998E-2</v>
      </c>
      <c r="I1380" s="113">
        <v>1.0000100000000001</v>
      </c>
      <c r="J1380" s="113" t="s">
        <v>10</v>
      </c>
      <c r="K1380" s="113">
        <v>15</v>
      </c>
      <c r="L1380" s="113">
        <v>2.2999999999999998</v>
      </c>
      <c r="M1380" s="113">
        <v>-5.0780000000000003</v>
      </c>
      <c r="N1380" s="113">
        <v>2.2269999999999999</v>
      </c>
      <c r="O1380" s="114" t="s">
        <v>2169</v>
      </c>
    </row>
    <row r="1381" spans="1:15" x14ac:dyDescent="0.25">
      <c r="A1381" s="113" t="s">
        <v>54</v>
      </c>
      <c r="B1381" s="113" t="s">
        <v>62</v>
      </c>
      <c r="C1381" s="113">
        <v>22</v>
      </c>
      <c r="D1381" s="113">
        <v>60.000999999999998</v>
      </c>
      <c r="E1381" s="113">
        <v>0.01</v>
      </c>
      <c r="F1381" s="113" t="s">
        <v>13</v>
      </c>
      <c r="G1381" s="113" t="s">
        <v>12</v>
      </c>
      <c r="H1381" s="113">
        <v>10</v>
      </c>
      <c r="I1381" s="113">
        <v>10.01</v>
      </c>
      <c r="J1381" s="113" t="s">
        <v>10</v>
      </c>
      <c r="K1381" s="113">
        <v>52</v>
      </c>
      <c r="L1381" s="113">
        <v>30.457999999999998</v>
      </c>
      <c r="M1381" s="113">
        <v>34.545000000000002</v>
      </c>
      <c r="N1381" s="113">
        <v>30.459</v>
      </c>
      <c r="O1381" s="114" t="s">
        <v>2176</v>
      </c>
    </row>
    <row r="1382" spans="1:15" x14ac:dyDescent="0.25">
      <c r="A1382" s="113" t="s">
        <v>54</v>
      </c>
      <c r="B1382" s="113" t="s">
        <v>62</v>
      </c>
      <c r="C1382" s="113">
        <v>22</v>
      </c>
      <c r="D1382" s="113">
        <v>60.000999999999998</v>
      </c>
      <c r="E1382" s="113">
        <v>0.01</v>
      </c>
      <c r="F1382" s="113" t="s">
        <v>13</v>
      </c>
      <c r="G1382" s="113" t="s">
        <v>12</v>
      </c>
      <c r="H1382" s="113">
        <v>1</v>
      </c>
      <c r="I1382" s="113">
        <v>5.01</v>
      </c>
      <c r="J1382" s="113" t="s">
        <v>10</v>
      </c>
      <c r="K1382" s="113">
        <v>2.3481999999999998</v>
      </c>
      <c r="L1382" s="113">
        <v>7.5869</v>
      </c>
      <c r="M1382" s="113">
        <v>2.3433000000000002</v>
      </c>
      <c r="N1382" s="113">
        <v>7.5869</v>
      </c>
      <c r="O1382" s="114" t="s">
        <v>2173</v>
      </c>
    </row>
    <row r="1383" spans="1:15" x14ac:dyDescent="0.25">
      <c r="A1383" s="113" t="s">
        <v>54</v>
      </c>
      <c r="B1383" s="113" t="s">
        <v>62</v>
      </c>
      <c r="C1383" s="113">
        <v>22</v>
      </c>
      <c r="D1383" s="113">
        <v>60.000999999999998</v>
      </c>
      <c r="E1383" s="113">
        <v>0.01</v>
      </c>
      <c r="F1383" s="113" t="s">
        <v>13</v>
      </c>
      <c r="G1383" s="113" t="s">
        <v>12</v>
      </c>
      <c r="H1383" s="113">
        <v>4.4999999999999998E-2</v>
      </c>
      <c r="I1383" s="113">
        <v>1.0000100000000001</v>
      </c>
      <c r="J1383" s="113" t="s">
        <v>10</v>
      </c>
      <c r="K1383" s="113">
        <v>15</v>
      </c>
      <c r="L1383" s="113">
        <v>2.2999999999999998</v>
      </c>
      <c r="M1383" s="113">
        <v>-4.6150000000000002</v>
      </c>
      <c r="N1383" s="113">
        <v>2.2202999999999999</v>
      </c>
      <c r="O1383" s="114" t="s">
        <v>2175</v>
      </c>
    </row>
    <row r="1384" spans="1:15" x14ac:dyDescent="0.25">
      <c r="A1384" s="113" t="s">
        <v>54</v>
      </c>
      <c r="B1384" s="113" t="s">
        <v>62</v>
      </c>
      <c r="C1384" s="113">
        <v>22</v>
      </c>
      <c r="D1384" s="113">
        <v>60.000999999999998</v>
      </c>
      <c r="E1384" s="113">
        <v>0.01</v>
      </c>
      <c r="F1384" s="113" t="s">
        <v>13</v>
      </c>
      <c r="G1384" s="113" t="s">
        <v>12</v>
      </c>
      <c r="H1384" s="113">
        <v>5</v>
      </c>
      <c r="I1384" s="113">
        <v>10</v>
      </c>
      <c r="J1384" s="113" t="s">
        <v>10</v>
      </c>
      <c r="K1384" s="113">
        <v>52</v>
      </c>
      <c r="L1384" s="113">
        <v>30.457999999999998</v>
      </c>
      <c r="M1384" s="113">
        <v>34.545000000000002</v>
      </c>
      <c r="N1384" s="113">
        <v>30.459</v>
      </c>
      <c r="O1384" s="114" t="s">
        <v>2733</v>
      </c>
    </row>
    <row r="1385" spans="1:15" x14ac:dyDescent="0.25">
      <c r="A1385" s="113" t="s">
        <v>54</v>
      </c>
      <c r="B1385" s="113" t="s">
        <v>62</v>
      </c>
      <c r="C1385" s="113">
        <v>22</v>
      </c>
      <c r="D1385" s="113">
        <v>60.000999999999998</v>
      </c>
      <c r="E1385" s="113">
        <v>0.01</v>
      </c>
      <c r="F1385" s="113" t="s">
        <v>13</v>
      </c>
      <c r="G1385" s="113" t="s">
        <v>12</v>
      </c>
      <c r="H1385" s="113">
        <v>0.01</v>
      </c>
      <c r="I1385" s="113">
        <v>4.5010000000000001E-2</v>
      </c>
      <c r="J1385" s="113" t="s">
        <v>10</v>
      </c>
      <c r="K1385" s="113">
        <v>-5.2</v>
      </c>
      <c r="L1385" s="113">
        <v>3.0308999999999999</v>
      </c>
      <c r="M1385" s="113">
        <v>-6.0166000000000004</v>
      </c>
      <c r="N1385" s="113">
        <v>3.0310000000000001</v>
      </c>
      <c r="O1385" s="114" t="s">
        <v>2174</v>
      </c>
    </row>
    <row r="1386" spans="1:15" x14ac:dyDescent="0.25">
      <c r="A1386" s="113" t="s">
        <v>54</v>
      </c>
      <c r="B1386" s="113" t="s">
        <v>62</v>
      </c>
      <c r="C1386" s="113">
        <v>22</v>
      </c>
      <c r="D1386" s="113">
        <v>60.000999999999998</v>
      </c>
      <c r="E1386" s="113">
        <v>0.1</v>
      </c>
      <c r="F1386" s="113" t="s">
        <v>13</v>
      </c>
      <c r="G1386" s="113" t="s">
        <v>12</v>
      </c>
      <c r="H1386" s="113">
        <v>0.01</v>
      </c>
      <c r="I1386" s="113">
        <v>4.5010000000000001E-2</v>
      </c>
      <c r="J1386" s="113" t="s">
        <v>10</v>
      </c>
      <c r="K1386" s="113">
        <v>24.504000000000001</v>
      </c>
      <c r="L1386" s="113">
        <v>2.6608999999999998</v>
      </c>
      <c r="M1386" s="113">
        <v>24.465</v>
      </c>
      <c r="N1386" s="113">
        <v>2.6608000000000001</v>
      </c>
      <c r="O1386" s="114" t="s">
        <v>2177</v>
      </c>
    </row>
    <row r="1387" spans="1:15" x14ac:dyDescent="0.25">
      <c r="A1387" s="113" t="s">
        <v>54</v>
      </c>
      <c r="B1387" s="113" t="s">
        <v>62</v>
      </c>
      <c r="C1387" s="113">
        <v>22</v>
      </c>
      <c r="D1387" s="113">
        <v>60.000999999999998</v>
      </c>
      <c r="E1387" s="113">
        <v>0.1</v>
      </c>
      <c r="F1387" s="113" t="s">
        <v>13</v>
      </c>
      <c r="G1387" s="113" t="s">
        <v>12</v>
      </c>
      <c r="H1387" s="113">
        <v>5</v>
      </c>
      <c r="I1387" s="113">
        <v>10</v>
      </c>
      <c r="J1387" s="113" t="s">
        <v>10</v>
      </c>
      <c r="K1387" s="113">
        <v>52</v>
      </c>
      <c r="L1387" s="113">
        <v>30.419</v>
      </c>
      <c r="M1387" s="113">
        <v>37.46</v>
      </c>
      <c r="N1387" s="113">
        <v>30.419</v>
      </c>
      <c r="O1387" s="114" t="s">
        <v>2179</v>
      </c>
    </row>
    <row r="1388" spans="1:15" x14ac:dyDescent="0.25">
      <c r="A1388" s="113" t="s">
        <v>54</v>
      </c>
      <c r="B1388" s="113" t="s">
        <v>62</v>
      </c>
      <c r="C1388" s="113">
        <v>22</v>
      </c>
      <c r="D1388" s="113">
        <v>60.000999999999998</v>
      </c>
      <c r="E1388" s="113">
        <v>0.1</v>
      </c>
      <c r="F1388" s="113" t="s">
        <v>13</v>
      </c>
      <c r="G1388" s="113" t="s">
        <v>12</v>
      </c>
      <c r="H1388" s="113">
        <v>1</v>
      </c>
      <c r="I1388" s="113">
        <v>5.01</v>
      </c>
      <c r="J1388" s="113" t="s">
        <v>10</v>
      </c>
      <c r="K1388" s="113">
        <v>14.11</v>
      </c>
      <c r="L1388" s="113">
        <v>7.4272999999999998</v>
      </c>
      <c r="M1388" s="113">
        <v>14.090999999999999</v>
      </c>
      <c r="N1388" s="113">
        <v>7.4272999999999998</v>
      </c>
      <c r="O1388" s="114" t="s">
        <v>2181</v>
      </c>
    </row>
    <row r="1389" spans="1:15" x14ac:dyDescent="0.25">
      <c r="A1389" s="113" t="s">
        <v>54</v>
      </c>
      <c r="B1389" s="113" t="s">
        <v>62</v>
      </c>
      <c r="C1389" s="113">
        <v>22</v>
      </c>
      <c r="D1389" s="113">
        <v>60.000999999999998</v>
      </c>
      <c r="E1389" s="113">
        <v>0.1</v>
      </c>
      <c r="F1389" s="113" t="s">
        <v>13</v>
      </c>
      <c r="G1389" s="113" t="s">
        <v>12</v>
      </c>
      <c r="H1389" s="113">
        <v>10</v>
      </c>
      <c r="I1389" s="113">
        <v>10.01</v>
      </c>
      <c r="J1389" s="113" t="s">
        <v>10</v>
      </c>
      <c r="K1389" s="113">
        <v>52</v>
      </c>
      <c r="L1389" s="113">
        <v>30.419</v>
      </c>
      <c r="M1389" s="113">
        <v>37.46</v>
      </c>
      <c r="N1389" s="113">
        <v>30.419</v>
      </c>
      <c r="O1389" s="114" t="s">
        <v>2180</v>
      </c>
    </row>
    <row r="1390" spans="1:15" x14ac:dyDescent="0.25">
      <c r="A1390" s="113" t="s">
        <v>54</v>
      </c>
      <c r="B1390" s="113" t="s">
        <v>62</v>
      </c>
      <c r="C1390" s="113">
        <v>22</v>
      </c>
      <c r="D1390" s="113">
        <v>60.000999999999998</v>
      </c>
      <c r="E1390" s="113">
        <v>0.1</v>
      </c>
      <c r="F1390" s="113" t="s">
        <v>13</v>
      </c>
      <c r="G1390" s="113" t="s">
        <v>12</v>
      </c>
      <c r="H1390" s="113">
        <v>4.4999999999999998E-2</v>
      </c>
      <c r="I1390" s="113">
        <v>1.0000100000000001</v>
      </c>
      <c r="J1390" s="113" t="s">
        <v>10</v>
      </c>
      <c r="K1390" s="113">
        <v>25.632000000000001</v>
      </c>
      <c r="L1390" s="113">
        <v>2.1227999999999998</v>
      </c>
      <c r="M1390" s="113">
        <v>32.901000000000003</v>
      </c>
      <c r="N1390" s="113">
        <v>1.7903</v>
      </c>
      <c r="O1390" s="114" t="s">
        <v>2178</v>
      </c>
    </row>
    <row r="1391" spans="1:15" x14ac:dyDescent="0.25">
      <c r="A1391" s="113" t="s">
        <v>54</v>
      </c>
      <c r="B1391" s="113" t="s">
        <v>62</v>
      </c>
      <c r="C1391" s="113">
        <v>22</v>
      </c>
      <c r="D1391" s="113">
        <v>60.000999999999998</v>
      </c>
      <c r="E1391" s="113">
        <v>1</v>
      </c>
      <c r="F1391" s="113" t="s">
        <v>13</v>
      </c>
      <c r="G1391" s="113" t="s">
        <v>12</v>
      </c>
      <c r="H1391" s="113">
        <v>1</v>
      </c>
      <c r="I1391" s="113">
        <v>5.01</v>
      </c>
      <c r="J1391" s="113" t="s">
        <v>10</v>
      </c>
      <c r="K1391" s="113">
        <v>526.04999999999995</v>
      </c>
      <c r="L1391" s="113">
        <v>3.5184000000000002</v>
      </c>
      <c r="M1391" s="113">
        <v>526.04999999999995</v>
      </c>
      <c r="N1391" s="113">
        <v>3.5177999999999998</v>
      </c>
      <c r="O1391" s="114" t="s">
        <v>2183</v>
      </c>
    </row>
    <row r="1392" spans="1:15" x14ac:dyDescent="0.25">
      <c r="A1392" s="113" t="s">
        <v>54</v>
      </c>
      <c r="B1392" s="113" t="s">
        <v>62</v>
      </c>
      <c r="C1392" s="113">
        <v>22</v>
      </c>
      <c r="D1392" s="113">
        <v>60.000999999999998</v>
      </c>
      <c r="E1392" s="113">
        <v>1</v>
      </c>
      <c r="F1392" s="113" t="s">
        <v>13</v>
      </c>
      <c r="G1392" s="113" t="s">
        <v>12</v>
      </c>
      <c r="H1392" s="113">
        <v>0.01</v>
      </c>
      <c r="I1392" s="113">
        <v>4.5010000000000001E-2</v>
      </c>
      <c r="J1392" s="113" t="s">
        <v>10</v>
      </c>
      <c r="K1392" s="113">
        <v>569.88</v>
      </c>
      <c r="L1392" s="113">
        <v>0.59872000000000003</v>
      </c>
      <c r="M1392" s="113">
        <v>569.88</v>
      </c>
      <c r="N1392" s="113">
        <v>0.59787000000000001</v>
      </c>
      <c r="O1392" s="114" t="s">
        <v>2735</v>
      </c>
    </row>
    <row r="1393" spans="1:15" x14ac:dyDescent="0.25">
      <c r="A1393" s="113" t="s">
        <v>54</v>
      </c>
      <c r="B1393" s="113" t="s">
        <v>62</v>
      </c>
      <c r="C1393" s="113">
        <v>22</v>
      </c>
      <c r="D1393" s="113">
        <v>60.000999999999998</v>
      </c>
      <c r="E1393" s="113">
        <v>1</v>
      </c>
      <c r="F1393" s="113" t="s">
        <v>13</v>
      </c>
      <c r="G1393" s="113" t="s">
        <v>12</v>
      </c>
      <c r="H1393" s="113">
        <v>5</v>
      </c>
      <c r="I1393" s="113">
        <v>10</v>
      </c>
      <c r="J1393" s="113" t="s">
        <v>10</v>
      </c>
      <c r="K1393" s="113">
        <v>304.91000000000003</v>
      </c>
      <c r="L1393" s="113">
        <v>27.254999999999999</v>
      </c>
      <c r="M1393" s="113">
        <v>304.83999999999997</v>
      </c>
      <c r="N1393" s="113">
        <v>27.254999999999999</v>
      </c>
      <c r="O1393" s="114" t="s">
        <v>2184</v>
      </c>
    </row>
    <row r="1394" spans="1:15" x14ac:dyDescent="0.25">
      <c r="A1394" s="113" t="s">
        <v>54</v>
      </c>
      <c r="B1394" s="113" t="s">
        <v>62</v>
      </c>
      <c r="C1394" s="113">
        <v>22</v>
      </c>
      <c r="D1394" s="113">
        <v>60.000999999999998</v>
      </c>
      <c r="E1394" s="113">
        <v>1</v>
      </c>
      <c r="F1394" s="113" t="s">
        <v>13</v>
      </c>
      <c r="G1394" s="113" t="s">
        <v>12</v>
      </c>
      <c r="H1394" s="113">
        <v>10</v>
      </c>
      <c r="I1394" s="113">
        <v>10.01</v>
      </c>
      <c r="J1394" s="113" t="s">
        <v>10</v>
      </c>
      <c r="K1394" s="113">
        <v>304.91000000000003</v>
      </c>
      <c r="L1394" s="113">
        <v>27.254999999999999</v>
      </c>
      <c r="M1394" s="113">
        <v>304.83999999999997</v>
      </c>
      <c r="N1394" s="113">
        <v>27.254999999999999</v>
      </c>
      <c r="O1394" s="114" t="s">
        <v>2182</v>
      </c>
    </row>
    <row r="1395" spans="1:15" x14ac:dyDescent="0.25">
      <c r="A1395" s="113" t="s">
        <v>54</v>
      </c>
      <c r="B1395" s="113" t="s">
        <v>62</v>
      </c>
      <c r="C1395" s="113">
        <v>22</v>
      </c>
      <c r="D1395" s="113">
        <v>60.000999999999998</v>
      </c>
      <c r="E1395" s="113">
        <v>1</v>
      </c>
      <c r="F1395" s="113" t="s">
        <v>13</v>
      </c>
      <c r="G1395" s="113" t="s">
        <v>12</v>
      </c>
      <c r="H1395" s="113">
        <v>4.4999999999999998E-2</v>
      </c>
      <c r="I1395" s="113">
        <v>1.0000100000000001</v>
      </c>
      <c r="J1395" s="113" t="s">
        <v>10</v>
      </c>
      <c r="K1395" s="113">
        <v>574.48</v>
      </c>
      <c r="L1395" s="113">
        <v>0.32468000000000002</v>
      </c>
      <c r="M1395" s="113">
        <v>574.48</v>
      </c>
      <c r="N1395" s="113">
        <v>0.32379999999999998</v>
      </c>
      <c r="O1395" s="114" t="s">
        <v>2734</v>
      </c>
    </row>
    <row r="1396" spans="1:15" x14ac:dyDescent="0.25">
      <c r="A1396" s="113" t="s">
        <v>54</v>
      </c>
      <c r="B1396" s="113" t="s">
        <v>62</v>
      </c>
      <c r="C1396" s="113">
        <v>22</v>
      </c>
      <c r="D1396" s="113">
        <v>60.000999999999998</v>
      </c>
      <c r="E1396" s="113">
        <v>10</v>
      </c>
      <c r="F1396" s="113" t="s">
        <v>13</v>
      </c>
      <c r="G1396" s="113" t="s">
        <v>12</v>
      </c>
      <c r="H1396" s="113">
        <v>5</v>
      </c>
      <c r="I1396" s="113">
        <v>10</v>
      </c>
      <c r="J1396" s="113" t="s">
        <v>10</v>
      </c>
      <c r="K1396" s="113">
        <v>5698.4</v>
      </c>
      <c r="L1396" s="113">
        <v>6.4999000000000002</v>
      </c>
      <c r="M1396" s="113">
        <v>5698.4</v>
      </c>
      <c r="N1396" s="113">
        <v>6.4988999999999999</v>
      </c>
      <c r="O1396" s="114" t="s">
        <v>2737</v>
      </c>
    </row>
    <row r="1397" spans="1:15" x14ac:dyDescent="0.25">
      <c r="A1397" s="113" t="s">
        <v>54</v>
      </c>
      <c r="B1397" s="113" t="s">
        <v>62</v>
      </c>
      <c r="C1397" s="113">
        <v>22</v>
      </c>
      <c r="D1397" s="113">
        <v>60.000999999999998</v>
      </c>
      <c r="E1397" s="113">
        <v>10</v>
      </c>
      <c r="F1397" s="113" t="s">
        <v>13</v>
      </c>
      <c r="G1397" s="113" t="s">
        <v>12</v>
      </c>
      <c r="H1397" s="113">
        <v>0.01</v>
      </c>
      <c r="I1397" s="113">
        <v>4.5010000000000001E-2</v>
      </c>
      <c r="J1397" s="113" t="s">
        <v>10</v>
      </c>
      <c r="K1397" s="113">
        <v>5799</v>
      </c>
      <c r="L1397" s="113">
        <v>6.1619E-2</v>
      </c>
      <c r="M1397" s="113">
        <v>5799</v>
      </c>
      <c r="N1397" s="113">
        <v>6.1254999999999997E-2</v>
      </c>
      <c r="O1397" s="114" t="s">
        <v>2738</v>
      </c>
    </row>
    <row r="1398" spans="1:15" x14ac:dyDescent="0.25">
      <c r="A1398" s="113" t="s">
        <v>54</v>
      </c>
      <c r="B1398" s="113" t="s">
        <v>62</v>
      </c>
      <c r="C1398" s="113">
        <v>22</v>
      </c>
      <c r="D1398" s="113">
        <v>60.000999999999998</v>
      </c>
      <c r="E1398" s="113">
        <v>10</v>
      </c>
      <c r="F1398" s="113" t="s">
        <v>13</v>
      </c>
      <c r="G1398" s="113" t="s">
        <v>12</v>
      </c>
      <c r="H1398" s="113">
        <v>10</v>
      </c>
      <c r="I1398" s="113">
        <v>10.01</v>
      </c>
      <c r="J1398" s="113" t="s">
        <v>10</v>
      </c>
      <c r="K1398" s="113">
        <v>5698.4</v>
      </c>
      <c r="L1398" s="113">
        <v>6.4999000000000002</v>
      </c>
      <c r="M1398" s="113">
        <v>5698.4</v>
      </c>
      <c r="N1398" s="113">
        <v>6.4988999999999999</v>
      </c>
      <c r="O1398" s="114" t="s">
        <v>2185</v>
      </c>
    </row>
    <row r="1399" spans="1:15" x14ac:dyDescent="0.25">
      <c r="A1399" s="113" t="s">
        <v>54</v>
      </c>
      <c r="B1399" s="113" t="s">
        <v>62</v>
      </c>
      <c r="C1399" s="113">
        <v>22</v>
      </c>
      <c r="D1399" s="113">
        <v>60.000999999999998</v>
      </c>
      <c r="E1399" s="113">
        <v>10</v>
      </c>
      <c r="F1399" s="113" t="s">
        <v>13</v>
      </c>
      <c r="G1399" s="113" t="s">
        <v>12</v>
      </c>
      <c r="H1399" s="113">
        <v>4.4999999999999998E-2</v>
      </c>
      <c r="I1399" s="113">
        <v>1.0000100000000001</v>
      </c>
      <c r="J1399" s="113" t="s">
        <v>10</v>
      </c>
      <c r="K1399" s="113">
        <v>5799.4</v>
      </c>
      <c r="L1399" s="113">
        <v>3.3173000000000001E-2</v>
      </c>
      <c r="M1399" s="113">
        <v>5799.4</v>
      </c>
      <c r="N1399" s="113">
        <v>3.2808999999999998E-2</v>
      </c>
      <c r="O1399" s="114" t="s">
        <v>2736</v>
      </c>
    </row>
    <row r="1400" spans="1:15" x14ac:dyDescent="0.25">
      <c r="A1400" s="113" t="s">
        <v>54</v>
      </c>
      <c r="B1400" s="113" t="s">
        <v>62</v>
      </c>
      <c r="C1400" s="113">
        <v>22</v>
      </c>
      <c r="D1400" s="113">
        <v>60.000999999999998</v>
      </c>
      <c r="E1400" s="113">
        <v>10</v>
      </c>
      <c r="F1400" s="113" t="s">
        <v>13</v>
      </c>
      <c r="G1400" s="113" t="s">
        <v>12</v>
      </c>
      <c r="H1400" s="113">
        <v>1</v>
      </c>
      <c r="I1400" s="113">
        <v>5.01</v>
      </c>
      <c r="J1400" s="113" t="s">
        <v>10</v>
      </c>
      <c r="K1400" s="113">
        <v>5793.5</v>
      </c>
      <c r="L1400" s="113">
        <v>0.40619</v>
      </c>
      <c r="M1400" s="113">
        <v>5793.5</v>
      </c>
      <c r="N1400" s="113">
        <v>0.40583000000000002</v>
      </c>
      <c r="O1400" s="114" t="s">
        <v>2186</v>
      </c>
    </row>
    <row r="1401" spans="1:15" x14ac:dyDescent="0.25">
      <c r="A1401" s="113" t="s">
        <v>54</v>
      </c>
      <c r="B1401" s="113" t="s">
        <v>62</v>
      </c>
      <c r="C1401" s="113">
        <v>60</v>
      </c>
      <c r="D1401" s="113">
        <v>220.01</v>
      </c>
      <c r="E1401" s="113">
        <v>0.01</v>
      </c>
      <c r="F1401" s="113" t="s">
        <v>13</v>
      </c>
      <c r="G1401" s="113" t="s">
        <v>12</v>
      </c>
      <c r="H1401" s="113">
        <v>0.1</v>
      </c>
      <c r="I1401" s="113">
        <v>1.0000100000000001</v>
      </c>
      <c r="J1401" s="113" t="s">
        <v>10</v>
      </c>
      <c r="K1401" s="113">
        <v>30</v>
      </c>
      <c r="L1401" s="113">
        <v>2.2999999999999998</v>
      </c>
      <c r="M1401" s="113">
        <v>29.364000000000001</v>
      </c>
      <c r="N1401" s="113">
        <v>2.2879</v>
      </c>
      <c r="O1401" s="114" t="s">
        <v>2740</v>
      </c>
    </row>
    <row r="1402" spans="1:15" x14ac:dyDescent="0.25">
      <c r="A1402" s="113" t="s">
        <v>54</v>
      </c>
      <c r="B1402" s="113" t="s">
        <v>62</v>
      </c>
      <c r="C1402" s="113">
        <v>60</v>
      </c>
      <c r="D1402" s="113">
        <v>220.01</v>
      </c>
      <c r="E1402" s="113">
        <v>0.01</v>
      </c>
      <c r="F1402" s="113" t="s">
        <v>13</v>
      </c>
      <c r="G1402" s="113" t="s">
        <v>12</v>
      </c>
      <c r="H1402" s="113">
        <v>5</v>
      </c>
      <c r="I1402" s="113">
        <v>5.01</v>
      </c>
      <c r="J1402" s="113" t="s">
        <v>10</v>
      </c>
      <c r="K1402" s="113">
        <v>47</v>
      </c>
      <c r="L1402" s="113">
        <v>35</v>
      </c>
      <c r="M1402" s="113">
        <v>46.103000000000002</v>
      </c>
      <c r="N1402" s="113">
        <v>34.698999999999998</v>
      </c>
      <c r="O1402" s="114" t="s">
        <v>2188</v>
      </c>
    </row>
    <row r="1403" spans="1:15" x14ac:dyDescent="0.25">
      <c r="A1403" s="113" t="s">
        <v>54</v>
      </c>
      <c r="B1403" s="113" t="s">
        <v>62</v>
      </c>
      <c r="C1403" s="113">
        <v>60</v>
      </c>
      <c r="D1403" s="113">
        <v>220.01</v>
      </c>
      <c r="E1403" s="113">
        <v>0.01</v>
      </c>
      <c r="F1403" s="113" t="s">
        <v>13</v>
      </c>
      <c r="G1403" s="113" t="s">
        <v>12</v>
      </c>
      <c r="H1403" s="113">
        <v>1</v>
      </c>
      <c r="I1403" s="113">
        <v>5</v>
      </c>
      <c r="J1403" s="113" t="s">
        <v>10</v>
      </c>
      <c r="K1403" s="113">
        <v>47</v>
      </c>
      <c r="L1403" s="113">
        <v>35</v>
      </c>
      <c r="M1403" s="113">
        <v>46.103000000000002</v>
      </c>
      <c r="N1403" s="113">
        <v>34.698999999999998</v>
      </c>
      <c r="O1403" s="114" t="s">
        <v>2187</v>
      </c>
    </row>
    <row r="1404" spans="1:15" x14ac:dyDescent="0.25">
      <c r="A1404" s="113" t="s">
        <v>54</v>
      </c>
      <c r="B1404" s="113" t="s">
        <v>62</v>
      </c>
      <c r="C1404" s="113">
        <v>60</v>
      </c>
      <c r="D1404" s="113">
        <v>220.01</v>
      </c>
      <c r="E1404" s="113">
        <v>0.01</v>
      </c>
      <c r="F1404" s="113" t="s">
        <v>13</v>
      </c>
      <c r="G1404" s="113" t="s">
        <v>12</v>
      </c>
      <c r="H1404" s="113">
        <v>4.4999999999999998E-2</v>
      </c>
      <c r="I1404" s="113">
        <v>0.10001</v>
      </c>
      <c r="J1404" s="113" t="s">
        <v>10</v>
      </c>
      <c r="K1404" s="113">
        <v>24</v>
      </c>
      <c r="L1404" s="113">
        <v>2.1</v>
      </c>
      <c r="M1404" s="113">
        <v>23.533999999999999</v>
      </c>
      <c r="N1404" s="113">
        <v>2.0874999999999999</v>
      </c>
      <c r="O1404" s="114" t="s">
        <v>2739</v>
      </c>
    </row>
    <row r="1405" spans="1:15" x14ac:dyDescent="0.25">
      <c r="A1405" s="113" t="s">
        <v>54</v>
      </c>
      <c r="B1405" s="113" t="s">
        <v>62</v>
      </c>
      <c r="C1405" s="113">
        <v>60</v>
      </c>
      <c r="D1405" s="113">
        <v>220.01</v>
      </c>
      <c r="E1405" s="113">
        <v>0.1</v>
      </c>
      <c r="F1405" s="113" t="s">
        <v>13</v>
      </c>
      <c r="G1405" s="113" t="s">
        <v>12</v>
      </c>
      <c r="H1405" s="113">
        <v>1</v>
      </c>
      <c r="I1405" s="113">
        <v>5</v>
      </c>
      <c r="J1405" s="113" t="s">
        <v>10</v>
      </c>
      <c r="K1405" s="113">
        <v>47</v>
      </c>
      <c r="L1405" s="113">
        <v>35</v>
      </c>
      <c r="M1405" s="113">
        <v>47.146000000000001</v>
      </c>
      <c r="N1405" s="113">
        <v>34.695</v>
      </c>
      <c r="O1405" s="114" t="s">
        <v>2741</v>
      </c>
    </row>
    <row r="1406" spans="1:15" x14ac:dyDescent="0.25">
      <c r="A1406" s="113" t="s">
        <v>54</v>
      </c>
      <c r="B1406" s="113" t="s">
        <v>62</v>
      </c>
      <c r="C1406" s="113">
        <v>60</v>
      </c>
      <c r="D1406" s="113">
        <v>220.01</v>
      </c>
      <c r="E1406" s="113">
        <v>0.1</v>
      </c>
      <c r="F1406" s="113" t="s">
        <v>13</v>
      </c>
      <c r="G1406" s="113" t="s">
        <v>12</v>
      </c>
      <c r="H1406" s="113">
        <v>4.4999999999999998E-2</v>
      </c>
      <c r="I1406" s="113">
        <v>0.10001</v>
      </c>
      <c r="J1406" s="113" t="s">
        <v>10</v>
      </c>
      <c r="K1406" s="113">
        <v>37.146000000000001</v>
      </c>
      <c r="L1406" s="113">
        <v>2.0415000000000001</v>
      </c>
      <c r="M1406" s="113">
        <v>37.093000000000004</v>
      </c>
      <c r="N1406" s="113">
        <v>2.0415000000000001</v>
      </c>
      <c r="O1406" s="114" t="s">
        <v>2742</v>
      </c>
    </row>
    <row r="1407" spans="1:15" x14ac:dyDescent="0.25">
      <c r="A1407" s="113" t="s">
        <v>54</v>
      </c>
      <c r="B1407" s="113" t="s">
        <v>62</v>
      </c>
      <c r="C1407" s="113">
        <v>60</v>
      </c>
      <c r="D1407" s="113">
        <v>220.01</v>
      </c>
      <c r="E1407" s="113">
        <v>0.1</v>
      </c>
      <c r="F1407" s="113" t="s">
        <v>13</v>
      </c>
      <c r="G1407" s="113" t="s">
        <v>12</v>
      </c>
      <c r="H1407" s="113">
        <v>0.1</v>
      </c>
      <c r="I1407" s="113">
        <v>1.0000100000000001</v>
      </c>
      <c r="J1407" s="113" t="s">
        <v>10</v>
      </c>
      <c r="K1407" s="113">
        <v>41.543999999999997</v>
      </c>
      <c r="L1407" s="113">
        <v>2.2475000000000001</v>
      </c>
      <c r="M1407" s="113">
        <v>41.546999999999997</v>
      </c>
      <c r="N1407" s="113">
        <v>2.2467000000000001</v>
      </c>
      <c r="O1407" s="114" t="s">
        <v>2189</v>
      </c>
    </row>
    <row r="1408" spans="1:15" x14ac:dyDescent="0.25">
      <c r="A1408" s="113" t="s">
        <v>54</v>
      </c>
      <c r="B1408" s="113" t="s">
        <v>62</v>
      </c>
      <c r="C1408" s="113">
        <v>60</v>
      </c>
      <c r="D1408" s="113">
        <v>220.01</v>
      </c>
      <c r="E1408" s="113">
        <v>0.1</v>
      </c>
      <c r="F1408" s="113" t="s">
        <v>13</v>
      </c>
      <c r="G1408" s="113" t="s">
        <v>12</v>
      </c>
      <c r="H1408" s="113">
        <v>5</v>
      </c>
      <c r="I1408" s="113">
        <v>5.01</v>
      </c>
      <c r="J1408" s="113" t="s">
        <v>10</v>
      </c>
      <c r="K1408" s="113">
        <v>47</v>
      </c>
      <c r="L1408" s="113">
        <v>35</v>
      </c>
      <c r="M1408" s="113">
        <v>47.146000000000001</v>
      </c>
      <c r="N1408" s="113">
        <v>34.695</v>
      </c>
      <c r="O1408" s="114" t="s">
        <v>2743</v>
      </c>
    </row>
    <row r="1409" spans="1:15" x14ac:dyDescent="0.25">
      <c r="A1409" s="113" t="s">
        <v>54</v>
      </c>
      <c r="B1409" s="113" t="s">
        <v>62</v>
      </c>
      <c r="C1409" s="113">
        <v>60</v>
      </c>
      <c r="D1409" s="113">
        <v>220.01</v>
      </c>
      <c r="E1409" s="113">
        <v>1</v>
      </c>
      <c r="F1409" s="113" t="s">
        <v>13</v>
      </c>
      <c r="G1409" s="113" t="s">
        <v>12</v>
      </c>
      <c r="H1409" s="113">
        <v>5</v>
      </c>
      <c r="I1409" s="113">
        <v>5.01</v>
      </c>
      <c r="J1409" s="113" t="s">
        <v>10</v>
      </c>
      <c r="K1409" s="113">
        <v>127.73</v>
      </c>
      <c r="L1409" s="113">
        <v>34.633000000000003</v>
      </c>
      <c r="M1409" s="113">
        <v>144.69999999999999</v>
      </c>
      <c r="N1409" s="113">
        <v>34.35</v>
      </c>
      <c r="O1409" s="114" t="s">
        <v>2190</v>
      </c>
    </row>
    <row r="1410" spans="1:15" x14ac:dyDescent="0.25">
      <c r="A1410" s="113" t="s">
        <v>54</v>
      </c>
      <c r="B1410" s="113" t="s">
        <v>62</v>
      </c>
      <c r="C1410" s="113">
        <v>60</v>
      </c>
      <c r="D1410" s="113">
        <v>220.01</v>
      </c>
      <c r="E1410" s="113">
        <v>1</v>
      </c>
      <c r="F1410" s="113" t="s">
        <v>13</v>
      </c>
      <c r="G1410" s="113" t="s">
        <v>12</v>
      </c>
      <c r="H1410" s="113">
        <v>1</v>
      </c>
      <c r="I1410" s="113">
        <v>5</v>
      </c>
      <c r="J1410" s="113" t="s">
        <v>10</v>
      </c>
      <c r="K1410" s="113">
        <v>127.73</v>
      </c>
      <c r="L1410" s="113">
        <v>34.633000000000003</v>
      </c>
      <c r="M1410" s="113">
        <v>144.69999999999999</v>
      </c>
      <c r="N1410" s="113">
        <v>34.35</v>
      </c>
      <c r="O1410" s="114" t="s">
        <v>2744</v>
      </c>
    </row>
    <row r="1411" spans="1:15" x14ac:dyDescent="0.25">
      <c r="A1411" s="113" t="s">
        <v>54</v>
      </c>
      <c r="B1411" s="113" t="s">
        <v>62</v>
      </c>
      <c r="C1411" s="113">
        <v>60</v>
      </c>
      <c r="D1411" s="113">
        <v>220.01</v>
      </c>
      <c r="E1411" s="113">
        <v>1</v>
      </c>
      <c r="F1411" s="113" t="s">
        <v>13</v>
      </c>
      <c r="G1411" s="113" t="s">
        <v>12</v>
      </c>
      <c r="H1411" s="113">
        <v>4.4999999999999998E-2</v>
      </c>
      <c r="I1411" s="113">
        <v>0.10001</v>
      </c>
      <c r="J1411" s="113" t="s">
        <v>10</v>
      </c>
      <c r="K1411" s="113">
        <v>540.32000000000005</v>
      </c>
      <c r="L1411" s="113">
        <v>0.97470999999999997</v>
      </c>
      <c r="M1411" s="113">
        <v>540.29999999999995</v>
      </c>
      <c r="N1411" s="113">
        <v>0.97416999999999998</v>
      </c>
      <c r="O1411" s="114" t="s">
        <v>2191</v>
      </c>
    </row>
    <row r="1412" spans="1:15" x14ac:dyDescent="0.25">
      <c r="A1412" s="113" t="s">
        <v>54</v>
      </c>
      <c r="B1412" s="113" t="s">
        <v>62</v>
      </c>
      <c r="C1412" s="113">
        <v>60</v>
      </c>
      <c r="D1412" s="113">
        <v>220.01</v>
      </c>
      <c r="E1412" s="113">
        <v>1</v>
      </c>
      <c r="F1412" s="113" t="s">
        <v>13</v>
      </c>
      <c r="G1412" s="113" t="s">
        <v>12</v>
      </c>
      <c r="H1412" s="113">
        <v>0.1</v>
      </c>
      <c r="I1412" s="113">
        <v>1.0000100000000001</v>
      </c>
      <c r="J1412" s="113" t="s">
        <v>10</v>
      </c>
      <c r="K1412" s="113">
        <v>534.45000000000005</v>
      </c>
      <c r="L1412" s="113">
        <v>1.1508</v>
      </c>
      <c r="M1412" s="113">
        <v>534.41999999999996</v>
      </c>
      <c r="N1412" s="113">
        <v>1.1503000000000001</v>
      </c>
      <c r="O1412" s="114" t="s">
        <v>2192</v>
      </c>
    </row>
    <row r="1413" spans="1:15" x14ac:dyDescent="0.25">
      <c r="A1413" s="113" t="s">
        <v>54</v>
      </c>
      <c r="B1413" s="113" t="s">
        <v>62</v>
      </c>
      <c r="C1413" s="113">
        <v>60</v>
      </c>
      <c r="D1413" s="113">
        <v>220.01</v>
      </c>
      <c r="E1413" s="113">
        <v>10</v>
      </c>
      <c r="F1413" s="113" t="s">
        <v>13</v>
      </c>
      <c r="G1413" s="113" t="s">
        <v>12</v>
      </c>
      <c r="H1413" s="113">
        <v>1</v>
      </c>
      <c r="I1413" s="113">
        <v>5</v>
      </c>
      <c r="J1413" s="113" t="s">
        <v>10</v>
      </c>
      <c r="K1413" s="113">
        <v>4885.8999999999996</v>
      </c>
      <c r="L1413" s="113">
        <v>21.536999999999999</v>
      </c>
      <c r="M1413" s="113">
        <v>4885.8999999999996</v>
      </c>
      <c r="N1413" s="113">
        <v>21.536999999999999</v>
      </c>
      <c r="O1413" s="114" t="s">
        <v>2195</v>
      </c>
    </row>
    <row r="1414" spans="1:15" x14ac:dyDescent="0.25">
      <c r="A1414" s="113" t="s">
        <v>54</v>
      </c>
      <c r="B1414" s="113" t="s">
        <v>62</v>
      </c>
      <c r="C1414" s="113">
        <v>60</v>
      </c>
      <c r="D1414" s="113">
        <v>220.01</v>
      </c>
      <c r="E1414" s="113">
        <v>10</v>
      </c>
      <c r="F1414" s="113" t="s">
        <v>13</v>
      </c>
      <c r="G1414" s="113" t="s">
        <v>12</v>
      </c>
      <c r="H1414" s="113">
        <v>4.4999999999999998E-2</v>
      </c>
      <c r="I1414" s="113">
        <v>0.10001</v>
      </c>
      <c r="J1414" s="113" t="s">
        <v>10</v>
      </c>
      <c r="K1414" s="113">
        <v>5795.1</v>
      </c>
      <c r="L1414" s="113">
        <v>0.11376</v>
      </c>
      <c r="M1414" s="113">
        <v>5795.1</v>
      </c>
      <c r="N1414" s="113">
        <v>0.11344</v>
      </c>
      <c r="O1414" s="114" t="s">
        <v>2196</v>
      </c>
    </row>
    <row r="1415" spans="1:15" x14ac:dyDescent="0.25">
      <c r="A1415" s="113" t="s">
        <v>54</v>
      </c>
      <c r="B1415" s="113" t="s">
        <v>62</v>
      </c>
      <c r="C1415" s="113">
        <v>60</v>
      </c>
      <c r="D1415" s="113">
        <v>220.01</v>
      </c>
      <c r="E1415" s="113">
        <v>10</v>
      </c>
      <c r="F1415" s="113" t="s">
        <v>13</v>
      </c>
      <c r="G1415" s="113" t="s">
        <v>12</v>
      </c>
      <c r="H1415" s="113">
        <v>5</v>
      </c>
      <c r="I1415" s="113">
        <v>5.01</v>
      </c>
      <c r="J1415" s="113" t="s">
        <v>10</v>
      </c>
      <c r="K1415" s="113">
        <v>4885.8999999999996</v>
      </c>
      <c r="L1415" s="113">
        <v>21.536999999999999</v>
      </c>
      <c r="M1415" s="113">
        <v>4885.8999999999996</v>
      </c>
      <c r="N1415" s="113">
        <v>21.536999999999999</v>
      </c>
      <c r="O1415" s="114" t="s">
        <v>2193</v>
      </c>
    </row>
    <row r="1416" spans="1:15" x14ac:dyDescent="0.25">
      <c r="A1416" s="113" t="s">
        <v>54</v>
      </c>
      <c r="B1416" s="113" t="s">
        <v>62</v>
      </c>
      <c r="C1416" s="113">
        <v>60</v>
      </c>
      <c r="D1416" s="113">
        <v>220.01</v>
      </c>
      <c r="E1416" s="113">
        <v>10</v>
      </c>
      <c r="F1416" s="113" t="s">
        <v>13</v>
      </c>
      <c r="G1416" s="113" t="s">
        <v>12</v>
      </c>
      <c r="H1416" s="113">
        <v>0.1</v>
      </c>
      <c r="I1416" s="113">
        <v>1.0000100000000001</v>
      </c>
      <c r="J1416" s="113" t="s">
        <v>10</v>
      </c>
      <c r="K1416" s="113">
        <v>5794.1</v>
      </c>
      <c r="L1416" s="113">
        <v>0.13793</v>
      </c>
      <c r="M1416" s="113">
        <v>5794.1</v>
      </c>
      <c r="N1416" s="113">
        <v>0.13761000000000001</v>
      </c>
      <c r="O1416" s="114" t="s">
        <v>2194</v>
      </c>
    </row>
    <row r="1417" spans="1:15" x14ac:dyDescent="0.25">
      <c r="A1417" s="113" t="s">
        <v>54</v>
      </c>
      <c r="B1417" s="113" t="s">
        <v>62</v>
      </c>
      <c r="C1417" s="113">
        <v>60</v>
      </c>
      <c r="D1417" s="113">
        <v>220.01</v>
      </c>
      <c r="E1417" s="113">
        <v>100</v>
      </c>
      <c r="F1417" s="113" t="s">
        <v>13</v>
      </c>
      <c r="G1417" s="113" t="s">
        <v>12</v>
      </c>
      <c r="H1417" s="113">
        <v>0.1</v>
      </c>
      <c r="I1417" s="113">
        <v>1.0000100000000001</v>
      </c>
      <c r="J1417" s="113" t="s">
        <v>10</v>
      </c>
      <c r="K1417" s="113">
        <v>58000</v>
      </c>
      <c r="L1417" s="113">
        <v>1.392E-2</v>
      </c>
      <c r="M1417" s="113">
        <v>58000</v>
      </c>
      <c r="N1417" s="113">
        <v>1.3793E-2</v>
      </c>
      <c r="O1417" s="114" t="s">
        <v>2199</v>
      </c>
    </row>
    <row r="1418" spans="1:15" x14ac:dyDescent="0.25">
      <c r="A1418" s="113" t="s">
        <v>54</v>
      </c>
      <c r="B1418" s="113" t="s">
        <v>62</v>
      </c>
      <c r="C1418" s="113">
        <v>60</v>
      </c>
      <c r="D1418" s="113">
        <v>220.01</v>
      </c>
      <c r="E1418" s="113">
        <v>100</v>
      </c>
      <c r="F1418" s="113" t="s">
        <v>13</v>
      </c>
      <c r="G1418" s="113" t="s">
        <v>12</v>
      </c>
      <c r="H1418" s="113">
        <v>1</v>
      </c>
      <c r="I1418" s="113">
        <v>5</v>
      </c>
      <c r="J1418" s="113" t="s">
        <v>10</v>
      </c>
      <c r="K1418" s="113">
        <v>57864</v>
      </c>
      <c r="L1418" s="113">
        <v>2.9205000000000001</v>
      </c>
      <c r="M1418" s="113">
        <v>57864</v>
      </c>
      <c r="N1418" s="113">
        <v>2.9201000000000001</v>
      </c>
      <c r="O1418" s="114" t="s">
        <v>2197</v>
      </c>
    </row>
    <row r="1419" spans="1:15" x14ac:dyDescent="0.25">
      <c r="A1419" s="113" t="s">
        <v>54</v>
      </c>
      <c r="B1419" s="113" t="s">
        <v>62</v>
      </c>
      <c r="C1419" s="113">
        <v>60</v>
      </c>
      <c r="D1419" s="113">
        <v>220.01</v>
      </c>
      <c r="E1419" s="113">
        <v>100</v>
      </c>
      <c r="F1419" s="113" t="s">
        <v>13</v>
      </c>
      <c r="G1419" s="113" t="s">
        <v>12</v>
      </c>
      <c r="H1419" s="113">
        <v>4.4999999999999998E-2</v>
      </c>
      <c r="I1419" s="113">
        <v>0.10001</v>
      </c>
      <c r="J1419" s="113" t="s">
        <v>10</v>
      </c>
      <c r="K1419" s="113">
        <v>58000</v>
      </c>
      <c r="L1419" s="113">
        <v>1.1493E-2</v>
      </c>
      <c r="M1419" s="113">
        <v>58000</v>
      </c>
      <c r="N1419" s="113">
        <v>1.1365E-2</v>
      </c>
      <c r="O1419" s="114" t="s">
        <v>2200</v>
      </c>
    </row>
    <row r="1420" spans="1:15" x14ac:dyDescent="0.25">
      <c r="A1420" s="113" t="s">
        <v>54</v>
      </c>
      <c r="B1420" s="113" t="s">
        <v>62</v>
      </c>
      <c r="C1420" s="113">
        <v>60</v>
      </c>
      <c r="D1420" s="113">
        <v>220.01</v>
      </c>
      <c r="E1420" s="113">
        <v>100</v>
      </c>
      <c r="F1420" s="113" t="s">
        <v>13</v>
      </c>
      <c r="G1420" s="113" t="s">
        <v>12</v>
      </c>
      <c r="H1420" s="113">
        <v>5</v>
      </c>
      <c r="I1420" s="113">
        <v>5.01</v>
      </c>
      <c r="J1420" s="113" t="s">
        <v>10</v>
      </c>
      <c r="K1420" s="113">
        <v>57864</v>
      </c>
      <c r="L1420" s="113">
        <v>2.9205000000000001</v>
      </c>
      <c r="M1420" s="113">
        <v>57864</v>
      </c>
      <c r="N1420" s="113">
        <v>2.9201000000000001</v>
      </c>
      <c r="O1420" s="114" t="s">
        <v>2198</v>
      </c>
    </row>
    <row r="1421" spans="1:15" x14ac:dyDescent="0.25">
      <c r="A1421" s="113" t="s">
        <v>54</v>
      </c>
      <c r="B1421" s="113" t="s">
        <v>62</v>
      </c>
      <c r="C1421" s="113">
        <v>220</v>
      </c>
      <c r="D1421" s="113">
        <v>410.01</v>
      </c>
      <c r="E1421" s="113">
        <v>0.01</v>
      </c>
      <c r="F1421" s="113" t="s">
        <v>13</v>
      </c>
      <c r="G1421" s="113" t="s">
        <v>12</v>
      </c>
      <c r="H1421" s="113">
        <v>4.4999999999999998E-2</v>
      </c>
      <c r="I1421" s="113">
        <v>0.10001</v>
      </c>
      <c r="J1421" s="113" t="s">
        <v>10</v>
      </c>
      <c r="K1421" s="113">
        <v>84</v>
      </c>
      <c r="L1421" s="113">
        <v>2.4</v>
      </c>
      <c r="M1421" s="113">
        <v>76.977999999999994</v>
      </c>
      <c r="N1421" s="113">
        <v>2.4161000000000001</v>
      </c>
      <c r="O1421" s="114" t="s">
        <v>2202</v>
      </c>
    </row>
    <row r="1422" spans="1:15" x14ac:dyDescent="0.25">
      <c r="A1422" s="113" t="s">
        <v>54</v>
      </c>
      <c r="B1422" s="113" t="s">
        <v>62</v>
      </c>
      <c r="C1422" s="113">
        <v>220</v>
      </c>
      <c r="D1422" s="113">
        <v>410.01</v>
      </c>
      <c r="E1422" s="113">
        <v>0.01</v>
      </c>
      <c r="F1422" s="113" t="s">
        <v>13</v>
      </c>
      <c r="G1422" s="113" t="s">
        <v>12</v>
      </c>
      <c r="H1422" s="113">
        <v>5</v>
      </c>
      <c r="I1422" s="113">
        <v>5.01</v>
      </c>
      <c r="J1422" s="113" t="s">
        <v>10</v>
      </c>
      <c r="K1422" s="113">
        <v>120</v>
      </c>
      <c r="L1422" s="113">
        <v>35</v>
      </c>
      <c r="M1422" s="113">
        <v>115.22</v>
      </c>
      <c r="N1422" s="113">
        <v>34.698999999999998</v>
      </c>
      <c r="O1422" s="114" t="s">
        <v>2204</v>
      </c>
    </row>
    <row r="1423" spans="1:15" x14ac:dyDescent="0.25">
      <c r="A1423" s="113" t="s">
        <v>54</v>
      </c>
      <c r="B1423" s="113" t="s">
        <v>62</v>
      </c>
      <c r="C1423" s="113">
        <v>220</v>
      </c>
      <c r="D1423" s="113">
        <v>410.01</v>
      </c>
      <c r="E1423" s="113">
        <v>0.01</v>
      </c>
      <c r="F1423" s="113" t="s">
        <v>13</v>
      </c>
      <c r="G1423" s="113" t="s">
        <v>12</v>
      </c>
      <c r="H1423" s="113">
        <v>0.1</v>
      </c>
      <c r="I1423" s="113">
        <v>1.0000100000000001</v>
      </c>
      <c r="J1423" s="113" t="s">
        <v>10</v>
      </c>
      <c r="K1423" s="113">
        <v>98</v>
      </c>
      <c r="L1423" s="113">
        <v>2.6</v>
      </c>
      <c r="M1423" s="113">
        <v>84.28</v>
      </c>
      <c r="N1423" s="113">
        <v>2.6326000000000001</v>
      </c>
      <c r="O1423" s="114" t="s">
        <v>2203</v>
      </c>
    </row>
    <row r="1424" spans="1:15" x14ac:dyDescent="0.25">
      <c r="A1424" s="113" t="s">
        <v>54</v>
      </c>
      <c r="B1424" s="113" t="s">
        <v>62</v>
      </c>
      <c r="C1424" s="113">
        <v>220</v>
      </c>
      <c r="D1424" s="113">
        <v>410.01</v>
      </c>
      <c r="E1424" s="113">
        <v>0.01</v>
      </c>
      <c r="F1424" s="113" t="s">
        <v>13</v>
      </c>
      <c r="G1424" s="113" t="s">
        <v>12</v>
      </c>
      <c r="H1424" s="113">
        <v>1</v>
      </c>
      <c r="I1424" s="113">
        <v>5</v>
      </c>
      <c r="J1424" s="113" t="s">
        <v>10</v>
      </c>
      <c r="K1424" s="113">
        <v>120</v>
      </c>
      <c r="L1424" s="113">
        <v>35</v>
      </c>
      <c r="M1424" s="113">
        <v>115.22</v>
      </c>
      <c r="N1424" s="113">
        <v>34.698999999999998</v>
      </c>
      <c r="O1424" s="114" t="s">
        <v>2201</v>
      </c>
    </row>
    <row r="1425" spans="1:15" x14ac:dyDescent="0.25">
      <c r="A1425" s="113" t="s">
        <v>54</v>
      </c>
      <c r="B1425" s="113" t="s">
        <v>62</v>
      </c>
      <c r="C1425" s="113">
        <v>220</v>
      </c>
      <c r="D1425" s="113">
        <v>410.01</v>
      </c>
      <c r="E1425" s="113">
        <v>0.1</v>
      </c>
      <c r="F1425" s="113" t="s">
        <v>13</v>
      </c>
      <c r="G1425" s="113" t="s">
        <v>12</v>
      </c>
      <c r="H1425" s="113">
        <v>1</v>
      </c>
      <c r="I1425" s="113">
        <v>5</v>
      </c>
      <c r="J1425" s="113" t="s">
        <v>10</v>
      </c>
      <c r="K1425" s="113">
        <v>120</v>
      </c>
      <c r="L1425" s="113">
        <v>35</v>
      </c>
      <c r="M1425" s="113">
        <v>115.69</v>
      </c>
      <c r="N1425" s="113">
        <v>34.698</v>
      </c>
      <c r="O1425" s="114" t="s">
        <v>2205</v>
      </c>
    </row>
    <row r="1426" spans="1:15" x14ac:dyDescent="0.25">
      <c r="A1426" s="113" t="s">
        <v>54</v>
      </c>
      <c r="B1426" s="113" t="s">
        <v>62</v>
      </c>
      <c r="C1426" s="113">
        <v>220</v>
      </c>
      <c r="D1426" s="113">
        <v>410.01</v>
      </c>
      <c r="E1426" s="113">
        <v>0.1</v>
      </c>
      <c r="F1426" s="113" t="s">
        <v>13</v>
      </c>
      <c r="G1426" s="113" t="s">
        <v>12</v>
      </c>
      <c r="H1426" s="113">
        <v>5</v>
      </c>
      <c r="I1426" s="113">
        <v>5.01</v>
      </c>
      <c r="J1426" s="113" t="s">
        <v>10</v>
      </c>
      <c r="K1426" s="113">
        <v>120</v>
      </c>
      <c r="L1426" s="113">
        <v>35</v>
      </c>
      <c r="M1426" s="113">
        <v>115.69</v>
      </c>
      <c r="N1426" s="113">
        <v>34.698</v>
      </c>
      <c r="O1426" s="114" t="s">
        <v>2208</v>
      </c>
    </row>
    <row r="1427" spans="1:15" x14ac:dyDescent="0.25">
      <c r="A1427" s="113" t="s">
        <v>54</v>
      </c>
      <c r="B1427" s="113" t="s">
        <v>62</v>
      </c>
      <c r="C1427" s="113">
        <v>220</v>
      </c>
      <c r="D1427" s="113">
        <v>410.01</v>
      </c>
      <c r="E1427" s="113">
        <v>0.1</v>
      </c>
      <c r="F1427" s="113" t="s">
        <v>13</v>
      </c>
      <c r="G1427" s="113" t="s">
        <v>12</v>
      </c>
      <c r="H1427" s="113">
        <v>4.4999999999999998E-2</v>
      </c>
      <c r="I1427" s="113">
        <v>0.10001</v>
      </c>
      <c r="J1427" s="113" t="s">
        <v>10</v>
      </c>
      <c r="K1427" s="113">
        <v>84</v>
      </c>
      <c r="L1427" s="113">
        <v>2.4068999999999998</v>
      </c>
      <c r="M1427" s="113">
        <v>81.076999999999998</v>
      </c>
      <c r="N1427" s="113">
        <v>2.4098999999999999</v>
      </c>
      <c r="O1427" s="114" t="s">
        <v>2207</v>
      </c>
    </row>
    <row r="1428" spans="1:15" x14ac:dyDescent="0.25">
      <c r="A1428" s="113" t="s">
        <v>54</v>
      </c>
      <c r="B1428" s="113" t="s">
        <v>62</v>
      </c>
      <c r="C1428" s="113">
        <v>220</v>
      </c>
      <c r="D1428" s="113">
        <v>410.01</v>
      </c>
      <c r="E1428" s="113">
        <v>0.1</v>
      </c>
      <c r="F1428" s="113" t="s">
        <v>13</v>
      </c>
      <c r="G1428" s="113" t="s">
        <v>12</v>
      </c>
      <c r="H1428" s="113">
        <v>0.1</v>
      </c>
      <c r="I1428" s="113">
        <v>1.0000100000000001</v>
      </c>
      <c r="J1428" s="113" t="s">
        <v>10</v>
      </c>
      <c r="K1428" s="113">
        <v>98</v>
      </c>
      <c r="L1428" s="113">
        <v>2.6065</v>
      </c>
      <c r="M1428" s="113">
        <v>88.046000000000006</v>
      </c>
      <c r="N1428" s="113">
        <v>2.6269</v>
      </c>
      <c r="O1428" s="114" t="s">
        <v>2206</v>
      </c>
    </row>
    <row r="1429" spans="1:15" x14ac:dyDescent="0.25">
      <c r="A1429" s="113" t="s">
        <v>54</v>
      </c>
      <c r="B1429" s="113" t="s">
        <v>62</v>
      </c>
      <c r="C1429" s="113">
        <v>220</v>
      </c>
      <c r="D1429" s="113">
        <v>410.01</v>
      </c>
      <c r="E1429" s="113">
        <v>1</v>
      </c>
      <c r="F1429" s="113" t="s">
        <v>13</v>
      </c>
      <c r="G1429" s="113" t="s">
        <v>12</v>
      </c>
      <c r="H1429" s="113">
        <v>5</v>
      </c>
      <c r="I1429" s="113">
        <v>5.01</v>
      </c>
      <c r="J1429" s="113" t="s">
        <v>10</v>
      </c>
      <c r="K1429" s="113">
        <v>120</v>
      </c>
      <c r="L1429" s="113">
        <v>35</v>
      </c>
      <c r="M1429" s="113">
        <v>148.62</v>
      </c>
      <c r="N1429" s="113">
        <v>34.646000000000001</v>
      </c>
      <c r="O1429" s="114" t="s">
        <v>2209</v>
      </c>
    </row>
    <row r="1430" spans="1:15" x14ac:dyDescent="0.25">
      <c r="A1430" s="113" t="s">
        <v>54</v>
      </c>
      <c r="B1430" s="113" t="s">
        <v>62</v>
      </c>
      <c r="C1430" s="113">
        <v>220</v>
      </c>
      <c r="D1430" s="113">
        <v>410.01</v>
      </c>
      <c r="E1430" s="113">
        <v>1</v>
      </c>
      <c r="F1430" s="113" t="s">
        <v>13</v>
      </c>
      <c r="G1430" s="113" t="s">
        <v>12</v>
      </c>
      <c r="H1430" s="113">
        <v>0.1</v>
      </c>
      <c r="I1430" s="113">
        <v>1.0000100000000001</v>
      </c>
      <c r="J1430" s="113" t="s">
        <v>10</v>
      </c>
      <c r="K1430" s="113">
        <v>396.27</v>
      </c>
      <c r="L1430" s="113">
        <v>2.2061000000000002</v>
      </c>
      <c r="M1430" s="113">
        <v>396.12</v>
      </c>
      <c r="N1430" s="113">
        <v>2.2050000000000001</v>
      </c>
      <c r="O1430" s="114" t="s">
        <v>2211</v>
      </c>
    </row>
    <row r="1431" spans="1:15" x14ac:dyDescent="0.25">
      <c r="A1431" s="113" t="s">
        <v>54</v>
      </c>
      <c r="B1431" s="113" t="s">
        <v>62</v>
      </c>
      <c r="C1431" s="113">
        <v>220</v>
      </c>
      <c r="D1431" s="113">
        <v>410.01</v>
      </c>
      <c r="E1431" s="113">
        <v>1</v>
      </c>
      <c r="F1431" s="113" t="s">
        <v>13</v>
      </c>
      <c r="G1431" s="113" t="s">
        <v>12</v>
      </c>
      <c r="H1431" s="113">
        <v>1</v>
      </c>
      <c r="I1431" s="113">
        <v>5</v>
      </c>
      <c r="J1431" s="113" t="s">
        <v>10</v>
      </c>
      <c r="K1431" s="113">
        <v>120</v>
      </c>
      <c r="L1431" s="113">
        <v>35</v>
      </c>
      <c r="M1431" s="113">
        <v>148.62</v>
      </c>
      <c r="N1431" s="113">
        <v>34.646000000000001</v>
      </c>
      <c r="O1431" s="114" t="s">
        <v>2212</v>
      </c>
    </row>
    <row r="1432" spans="1:15" x14ac:dyDescent="0.25">
      <c r="A1432" s="113" t="s">
        <v>54</v>
      </c>
      <c r="B1432" s="113" t="s">
        <v>62</v>
      </c>
      <c r="C1432" s="113">
        <v>220</v>
      </c>
      <c r="D1432" s="113">
        <v>410.01</v>
      </c>
      <c r="E1432" s="113">
        <v>1</v>
      </c>
      <c r="F1432" s="113" t="s">
        <v>13</v>
      </c>
      <c r="G1432" s="113" t="s">
        <v>12</v>
      </c>
      <c r="H1432" s="113">
        <v>4.4999999999999998E-2</v>
      </c>
      <c r="I1432" s="113">
        <v>0.10001</v>
      </c>
      <c r="J1432" s="113" t="s">
        <v>10</v>
      </c>
      <c r="K1432" s="113">
        <v>407.38</v>
      </c>
      <c r="L1432" s="113">
        <v>1.9712000000000001</v>
      </c>
      <c r="M1432" s="113">
        <v>407.21</v>
      </c>
      <c r="N1432" s="113">
        <v>1.9701</v>
      </c>
      <c r="O1432" s="114" t="s">
        <v>2210</v>
      </c>
    </row>
    <row r="1433" spans="1:15" x14ac:dyDescent="0.25">
      <c r="A1433" s="113" t="s">
        <v>54</v>
      </c>
      <c r="B1433" s="113" t="s">
        <v>62</v>
      </c>
      <c r="C1433" s="113">
        <v>220</v>
      </c>
      <c r="D1433" s="113">
        <v>410.01</v>
      </c>
      <c r="E1433" s="113">
        <v>10</v>
      </c>
      <c r="F1433" s="113" t="s">
        <v>13</v>
      </c>
      <c r="G1433" s="113" t="s">
        <v>12</v>
      </c>
      <c r="H1433" s="113">
        <v>1</v>
      </c>
      <c r="I1433" s="113">
        <v>5</v>
      </c>
      <c r="J1433" s="113" t="s">
        <v>10</v>
      </c>
      <c r="K1433" s="113">
        <v>2974.4</v>
      </c>
      <c r="L1433" s="113">
        <v>30.478999999999999</v>
      </c>
      <c r="M1433" s="113">
        <v>2973.8</v>
      </c>
      <c r="N1433" s="113">
        <v>30.478999999999999</v>
      </c>
      <c r="O1433" s="114" t="s">
        <v>2214</v>
      </c>
    </row>
    <row r="1434" spans="1:15" x14ac:dyDescent="0.25">
      <c r="A1434" s="113" t="s">
        <v>54</v>
      </c>
      <c r="B1434" s="113" t="s">
        <v>62</v>
      </c>
      <c r="C1434" s="113">
        <v>220</v>
      </c>
      <c r="D1434" s="113">
        <v>410.01</v>
      </c>
      <c r="E1434" s="113">
        <v>10</v>
      </c>
      <c r="F1434" s="113" t="s">
        <v>13</v>
      </c>
      <c r="G1434" s="113" t="s">
        <v>12</v>
      </c>
      <c r="H1434" s="113">
        <v>4.4999999999999998E-2</v>
      </c>
      <c r="I1434" s="113">
        <v>0.10001</v>
      </c>
      <c r="J1434" s="113" t="s">
        <v>10</v>
      </c>
      <c r="K1434" s="113">
        <v>5755.8</v>
      </c>
      <c r="L1434" s="113">
        <v>0.34672999999999998</v>
      </c>
      <c r="M1434" s="113">
        <v>5755.9</v>
      </c>
      <c r="N1434" s="113">
        <v>0.34526000000000001</v>
      </c>
      <c r="O1434" s="114" t="s">
        <v>2745</v>
      </c>
    </row>
    <row r="1435" spans="1:15" x14ac:dyDescent="0.25">
      <c r="A1435" s="113" t="s">
        <v>54</v>
      </c>
      <c r="B1435" s="113" t="s">
        <v>62</v>
      </c>
      <c r="C1435" s="113">
        <v>220</v>
      </c>
      <c r="D1435" s="113">
        <v>410.01</v>
      </c>
      <c r="E1435" s="113">
        <v>10</v>
      </c>
      <c r="F1435" s="113" t="s">
        <v>13</v>
      </c>
      <c r="G1435" s="113" t="s">
        <v>12</v>
      </c>
      <c r="H1435" s="113">
        <v>0.1</v>
      </c>
      <c r="I1435" s="113">
        <v>1.0000100000000001</v>
      </c>
      <c r="J1435" s="113" t="s">
        <v>10</v>
      </c>
      <c r="K1435" s="113">
        <v>5747.7</v>
      </c>
      <c r="L1435" s="113">
        <v>0.41071000000000002</v>
      </c>
      <c r="M1435" s="113">
        <v>5747.8</v>
      </c>
      <c r="N1435" s="113">
        <v>0.40925</v>
      </c>
      <c r="O1435" s="114" t="s">
        <v>2213</v>
      </c>
    </row>
    <row r="1436" spans="1:15" x14ac:dyDescent="0.25">
      <c r="A1436" s="113" t="s">
        <v>54</v>
      </c>
      <c r="B1436" s="113" t="s">
        <v>62</v>
      </c>
      <c r="C1436" s="113">
        <v>220</v>
      </c>
      <c r="D1436" s="113">
        <v>410.01</v>
      </c>
      <c r="E1436" s="113">
        <v>10</v>
      </c>
      <c r="F1436" s="113" t="s">
        <v>13</v>
      </c>
      <c r="G1436" s="113" t="s">
        <v>12</v>
      </c>
      <c r="H1436" s="113">
        <v>5</v>
      </c>
      <c r="I1436" s="113">
        <v>5.01</v>
      </c>
      <c r="J1436" s="113" t="s">
        <v>10</v>
      </c>
      <c r="K1436" s="113">
        <v>2974.4</v>
      </c>
      <c r="L1436" s="113">
        <v>30.478999999999999</v>
      </c>
      <c r="M1436" s="113">
        <v>2973.8</v>
      </c>
      <c r="N1436" s="113">
        <v>30.478999999999999</v>
      </c>
      <c r="O1436" s="114" t="s">
        <v>2215</v>
      </c>
    </row>
    <row r="1437" spans="1:15" x14ac:dyDescent="0.25">
      <c r="A1437" s="113" t="s">
        <v>54</v>
      </c>
      <c r="B1437" s="113" t="s">
        <v>62</v>
      </c>
      <c r="C1437" s="113">
        <v>220</v>
      </c>
      <c r="D1437" s="113">
        <v>410.01</v>
      </c>
      <c r="E1437" s="113">
        <v>100</v>
      </c>
      <c r="F1437" s="113" t="s">
        <v>13</v>
      </c>
      <c r="G1437" s="113" t="s">
        <v>12</v>
      </c>
      <c r="H1437" s="113">
        <v>0.1</v>
      </c>
      <c r="I1437" s="113">
        <v>1.0000100000000001</v>
      </c>
      <c r="J1437" s="113" t="s">
        <v>10</v>
      </c>
      <c r="K1437" s="113">
        <v>57995</v>
      </c>
      <c r="L1437" s="113">
        <v>4.2063000000000003E-2</v>
      </c>
      <c r="M1437" s="113">
        <v>57995</v>
      </c>
      <c r="N1437" s="113">
        <v>4.1459999999999997E-2</v>
      </c>
      <c r="O1437" s="114" t="s">
        <v>2216</v>
      </c>
    </row>
    <row r="1438" spans="1:15" x14ac:dyDescent="0.25">
      <c r="A1438" s="113" t="s">
        <v>54</v>
      </c>
      <c r="B1438" s="113" t="s">
        <v>62</v>
      </c>
      <c r="C1438" s="113">
        <v>220</v>
      </c>
      <c r="D1438" s="113">
        <v>410.01</v>
      </c>
      <c r="E1438" s="113">
        <v>100</v>
      </c>
      <c r="F1438" s="113" t="s">
        <v>13</v>
      </c>
      <c r="G1438" s="113" t="s">
        <v>12</v>
      </c>
      <c r="H1438" s="113">
        <v>4.4999999999999998E-2</v>
      </c>
      <c r="I1438" s="113">
        <v>0.10001</v>
      </c>
      <c r="J1438" s="113" t="s">
        <v>10</v>
      </c>
      <c r="K1438" s="113">
        <v>57996</v>
      </c>
      <c r="L1438" s="113">
        <v>3.551E-2</v>
      </c>
      <c r="M1438" s="113">
        <v>57996</v>
      </c>
      <c r="N1438" s="113">
        <v>3.4907000000000001E-2</v>
      </c>
      <c r="O1438" s="114" t="s">
        <v>2217</v>
      </c>
    </row>
    <row r="1439" spans="1:15" x14ac:dyDescent="0.25">
      <c r="A1439" s="113" t="s">
        <v>54</v>
      </c>
      <c r="B1439" s="113" t="s">
        <v>62</v>
      </c>
      <c r="C1439" s="113">
        <v>220</v>
      </c>
      <c r="D1439" s="113">
        <v>410.01</v>
      </c>
      <c r="E1439" s="113">
        <v>100</v>
      </c>
      <c r="F1439" s="113" t="s">
        <v>13</v>
      </c>
      <c r="G1439" s="113" t="s">
        <v>12</v>
      </c>
      <c r="H1439" s="113">
        <v>5</v>
      </c>
      <c r="I1439" s="113">
        <v>5.01</v>
      </c>
      <c r="J1439" s="113" t="s">
        <v>10</v>
      </c>
      <c r="K1439" s="113">
        <v>57090</v>
      </c>
      <c r="L1439" s="113">
        <v>6.4831000000000003</v>
      </c>
      <c r="M1439" s="113">
        <v>57090</v>
      </c>
      <c r="N1439" s="113">
        <v>6.4816000000000003</v>
      </c>
      <c r="O1439" s="114" t="s">
        <v>2746</v>
      </c>
    </row>
    <row r="1440" spans="1:15" x14ac:dyDescent="0.25">
      <c r="A1440" s="113" t="s">
        <v>54</v>
      </c>
      <c r="B1440" s="113" t="s">
        <v>62</v>
      </c>
      <c r="C1440" s="113">
        <v>220</v>
      </c>
      <c r="D1440" s="113">
        <v>410.01</v>
      </c>
      <c r="E1440" s="113">
        <v>100</v>
      </c>
      <c r="F1440" s="113" t="s">
        <v>13</v>
      </c>
      <c r="G1440" s="113" t="s">
        <v>12</v>
      </c>
      <c r="H1440" s="113">
        <v>1</v>
      </c>
      <c r="I1440" s="113">
        <v>5</v>
      </c>
      <c r="J1440" s="113" t="s">
        <v>10</v>
      </c>
      <c r="K1440" s="113">
        <v>57090</v>
      </c>
      <c r="L1440" s="113">
        <v>6.4831000000000003</v>
      </c>
      <c r="M1440" s="113">
        <v>57090</v>
      </c>
      <c r="N1440" s="113">
        <v>6.4816000000000003</v>
      </c>
      <c r="O1440" s="114" t="s">
        <v>2747</v>
      </c>
    </row>
    <row r="1441" spans="1:15" x14ac:dyDescent="0.25">
      <c r="A1441" s="113" t="s">
        <v>54</v>
      </c>
      <c r="B1441" s="113" t="s">
        <v>63</v>
      </c>
      <c r="C1441" s="113">
        <v>55</v>
      </c>
      <c r="D1441" s="113">
        <v>150.01</v>
      </c>
      <c r="E1441" s="113">
        <v>1E-3</v>
      </c>
      <c r="F1441" s="113" t="s">
        <v>13</v>
      </c>
      <c r="G1441" s="113" t="s">
        <v>12</v>
      </c>
      <c r="H1441" s="113">
        <v>4.4999999999999998E-2</v>
      </c>
      <c r="I1441" s="113">
        <v>0.1</v>
      </c>
      <c r="J1441" s="113" t="s">
        <v>10</v>
      </c>
      <c r="K1441" s="113">
        <v>49</v>
      </c>
      <c r="L1441" s="113">
        <v>2.6</v>
      </c>
      <c r="M1441" s="113">
        <v>2.0611000000000002</v>
      </c>
      <c r="N1441" s="113">
        <v>2.1158000000000001</v>
      </c>
      <c r="O1441" s="114" t="s">
        <v>2116</v>
      </c>
    </row>
    <row r="1442" spans="1:15" x14ac:dyDescent="0.25">
      <c r="A1442" s="113" t="s">
        <v>54</v>
      </c>
      <c r="B1442" s="113" t="s">
        <v>63</v>
      </c>
      <c r="C1442" s="113">
        <v>55</v>
      </c>
      <c r="D1442" s="113">
        <v>150.01</v>
      </c>
      <c r="E1442" s="113">
        <v>1E-3</v>
      </c>
      <c r="F1442" s="113" t="s">
        <v>13</v>
      </c>
      <c r="G1442" s="113" t="s">
        <v>12</v>
      </c>
      <c r="H1442" s="113">
        <v>1</v>
      </c>
      <c r="I1442" s="113">
        <v>5.01</v>
      </c>
      <c r="J1442" s="113" t="s">
        <v>10</v>
      </c>
      <c r="K1442" s="113">
        <v>58</v>
      </c>
      <c r="L1442" s="113">
        <v>7.2</v>
      </c>
      <c r="M1442" s="113">
        <v>55.853000000000002</v>
      </c>
      <c r="N1442" s="113">
        <v>7.2092999999999998</v>
      </c>
      <c r="O1442" s="114" t="s">
        <v>2115</v>
      </c>
    </row>
    <row r="1443" spans="1:15" x14ac:dyDescent="0.25">
      <c r="A1443" s="113" t="s">
        <v>54</v>
      </c>
      <c r="B1443" s="113" t="s">
        <v>63</v>
      </c>
      <c r="C1443" s="113">
        <v>55</v>
      </c>
      <c r="D1443" s="113">
        <v>150.01</v>
      </c>
      <c r="E1443" s="113">
        <v>1E-3</v>
      </c>
      <c r="F1443" s="113" t="s">
        <v>13</v>
      </c>
      <c r="G1443" s="113" t="s">
        <v>12</v>
      </c>
      <c r="H1443" s="113">
        <v>0.01</v>
      </c>
      <c r="I1443" s="113">
        <v>4.4999999999999998E-2</v>
      </c>
      <c r="J1443" s="113" t="s">
        <v>10</v>
      </c>
      <c r="K1443" s="113">
        <v>22</v>
      </c>
      <c r="L1443" s="113">
        <v>2.8</v>
      </c>
      <c r="M1443" s="113">
        <v>4.2301000000000002</v>
      </c>
      <c r="N1443" s="113">
        <v>2.8841000000000001</v>
      </c>
      <c r="O1443" s="114" t="s">
        <v>2114</v>
      </c>
    </row>
    <row r="1444" spans="1:15" x14ac:dyDescent="0.25">
      <c r="A1444" s="113" t="s">
        <v>54</v>
      </c>
      <c r="B1444" s="113" t="s">
        <v>63</v>
      </c>
      <c r="C1444" s="113">
        <v>55</v>
      </c>
      <c r="D1444" s="113">
        <v>150.01</v>
      </c>
      <c r="E1444" s="113">
        <v>1E-3</v>
      </c>
      <c r="F1444" s="113" t="s">
        <v>13</v>
      </c>
      <c r="G1444" s="113" t="s">
        <v>12</v>
      </c>
      <c r="H1444" s="113">
        <v>5</v>
      </c>
      <c r="I1444" s="113">
        <v>10</v>
      </c>
      <c r="J1444" s="113" t="s">
        <v>10</v>
      </c>
      <c r="K1444" s="113">
        <v>290</v>
      </c>
      <c r="L1444" s="113">
        <v>29</v>
      </c>
      <c r="M1444" s="113">
        <v>288.13</v>
      </c>
      <c r="N1444" s="113">
        <v>28.936</v>
      </c>
      <c r="O1444" s="114" t="s">
        <v>2117</v>
      </c>
    </row>
    <row r="1445" spans="1:15" x14ac:dyDescent="0.25">
      <c r="A1445" s="113" t="s">
        <v>54</v>
      </c>
      <c r="B1445" s="113" t="s">
        <v>63</v>
      </c>
      <c r="C1445" s="113">
        <v>55</v>
      </c>
      <c r="D1445" s="113">
        <v>150.01</v>
      </c>
      <c r="E1445" s="113">
        <v>1E-3</v>
      </c>
      <c r="F1445" s="113" t="s">
        <v>13</v>
      </c>
      <c r="G1445" s="113" t="s">
        <v>12</v>
      </c>
      <c r="H1445" s="113">
        <v>0.1</v>
      </c>
      <c r="I1445" s="113">
        <v>1</v>
      </c>
      <c r="J1445" s="113" t="s">
        <v>10</v>
      </c>
      <c r="K1445" s="113">
        <v>49</v>
      </c>
      <c r="L1445" s="113">
        <v>2.6</v>
      </c>
      <c r="M1445" s="113">
        <v>2.0611000000000002</v>
      </c>
      <c r="N1445" s="113">
        <v>2.1158000000000001</v>
      </c>
      <c r="O1445" s="114" t="s">
        <v>2119</v>
      </c>
    </row>
    <row r="1446" spans="1:15" x14ac:dyDescent="0.25">
      <c r="A1446" s="113" t="s">
        <v>54</v>
      </c>
      <c r="B1446" s="113" t="s">
        <v>63</v>
      </c>
      <c r="C1446" s="113">
        <v>55</v>
      </c>
      <c r="D1446" s="113">
        <v>150.01</v>
      </c>
      <c r="E1446" s="113">
        <v>1E-3</v>
      </c>
      <c r="F1446" s="113" t="s">
        <v>13</v>
      </c>
      <c r="G1446" s="113" t="s">
        <v>12</v>
      </c>
      <c r="H1446" s="113">
        <v>10</v>
      </c>
      <c r="I1446" s="113">
        <v>10.01</v>
      </c>
      <c r="J1446" s="113" t="s">
        <v>10</v>
      </c>
      <c r="K1446" s="113">
        <v>290</v>
      </c>
      <c r="L1446" s="113">
        <v>29</v>
      </c>
      <c r="M1446" s="113">
        <v>288.13</v>
      </c>
      <c r="N1446" s="113">
        <v>28.936</v>
      </c>
      <c r="O1446" s="114" t="s">
        <v>2118</v>
      </c>
    </row>
    <row r="1447" spans="1:15" x14ac:dyDescent="0.25">
      <c r="A1447" s="113" t="s">
        <v>54</v>
      </c>
      <c r="B1447" s="113" t="s">
        <v>63</v>
      </c>
      <c r="C1447" s="113">
        <v>55</v>
      </c>
      <c r="D1447" s="113">
        <v>150.01</v>
      </c>
      <c r="E1447" s="113">
        <v>0.01</v>
      </c>
      <c r="F1447" s="113" t="s">
        <v>13</v>
      </c>
      <c r="G1447" s="113" t="s">
        <v>12</v>
      </c>
      <c r="H1447" s="113">
        <v>5</v>
      </c>
      <c r="I1447" s="113">
        <v>10</v>
      </c>
      <c r="J1447" s="113" t="s">
        <v>10</v>
      </c>
      <c r="K1447" s="113">
        <v>290</v>
      </c>
      <c r="L1447" s="113">
        <v>28.936</v>
      </c>
      <c r="M1447" s="113">
        <v>288.14</v>
      </c>
      <c r="N1447" s="113">
        <v>28.936</v>
      </c>
      <c r="O1447" s="114" t="s">
        <v>2124</v>
      </c>
    </row>
    <row r="1448" spans="1:15" x14ac:dyDescent="0.25">
      <c r="A1448" s="113" t="s">
        <v>54</v>
      </c>
      <c r="B1448" s="113" t="s">
        <v>63</v>
      </c>
      <c r="C1448" s="113">
        <v>55</v>
      </c>
      <c r="D1448" s="113">
        <v>150.01</v>
      </c>
      <c r="E1448" s="113">
        <v>0.01</v>
      </c>
      <c r="F1448" s="113" t="s">
        <v>13</v>
      </c>
      <c r="G1448" s="113" t="s">
        <v>12</v>
      </c>
      <c r="H1448" s="113">
        <v>0.1</v>
      </c>
      <c r="I1448" s="113">
        <v>1</v>
      </c>
      <c r="J1448" s="113" t="s">
        <v>10</v>
      </c>
      <c r="K1448" s="113">
        <v>49</v>
      </c>
      <c r="L1448" s="113">
        <v>2.6</v>
      </c>
      <c r="M1448" s="113">
        <v>2.2593000000000001</v>
      </c>
      <c r="N1448" s="113">
        <v>2.1147999999999998</v>
      </c>
      <c r="O1448" s="114" t="s">
        <v>2121</v>
      </c>
    </row>
    <row r="1449" spans="1:15" x14ac:dyDescent="0.25">
      <c r="A1449" s="113" t="s">
        <v>54</v>
      </c>
      <c r="B1449" s="113" t="s">
        <v>63</v>
      </c>
      <c r="C1449" s="113">
        <v>55</v>
      </c>
      <c r="D1449" s="113">
        <v>150.01</v>
      </c>
      <c r="E1449" s="113">
        <v>0.01</v>
      </c>
      <c r="F1449" s="113" t="s">
        <v>13</v>
      </c>
      <c r="G1449" s="113" t="s">
        <v>12</v>
      </c>
      <c r="H1449" s="113">
        <v>10</v>
      </c>
      <c r="I1449" s="113">
        <v>10.01</v>
      </c>
      <c r="J1449" s="113" t="s">
        <v>10</v>
      </c>
      <c r="K1449" s="113">
        <v>290</v>
      </c>
      <c r="L1449" s="113">
        <v>28.936</v>
      </c>
      <c r="M1449" s="113">
        <v>288.14</v>
      </c>
      <c r="N1449" s="113">
        <v>28.936</v>
      </c>
      <c r="O1449" s="114" t="s">
        <v>2122</v>
      </c>
    </row>
    <row r="1450" spans="1:15" x14ac:dyDescent="0.25">
      <c r="A1450" s="113" t="s">
        <v>54</v>
      </c>
      <c r="B1450" s="113" t="s">
        <v>63</v>
      </c>
      <c r="C1450" s="113">
        <v>55</v>
      </c>
      <c r="D1450" s="113">
        <v>150.01</v>
      </c>
      <c r="E1450" s="113">
        <v>0.01</v>
      </c>
      <c r="F1450" s="113" t="s">
        <v>13</v>
      </c>
      <c r="G1450" s="113" t="s">
        <v>12</v>
      </c>
      <c r="H1450" s="113">
        <v>0.01</v>
      </c>
      <c r="I1450" s="113">
        <v>4.4999999999999998E-2</v>
      </c>
      <c r="J1450" s="113" t="s">
        <v>10</v>
      </c>
      <c r="K1450" s="113">
        <v>22</v>
      </c>
      <c r="L1450" s="113">
        <v>2.7673000000000001</v>
      </c>
      <c r="M1450" s="113">
        <v>4.3733000000000004</v>
      </c>
      <c r="N1450" s="113">
        <v>2.8834</v>
      </c>
      <c r="O1450" s="114" t="s">
        <v>2120</v>
      </c>
    </row>
    <row r="1451" spans="1:15" x14ac:dyDescent="0.25">
      <c r="A1451" s="113" t="s">
        <v>54</v>
      </c>
      <c r="B1451" s="113" t="s">
        <v>63</v>
      </c>
      <c r="C1451" s="113">
        <v>55</v>
      </c>
      <c r="D1451" s="113">
        <v>150.01</v>
      </c>
      <c r="E1451" s="113">
        <v>0.01</v>
      </c>
      <c r="F1451" s="113" t="s">
        <v>13</v>
      </c>
      <c r="G1451" s="113" t="s">
        <v>12</v>
      </c>
      <c r="H1451" s="113">
        <v>1</v>
      </c>
      <c r="I1451" s="113">
        <v>5.01</v>
      </c>
      <c r="J1451" s="113" t="s">
        <v>10</v>
      </c>
      <c r="K1451" s="113">
        <v>58</v>
      </c>
      <c r="L1451" s="113">
        <v>7.2089999999999996</v>
      </c>
      <c r="M1451" s="113">
        <v>55.901000000000003</v>
      </c>
      <c r="N1451" s="113">
        <v>7.2091000000000003</v>
      </c>
      <c r="O1451" s="114" t="s">
        <v>2123</v>
      </c>
    </row>
    <row r="1452" spans="1:15" x14ac:dyDescent="0.25">
      <c r="A1452" s="113" t="s">
        <v>54</v>
      </c>
      <c r="B1452" s="113" t="s">
        <v>63</v>
      </c>
      <c r="C1452" s="113">
        <v>55</v>
      </c>
      <c r="D1452" s="113">
        <v>150.01</v>
      </c>
      <c r="E1452" s="113">
        <v>0.01</v>
      </c>
      <c r="F1452" s="113" t="s">
        <v>13</v>
      </c>
      <c r="G1452" s="113" t="s">
        <v>12</v>
      </c>
      <c r="H1452" s="113">
        <v>4.4999999999999998E-2</v>
      </c>
      <c r="I1452" s="113">
        <v>0.1</v>
      </c>
      <c r="J1452" s="113" t="s">
        <v>10</v>
      </c>
      <c r="K1452" s="113">
        <v>49</v>
      </c>
      <c r="L1452" s="113">
        <v>2.6</v>
      </c>
      <c r="M1452" s="113">
        <v>2.2593000000000001</v>
      </c>
      <c r="N1452" s="113">
        <v>2.1147999999999998</v>
      </c>
      <c r="O1452" s="114" t="s">
        <v>2125</v>
      </c>
    </row>
    <row r="1453" spans="1:15" x14ac:dyDescent="0.25">
      <c r="A1453" s="113" t="s">
        <v>54</v>
      </c>
      <c r="B1453" s="113" t="s">
        <v>63</v>
      </c>
      <c r="C1453" s="113">
        <v>55</v>
      </c>
      <c r="D1453" s="113">
        <v>150.01</v>
      </c>
      <c r="E1453" s="113">
        <v>0.1</v>
      </c>
      <c r="F1453" s="113" t="s">
        <v>13</v>
      </c>
      <c r="G1453" s="113" t="s">
        <v>12</v>
      </c>
      <c r="H1453" s="113">
        <v>1</v>
      </c>
      <c r="I1453" s="113">
        <v>5.01</v>
      </c>
      <c r="J1453" s="113" t="s">
        <v>10</v>
      </c>
      <c r="K1453" s="113">
        <v>60.896000000000001</v>
      </c>
      <c r="L1453" s="113">
        <v>7.1858000000000004</v>
      </c>
      <c r="M1453" s="113">
        <v>60.843000000000004</v>
      </c>
      <c r="N1453" s="113">
        <v>7.1859000000000002</v>
      </c>
      <c r="O1453" s="114" t="s">
        <v>2718</v>
      </c>
    </row>
    <row r="1454" spans="1:15" x14ac:dyDescent="0.25">
      <c r="A1454" s="113" t="s">
        <v>54</v>
      </c>
      <c r="B1454" s="113" t="s">
        <v>63</v>
      </c>
      <c r="C1454" s="113">
        <v>55</v>
      </c>
      <c r="D1454" s="113">
        <v>150.01</v>
      </c>
      <c r="E1454" s="113">
        <v>0.1</v>
      </c>
      <c r="F1454" s="113" t="s">
        <v>13</v>
      </c>
      <c r="G1454" s="113" t="s">
        <v>12</v>
      </c>
      <c r="H1454" s="113">
        <v>0.01</v>
      </c>
      <c r="I1454" s="113">
        <v>4.4999999999999998E-2</v>
      </c>
      <c r="J1454" s="113" t="s">
        <v>10</v>
      </c>
      <c r="K1454" s="113">
        <v>22</v>
      </c>
      <c r="L1454" s="113">
        <v>2.8075999999999999</v>
      </c>
      <c r="M1454" s="113">
        <v>17.829000000000001</v>
      </c>
      <c r="N1454" s="113">
        <v>2.819</v>
      </c>
      <c r="O1454" s="114" t="s">
        <v>2719</v>
      </c>
    </row>
    <row r="1455" spans="1:15" x14ac:dyDescent="0.25">
      <c r="A1455" s="113" t="s">
        <v>54</v>
      </c>
      <c r="B1455" s="113" t="s">
        <v>63</v>
      </c>
      <c r="C1455" s="113">
        <v>55</v>
      </c>
      <c r="D1455" s="113">
        <v>150.01</v>
      </c>
      <c r="E1455" s="113">
        <v>0.1</v>
      </c>
      <c r="F1455" s="113" t="s">
        <v>13</v>
      </c>
      <c r="G1455" s="113" t="s">
        <v>12</v>
      </c>
      <c r="H1455" s="113">
        <v>0.1</v>
      </c>
      <c r="I1455" s="113">
        <v>1</v>
      </c>
      <c r="J1455" s="113" t="s">
        <v>10</v>
      </c>
      <c r="K1455" s="113">
        <v>49</v>
      </c>
      <c r="L1455" s="113">
        <v>2.6</v>
      </c>
      <c r="M1455" s="113">
        <v>20.257000000000001</v>
      </c>
      <c r="N1455" s="113">
        <v>2.0293000000000001</v>
      </c>
      <c r="O1455" s="114" t="s">
        <v>2126</v>
      </c>
    </row>
    <row r="1456" spans="1:15" x14ac:dyDescent="0.25">
      <c r="A1456" s="113" t="s">
        <v>54</v>
      </c>
      <c r="B1456" s="113" t="s">
        <v>63</v>
      </c>
      <c r="C1456" s="113">
        <v>55</v>
      </c>
      <c r="D1456" s="113">
        <v>150.01</v>
      </c>
      <c r="E1456" s="113">
        <v>0.1</v>
      </c>
      <c r="F1456" s="113" t="s">
        <v>13</v>
      </c>
      <c r="G1456" s="113" t="s">
        <v>12</v>
      </c>
      <c r="H1456" s="113">
        <v>4.4999999999999998E-2</v>
      </c>
      <c r="I1456" s="113">
        <v>0.1</v>
      </c>
      <c r="J1456" s="113" t="s">
        <v>10</v>
      </c>
      <c r="K1456" s="113">
        <v>49</v>
      </c>
      <c r="L1456" s="113">
        <v>2.6</v>
      </c>
      <c r="M1456" s="113">
        <v>20.257000000000001</v>
      </c>
      <c r="N1456" s="113">
        <v>2.0293000000000001</v>
      </c>
      <c r="O1456" s="114" t="s">
        <v>2129</v>
      </c>
    </row>
    <row r="1457" spans="1:15" x14ac:dyDescent="0.25">
      <c r="A1457" s="113" t="s">
        <v>54</v>
      </c>
      <c r="B1457" s="113" t="s">
        <v>63</v>
      </c>
      <c r="C1457" s="113">
        <v>55</v>
      </c>
      <c r="D1457" s="113">
        <v>150.01</v>
      </c>
      <c r="E1457" s="113">
        <v>0.1</v>
      </c>
      <c r="F1457" s="113" t="s">
        <v>13</v>
      </c>
      <c r="G1457" s="113" t="s">
        <v>12</v>
      </c>
      <c r="H1457" s="113">
        <v>5</v>
      </c>
      <c r="I1457" s="113">
        <v>10</v>
      </c>
      <c r="J1457" s="113" t="s">
        <v>10</v>
      </c>
      <c r="K1457" s="113">
        <v>290</v>
      </c>
      <c r="L1457" s="113">
        <v>28.931000000000001</v>
      </c>
      <c r="M1457" s="113">
        <v>289.39999999999998</v>
      </c>
      <c r="N1457" s="113">
        <v>28.93</v>
      </c>
      <c r="O1457" s="114" t="s">
        <v>2128</v>
      </c>
    </row>
    <row r="1458" spans="1:15" x14ac:dyDescent="0.25">
      <c r="A1458" s="113" t="s">
        <v>54</v>
      </c>
      <c r="B1458" s="113" t="s">
        <v>63</v>
      </c>
      <c r="C1458" s="113">
        <v>55</v>
      </c>
      <c r="D1458" s="113">
        <v>150.01</v>
      </c>
      <c r="E1458" s="113">
        <v>0.1</v>
      </c>
      <c r="F1458" s="113" t="s">
        <v>13</v>
      </c>
      <c r="G1458" s="113" t="s">
        <v>12</v>
      </c>
      <c r="H1458" s="113">
        <v>10</v>
      </c>
      <c r="I1458" s="113">
        <v>10.01</v>
      </c>
      <c r="J1458" s="113" t="s">
        <v>10</v>
      </c>
      <c r="K1458" s="113">
        <v>290</v>
      </c>
      <c r="L1458" s="113">
        <v>28.931000000000001</v>
      </c>
      <c r="M1458" s="113">
        <v>289.39999999999998</v>
      </c>
      <c r="N1458" s="113">
        <v>28.93</v>
      </c>
      <c r="O1458" s="114" t="s">
        <v>2127</v>
      </c>
    </row>
    <row r="1459" spans="1:15" x14ac:dyDescent="0.25">
      <c r="A1459" s="113" t="s">
        <v>54</v>
      </c>
      <c r="B1459" s="113" t="s">
        <v>63</v>
      </c>
      <c r="C1459" s="113">
        <v>55</v>
      </c>
      <c r="D1459" s="113">
        <v>150.01</v>
      </c>
      <c r="E1459" s="113">
        <v>1</v>
      </c>
      <c r="F1459" s="113" t="s">
        <v>13</v>
      </c>
      <c r="G1459" s="113" t="s">
        <v>12</v>
      </c>
      <c r="H1459" s="113">
        <v>4.4999999999999998E-2</v>
      </c>
      <c r="I1459" s="113">
        <v>0.1</v>
      </c>
      <c r="J1459" s="113" t="s">
        <v>10</v>
      </c>
      <c r="K1459" s="113">
        <v>551.36</v>
      </c>
      <c r="L1459" s="113">
        <v>0.73945000000000005</v>
      </c>
      <c r="M1459" s="113">
        <v>551.34</v>
      </c>
      <c r="N1459" s="113">
        <v>0.73870000000000002</v>
      </c>
      <c r="O1459" s="114" t="s">
        <v>2130</v>
      </c>
    </row>
    <row r="1460" spans="1:15" x14ac:dyDescent="0.25">
      <c r="A1460" s="113" t="s">
        <v>54</v>
      </c>
      <c r="B1460" s="113" t="s">
        <v>63</v>
      </c>
      <c r="C1460" s="113">
        <v>55</v>
      </c>
      <c r="D1460" s="113">
        <v>150.01</v>
      </c>
      <c r="E1460" s="113">
        <v>1</v>
      </c>
      <c r="F1460" s="113" t="s">
        <v>13</v>
      </c>
      <c r="G1460" s="113" t="s">
        <v>12</v>
      </c>
      <c r="H1460" s="113">
        <v>0.1</v>
      </c>
      <c r="I1460" s="113">
        <v>1</v>
      </c>
      <c r="J1460" s="113" t="s">
        <v>10</v>
      </c>
      <c r="K1460" s="113">
        <v>551.36</v>
      </c>
      <c r="L1460" s="113">
        <v>0.73945000000000005</v>
      </c>
      <c r="M1460" s="113">
        <v>551.34</v>
      </c>
      <c r="N1460" s="113">
        <v>0.73870000000000002</v>
      </c>
      <c r="O1460" s="114" t="s">
        <v>2720</v>
      </c>
    </row>
    <row r="1461" spans="1:15" x14ac:dyDescent="0.25">
      <c r="A1461" s="113" t="s">
        <v>54</v>
      </c>
      <c r="B1461" s="113" t="s">
        <v>63</v>
      </c>
      <c r="C1461" s="113">
        <v>55</v>
      </c>
      <c r="D1461" s="113">
        <v>150.01</v>
      </c>
      <c r="E1461" s="113">
        <v>1</v>
      </c>
      <c r="F1461" s="113" t="s">
        <v>13</v>
      </c>
      <c r="G1461" s="113" t="s">
        <v>12</v>
      </c>
      <c r="H1461" s="113">
        <v>1</v>
      </c>
      <c r="I1461" s="113">
        <v>5.01</v>
      </c>
      <c r="J1461" s="113" t="s">
        <v>10</v>
      </c>
      <c r="K1461" s="113">
        <v>422.41</v>
      </c>
      <c r="L1461" s="113">
        <v>5.6955999999999998</v>
      </c>
      <c r="M1461" s="113">
        <v>422.3</v>
      </c>
      <c r="N1461" s="113">
        <v>5.6954000000000002</v>
      </c>
      <c r="O1461" s="114" t="s">
        <v>2131</v>
      </c>
    </row>
    <row r="1462" spans="1:15" x14ac:dyDescent="0.25">
      <c r="A1462" s="113" t="s">
        <v>54</v>
      </c>
      <c r="B1462" s="113" t="s">
        <v>63</v>
      </c>
      <c r="C1462" s="113">
        <v>55</v>
      </c>
      <c r="D1462" s="113">
        <v>150.01</v>
      </c>
      <c r="E1462" s="113">
        <v>1</v>
      </c>
      <c r="F1462" s="113" t="s">
        <v>13</v>
      </c>
      <c r="G1462" s="113" t="s">
        <v>12</v>
      </c>
      <c r="H1462" s="113">
        <v>5</v>
      </c>
      <c r="I1462" s="113">
        <v>10</v>
      </c>
      <c r="J1462" s="113" t="s">
        <v>10</v>
      </c>
      <c r="K1462" s="113">
        <v>405.34</v>
      </c>
      <c r="L1462" s="113">
        <v>28.398</v>
      </c>
      <c r="M1462" s="113">
        <v>405.23</v>
      </c>
      <c r="N1462" s="113">
        <v>28.396999999999998</v>
      </c>
      <c r="O1462" s="114" t="s">
        <v>2721</v>
      </c>
    </row>
    <row r="1463" spans="1:15" x14ac:dyDescent="0.25">
      <c r="A1463" s="113" t="s">
        <v>54</v>
      </c>
      <c r="B1463" s="113" t="s">
        <v>63</v>
      </c>
      <c r="C1463" s="113">
        <v>55</v>
      </c>
      <c r="D1463" s="113">
        <v>150.01</v>
      </c>
      <c r="E1463" s="113">
        <v>1</v>
      </c>
      <c r="F1463" s="113" t="s">
        <v>13</v>
      </c>
      <c r="G1463" s="113" t="s">
        <v>12</v>
      </c>
      <c r="H1463" s="113">
        <v>10</v>
      </c>
      <c r="I1463" s="113">
        <v>10.01</v>
      </c>
      <c r="J1463" s="113" t="s">
        <v>10</v>
      </c>
      <c r="K1463" s="113">
        <v>405.34</v>
      </c>
      <c r="L1463" s="113">
        <v>28.398</v>
      </c>
      <c r="M1463" s="113">
        <v>405.23</v>
      </c>
      <c r="N1463" s="113">
        <v>28.396999999999998</v>
      </c>
      <c r="O1463" s="114" t="s">
        <v>2133</v>
      </c>
    </row>
    <row r="1464" spans="1:15" x14ac:dyDescent="0.25">
      <c r="A1464" s="113" t="s">
        <v>54</v>
      </c>
      <c r="B1464" s="113" t="s">
        <v>63</v>
      </c>
      <c r="C1464" s="113">
        <v>55</v>
      </c>
      <c r="D1464" s="113">
        <v>150.01</v>
      </c>
      <c r="E1464" s="113">
        <v>1</v>
      </c>
      <c r="F1464" s="113" t="s">
        <v>13</v>
      </c>
      <c r="G1464" s="113" t="s">
        <v>12</v>
      </c>
      <c r="H1464" s="113">
        <v>0.01</v>
      </c>
      <c r="I1464" s="113">
        <v>4.4999999999999998E-2</v>
      </c>
      <c r="J1464" s="113" t="s">
        <v>10</v>
      </c>
      <c r="K1464" s="113">
        <v>530.85</v>
      </c>
      <c r="L1464" s="113">
        <v>1.3025</v>
      </c>
      <c r="M1464" s="113">
        <v>530.83000000000004</v>
      </c>
      <c r="N1464" s="113">
        <v>1.3019000000000001</v>
      </c>
      <c r="O1464" s="114" t="s">
        <v>2132</v>
      </c>
    </row>
    <row r="1465" spans="1:15" x14ac:dyDescent="0.25">
      <c r="A1465" s="113" t="s">
        <v>54</v>
      </c>
      <c r="B1465" s="113" t="s">
        <v>63</v>
      </c>
      <c r="C1465" s="113">
        <v>55</v>
      </c>
      <c r="D1465" s="113">
        <v>150.01</v>
      </c>
      <c r="E1465" s="113">
        <v>10</v>
      </c>
      <c r="F1465" s="113" t="s">
        <v>13</v>
      </c>
      <c r="G1465" s="113" t="s">
        <v>12</v>
      </c>
      <c r="H1465" s="113">
        <v>1</v>
      </c>
      <c r="I1465" s="113">
        <v>5.01</v>
      </c>
      <c r="J1465" s="113" t="s">
        <v>10</v>
      </c>
      <c r="K1465" s="113">
        <v>5763.9</v>
      </c>
      <c r="L1465" s="113">
        <v>0.97779000000000005</v>
      </c>
      <c r="M1465" s="113">
        <v>5763.9</v>
      </c>
      <c r="N1465" s="113">
        <v>0.97714999999999996</v>
      </c>
      <c r="O1465" s="114" t="s">
        <v>2722</v>
      </c>
    </row>
    <row r="1466" spans="1:15" x14ac:dyDescent="0.25">
      <c r="A1466" s="113" t="s">
        <v>54</v>
      </c>
      <c r="B1466" s="113" t="s">
        <v>63</v>
      </c>
      <c r="C1466" s="113">
        <v>55</v>
      </c>
      <c r="D1466" s="113">
        <v>150.01</v>
      </c>
      <c r="E1466" s="113">
        <v>10</v>
      </c>
      <c r="F1466" s="113" t="s">
        <v>13</v>
      </c>
      <c r="G1466" s="113" t="s">
        <v>12</v>
      </c>
      <c r="H1466" s="113">
        <v>4.4999999999999998E-2</v>
      </c>
      <c r="I1466" s="113">
        <v>0.1</v>
      </c>
      <c r="J1466" s="113" t="s">
        <v>10</v>
      </c>
      <c r="K1466" s="113">
        <v>5796.8</v>
      </c>
      <c r="L1466" s="113">
        <v>8.0168000000000003E-2</v>
      </c>
      <c r="M1466" s="113">
        <v>5796.8</v>
      </c>
      <c r="N1466" s="113">
        <v>7.9794000000000004E-2</v>
      </c>
      <c r="O1466" s="114" t="s">
        <v>2134</v>
      </c>
    </row>
    <row r="1467" spans="1:15" x14ac:dyDescent="0.25">
      <c r="A1467" s="113" t="s">
        <v>54</v>
      </c>
      <c r="B1467" s="113" t="s">
        <v>63</v>
      </c>
      <c r="C1467" s="113">
        <v>55</v>
      </c>
      <c r="D1467" s="113">
        <v>150.01</v>
      </c>
      <c r="E1467" s="113">
        <v>10</v>
      </c>
      <c r="F1467" s="113" t="s">
        <v>13</v>
      </c>
      <c r="G1467" s="113" t="s">
        <v>12</v>
      </c>
      <c r="H1467" s="113">
        <v>0.01</v>
      </c>
      <c r="I1467" s="113">
        <v>4.4999999999999998E-2</v>
      </c>
      <c r="J1467" s="113" t="s">
        <v>10</v>
      </c>
      <c r="K1467" s="113">
        <v>5794.1</v>
      </c>
      <c r="L1467" s="113">
        <v>0.14924000000000001</v>
      </c>
      <c r="M1467" s="113">
        <v>5794.1</v>
      </c>
      <c r="N1467" s="113">
        <v>0.14885999999999999</v>
      </c>
      <c r="O1467" s="114" t="s">
        <v>2136</v>
      </c>
    </row>
    <row r="1468" spans="1:15" x14ac:dyDescent="0.25">
      <c r="A1468" s="113" t="s">
        <v>54</v>
      </c>
      <c r="B1468" s="113" t="s">
        <v>63</v>
      </c>
      <c r="C1468" s="113">
        <v>55</v>
      </c>
      <c r="D1468" s="113">
        <v>150.01</v>
      </c>
      <c r="E1468" s="113">
        <v>10</v>
      </c>
      <c r="F1468" s="113" t="s">
        <v>13</v>
      </c>
      <c r="G1468" s="113" t="s">
        <v>12</v>
      </c>
      <c r="H1468" s="113">
        <v>5</v>
      </c>
      <c r="I1468" s="113">
        <v>10</v>
      </c>
      <c r="J1468" s="113" t="s">
        <v>10</v>
      </c>
      <c r="K1468" s="113">
        <v>5330.6</v>
      </c>
      <c r="L1468" s="113">
        <v>13.938000000000001</v>
      </c>
      <c r="M1468" s="113">
        <v>5330.7</v>
      </c>
      <c r="N1468" s="113">
        <v>13.932</v>
      </c>
      <c r="O1468" s="114" t="s">
        <v>2723</v>
      </c>
    </row>
    <row r="1469" spans="1:15" x14ac:dyDescent="0.25">
      <c r="A1469" s="113" t="s">
        <v>54</v>
      </c>
      <c r="B1469" s="113" t="s">
        <v>63</v>
      </c>
      <c r="C1469" s="113">
        <v>55</v>
      </c>
      <c r="D1469" s="113">
        <v>150.01</v>
      </c>
      <c r="E1469" s="113">
        <v>10</v>
      </c>
      <c r="F1469" s="113" t="s">
        <v>13</v>
      </c>
      <c r="G1469" s="113" t="s">
        <v>12</v>
      </c>
      <c r="H1469" s="113">
        <v>10</v>
      </c>
      <c r="I1469" s="113">
        <v>10.01</v>
      </c>
      <c r="J1469" s="113" t="s">
        <v>10</v>
      </c>
      <c r="K1469" s="113">
        <v>5330.6</v>
      </c>
      <c r="L1469" s="113">
        <v>13.938000000000001</v>
      </c>
      <c r="M1469" s="113">
        <v>5330.7</v>
      </c>
      <c r="N1469" s="113">
        <v>13.932</v>
      </c>
      <c r="O1469" s="114" t="s">
        <v>2137</v>
      </c>
    </row>
    <row r="1470" spans="1:15" x14ac:dyDescent="0.25">
      <c r="A1470" s="113" t="s">
        <v>54</v>
      </c>
      <c r="B1470" s="113" t="s">
        <v>63</v>
      </c>
      <c r="C1470" s="113">
        <v>55</v>
      </c>
      <c r="D1470" s="113">
        <v>150.01</v>
      </c>
      <c r="E1470" s="113">
        <v>10</v>
      </c>
      <c r="F1470" s="113" t="s">
        <v>13</v>
      </c>
      <c r="G1470" s="113" t="s">
        <v>12</v>
      </c>
      <c r="H1470" s="113">
        <v>0.1</v>
      </c>
      <c r="I1470" s="113">
        <v>1</v>
      </c>
      <c r="J1470" s="113" t="s">
        <v>10</v>
      </c>
      <c r="K1470" s="113">
        <v>5796.8</v>
      </c>
      <c r="L1470" s="113">
        <v>8.0168000000000003E-2</v>
      </c>
      <c r="M1470" s="113">
        <v>5796.8</v>
      </c>
      <c r="N1470" s="113">
        <v>7.9794000000000004E-2</v>
      </c>
      <c r="O1470" s="114" t="s">
        <v>2135</v>
      </c>
    </row>
    <row r="1471" spans="1:15" x14ac:dyDescent="0.25">
      <c r="A1471" s="113" t="s">
        <v>54</v>
      </c>
      <c r="B1471" s="113" t="s">
        <v>63</v>
      </c>
      <c r="C1471" s="113">
        <v>55</v>
      </c>
      <c r="D1471" s="113">
        <v>150.01</v>
      </c>
      <c r="E1471" s="113">
        <v>100</v>
      </c>
      <c r="F1471" s="113" t="s">
        <v>13</v>
      </c>
      <c r="G1471" s="113" t="s">
        <v>12</v>
      </c>
      <c r="H1471" s="113">
        <v>10</v>
      </c>
      <c r="I1471" s="113">
        <v>10.01</v>
      </c>
      <c r="J1471" s="113" t="s">
        <v>10</v>
      </c>
      <c r="K1471" s="113">
        <v>57941</v>
      </c>
      <c r="L1471" s="113">
        <v>1.6236999999999999</v>
      </c>
      <c r="M1471" s="113">
        <v>57264</v>
      </c>
      <c r="N1471" s="113">
        <v>1.6205000000000001</v>
      </c>
      <c r="O1471" s="114" t="s">
        <v>2141</v>
      </c>
    </row>
    <row r="1472" spans="1:15" x14ac:dyDescent="0.25">
      <c r="A1472" s="113" t="s">
        <v>54</v>
      </c>
      <c r="B1472" s="113" t="s">
        <v>63</v>
      </c>
      <c r="C1472" s="113">
        <v>55</v>
      </c>
      <c r="D1472" s="113">
        <v>150.01</v>
      </c>
      <c r="E1472" s="113">
        <v>100</v>
      </c>
      <c r="F1472" s="113" t="s">
        <v>13</v>
      </c>
      <c r="G1472" s="113" t="s">
        <v>12</v>
      </c>
      <c r="H1472" s="113">
        <v>5</v>
      </c>
      <c r="I1472" s="113">
        <v>10</v>
      </c>
      <c r="J1472" s="113" t="s">
        <v>10</v>
      </c>
      <c r="K1472" s="113">
        <v>57941</v>
      </c>
      <c r="L1472" s="113">
        <v>1.6236999999999999</v>
      </c>
      <c r="M1472" s="113">
        <v>57264</v>
      </c>
      <c r="N1472" s="113">
        <v>1.6205000000000001</v>
      </c>
      <c r="O1472" s="114" t="s">
        <v>2139</v>
      </c>
    </row>
    <row r="1473" spans="1:15" x14ac:dyDescent="0.25">
      <c r="A1473" s="113" t="s">
        <v>54</v>
      </c>
      <c r="B1473" s="113" t="s">
        <v>63</v>
      </c>
      <c r="C1473" s="113">
        <v>55</v>
      </c>
      <c r="D1473" s="113">
        <v>150.01</v>
      </c>
      <c r="E1473" s="113">
        <v>100</v>
      </c>
      <c r="F1473" s="113" t="s">
        <v>13</v>
      </c>
      <c r="G1473" s="113" t="s">
        <v>12</v>
      </c>
      <c r="H1473" s="113">
        <v>4.4999999999999998E-2</v>
      </c>
      <c r="I1473" s="113">
        <v>0.1</v>
      </c>
      <c r="J1473" s="113" t="s">
        <v>10</v>
      </c>
      <c r="K1473" s="113">
        <v>58000</v>
      </c>
      <c r="L1473" s="113">
        <v>8.1364000000000002E-3</v>
      </c>
      <c r="M1473" s="113">
        <v>57996</v>
      </c>
      <c r="N1473" s="113">
        <v>7.9862000000000006E-3</v>
      </c>
      <c r="O1473" s="114" t="s">
        <v>2140</v>
      </c>
    </row>
    <row r="1474" spans="1:15" x14ac:dyDescent="0.25">
      <c r="A1474" s="113" t="s">
        <v>54</v>
      </c>
      <c r="B1474" s="113" t="s">
        <v>63</v>
      </c>
      <c r="C1474" s="113">
        <v>55</v>
      </c>
      <c r="D1474" s="113">
        <v>150.01</v>
      </c>
      <c r="E1474" s="113">
        <v>100</v>
      </c>
      <c r="F1474" s="113" t="s">
        <v>13</v>
      </c>
      <c r="G1474" s="113" t="s">
        <v>12</v>
      </c>
      <c r="H1474" s="113">
        <v>1</v>
      </c>
      <c r="I1474" s="113">
        <v>5.01</v>
      </c>
      <c r="J1474" s="113" t="s">
        <v>10</v>
      </c>
      <c r="K1474" s="113">
        <v>57996</v>
      </c>
      <c r="L1474" s="113">
        <v>9.9046999999999996E-2</v>
      </c>
      <c r="M1474" s="113">
        <v>57948</v>
      </c>
      <c r="N1474" s="113">
        <v>9.8782999999999996E-2</v>
      </c>
      <c r="O1474" s="114" t="s">
        <v>2142</v>
      </c>
    </row>
    <row r="1475" spans="1:15" x14ac:dyDescent="0.25">
      <c r="A1475" s="113" t="s">
        <v>54</v>
      </c>
      <c r="B1475" s="113" t="s">
        <v>63</v>
      </c>
      <c r="C1475" s="113">
        <v>55</v>
      </c>
      <c r="D1475" s="113">
        <v>150.01</v>
      </c>
      <c r="E1475" s="113">
        <v>100</v>
      </c>
      <c r="F1475" s="113" t="s">
        <v>13</v>
      </c>
      <c r="G1475" s="113" t="s">
        <v>12</v>
      </c>
      <c r="H1475" s="113">
        <v>0.1</v>
      </c>
      <c r="I1475" s="113">
        <v>1</v>
      </c>
      <c r="J1475" s="113" t="s">
        <v>10</v>
      </c>
      <c r="K1475" s="113">
        <v>58000</v>
      </c>
      <c r="L1475" s="113">
        <v>8.1364000000000002E-3</v>
      </c>
      <c r="M1475" s="113">
        <v>57996</v>
      </c>
      <c r="N1475" s="113">
        <v>7.9862000000000006E-3</v>
      </c>
      <c r="O1475" s="114" t="s">
        <v>2724</v>
      </c>
    </row>
    <row r="1476" spans="1:15" x14ac:dyDescent="0.25">
      <c r="A1476" s="113" t="s">
        <v>54</v>
      </c>
      <c r="B1476" s="113" t="s">
        <v>63</v>
      </c>
      <c r="C1476" s="113">
        <v>55</v>
      </c>
      <c r="D1476" s="113">
        <v>150.01</v>
      </c>
      <c r="E1476" s="113">
        <v>100</v>
      </c>
      <c r="F1476" s="113" t="s">
        <v>13</v>
      </c>
      <c r="G1476" s="113" t="s">
        <v>12</v>
      </c>
      <c r="H1476" s="113">
        <v>0.01</v>
      </c>
      <c r="I1476" s="113">
        <v>4.4999999999999998E-2</v>
      </c>
      <c r="J1476" s="113" t="s">
        <v>10</v>
      </c>
      <c r="K1476" s="113">
        <v>58000</v>
      </c>
      <c r="L1476" s="113">
        <v>1.506E-2</v>
      </c>
      <c r="M1476" s="113">
        <v>57992</v>
      </c>
      <c r="N1476" s="113">
        <v>1.491E-2</v>
      </c>
      <c r="O1476" s="114" t="s">
        <v>2138</v>
      </c>
    </row>
    <row r="1477" spans="1:15" x14ac:dyDescent="0.25">
      <c r="A1477" s="113" t="s">
        <v>54</v>
      </c>
      <c r="B1477" s="113" t="s">
        <v>63</v>
      </c>
      <c r="C1477" s="113">
        <v>150</v>
      </c>
      <c r="D1477" s="113">
        <v>550.01</v>
      </c>
      <c r="E1477" s="113">
        <v>0.01</v>
      </c>
      <c r="F1477" s="113" t="s">
        <v>13</v>
      </c>
      <c r="G1477" s="113" t="s">
        <v>12</v>
      </c>
      <c r="H1477" s="113">
        <v>5</v>
      </c>
      <c r="I1477" s="113">
        <v>5.01</v>
      </c>
      <c r="J1477" s="113" t="s">
        <v>10</v>
      </c>
      <c r="K1477" s="113">
        <v>120</v>
      </c>
      <c r="L1477" s="113">
        <v>35</v>
      </c>
      <c r="M1477" s="113">
        <v>115.24</v>
      </c>
      <c r="N1477" s="113">
        <v>34.698999999999998</v>
      </c>
      <c r="O1477" s="114" t="s">
        <v>2145</v>
      </c>
    </row>
    <row r="1478" spans="1:15" x14ac:dyDescent="0.25">
      <c r="A1478" s="113" t="s">
        <v>54</v>
      </c>
      <c r="B1478" s="113" t="s">
        <v>63</v>
      </c>
      <c r="C1478" s="113">
        <v>150</v>
      </c>
      <c r="D1478" s="113">
        <v>550.01</v>
      </c>
      <c r="E1478" s="113">
        <v>0.01</v>
      </c>
      <c r="F1478" s="113" t="s">
        <v>13</v>
      </c>
      <c r="G1478" s="113" t="s">
        <v>12</v>
      </c>
      <c r="H1478" s="113">
        <v>4.4999999999999998E-2</v>
      </c>
      <c r="I1478" s="113">
        <v>0.10001</v>
      </c>
      <c r="J1478" s="113" t="s">
        <v>10</v>
      </c>
      <c r="K1478" s="113">
        <v>59</v>
      </c>
      <c r="L1478" s="113">
        <v>2.1</v>
      </c>
      <c r="M1478" s="113">
        <v>58.542000000000002</v>
      </c>
      <c r="N1478" s="113">
        <v>2.0878999999999999</v>
      </c>
      <c r="O1478" s="114" t="s">
        <v>2143</v>
      </c>
    </row>
    <row r="1479" spans="1:15" x14ac:dyDescent="0.25">
      <c r="A1479" s="113" t="s">
        <v>54</v>
      </c>
      <c r="B1479" s="113" t="s">
        <v>63</v>
      </c>
      <c r="C1479" s="113">
        <v>150</v>
      </c>
      <c r="D1479" s="113">
        <v>550.01</v>
      </c>
      <c r="E1479" s="113">
        <v>0.01</v>
      </c>
      <c r="F1479" s="113" t="s">
        <v>13</v>
      </c>
      <c r="G1479" s="113" t="s">
        <v>12</v>
      </c>
      <c r="H1479" s="113">
        <v>0.1</v>
      </c>
      <c r="I1479" s="113">
        <v>1.0000100000000001</v>
      </c>
      <c r="J1479" s="113" t="s">
        <v>10</v>
      </c>
      <c r="K1479" s="113">
        <v>74</v>
      </c>
      <c r="L1479" s="113">
        <v>2.2999999999999998</v>
      </c>
      <c r="M1479" s="113">
        <v>73.171000000000006</v>
      </c>
      <c r="N1479" s="113">
        <v>2.2881999999999998</v>
      </c>
      <c r="O1479" s="114" t="s">
        <v>2146</v>
      </c>
    </row>
    <row r="1480" spans="1:15" x14ac:dyDescent="0.25">
      <c r="A1480" s="113" t="s">
        <v>54</v>
      </c>
      <c r="B1480" s="113" t="s">
        <v>63</v>
      </c>
      <c r="C1480" s="113">
        <v>150</v>
      </c>
      <c r="D1480" s="113">
        <v>550.01</v>
      </c>
      <c r="E1480" s="113">
        <v>0.01</v>
      </c>
      <c r="F1480" s="113" t="s">
        <v>13</v>
      </c>
      <c r="G1480" s="113" t="s">
        <v>12</v>
      </c>
      <c r="H1480" s="113">
        <v>1</v>
      </c>
      <c r="I1480" s="113">
        <v>5</v>
      </c>
      <c r="J1480" s="113" t="s">
        <v>10</v>
      </c>
      <c r="K1480" s="113">
        <v>120</v>
      </c>
      <c r="L1480" s="113">
        <v>35</v>
      </c>
      <c r="M1480" s="113">
        <v>115.24</v>
      </c>
      <c r="N1480" s="113">
        <v>34.698999999999998</v>
      </c>
      <c r="O1480" s="114" t="s">
        <v>2144</v>
      </c>
    </row>
    <row r="1481" spans="1:15" x14ac:dyDescent="0.25">
      <c r="A1481" s="113" t="s">
        <v>54</v>
      </c>
      <c r="B1481" s="113" t="s">
        <v>63</v>
      </c>
      <c r="C1481" s="113">
        <v>150</v>
      </c>
      <c r="D1481" s="113">
        <v>550.01</v>
      </c>
      <c r="E1481" s="113">
        <v>0.1</v>
      </c>
      <c r="F1481" s="113" t="s">
        <v>13</v>
      </c>
      <c r="G1481" s="113" t="s">
        <v>12</v>
      </c>
      <c r="H1481" s="113">
        <v>1</v>
      </c>
      <c r="I1481" s="113">
        <v>5</v>
      </c>
      <c r="J1481" s="113" t="s">
        <v>10</v>
      </c>
      <c r="K1481" s="113">
        <v>120</v>
      </c>
      <c r="L1481" s="113">
        <v>35</v>
      </c>
      <c r="M1481" s="113">
        <v>115.76</v>
      </c>
      <c r="N1481" s="113">
        <v>34.698</v>
      </c>
      <c r="O1481" s="114" t="s">
        <v>2148</v>
      </c>
    </row>
    <row r="1482" spans="1:15" x14ac:dyDescent="0.25">
      <c r="A1482" s="113" t="s">
        <v>54</v>
      </c>
      <c r="B1482" s="113" t="s">
        <v>63</v>
      </c>
      <c r="C1482" s="113">
        <v>150</v>
      </c>
      <c r="D1482" s="113">
        <v>550.01</v>
      </c>
      <c r="E1482" s="113">
        <v>0.1</v>
      </c>
      <c r="F1482" s="113" t="s">
        <v>13</v>
      </c>
      <c r="G1482" s="113" t="s">
        <v>12</v>
      </c>
      <c r="H1482" s="113">
        <v>5</v>
      </c>
      <c r="I1482" s="113">
        <v>5.01</v>
      </c>
      <c r="J1482" s="113" t="s">
        <v>10</v>
      </c>
      <c r="K1482" s="113">
        <v>120</v>
      </c>
      <c r="L1482" s="113">
        <v>35</v>
      </c>
      <c r="M1482" s="113">
        <v>115.76</v>
      </c>
      <c r="N1482" s="113">
        <v>34.698</v>
      </c>
      <c r="O1482" s="114" t="s">
        <v>2147</v>
      </c>
    </row>
    <row r="1483" spans="1:15" x14ac:dyDescent="0.25">
      <c r="A1483" s="113" t="s">
        <v>54</v>
      </c>
      <c r="B1483" s="113" t="s">
        <v>63</v>
      </c>
      <c r="C1483" s="113">
        <v>150</v>
      </c>
      <c r="D1483" s="113">
        <v>550.01</v>
      </c>
      <c r="E1483" s="113">
        <v>0.1</v>
      </c>
      <c r="F1483" s="113" t="s">
        <v>13</v>
      </c>
      <c r="G1483" s="113" t="s">
        <v>12</v>
      </c>
      <c r="H1483" s="113">
        <v>4.4999999999999998E-2</v>
      </c>
      <c r="I1483" s="113">
        <v>0.10001</v>
      </c>
      <c r="J1483" s="113" t="s">
        <v>10</v>
      </c>
      <c r="K1483" s="113">
        <v>62.204999999999998</v>
      </c>
      <c r="L1483" s="113">
        <v>2.0941999999999998</v>
      </c>
      <c r="M1483" s="113">
        <v>64.156000000000006</v>
      </c>
      <c r="N1483" s="113">
        <v>2.0802</v>
      </c>
      <c r="O1483" s="114" t="s">
        <v>2725</v>
      </c>
    </row>
    <row r="1484" spans="1:15" x14ac:dyDescent="0.25">
      <c r="A1484" s="113" t="s">
        <v>54</v>
      </c>
      <c r="B1484" s="113" t="s">
        <v>63</v>
      </c>
      <c r="C1484" s="113">
        <v>150</v>
      </c>
      <c r="D1484" s="113">
        <v>550.01</v>
      </c>
      <c r="E1484" s="113">
        <v>0.1</v>
      </c>
      <c r="F1484" s="113" t="s">
        <v>13</v>
      </c>
      <c r="G1484" s="113" t="s">
        <v>12</v>
      </c>
      <c r="H1484" s="113">
        <v>0.1</v>
      </c>
      <c r="I1484" s="113">
        <v>1.0000100000000001</v>
      </c>
      <c r="J1484" s="113" t="s">
        <v>10</v>
      </c>
      <c r="K1484" s="113">
        <v>76.075999999999993</v>
      </c>
      <c r="L1484" s="113">
        <v>2.2961999999999998</v>
      </c>
      <c r="M1484" s="113">
        <v>78.162000000000006</v>
      </c>
      <c r="N1484" s="113">
        <v>2.2814000000000001</v>
      </c>
      <c r="O1484" s="114" t="s">
        <v>2149</v>
      </c>
    </row>
    <row r="1485" spans="1:15" x14ac:dyDescent="0.25">
      <c r="A1485" s="113" t="s">
        <v>54</v>
      </c>
      <c r="B1485" s="113" t="s">
        <v>63</v>
      </c>
      <c r="C1485" s="113">
        <v>150</v>
      </c>
      <c r="D1485" s="113">
        <v>550.01</v>
      </c>
      <c r="E1485" s="113">
        <v>1</v>
      </c>
      <c r="F1485" s="113" t="s">
        <v>13</v>
      </c>
      <c r="G1485" s="113" t="s">
        <v>12</v>
      </c>
      <c r="H1485" s="113">
        <v>5</v>
      </c>
      <c r="I1485" s="113">
        <v>5.01</v>
      </c>
      <c r="J1485" s="113" t="s">
        <v>10</v>
      </c>
      <c r="K1485" s="113">
        <v>120</v>
      </c>
      <c r="L1485" s="113">
        <v>35</v>
      </c>
      <c r="M1485" s="113">
        <v>155.32</v>
      </c>
      <c r="N1485" s="113">
        <v>34.642000000000003</v>
      </c>
      <c r="O1485" s="114" t="s">
        <v>2726</v>
      </c>
    </row>
    <row r="1486" spans="1:15" x14ac:dyDescent="0.25">
      <c r="A1486" s="113" t="s">
        <v>54</v>
      </c>
      <c r="B1486" s="113" t="s">
        <v>63</v>
      </c>
      <c r="C1486" s="113">
        <v>150</v>
      </c>
      <c r="D1486" s="113">
        <v>550.01</v>
      </c>
      <c r="E1486" s="113">
        <v>1</v>
      </c>
      <c r="F1486" s="113" t="s">
        <v>13</v>
      </c>
      <c r="G1486" s="113" t="s">
        <v>12</v>
      </c>
      <c r="H1486" s="113">
        <v>4.4999999999999998E-2</v>
      </c>
      <c r="I1486" s="113">
        <v>0.10001</v>
      </c>
      <c r="J1486" s="113" t="s">
        <v>10</v>
      </c>
      <c r="K1486" s="113">
        <v>445.36</v>
      </c>
      <c r="L1486" s="113">
        <v>1.6256999999999999</v>
      </c>
      <c r="M1486" s="113">
        <v>445.1</v>
      </c>
      <c r="N1486" s="113">
        <v>1.6253</v>
      </c>
      <c r="O1486" s="114" t="s">
        <v>2151</v>
      </c>
    </row>
    <row r="1487" spans="1:15" x14ac:dyDescent="0.25">
      <c r="A1487" s="113" t="s">
        <v>54</v>
      </c>
      <c r="B1487" s="113" t="s">
        <v>63</v>
      </c>
      <c r="C1487" s="113">
        <v>150</v>
      </c>
      <c r="D1487" s="113">
        <v>550.01</v>
      </c>
      <c r="E1487" s="113">
        <v>1</v>
      </c>
      <c r="F1487" s="113" t="s">
        <v>13</v>
      </c>
      <c r="G1487" s="113" t="s">
        <v>12</v>
      </c>
      <c r="H1487" s="113">
        <v>0.1</v>
      </c>
      <c r="I1487" s="113">
        <v>1.0000100000000001</v>
      </c>
      <c r="J1487" s="113" t="s">
        <v>10</v>
      </c>
      <c r="K1487" s="113">
        <v>437.31</v>
      </c>
      <c r="L1487" s="113">
        <v>1.8466</v>
      </c>
      <c r="M1487" s="113">
        <v>437.03</v>
      </c>
      <c r="N1487" s="113">
        <v>1.8463000000000001</v>
      </c>
      <c r="O1487" s="114" t="s">
        <v>2727</v>
      </c>
    </row>
    <row r="1488" spans="1:15" x14ac:dyDescent="0.25">
      <c r="A1488" s="113" t="s">
        <v>54</v>
      </c>
      <c r="B1488" s="113" t="s">
        <v>63</v>
      </c>
      <c r="C1488" s="113">
        <v>150</v>
      </c>
      <c r="D1488" s="113">
        <v>550.01</v>
      </c>
      <c r="E1488" s="113">
        <v>1</v>
      </c>
      <c r="F1488" s="113" t="s">
        <v>13</v>
      </c>
      <c r="G1488" s="113" t="s">
        <v>12</v>
      </c>
      <c r="H1488" s="113">
        <v>1</v>
      </c>
      <c r="I1488" s="113">
        <v>5</v>
      </c>
      <c r="J1488" s="113" t="s">
        <v>10</v>
      </c>
      <c r="K1488" s="113">
        <v>120</v>
      </c>
      <c r="L1488" s="113">
        <v>35</v>
      </c>
      <c r="M1488" s="113">
        <v>155.32</v>
      </c>
      <c r="N1488" s="113">
        <v>34.642000000000003</v>
      </c>
      <c r="O1488" s="114" t="s">
        <v>2150</v>
      </c>
    </row>
    <row r="1489" spans="1:15" x14ac:dyDescent="0.25">
      <c r="A1489" s="113" t="s">
        <v>54</v>
      </c>
      <c r="B1489" s="113" t="s">
        <v>63</v>
      </c>
      <c r="C1489" s="113">
        <v>150</v>
      </c>
      <c r="D1489" s="113">
        <v>550.01</v>
      </c>
      <c r="E1489" s="113">
        <v>10</v>
      </c>
      <c r="F1489" s="113" t="s">
        <v>13</v>
      </c>
      <c r="G1489" s="113" t="s">
        <v>12</v>
      </c>
      <c r="H1489" s="113">
        <v>4.4999999999999998E-2</v>
      </c>
      <c r="I1489" s="113">
        <v>0.10001</v>
      </c>
      <c r="J1489" s="113" t="s">
        <v>10</v>
      </c>
      <c r="K1489" s="113">
        <v>5769.8</v>
      </c>
      <c r="L1489" s="113">
        <v>0.28151999999999999</v>
      </c>
      <c r="M1489" s="113">
        <v>5769.8</v>
      </c>
      <c r="N1489" s="113">
        <v>0.28083999999999998</v>
      </c>
      <c r="O1489" s="114" t="s">
        <v>2728</v>
      </c>
    </row>
    <row r="1490" spans="1:15" x14ac:dyDescent="0.25">
      <c r="A1490" s="113" t="s">
        <v>54</v>
      </c>
      <c r="B1490" s="113" t="s">
        <v>63</v>
      </c>
      <c r="C1490" s="113">
        <v>150</v>
      </c>
      <c r="D1490" s="113">
        <v>550.01</v>
      </c>
      <c r="E1490" s="113">
        <v>10</v>
      </c>
      <c r="F1490" s="113" t="s">
        <v>13</v>
      </c>
      <c r="G1490" s="113" t="s">
        <v>12</v>
      </c>
      <c r="H1490" s="113">
        <v>5</v>
      </c>
      <c r="I1490" s="113">
        <v>5.01</v>
      </c>
      <c r="J1490" s="113" t="s">
        <v>10</v>
      </c>
      <c r="K1490" s="113">
        <v>3301.1</v>
      </c>
      <c r="L1490" s="113">
        <v>30.465</v>
      </c>
      <c r="M1490" s="113">
        <v>3300.8</v>
      </c>
      <c r="N1490" s="113">
        <v>30.465</v>
      </c>
      <c r="O1490" s="114" t="s">
        <v>2153</v>
      </c>
    </row>
    <row r="1491" spans="1:15" x14ac:dyDescent="0.25">
      <c r="A1491" s="113" t="s">
        <v>54</v>
      </c>
      <c r="B1491" s="113" t="s">
        <v>63</v>
      </c>
      <c r="C1491" s="113">
        <v>150</v>
      </c>
      <c r="D1491" s="113">
        <v>550.01</v>
      </c>
      <c r="E1491" s="113">
        <v>10</v>
      </c>
      <c r="F1491" s="113" t="s">
        <v>13</v>
      </c>
      <c r="G1491" s="113" t="s">
        <v>12</v>
      </c>
      <c r="H1491" s="113">
        <v>1</v>
      </c>
      <c r="I1491" s="113">
        <v>5</v>
      </c>
      <c r="J1491" s="113" t="s">
        <v>10</v>
      </c>
      <c r="K1491" s="113">
        <v>3301.1</v>
      </c>
      <c r="L1491" s="113">
        <v>30.465</v>
      </c>
      <c r="M1491" s="113">
        <v>3300.8</v>
      </c>
      <c r="N1491" s="113">
        <v>30.465</v>
      </c>
      <c r="O1491" s="114" t="s">
        <v>2154</v>
      </c>
    </row>
    <row r="1492" spans="1:15" x14ac:dyDescent="0.25">
      <c r="A1492" s="113" t="s">
        <v>54</v>
      </c>
      <c r="B1492" s="113" t="s">
        <v>63</v>
      </c>
      <c r="C1492" s="113">
        <v>150</v>
      </c>
      <c r="D1492" s="113">
        <v>550.01</v>
      </c>
      <c r="E1492" s="113">
        <v>10</v>
      </c>
      <c r="F1492" s="113" t="s">
        <v>13</v>
      </c>
      <c r="G1492" s="113" t="s">
        <v>12</v>
      </c>
      <c r="H1492" s="113">
        <v>0.1</v>
      </c>
      <c r="I1492" s="113">
        <v>1.0000100000000001</v>
      </c>
      <c r="J1492" s="113" t="s">
        <v>10</v>
      </c>
      <c r="K1492" s="113">
        <v>5764</v>
      </c>
      <c r="L1492" s="113">
        <v>0.34064</v>
      </c>
      <c r="M1492" s="113">
        <v>5763.9</v>
      </c>
      <c r="N1492" s="113">
        <v>0.33996999999999999</v>
      </c>
      <c r="O1492" s="114" t="s">
        <v>2152</v>
      </c>
    </row>
    <row r="1493" spans="1:15" x14ac:dyDescent="0.25">
      <c r="A1493" s="113" t="s">
        <v>54</v>
      </c>
      <c r="B1493" s="113" t="s">
        <v>63</v>
      </c>
      <c r="C1493" s="113">
        <v>150</v>
      </c>
      <c r="D1493" s="113">
        <v>550.01</v>
      </c>
      <c r="E1493" s="113">
        <v>100</v>
      </c>
      <c r="F1493" s="113" t="s">
        <v>13</v>
      </c>
      <c r="G1493" s="113" t="s">
        <v>12</v>
      </c>
      <c r="H1493" s="113">
        <v>5</v>
      </c>
      <c r="I1493" s="113">
        <v>5.01</v>
      </c>
      <c r="J1493" s="113" t="s">
        <v>10</v>
      </c>
      <c r="K1493" s="113">
        <v>57174</v>
      </c>
      <c r="L1493" s="113">
        <v>7.1298000000000004</v>
      </c>
      <c r="M1493" s="113">
        <v>57174</v>
      </c>
      <c r="N1493" s="113">
        <v>7.1292999999999997</v>
      </c>
      <c r="O1493" s="114" t="s">
        <v>2157</v>
      </c>
    </row>
    <row r="1494" spans="1:15" x14ac:dyDescent="0.25">
      <c r="A1494" s="113" t="s">
        <v>54</v>
      </c>
      <c r="B1494" s="113" t="s">
        <v>63</v>
      </c>
      <c r="C1494" s="113">
        <v>150</v>
      </c>
      <c r="D1494" s="113">
        <v>550.01</v>
      </c>
      <c r="E1494" s="113">
        <v>100</v>
      </c>
      <c r="F1494" s="113" t="s">
        <v>13</v>
      </c>
      <c r="G1494" s="113" t="s">
        <v>12</v>
      </c>
      <c r="H1494" s="113">
        <v>1</v>
      </c>
      <c r="I1494" s="113">
        <v>5</v>
      </c>
      <c r="J1494" s="113" t="s">
        <v>10</v>
      </c>
      <c r="K1494" s="113">
        <v>57174</v>
      </c>
      <c r="L1494" s="113">
        <v>7.1298000000000004</v>
      </c>
      <c r="M1494" s="113">
        <v>57174</v>
      </c>
      <c r="N1494" s="113">
        <v>7.1292999999999997</v>
      </c>
      <c r="O1494" s="114" t="s">
        <v>2155</v>
      </c>
    </row>
    <row r="1495" spans="1:15" x14ac:dyDescent="0.25">
      <c r="A1495" s="113" t="s">
        <v>54</v>
      </c>
      <c r="B1495" s="113" t="s">
        <v>63</v>
      </c>
      <c r="C1495" s="113">
        <v>150</v>
      </c>
      <c r="D1495" s="113">
        <v>550.01</v>
      </c>
      <c r="E1495" s="113">
        <v>100</v>
      </c>
      <c r="F1495" s="113" t="s">
        <v>13</v>
      </c>
      <c r="G1495" s="113" t="s">
        <v>12</v>
      </c>
      <c r="H1495" s="113">
        <v>4.4999999999999998E-2</v>
      </c>
      <c r="I1495" s="113">
        <v>0.10001</v>
      </c>
      <c r="J1495" s="113" t="s">
        <v>10</v>
      </c>
      <c r="K1495" s="113">
        <v>57997</v>
      </c>
      <c r="L1495" s="113">
        <v>2.869E-2</v>
      </c>
      <c r="M1495" s="113">
        <v>57997</v>
      </c>
      <c r="N1495" s="113">
        <v>2.8410999999999999E-2</v>
      </c>
      <c r="O1495" s="114" t="s">
        <v>2729</v>
      </c>
    </row>
    <row r="1496" spans="1:15" x14ac:dyDescent="0.25">
      <c r="A1496" s="113" t="s">
        <v>54</v>
      </c>
      <c r="B1496" s="113" t="s">
        <v>63</v>
      </c>
      <c r="C1496" s="113">
        <v>150</v>
      </c>
      <c r="D1496" s="113">
        <v>550.01</v>
      </c>
      <c r="E1496" s="113">
        <v>100</v>
      </c>
      <c r="F1496" s="113" t="s">
        <v>13</v>
      </c>
      <c r="G1496" s="113" t="s">
        <v>12</v>
      </c>
      <c r="H1496" s="113">
        <v>0.1</v>
      </c>
      <c r="I1496" s="113">
        <v>1.0000100000000001</v>
      </c>
      <c r="J1496" s="113" t="s">
        <v>10</v>
      </c>
      <c r="K1496" s="113">
        <v>57996</v>
      </c>
      <c r="L1496" s="113">
        <v>3.4757999999999997E-2</v>
      </c>
      <c r="M1496" s="113">
        <v>57996</v>
      </c>
      <c r="N1496" s="113">
        <v>3.4478000000000002E-2</v>
      </c>
      <c r="O1496" s="114" t="s">
        <v>2156</v>
      </c>
    </row>
    <row r="1497" spans="1:15" x14ac:dyDescent="0.25">
      <c r="A1497" s="113" t="s">
        <v>54</v>
      </c>
      <c r="B1497" s="113" t="s">
        <v>63</v>
      </c>
      <c r="C1497" s="113">
        <v>550</v>
      </c>
      <c r="D1497" s="113">
        <v>1025.01</v>
      </c>
      <c r="E1497" s="113">
        <v>0.01</v>
      </c>
      <c r="F1497" s="113" t="s">
        <v>13</v>
      </c>
      <c r="G1497" s="113" t="s">
        <v>12</v>
      </c>
      <c r="H1497" s="113">
        <v>4.4999999999999998E-2</v>
      </c>
      <c r="I1497" s="113">
        <v>0.10001</v>
      </c>
      <c r="J1497" s="113" t="s">
        <v>10</v>
      </c>
      <c r="K1497" s="113">
        <v>210</v>
      </c>
      <c r="L1497" s="113">
        <v>2.4</v>
      </c>
      <c r="M1497" s="113">
        <v>192.41</v>
      </c>
      <c r="N1497" s="113">
        <v>2.4161000000000001</v>
      </c>
      <c r="O1497" s="114" t="s">
        <v>2731</v>
      </c>
    </row>
    <row r="1498" spans="1:15" x14ac:dyDescent="0.25">
      <c r="A1498" s="113" t="s">
        <v>54</v>
      </c>
      <c r="B1498" s="113" t="s">
        <v>63</v>
      </c>
      <c r="C1498" s="113">
        <v>550</v>
      </c>
      <c r="D1498" s="113">
        <v>1030</v>
      </c>
      <c r="E1498" s="113">
        <v>0.01</v>
      </c>
      <c r="F1498" s="113" t="s">
        <v>13</v>
      </c>
      <c r="G1498" s="113" t="s">
        <v>12</v>
      </c>
      <c r="H1498" s="113">
        <v>1</v>
      </c>
      <c r="I1498" s="113">
        <v>1.0000100000000001</v>
      </c>
      <c r="J1498" s="113" t="s">
        <v>10</v>
      </c>
      <c r="K1498" s="113">
        <v>250</v>
      </c>
      <c r="L1498" s="113">
        <v>2.6</v>
      </c>
      <c r="M1498" s="113">
        <v>210.67</v>
      </c>
      <c r="N1498" s="113">
        <v>2.6326000000000001</v>
      </c>
      <c r="O1498" s="114" t="s">
        <v>2730</v>
      </c>
    </row>
    <row r="1499" spans="1:15" x14ac:dyDescent="0.25">
      <c r="A1499" s="113" t="s">
        <v>54</v>
      </c>
      <c r="B1499" s="113" t="s">
        <v>63</v>
      </c>
      <c r="C1499" s="113">
        <v>550</v>
      </c>
      <c r="D1499" s="113">
        <v>1025.01</v>
      </c>
      <c r="E1499" s="113">
        <v>0.01</v>
      </c>
      <c r="F1499" s="113" t="s">
        <v>13</v>
      </c>
      <c r="G1499" s="113" t="s">
        <v>12</v>
      </c>
      <c r="H1499" s="113">
        <v>0.1</v>
      </c>
      <c r="I1499" s="113">
        <v>1</v>
      </c>
      <c r="J1499" s="113" t="s">
        <v>10</v>
      </c>
      <c r="K1499" s="113">
        <v>250</v>
      </c>
      <c r="L1499" s="113">
        <v>2.6</v>
      </c>
      <c r="M1499" s="113">
        <v>210.67</v>
      </c>
      <c r="N1499" s="113">
        <v>2.6326000000000001</v>
      </c>
      <c r="O1499" s="114" t="s">
        <v>2158</v>
      </c>
    </row>
    <row r="1500" spans="1:15" x14ac:dyDescent="0.25">
      <c r="A1500" s="113" t="s">
        <v>54</v>
      </c>
      <c r="B1500" s="113" t="s">
        <v>63</v>
      </c>
      <c r="C1500" s="113">
        <v>550</v>
      </c>
      <c r="D1500" s="113">
        <v>1030</v>
      </c>
      <c r="E1500" s="113">
        <v>0.1</v>
      </c>
      <c r="F1500" s="113" t="s">
        <v>13</v>
      </c>
      <c r="G1500" s="113" t="s">
        <v>12</v>
      </c>
      <c r="H1500" s="113">
        <v>1</v>
      </c>
      <c r="I1500" s="113">
        <v>1.0000100000000001</v>
      </c>
      <c r="J1500" s="113" t="s">
        <v>10</v>
      </c>
      <c r="K1500" s="113">
        <v>250</v>
      </c>
      <c r="L1500" s="113">
        <v>2.6</v>
      </c>
      <c r="M1500" s="113">
        <v>212.17</v>
      </c>
      <c r="N1500" s="113">
        <v>2.6316999999999999</v>
      </c>
      <c r="O1500" s="114" t="s">
        <v>2161</v>
      </c>
    </row>
    <row r="1501" spans="1:15" x14ac:dyDescent="0.25">
      <c r="A1501" s="113" t="s">
        <v>54</v>
      </c>
      <c r="B1501" s="113" t="s">
        <v>63</v>
      </c>
      <c r="C1501" s="113">
        <v>550</v>
      </c>
      <c r="D1501" s="113">
        <v>1025.01</v>
      </c>
      <c r="E1501" s="113">
        <v>0.1</v>
      </c>
      <c r="F1501" s="113" t="s">
        <v>13</v>
      </c>
      <c r="G1501" s="113" t="s">
        <v>12</v>
      </c>
      <c r="H1501" s="113">
        <v>4.4999999999999998E-2</v>
      </c>
      <c r="I1501" s="113">
        <v>0.10001</v>
      </c>
      <c r="J1501" s="113" t="s">
        <v>10</v>
      </c>
      <c r="K1501" s="113">
        <v>210</v>
      </c>
      <c r="L1501" s="113">
        <v>2.4</v>
      </c>
      <c r="M1501" s="113">
        <v>193.98</v>
      </c>
      <c r="N1501" s="113">
        <v>2.4152</v>
      </c>
      <c r="O1501" s="114" t="s">
        <v>2159</v>
      </c>
    </row>
    <row r="1502" spans="1:15" x14ac:dyDescent="0.25">
      <c r="A1502" s="113" t="s">
        <v>54</v>
      </c>
      <c r="B1502" s="113" t="s">
        <v>63</v>
      </c>
      <c r="C1502" s="113">
        <v>550</v>
      </c>
      <c r="D1502" s="113">
        <v>1025.01</v>
      </c>
      <c r="E1502" s="113">
        <v>0.1</v>
      </c>
      <c r="F1502" s="113" t="s">
        <v>13</v>
      </c>
      <c r="G1502" s="113" t="s">
        <v>12</v>
      </c>
      <c r="H1502" s="113">
        <v>0.1</v>
      </c>
      <c r="I1502" s="113">
        <v>1</v>
      </c>
      <c r="J1502" s="113" t="s">
        <v>10</v>
      </c>
      <c r="K1502" s="113">
        <v>250</v>
      </c>
      <c r="L1502" s="113">
        <v>2.6</v>
      </c>
      <c r="M1502" s="113">
        <v>212.17</v>
      </c>
      <c r="N1502" s="113">
        <v>2.6316999999999999</v>
      </c>
      <c r="O1502" s="114" t="s">
        <v>2160</v>
      </c>
    </row>
    <row r="1503" spans="1:15" x14ac:dyDescent="0.25">
      <c r="A1503" s="113" t="s">
        <v>54</v>
      </c>
      <c r="B1503" s="113" t="s">
        <v>63</v>
      </c>
      <c r="C1503" s="113">
        <v>550</v>
      </c>
      <c r="D1503" s="113">
        <v>1030</v>
      </c>
      <c r="E1503" s="113">
        <v>1</v>
      </c>
      <c r="F1503" s="113" t="s">
        <v>13</v>
      </c>
      <c r="G1503" s="113" t="s">
        <v>12</v>
      </c>
      <c r="H1503" s="113">
        <v>1</v>
      </c>
      <c r="I1503" s="113">
        <v>1.0000100000000001</v>
      </c>
      <c r="J1503" s="113" t="s">
        <v>10</v>
      </c>
      <c r="K1503" s="113">
        <v>357.02</v>
      </c>
      <c r="L1503" s="113">
        <v>2.5468999999999999</v>
      </c>
      <c r="M1503" s="113">
        <v>356.89</v>
      </c>
      <c r="N1503" s="113">
        <v>2.5457999999999998</v>
      </c>
      <c r="O1503" s="114" t="s">
        <v>2163</v>
      </c>
    </row>
    <row r="1504" spans="1:15" x14ac:dyDescent="0.25">
      <c r="A1504" s="113" t="s">
        <v>54</v>
      </c>
      <c r="B1504" s="113" t="s">
        <v>63</v>
      </c>
      <c r="C1504" s="113">
        <v>550</v>
      </c>
      <c r="D1504" s="113">
        <v>1025.01</v>
      </c>
      <c r="E1504" s="113">
        <v>1</v>
      </c>
      <c r="F1504" s="113" t="s">
        <v>13</v>
      </c>
      <c r="G1504" s="113" t="s">
        <v>12</v>
      </c>
      <c r="H1504" s="113">
        <v>0.1</v>
      </c>
      <c r="I1504" s="113">
        <v>1</v>
      </c>
      <c r="J1504" s="113" t="s">
        <v>10</v>
      </c>
      <c r="K1504" s="113">
        <v>357.02</v>
      </c>
      <c r="L1504" s="113">
        <v>2.5468999999999999</v>
      </c>
      <c r="M1504" s="113">
        <v>356.89</v>
      </c>
      <c r="N1504" s="113">
        <v>2.5457999999999998</v>
      </c>
      <c r="O1504" s="114" t="s">
        <v>2162</v>
      </c>
    </row>
    <row r="1505" spans="1:15" x14ac:dyDescent="0.25">
      <c r="A1505" s="113" t="s">
        <v>54</v>
      </c>
      <c r="B1505" s="113" t="s">
        <v>63</v>
      </c>
      <c r="C1505" s="113">
        <v>550</v>
      </c>
      <c r="D1505" s="113">
        <v>1025.01</v>
      </c>
      <c r="E1505" s="113">
        <v>1</v>
      </c>
      <c r="F1505" s="113" t="s">
        <v>13</v>
      </c>
      <c r="G1505" s="113" t="s">
        <v>12</v>
      </c>
      <c r="H1505" s="113">
        <v>4.4999999999999998E-2</v>
      </c>
      <c r="I1505" s="113">
        <v>0.10001</v>
      </c>
      <c r="J1505" s="113" t="s">
        <v>10</v>
      </c>
      <c r="K1505" s="113">
        <v>350.89</v>
      </c>
      <c r="L1505" s="113">
        <v>2.3235999999999999</v>
      </c>
      <c r="M1505" s="113">
        <v>350.74</v>
      </c>
      <c r="N1505" s="113">
        <v>2.3224</v>
      </c>
      <c r="O1505" s="114" t="s">
        <v>2164</v>
      </c>
    </row>
    <row r="1506" spans="1:15" x14ac:dyDescent="0.25">
      <c r="A1506" s="113" t="s">
        <v>54</v>
      </c>
      <c r="B1506" s="113" t="s">
        <v>63</v>
      </c>
      <c r="C1506" s="113">
        <v>550</v>
      </c>
      <c r="D1506" s="113">
        <v>1025.01</v>
      </c>
      <c r="E1506" s="113">
        <v>10</v>
      </c>
      <c r="F1506" s="113" t="s">
        <v>13</v>
      </c>
      <c r="G1506" s="113" t="s">
        <v>12</v>
      </c>
      <c r="H1506" s="113">
        <v>4.4999999999999998E-2</v>
      </c>
      <c r="I1506" s="113">
        <v>0.10001</v>
      </c>
      <c r="J1506" s="113" t="s">
        <v>10</v>
      </c>
      <c r="K1506" s="113">
        <v>5545.6</v>
      </c>
      <c r="L1506" s="113">
        <v>0.82077999999999995</v>
      </c>
      <c r="M1506" s="113">
        <v>5546.4</v>
      </c>
      <c r="N1506" s="113">
        <v>0.81772</v>
      </c>
      <c r="O1506" s="114" t="s">
        <v>2167</v>
      </c>
    </row>
    <row r="1507" spans="1:15" x14ac:dyDescent="0.25">
      <c r="A1507" s="113" t="s">
        <v>54</v>
      </c>
      <c r="B1507" s="113" t="s">
        <v>63</v>
      </c>
      <c r="C1507" s="113">
        <v>550</v>
      </c>
      <c r="D1507" s="113">
        <v>1030</v>
      </c>
      <c r="E1507" s="113">
        <v>10</v>
      </c>
      <c r="F1507" s="113" t="s">
        <v>13</v>
      </c>
      <c r="G1507" s="113" t="s">
        <v>12</v>
      </c>
      <c r="H1507" s="113">
        <v>1</v>
      </c>
      <c r="I1507" s="113">
        <v>1.0000100000000001</v>
      </c>
      <c r="J1507" s="113" t="s">
        <v>10</v>
      </c>
      <c r="K1507" s="113">
        <v>5503.5</v>
      </c>
      <c r="L1507" s="113">
        <v>0.96336999999999995</v>
      </c>
      <c r="M1507" s="113">
        <v>5504.3</v>
      </c>
      <c r="N1507" s="113">
        <v>0.96038000000000001</v>
      </c>
      <c r="O1507" s="114" t="s">
        <v>2165</v>
      </c>
    </row>
    <row r="1508" spans="1:15" x14ac:dyDescent="0.25">
      <c r="A1508" s="113" t="s">
        <v>54</v>
      </c>
      <c r="B1508" s="113" t="s">
        <v>63</v>
      </c>
      <c r="C1508" s="113">
        <v>550</v>
      </c>
      <c r="D1508" s="113">
        <v>1030</v>
      </c>
      <c r="E1508" s="113">
        <v>10</v>
      </c>
      <c r="F1508" s="113" t="s">
        <v>13</v>
      </c>
      <c r="G1508" s="113" t="s">
        <v>12</v>
      </c>
      <c r="H1508" s="113">
        <v>0.1</v>
      </c>
      <c r="I1508" s="113">
        <v>1</v>
      </c>
      <c r="J1508" s="113" t="s">
        <v>10</v>
      </c>
      <c r="K1508" s="113">
        <v>5503.5</v>
      </c>
      <c r="L1508" s="113">
        <v>0.96336999999999995</v>
      </c>
      <c r="M1508" s="113">
        <v>5504.3</v>
      </c>
      <c r="N1508" s="113">
        <v>0.96038000000000001</v>
      </c>
      <c r="O1508" s="114" t="s">
        <v>2166</v>
      </c>
    </row>
    <row r="1509" spans="1:15" x14ac:dyDescent="0.25">
      <c r="A1509" s="113" t="s">
        <v>54</v>
      </c>
      <c r="B1509" s="113" t="s">
        <v>63</v>
      </c>
      <c r="C1509" s="113">
        <v>550</v>
      </c>
      <c r="D1509" s="113">
        <v>1025.01</v>
      </c>
      <c r="E1509" s="113">
        <v>100</v>
      </c>
      <c r="F1509" s="113" t="s">
        <v>13</v>
      </c>
      <c r="G1509" s="113" t="s">
        <v>12</v>
      </c>
      <c r="H1509" s="113">
        <v>4.4999999999999998E-2</v>
      </c>
      <c r="I1509" s="113">
        <v>0.10001</v>
      </c>
      <c r="J1509" s="113" t="s">
        <v>10</v>
      </c>
      <c r="K1509" s="113">
        <v>57972</v>
      </c>
      <c r="L1509" s="113">
        <v>8.8607000000000005E-2</v>
      </c>
      <c r="M1509" s="113">
        <v>57972</v>
      </c>
      <c r="N1509" s="113">
        <v>8.7215000000000001E-2</v>
      </c>
      <c r="O1509" s="114" t="s">
        <v>2168</v>
      </c>
    </row>
    <row r="1510" spans="1:15" x14ac:dyDescent="0.25">
      <c r="A1510" s="113" t="s">
        <v>54</v>
      </c>
      <c r="B1510" s="113" t="s">
        <v>8</v>
      </c>
      <c r="C1510" s="113">
        <v>0</v>
      </c>
      <c r="D1510" s="113">
        <v>3.3009999999999998E-2</v>
      </c>
      <c r="E1510" s="113">
        <v>9.9999999999999995E-7</v>
      </c>
      <c r="F1510" s="113" t="s">
        <v>6</v>
      </c>
      <c r="G1510" s="113" t="s">
        <v>5</v>
      </c>
      <c r="H1510" s="113">
        <v>100</v>
      </c>
      <c r="I1510" s="113">
        <v>500</v>
      </c>
      <c r="J1510" s="113" t="s">
        <v>10</v>
      </c>
      <c r="K1510" s="113">
        <v>89</v>
      </c>
      <c r="L1510" s="113">
        <v>11000</v>
      </c>
      <c r="M1510" s="113">
        <v>72.86</v>
      </c>
      <c r="N1510" s="113">
        <v>11473</v>
      </c>
      <c r="O1510" s="114" t="s">
        <v>1950</v>
      </c>
    </row>
    <row r="1511" spans="1:15" x14ac:dyDescent="0.25">
      <c r="A1511" s="113" t="s">
        <v>54</v>
      </c>
      <c r="B1511" s="113" t="s">
        <v>8</v>
      </c>
      <c r="C1511" s="113">
        <v>0</v>
      </c>
      <c r="D1511" s="113">
        <v>3.3009999999999998E-2</v>
      </c>
      <c r="E1511" s="113">
        <v>9.9999999999999995E-7</v>
      </c>
      <c r="F1511" s="113" t="s">
        <v>6</v>
      </c>
      <c r="G1511" s="113" t="s">
        <v>5</v>
      </c>
      <c r="H1511" s="113">
        <v>4.4999999999999998E-2</v>
      </c>
      <c r="I1511" s="113">
        <v>10.00001</v>
      </c>
      <c r="J1511" s="113" t="s">
        <v>10</v>
      </c>
      <c r="K1511" s="113">
        <v>24</v>
      </c>
      <c r="L1511" s="113">
        <v>1200</v>
      </c>
      <c r="M1511" s="113">
        <v>23.184999999999999</v>
      </c>
      <c r="N1511" s="113">
        <v>1155.4000000000001</v>
      </c>
      <c r="O1511" s="114" t="s">
        <v>1952</v>
      </c>
    </row>
    <row r="1512" spans="1:15" x14ac:dyDescent="0.25">
      <c r="A1512" s="113" t="s">
        <v>54</v>
      </c>
      <c r="B1512" s="113" t="s">
        <v>8</v>
      </c>
      <c r="C1512" s="113">
        <v>0</v>
      </c>
      <c r="D1512" s="113">
        <v>3.3009999999999998E-2</v>
      </c>
      <c r="E1512" s="113">
        <v>9.9999999999999995E-7</v>
      </c>
      <c r="F1512" s="113" t="s">
        <v>6</v>
      </c>
      <c r="G1512" s="113" t="s">
        <v>5</v>
      </c>
      <c r="H1512" s="113">
        <v>50</v>
      </c>
      <c r="I1512" s="113">
        <v>100</v>
      </c>
      <c r="J1512" s="113" t="s">
        <v>10</v>
      </c>
      <c r="K1512" s="113">
        <v>40</v>
      </c>
      <c r="L1512" s="113">
        <v>4000</v>
      </c>
      <c r="M1512" s="113">
        <v>38.936999999999998</v>
      </c>
      <c r="N1512" s="113">
        <v>4027</v>
      </c>
      <c r="O1512" s="114" t="s">
        <v>2675</v>
      </c>
    </row>
    <row r="1513" spans="1:15" x14ac:dyDescent="0.25">
      <c r="A1513" s="113" t="s">
        <v>54</v>
      </c>
      <c r="B1513" s="113" t="s">
        <v>8</v>
      </c>
      <c r="C1513" s="113">
        <v>0</v>
      </c>
      <c r="D1513" s="113">
        <v>3.3009999999999998E-2</v>
      </c>
      <c r="E1513" s="113">
        <v>9.9999999999999995E-7</v>
      </c>
      <c r="F1513" s="113" t="s">
        <v>6</v>
      </c>
      <c r="G1513" s="113" t="s">
        <v>5</v>
      </c>
      <c r="H1513" s="113">
        <v>0.01</v>
      </c>
      <c r="I1513" s="113">
        <v>4.5010000000000001E-2</v>
      </c>
      <c r="J1513" s="113" t="s">
        <v>10</v>
      </c>
      <c r="K1513" s="113">
        <v>25</v>
      </c>
      <c r="L1513" s="113">
        <v>1700</v>
      </c>
      <c r="M1513" s="113">
        <v>23.181000000000001</v>
      </c>
      <c r="N1513" s="113">
        <v>1732</v>
      </c>
      <c r="O1513" s="114" t="s">
        <v>1949</v>
      </c>
    </row>
    <row r="1514" spans="1:15" x14ac:dyDescent="0.25">
      <c r="A1514" s="113" t="s">
        <v>54</v>
      </c>
      <c r="B1514" s="113" t="s">
        <v>8</v>
      </c>
      <c r="C1514" s="113">
        <v>0</v>
      </c>
      <c r="D1514" s="113">
        <v>3.3009999999999998E-2</v>
      </c>
      <c r="E1514" s="113">
        <v>9.9999999999999995E-7</v>
      </c>
      <c r="F1514" s="113" t="s">
        <v>6</v>
      </c>
      <c r="G1514" s="113" t="s">
        <v>5</v>
      </c>
      <c r="H1514" s="113">
        <v>500</v>
      </c>
      <c r="I1514" s="113">
        <v>501</v>
      </c>
      <c r="J1514" s="113" t="s">
        <v>10</v>
      </c>
      <c r="K1514" s="113">
        <v>89</v>
      </c>
      <c r="L1514" s="113">
        <v>11000</v>
      </c>
      <c r="M1514" s="113">
        <v>72.86</v>
      </c>
      <c r="N1514" s="113">
        <v>11473</v>
      </c>
      <c r="O1514" s="114" t="s">
        <v>2673</v>
      </c>
    </row>
    <row r="1515" spans="1:15" x14ac:dyDescent="0.25">
      <c r="A1515" s="113" t="s">
        <v>54</v>
      </c>
      <c r="B1515" s="113" t="s">
        <v>8</v>
      </c>
      <c r="C1515" s="113">
        <v>0</v>
      </c>
      <c r="D1515" s="113">
        <v>3.3009999999999998E-2</v>
      </c>
      <c r="E1515" s="113">
        <v>9.9999999999999995E-7</v>
      </c>
      <c r="F1515" s="113" t="s">
        <v>6</v>
      </c>
      <c r="G1515" s="113" t="s">
        <v>5</v>
      </c>
      <c r="H1515" s="113">
        <v>20</v>
      </c>
      <c r="I1515" s="113">
        <v>50.01</v>
      </c>
      <c r="J1515" s="113" t="s">
        <v>10</v>
      </c>
      <c r="K1515" s="113">
        <v>24</v>
      </c>
      <c r="L1515" s="113">
        <v>2300</v>
      </c>
      <c r="M1515" s="113">
        <v>23.565000000000001</v>
      </c>
      <c r="N1515" s="113">
        <v>2300.9</v>
      </c>
      <c r="O1515" s="114" t="s">
        <v>1951</v>
      </c>
    </row>
    <row r="1516" spans="1:15" x14ac:dyDescent="0.25">
      <c r="A1516" s="113" t="s">
        <v>54</v>
      </c>
      <c r="B1516" s="113" t="s">
        <v>8</v>
      </c>
      <c r="C1516" s="113">
        <v>0</v>
      </c>
      <c r="D1516" s="113">
        <v>3.3009999999999998E-2</v>
      </c>
      <c r="E1516" s="113">
        <v>9.9999999999999995E-7</v>
      </c>
      <c r="F1516" s="113" t="s">
        <v>6</v>
      </c>
      <c r="G1516" s="113" t="s">
        <v>5</v>
      </c>
      <c r="H1516" s="113">
        <v>10</v>
      </c>
      <c r="I1516" s="113">
        <v>20.010000000000002</v>
      </c>
      <c r="J1516" s="113" t="s">
        <v>10</v>
      </c>
      <c r="K1516" s="113">
        <v>25</v>
      </c>
      <c r="L1516" s="113">
        <v>1700</v>
      </c>
      <c r="M1516" s="113">
        <v>23.181000000000001</v>
      </c>
      <c r="N1516" s="113">
        <v>1732</v>
      </c>
      <c r="O1516" s="114" t="s">
        <v>2674</v>
      </c>
    </row>
    <row r="1517" spans="1:15" x14ac:dyDescent="0.25">
      <c r="A1517" s="113" t="s">
        <v>54</v>
      </c>
      <c r="B1517" s="113" t="s">
        <v>8</v>
      </c>
      <c r="C1517" s="113">
        <v>0</v>
      </c>
      <c r="D1517" s="113">
        <v>3.3009999999999998E-2</v>
      </c>
      <c r="E1517" s="113">
        <v>1.0000000000000001E-5</v>
      </c>
      <c r="F1517" s="113" t="s">
        <v>6</v>
      </c>
      <c r="G1517" s="113" t="s">
        <v>5</v>
      </c>
      <c r="H1517" s="113">
        <v>50</v>
      </c>
      <c r="I1517" s="113">
        <v>100.01</v>
      </c>
      <c r="J1517" s="113" t="s">
        <v>10</v>
      </c>
      <c r="K1517" s="113">
        <v>40</v>
      </c>
      <c r="L1517" s="113">
        <v>4017.5</v>
      </c>
      <c r="M1517" s="113">
        <v>39.332000000000001</v>
      </c>
      <c r="N1517" s="113">
        <v>4018</v>
      </c>
      <c r="O1517" s="114" t="s">
        <v>1953</v>
      </c>
    </row>
    <row r="1518" spans="1:15" x14ac:dyDescent="0.25">
      <c r="A1518" s="113" t="s">
        <v>54</v>
      </c>
      <c r="B1518" s="113" t="s">
        <v>8</v>
      </c>
      <c r="C1518" s="113">
        <v>0</v>
      </c>
      <c r="D1518" s="113">
        <v>3.3009999999999998E-2</v>
      </c>
      <c r="E1518" s="113">
        <v>1.0000000000000001E-5</v>
      </c>
      <c r="F1518" s="113" t="s">
        <v>6</v>
      </c>
      <c r="G1518" s="113" t="s">
        <v>5</v>
      </c>
      <c r="H1518" s="113">
        <v>10</v>
      </c>
      <c r="I1518" s="113">
        <v>20.010000000000002</v>
      </c>
      <c r="J1518" s="113" t="s">
        <v>10</v>
      </c>
      <c r="K1518" s="113">
        <v>25</v>
      </c>
      <c r="L1518" s="113">
        <v>1718.2</v>
      </c>
      <c r="M1518" s="113">
        <v>23.853999999999999</v>
      </c>
      <c r="N1518" s="113">
        <v>1717.9</v>
      </c>
      <c r="O1518" s="114" t="s">
        <v>1954</v>
      </c>
    </row>
    <row r="1519" spans="1:15" x14ac:dyDescent="0.25">
      <c r="A1519" s="113" t="s">
        <v>54</v>
      </c>
      <c r="B1519" s="113" t="s">
        <v>8</v>
      </c>
      <c r="C1519" s="113">
        <v>0</v>
      </c>
      <c r="D1519" s="113">
        <v>3.3009999999999998E-2</v>
      </c>
      <c r="E1519" s="113">
        <v>1.0000000000000001E-5</v>
      </c>
      <c r="F1519" s="113" t="s">
        <v>6</v>
      </c>
      <c r="G1519" s="113" t="s">
        <v>5</v>
      </c>
      <c r="H1519" s="113">
        <v>500</v>
      </c>
      <c r="I1519" s="113">
        <v>501</v>
      </c>
      <c r="J1519" s="113" t="s">
        <v>10</v>
      </c>
      <c r="K1519" s="113">
        <v>89</v>
      </c>
      <c r="L1519" s="113">
        <v>11468</v>
      </c>
      <c r="M1519" s="113">
        <v>73.063000000000002</v>
      </c>
      <c r="N1519" s="113">
        <v>11468</v>
      </c>
      <c r="O1519" s="114" t="s">
        <v>1955</v>
      </c>
    </row>
    <row r="1520" spans="1:15" x14ac:dyDescent="0.25">
      <c r="A1520" s="113" t="s">
        <v>54</v>
      </c>
      <c r="B1520" s="113" t="s">
        <v>8</v>
      </c>
      <c r="C1520" s="113">
        <v>0</v>
      </c>
      <c r="D1520" s="113">
        <v>3.3009999999999998E-2</v>
      </c>
      <c r="E1520" s="113">
        <v>1.0000000000000001E-5</v>
      </c>
      <c r="F1520" s="113" t="s">
        <v>6</v>
      </c>
      <c r="G1520" s="113" t="s">
        <v>5</v>
      </c>
      <c r="H1520" s="113">
        <v>0.01</v>
      </c>
      <c r="I1520" s="113">
        <v>4.5010000000000001E-2</v>
      </c>
      <c r="J1520" s="113" t="s">
        <v>10</v>
      </c>
      <c r="K1520" s="113">
        <v>25</v>
      </c>
      <c r="L1520" s="113">
        <v>1718.2</v>
      </c>
      <c r="M1520" s="113">
        <v>23.853999999999999</v>
      </c>
      <c r="N1520" s="113">
        <v>1717.9</v>
      </c>
      <c r="O1520" s="114" t="s">
        <v>1957</v>
      </c>
    </row>
    <row r="1521" spans="1:15" x14ac:dyDescent="0.25">
      <c r="A1521" s="113" t="s">
        <v>54</v>
      </c>
      <c r="B1521" s="113" t="s">
        <v>8</v>
      </c>
      <c r="C1521" s="113">
        <v>0</v>
      </c>
      <c r="D1521" s="113">
        <v>3.3009999999999998E-2</v>
      </c>
      <c r="E1521" s="113">
        <v>1.0000000000000001E-5</v>
      </c>
      <c r="F1521" s="113" t="s">
        <v>6</v>
      </c>
      <c r="G1521" s="113" t="s">
        <v>5</v>
      </c>
      <c r="H1521" s="113">
        <v>100</v>
      </c>
      <c r="I1521" s="113">
        <v>500</v>
      </c>
      <c r="J1521" s="113" t="s">
        <v>10</v>
      </c>
      <c r="K1521" s="113">
        <v>89</v>
      </c>
      <c r="L1521" s="113">
        <v>11468</v>
      </c>
      <c r="M1521" s="113">
        <v>73.063000000000002</v>
      </c>
      <c r="N1521" s="113">
        <v>11468</v>
      </c>
      <c r="O1521" s="114" t="s">
        <v>1958</v>
      </c>
    </row>
    <row r="1522" spans="1:15" x14ac:dyDescent="0.25">
      <c r="A1522" s="113" t="s">
        <v>54</v>
      </c>
      <c r="B1522" s="113" t="s">
        <v>8</v>
      </c>
      <c r="C1522" s="113">
        <v>0</v>
      </c>
      <c r="D1522" s="113">
        <v>3.3009999999999998E-2</v>
      </c>
      <c r="E1522" s="113">
        <v>1.0000000000000001E-5</v>
      </c>
      <c r="F1522" s="113" t="s">
        <v>6</v>
      </c>
      <c r="G1522" s="113" t="s">
        <v>5</v>
      </c>
      <c r="H1522" s="113">
        <v>4.4999999999999998E-2</v>
      </c>
      <c r="I1522" s="113">
        <v>10.00001</v>
      </c>
      <c r="J1522" s="113" t="s">
        <v>10</v>
      </c>
      <c r="K1522" s="113">
        <v>24</v>
      </c>
      <c r="L1522" s="113">
        <v>1143.4000000000001</v>
      </c>
      <c r="M1522" s="113">
        <v>23.87</v>
      </c>
      <c r="N1522" s="113">
        <v>1142.8</v>
      </c>
      <c r="O1522" s="114" t="s">
        <v>2676</v>
      </c>
    </row>
    <row r="1523" spans="1:15" x14ac:dyDescent="0.25">
      <c r="A1523" s="113" t="s">
        <v>54</v>
      </c>
      <c r="B1523" s="113" t="s">
        <v>8</v>
      </c>
      <c r="C1523" s="113">
        <v>0</v>
      </c>
      <c r="D1523" s="113">
        <v>3.3009999999999998E-2</v>
      </c>
      <c r="E1523" s="113">
        <v>1.0000000000000001E-5</v>
      </c>
      <c r="F1523" s="113" t="s">
        <v>6</v>
      </c>
      <c r="G1523" s="113" t="s">
        <v>5</v>
      </c>
      <c r="H1523" s="113">
        <v>20</v>
      </c>
      <c r="I1523" s="113">
        <v>50.01</v>
      </c>
      <c r="J1523" s="113" t="s">
        <v>10</v>
      </c>
      <c r="K1523" s="113">
        <v>24.224</v>
      </c>
      <c r="L1523" s="113">
        <v>2286.5</v>
      </c>
      <c r="M1523" s="113">
        <v>24.216000000000001</v>
      </c>
      <c r="N1523" s="113">
        <v>2286.3000000000002</v>
      </c>
      <c r="O1523" s="114" t="s">
        <v>1956</v>
      </c>
    </row>
    <row r="1524" spans="1:15" x14ac:dyDescent="0.25">
      <c r="A1524" s="113" t="s">
        <v>54</v>
      </c>
      <c r="B1524" s="113" t="s">
        <v>8</v>
      </c>
      <c r="C1524" s="113">
        <v>0</v>
      </c>
      <c r="D1524" s="113">
        <v>3.3009999999999998E-2</v>
      </c>
      <c r="E1524" s="113">
        <v>1E-4</v>
      </c>
      <c r="F1524" s="113" t="s">
        <v>6</v>
      </c>
      <c r="G1524" s="113" t="s">
        <v>5</v>
      </c>
      <c r="H1524" s="113">
        <v>100</v>
      </c>
      <c r="I1524" s="113">
        <v>500</v>
      </c>
      <c r="J1524" s="113" t="s">
        <v>10</v>
      </c>
      <c r="K1524" s="113">
        <v>91.463999999999999</v>
      </c>
      <c r="L1524" s="113">
        <v>11024</v>
      </c>
      <c r="M1524" s="113">
        <v>91.322000000000003</v>
      </c>
      <c r="N1524" s="113">
        <v>11026</v>
      </c>
      <c r="O1524" s="114" t="s">
        <v>1962</v>
      </c>
    </row>
    <row r="1525" spans="1:15" x14ac:dyDescent="0.25">
      <c r="A1525" s="113" t="s">
        <v>54</v>
      </c>
      <c r="B1525" s="113" t="s">
        <v>8</v>
      </c>
      <c r="C1525" s="113">
        <v>0</v>
      </c>
      <c r="D1525" s="113">
        <v>3.3009999999999998E-2</v>
      </c>
      <c r="E1525" s="113">
        <v>1E-4</v>
      </c>
      <c r="F1525" s="113" t="s">
        <v>6</v>
      </c>
      <c r="G1525" s="113" t="s">
        <v>5</v>
      </c>
      <c r="H1525" s="113">
        <v>0.01</v>
      </c>
      <c r="I1525" s="113">
        <v>4.5010000000000001E-2</v>
      </c>
      <c r="J1525" s="113" t="s">
        <v>10</v>
      </c>
      <c r="K1525" s="113">
        <v>62.01</v>
      </c>
      <c r="L1525" s="113">
        <v>1125.5</v>
      </c>
      <c r="M1525" s="113">
        <v>61.999000000000002</v>
      </c>
      <c r="N1525" s="113">
        <v>1123.8</v>
      </c>
      <c r="O1525" s="114" t="s">
        <v>1961</v>
      </c>
    </row>
    <row r="1526" spans="1:15" x14ac:dyDescent="0.25">
      <c r="A1526" s="113" t="s">
        <v>54</v>
      </c>
      <c r="B1526" s="113" t="s">
        <v>8</v>
      </c>
      <c r="C1526" s="113">
        <v>0</v>
      </c>
      <c r="D1526" s="113">
        <v>3.3009999999999998E-2</v>
      </c>
      <c r="E1526" s="113">
        <v>1E-4</v>
      </c>
      <c r="F1526" s="113" t="s">
        <v>6</v>
      </c>
      <c r="G1526" s="113" t="s">
        <v>5</v>
      </c>
      <c r="H1526" s="113">
        <v>10</v>
      </c>
      <c r="I1526" s="113">
        <v>20.010000000000002</v>
      </c>
      <c r="J1526" s="113" t="s">
        <v>10</v>
      </c>
      <c r="K1526" s="113">
        <v>62.01</v>
      </c>
      <c r="L1526" s="113">
        <v>1125.5</v>
      </c>
      <c r="M1526" s="113">
        <v>61.999000000000002</v>
      </c>
      <c r="N1526" s="113">
        <v>1123.8</v>
      </c>
      <c r="O1526" s="114" t="s">
        <v>1963</v>
      </c>
    </row>
    <row r="1527" spans="1:15" x14ac:dyDescent="0.25">
      <c r="A1527" s="113" t="s">
        <v>54</v>
      </c>
      <c r="B1527" s="113" t="s">
        <v>8</v>
      </c>
      <c r="C1527" s="113">
        <v>0</v>
      </c>
      <c r="D1527" s="113">
        <v>3.3009999999999998E-2</v>
      </c>
      <c r="E1527" s="113">
        <v>1E-4</v>
      </c>
      <c r="F1527" s="113" t="s">
        <v>6</v>
      </c>
      <c r="G1527" s="113" t="s">
        <v>5</v>
      </c>
      <c r="H1527" s="113">
        <v>500</v>
      </c>
      <c r="I1527" s="113">
        <v>501</v>
      </c>
      <c r="J1527" s="113" t="s">
        <v>10</v>
      </c>
      <c r="K1527" s="113">
        <v>91.463999999999999</v>
      </c>
      <c r="L1527" s="113">
        <v>11024</v>
      </c>
      <c r="M1527" s="113">
        <v>91.322000000000003</v>
      </c>
      <c r="N1527" s="113">
        <v>11026</v>
      </c>
      <c r="O1527" s="114" t="s">
        <v>1965</v>
      </c>
    </row>
    <row r="1528" spans="1:15" x14ac:dyDescent="0.25">
      <c r="A1528" s="113" t="s">
        <v>54</v>
      </c>
      <c r="B1528" s="113" t="s">
        <v>8</v>
      </c>
      <c r="C1528" s="113">
        <v>0</v>
      </c>
      <c r="D1528" s="113">
        <v>3.3009999999999998E-2</v>
      </c>
      <c r="E1528" s="113">
        <v>1E-4</v>
      </c>
      <c r="F1528" s="113" t="s">
        <v>6</v>
      </c>
      <c r="G1528" s="113" t="s">
        <v>5</v>
      </c>
      <c r="H1528" s="113">
        <v>4.4999999999999998E-2</v>
      </c>
      <c r="I1528" s="113">
        <v>10.00001</v>
      </c>
      <c r="J1528" s="113" t="s">
        <v>10</v>
      </c>
      <c r="K1528" s="113">
        <v>62.237000000000002</v>
      </c>
      <c r="L1528" s="113">
        <v>673.84</v>
      </c>
      <c r="M1528" s="113">
        <v>62.225000000000001</v>
      </c>
      <c r="N1528" s="113">
        <v>671.86</v>
      </c>
      <c r="O1528" s="114" t="s">
        <v>1960</v>
      </c>
    </row>
    <row r="1529" spans="1:15" x14ac:dyDescent="0.25">
      <c r="A1529" s="113" t="s">
        <v>54</v>
      </c>
      <c r="B1529" s="113" t="s">
        <v>8</v>
      </c>
      <c r="C1529" s="113">
        <v>0</v>
      </c>
      <c r="D1529" s="113">
        <v>3.3009999999999998E-2</v>
      </c>
      <c r="E1529" s="113">
        <v>1E-4</v>
      </c>
      <c r="F1529" s="113" t="s">
        <v>6</v>
      </c>
      <c r="G1529" s="113" t="s">
        <v>5</v>
      </c>
      <c r="H1529" s="113">
        <v>20</v>
      </c>
      <c r="I1529" s="113">
        <v>50.01</v>
      </c>
      <c r="J1529" s="113" t="s">
        <v>10</v>
      </c>
      <c r="K1529" s="113">
        <v>61.904000000000003</v>
      </c>
      <c r="L1529" s="113">
        <v>1615.7</v>
      </c>
      <c r="M1529" s="113">
        <v>61.89</v>
      </c>
      <c r="N1529" s="113">
        <v>1614.4</v>
      </c>
      <c r="O1529" s="114" t="s">
        <v>1964</v>
      </c>
    </row>
    <row r="1530" spans="1:15" x14ac:dyDescent="0.25">
      <c r="A1530" s="113" t="s">
        <v>54</v>
      </c>
      <c r="B1530" s="113" t="s">
        <v>8</v>
      </c>
      <c r="C1530" s="113">
        <v>0</v>
      </c>
      <c r="D1530" s="113">
        <v>3.3009999999999998E-2</v>
      </c>
      <c r="E1530" s="113">
        <v>1E-4</v>
      </c>
      <c r="F1530" s="113" t="s">
        <v>6</v>
      </c>
      <c r="G1530" s="113" t="s">
        <v>5</v>
      </c>
      <c r="H1530" s="113">
        <v>50</v>
      </c>
      <c r="I1530" s="113">
        <v>100.01</v>
      </c>
      <c r="J1530" s="113" t="s">
        <v>10</v>
      </c>
      <c r="K1530" s="113">
        <v>68.858000000000004</v>
      </c>
      <c r="L1530" s="113">
        <v>3411.4</v>
      </c>
      <c r="M1530" s="113">
        <v>68.766000000000005</v>
      </c>
      <c r="N1530" s="113">
        <v>3411.7</v>
      </c>
      <c r="O1530" s="114" t="s">
        <v>1959</v>
      </c>
    </row>
    <row r="1531" spans="1:15" x14ac:dyDescent="0.25">
      <c r="A1531" s="113" t="s">
        <v>54</v>
      </c>
      <c r="B1531" s="113" t="s">
        <v>8</v>
      </c>
      <c r="C1531" s="113">
        <v>0</v>
      </c>
      <c r="D1531" s="113">
        <v>3.3009999999999998E-2</v>
      </c>
      <c r="E1531" s="113">
        <v>1E-3</v>
      </c>
      <c r="F1531" s="113" t="s">
        <v>6</v>
      </c>
      <c r="G1531" s="113" t="s">
        <v>5</v>
      </c>
      <c r="H1531" s="113">
        <v>50</v>
      </c>
      <c r="I1531" s="113">
        <v>100.01</v>
      </c>
      <c r="J1531" s="113" t="s">
        <v>10</v>
      </c>
      <c r="K1531" s="113">
        <v>580.9</v>
      </c>
      <c r="L1531" s="113">
        <v>730.69</v>
      </c>
      <c r="M1531" s="113">
        <v>580.86</v>
      </c>
      <c r="N1531" s="113">
        <v>729</v>
      </c>
      <c r="O1531" s="114" t="s">
        <v>1968</v>
      </c>
    </row>
    <row r="1532" spans="1:15" x14ac:dyDescent="0.25">
      <c r="A1532" s="113" t="s">
        <v>54</v>
      </c>
      <c r="B1532" s="113" t="s">
        <v>8</v>
      </c>
      <c r="C1532" s="113">
        <v>0</v>
      </c>
      <c r="D1532" s="113">
        <v>3.3009999999999998E-2</v>
      </c>
      <c r="E1532" s="113">
        <v>1E-3</v>
      </c>
      <c r="F1532" s="113" t="s">
        <v>6</v>
      </c>
      <c r="G1532" s="113" t="s">
        <v>5</v>
      </c>
      <c r="H1532" s="113">
        <v>4.4999999999999998E-2</v>
      </c>
      <c r="I1532" s="113">
        <v>10.00001</v>
      </c>
      <c r="J1532" s="113" t="s">
        <v>10</v>
      </c>
      <c r="K1532" s="113">
        <v>580.42999999999995</v>
      </c>
      <c r="L1532" s="113">
        <v>86.247</v>
      </c>
      <c r="M1532" s="113">
        <v>580.42999999999995</v>
      </c>
      <c r="N1532" s="113">
        <v>85.036000000000001</v>
      </c>
      <c r="O1532" s="114" t="s">
        <v>1966</v>
      </c>
    </row>
    <row r="1533" spans="1:15" x14ac:dyDescent="0.25">
      <c r="A1533" s="113" t="s">
        <v>54</v>
      </c>
      <c r="B1533" s="113" t="s">
        <v>8</v>
      </c>
      <c r="C1533" s="113">
        <v>0</v>
      </c>
      <c r="D1533" s="113">
        <v>3.3009999999999998E-2</v>
      </c>
      <c r="E1533" s="113">
        <v>1E-3</v>
      </c>
      <c r="F1533" s="113" t="s">
        <v>6</v>
      </c>
      <c r="G1533" s="113" t="s">
        <v>5</v>
      </c>
      <c r="H1533" s="113">
        <v>500</v>
      </c>
      <c r="I1533" s="113">
        <v>501</v>
      </c>
      <c r="J1533" s="113" t="s">
        <v>10</v>
      </c>
      <c r="K1533" s="113">
        <v>581.54</v>
      </c>
      <c r="L1533" s="113">
        <v>4655.8999999999996</v>
      </c>
      <c r="M1533" s="113">
        <v>581.45000000000005</v>
      </c>
      <c r="N1533" s="113">
        <v>4653.2</v>
      </c>
      <c r="O1533" s="114" t="s">
        <v>1970</v>
      </c>
    </row>
    <row r="1534" spans="1:15" x14ac:dyDescent="0.25">
      <c r="A1534" s="113" t="s">
        <v>54</v>
      </c>
      <c r="B1534" s="113" t="s">
        <v>8</v>
      </c>
      <c r="C1534" s="113">
        <v>0</v>
      </c>
      <c r="D1534" s="113">
        <v>3.3009999999999998E-2</v>
      </c>
      <c r="E1534" s="113">
        <v>1E-3</v>
      </c>
      <c r="F1534" s="113" t="s">
        <v>6</v>
      </c>
      <c r="G1534" s="113" t="s">
        <v>5</v>
      </c>
      <c r="H1534" s="113">
        <v>100</v>
      </c>
      <c r="I1534" s="113">
        <v>500</v>
      </c>
      <c r="J1534" s="113" t="s">
        <v>10</v>
      </c>
      <c r="K1534" s="113">
        <v>581.54</v>
      </c>
      <c r="L1534" s="113">
        <v>4655.8999999999996</v>
      </c>
      <c r="M1534" s="113">
        <v>581.45000000000005</v>
      </c>
      <c r="N1534" s="113">
        <v>4653.2</v>
      </c>
      <c r="O1534" s="114" t="s">
        <v>1969</v>
      </c>
    </row>
    <row r="1535" spans="1:15" x14ac:dyDescent="0.25">
      <c r="A1535" s="113" t="s">
        <v>54</v>
      </c>
      <c r="B1535" s="113" t="s">
        <v>8</v>
      </c>
      <c r="C1535" s="113">
        <v>0</v>
      </c>
      <c r="D1535" s="113">
        <v>3.3009999999999998E-2</v>
      </c>
      <c r="E1535" s="113">
        <v>1E-3</v>
      </c>
      <c r="F1535" s="113" t="s">
        <v>6</v>
      </c>
      <c r="G1535" s="113" t="s">
        <v>5</v>
      </c>
      <c r="H1535" s="113">
        <v>0.01</v>
      </c>
      <c r="I1535" s="113">
        <v>4.5010000000000001E-2</v>
      </c>
      <c r="J1535" s="113" t="s">
        <v>10</v>
      </c>
      <c r="K1535" s="113">
        <v>580.38</v>
      </c>
      <c r="L1535" s="113">
        <v>157.54</v>
      </c>
      <c r="M1535" s="113">
        <v>580.38</v>
      </c>
      <c r="N1535" s="113">
        <v>156.33000000000001</v>
      </c>
      <c r="O1535" s="114" t="s">
        <v>1972</v>
      </c>
    </row>
    <row r="1536" spans="1:15" x14ac:dyDescent="0.25">
      <c r="A1536" s="113" t="s">
        <v>54</v>
      </c>
      <c r="B1536" s="113" t="s">
        <v>8</v>
      </c>
      <c r="C1536" s="113">
        <v>0</v>
      </c>
      <c r="D1536" s="113">
        <v>3.3009999999999998E-2</v>
      </c>
      <c r="E1536" s="113">
        <v>1E-3</v>
      </c>
      <c r="F1536" s="113" t="s">
        <v>6</v>
      </c>
      <c r="G1536" s="113" t="s">
        <v>5</v>
      </c>
      <c r="H1536" s="113">
        <v>10</v>
      </c>
      <c r="I1536" s="113">
        <v>20.010000000000002</v>
      </c>
      <c r="J1536" s="113" t="s">
        <v>10</v>
      </c>
      <c r="K1536" s="113">
        <v>580.38</v>
      </c>
      <c r="L1536" s="113">
        <v>157.54</v>
      </c>
      <c r="M1536" s="113">
        <v>580.38</v>
      </c>
      <c r="N1536" s="113">
        <v>156.33000000000001</v>
      </c>
      <c r="O1536" s="114" t="s">
        <v>1971</v>
      </c>
    </row>
    <row r="1537" spans="1:15" x14ac:dyDescent="0.25">
      <c r="A1537" s="113" t="s">
        <v>54</v>
      </c>
      <c r="B1537" s="113" t="s">
        <v>8</v>
      </c>
      <c r="C1537" s="113">
        <v>0</v>
      </c>
      <c r="D1537" s="113">
        <v>3.3009999999999998E-2</v>
      </c>
      <c r="E1537" s="113">
        <v>1E-3</v>
      </c>
      <c r="F1537" s="113" t="s">
        <v>6</v>
      </c>
      <c r="G1537" s="113" t="s">
        <v>5</v>
      </c>
      <c r="H1537" s="113">
        <v>20</v>
      </c>
      <c r="I1537" s="113">
        <v>50.01</v>
      </c>
      <c r="J1537" s="113" t="s">
        <v>10</v>
      </c>
      <c r="K1537" s="113">
        <v>580.34</v>
      </c>
      <c r="L1537" s="113">
        <v>247.93</v>
      </c>
      <c r="M1537" s="113">
        <v>580.33000000000004</v>
      </c>
      <c r="N1537" s="113">
        <v>246.73</v>
      </c>
      <c r="O1537" s="114" t="s">
        <v>1967</v>
      </c>
    </row>
    <row r="1538" spans="1:15" x14ac:dyDescent="0.25">
      <c r="A1538" s="113" t="s">
        <v>54</v>
      </c>
      <c r="B1538" s="113" t="s">
        <v>8</v>
      </c>
      <c r="C1538" s="113">
        <v>0</v>
      </c>
      <c r="D1538" s="113">
        <v>3.3009999999999998E-2</v>
      </c>
      <c r="E1538" s="113">
        <v>0.01</v>
      </c>
      <c r="F1538" s="113" t="s">
        <v>6</v>
      </c>
      <c r="G1538" s="113" t="s">
        <v>5</v>
      </c>
      <c r="H1538" s="113">
        <v>500</v>
      </c>
      <c r="I1538" s="113">
        <v>501</v>
      </c>
      <c r="J1538" s="113" t="s">
        <v>10</v>
      </c>
      <c r="K1538" s="113">
        <v>5800.1</v>
      </c>
      <c r="L1538" s="113">
        <v>530.77</v>
      </c>
      <c r="M1538" s="113">
        <v>5800.1</v>
      </c>
      <c r="N1538" s="113">
        <v>529.12</v>
      </c>
      <c r="O1538" s="114" t="s">
        <v>1973</v>
      </c>
    </row>
    <row r="1539" spans="1:15" x14ac:dyDescent="0.25">
      <c r="A1539" s="113" t="s">
        <v>54</v>
      </c>
      <c r="B1539" s="113" t="s">
        <v>8</v>
      </c>
      <c r="C1539" s="113">
        <v>0</v>
      </c>
      <c r="D1539" s="113">
        <v>3.3009999999999998E-2</v>
      </c>
      <c r="E1539" s="113">
        <v>0.01</v>
      </c>
      <c r="F1539" s="113" t="s">
        <v>6</v>
      </c>
      <c r="G1539" s="113" t="s">
        <v>5</v>
      </c>
      <c r="H1539" s="113">
        <v>10</v>
      </c>
      <c r="I1539" s="113">
        <v>20.010000000000002</v>
      </c>
      <c r="J1539" s="113" t="s">
        <v>10</v>
      </c>
      <c r="K1539" s="113">
        <v>5800</v>
      </c>
      <c r="L1539" s="113">
        <v>16.202000000000002</v>
      </c>
      <c r="M1539" s="113">
        <v>5800</v>
      </c>
      <c r="N1539" s="113">
        <v>15.714</v>
      </c>
      <c r="O1539" s="114" t="s">
        <v>1974</v>
      </c>
    </row>
    <row r="1540" spans="1:15" x14ac:dyDescent="0.25">
      <c r="A1540" s="113" t="s">
        <v>54</v>
      </c>
      <c r="B1540" s="113" t="s">
        <v>8</v>
      </c>
      <c r="C1540" s="113">
        <v>0</v>
      </c>
      <c r="D1540" s="113">
        <v>3.3009999999999998E-2</v>
      </c>
      <c r="E1540" s="113">
        <v>0.01</v>
      </c>
      <c r="F1540" s="113" t="s">
        <v>6</v>
      </c>
      <c r="G1540" s="113" t="s">
        <v>5</v>
      </c>
      <c r="H1540" s="113">
        <v>0.01</v>
      </c>
      <c r="I1540" s="113">
        <v>4.5010000000000001E-2</v>
      </c>
      <c r="J1540" s="113" t="s">
        <v>10</v>
      </c>
      <c r="K1540" s="113">
        <v>5800</v>
      </c>
      <c r="L1540" s="113">
        <v>16.202000000000002</v>
      </c>
      <c r="M1540" s="113">
        <v>5800</v>
      </c>
      <c r="N1540" s="113">
        <v>15.714</v>
      </c>
      <c r="O1540" s="114" t="s">
        <v>1977</v>
      </c>
    </row>
    <row r="1541" spans="1:15" x14ac:dyDescent="0.25">
      <c r="A1541" s="113" t="s">
        <v>54</v>
      </c>
      <c r="B1541" s="113" t="s">
        <v>8</v>
      </c>
      <c r="C1541" s="113">
        <v>0</v>
      </c>
      <c r="D1541" s="113">
        <v>3.3009999999999998E-2</v>
      </c>
      <c r="E1541" s="113">
        <v>0.01</v>
      </c>
      <c r="F1541" s="113" t="s">
        <v>6</v>
      </c>
      <c r="G1541" s="113" t="s">
        <v>5</v>
      </c>
      <c r="H1541" s="113">
        <v>100</v>
      </c>
      <c r="I1541" s="113">
        <v>500</v>
      </c>
      <c r="J1541" s="113" t="s">
        <v>10</v>
      </c>
      <c r="K1541" s="113">
        <v>5800.1</v>
      </c>
      <c r="L1541" s="113">
        <v>530.77</v>
      </c>
      <c r="M1541" s="113">
        <v>5800.1</v>
      </c>
      <c r="N1541" s="113">
        <v>529.12</v>
      </c>
      <c r="O1541" s="114" t="s">
        <v>2678</v>
      </c>
    </row>
    <row r="1542" spans="1:15" x14ac:dyDescent="0.25">
      <c r="A1542" s="113" t="s">
        <v>54</v>
      </c>
      <c r="B1542" s="113" t="s">
        <v>8</v>
      </c>
      <c r="C1542" s="113">
        <v>0</v>
      </c>
      <c r="D1542" s="113">
        <v>3.3009999999999998E-2</v>
      </c>
      <c r="E1542" s="113">
        <v>0.01</v>
      </c>
      <c r="F1542" s="113" t="s">
        <v>6</v>
      </c>
      <c r="G1542" s="113" t="s">
        <v>5</v>
      </c>
      <c r="H1542" s="113">
        <v>50</v>
      </c>
      <c r="I1542" s="113">
        <v>100.01</v>
      </c>
      <c r="J1542" s="113" t="s">
        <v>10</v>
      </c>
      <c r="K1542" s="113">
        <v>5800.1</v>
      </c>
      <c r="L1542" s="113">
        <v>75.275000000000006</v>
      </c>
      <c r="M1542" s="113">
        <v>5800.1</v>
      </c>
      <c r="N1542" s="113">
        <v>74.549000000000007</v>
      </c>
      <c r="O1542" s="114" t="s">
        <v>1976</v>
      </c>
    </row>
    <row r="1543" spans="1:15" x14ac:dyDescent="0.25">
      <c r="A1543" s="113" t="s">
        <v>54</v>
      </c>
      <c r="B1543" s="113" t="s">
        <v>8</v>
      </c>
      <c r="C1543" s="113">
        <v>0</v>
      </c>
      <c r="D1543" s="113">
        <v>3.3009999999999998E-2</v>
      </c>
      <c r="E1543" s="113">
        <v>0.01</v>
      </c>
      <c r="F1543" s="113" t="s">
        <v>6</v>
      </c>
      <c r="G1543" s="113" t="s">
        <v>5</v>
      </c>
      <c r="H1543" s="113">
        <v>4.4999999999999998E-2</v>
      </c>
      <c r="I1543" s="113">
        <v>10.00001</v>
      </c>
      <c r="J1543" s="113" t="s">
        <v>10</v>
      </c>
      <c r="K1543" s="113">
        <v>5800.1</v>
      </c>
      <c r="L1543" s="113">
        <v>9.0181000000000004</v>
      </c>
      <c r="M1543" s="113">
        <v>5800.1</v>
      </c>
      <c r="N1543" s="113">
        <v>8.5306999999999995</v>
      </c>
      <c r="O1543" s="114" t="s">
        <v>2677</v>
      </c>
    </row>
    <row r="1544" spans="1:15" x14ac:dyDescent="0.25">
      <c r="A1544" s="113" t="s">
        <v>54</v>
      </c>
      <c r="B1544" s="113" t="s">
        <v>8</v>
      </c>
      <c r="C1544" s="113">
        <v>0</v>
      </c>
      <c r="D1544" s="113">
        <v>3.3009999999999998E-2</v>
      </c>
      <c r="E1544" s="113">
        <v>0.01</v>
      </c>
      <c r="F1544" s="113" t="s">
        <v>6</v>
      </c>
      <c r="G1544" s="113" t="s">
        <v>5</v>
      </c>
      <c r="H1544" s="113">
        <v>20</v>
      </c>
      <c r="I1544" s="113">
        <v>50.01</v>
      </c>
      <c r="J1544" s="113" t="s">
        <v>10</v>
      </c>
      <c r="K1544" s="113">
        <v>5800</v>
      </c>
      <c r="L1544" s="113">
        <v>25.350999999999999</v>
      </c>
      <c r="M1544" s="113">
        <v>5800</v>
      </c>
      <c r="N1544" s="113">
        <v>24.864000000000001</v>
      </c>
      <c r="O1544" s="114" t="s">
        <v>1975</v>
      </c>
    </row>
    <row r="1545" spans="1:15" x14ac:dyDescent="0.25">
      <c r="A1545" s="113" t="s">
        <v>54</v>
      </c>
      <c r="B1545" s="113" t="s">
        <v>8</v>
      </c>
      <c r="C1545" s="113">
        <v>0</v>
      </c>
      <c r="D1545" s="113">
        <v>3.3009999999999998E-2</v>
      </c>
      <c r="E1545" s="113">
        <v>0.1</v>
      </c>
      <c r="F1545" s="113" t="s">
        <v>6</v>
      </c>
      <c r="G1545" s="113" t="s">
        <v>5</v>
      </c>
      <c r="H1545" s="113">
        <v>500</v>
      </c>
      <c r="I1545" s="113">
        <v>501</v>
      </c>
      <c r="J1545" s="113" t="s">
        <v>10</v>
      </c>
      <c r="K1545" s="113">
        <v>58000</v>
      </c>
      <c r="L1545" s="113">
        <v>53.658999999999999</v>
      </c>
      <c r="M1545" s="113">
        <v>58000</v>
      </c>
      <c r="N1545" s="113">
        <v>52.994</v>
      </c>
      <c r="O1545" s="114" t="s">
        <v>1983</v>
      </c>
    </row>
    <row r="1546" spans="1:15" x14ac:dyDescent="0.25">
      <c r="A1546" s="113" t="s">
        <v>54</v>
      </c>
      <c r="B1546" s="113" t="s">
        <v>8</v>
      </c>
      <c r="C1546" s="113">
        <v>0</v>
      </c>
      <c r="D1546" s="113">
        <v>3.3009999999999998E-2</v>
      </c>
      <c r="E1546" s="113">
        <v>0.1</v>
      </c>
      <c r="F1546" s="113" t="s">
        <v>6</v>
      </c>
      <c r="G1546" s="113" t="s">
        <v>5</v>
      </c>
      <c r="H1546" s="113">
        <v>50</v>
      </c>
      <c r="I1546" s="113">
        <v>100.01</v>
      </c>
      <c r="J1546" s="113" t="s">
        <v>10</v>
      </c>
      <c r="K1546" s="113">
        <v>58000</v>
      </c>
      <c r="L1546" s="113">
        <v>7.7473999999999998</v>
      </c>
      <c r="M1546" s="113">
        <v>58000</v>
      </c>
      <c r="N1546" s="113">
        <v>7.4565999999999999</v>
      </c>
      <c r="O1546" s="114" t="s">
        <v>1981</v>
      </c>
    </row>
    <row r="1547" spans="1:15" x14ac:dyDescent="0.25">
      <c r="A1547" s="113" t="s">
        <v>54</v>
      </c>
      <c r="B1547" s="113" t="s">
        <v>8</v>
      </c>
      <c r="C1547" s="113">
        <v>0</v>
      </c>
      <c r="D1547" s="113">
        <v>3.3009999999999998E-2</v>
      </c>
      <c r="E1547" s="113">
        <v>0.1</v>
      </c>
      <c r="F1547" s="113" t="s">
        <v>6</v>
      </c>
      <c r="G1547" s="113" t="s">
        <v>5</v>
      </c>
      <c r="H1547" s="113">
        <v>20</v>
      </c>
      <c r="I1547" s="113">
        <v>50.01</v>
      </c>
      <c r="J1547" s="113" t="s">
        <v>10</v>
      </c>
      <c r="K1547" s="113">
        <v>58000</v>
      </c>
      <c r="L1547" s="113">
        <v>2.6816</v>
      </c>
      <c r="M1547" s="113">
        <v>58000</v>
      </c>
      <c r="N1547" s="113">
        <v>2.4866000000000001</v>
      </c>
      <c r="O1547" s="114" t="s">
        <v>1984</v>
      </c>
    </row>
    <row r="1548" spans="1:15" x14ac:dyDescent="0.25">
      <c r="A1548" s="113" t="s">
        <v>54</v>
      </c>
      <c r="B1548" s="113" t="s">
        <v>8</v>
      </c>
      <c r="C1548" s="113">
        <v>0</v>
      </c>
      <c r="D1548" s="113">
        <v>3.3009999999999998E-2</v>
      </c>
      <c r="E1548" s="113">
        <v>0.1</v>
      </c>
      <c r="F1548" s="113" t="s">
        <v>6</v>
      </c>
      <c r="G1548" s="113" t="s">
        <v>5</v>
      </c>
      <c r="H1548" s="113">
        <v>0.01</v>
      </c>
      <c r="I1548" s="113">
        <v>4.5010000000000001E-2</v>
      </c>
      <c r="J1548" s="113" t="s">
        <v>10</v>
      </c>
      <c r="K1548" s="113">
        <v>58000</v>
      </c>
      <c r="L1548" s="113">
        <v>1.7665</v>
      </c>
      <c r="M1548" s="113">
        <v>58000</v>
      </c>
      <c r="N1548" s="113">
        <v>1.5714999999999999</v>
      </c>
      <c r="O1548" s="114" t="s">
        <v>1978</v>
      </c>
    </row>
    <row r="1549" spans="1:15" x14ac:dyDescent="0.25">
      <c r="A1549" s="113" t="s">
        <v>54</v>
      </c>
      <c r="B1549" s="113" t="s">
        <v>8</v>
      </c>
      <c r="C1549" s="113">
        <v>0</v>
      </c>
      <c r="D1549" s="113">
        <v>3.3009999999999998E-2</v>
      </c>
      <c r="E1549" s="113">
        <v>0.1</v>
      </c>
      <c r="F1549" s="113" t="s">
        <v>6</v>
      </c>
      <c r="G1549" s="113" t="s">
        <v>5</v>
      </c>
      <c r="H1549" s="113">
        <v>100</v>
      </c>
      <c r="I1549" s="113">
        <v>500</v>
      </c>
      <c r="J1549" s="113" t="s">
        <v>10</v>
      </c>
      <c r="K1549" s="113">
        <v>58000</v>
      </c>
      <c r="L1549" s="113">
        <v>53.658999999999999</v>
      </c>
      <c r="M1549" s="113">
        <v>58000</v>
      </c>
      <c r="N1549" s="113">
        <v>52.994</v>
      </c>
      <c r="O1549" s="114" t="s">
        <v>1982</v>
      </c>
    </row>
    <row r="1550" spans="1:15" x14ac:dyDescent="0.25">
      <c r="A1550" s="113" t="s">
        <v>54</v>
      </c>
      <c r="B1550" s="113" t="s">
        <v>8</v>
      </c>
      <c r="C1550" s="113">
        <v>0</v>
      </c>
      <c r="D1550" s="113">
        <v>3.3009999999999998E-2</v>
      </c>
      <c r="E1550" s="113">
        <v>0.1</v>
      </c>
      <c r="F1550" s="113" t="s">
        <v>6</v>
      </c>
      <c r="G1550" s="113" t="s">
        <v>5</v>
      </c>
      <c r="H1550" s="113">
        <v>10</v>
      </c>
      <c r="I1550" s="113">
        <v>20.010000000000002</v>
      </c>
      <c r="J1550" s="113" t="s">
        <v>10</v>
      </c>
      <c r="K1550" s="113">
        <v>58000</v>
      </c>
      <c r="L1550" s="113">
        <v>1.7665</v>
      </c>
      <c r="M1550" s="113">
        <v>58000</v>
      </c>
      <c r="N1550" s="113">
        <v>1.5714999999999999</v>
      </c>
      <c r="O1550" s="114" t="s">
        <v>1980</v>
      </c>
    </row>
    <row r="1551" spans="1:15" x14ac:dyDescent="0.25">
      <c r="A1551" s="113" t="s">
        <v>54</v>
      </c>
      <c r="B1551" s="113" t="s">
        <v>8</v>
      </c>
      <c r="C1551" s="113">
        <v>0</v>
      </c>
      <c r="D1551" s="113">
        <v>3.3009999999999998E-2</v>
      </c>
      <c r="E1551" s="113">
        <v>0.1</v>
      </c>
      <c r="F1551" s="113" t="s">
        <v>6</v>
      </c>
      <c r="G1551" s="113" t="s">
        <v>5</v>
      </c>
      <c r="H1551" s="113">
        <v>4.4999999999999998E-2</v>
      </c>
      <c r="I1551" s="113">
        <v>10.00001</v>
      </c>
      <c r="J1551" s="113" t="s">
        <v>10</v>
      </c>
      <c r="K1551" s="113">
        <v>58000</v>
      </c>
      <c r="L1551" s="113">
        <v>1.0481</v>
      </c>
      <c r="M1551" s="113">
        <v>58000</v>
      </c>
      <c r="N1551" s="113">
        <v>0.85309999999999997</v>
      </c>
      <c r="O1551" s="114" t="s">
        <v>1979</v>
      </c>
    </row>
    <row r="1552" spans="1:15" x14ac:dyDescent="0.25">
      <c r="A1552" s="113" t="s">
        <v>54</v>
      </c>
      <c r="B1552" s="113" t="s">
        <v>8</v>
      </c>
      <c r="C1552" s="113">
        <v>0</v>
      </c>
      <c r="D1552" s="113">
        <v>3.3009999999999998E-2</v>
      </c>
      <c r="E1552" s="113">
        <v>1</v>
      </c>
      <c r="F1552" s="113" t="s">
        <v>6</v>
      </c>
      <c r="G1552" s="113" t="s">
        <v>5</v>
      </c>
      <c r="H1552" s="113">
        <v>10</v>
      </c>
      <c r="I1552" s="113">
        <v>20.010000000000002</v>
      </c>
      <c r="J1552" s="113" t="s">
        <v>10</v>
      </c>
      <c r="K1552" s="113">
        <v>580000</v>
      </c>
      <c r="L1552" s="113">
        <v>0.23513999999999999</v>
      </c>
      <c r="M1552" s="113">
        <v>580000</v>
      </c>
      <c r="N1552" s="113">
        <v>0.15715000000000001</v>
      </c>
      <c r="O1552" s="114" t="s">
        <v>1988</v>
      </c>
    </row>
    <row r="1553" spans="1:15" x14ac:dyDescent="0.25">
      <c r="A1553" s="113" t="s">
        <v>54</v>
      </c>
      <c r="B1553" s="113" t="s">
        <v>8</v>
      </c>
      <c r="C1553" s="113">
        <v>0</v>
      </c>
      <c r="D1553" s="113">
        <v>3.3009999999999998E-2</v>
      </c>
      <c r="E1553" s="113">
        <v>1</v>
      </c>
      <c r="F1553" s="113" t="s">
        <v>6</v>
      </c>
      <c r="G1553" s="113" t="s">
        <v>5</v>
      </c>
      <c r="H1553" s="113">
        <v>500</v>
      </c>
      <c r="I1553" s="113">
        <v>501</v>
      </c>
      <c r="J1553" s="113" t="s">
        <v>10</v>
      </c>
      <c r="K1553" s="113">
        <v>580000</v>
      </c>
      <c r="L1553" s="113">
        <v>5.5656999999999996</v>
      </c>
      <c r="M1553" s="113">
        <v>580000</v>
      </c>
      <c r="N1553" s="113">
        <v>5.2995000000000001</v>
      </c>
      <c r="O1553" s="114" t="s">
        <v>2679</v>
      </c>
    </row>
    <row r="1554" spans="1:15" x14ac:dyDescent="0.25">
      <c r="A1554" s="113" t="s">
        <v>54</v>
      </c>
      <c r="B1554" s="113" t="s">
        <v>8</v>
      </c>
      <c r="C1554" s="113">
        <v>0</v>
      </c>
      <c r="D1554" s="113">
        <v>3.3009999999999998E-2</v>
      </c>
      <c r="E1554" s="113">
        <v>1</v>
      </c>
      <c r="F1554" s="113" t="s">
        <v>6</v>
      </c>
      <c r="G1554" s="113" t="s">
        <v>5</v>
      </c>
      <c r="H1554" s="113">
        <v>20</v>
      </c>
      <c r="I1554" s="113">
        <v>50.01</v>
      </c>
      <c r="J1554" s="113" t="s">
        <v>10</v>
      </c>
      <c r="K1554" s="113">
        <v>580000</v>
      </c>
      <c r="L1554" s="113">
        <v>0.32665</v>
      </c>
      <c r="M1554" s="113">
        <v>580000</v>
      </c>
      <c r="N1554" s="113">
        <v>0.24865999999999999</v>
      </c>
      <c r="O1554" s="114" t="s">
        <v>1987</v>
      </c>
    </row>
    <row r="1555" spans="1:15" x14ac:dyDescent="0.25">
      <c r="A1555" s="113" t="s">
        <v>54</v>
      </c>
      <c r="B1555" s="113" t="s">
        <v>8</v>
      </c>
      <c r="C1555" s="113">
        <v>0</v>
      </c>
      <c r="D1555" s="113">
        <v>3.3009999999999998E-2</v>
      </c>
      <c r="E1555" s="113">
        <v>1</v>
      </c>
      <c r="F1555" s="113" t="s">
        <v>6</v>
      </c>
      <c r="G1555" s="113" t="s">
        <v>5</v>
      </c>
      <c r="H1555" s="113">
        <v>50</v>
      </c>
      <c r="I1555" s="113">
        <v>100.01</v>
      </c>
      <c r="J1555" s="113" t="s">
        <v>10</v>
      </c>
      <c r="K1555" s="113">
        <v>580000</v>
      </c>
      <c r="L1555" s="113">
        <v>0.86197000000000001</v>
      </c>
      <c r="M1555" s="113">
        <v>580000</v>
      </c>
      <c r="N1555" s="113">
        <v>0.74565999999999999</v>
      </c>
      <c r="O1555" s="114" t="s">
        <v>2680</v>
      </c>
    </row>
    <row r="1556" spans="1:15" x14ac:dyDescent="0.25">
      <c r="A1556" s="113" t="s">
        <v>54</v>
      </c>
      <c r="B1556" s="113" t="s">
        <v>8</v>
      </c>
      <c r="C1556" s="113">
        <v>0</v>
      </c>
      <c r="D1556" s="113">
        <v>3.3009999999999998E-2</v>
      </c>
      <c r="E1556" s="113">
        <v>1</v>
      </c>
      <c r="F1556" s="113" t="s">
        <v>6</v>
      </c>
      <c r="G1556" s="113" t="s">
        <v>5</v>
      </c>
      <c r="H1556" s="113">
        <v>0.01</v>
      </c>
      <c r="I1556" s="113">
        <v>4.5010000000000001E-2</v>
      </c>
      <c r="J1556" s="113" t="s">
        <v>10</v>
      </c>
      <c r="K1556" s="113">
        <v>580000</v>
      </c>
      <c r="L1556" s="113">
        <v>0.23513999999999999</v>
      </c>
      <c r="M1556" s="113">
        <v>580000</v>
      </c>
      <c r="N1556" s="113">
        <v>0.15715000000000001</v>
      </c>
      <c r="O1556" s="114" t="s">
        <v>1989</v>
      </c>
    </row>
    <row r="1557" spans="1:15" x14ac:dyDescent="0.25">
      <c r="A1557" s="113" t="s">
        <v>54</v>
      </c>
      <c r="B1557" s="113" t="s">
        <v>8</v>
      </c>
      <c r="C1557" s="113">
        <v>0</v>
      </c>
      <c r="D1557" s="113">
        <v>3.3009999999999998E-2</v>
      </c>
      <c r="E1557" s="113">
        <v>1</v>
      </c>
      <c r="F1557" s="113" t="s">
        <v>6</v>
      </c>
      <c r="G1557" s="113" t="s">
        <v>5</v>
      </c>
      <c r="H1557" s="113">
        <v>4.4999999999999998E-2</v>
      </c>
      <c r="I1557" s="113">
        <v>10.00001</v>
      </c>
      <c r="J1557" s="113" t="s">
        <v>10</v>
      </c>
      <c r="K1557" s="113">
        <v>580000</v>
      </c>
      <c r="L1557" s="113">
        <v>0.1633</v>
      </c>
      <c r="M1557" s="113">
        <v>580000</v>
      </c>
      <c r="N1557" s="113">
        <v>8.5309999999999997E-2</v>
      </c>
      <c r="O1557" s="114" t="s">
        <v>1985</v>
      </c>
    </row>
    <row r="1558" spans="1:15" x14ac:dyDescent="0.25">
      <c r="A1558" s="113" t="s">
        <v>54</v>
      </c>
      <c r="B1558" s="113" t="s">
        <v>8</v>
      </c>
      <c r="C1558" s="113">
        <v>0</v>
      </c>
      <c r="D1558" s="113">
        <v>3.3009999999999998E-2</v>
      </c>
      <c r="E1558" s="113">
        <v>1</v>
      </c>
      <c r="F1558" s="113" t="s">
        <v>6</v>
      </c>
      <c r="G1558" s="113" t="s">
        <v>5</v>
      </c>
      <c r="H1558" s="113">
        <v>100</v>
      </c>
      <c r="I1558" s="113">
        <v>500</v>
      </c>
      <c r="J1558" s="113" t="s">
        <v>10</v>
      </c>
      <c r="K1558" s="113">
        <v>580000</v>
      </c>
      <c r="L1558" s="113">
        <v>5.5656999999999996</v>
      </c>
      <c r="M1558" s="113">
        <v>580000</v>
      </c>
      <c r="N1558" s="113">
        <v>5.2995000000000001</v>
      </c>
      <c r="O1558" s="114" t="s">
        <v>1986</v>
      </c>
    </row>
    <row r="1559" spans="1:15" x14ac:dyDescent="0.25">
      <c r="A1559" s="113" t="s">
        <v>54</v>
      </c>
      <c r="B1559" s="113" t="s">
        <v>8</v>
      </c>
      <c r="C1559" s="113">
        <v>0</v>
      </c>
      <c r="D1559" s="113">
        <v>3.3009999999999998E-2</v>
      </c>
      <c r="E1559" s="113">
        <v>10</v>
      </c>
      <c r="F1559" s="113" t="s">
        <v>6</v>
      </c>
      <c r="G1559" s="113" t="s">
        <v>5</v>
      </c>
      <c r="H1559" s="113">
        <v>20</v>
      </c>
      <c r="I1559" s="113">
        <v>50.01</v>
      </c>
      <c r="J1559" s="113" t="s">
        <v>10</v>
      </c>
      <c r="K1559" s="113">
        <v>5800000</v>
      </c>
      <c r="L1559" s="113">
        <v>5.6063000000000002E-2</v>
      </c>
      <c r="M1559" s="113">
        <v>5800000</v>
      </c>
      <c r="N1559" s="113">
        <v>2.4865999999999999E-2</v>
      </c>
      <c r="O1559" s="114" t="s">
        <v>1993</v>
      </c>
    </row>
    <row r="1560" spans="1:15" x14ac:dyDescent="0.25">
      <c r="A1560" s="113" t="s">
        <v>54</v>
      </c>
      <c r="B1560" s="113" t="s">
        <v>8</v>
      </c>
      <c r="C1560" s="113">
        <v>0</v>
      </c>
      <c r="D1560" s="113">
        <v>3.3009999999999998E-2</v>
      </c>
      <c r="E1560" s="113">
        <v>10</v>
      </c>
      <c r="F1560" s="113" t="s">
        <v>6</v>
      </c>
      <c r="G1560" s="113" t="s">
        <v>5</v>
      </c>
      <c r="H1560" s="113">
        <v>100</v>
      </c>
      <c r="I1560" s="113">
        <v>500.01</v>
      </c>
      <c r="J1560" s="113" t="s">
        <v>10</v>
      </c>
      <c r="K1560" s="113">
        <v>5800000</v>
      </c>
      <c r="L1560" s="113">
        <v>0.63641999999999999</v>
      </c>
      <c r="M1560" s="113">
        <v>5800000</v>
      </c>
      <c r="N1560" s="113">
        <v>0.52995000000000003</v>
      </c>
      <c r="O1560" s="114" t="s">
        <v>1995</v>
      </c>
    </row>
    <row r="1561" spans="1:15" x14ac:dyDescent="0.25">
      <c r="A1561" s="113" t="s">
        <v>54</v>
      </c>
      <c r="B1561" s="113" t="s">
        <v>8</v>
      </c>
      <c r="C1561" s="113">
        <v>0</v>
      </c>
      <c r="D1561" s="113">
        <v>3.3009999999999998E-2</v>
      </c>
      <c r="E1561" s="113">
        <v>10</v>
      </c>
      <c r="F1561" s="113" t="s">
        <v>6</v>
      </c>
      <c r="G1561" s="113" t="s">
        <v>5</v>
      </c>
      <c r="H1561" s="113">
        <v>0.01</v>
      </c>
      <c r="I1561" s="113">
        <v>4.5010000000000001E-2</v>
      </c>
      <c r="J1561" s="113" t="s">
        <v>10</v>
      </c>
      <c r="K1561" s="113">
        <v>5800000</v>
      </c>
      <c r="L1561" s="113">
        <v>4.6912000000000002E-2</v>
      </c>
      <c r="M1561" s="113">
        <v>5800000</v>
      </c>
      <c r="N1561" s="113">
        <v>1.5715E-2</v>
      </c>
      <c r="O1561" s="114" t="s">
        <v>1994</v>
      </c>
    </row>
    <row r="1562" spans="1:15" x14ac:dyDescent="0.25">
      <c r="A1562" s="113" t="s">
        <v>54</v>
      </c>
      <c r="B1562" s="113" t="s">
        <v>8</v>
      </c>
      <c r="C1562" s="113">
        <v>0</v>
      </c>
      <c r="D1562" s="113">
        <v>3.3009999999999998E-2</v>
      </c>
      <c r="E1562" s="113">
        <v>10</v>
      </c>
      <c r="F1562" s="113" t="s">
        <v>6</v>
      </c>
      <c r="G1562" s="113" t="s">
        <v>5</v>
      </c>
      <c r="H1562" s="113">
        <v>50</v>
      </c>
      <c r="I1562" s="113">
        <v>100.01</v>
      </c>
      <c r="J1562" s="113" t="s">
        <v>10</v>
      </c>
      <c r="K1562" s="113">
        <v>5800000</v>
      </c>
      <c r="L1562" s="113">
        <v>0.12109</v>
      </c>
      <c r="M1562" s="113">
        <v>5800000</v>
      </c>
      <c r="N1562" s="113">
        <v>7.4565999999999993E-2</v>
      </c>
      <c r="O1562" s="114" t="s">
        <v>1992</v>
      </c>
    </row>
    <row r="1563" spans="1:15" x14ac:dyDescent="0.25">
      <c r="A1563" s="113" t="s">
        <v>54</v>
      </c>
      <c r="B1563" s="113" t="s">
        <v>8</v>
      </c>
      <c r="C1563" s="113">
        <v>0</v>
      </c>
      <c r="D1563" s="113">
        <v>3.3009999999999998E-2</v>
      </c>
      <c r="E1563" s="113">
        <v>10</v>
      </c>
      <c r="F1563" s="113" t="s">
        <v>6</v>
      </c>
      <c r="G1563" s="113" t="s">
        <v>5</v>
      </c>
      <c r="H1563" s="113">
        <v>4.4999999999999998E-2</v>
      </c>
      <c r="I1563" s="113">
        <v>10.00001</v>
      </c>
      <c r="J1563" s="113" t="s">
        <v>10</v>
      </c>
      <c r="K1563" s="113">
        <v>5800000</v>
      </c>
      <c r="L1563" s="113">
        <v>3.9727999999999999E-2</v>
      </c>
      <c r="M1563" s="113">
        <v>5800000</v>
      </c>
      <c r="N1563" s="113">
        <v>8.5310000000000004E-3</v>
      </c>
      <c r="O1563" s="114" t="s">
        <v>1991</v>
      </c>
    </row>
    <row r="1564" spans="1:15" x14ac:dyDescent="0.25">
      <c r="A1564" s="113" t="s">
        <v>54</v>
      </c>
      <c r="B1564" s="113" t="s">
        <v>8</v>
      </c>
      <c r="C1564" s="113">
        <v>0</v>
      </c>
      <c r="D1564" s="113">
        <v>3.3009999999999998E-2</v>
      </c>
      <c r="E1564" s="113">
        <v>10</v>
      </c>
      <c r="F1564" s="113" t="s">
        <v>6</v>
      </c>
      <c r="G1564" s="113" t="s">
        <v>5</v>
      </c>
      <c r="H1564" s="113">
        <v>10</v>
      </c>
      <c r="I1564" s="113">
        <v>20.010000000000002</v>
      </c>
      <c r="J1564" s="113" t="s">
        <v>10</v>
      </c>
      <c r="K1564" s="113">
        <v>5800000</v>
      </c>
      <c r="L1564" s="113">
        <v>4.6912000000000002E-2</v>
      </c>
      <c r="M1564" s="113">
        <v>5800000</v>
      </c>
      <c r="N1564" s="113">
        <v>1.5715E-2</v>
      </c>
      <c r="O1564" s="114" t="s">
        <v>1990</v>
      </c>
    </row>
    <row r="1565" spans="1:15" x14ac:dyDescent="0.25">
      <c r="A1565" s="113" t="s">
        <v>54</v>
      </c>
      <c r="B1565" s="113" t="s">
        <v>8</v>
      </c>
      <c r="C1565" s="113">
        <v>3.3000000000000002E-2</v>
      </c>
      <c r="D1565" s="113">
        <v>0.33001000000000003</v>
      </c>
      <c r="E1565" s="113">
        <v>9.9999999999999995E-7</v>
      </c>
      <c r="F1565" s="113" t="s">
        <v>6</v>
      </c>
      <c r="G1565" s="113" t="s">
        <v>5</v>
      </c>
      <c r="H1565" s="113">
        <v>50</v>
      </c>
      <c r="I1565" s="113">
        <v>100.01</v>
      </c>
      <c r="J1565" s="113" t="s">
        <v>10</v>
      </c>
      <c r="K1565" s="113">
        <v>200</v>
      </c>
      <c r="L1565" s="113">
        <v>2700</v>
      </c>
      <c r="M1565" s="113">
        <v>196.5</v>
      </c>
      <c r="N1565" s="113">
        <v>2656.4</v>
      </c>
      <c r="O1565" s="114" t="s">
        <v>1999</v>
      </c>
    </row>
    <row r="1566" spans="1:15" x14ac:dyDescent="0.25">
      <c r="A1566" s="113" t="s">
        <v>54</v>
      </c>
      <c r="B1566" s="113" t="s">
        <v>8</v>
      </c>
      <c r="C1566" s="113">
        <v>3.3000000000000002E-2</v>
      </c>
      <c r="D1566" s="113">
        <v>0.33001000000000003</v>
      </c>
      <c r="E1566" s="113">
        <v>9.9999999999999995E-7</v>
      </c>
      <c r="F1566" s="113" t="s">
        <v>6</v>
      </c>
      <c r="G1566" s="113" t="s">
        <v>5</v>
      </c>
      <c r="H1566" s="113">
        <v>500</v>
      </c>
      <c r="I1566" s="113">
        <v>501</v>
      </c>
      <c r="J1566" s="113" t="s">
        <v>10</v>
      </c>
      <c r="K1566" s="113">
        <v>390</v>
      </c>
      <c r="L1566" s="113">
        <v>5800</v>
      </c>
      <c r="M1566" s="113">
        <v>381.75</v>
      </c>
      <c r="N1566" s="113">
        <v>5779.4</v>
      </c>
      <c r="O1566" s="114" t="s">
        <v>2002</v>
      </c>
    </row>
    <row r="1567" spans="1:15" x14ac:dyDescent="0.25">
      <c r="A1567" s="113" t="s">
        <v>54</v>
      </c>
      <c r="B1567" s="113" t="s">
        <v>8</v>
      </c>
      <c r="C1567" s="113">
        <v>3.3000000000000002E-2</v>
      </c>
      <c r="D1567" s="113">
        <v>0.33001000000000003</v>
      </c>
      <c r="E1567" s="113">
        <v>9.9999999999999995E-7</v>
      </c>
      <c r="F1567" s="113" t="s">
        <v>6</v>
      </c>
      <c r="G1567" s="113" t="s">
        <v>5</v>
      </c>
      <c r="H1567" s="113">
        <v>100</v>
      </c>
      <c r="I1567" s="113">
        <v>500</v>
      </c>
      <c r="J1567" s="113" t="s">
        <v>10</v>
      </c>
      <c r="K1567" s="113">
        <v>390</v>
      </c>
      <c r="L1567" s="113">
        <v>5800</v>
      </c>
      <c r="M1567" s="113">
        <v>381.75</v>
      </c>
      <c r="N1567" s="113">
        <v>5779.4</v>
      </c>
      <c r="O1567" s="114" t="s">
        <v>2001</v>
      </c>
    </row>
    <row r="1568" spans="1:15" x14ac:dyDescent="0.25">
      <c r="A1568" s="113" t="s">
        <v>54</v>
      </c>
      <c r="B1568" s="113" t="s">
        <v>8</v>
      </c>
      <c r="C1568" s="113">
        <v>3.3000000000000002E-2</v>
      </c>
      <c r="D1568" s="113">
        <v>0.33001000000000003</v>
      </c>
      <c r="E1568" s="113">
        <v>9.9999999999999995E-7</v>
      </c>
      <c r="F1568" s="113" t="s">
        <v>6</v>
      </c>
      <c r="G1568" s="113" t="s">
        <v>5</v>
      </c>
      <c r="H1568" s="113">
        <v>4.4999999999999998E-2</v>
      </c>
      <c r="I1568" s="113">
        <v>10.00001</v>
      </c>
      <c r="J1568" s="113" t="s">
        <v>10</v>
      </c>
      <c r="K1568" s="113">
        <v>24</v>
      </c>
      <c r="L1568" s="113">
        <v>350</v>
      </c>
      <c r="M1568" s="113">
        <v>23.254000000000001</v>
      </c>
      <c r="N1568" s="113">
        <v>347.52</v>
      </c>
      <c r="O1568" s="114" t="s">
        <v>1997</v>
      </c>
    </row>
    <row r="1569" spans="1:15" x14ac:dyDescent="0.25">
      <c r="A1569" s="113" t="s">
        <v>54</v>
      </c>
      <c r="B1569" s="113" t="s">
        <v>8</v>
      </c>
      <c r="C1569" s="113">
        <v>3.3000000000000002E-2</v>
      </c>
      <c r="D1569" s="113">
        <v>0.33001000000000003</v>
      </c>
      <c r="E1569" s="113">
        <v>9.9999999999999995E-7</v>
      </c>
      <c r="F1569" s="113" t="s">
        <v>6</v>
      </c>
      <c r="G1569" s="113" t="s">
        <v>5</v>
      </c>
      <c r="H1569" s="113">
        <v>20</v>
      </c>
      <c r="I1569" s="113">
        <v>50.01</v>
      </c>
      <c r="J1569" s="113" t="s">
        <v>10</v>
      </c>
      <c r="K1569" s="113">
        <v>47</v>
      </c>
      <c r="L1569" s="113">
        <v>1200</v>
      </c>
      <c r="M1569" s="113">
        <v>46.389000000000003</v>
      </c>
      <c r="N1569" s="113">
        <v>1155.4000000000001</v>
      </c>
      <c r="O1569" s="114" t="s">
        <v>2000</v>
      </c>
    </row>
    <row r="1570" spans="1:15" x14ac:dyDescent="0.25">
      <c r="A1570" s="113" t="s">
        <v>54</v>
      </c>
      <c r="B1570" s="113" t="s">
        <v>8</v>
      </c>
      <c r="C1570" s="113">
        <v>3.3000000000000002E-2</v>
      </c>
      <c r="D1570" s="113">
        <v>0.33001000000000003</v>
      </c>
      <c r="E1570" s="113">
        <v>9.9999999999999995E-7</v>
      </c>
      <c r="F1570" s="113" t="s">
        <v>6</v>
      </c>
      <c r="G1570" s="113" t="s">
        <v>5</v>
      </c>
      <c r="H1570" s="113">
        <v>10</v>
      </c>
      <c r="I1570" s="113">
        <v>20.010000000000002</v>
      </c>
      <c r="J1570" s="113" t="s">
        <v>10</v>
      </c>
      <c r="K1570" s="113">
        <v>24</v>
      </c>
      <c r="L1570" s="113">
        <v>810</v>
      </c>
      <c r="M1570" s="113">
        <v>23.218</v>
      </c>
      <c r="N1570" s="113">
        <v>808.67</v>
      </c>
      <c r="O1570" s="114" t="s">
        <v>1998</v>
      </c>
    </row>
    <row r="1571" spans="1:15" x14ac:dyDescent="0.25">
      <c r="A1571" s="113" t="s">
        <v>54</v>
      </c>
      <c r="B1571" s="113" t="s">
        <v>8</v>
      </c>
      <c r="C1571" s="113">
        <v>3.3000000000000002E-2</v>
      </c>
      <c r="D1571" s="113">
        <v>0.33001000000000003</v>
      </c>
      <c r="E1571" s="113">
        <v>9.9999999999999995E-7</v>
      </c>
      <c r="F1571" s="113" t="s">
        <v>6</v>
      </c>
      <c r="G1571" s="113" t="s">
        <v>5</v>
      </c>
      <c r="H1571" s="113">
        <v>0.01</v>
      </c>
      <c r="I1571" s="113">
        <v>4.5010000000000001E-2</v>
      </c>
      <c r="J1571" s="113" t="s">
        <v>10</v>
      </c>
      <c r="K1571" s="113">
        <v>33</v>
      </c>
      <c r="L1571" s="113">
        <v>550</v>
      </c>
      <c r="M1571" s="113">
        <v>23.236000000000001</v>
      </c>
      <c r="N1571" s="113">
        <v>577.95000000000005</v>
      </c>
      <c r="O1571" s="114" t="s">
        <v>1996</v>
      </c>
    </row>
    <row r="1572" spans="1:15" x14ac:dyDescent="0.25">
      <c r="A1572" s="113" t="s">
        <v>54</v>
      </c>
      <c r="B1572" s="113" t="s">
        <v>8</v>
      </c>
      <c r="C1572" s="113">
        <v>3.3000000000000002E-2</v>
      </c>
      <c r="D1572" s="113">
        <v>0.33001000000000003</v>
      </c>
      <c r="E1572" s="113">
        <v>1.0000000000000001E-5</v>
      </c>
      <c r="F1572" s="113" t="s">
        <v>6</v>
      </c>
      <c r="G1572" s="113" t="s">
        <v>5</v>
      </c>
      <c r="H1572" s="113">
        <v>20</v>
      </c>
      <c r="I1572" s="113">
        <v>50.01</v>
      </c>
      <c r="J1572" s="113" t="s">
        <v>10</v>
      </c>
      <c r="K1572" s="113">
        <v>47</v>
      </c>
      <c r="L1572" s="113">
        <v>1154.8</v>
      </c>
      <c r="M1572" s="113">
        <v>46.618000000000002</v>
      </c>
      <c r="N1572" s="113">
        <v>1154.8</v>
      </c>
      <c r="O1572" s="114" t="s">
        <v>2007</v>
      </c>
    </row>
    <row r="1573" spans="1:15" x14ac:dyDescent="0.25">
      <c r="A1573" s="113" t="s">
        <v>54</v>
      </c>
      <c r="B1573" s="113" t="s">
        <v>8</v>
      </c>
      <c r="C1573" s="113">
        <v>3.3000000000000002E-2</v>
      </c>
      <c r="D1573" s="113">
        <v>0.33001000000000003</v>
      </c>
      <c r="E1573" s="113">
        <v>1.0000000000000001E-5</v>
      </c>
      <c r="F1573" s="113" t="s">
        <v>6</v>
      </c>
      <c r="G1573" s="113" t="s">
        <v>5</v>
      </c>
      <c r="H1573" s="113">
        <v>0.01</v>
      </c>
      <c r="I1573" s="113">
        <v>4.5010000000000001E-2</v>
      </c>
      <c r="J1573" s="113" t="s">
        <v>10</v>
      </c>
      <c r="K1573" s="113">
        <v>33</v>
      </c>
      <c r="L1573" s="113">
        <v>550.17999999999995</v>
      </c>
      <c r="M1573" s="113">
        <v>23.663</v>
      </c>
      <c r="N1573" s="113">
        <v>576.89</v>
      </c>
      <c r="O1573" s="114" t="s">
        <v>2005</v>
      </c>
    </row>
    <row r="1574" spans="1:15" x14ac:dyDescent="0.25">
      <c r="A1574" s="113" t="s">
        <v>54</v>
      </c>
      <c r="B1574" s="113" t="s">
        <v>8</v>
      </c>
      <c r="C1574" s="113">
        <v>3.3000000000000002E-2</v>
      </c>
      <c r="D1574" s="113">
        <v>0.33001000000000003</v>
      </c>
      <c r="E1574" s="113">
        <v>1.0000000000000001E-5</v>
      </c>
      <c r="F1574" s="113" t="s">
        <v>6</v>
      </c>
      <c r="G1574" s="113" t="s">
        <v>5</v>
      </c>
      <c r="H1574" s="113">
        <v>4.4999999999999998E-2</v>
      </c>
      <c r="I1574" s="113">
        <v>10.00001</v>
      </c>
      <c r="J1574" s="113" t="s">
        <v>10</v>
      </c>
      <c r="K1574" s="113">
        <v>24</v>
      </c>
      <c r="L1574" s="113">
        <v>346.2</v>
      </c>
      <c r="M1574" s="113">
        <v>23.771000000000001</v>
      </c>
      <c r="N1574" s="113">
        <v>346.32</v>
      </c>
      <c r="O1574" s="114" t="s">
        <v>2681</v>
      </c>
    </row>
    <row r="1575" spans="1:15" x14ac:dyDescent="0.25">
      <c r="A1575" s="113" t="s">
        <v>54</v>
      </c>
      <c r="B1575" s="113" t="s">
        <v>8</v>
      </c>
      <c r="C1575" s="113">
        <v>3.3000000000000002E-2</v>
      </c>
      <c r="D1575" s="113">
        <v>0.33001000000000003</v>
      </c>
      <c r="E1575" s="113">
        <v>1.0000000000000001E-5</v>
      </c>
      <c r="F1575" s="113" t="s">
        <v>6</v>
      </c>
      <c r="G1575" s="113" t="s">
        <v>5</v>
      </c>
      <c r="H1575" s="113">
        <v>10</v>
      </c>
      <c r="I1575" s="113">
        <v>20.010000000000002</v>
      </c>
      <c r="J1575" s="113" t="s">
        <v>10</v>
      </c>
      <c r="K1575" s="113">
        <v>24</v>
      </c>
      <c r="L1575" s="113">
        <v>807.65</v>
      </c>
      <c r="M1575" s="113">
        <v>23.582999999999998</v>
      </c>
      <c r="N1575" s="113">
        <v>807.74</v>
      </c>
      <c r="O1575" s="114" t="s">
        <v>2008</v>
      </c>
    </row>
    <row r="1576" spans="1:15" x14ac:dyDescent="0.25">
      <c r="A1576" s="113" t="s">
        <v>54</v>
      </c>
      <c r="B1576" s="113" t="s">
        <v>8</v>
      </c>
      <c r="C1576" s="113">
        <v>3.3000000000000002E-2</v>
      </c>
      <c r="D1576" s="113">
        <v>0.33001000000000003</v>
      </c>
      <c r="E1576" s="113">
        <v>1.0000000000000001E-5</v>
      </c>
      <c r="F1576" s="113" t="s">
        <v>6</v>
      </c>
      <c r="G1576" s="113" t="s">
        <v>5</v>
      </c>
      <c r="H1576" s="113">
        <v>500</v>
      </c>
      <c r="I1576" s="113">
        <v>501</v>
      </c>
      <c r="J1576" s="113" t="s">
        <v>10</v>
      </c>
      <c r="K1576" s="113">
        <v>390</v>
      </c>
      <c r="L1576" s="113">
        <v>5779.3</v>
      </c>
      <c r="M1576" s="113">
        <v>381.8</v>
      </c>
      <c r="N1576" s="113">
        <v>5779.3</v>
      </c>
      <c r="O1576" s="114" t="s">
        <v>2003</v>
      </c>
    </row>
    <row r="1577" spans="1:15" x14ac:dyDescent="0.25">
      <c r="A1577" s="113" t="s">
        <v>54</v>
      </c>
      <c r="B1577" s="113" t="s">
        <v>8</v>
      </c>
      <c r="C1577" s="113">
        <v>3.3000000000000002E-2</v>
      </c>
      <c r="D1577" s="113">
        <v>0.33001000000000003</v>
      </c>
      <c r="E1577" s="113">
        <v>1.0000000000000001E-5</v>
      </c>
      <c r="F1577" s="113" t="s">
        <v>6</v>
      </c>
      <c r="G1577" s="113" t="s">
        <v>5</v>
      </c>
      <c r="H1577" s="113">
        <v>50</v>
      </c>
      <c r="I1577" s="113">
        <v>100.01</v>
      </c>
      <c r="J1577" s="113" t="s">
        <v>10</v>
      </c>
      <c r="K1577" s="113">
        <v>200</v>
      </c>
      <c r="L1577" s="113">
        <v>2656.2</v>
      </c>
      <c r="M1577" s="113">
        <v>196.56</v>
      </c>
      <c r="N1577" s="113">
        <v>2656.3</v>
      </c>
      <c r="O1577" s="114" t="s">
        <v>2006</v>
      </c>
    </row>
    <row r="1578" spans="1:15" x14ac:dyDescent="0.25">
      <c r="A1578" s="113" t="s">
        <v>54</v>
      </c>
      <c r="B1578" s="113" t="s">
        <v>8</v>
      </c>
      <c r="C1578" s="113">
        <v>3.3000000000000002E-2</v>
      </c>
      <c r="D1578" s="113">
        <v>0.33001000000000003</v>
      </c>
      <c r="E1578" s="113">
        <v>1.0000000000000001E-5</v>
      </c>
      <c r="F1578" s="113" t="s">
        <v>6</v>
      </c>
      <c r="G1578" s="113" t="s">
        <v>5</v>
      </c>
      <c r="H1578" s="113">
        <v>100</v>
      </c>
      <c r="I1578" s="113">
        <v>500</v>
      </c>
      <c r="J1578" s="113" t="s">
        <v>10</v>
      </c>
      <c r="K1578" s="113">
        <v>390</v>
      </c>
      <c r="L1578" s="113">
        <v>5779.3</v>
      </c>
      <c r="M1578" s="113">
        <v>381.8</v>
      </c>
      <c r="N1578" s="113">
        <v>5779.3</v>
      </c>
      <c r="O1578" s="114" t="s">
        <v>2004</v>
      </c>
    </row>
    <row r="1579" spans="1:15" x14ac:dyDescent="0.25">
      <c r="A1579" s="113" t="s">
        <v>54</v>
      </c>
      <c r="B1579" s="113" t="s">
        <v>8</v>
      </c>
      <c r="C1579" s="113">
        <v>3.3000000000000002E-2</v>
      </c>
      <c r="D1579" s="113">
        <v>0.33001000000000003</v>
      </c>
      <c r="E1579" s="113">
        <v>1E-4</v>
      </c>
      <c r="F1579" s="113" t="s">
        <v>6</v>
      </c>
      <c r="G1579" s="113" t="s">
        <v>5</v>
      </c>
      <c r="H1579" s="113">
        <v>10</v>
      </c>
      <c r="I1579" s="113">
        <v>20.010000000000002</v>
      </c>
      <c r="J1579" s="113" t="s">
        <v>10</v>
      </c>
      <c r="K1579" s="113">
        <v>52.238</v>
      </c>
      <c r="L1579" s="113">
        <v>738.2</v>
      </c>
      <c r="M1579" s="113">
        <v>52.145000000000003</v>
      </c>
      <c r="N1579" s="113">
        <v>738.41</v>
      </c>
      <c r="O1579" s="114" t="s">
        <v>2683</v>
      </c>
    </row>
    <row r="1580" spans="1:15" x14ac:dyDescent="0.25">
      <c r="A1580" s="113" t="s">
        <v>54</v>
      </c>
      <c r="B1580" s="113" t="s">
        <v>8</v>
      </c>
      <c r="C1580" s="113">
        <v>3.3000000000000002E-2</v>
      </c>
      <c r="D1580" s="113">
        <v>0.33001000000000003</v>
      </c>
      <c r="E1580" s="113">
        <v>1E-4</v>
      </c>
      <c r="F1580" s="113" t="s">
        <v>6</v>
      </c>
      <c r="G1580" s="113" t="s">
        <v>5</v>
      </c>
      <c r="H1580" s="113">
        <v>100</v>
      </c>
      <c r="I1580" s="113">
        <v>500</v>
      </c>
      <c r="J1580" s="113" t="s">
        <v>10</v>
      </c>
      <c r="K1580" s="113">
        <v>390</v>
      </c>
      <c r="L1580" s="113">
        <v>5771.9</v>
      </c>
      <c r="M1580" s="113">
        <v>384.93</v>
      </c>
      <c r="N1580" s="113">
        <v>5772</v>
      </c>
      <c r="O1580" s="114" t="s">
        <v>2012</v>
      </c>
    </row>
    <row r="1581" spans="1:15" x14ac:dyDescent="0.25">
      <c r="A1581" s="113" t="s">
        <v>54</v>
      </c>
      <c r="B1581" s="113" t="s">
        <v>8</v>
      </c>
      <c r="C1581" s="113">
        <v>3.3000000000000002E-2</v>
      </c>
      <c r="D1581" s="113">
        <v>0.33001000000000003</v>
      </c>
      <c r="E1581" s="113">
        <v>1E-4</v>
      </c>
      <c r="F1581" s="113" t="s">
        <v>6</v>
      </c>
      <c r="G1581" s="113" t="s">
        <v>5</v>
      </c>
      <c r="H1581" s="113">
        <v>0.01</v>
      </c>
      <c r="I1581" s="113">
        <v>4.5010000000000001E-2</v>
      </c>
      <c r="J1581" s="113" t="s">
        <v>10</v>
      </c>
      <c r="K1581" s="113">
        <v>55.234000000000002</v>
      </c>
      <c r="L1581" s="113">
        <v>504.47</v>
      </c>
      <c r="M1581" s="113">
        <v>55.134999999999998</v>
      </c>
      <c r="N1581" s="113">
        <v>504.68</v>
      </c>
      <c r="O1581" s="114" t="s">
        <v>2009</v>
      </c>
    </row>
    <row r="1582" spans="1:15" x14ac:dyDescent="0.25">
      <c r="A1582" s="113" t="s">
        <v>54</v>
      </c>
      <c r="B1582" s="113" t="s">
        <v>8</v>
      </c>
      <c r="C1582" s="113">
        <v>3.3000000000000002E-2</v>
      </c>
      <c r="D1582" s="113">
        <v>0.33001000000000003</v>
      </c>
      <c r="E1582" s="113">
        <v>1E-4</v>
      </c>
      <c r="F1582" s="113" t="s">
        <v>6</v>
      </c>
      <c r="G1582" s="113" t="s">
        <v>5</v>
      </c>
      <c r="H1582" s="113">
        <v>4.4999999999999998E-2</v>
      </c>
      <c r="I1582" s="113">
        <v>10.00001</v>
      </c>
      <c r="J1582" s="113" t="s">
        <v>10</v>
      </c>
      <c r="K1582" s="113">
        <v>58.585999999999999</v>
      </c>
      <c r="L1582" s="113">
        <v>276.02999999999997</v>
      </c>
      <c r="M1582" s="113">
        <v>58.482999999999997</v>
      </c>
      <c r="N1582" s="113">
        <v>276.20999999999998</v>
      </c>
      <c r="O1582" s="114" t="s">
        <v>2011</v>
      </c>
    </row>
    <row r="1583" spans="1:15" x14ac:dyDescent="0.25">
      <c r="A1583" s="113" t="s">
        <v>54</v>
      </c>
      <c r="B1583" s="113" t="s">
        <v>8</v>
      </c>
      <c r="C1583" s="113">
        <v>3.3000000000000002E-2</v>
      </c>
      <c r="D1583" s="113">
        <v>0.33001000000000003</v>
      </c>
      <c r="E1583" s="113">
        <v>1E-4</v>
      </c>
      <c r="F1583" s="113" t="s">
        <v>6</v>
      </c>
      <c r="G1583" s="113" t="s">
        <v>5</v>
      </c>
      <c r="H1583" s="113">
        <v>500</v>
      </c>
      <c r="I1583" s="113">
        <v>501</v>
      </c>
      <c r="J1583" s="113" t="s">
        <v>10</v>
      </c>
      <c r="K1583" s="113">
        <v>390</v>
      </c>
      <c r="L1583" s="113">
        <v>5771.9</v>
      </c>
      <c r="M1583" s="113">
        <v>384.93</v>
      </c>
      <c r="N1583" s="113">
        <v>5772</v>
      </c>
      <c r="O1583" s="114" t="s">
        <v>2010</v>
      </c>
    </row>
    <row r="1584" spans="1:15" x14ac:dyDescent="0.25">
      <c r="A1584" s="113" t="s">
        <v>54</v>
      </c>
      <c r="B1584" s="113" t="s">
        <v>8</v>
      </c>
      <c r="C1584" s="113">
        <v>3.3000000000000002E-2</v>
      </c>
      <c r="D1584" s="113">
        <v>0.33001000000000003</v>
      </c>
      <c r="E1584" s="113">
        <v>1E-4</v>
      </c>
      <c r="F1584" s="113" t="s">
        <v>6</v>
      </c>
      <c r="G1584" s="113" t="s">
        <v>5</v>
      </c>
      <c r="H1584" s="113">
        <v>20</v>
      </c>
      <c r="I1584" s="113">
        <v>50.01</v>
      </c>
      <c r="J1584" s="113" t="s">
        <v>10</v>
      </c>
      <c r="K1584" s="113">
        <v>66.007000000000005</v>
      </c>
      <c r="L1584" s="113">
        <v>1107.9000000000001</v>
      </c>
      <c r="M1584" s="113">
        <v>65.938999999999993</v>
      </c>
      <c r="N1584" s="113">
        <v>1108</v>
      </c>
      <c r="O1584" s="114" t="s">
        <v>2013</v>
      </c>
    </row>
    <row r="1585" spans="1:15" x14ac:dyDescent="0.25">
      <c r="A1585" s="113" t="s">
        <v>54</v>
      </c>
      <c r="B1585" s="113" t="s">
        <v>8</v>
      </c>
      <c r="C1585" s="113">
        <v>3.3000000000000002E-2</v>
      </c>
      <c r="D1585" s="113">
        <v>0.33001000000000003</v>
      </c>
      <c r="E1585" s="113">
        <v>1E-4</v>
      </c>
      <c r="F1585" s="113" t="s">
        <v>6</v>
      </c>
      <c r="G1585" s="113" t="s">
        <v>5</v>
      </c>
      <c r="H1585" s="113">
        <v>50</v>
      </c>
      <c r="I1585" s="113">
        <v>100.01</v>
      </c>
      <c r="J1585" s="113" t="s">
        <v>10</v>
      </c>
      <c r="K1585" s="113">
        <v>202.89</v>
      </c>
      <c r="L1585" s="113">
        <v>2641.9</v>
      </c>
      <c r="M1585" s="113">
        <v>202.83</v>
      </c>
      <c r="N1585" s="113">
        <v>2642</v>
      </c>
      <c r="O1585" s="114" t="s">
        <v>2682</v>
      </c>
    </row>
    <row r="1586" spans="1:15" x14ac:dyDescent="0.25">
      <c r="A1586" s="113" t="s">
        <v>54</v>
      </c>
      <c r="B1586" s="113" t="s">
        <v>8</v>
      </c>
      <c r="C1586" s="113">
        <v>3.3000000000000002E-2</v>
      </c>
      <c r="D1586" s="113">
        <v>0.33001000000000003</v>
      </c>
      <c r="E1586" s="113">
        <v>1E-3</v>
      </c>
      <c r="F1586" s="113" t="s">
        <v>6</v>
      </c>
      <c r="G1586" s="113" t="s">
        <v>5</v>
      </c>
      <c r="H1586" s="113">
        <v>0.01</v>
      </c>
      <c r="I1586" s="113">
        <v>4.5010000000000001E-2</v>
      </c>
      <c r="J1586" s="113" t="s">
        <v>10</v>
      </c>
      <c r="K1586" s="113">
        <v>577.51</v>
      </c>
      <c r="L1586" s="113">
        <v>123.44</v>
      </c>
      <c r="M1586" s="113">
        <v>577.47</v>
      </c>
      <c r="N1586" s="113">
        <v>123.45</v>
      </c>
      <c r="O1586" s="114" t="s">
        <v>2014</v>
      </c>
    </row>
    <row r="1587" spans="1:15" x14ac:dyDescent="0.25">
      <c r="A1587" s="113" t="s">
        <v>54</v>
      </c>
      <c r="B1587" s="113" t="s">
        <v>8</v>
      </c>
      <c r="C1587" s="113">
        <v>3.3000000000000002E-2</v>
      </c>
      <c r="D1587" s="113">
        <v>0.33001000000000003</v>
      </c>
      <c r="E1587" s="113">
        <v>1E-3</v>
      </c>
      <c r="F1587" s="113" t="s">
        <v>6</v>
      </c>
      <c r="G1587" s="113" t="s">
        <v>5</v>
      </c>
      <c r="H1587" s="113">
        <v>4.4999999999999998E-2</v>
      </c>
      <c r="I1587" s="113">
        <v>10.00001</v>
      </c>
      <c r="J1587" s="113" t="s">
        <v>10</v>
      </c>
      <c r="K1587" s="113">
        <v>579.4</v>
      </c>
      <c r="L1587" s="113">
        <v>50.965000000000003</v>
      </c>
      <c r="M1587" s="113">
        <v>579.36</v>
      </c>
      <c r="N1587" s="113">
        <v>50.969000000000001</v>
      </c>
      <c r="O1587" s="114" t="s">
        <v>2016</v>
      </c>
    </row>
    <row r="1588" spans="1:15" x14ac:dyDescent="0.25">
      <c r="A1588" s="113" t="s">
        <v>54</v>
      </c>
      <c r="B1588" s="113" t="s">
        <v>8</v>
      </c>
      <c r="C1588" s="113">
        <v>3.3000000000000002E-2</v>
      </c>
      <c r="D1588" s="113">
        <v>0.33001000000000003</v>
      </c>
      <c r="E1588" s="113">
        <v>1E-3</v>
      </c>
      <c r="F1588" s="113" t="s">
        <v>6</v>
      </c>
      <c r="G1588" s="113" t="s">
        <v>5</v>
      </c>
      <c r="H1588" s="113">
        <v>100</v>
      </c>
      <c r="I1588" s="113">
        <v>500</v>
      </c>
      <c r="J1588" s="113" t="s">
        <v>10</v>
      </c>
      <c r="K1588" s="113">
        <v>643.30999999999995</v>
      </c>
      <c r="L1588" s="113">
        <v>5206.3999999999996</v>
      </c>
      <c r="M1588" s="113">
        <v>643.12</v>
      </c>
      <c r="N1588" s="113">
        <v>5206.6000000000004</v>
      </c>
      <c r="O1588" s="114" t="s">
        <v>2018</v>
      </c>
    </row>
    <row r="1589" spans="1:15" x14ac:dyDescent="0.25">
      <c r="A1589" s="113" t="s">
        <v>54</v>
      </c>
      <c r="B1589" s="113" t="s">
        <v>8</v>
      </c>
      <c r="C1589" s="113">
        <v>3.3000000000000002E-2</v>
      </c>
      <c r="D1589" s="113">
        <v>0.33001000000000003</v>
      </c>
      <c r="E1589" s="113">
        <v>1E-3</v>
      </c>
      <c r="F1589" s="113" t="s">
        <v>6</v>
      </c>
      <c r="G1589" s="113" t="s">
        <v>5</v>
      </c>
      <c r="H1589" s="113">
        <v>20</v>
      </c>
      <c r="I1589" s="113">
        <v>50.01</v>
      </c>
      <c r="J1589" s="113" t="s">
        <v>10</v>
      </c>
      <c r="K1589" s="113">
        <v>571.22</v>
      </c>
      <c r="L1589" s="113">
        <v>452.98</v>
      </c>
      <c r="M1589" s="113">
        <v>571.17999999999995</v>
      </c>
      <c r="N1589" s="113">
        <v>452.85</v>
      </c>
      <c r="O1589" s="114" t="s">
        <v>2019</v>
      </c>
    </row>
    <row r="1590" spans="1:15" x14ac:dyDescent="0.25">
      <c r="A1590" s="113" t="s">
        <v>54</v>
      </c>
      <c r="B1590" s="113" t="s">
        <v>8</v>
      </c>
      <c r="C1590" s="113">
        <v>3.3000000000000002E-2</v>
      </c>
      <c r="D1590" s="113">
        <v>0.33001000000000003</v>
      </c>
      <c r="E1590" s="113">
        <v>1E-3</v>
      </c>
      <c r="F1590" s="113" t="s">
        <v>6</v>
      </c>
      <c r="G1590" s="113" t="s">
        <v>5</v>
      </c>
      <c r="H1590" s="113">
        <v>50</v>
      </c>
      <c r="I1590" s="113">
        <v>100.01</v>
      </c>
      <c r="J1590" s="113" t="s">
        <v>10</v>
      </c>
      <c r="K1590" s="113">
        <v>582.19000000000005</v>
      </c>
      <c r="L1590" s="113">
        <v>1932.6</v>
      </c>
      <c r="M1590" s="113">
        <v>582.1</v>
      </c>
      <c r="N1590" s="113">
        <v>1932.5</v>
      </c>
      <c r="O1590" s="114" t="s">
        <v>2017</v>
      </c>
    </row>
    <row r="1591" spans="1:15" x14ac:dyDescent="0.25">
      <c r="A1591" s="113" t="s">
        <v>54</v>
      </c>
      <c r="B1591" s="113" t="s">
        <v>8</v>
      </c>
      <c r="C1591" s="113">
        <v>3.3000000000000002E-2</v>
      </c>
      <c r="D1591" s="113">
        <v>0.33001000000000003</v>
      </c>
      <c r="E1591" s="113">
        <v>1E-3</v>
      </c>
      <c r="F1591" s="113" t="s">
        <v>6</v>
      </c>
      <c r="G1591" s="113" t="s">
        <v>5</v>
      </c>
      <c r="H1591" s="113">
        <v>10</v>
      </c>
      <c r="I1591" s="113">
        <v>20.010000000000002</v>
      </c>
      <c r="J1591" s="113" t="s">
        <v>10</v>
      </c>
      <c r="K1591" s="113">
        <v>574.82000000000005</v>
      </c>
      <c r="L1591" s="113">
        <v>223.39</v>
      </c>
      <c r="M1591" s="113">
        <v>574.77</v>
      </c>
      <c r="N1591" s="113">
        <v>223.41</v>
      </c>
      <c r="O1591" s="114" t="s">
        <v>2684</v>
      </c>
    </row>
    <row r="1592" spans="1:15" x14ac:dyDescent="0.25">
      <c r="A1592" s="113" t="s">
        <v>54</v>
      </c>
      <c r="B1592" s="113" t="s">
        <v>8</v>
      </c>
      <c r="C1592" s="113">
        <v>3.3000000000000002E-2</v>
      </c>
      <c r="D1592" s="113">
        <v>0.33001000000000003</v>
      </c>
      <c r="E1592" s="113">
        <v>1E-3</v>
      </c>
      <c r="F1592" s="113" t="s">
        <v>6</v>
      </c>
      <c r="G1592" s="113" t="s">
        <v>5</v>
      </c>
      <c r="H1592" s="113">
        <v>500</v>
      </c>
      <c r="I1592" s="113">
        <v>501</v>
      </c>
      <c r="J1592" s="113" t="s">
        <v>10</v>
      </c>
      <c r="K1592" s="113">
        <v>643.30999999999995</v>
      </c>
      <c r="L1592" s="113">
        <v>5206.3999999999996</v>
      </c>
      <c r="M1592" s="113">
        <v>643.12</v>
      </c>
      <c r="N1592" s="113">
        <v>5206.6000000000004</v>
      </c>
      <c r="O1592" s="114" t="s">
        <v>2015</v>
      </c>
    </row>
    <row r="1593" spans="1:15" x14ac:dyDescent="0.25">
      <c r="A1593" s="113" t="s">
        <v>54</v>
      </c>
      <c r="B1593" s="113" t="s">
        <v>8</v>
      </c>
      <c r="C1593" s="113">
        <v>3.3000000000000002E-2</v>
      </c>
      <c r="D1593" s="113">
        <v>0.33001000000000003</v>
      </c>
      <c r="E1593" s="113">
        <v>0.01</v>
      </c>
      <c r="F1593" s="113" t="s">
        <v>6</v>
      </c>
      <c r="G1593" s="113" t="s">
        <v>5</v>
      </c>
      <c r="H1593" s="113">
        <v>50</v>
      </c>
      <c r="I1593" s="113">
        <v>100.01</v>
      </c>
      <c r="J1593" s="113" t="s">
        <v>10</v>
      </c>
      <c r="K1593" s="113">
        <v>5796.8</v>
      </c>
      <c r="L1593" s="113">
        <v>308.19</v>
      </c>
      <c r="M1593" s="113">
        <v>5796.8</v>
      </c>
      <c r="N1593" s="113">
        <v>308.02</v>
      </c>
      <c r="O1593" s="114" t="s">
        <v>2023</v>
      </c>
    </row>
    <row r="1594" spans="1:15" x14ac:dyDescent="0.25">
      <c r="A1594" s="113" t="s">
        <v>54</v>
      </c>
      <c r="B1594" s="113" t="s">
        <v>8</v>
      </c>
      <c r="C1594" s="113">
        <v>3.3000000000000002E-2</v>
      </c>
      <c r="D1594" s="113">
        <v>0.33001000000000003</v>
      </c>
      <c r="E1594" s="113">
        <v>0.01</v>
      </c>
      <c r="F1594" s="113" t="s">
        <v>6</v>
      </c>
      <c r="G1594" s="113" t="s">
        <v>5</v>
      </c>
      <c r="H1594" s="113">
        <v>100</v>
      </c>
      <c r="I1594" s="113">
        <v>500</v>
      </c>
      <c r="J1594" s="113" t="s">
        <v>10</v>
      </c>
      <c r="K1594" s="113">
        <v>5783</v>
      </c>
      <c r="L1594" s="113">
        <v>1371.2</v>
      </c>
      <c r="M1594" s="113">
        <v>5783</v>
      </c>
      <c r="N1594" s="113">
        <v>1370.9</v>
      </c>
      <c r="O1594" s="114" t="s">
        <v>2021</v>
      </c>
    </row>
    <row r="1595" spans="1:15" x14ac:dyDescent="0.25">
      <c r="A1595" s="113" t="s">
        <v>54</v>
      </c>
      <c r="B1595" s="113" t="s">
        <v>8</v>
      </c>
      <c r="C1595" s="113">
        <v>3.3000000000000002E-2</v>
      </c>
      <c r="D1595" s="113">
        <v>0.33001000000000003</v>
      </c>
      <c r="E1595" s="113">
        <v>0.01</v>
      </c>
      <c r="F1595" s="113" t="s">
        <v>6</v>
      </c>
      <c r="G1595" s="113" t="s">
        <v>5</v>
      </c>
      <c r="H1595" s="113">
        <v>20</v>
      </c>
      <c r="I1595" s="113">
        <v>50.01</v>
      </c>
      <c r="J1595" s="113" t="s">
        <v>10</v>
      </c>
      <c r="K1595" s="113">
        <v>5799</v>
      </c>
      <c r="L1595" s="113">
        <v>51.02</v>
      </c>
      <c r="M1595" s="113">
        <v>5798.9</v>
      </c>
      <c r="N1595" s="113">
        <v>50.942</v>
      </c>
      <c r="O1595" s="114" t="s">
        <v>2022</v>
      </c>
    </row>
    <row r="1596" spans="1:15" x14ac:dyDescent="0.25">
      <c r="A1596" s="113" t="s">
        <v>54</v>
      </c>
      <c r="B1596" s="113" t="s">
        <v>8</v>
      </c>
      <c r="C1596" s="113">
        <v>3.3000000000000002E-2</v>
      </c>
      <c r="D1596" s="113">
        <v>0.33001000000000003</v>
      </c>
      <c r="E1596" s="113">
        <v>0.01</v>
      </c>
      <c r="F1596" s="113" t="s">
        <v>6</v>
      </c>
      <c r="G1596" s="113" t="s">
        <v>5</v>
      </c>
      <c r="H1596" s="113">
        <v>500</v>
      </c>
      <c r="I1596" s="113">
        <v>501</v>
      </c>
      <c r="J1596" s="113" t="s">
        <v>10</v>
      </c>
      <c r="K1596" s="113">
        <v>5783</v>
      </c>
      <c r="L1596" s="113">
        <v>1371.2</v>
      </c>
      <c r="M1596" s="113">
        <v>5783</v>
      </c>
      <c r="N1596" s="113">
        <v>1370.9</v>
      </c>
      <c r="O1596" s="114" t="s">
        <v>2686</v>
      </c>
    </row>
    <row r="1597" spans="1:15" x14ac:dyDescent="0.25">
      <c r="A1597" s="113" t="s">
        <v>54</v>
      </c>
      <c r="B1597" s="113" t="s">
        <v>8</v>
      </c>
      <c r="C1597" s="113">
        <v>3.3000000000000002E-2</v>
      </c>
      <c r="D1597" s="113">
        <v>0.33001000000000003</v>
      </c>
      <c r="E1597" s="113">
        <v>0.01</v>
      </c>
      <c r="F1597" s="113" t="s">
        <v>6</v>
      </c>
      <c r="G1597" s="113" t="s">
        <v>5</v>
      </c>
      <c r="H1597" s="113">
        <v>0.01</v>
      </c>
      <c r="I1597" s="113">
        <v>4.5010000000000001E-2</v>
      </c>
      <c r="J1597" s="113" t="s">
        <v>10</v>
      </c>
      <c r="K1597" s="113">
        <v>5799.8</v>
      </c>
      <c r="L1597" s="113">
        <v>12.763</v>
      </c>
      <c r="M1597" s="113">
        <v>577.47</v>
      </c>
      <c r="N1597" s="113">
        <v>12.763</v>
      </c>
      <c r="O1597" s="114" t="s">
        <v>2020</v>
      </c>
    </row>
    <row r="1598" spans="1:15" x14ac:dyDescent="0.25">
      <c r="A1598" s="113" t="s">
        <v>54</v>
      </c>
      <c r="B1598" s="113" t="s">
        <v>8</v>
      </c>
      <c r="C1598" s="113">
        <v>3.3000000000000002E-2</v>
      </c>
      <c r="D1598" s="113">
        <v>0.33001000000000003</v>
      </c>
      <c r="E1598" s="113">
        <v>0.01</v>
      </c>
      <c r="F1598" s="113" t="s">
        <v>6</v>
      </c>
      <c r="G1598" s="113" t="s">
        <v>5</v>
      </c>
      <c r="H1598" s="113">
        <v>10</v>
      </c>
      <c r="I1598" s="113">
        <v>20.010000000000002</v>
      </c>
      <c r="J1598" s="113" t="s">
        <v>10</v>
      </c>
      <c r="K1598" s="113">
        <v>5799.5</v>
      </c>
      <c r="L1598" s="113">
        <v>23.686</v>
      </c>
      <c r="M1598" s="113">
        <v>5799.4</v>
      </c>
      <c r="N1598" s="113">
        <v>23.686</v>
      </c>
      <c r="O1598" s="114" t="s">
        <v>2685</v>
      </c>
    </row>
    <row r="1599" spans="1:15" x14ac:dyDescent="0.25">
      <c r="A1599" s="113" t="s">
        <v>54</v>
      </c>
      <c r="B1599" s="113" t="s">
        <v>8</v>
      </c>
      <c r="C1599" s="113">
        <v>3.3000000000000002E-2</v>
      </c>
      <c r="D1599" s="113">
        <v>0.33001000000000003</v>
      </c>
      <c r="E1599" s="113">
        <v>0.01</v>
      </c>
      <c r="F1599" s="113" t="s">
        <v>6</v>
      </c>
      <c r="G1599" s="113" t="s">
        <v>5</v>
      </c>
      <c r="H1599" s="113">
        <v>4.4999999999999998E-2</v>
      </c>
      <c r="I1599" s="113">
        <v>10.00001</v>
      </c>
      <c r="J1599" s="113" t="s">
        <v>10</v>
      </c>
      <c r="K1599" s="113">
        <v>5800</v>
      </c>
      <c r="L1599" s="113">
        <v>5.1718000000000002</v>
      </c>
      <c r="M1599" s="113">
        <v>5799.9</v>
      </c>
      <c r="N1599" s="113">
        <v>5.1718000000000002</v>
      </c>
      <c r="O1599" s="114" t="s">
        <v>2024</v>
      </c>
    </row>
    <row r="1600" spans="1:15" x14ac:dyDescent="0.25">
      <c r="A1600" s="113" t="s">
        <v>54</v>
      </c>
      <c r="B1600" s="113" t="s">
        <v>8</v>
      </c>
      <c r="C1600" s="113">
        <v>0.33</v>
      </c>
      <c r="D1600" s="113">
        <v>3.3001</v>
      </c>
      <c r="E1600" s="113">
        <v>1.0000000000000001E-5</v>
      </c>
      <c r="F1600" s="113" t="s">
        <v>6</v>
      </c>
      <c r="G1600" s="113" t="s">
        <v>4</v>
      </c>
      <c r="H1600" s="113">
        <v>0.01</v>
      </c>
      <c r="I1600" s="113">
        <v>4.5010000000000001E-2</v>
      </c>
      <c r="J1600" s="113" t="s">
        <v>10</v>
      </c>
      <c r="K1600" s="113">
        <v>0.11</v>
      </c>
      <c r="L1600" s="113">
        <v>0.56000000000000005</v>
      </c>
      <c r="M1600" s="113">
        <v>0.10391</v>
      </c>
      <c r="N1600" s="113">
        <v>0.56220999999999999</v>
      </c>
      <c r="O1600" s="114" t="s">
        <v>2027</v>
      </c>
    </row>
    <row r="1601" spans="1:15" x14ac:dyDescent="0.25">
      <c r="A1601" s="113" t="s">
        <v>54</v>
      </c>
      <c r="B1601" s="113" t="s">
        <v>8</v>
      </c>
      <c r="C1601" s="113">
        <v>0.33</v>
      </c>
      <c r="D1601" s="113">
        <v>3.3001</v>
      </c>
      <c r="E1601" s="113">
        <v>1.0000000000000001E-5</v>
      </c>
      <c r="F1601" s="113" t="s">
        <v>6</v>
      </c>
      <c r="G1601" s="113" t="s">
        <v>4</v>
      </c>
      <c r="H1601" s="113">
        <v>10</v>
      </c>
      <c r="I1601" s="113">
        <v>20.010000000000002</v>
      </c>
      <c r="J1601" s="113" t="s">
        <v>10</v>
      </c>
      <c r="K1601" s="113">
        <v>7.0000000000000007E-2</v>
      </c>
      <c r="L1601" s="113">
        <v>0.81</v>
      </c>
      <c r="M1601" s="113">
        <v>6.9434999999999997E-2</v>
      </c>
      <c r="N1601" s="113">
        <v>0.80878000000000005</v>
      </c>
      <c r="O1601" s="114" t="s">
        <v>2026</v>
      </c>
    </row>
    <row r="1602" spans="1:15" x14ac:dyDescent="0.25">
      <c r="A1602" s="113" t="s">
        <v>54</v>
      </c>
      <c r="B1602" s="113" t="s">
        <v>8</v>
      </c>
      <c r="C1602" s="113">
        <v>0.33</v>
      </c>
      <c r="D1602" s="113">
        <v>3.3001</v>
      </c>
      <c r="E1602" s="113">
        <v>1.0000000000000001E-5</v>
      </c>
      <c r="F1602" s="113" t="s">
        <v>6</v>
      </c>
      <c r="G1602" s="113" t="s">
        <v>4</v>
      </c>
      <c r="H1602" s="113">
        <v>500</v>
      </c>
      <c r="I1602" s="113">
        <v>501</v>
      </c>
      <c r="J1602" s="113" t="s">
        <v>10</v>
      </c>
      <c r="K1602" s="113">
        <v>1.1000000000000001</v>
      </c>
      <c r="L1602" s="113">
        <v>5.8</v>
      </c>
      <c r="M1602" s="113">
        <v>1.0377000000000001</v>
      </c>
      <c r="N1602" s="113">
        <v>5.7942</v>
      </c>
      <c r="O1602" s="114" t="s">
        <v>2028</v>
      </c>
    </row>
    <row r="1603" spans="1:15" x14ac:dyDescent="0.25">
      <c r="A1603" s="113" t="s">
        <v>54</v>
      </c>
      <c r="B1603" s="113" t="s">
        <v>8</v>
      </c>
      <c r="C1603" s="113">
        <v>0.33</v>
      </c>
      <c r="D1603" s="113">
        <v>3.3001</v>
      </c>
      <c r="E1603" s="113">
        <v>1.0000000000000001E-5</v>
      </c>
      <c r="F1603" s="113" t="s">
        <v>6</v>
      </c>
      <c r="G1603" s="113" t="s">
        <v>4</v>
      </c>
      <c r="H1603" s="113">
        <v>100</v>
      </c>
      <c r="I1603" s="113">
        <v>500</v>
      </c>
      <c r="J1603" s="113" t="s">
        <v>10</v>
      </c>
      <c r="K1603" s="113">
        <v>1.1000000000000001</v>
      </c>
      <c r="L1603" s="113">
        <v>5.8</v>
      </c>
      <c r="M1603" s="113">
        <v>1.0377000000000001</v>
      </c>
      <c r="N1603" s="113">
        <v>5.7942</v>
      </c>
      <c r="O1603" s="114" t="s">
        <v>2029</v>
      </c>
    </row>
    <row r="1604" spans="1:15" x14ac:dyDescent="0.25">
      <c r="A1604" s="113" t="s">
        <v>54</v>
      </c>
      <c r="B1604" s="113" t="s">
        <v>8</v>
      </c>
      <c r="C1604" s="113">
        <v>0.33</v>
      </c>
      <c r="D1604" s="113">
        <v>3.3001</v>
      </c>
      <c r="E1604" s="113">
        <v>1.0000000000000001E-5</v>
      </c>
      <c r="F1604" s="113" t="s">
        <v>6</v>
      </c>
      <c r="G1604" s="113" t="s">
        <v>4</v>
      </c>
      <c r="H1604" s="113">
        <v>50</v>
      </c>
      <c r="I1604" s="113">
        <v>100.01</v>
      </c>
      <c r="J1604" s="113" t="s">
        <v>10</v>
      </c>
      <c r="K1604" s="113">
        <v>0.24</v>
      </c>
      <c r="L1604" s="113">
        <v>2.7</v>
      </c>
      <c r="M1604" s="113">
        <v>0.23108000000000001</v>
      </c>
      <c r="N1604" s="113">
        <v>2.6570999999999998</v>
      </c>
      <c r="O1604" s="114" t="s">
        <v>2687</v>
      </c>
    </row>
    <row r="1605" spans="1:15" x14ac:dyDescent="0.25">
      <c r="A1605" s="113" t="s">
        <v>54</v>
      </c>
      <c r="B1605" s="113" t="s">
        <v>8</v>
      </c>
      <c r="C1605" s="113">
        <v>0.33</v>
      </c>
      <c r="D1605" s="113">
        <v>3.3001</v>
      </c>
      <c r="E1605" s="113">
        <v>1.0000000000000001E-5</v>
      </c>
      <c r="F1605" s="113" t="s">
        <v>6</v>
      </c>
      <c r="G1605" s="113" t="s">
        <v>4</v>
      </c>
      <c r="H1605" s="113">
        <v>20</v>
      </c>
      <c r="I1605" s="113">
        <v>50.01</v>
      </c>
      <c r="J1605" s="113" t="s">
        <v>10</v>
      </c>
      <c r="K1605" s="113">
        <v>7.0000000000000007E-2</v>
      </c>
      <c r="L1605" s="113">
        <v>1.2</v>
      </c>
      <c r="M1605" s="113">
        <v>6.9505999999999998E-2</v>
      </c>
      <c r="N1605" s="113">
        <v>1.1558999999999999</v>
      </c>
      <c r="O1605" s="114" t="s">
        <v>2688</v>
      </c>
    </row>
    <row r="1606" spans="1:15" x14ac:dyDescent="0.25">
      <c r="A1606" s="113" t="s">
        <v>54</v>
      </c>
      <c r="B1606" s="113" t="s">
        <v>8</v>
      </c>
      <c r="C1606" s="113">
        <v>0.33</v>
      </c>
      <c r="D1606" s="113">
        <v>3.3001</v>
      </c>
      <c r="E1606" s="113">
        <v>1.0000000000000001E-5</v>
      </c>
      <c r="F1606" s="113" t="s">
        <v>6</v>
      </c>
      <c r="G1606" s="113" t="s">
        <v>4</v>
      </c>
      <c r="H1606" s="113">
        <v>4.4999999999999998E-2</v>
      </c>
      <c r="I1606" s="113">
        <v>10.00001</v>
      </c>
      <c r="J1606" s="113" t="s">
        <v>10</v>
      </c>
      <c r="K1606" s="113">
        <v>7.0000000000000007E-2</v>
      </c>
      <c r="L1606" s="113">
        <v>0.35</v>
      </c>
      <c r="M1606" s="113">
        <v>6.9476999999999997E-2</v>
      </c>
      <c r="N1606" s="113">
        <v>0.34755999999999998</v>
      </c>
      <c r="O1606" s="114" t="s">
        <v>2025</v>
      </c>
    </row>
    <row r="1607" spans="1:15" x14ac:dyDescent="0.25">
      <c r="A1607" s="113" t="s">
        <v>54</v>
      </c>
      <c r="B1607" s="113" t="s">
        <v>8</v>
      </c>
      <c r="C1607" s="113">
        <v>0.33</v>
      </c>
      <c r="D1607" s="113">
        <v>3.3001</v>
      </c>
      <c r="E1607" s="113">
        <v>1E-4</v>
      </c>
      <c r="F1607" s="113" t="s">
        <v>6</v>
      </c>
      <c r="G1607" s="113" t="s">
        <v>4</v>
      </c>
      <c r="H1607" s="113">
        <v>500</v>
      </c>
      <c r="I1607" s="113">
        <v>501</v>
      </c>
      <c r="J1607" s="113" t="s">
        <v>10</v>
      </c>
      <c r="K1607" s="113">
        <v>1.1000000000000001</v>
      </c>
      <c r="L1607" s="113">
        <v>5.7939999999999996</v>
      </c>
      <c r="M1607" s="113">
        <v>1.038</v>
      </c>
      <c r="N1607" s="113">
        <v>5.7941000000000003</v>
      </c>
      <c r="O1607" s="114" t="s">
        <v>2689</v>
      </c>
    </row>
    <row r="1608" spans="1:15" x14ac:dyDescent="0.25">
      <c r="A1608" s="113" t="s">
        <v>54</v>
      </c>
      <c r="B1608" s="113" t="s">
        <v>8</v>
      </c>
      <c r="C1608" s="113">
        <v>0.33</v>
      </c>
      <c r="D1608" s="113">
        <v>3.3001</v>
      </c>
      <c r="E1608" s="113">
        <v>1E-4</v>
      </c>
      <c r="F1608" s="113" t="s">
        <v>6</v>
      </c>
      <c r="G1608" s="113" t="s">
        <v>4</v>
      </c>
      <c r="H1608" s="113">
        <v>50</v>
      </c>
      <c r="I1608" s="113">
        <v>100.01</v>
      </c>
      <c r="J1608" s="113" t="s">
        <v>10</v>
      </c>
      <c r="K1608" s="113">
        <v>0.24</v>
      </c>
      <c r="L1608" s="113">
        <v>2.6566000000000001</v>
      </c>
      <c r="M1608" s="113">
        <v>0.23255999999999999</v>
      </c>
      <c r="N1608" s="113">
        <v>2.6566999999999998</v>
      </c>
      <c r="O1608" s="114" t="s">
        <v>2033</v>
      </c>
    </row>
    <row r="1609" spans="1:15" x14ac:dyDescent="0.25">
      <c r="A1609" s="113" t="s">
        <v>54</v>
      </c>
      <c r="B1609" s="113" t="s">
        <v>8</v>
      </c>
      <c r="C1609" s="113">
        <v>0.33</v>
      </c>
      <c r="D1609" s="113">
        <v>3.3001</v>
      </c>
      <c r="E1609" s="113">
        <v>1E-4</v>
      </c>
      <c r="F1609" s="113" t="s">
        <v>6</v>
      </c>
      <c r="G1609" s="113" t="s">
        <v>4</v>
      </c>
      <c r="H1609" s="113">
        <v>4.4999999999999998E-2</v>
      </c>
      <c r="I1609" s="113">
        <v>10.00001</v>
      </c>
      <c r="J1609" s="113" t="s">
        <v>10</v>
      </c>
      <c r="K1609" s="113">
        <v>7.9443E-2</v>
      </c>
      <c r="L1609" s="113">
        <v>0.34499000000000002</v>
      </c>
      <c r="M1609" s="113">
        <v>7.9135999999999998E-2</v>
      </c>
      <c r="N1609" s="113">
        <v>0.34505000000000002</v>
      </c>
      <c r="O1609" s="114" t="s">
        <v>2691</v>
      </c>
    </row>
    <row r="1610" spans="1:15" x14ac:dyDescent="0.25">
      <c r="A1610" s="113" t="s">
        <v>54</v>
      </c>
      <c r="B1610" s="113" t="s">
        <v>8</v>
      </c>
      <c r="C1610" s="113">
        <v>0.33</v>
      </c>
      <c r="D1610" s="113">
        <v>3.3001</v>
      </c>
      <c r="E1610" s="113">
        <v>1E-4</v>
      </c>
      <c r="F1610" s="113" t="s">
        <v>6</v>
      </c>
      <c r="G1610" s="113" t="s">
        <v>4</v>
      </c>
      <c r="H1610" s="113">
        <v>20</v>
      </c>
      <c r="I1610" s="113">
        <v>50.01</v>
      </c>
      <c r="J1610" s="113" t="s">
        <v>10</v>
      </c>
      <c r="K1610" s="113">
        <v>7.3710999999999999E-2</v>
      </c>
      <c r="L1610" s="113">
        <v>1.1548</v>
      </c>
      <c r="M1610" s="113">
        <v>7.3371000000000006E-2</v>
      </c>
      <c r="N1610" s="113">
        <v>1.1549</v>
      </c>
      <c r="O1610" s="114" t="s">
        <v>2030</v>
      </c>
    </row>
    <row r="1611" spans="1:15" x14ac:dyDescent="0.25">
      <c r="A1611" s="113" t="s">
        <v>54</v>
      </c>
      <c r="B1611" s="113" t="s">
        <v>8</v>
      </c>
      <c r="C1611" s="113">
        <v>0.33</v>
      </c>
      <c r="D1611" s="113">
        <v>3.3001</v>
      </c>
      <c r="E1611" s="113">
        <v>1E-4</v>
      </c>
      <c r="F1611" s="113" t="s">
        <v>6</v>
      </c>
      <c r="G1611" s="113" t="s">
        <v>4</v>
      </c>
      <c r="H1611" s="113">
        <v>10</v>
      </c>
      <c r="I1611" s="113">
        <v>20.010000000000002</v>
      </c>
      <c r="J1611" s="113" t="s">
        <v>10</v>
      </c>
      <c r="K1611" s="113">
        <v>7.5008000000000005E-2</v>
      </c>
      <c r="L1611" s="113">
        <v>0.80728999999999995</v>
      </c>
      <c r="M1611" s="113">
        <v>7.4829000000000007E-2</v>
      </c>
      <c r="N1611" s="113">
        <v>0.80732999999999999</v>
      </c>
      <c r="O1611" s="114" t="s">
        <v>2031</v>
      </c>
    </row>
    <row r="1612" spans="1:15" x14ac:dyDescent="0.25">
      <c r="A1612" s="113" t="s">
        <v>54</v>
      </c>
      <c r="B1612" s="113" t="s">
        <v>8</v>
      </c>
      <c r="C1612" s="113">
        <v>0.33</v>
      </c>
      <c r="D1612" s="113">
        <v>3.3001</v>
      </c>
      <c r="E1612" s="113">
        <v>1E-4</v>
      </c>
      <c r="F1612" s="113" t="s">
        <v>6</v>
      </c>
      <c r="G1612" s="113" t="s">
        <v>4</v>
      </c>
      <c r="H1612" s="113">
        <v>100</v>
      </c>
      <c r="I1612" s="113">
        <v>500</v>
      </c>
      <c r="J1612" s="113" t="s">
        <v>10</v>
      </c>
      <c r="K1612" s="113">
        <v>1.1000000000000001</v>
      </c>
      <c r="L1612" s="113">
        <v>5.7939999999999996</v>
      </c>
      <c r="M1612" s="113">
        <v>1.038</v>
      </c>
      <c r="N1612" s="113">
        <v>5.7941000000000003</v>
      </c>
      <c r="O1612" s="114" t="s">
        <v>2690</v>
      </c>
    </row>
    <row r="1613" spans="1:15" x14ac:dyDescent="0.25">
      <c r="A1613" s="113" t="s">
        <v>54</v>
      </c>
      <c r="B1613" s="113" t="s">
        <v>8</v>
      </c>
      <c r="C1613" s="113">
        <v>0.33</v>
      </c>
      <c r="D1613" s="113">
        <v>3.3001</v>
      </c>
      <c r="E1613" s="113">
        <v>1E-4</v>
      </c>
      <c r="F1613" s="113" t="s">
        <v>6</v>
      </c>
      <c r="G1613" s="113" t="s">
        <v>4</v>
      </c>
      <c r="H1613" s="113">
        <v>0.01</v>
      </c>
      <c r="I1613" s="113">
        <v>4.5010000000000001E-2</v>
      </c>
      <c r="J1613" s="113" t="s">
        <v>10</v>
      </c>
      <c r="K1613" s="113">
        <v>0.11</v>
      </c>
      <c r="L1613" s="113">
        <v>0.56032999999999999</v>
      </c>
      <c r="M1613" s="113">
        <v>0.10921</v>
      </c>
      <c r="N1613" s="113">
        <v>0.56037000000000003</v>
      </c>
      <c r="O1613" s="114" t="s">
        <v>2032</v>
      </c>
    </row>
    <row r="1614" spans="1:15" x14ac:dyDescent="0.25">
      <c r="A1614" s="113" t="s">
        <v>54</v>
      </c>
      <c r="B1614" s="113" t="s">
        <v>8</v>
      </c>
      <c r="C1614" s="113">
        <v>0.33</v>
      </c>
      <c r="D1614" s="113">
        <v>3.3001</v>
      </c>
      <c r="E1614" s="113">
        <v>1E-3</v>
      </c>
      <c r="F1614" s="113" t="s">
        <v>6</v>
      </c>
      <c r="G1614" s="113" t="s">
        <v>4</v>
      </c>
      <c r="H1614" s="113">
        <v>50</v>
      </c>
      <c r="I1614" s="113">
        <v>100.01</v>
      </c>
      <c r="J1614" s="113" t="s">
        <v>10</v>
      </c>
      <c r="K1614" s="113">
        <v>0.38846000000000003</v>
      </c>
      <c r="L1614" s="113">
        <v>2.6152000000000002</v>
      </c>
      <c r="M1614" s="113">
        <v>0.38733000000000001</v>
      </c>
      <c r="N1614" s="113">
        <v>2.6154000000000002</v>
      </c>
      <c r="O1614" s="114" t="s">
        <v>2037</v>
      </c>
    </row>
    <row r="1615" spans="1:15" x14ac:dyDescent="0.25">
      <c r="A1615" s="113" t="s">
        <v>54</v>
      </c>
      <c r="B1615" s="113" t="s">
        <v>8</v>
      </c>
      <c r="C1615" s="113">
        <v>0.33</v>
      </c>
      <c r="D1615" s="113">
        <v>3.3001</v>
      </c>
      <c r="E1615" s="113">
        <v>1E-3</v>
      </c>
      <c r="F1615" s="113" t="s">
        <v>6</v>
      </c>
      <c r="G1615" s="113" t="s">
        <v>4</v>
      </c>
      <c r="H1615" s="113">
        <v>0.01</v>
      </c>
      <c r="I1615" s="113">
        <v>4.5010000000000001E-2</v>
      </c>
      <c r="J1615" s="113" t="s">
        <v>10</v>
      </c>
      <c r="K1615" s="113">
        <v>0.48274</v>
      </c>
      <c r="L1615" s="113">
        <v>0.46448</v>
      </c>
      <c r="M1615" s="113">
        <v>0.4824</v>
      </c>
      <c r="N1615" s="113">
        <v>0.46450000000000002</v>
      </c>
      <c r="O1615" s="114" t="s">
        <v>2036</v>
      </c>
    </row>
    <row r="1616" spans="1:15" x14ac:dyDescent="0.25">
      <c r="A1616" s="113" t="s">
        <v>54</v>
      </c>
      <c r="B1616" s="113" t="s">
        <v>8</v>
      </c>
      <c r="C1616" s="113">
        <v>0.33</v>
      </c>
      <c r="D1616" s="113">
        <v>3.3001</v>
      </c>
      <c r="E1616" s="113">
        <v>1E-3</v>
      </c>
      <c r="F1616" s="113" t="s">
        <v>6</v>
      </c>
      <c r="G1616" s="113" t="s">
        <v>4</v>
      </c>
      <c r="H1616" s="113">
        <v>10</v>
      </c>
      <c r="I1616" s="113">
        <v>20.010000000000002</v>
      </c>
      <c r="J1616" s="113" t="s">
        <v>10</v>
      </c>
      <c r="K1616" s="113">
        <v>0.43426999999999999</v>
      </c>
      <c r="L1616" s="113">
        <v>0.71669000000000005</v>
      </c>
      <c r="M1616" s="113">
        <v>0.43391000000000002</v>
      </c>
      <c r="N1616" s="113">
        <v>0.71674000000000004</v>
      </c>
      <c r="O1616" s="114" t="s">
        <v>2039</v>
      </c>
    </row>
    <row r="1617" spans="1:15" x14ac:dyDescent="0.25">
      <c r="A1617" s="113" t="s">
        <v>54</v>
      </c>
      <c r="B1617" s="113" t="s">
        <v>8</v>
      </c>
      <c r="C1617" s="113">
        <v>0.33</v>
      </c>
      <c r="D1617" s="113">
        <v>3.3001</v>
      </c>
      <c r="E1617" s="113">
        <v>1E-3</v>
      </c>
      <c r="F1617" s="113" t="s">
        <v>6</v>
      </c>
      <c r="G1617" s="113" t="s">
        <v>4</v>
      </c>
      <c r="H1617" s="113">
        <v>20</v>
      </c>
      <c r="I1617" s="113">
        <v>50.01</v>
      </c>
      <c r="J1617" s="113" t="s">
        <v>10</v>
      </c>
      <c r="K1617" s="113">
        <v>0.38064999999999999</v>
      </c>
      <c r="L1617" s="113">
        <v>1.0748</v>
      </c>
      <c r="M1617" s="113">
        <v>0.37986999999999999</v>
      </c>
      <c r="N1617" s="113">
        <v>1.0749</v>
      </c>
      <c r="O1617" s="114" t="s">
        <v>2034</v>
      </c>
    </row>
    <row r="1618" spans="1:15" x14ac:dyDescent="0.25">
      <c r="A1618" s="113" t="s">
        <v>54</v>
      </c>
      <c r="B1618" s="113" t="s">
        <v>8</v>
      </c>
      <c r="C1618" s="113">
        <v>0.33</v>
      </c>
      <c r="D1618" s="113">
        <v>3.3001</v>
      </c>
      <c r="E1618" s="113">
        <v>1E-3</v>
      </c>
      <c r="F1618" s="113" t="s">
        <v>6</v>
      </c>
      <c r="G1618" s="113" t="s">
        <v>4</v>
      </c>
      <c r="H1618" s="113">
        <v>500</v>
      </c>
      <c r="I1618" s="113">
        <v>501</v>
      </c>
      <c r="J1618" s="113" t="s">
        <v>10</v>
      </c>
      <c r="K1618" s="113">
        <v>1.1000000000000001</v>
      </c>
      <c r="L1618" s="113">
        <v>5.7778</v>
      </c>
      <c r="M1618" s="113">
        <v>1.0964</v>
      </c>
      <c r="N1618" s="113">
        <v>5.7779999999999996</v>
      </c>
      <c r="O1618" s="114" t="s">
        <v>2692</v>
      </c>
    </row>
    <row r="1619" spans="1:15" x14ac:dyDescent="0.25">
      <c r="A1619" s="113" t="s">
        <v>54</v>
      </c>
      <c r="B1619" s="113" t="s">
        <v>8</v>
      </c>
      <c r="C1619" s="113">
        <v>0.33</v>
      </c>
      <c r="D1619" s="113">
        <v>3.3001</v>
      </c>
      <c r="E1619" s="113">
        <v>1E-3</v>
      </c>
      <c r="F1619" s="113" t="s">
        <v>6</v>
      </c>
      <c r="G1619" s="113" t="s">
        <v>4</v>
      </c>
      <c r="H1619" s="113">
        <v>4.4999999999999998E-2</v>
      </c>
      <c r="I1619" s="113">
        <v>10.00001</v>
      </c>
      <c r="J1619" s="113" t="s">
        <v>10</v>
      </c>
      <c r="K1619" s="113">
        <v>0.52675000000000005</v>
      </c>
      <c r="L1619" s="113">
        <v>0.24887000000000001</v>
      </c>
      <c r="M1619" s="113">
        <v>0.52639999999999998</v>
      </c>
      <c r="N1619" s="113">
        <v>0.24884999999999999</v>
      </c>
      <c r="O1619" s="114" t="s">
        <v>2035</v>
      </c>
    </row>
    <row r="1620" spans="1:15" x14ac:dyDescent="0.25">
      <c r="A1620" s="113" t="s">
        <v>54</v>
      </c>
      <c r="B1620" s="113" t="s">
        <v>8</v>
      </c>
      <c r="C1620" s="113">
        <v>0.33</v>
      </c>
      <c r="D1620" s="113">
        <v>3.3001</v>
      </c>
      <c r="E1620" s="113">
        <v>1E-3</v>
      </c>
      <c r="F1620" s="113" t="s">
        <v>6</v>
      </c>
      <c r="G1620" s="113" t="s">
        <v>4</v>
      </c>
      <c r="H1620" s="113">
        <v>100</v>
      </c>
      <c r="I1620" s="113">
        <v>500</v>
      </c>
      <c r="J1620" s="113" t="s">
        <v>10</v>
      </c>
      <c r="K1620" s="113">
        <v>1.1000000000000001</v>
      </c>
      <c r="L1620" s="113">
        <v>5.7778</v>
      </c>
      <c r="M1620" s="113">
        <v>1.0964</v>
      </c>
      <c r="N1620" s="113">
        <v>5.7779999999999996</v>
      </c>
      <c r="O1620" s="114" t="s">
        <v>2038</v>
      </c>
    </row>
    <row r="1621" spans="1:15" x14ac:dyDescent="0.25">
      <c r="A1621" s="113" t="s">
        <v>54</v>
      </c>
      <c r="B1621" s="113" t="s">
        <v>8</v>
      </c>
      <c r="C1621" s="113">
        <v>0.33</v>
      </c>
      <c r="D1621" s="113">
        <v>3.3001</v>
      </c>
      <c r="E1621" s="113">
        <v>0.01</v>
      </c>
      <c r="F1621" s="113" t="s">
        <v>6</v>
      </c>
      <c r="G1621" s="113" t="s">
        <v>4</v>
      </c>
      <c r="H1621" s="113">
        <v>0.01</v>
      </c>
      <c r="I1621" s="113">
        <v>4.5010000000000001E-2</v>
      </c>
      <c r="J1621" s="113" t="s">
        <v>10</v>
      </c>
      <c r="K1621" s="113">
        <v>5.7718999999999996</v>
      </c>
      <c r="L1621" s="113">
        <v>0.10338</v>
      </c>
      <c r="M1621" s="113">
        <v>5.7717000000000001</v>
      </c>
      <c r="N1621" s="113">
        <v>0.10332</v>
      </c>
      <c r="O1621" s="114" t="s">
        <v>2042</v>
      </c>
    </row>
    <row r="1622" spans="1:15" x14ac:dyDescent="0.25">
      <c r="A1622" s="113" t="s">
        <v>54</v>
      </c>
      <c r="B1622" s="113" t="s">
        <v>8</v>
      </c>
      <c r="C1622" s="113">
        <v>0.33</v>
      </c>
      <c r="D1622" s="113">
        <v>3.3001</v>
      </c>
      <c r="E1622" s="113">
        <v>0.01</v>
      </c>
      <c r="F1622" s="113" t="s">
        <v>6</v>
      </c>
      <c r="G1622" s="113" t="s">
        <v>4</v>
      </c>
      <c r="H1622" s="113">
        <v>4.4999999999999998E-2</v>
      </c>
      <c r="I1622" s="113">
        <v>10.00001</v>
      </c>
      <c r="J1622" s="113" t="s">
        <v>10</v>
      </c>
      <c r="K1622" s="113">
        <v>5.7893999999999997</v>
      </c>
      <c r="L1622" s="113">
        <v>4.1576000000000002E-2</v>
      </c>
      <c r="M1622" s="113">
        <v>5.7892000000000001</v>
      </c>
      <c r="N1622" s="113">
        <v>4.1502999999999998E-2</v>
      </c>
      <c r="O1622" s="114" t="s">
        <v>2043</v>
      </c>
    </row>
    <row r="1623" spans="1:15" x14ac:dyDescent="0.25">
      <c r="A1623" s="113" t="s">
        <v>54</v>
      </c>
      <c r="B1623" s="113" t="s">
        <v>8</v>
      </c>
      <c r="C1623" s="113">
        <v>0.33</v>
      </c>
      <c r="D1623" s="113">
        <v>3.3001</v>
      </c>
      <c r="E1623" s="113">
        <v>0.01</v>
      </c>
      <c r="F1623" s="113" t="s">
        <v>6</v>
      </c>
      <c r="G1623" s="113" t="s">
        <v>4</v>
      </c>
      <c r="H1623" s="113">
        <v>20</v>
      </c>
      <c r="I1623" s="113">
        <v>50.01</v>
      </c>
      <c r="J1623" s="113" t="s">
        <v>10</v>
      </c>
      <c r="K1623" s="113">
        <v>5.6886000000000001</v>
      </c>
      <c r="L1623" s="113">
        <v>0.39166000000000001</v>
      </c>
      <c r="M1623" s="113">
        <v>5.6882999999999999</v>
      </c>
      <c r="N1623" s="113">
        <v>0.39154</v>
      </c>
      <c r="O1623" s="114" t="s">
        <v>2040</v>
      </c>
    </row>
    <row r="1624" spans="1:15" x14ac:dyDescent="0.25">
      <c r="A1624" s="113" t="s">
        <v>54</v>
      </c>
      <c r="B1624" s="113" t="s">
        <v>8</v>
      </c>
      <c r="C1624" s="113">
        <v>0.33</v>
      </c>
      <c r="D1624" s="113">
        <v>3.3001</v>
      </c>
      <c r="E1624" s="113">
        <v>0.01</v>
      </c>
      <c r="F1624" s="113" t="s">
        <v>6</v>
      </c>
      <c r="G1624" s="113" t="s">
        <v>4</v>
      </c>
      <c r="H1624" s="113">
        <v>100</v>
      </c>
      <c r="I1624" s="113">
        <v>500</v>
      </c>
      <c r="J1624" s="113" t="s">
        <v>10</v>
      </c>
      <c r="K1624" s="113">
        <v>4.9001000000000001</v>
      </c>
      <c r="L1624" s="113">
        <v>4.8711000000000002</v>
      </c>
      <c r="M1624" s="113">
        <v>4.8981000000000003</v>
      </c>
      <c r="N1624" s="113">
        <v>4.8712999999999997</v>
      </c>
      <c r="O1624" s="114" t="s">
        <v>2041</v>
      </c>
    </row>
    <row r="1625" spans="1:15" x14ac:dyDescent="0.25">
      <c r="A1625" s="113" t="s">
        <v>54</v>
      </c>
      <c r="B1625" s="113" t="s">
        <v>8</v>
      </c>
      <c r="C1625" s="113">
        <v>0.33</v>
      </c>
      <c r="D1625" s="113">
        <v>3.3001</v>
      </c>
      <c r="E1625" s="113">
        <v>0.01</v>
      </c>
      <c r="F1625" s="113" t="s">
        <v>6</v>
      </c>
      <c r="G1625" s="113" t="s">
        <v>4</v>
      </c>
      <c r="H1625" s="113">
        <v>500</v>
      </c>
      <c r="I1625" s="113">
        <v>501</v>
      </c>
      <c r="J1625" s="113" t="s">
        <v>10</v>
      </c>
      <c r="K1625" s="113">
        <v>4.9001000000000001</v>
      </c>
      <c r="L1625" s="113">
        <v>4.8711000000000002</v>
      </c>
      <c r="M1625" s="113">
        <v>4.8981000000000003</v>
      </c>
      <c r="N1625" s="113">
        <v>4.8712999999999997</v>
      </c>
      <c r="O1625" s="114" t="s">
        <v>2694</v>
      </c>
    </row>
    <row r="1626" spans="1:15" x14ac:dyDescent="0.25">
      <c r="A1626" s="113" t="s">
        <v>54</v>
      </c>
      <c r="B1626" s="113" t="s">
        <v>8</v>
      </c>
      <c r="C1626" s="113">
        <v>0.33</v>
      </c>
      <c r="D1626" s="113">
        <v>3.3001</v>
      </c>
      <c r="E1626" s="113">
        <v>0.01</v>
      </c>
      <c r="F1626" s="113" t="s">
        <v>6</v>
      </c>
      <c r="G1626" s="113" t="s">
        <v>4</v>
      </c>
      <c r="H1626" s="113">
        <v>10</v>
      </c>
      <c r="I1626" s="113">
        <v>20.010000000000002</v>
      </c>
      <c r="J1626" s="113" t="s">
        <v>10</v>
      </c>
      <c r="K1626" s="113">
        <v>5.7427999999999999</v>
      </c>
      <c r="L1626" s="113">
        <v>0.20349999999999999</v>
      </c>
      <c r="M1626" s="113">
        <v>5.7426000000000004</v>
      </c>
      <c r="N1626" s="113">
        <v>0.20344000000000001</v>
      </c>
      <c r="O1626" s="114" t="s">
        <v>2044</v>
      </c>
    </row>
    <row r="1627" spans="1:15" x14ac:dyDescent="0.25">
      <c r="A1627" s="113" t="s">
        <v>54</v>
      </c>
      <c r="B1627" s="113" t="s">
        <v>8</v>
      </c>
      <c r="C1627" s="113">
        <v>0.33</v>
      </c>
      <c r="D1627" s="113">
        <v>3.3001</v>
      </c>
      <c r="E1627" s="113">
        <v>0.01</v>
      </c>
      <c r="F1627" s="113" t="s">
        <v>6</v>
      </c>
      <c r="G1627" s="113" t="s">
        <v>4</v>
      </c>
      <c r="H1627" s="113">
        <v>50</v>
      </c>
      <c r="I1627" s="113">
        <v>100.01</v>
      </c>
      <c r="J1627" s="113" t="s">
        <v>10</v>
      </c>
      <c r="K1627" s="113">
        <v>5.3723000000000001</v>
      </c>
      <c r="L1627" s="113">
        <v>1.6168</v>
      </c>
      <c r="M1627" s="113">
        <v>5.3715000000000002</v>
      </c>
      <c r="N1627" s="113">
        <v>1.6167</v>
      </c>
      <c r="O1627" s="114" t="s">
        <v>2693</v>
      </c>
    </row>
    <row r="1628" spans="1:15" x14ac:dyDescent="0.25">
      <c r="A1628" s="113" t="s">
        <v>54</v>
      </c>
      <c r="B1628" s="113" t="s">
        <v>8</v>
      </c>
      <c r="C1628" s="113">
        <v>0.33</v>
      </c>
      <c r="D1628" s="113">
        <v>3.3001</v>
      </c>
      <c r="E1628" s="113">
        <v>0.1</v>
      </c>
      <c r="F1628" s="113" t="s">
        <v>6</v>
      </c>
      <c r="G1628" s="113" t="s">
        <v>4</v>
      </c>
      <c r="H1628" s="113">
        <v>0.01</v>
      </c>
      <c r="I1628" s="113">
        <v>4.5010000000000001E-2</v>
      </c>
      <c r="J1628" s="113" t="s">
        <v>10</v>
      </c>
      <c r="K1628" s="113">
        <v>57.997</v>
      </c>
      <c r="L1628" s="113">
        <v>1.0643E-2</v>
      </c>
      <c r="M1628" s="113">
        <v>57.997</v>
      </c>
      <c r="N1628" s="113">
        <v>1.0612E-2</v>
      </c>
      <c r="O1628" s="114" t="s">
        <v>2046</v>
      </c>
    </row>
    <row r="1629" spans="1:15" x14ac:dyDescent="0.25">
      <c r="A1629" s="113" t="s">
        <v>54</v>
      </c>
      <c r="B1629" s="113" t="s">
        <v>8</v>
      </c>
      <c r="C1629" s="113">
        <v>0.33</v>
      </c>
      <c r="D1629" s="113">
        <v>3.3001</v>
      </c>
      <c r="E1629" s="113">
        <v>0.1</v>
      </c>
      <c r="F1629" s="113" t="s">
        <v>6</v>
      </c>
      <c r="G1629" s="113" t="s">
        <v>4</v>
      </c>
      <c r="H1629" s="113">
        <v>100</v>
      </c>
      <c r="I1629" s="113">
        <v>500</v>
      </c>
      <c r="J1629" s="113" t="s">
        <v>10</v>
      </c>
      <c r="K1629" s="113">
        <v>57.706000000000003</v>
      </c>
      <c r="L1629" s="113">
        <v>1.1207</v>
      </c>
      <c r="M1629" s="113">
        <v>57.704999999999998</v>
      </c>
      <c r="N1629" s="113">
        <v>1.1204000000000001</v>
      </c>
      <c r="O1629" s="114" t="s">
        <v>2048</v>
      </c>
    </row>
    <row r="1630" spans="1:15" x14ac:dyDescent="0.25">
      <c r="A1630" s="113" t="s">
        <v>54</v>
      </c>
      <c r="B1630" s="113" t="s">
        <v>8</v>
      </c>
      <c r="C1630" s="113">
        <v>0.33</v>
      </c>
      <c r="D1630" s="113">
        <v>3.3001</v>
      </c>
      <c r="E1630" s="113">
        <v>0.1</v>
      </c>
      <c r="F1630" s="113" t="s">
        <v>6</v>
      </c>
      <c r="G1630" s="113" t="s">
        <v>4</v>
      </c>
      <c r="H1630" s="113">
        <v>20</v>
      </c>
      <c r="I1630" s="113">
        <v>50.01</v>
      </c>
      <c r="J1630" s="113" t="s">
        <v>10</v>
      </c>
      <c r="K1630" s="113">
        <v>57.988</v>
      </c>
      <c r="L1630" s="113">
        <v>4.3219E-2</v>
      </c>
      <c r="M1630" s="113">
        <v>57.988</v>
      </c>
      <c r="N1630" s="113">
        <v>4.3147999999999999E-2</v>
      </c>
      <c r="O1630" s="114" t="s">
        <v>2696</v>
      </c>
    </row>
    <row r="1631" spans="1:15" x14ac:dyDescent="0.25">
      <c r="A1631" s="113" t="s">
        <v>54</v>
      </c>
      <c r="B1631" s="113" t="s">
        <v>8</v>
      </c>
      <c r="C1631" s="113">
        <v>0.33</v>
      </c>
      <c r="D1631" s="113">
        <v>3.3001</v>
      </c>
      <c r="E1631" s="113">
        <v>0.1</v>
      </c>
      <c r="F1631" s="113" t="s">
        <v>6</v>
      </c>
      <c r="G1631" s="113" t="s">
        <v>4</v>
      </c>
      <c r="H1631" s="113">
        <v>10</v>
      </c>
      <c r="I1631" s="113">
        <v>20.010000000000002</v>
      </c>
      <c r="J1631" s="113" t="s">
        <v>10</v>
      </c>
      <c r="K1631" s="113">
        <v>57.994</v>
      </c>
      <c r="L1631" s="113">
        <v>2.1455999999999999E-2</v>
      </c>
      <c r="M1631" s="113">
        <v>57.994</v>
      </c>
      <c r="N1631" s="113">
        <v>2.1426000000000001E-2</v>
      </c>
      <c r="O1631" s="114" t="s">
        <v>2049</v>
      </c>
    </row>
    <row r="1632" spans="1:15" x14ac:dyDescent="0.25">
      <c r="A1632" s="113" t="s">
        <v>54</v>
      </c>
      <c r="B1632" s="113" t="s">
        <v>8</v>
      </c>
      <c r="C1632" s="113">
        <v>0.33</v>
      </c>
      <c r="D1632" s="113">
        <v>3.3001</v>
      </c>
      <c r="E1632" s="113">
        <v>0.1</v>
      </c>
      <c r="F1632" s="113" t="s">
        <v>6</v>
      </c>
      <c r="G1632" s="113" t="s">
        <v>4</v>
      </c>
      <c r="H1632" s="113">
        <v>500</v>
      </c>
      <c r="I1632" s="113">
        <v>501</v>
      </c>
      <c r="J1632" s="113" t="s">
        <v>10</v>
      </c>
      <c r="K1632" s="113">
        <v>57.706000000000003</v>
      </c>
      <c r="L1632" s="113">
        <v>1.1207</v>
      </c>
      <c r="M1632" s="113">
        <v>57.704999999999998</v>
      </c>
      <c r="N1632" s="113">
        <v>1.1204000000000001</v>
      </c>
      <c r="O1632" s="114" t="s">
        <v>2045</v>
      </c>
    </row>
    <row r="1633" spans="1:15" x14ac:dyDescent="0.25">
      <c r="A1633" s="113" t="s">
        <v>54</v>
      </c>
      <c r="B1633" s="113" t="s">
        <v>8</v>
      </c>
      <c r="C1633" s="113">
        <v>0.33</v>
      </c>
      <c r="D1633" s="113">
        <v>3.3001</v>
      </c>
      <c r="E1633" s="113">
        <v>0.1</v>
      </c>
      <c r="F1633" s="113" t="s">
        <v>6</v>
      </c>
      <c r="G1633" s="113" t="s">
        <v>4</v>
      </c>
      <c r="H1633" s="113">
        <v>4.4999999999999998E-2</v>
      </c>
      <c r="I1633" s="113">
        <v>10.00001</v>
      </c>
      <c r="J1633" s="113" t="s">
        <v>10</v>
      </c>
      <c r="K1633" s="113">
        <v>57.999000000000002</v>
      </c>
      <c r="L1633" s="113">
        <v>4.2262999999999997E-3</v>
      </c>
      <c r="M1633" s="113">
        <v>57.999000000000002</v>
      </c>
      <c r="N1633" s="113">
        <v>4.1960000000000001E-3</v>
      </c>
      <c r="O1633" s="114" t="s">
        <v>2695</v>
      </c>
    </row>
    <row r="1634" spans="1:15" x14ac:dyDescent="0.25">
      <c r="A1634" s="113" t="s">
        <v>54</v>
      </c>
      <c r="B1634" s="113" t="s">
        <v>8</v>
      </c>
      <c r="C1634" s="113">
        <v>0.33</v>
      </c>
      <c r="D1634" s="113">
        <v>3.3001</v>
      </c>
      <c r="E1634" s="113">
        <v>0.1</v>
      </c>
      <c r="F1634" s="113" t="s">
        <v>6</v>
      </c>
      <c r="G1634" s="113" t="s">
        <v>4</v>
      </c>
      <c r="H1634" s="113">
        <v>50</v>
      </c>
      <c r="I1634" s="113">
        <v>100.01</v>
      </c>
      <c r="J1634" s="113" t="s">
        <v>10</v>
      </c>
      <c r="K1634" s="113">
        <v>57.935000000000002</v>
      </c>
      <c r="L1634" s="113">
        <v>0.23028999999999999</v>
      </c>
      <c r="M1634" s="113">
        <v>57.935000000000002</v>
      </c>
      <c r="N1634" s="113">
        <v>0.23011999999999999</v>
      </c>
      <c r="O1634" s="114" t="s">
        <v>2047</v>
      </c>
    </row>
    <row r="1635" spans="1:15" x14ac:dyDescent="0.25">
      <c r="A1635" s="113" t="s">
        <v>54</v>
      </c>
      <c r="B1635" s="113" t="s">
        <v>8</v>
      </c>
      <c r="C1635" s="113">
        <v>3.3</v>
      </c>
      <c r="D1635" s="113">
        <v>33.000999999999998</v>
      </c>
      <c r="E1635" s="113">
        <v>1E-4</v>
      </c>
      <c r="F1635" s="113" t="s">
        <v>6</v>
      </c>
      <c r="G1635" s="113" t="s">
        <v>4</v>
      </c>
      <c r="H1635" s="113">
        <v>4.4999999999999998E-2</v>
      </c>
      <c r="I1635" s="113">
        <v>10.00001</v>
      </c>
      <c r="J1635" s="113" t="s">
        <v>10</v>
      </c>
      <c r="K1635" s="113">
        <v>0.7</v>
      </c>
      <c r="L1635" s="113">
        <v>0.35</v>
      </c>
      <c r="M1635" s="113">
        <v>0.69218000000000002</v>
      </c>
      <c r="N1635" s="113">
        <v>0.34794999999999998</v>
      </c>
      <c r="O1635" s="114" t="s">
        <v>2053</v>
      </c>
    </row>
    <row r="1636" spans="1:15" x14ac:dyDescent="0.25">
      <c r="A1636" s="113" t="s">
        <v>54</v>
      </c>
      <c r="B1636" s="113" t="s">
        <v>8</v>
      </c>
      <c r="C1636" s="113">
        <v>3.3</v>
      </c>
      <c r="D1636" s="113">
        <v>33.000999999999998</v>
      </c>
      <c r="E1636" s="113">
        <v>1E-4</v>
      </c>
      <c r="F1636" s="113" t="s">
        <v>6</v>
      </c>
      <c r="G1636" s="113" t="s">
        <v>4</v>
      </c>
      <c r="H1636" s="113">
        <v>100</v>
      </c>
      <c r="I1636" s="113">
        <v>500</v>
      </c>
      <c r="J1636" s="113" t="s">
        <v>10</v>
      </c>
      <c r="K1636" s="113">
        <v>13</v>
      </c>
      <c r="L1636" s="113">
        <v>4.5999999999999996</v>
      </c>
      <c r="M1636" s="113">
        <v>2.3363999999999998</v>
      </c>
      <c r="N1636" s="113">
        <v>2.6995</v>
      </c>
      <c r="O1636" s="114" t="s">
        <v>2052</v>
      </c>
    </row>
    <row r="1637" spans="1:15" x14ac:dyDescent="0.25">
      <c r="A1637" s="113" t="s">
        <v>54</v>
      </c>
      <c r="B1637" s="113" t="s">
        <v>8</v>
      </c>
      <c r="C1637" s="113">
        <v>3.3</v>
      </c>
      <c r="D1637" s="113">
        <v>33.000999999999998</v>
      </c>
      <c r="E1637" s="113">
        <v>1E-4</v>
      </c>
      <c r="F1637" s="113" t="s">
        <v>6</v>
      </c>
      <c r="G1637" s="113" t="s">
        <v>4</v>
      </c>
      <c r="H1637" s="113">
        <v>500</v>
      </c>
      <c r="I1637" s="113">
        <v>501</v>
      </c>
      <c r="J1637" s="113" t="s">
        <v>10</v>
      </c>
      <c r="K1637" s="113">
        <v>13</v>
      </c>
      <c r="L1637" s="113">
        <v>4.5999999999999996</v>
      </c>
      <c r="M1637" s="113">
        <v>2.3363999999999998</v>
      </c>
      <c r="N1637" s="113">
        <v>2.6995</v>
      </c>
      <c r="O1637" s="114" t="s">
        <v>2698</v>
      </c>
    </row>
    <row r="1638" spans="1:15" x14ac:dyDescent="0.25">
      <c r="A1638" s="113" t="s">
        <v>54</v>
      </c>
      <c r="B1638" s="113" t="s">
        <v>8</v>
      </c>
      <c r="C1638" s="113">
        <v>3.3</v>
      </c>
      <c r="D1638" s="113">
        <v>33.000999999999998</v>
      </c>
      <c r="E1638" s="113">
        <v>1E-4</v>
      </c>
      <c r="F1638" s="113" t="s">
        <v>6</v>
      </c>
      <c r="G1638" s="113" t="s">
        <v>4</v>
      </c>
      <c r="H1638" s="113">
        <v>20</v>
      </c>
      <c r="I1638" s="113">
        <v>50.01</v>
      </c>
      <c r="J1638" s="113" t="s">
        <v>10</v>
      </c>
      <c r="K1638" s="113">
        <v>0.7</v>
      </c>
      <c r="L1638" s="113">
        <v>1.2</v>
      </c>
      <c r="M1638" s="113">
        <v>0.69121999999999995</v>
      </c>
      <c r="N1638" s="113">
        <v>1.1565000000000001</v>
      </c>
      <c r="O1638" s="114" t="s">
        <v>2051</v>
      </c>
    </row>
    <row r="1639" spans="1:15" x14ac:dyDescent="0.25">
      <c r="A1639" s="113" t="s">
        <v>54</v>
      </c>
      <c r="B1639" s="113" t="s">
        <v>8</v>
      </c>
      <c r="C1639" s="113">
        <v>3.3</v>
      </c>
      <c r="D1639" s="113">
        <v>33.000999999999998</v>
      </c>
      <c r="E1639" s="113">
        <v>1E-4</v>
      </c>
      <c r="F1639" s="113" t="s">
        <v>6</v>
      </c>
      <c r="G1639" s="113" t="s">
        <v>4</v>
      </c>
      <c r="H1639" s="113">
        <v>0.01</v>
      </c>
      <c r="I1639" s="113">
        <v>4.5010000000000001E-2</v>
      </c>
      <c r="J1639" s="113" t="s">
        <v>10</v>
      </c>
      <c r="K1639" s="113">
        <v>0.93</v>
      </c>
      <c r="L1639" s="113">
        <v>0.57999999999999996</v>
      </c>
      <c r="M1639" s="113">
        <v>0.92291999999999996</v>
      </c>
      <c r="N1639" s="113">
        <v>0.57830000000000004</v>
      </c>
      <c r="O1639" s="114" t="s">
        <v>2699</v>
      </c>
    </row>
    <row r="1640" spans="1:15" x14ac:dyDescent="0.25">
      <c r="A1640" s="113" t="s">
        <v>54</v>
      </c>
      <c r="B1640" s="113" t="s">
        <v>8</v>
      </c>
      <c r="C1640" s="113">
        <v>3.3</v>
      </c>
      <c r="D1640" s="113">
        <v>33.000999999999998</v>
      </c>
      <c r="E1640" s="113">
        <v>1E-4</v>
      </c>
      <c r="F1640" s="113" t="s">
        <v>6</v>
      </c>
      <c r="G1640" s="113" t="s">
        <v>4</v>
      </c>
      <c r="H1640" s="113">
        <v>50</v>
      </c>
      <c r="I1640" s="113">
        <v>100.01</v>
      </c>
      <c r="J1640" s="113" t="s">
        <v>10</v>
      </c>
      <c r="K1640" s="113">
        <v>2.2999999999999998</v>
      </c>
      <c r="L1640" s="113">
        <v>2.7</v>
      </c>
      <c r="M1640" s="113">
        <v>2.3079000000000001</v>
      </c>
      <c r="N1640" s="113">
        <v>2.6577000000000002</v>
      </c>
      <c r="O1640" s="114" t="s">
        <v>2050</v>
      </c>
    </row>
    <row r="1641" spans="1:15" x14ac:dyDescent="0.25">
      <c r="A1641" s="113" t="s">
        <v>54</v>
      </c>
      <c r="B1641" s="113" t="s">
        <v>8</v>
      </c>
      <c r="C1641" s="113">
        <v>3.3</v>
      </c>
      <c r="D1641" s="113">
        <v>33.000999999999998</v>
      </c>
      <c r="E1641" s="113">
        <v>1E-4</v>
      </c>
      <c r="F1641" s="113" t="s">
        <v>6</v>
      </c>
      <c r="G1641" s="113" t="s">
        <v>4</v>
      </c>
      <c r="H1641" s="113">
        <v>10</v>
      </c>
      <c r="I1641" s="113">
        <v>20.010000000000002</v>
      </c>
      <c r="J1641" s="113" t="s">
        <v>10</v>
      </c>
      <c r="K1641" s="113">
        <v>0.7</v>
      </c>
      <c r="L1641" s="113">
        <v>0.81</v>
      </c>
      <c r="M1641" s="113">
        <v>0.69303999999999999</v>
      </c>
      <c r="N1641" s="113">
        <v>0.80896000000000001</v>
      </c>
      <c r="O1641" s="114" t="s">
        <v>2697</v>
      </c>
    </row>
    <row r="1642" spans="1:15" x14ac:dyDescent="0.25">
      <c r="A1642" s="113" t="s">
        <v>54</v>
      </c>
      <c r="B1642" s="113" t="s">
        <v>8</v>
      </c>
      <c r="C1642" s="113">
        <v>3.3</v>
      </c>
      <c r="D1642" s="113">
        <v>33.000999999999998</v>
      </c>
      <c r="E1642" s="113">
        <v>1E-3</v>
      </c>
      <c r="F1642" s="113" t="s">
        <v>6</v>
      </c>
      <c r="G1642" s="113" t="s">
        <v>4</v>
      </c>
      <c r="H1642" s="113">
        <v>50</v>
      </c>
      <c r="I1642" s="113">
        <v>100.01</v>
      </c>
      <c r="J1642" s="113" t="s">
        <v>10</v>
      </c>
      <c r="K1642" s="113">
        <v>2.3264999999999998</v>
      </c>
      <c r="L1642" s="113">
        <v>2.6572</v>
      </c>
      <c r="M1642" s="113">
        <v>2.3233999999999999</v>
      </c>
      <c r="N1642" s="113">
        <v>2.6573000000000002</v>
      </c>
      <c r="O1642" s="114" t="s">
        <v>2058</v>
      </c>
    </row>
    <row r="1643" spans="1:15" x14ac:dyDescent="0.25">
      <c r="A1643" s="113" t="s">
        <v>54</v>
      </c>
      <c r="B1643" s="113" t="s">
        <v>8</v>
      </c>
      <c r="C1643" s="113">
        <v>3.3</v>
      </c>
      <c r="D1643" s="113">
        <v>33.000999999999998</v>
      </c>
      <c r="E1643" s="113">
        <v>1E-3</v>
      </c>
      <c r="F1643" s="113" t="s">
        <v>6</v>
      </c>
      <c r="G1643" s="113" t="s">
        <v>4</v>
      </c>
      <c r="H1643" s="113">
        <v>500</v>
      </c>
      <c r="I1643" s="113">
        <v>501</v>
      </c>
      <c r="J1643" s="113" t="s">
        <v>10</v>
      </c>
      <c r="K1643" s="113">
        <v>13</v>
      </c>
      <c r="L1643" s="113">
        <v>4.5999999999999996</v>
      </c>
      <c r="M1643" s="113">
        <v>2.3500999999999999</v>
      </c>
      <c r="N1643" s="113">
        <v>2.6989999999999998</v>
      </c>
      <c r="O1643" s="114" t="s">
        <v>2055</v>
      </c>
    </row>
    <row r="1644" spans="1:15" x14ac:dyDescent="0.25">
      <c r="A1644" s="113" t="s">
        <v>54</v>
      </c>
      <c r="B1644" s="113" t="s">
        <v>8</v>
      </c>
      <c r="C1644" s="113">
        <v>3.3</v>
      </c>
      <c r="D1644" s="113">
        <v>33.000999999999998</v>
      </c>
      <c r="E1644" s="113">
        <v>1E-3</v>
      </c>
      <c r="F1644" s="113" t="s">
        <v>6</v>
      </c>
      <c r="G1644" s="113" t="s">
        <v>4</v>
      </c>
      <c r="H1644" s="113">
        <v>0.01</v>
      </c>
      <c r="I1644" s="113">
        <v>4.5010000000000001E-2</v>
      </c>
      <c r="J1644" s="113" t="s">
        <v>10</v>
      </c>
      <c r="K1644" s="113">
        <v>0.98726000000000003</v>
      </c>
      <c r="L1644" s="113">
        <v>0.57660999999999996</v>
      </c>
      <c r="M1644" s="113">
        <v>0.98668</v>
      </c>
      <c r="N1644" s="113">
        <v>0.57662000000000002</v>
      </c>
      <c r="O1644" s="114" t="s">
        <v>2059</v>
      </c>
    </row>
    <row r="1645" spans="1:15" x14ac:dyDescent="0.25">
      <c r="A1645" s="113" t="s">
        <v>54</v>
      </c>
      <c r="B1645" s="113" t="s">
        <v>8</v>
      </c>
      <c r="C1645" s="113">
        <v>3.3</v>
      </c>
      <c r="D1645" s="113">
        <v>33.000999999999998</v>
      </c>
      <c r="E1645" s="113">
        <v>1E-3</v>
      </c>
      <c r="F1645" s="113" t="s">
        <v>6</v>
      </c>
      <c r="G1645" s="113" t="s">
        <v>4</v>
      </c>
      <c r="H1645" s="113">
        <v>20</v>
      </c>
      <c r="I1645" s="113">
        <v>50.01</v>
      </c>
      <c r="J1645" s="113" t="s">
        <v>10</v>
      </c>
      <c r="K1645" s="113">
        <v>0.73465999999999998</v>
      </c>
      <c r="L1645" s="113">
        <v>1.1553</v>
      </c>
      <c r="M1645" s="113">
        <v>0.73165000000000002</v>
      </c>
      <c r="N1645" s="113">
        <v>1.1554</v>
      </c>
      <c r="O1645" s="114" t="s">
        <v>2056</v>
      </c>
    </row>
    <row r="1646" spans="1:15" x14ac:dyDescent="0.25">
      <c r="A1646" s="113" t="s">
        <v>54</v>
      </c>
      <c r="B1646" s="113" t="s">
        <v>8</v>
      </c>
      <c r="C1646" s="113">
        <v>3.3</v>
      </c>
      <c r="D1646" s="113">
        <v>33.000999999999998</v>
      </c>
      <c r="E1646" s="113">
        <v>1E-3</v>
      </c>
      <c r="F1646" s="113" t="s">
        <v>6</v>
      </c>
      <c r="G1646" s="113" t="s">
        <v>4</v>
      </c>
      <c r="H1646" s="113">
        <v>4.4999999999999998E-2</v>
      </c>
      <c r="I1646" s="113">
        <v>10.00001</v>
      </c>
      <c r="J1646" s="113" t="s">
        <v>10</v>
      </c>
      <c r="K1646" s="113">
        <v>0.78956999999999999</v>
      </c>
      <c r="L1646" s="113">
        <v>0.34543000000000001</v>
      </c>
      <c r="M1646" s="113">
        <v>0.78891</v>
      </c>
      <c r="N1646" s="113">
        <v>0.34543000000000001</v>
      </c>
      <c r="O1646" s="114" t="s">
        <v>2057</v>
      </c>
    </row>
    <row r="1647" spans="1:15" x14ac:dyDescent="0.25">
      <c r="A1647" s="113" t="s">
        <v>54</v>
      </c>
      <c r="B1647" s="113" t="s">
        <v>8</v>
      </c>
      <c r="C1647" s="113">
        <v>3.3</v>
      </c>
      <c r="D1647" s="113">
        <v>33.000999999999998</v>
      </c>
      <c r="E1647" s="113">
        <v>1E-3</v>
      </c>
      <c r="F1647" s="113" t="s">
        <v>6</v>
      </c>
      <c r="G1647" s="113" t="s">
        <v>4</v>
      </c>
      <c r="H1647" s="113">
        <v>100</v>
      </c>
      <c r="I1647" s="113">
        <v>500</v>
      </c>
      <c r="J1647" s="113" t="s">
        <v>10</v>
      </c>
      <c r="K1647" s="113">
        <v>13</v>
      </c>
      <c r="L1647" s="113">
        <v>4.5999999999999996</v>
      </c>
      <c r="M1647" s="113">
        <v>2.3500999999999999</v>
      </c>
      <c r="N1647" s="113">
        <v>2.6989999999999998</v>
      </c>
      <c r="O1647" s="114" t="s">
        <v>2054</v>
      </c>
    </row>
    <row r="1648" spans="1:15" x14ac:dyDescent="0.25">
      <c r="A1648" s="113" t="s">
        <v>54</v>
      </c>
      <c r="B1648" s="113" t="s">
        <v>8</v>
      </c>
      <c r="C1648" s="113">
        <v>3.3</v>
      </c>
      <c r="D1648" s="113">
        <v>33.000999999999998</v>
      </c>
      <c r="E1648" s="113">
        <v>1E-3</v>
      </c>
      <c r="F1648" s="113" t="s">
        <v>6</v>
      </c>
      <c r="G1648" s="113" t="s">
        <v>4</v>
      </c>
      <c r="H1648" s="113">
        <v>10</v>
      </c>
      <c r="I1648" s="113">
        <v>20.010000000000002</v>
      </c>
      <c r="J1648" s="113" t="s">
        <v>10</v>
      </c>
      <c r="K1648" s="113">
        <v>0.74743999999999999</v>
      </c>
      <c r="L1648" s="113">
        <v>0.8075</v>
      </c>
      <c r="M1648" s="113">
        <v>0.74699000000000004</v>
      </c>
      <c r="N1648" s="113">
        <v>0.80750999999999995</v>
      </c>
      <c r="O1648" s="114" t="s">
        <v>2700</v>
      </c>
    </row>
    <row r="1649" spans="1:15" x14ac:dyDescent="0.25">
      <c r="A1649" s="113" t="s">
        <v>54</v>
      </c>
      <c r="B1649" s="113" t="s">
        <v>8</v>
      </c>
      <c r="C1649" s="113">
        <v>3.3</v>
      </c>
      <c r="D1649" s="113">
        <v>33.000999999999998</v>
      </c>
      <c r="E1649" s="113">
        <v>0.01</v>
      </c>
      <c r="F1649" s="113" t="s">
        <v>6</v>
      </c>
      <c r="G1649" s="113" t="s">
        <v>4</v>
      </c>
      <c r="H1649" s="113">
        <v>50</v>
      </c>
      <c r="I1649" s="113">
        <v>100.01</v>
      </c>
      <c r="J1649" s="113" t="s">
        <v>10</v>
      </c>
      <c r="K1649" s="113">
        <v>3.8797000000000001</v>
      </c>
      <c r="L1649" s="113">
        <v>2.6158000000000001</v>
      </c>
      <c r="M1649" s="113">
        <v>3.8711000000000002</v>
      </c>
      <c r="N1649" s="113">
        <v>2.6160000000000001</v>
      </c>
      <c r="O1649" s="114" t="s">
        <v>2062</v>
      </c>
    </row>
    <row r="1650" spans="1:15" x14ac:dyDescent="0.25">
      <c r="A1650" s="113" t="s">
        <v>54</v>
      </c>
      <c r="B1650" s="113" t="s">
        <v>8</v>
      </c>
      <c r="C1650" s="113">
        <v>3.3</v>
      </c>
      <c r="D1650" s="113">
        <v>33.000999999999998</v>
      </c>
      <c r="E1650" s="113">
        <v>0.01</v>
      </c>
      <c r="F1650" s="113" t="s">
        <v>6</v>
      </c>
      <c r="G1650" s="113" t="s">
        <v>4</v>
      </c>
      <c r="H1650" s="113">
        <v>500</v>
      </c>
      <c r="I1650" s="113">
        <v>501</v>
      </c>
      <c r="J1650" s="113" t="s">
        <v>10</v>
      </c>
      <c r="K1650" s="113">
        <v>13</v>
      </c>
      <c r="L1650" s="113">
        <v>4.5999999999999996</v>
      </c>
      <c r="M1650" s="113">
        <v>3.831</v>
      </c>
      <c r="N1650" s="113">
        <v>2.6581000000000001</v>
      </c>
      <c r="O1650" s="114" t="s">
        <v>2060</v>
      </c>
    </row>
    <row r="1651" spans="1:15" x14ac:dyDescent="0.25">
      <c r="A1651" s="113" t="s">
        <v>54</v>
      </c>
      <c r="B1651" s="113" t="s">
        <v>8</v>
      </c>
      <c r="C1651" s="113">
        <v>3.3</v>
      </c>
      <c r="D1651" s="113">
        <v>33.000999999999998</v>
      </c>
      <c r="E1651" s="113">
        <v>0.01</v>
      </c>
      <c r="F1651" s="113" t="s">
        <v>6</v>
      </c>
      <c r="G1651" s="113" t="s">
        <v>4</v>
      </c>
      <c r="H1651" s="113">
        <v>4.4999999999999998E-2</v>
      </c>
      <c r="I1651" s="113">
        <v>10.00001</v>
      </c>
      <c r="J1651" s="113" t="s">
        <v>10</v>
      </c>
      <c r="K1651" s="113">
        <v>5.2633000000000001</v>
      </c>
      <c r="L1651" s="113">
        <v>0.24920999999999999</v>
      </c>
      <c r="M1651" s="113">
        <v>5.2624000000000004</v>
      </c>
      <c r="N1651" s="113">
        <v>0.24918000000000001</v>
      </c>
      <c r="O1651" s="114" t="s">
        <v>2061</v>
      </c>
    </row>
    <row r="1652" spans="1:15" x14ac:dyDescent="0.25">
      <c r="A1652" s="113" t="s">
        <v>54</v>
      </c>
      <c r="B1652" s="113" t="s">
        <v>8</v>
      </c>
      <c r="C1652" s="113">
        <v>3.3</v>
      </c>
      <c r="D1652" s="113">
        <v>33.000999999999998</v>
      </c>
      <c r="E1652" s="113">
        <v>0.01</v>
      </c>
      <c r="F1652" s="113" t="s">
        <v>6</v>
      </c>
      <c r="G1652" s="113" t="s">
        <v>4</v>
      </c>
      <c r="H1652" s="113">
        <v>0.01</v>
      </c>
      <c r="I1652" s="113">
        <v>4.5010000000000001E-2</v>
      </c>
      <c r="J1652" s="113" t="s">
        <v>10</v>
      </c>
      <c r="K1652" s="113">
        <v>4.8574000000000002</v>
      </c>
      <c r="L1652" s="113">
        <v>0.48407</v>
      </c>
      <c r="M1652" s="113">
        <v>4.8564999999999996</v>
      </c>
      <c r="N1652" s="113">
        <v>0.48405999999999999</v>
      </c>
      <c r="O1652" s="114" t="s">
        <v>2064</v>
      </c>
    </row>
    <row r="1653" spans="1:15" x14ac:dyDescent="0.25">
      <c r="A1653" s="113" t="s">
        <v>54</v>
      </c>
      <c r="B1653" s="113" t="s">
        <v>8</v>
      </c>
      <c r="C1653" s="113">
        <v>3.3</v>
      </c>
      <c r="D1653" s="113">
        <v>33.000999999999998</v>
      </c>
      <c r="E1653" s="113">
        <v>0.01</v>
      </c>
      <c r="F1653" s="113" t="s">
        <v>6</v>
      </c>
      <c r="G1653" s="113" t="s">
        <v>4</v>
      </c>
      <c r="H1653" s="113">
        <v>100</v>
      </c>
      <c r="I1653" s="113">
        <v>500</v>
      </c>
      <c r="J1653" s="113" t="s">
        <v>10</v>
      </c>
      <c r="K1653" s="113">
        <v>13</v>
      </c>
      <c r="L1653" s="113">
        <v>4.5999999999999996</v>
      </c>
      <c r="M1653" s="113">
        <v>3.831</v>
      </c>
      <c r="N1653" s="113">
        <v>2.6581000000000001</v>
      </c>
      <c r="O1653" s="114" t="s">
        <v>2063</v>
      </c>
    </row>
    <row r="1654" spans="1:15" x14ac:dyDescent="0.25">
      <c r="A1654" s="113" t="s">
        <v>54</v>
      </c>
      <c r="B1654" s="113" t="s">
        <v>8</v>
      </c>
      <c r="C1654" s="113">
        <v>3.3</v>
      </c>
      <c r="D1654" s="113">
        <v>33.000999999999998</v>
      </c>
      <c r="E1654" s="113">
        <v>0.01</v>
      </c>
      <c r="F1654" s="113" t="s">
        <v>6</v>
      </c>
      <c r="G1654" s="113" t="s">
        <v>4</v>
      </c>
      <c r="H1654" s="113">
        <v>20</v>
      </c>
      <c r="I1654" s="113">
        <v>50.01</v>
      </c>
      <c r="J1654" s="113" t="s">
        <v>10</v>
      </c>
      <c r="K1654" s="113">
        <v>3.8001999999999998</v>
      </c>
      <c r="L1654" s="113">
        <v>1.0753999999999999</v>
      </c>
      <c r="M1654" s="113">
        <v>3.7970999999999999</v>
      </c>
      <c r="N1654" s="113">
        <v>1.0753999999999999</v>
      </c>
      <c r="O1654" s="114" t="s">
        <v>2702</v>
      </c>
    </row>
    <row r="1655" spans="1:15" x14ac:dyDescent="0.25">
      <c r="A1655" s="113" t="s">
        <v>54</v>
      </c>
      <c r="B1655" s="113" t="s">
        <v>8</v>
      </c>
      <c r="C1655" s="113">
        <v>3.3</v>
      </c>
      <c r="D1655" s="113">
        <v>33.000999999999998</v>
      </c>
      <c r="E1655" s="113">
        <v>0.01</v>
      </c>
      <c r="F1655" s="113" t="s">
        <v>6</v>
      </c>
      <c r="G1655" s="113" t="s">
        <v>4</v>
      </c>
      <c r="H1655" s="113">
        <v>10</v>
      </c>
      <c r="I1655" s="113">
        <v>20.010000000000002</v>
      </c>
      <c r="J1655" s="113" t="s">
        <v>10</v>
      </c>
      <c r="K1655" s="113">
        <v>4.3391999999999999</v>
      </c>
      <c r="L1655" s="113">
        <v>0.71689999999999998</v>
      </c>
      <c r="M1655" s="113">
        <v>4.3383000000000003</v>
      </c>
      <c r="N1655" s="113">
        <v>0.71689999999999998</v>
      </c>
      <c r="O1655" s="114" t="s">
        <v>2701</v>
      </c>
    </row>
    <row r="1656" spans="1:15" x14ac:dyDescent="0.25">
      <c r="A1656" s="113" t="s">
        <v>54</v>
      </c>
      <c r="B1656" s="113" t="s">
        <v>8</v>
      </c>
      <c r="C1656" s="113">
        <v>3.3</v>
      </c>
      <c r="D1656" s="113">
        <v>33.000999999999998</v>
      </c>
      <c r="E1656" s="113">
        <v>0.1</v>
      </c>
      <c r="F1656" s="113" t="s">
        <v>6</v>
      </c>
      <c r="G1656" s="113" t="s">
        <v>4</v>
      </c>
      <c r="H1656" s="113">
        <v>500</v>
      </c>
      <c r="I1656" s="113">
        <v>501</v>
      </c>
      <c r="J1656" s="113" t="s">
        <v>10</v>
      </c>
      <c r="K1656" s="113">
        <v>47.329000000000001</v>
      </c>
      <c r="L1656" s="113">
        <v>3.5596999999999999</v>
      </c>
      <c r="M1656" s="113">
        <v>53.607999999999997</v>
      </c>
      <c r="N1656" s="113">
        <v>1.6549</v>
      </c>
      <c r="O1656" s="114" t="s">
        <v>2703</v>
      </c>
    </row>
    <row r="1657" spans="1:15" x14ac:dyDescent="0.25">
      <c r="A1657" s="113" t="s">
        <v>54</v>
      </c>
      <c r="B1657" s="113" t="s">
        <v>8</v>
      </c>
      <c r="C1657" s="113">
        <v>3.3</v>
      </c>
      <c r="D1657" s="113">
        <v>33.000999999999998</v>
      </c>
      <c r="E1657" s="113">
        <v>0.1</v>
      </c>
      <c r="F1657" s="113" t="s">
        <v>6</v>
      </c>
      <c r="G1657" s="113" t="s">
        <v>4</v>
      </c>
      <c r="H1657" s="113">
        <v>50</v>
      </c>
      <c r="I1657" s="113">
        <v>100.01</v>
      </c>
      <c r="J1657" s="113" t="s">
        <v>10</v>
      </c>
      <c r="K1657" s="113">
        <v>53.719000000000001</v>
      </c>
      <c r="L1657" s="113">
        <v>1.6172</v>
      </c>
      <c r="M1657" s="113">
        <v>53.713000000000001</v>
      </c>
      <c r="N1657" s="113">
        <v>1.6172</v>
      </c>
      <c r="O1657" s="114" t="s">
        <v>2065</v>
      </c>
    </row>
    <row r="1658" spans="1:15" x14ac:dyDescent="0.25">
      <c r="A1658" s="113" t="s">
        <v>54</v>
      </c>
      <c r="B1658" s="113" t="s">
        <v>8</v>
      </c>
      <c r="C1658" s="113">
        <v>3.3</v>
      </c>
      <c r="D1658" s="113">
        <v>33.000999999999998</v>
      </c>
      <c r="E1658" s="113">
        <v>0.1</v>
      </c>
      <c r="F1658" s="113" t="s">
        <v>6</v>
      </c>
      <c r="G1658" s="113" t="s">
        <v>4</v>
      </c>
      <c r="H1658" s="113">
        <v>20</v>
      </c>
      <c r="I1658" s="113">
        <v>50.01</v>
      </c>
      <c r="J1658" s="113" t="s">
        <v>10</v>
      </c>
      <c r="K1658" s="113">
        <v>56.883000000000003</v>
      </c>
      <c r="L1658" s="113">
        <v>0.39190000000000003</v>
      </c>
      <c r="M1658" s="113">
        <v>56.881999999999998</v>
      </c>
      <c r="N1658" s="113">
        <v>0.39182</v>
      </c>
      <c r="O1658" s="114" t="s">
        <v>2067</v>
      </c>
    </row>
    <row r="1659" spans="1:15" x14ac:dyDescent="0.25">
      <c r="A1659" s="113" t="s">
        <v>54</v>
      </c>
      <c r="B1659" s="113" t="s">
        <v>8</v>
      </c>
      <c r="C1659" s="113">
        <v>3.3</v>
      </c>
      <c r="D1659" s="113">
        <v>33.000999999999998</v>
      </c>
      <c r="E1659" s="113">
        <v>0.1</v>
      </c>
      <c r="F1659" s="113" t="s">
        <v>6</v>
      </c>
      <c r="G1659" s="113" t="s">
        <v>4</v>
      </c>
      <c r="H1659" s="113">
        <v>100</v>
      </c>
      <c r="I1659" s="113">
        <v>500</v>
      </c>
      <c r="J1659" s="113" t="s">
        <v>10</v>
      </c>
      <c r="K1659" s="113">
        <v>47.329000000000001</v>
      </c>
      <c r="L1659" s="113">
        <v>3.5596999999999999</v>
      </c>
      <c r="M1659" s="113">
        <v>53.607999999999997</v>
      </c>
      <c r="N1659" s="113">
        <v>1.6549</v>
      </c>
      <c r="O1659" s="114" t="s">
        <v>2068</v>
      </c>
    </row>
    <row r="1660" spans="1:15" x14ac:dyDescent="0.25">
      <c r="A1660" s="113" t="s">
        <v>54</v>
      </c>
      <c r="B1660" s="113" t="s">
        <v>8</v>
      </c>
      <c r="C1660" s="113">
        <v>3.3</v>
      </c>
      <c r="D1660" s="113">
        <v>33.000999999999998</v>
      </c>
      <c r="E1660" s="113">
        <v>0.1</v>
      </c>
      <c r="F1660" s="113" t="s">
        <v>6</v>
      </c>
      <c r="G1660" s="113" t="s">
        <v>4</v>
      </c>
      <c r="H1660" s="113">
        <v>0.01</v>
      </c>
      <c r="I1660" s="113">
        <v>4.5010000000000001E-2</v>
      </c>
      <c r="J1660" s="113" t="s">
        <v>10</v>
      </c>
      <c r="K1660" s="113">
        <v>57.704000000000001</v>
      </c>
      <c r="L1660" s="113">
        <v>0.11064</v>
      </c>
      <c r="M1660" s="113">
        <v>57.704000000000001</v>
      </c>
      <c r="N1660" s="113">
        <v>0.11058999999999999</v>
      </c>
      <c r="O1660" s="114" t="s">
        <v>2066</v>
      </c>
    </row>
    <row r="1661" spans="1:15" x14ac:dyDescent="0.25">
      <c r="A1661" s="113" t="s">
        <v>54</v>
      </c>
      <c r="B1661" s="113" t="s">
        <v>8</v>
      </c>
      <c r="C1661" s="113">
        <v>3.3</v>
      </c>
      <c r="D1661" s="113">
        <v>33.000999999999998</v>
      </c>
      <c r="E1661" s="113">
        <v>0.1</v>
      </c>
      <c r="F1661" s="113" t="s">
        <v>6</v>
      </c>
      <c r="G1661" s="113" t="s">
        <v>4</v>
      </c>
      <c r="H1661" s="113">
        <v>10</v>
      </c>
      <c r="I1661" s="113">
        <v>20.010000000000002</v>
      </c>
      <c r="J1661" s="113" t="s">
        <v>10</v>
      </c>
      <c r="K1661" s="113">
        <v>57.426000000000002</v>
      </c>
      <c r="L1661" s="113">
        <v>0.20355000000000001</v>
      </c>
      <c r="M1661" s="113">
        <v>57.426000000000002</v>
      </c>
      <c r="N1661" s="113">
        <v>0.20351</v>
      </c>
      <c r="O1661" s="114" t="s">
        <v>2704</v>
      </c>
    </row>
    <row r="1662" spans="1:15" x14ac:dyDescent="0.25">
      <c r="A1662" s="113" t="s">
        <v>54</v>
      </c>
      <c r="B1662" s="113" t="s">
        <v>8</v>
      </c>
      <c r="C1662" s="113">
        <v>3.3</v>
      </c>
      <c r="D1662" s="113">
        <v>33.000999999999998</v>
      </c>
      <c r="E1662" s="113">
        <v>0.1</v>
      </c>
      <c r="F1662" s="113" t="s">
        <v>6</v>
      </c>
      <c r="G1662" s="113" t="s">
        <v>4</v>
      </c>
      <c r="H1662" s="113">
        <v>4.4999999999999998E-2</v>
      </c>
      <c r="I1662" s="113">
        <v>10.00001</v>
      </c>
      <c r="J1662" s="113" t="s">
        <v>10</v>
      </c>
      <c r="K1662" s="113">
        <v>57.892000000000003</v>
      </c>
      <c r="L1662" s="113">
        <v>4.1619999999999997E-2</v>
      </c>
      <c r="M1662" s="113">
        <v>57.892000000000003</v>
      </c>
      <c r="N1662" s="113">
        <v>4.1575000000000001E-2</v>
      </c>
      <c r="O1662" s="114" t="s">
        <v>2069</v>
      </c>
    </row>
    <row r="1663" spans="1:15" x14ac:dyDescent="0.25">
      <c r="A1663" s="113" t="s">
        <v>54</v>
      </c>
      <c r="B1663" s="113" t="s">
        <v>8</v>
      </c>
      <c r="C1663" s="113">
        <v>3.3</v>
      </c>
      <c r="D1663" s="113">
        <v>33.000999999999998</v>
      </c>
      <c r="E1663" s="113">
        <v>1</v>
      </c>
      <c r="F1663" s="113" t="s">
        <v>6</v>
      </c>
      <c r="G1663" s="113" t="s">
        <v>4</v>
      </c>
      <c r="H1663" s="113">
        <v>500</v>
      </c>
      <c r="I1663" s="113">
        <v>501</v>
      </c>
      <c r="J1663" s="113" t="s">
        <v>10</v>
      </c>
      <c r="K1663" s="113">
        <v>579.33000000000004</v>
      </c>
      <c r="L1663" s="113">
        <v>0.23723</v>
      </c>
      <c r="M1663" s="113">
        <v>579.33000000000004</v>
      </c>
      <c r="N1663" s="113">
        <v>0.23716999999999999</v>
      </c>
      <c r="O1663" s="114" t="s">
        <v>2072</v>
      </c>
    </row>
    <row r="1664" spans="1:15" x14ac:dyDescent="0.25">
      <c r="A1664" s="113" t="s">
        <v>54</v>
      </c>
      <c r="B1664" s="113" t="s">
        <v>8</v>
      </c>
      <c r="C1664" s="113">
        <v>3.3</v>
      </c>
      <c r="D1664" s="113">
        <v>33.000999999999998</v>
      </c>
      <c r="E1664" s="113">
        <v>1</v>
      </c>
      <c r="F1664" s="113" t="s">
        <v>6</v>
      </c>
      <c r="G1664" s="113" t="s">
        <v>4</v>
      </c>
      <c r="H1664" s="113">
        <v>20</v>
      </c>
      <c r="I1664" s="113">
        <v>50.01</v>
      </c>
      <c r="J1664" s="113" t="s">
        <v>10</v>
      </c>
      <c r="K1664" s="113">
        <v>579.88</v>
      </c>
      <c r="L1664" s="113">
        <v>4.3222999999999998E-2</v>
      </c>
      <c r="M1664" s="113">
        <v>579.88</v>
      </c>
      <c r="N1664" s="113">
        <v>4.3181999999999998E-2</v>
      </c>
      <c r="O1664" s="114" t="s">
        <v>2074</v>
      </c>
    </row>
    <row r="1665" spans="1:15" x14ac:dyDescent="0.25">
      <c r="A1665" s="113" t="s">
        <v>54</v>
      </c>
      <c r="B1665" s="113" t="s">
        <v>8</v>
      </c>
      <c r="C1665" s="113">
        <v>3.3</v>
      </c>
      <c r="D1665" s="113">
        <v>33.000999999999998</v>
      </c>
      <c r="E1665" s="113">
        <v>1</v>
      </c>
      <c r="F1665" s="113" t="s">
        <v>6</v>
      </c>
      <c r="G1665" s="113" t="s">
        <v>4</v>
      </c>
      <c r="H1665" s="113">
        <v>10</v>
      </c>
      <c r="I1665" s="113">
        <v>20.010000000000002</v>
      </c>
      <c r="J1665" s="113" t="s">
        <v>10</v>
      </c>
      <c r="K1665" s="113">
        <v>579.94000000000005</v>
      </c>
      <c r="L1665" s="113">
        <v>2.1451999999999999E-2</v>
      </c>
      <c r="M1665" s="113">
        <v>579.94000000000005</v>
      </c>
      <c r="N1665" s="113">
        <v>2.1433000000000001E-2</v>
      </c>
      <c r="O1665" s="114" t="s">
        <v>2073</v>
      </c>
    </row>
    <row r="1666" spans="1:15" x14ac:dyDescent="0.25">
      <c r="A1666" s="113" t="s">
        <v>54</v>
      </c>
      <c r="B1666" s="113" t="s">
        <v>8</v>
      </c>
      <c r="C1666" s="113">
        <v>3.3</v>
      </c>
      <c r="D1666" s="113">
        <v>33.000999999999998</v>
      </c>
      <c r="E1666" s="113">
        <v>1</v>
      </c>
      <c r="F1666" s="113" t="s">
        <v>6</v>
      </c>
      <c r="G1666" s="113" t="s">
        <v>4</v>
      </c>
      <c r="H1666" s="113">
        <v>100</v>
      </c>
      <c r="I1666" s="113">
        <v>500</v>
      </c>
      <c r="J1666" s="113" t="s">
        <v>10</v>
      </c>
      <c r="K1666" s="113">
        <v>579.33000000000004</v>
      </c>
      <c r="L1666" s="113">
        <v>0.23723</v>
      </c>
      <c r="M1666" s="113">
        <v>579.33000000000004</v>
      </c>
      <c r="N1666" s="113">
        <v>0.23716999999999999</v>
      </c>
      <c r="O1666" s="114" t="s">
        <v>2071</v>
      </c>
    </row>
    <row r="1667" spans="1:15" x14ac:dyDescent="0.25">
      <c r="A1667" s="113" t="s">
        <v>54</v>
      </c>
      <c r="B1667" s="113" t="s">
        <v>8</v>
      </c>
      <c r="C1667" s="113">
        <v>3.3</v>
      </c>
      <c r="D1667" s="113">
        <v>33.000999999999998</v>
      </c>
      <c r="E1667" s="113">
        <v>1</v>
      </c>
      <c r="F1667" s="113" t="s">
        <v>6</v>
      </c>
      <c r="G1667" s="113" t="s">
        <v>4</v>
      </c>
      <c r="H1667" s="113">
        <v>50</v>
      </c>
      <c r="I1667" s="113">
        <v>100.01</v>
      </c>
      <c r="J1667" s="113" t="s">
        <v>10</v>
      </c>
      <c r="K1667" s="113">
        <v>579.35</v>
      </c>
      <c r="L1667" s="113">
        <v>0.23028000000000001</v>
      </c>
      <c r="M1667" s="113">
        <v>579.35</v>
      </c>
      <c r="N1667" s="113">
        <v>0.23021</v>
      </c>
      <c r="O1667" s="114" t="s">
        <v>2706</v>
      </c>
    </row>
    <row r="1668" spans="1:15" x14ac:dyDescent="0.25">
      <c r="A1668" s="113" t="s">
        <v>54</v>
      </c>
      <c r="B1668" s="113" t="s">
        <v>8</v>
      </c>
      <c r="C1668" s="113">
        <v>3.3</v>
      </c>
      <c r="D1668" s="113">
        <v>33.000999999999998</v>
      </c>
      <c r="E1668" s="113">
        <v>1</v>
      </c>
      <c r="F1668" s="113" t="s">
        <v>6</v>
      </c>
      <c r="G1668" s="113" t="s">
        <v>4</v>
      </c>
      <c r="H1668" s="113">
        <v>0.01</v>
      </c>
      <c r="I1668" s="113">
        <v>4.5010000000000001E-2</v>
      </c>
      <c r="J1668" s="113" t="s">
        <v>10</v>
      </c>
      <c r="K1668" s="113">
        <v>579.97</v>
      </c>
      <c r="L1668" s="113">
        <v>1.1401E-2</v>
      </c>
      <c r="M1668" s="113">
        <v>579.97</v>
      </c>
      <c r="N1668" s="113">
        <v>1.1382E-2</v>
      </c>
      <c r="O1668" s="114" t="s">
        <v>2705</v>
      </c>
    </row>
    <row r="1669" spans="1:15" x14ac:dyDescent="0.25">
      <c r="A1669" s="113" t="s">
        <v>54</v>
      </c>
      <c r="B1669" s="113" t="s">
        <v>8</v>
      </c>
      <c r="C1669" s="113">
        <v>3.3</v>
      </c>
      <c r="D1669" s="113">
        <v>33.000999999999998</v>
      </c>
      <c r="E1669" s="113">
        <v>1</v>
      </c>
      <c r="F1669" s="113" t="s">
        <v>6</v>
      </c>
      <c r="G1669" s="113" t="s">
        <v>4</v>
      </c>
      <c r="H1669" s="113">
        <v>4.4999999999999998E-2</v>
      </c>
      <c r="I1669" s="113">
        <v>10.00001</v>
      </c>
      <c r="J1669" s="113" t="s">
        <v>10</v>
      </c>
      <c r="K1669" s="113">
        <v>579.99</v>
      </c>
      <c r="L1669" s="113">
        <v>4.2218999999999998E-3</v>
      </c>
      <c r="M1669" s="113">
        <v>579.99</v>
      </c>
      <c r="N1669" s="113">
        <v>4.2034000000000004E-3</v>
      </c>
      <c r="O1669" s="114" t="s">
        <v>2070</v>
      </c>
    </row>
    <row r="1670" spans="1:15" x14ac:dyDescent="0.25">
      <c r="A1670" s="113" t="s">
        <v>54</v>
      </c>
      <c r="B1670" s="113" t="s">
        <v>8</v>
      </c>
      <c r="C1670" s="113">
        <v>33</v>
      </c>
      <c r="D1670" s="113">
        <v>330.01</v>
      </c>
      <c r="E1670" s="113">
        <v>1E-3</v>
      </c>
      <c r="F1670" s="113" t="s">
        <v>6</v>
      </c>
      <c r="G1670" s="113" t="s">
        <v>4</v>
      </c>
      <c r="H1670" s="113">
        <v>4.4999999999999998E-2</v>
      </c>
      <c r="I1670" s="113">
        <v>10.00001</v>
      </c>
      <c r="J1670" s="113" t="s">
        <v>10</v>
      </c>
      <c r="K1670" s="113">
        <v>12</v>
      </c>
      <c r="L1670" s="113">
        <v>0.92</v>
      </c>
      <c r="M1670" s="113">
        <v>10.393000000000001</v>
      </c>
      <c r="N1670" s="113">
        <v>0.92459000000000002</v>
      </c>
      <c r="O1670" s="114" t="s">
        <v>2075</v>
      </c>
    </row>
    <row r="1671" spans="1:15" x14ac:dyDescent="0.25">
      <c r="A1671" s="113" t="s">
        <v>54</v>
      </c>
      <c r="B1671" s="113" t="s">
        <v>8</v>
      </c>
      <c r="C1671" s="113">
        <v>33</v>
      </c>
      <c r="D1671" s="113">
        <v>330.01</v>
      </c>
      <c r="E1671" s="113">
        <v>1E-3</v>
      </c>
      <c r="F1671" s="113" t="s">
        <v>6</v>
      </c>
      <c r="G1671" s="113" t="s">
        <v>4</v>
      </c>
      <c r="H1671" s="113">
        <v>10</v>
      </c>
      <c r="I1671" s="113">
        <v>20.010000000000002</v>
      </c>
      <c r="J1671" s="113" t="s">
        <v>10</v>
      </c>
      <c r="K1671" s="113">
        <v>24</v>
      </c>
      <c r="L1671" s="113">
        <v>1</v>
      </c>
      <c r="M1671" s="113">
        <v>10.388</v>
      </c>
      <c r="N1671" s="113">
        <v>1.04</v>
      </c>
      <c r="O1671" s="114" t="s">
        <v>2077</v>
      </c>
    </row>
    <row r="1672" spans="1:15" x14ac:dyDescent="0.25">
      <c r="A1672" s="113" t="s">
        <v>54</v>
      </c>
      <c r="B1672" s="113" t="s">
        <v>8</v>
      </c>
      <c r="C1672" s="113">
        <v>33</v>
      </c>
      <c r="D1672" s="113">
        <v>330.01</v>
      </c>
      <c r="E1672" s="113">
        <v>1E-3</v>
      </c>
      <c r="F1672" s="113" t="s">
        <v>6</v>
      </c>
      <c r="G1672" s="113" t="s">
        <v>4</v>
      </c>
      <c r="H1672" s="113">
        <v>0.01</v>
      </c>
      <c r="I1672" s="113">
        <v>4.5010000000000001E-2</v>
      </c>
      <c r="J1672" s="113" t="s">
        <v>10</v>
      </c>
      <c r="K1672" s="113">
        <v>3.5</v>
      </c>
      <c r="L1672" s="113">
        <v>0.57999999999999996</v>
      </c>
      <c r="M1672" s="113">
        <v>3.4704999999999999</v>
      </c>
      <c r="N1672" s="113">
        <v>0.57867999999999997</v>
      </c>
      <c r="O1672" s="114" t="s">
        <v>2078</v>
      </c>
    </row>
    <row r="1673" spans="1:15" x14ac:dyDescent="0.25">
      <c r="A1673" s="113" t="s">
        <v>54</v>
      </c>
      <c r="B1673" s="113" t="s">
        <v>8</v>
      </c>
      <c r="C1673" s="113">
        <v>33</v>
      </c>
      <c r="D1673" s="113">
        <v>330.01</v>
      </c>
      <c r="E1673" s="113">
        <v>1E-3</v>
      </c>
      <c r="F1673" s="113" t="s">
        <v>6</v>
      </c>
      <c r="G1673" s="113" t="s">
        <v>4</v>
      </c>
      <c r="H1673" s="113">
        <v>100</v>
      </c>
      <c r="I1673" s="113">
        <v>100.1</v>
      </c>
      <c r="J1673" s="113" t="s">
        <v>10</v>
      </c>
      <c r="K1673" s="113">
        <v>92</v>
      </c>
      <c r="L1673" s="113">
        <v>2.8</v>
      </c>
      <c r="M1673" s="113">
        <v>91.936999999999998</v>
      </c>
      <c r="N1673" s="113">
        <v>2.7856000000000001</v>
      </c>
      <c r="O1673" s="114" t="s">
        <v>2076</v>
      </c>
    </row>
    <row r="1674" spans="1:15" x14ac:dyDescent="0.25">
      <c r="A1674" s="113" t="s">
        <v>54</v>
      </c>
      <c r="B1674" s="113" t="s">
        <v>8</v>
      </c>
      <c r="C1674" s="113">
        <v>33</v>
      </c>
      <c r="D1674" s="113">
        <v>330.01</v>
      </c>
      <c r="E1674" s="113">
        <v>1E-3</v>
      </c>
      <c r="F1674" s="113" t="s">
        <v>6</v>
      </c>
      <c r="G1674" s="113" t="s">
        <v>4</v>
      </c>
      <c r="H1674" s="113">
        <v>20</v>
      </c>
      <c r="I1674" s="113">
        <v>50.01</v>
      </c>
      <c r="J1674" s="113" t="s">
        <v>10</v>
      </c>
      <c r="K1674" s="113">
        <v>22</v>
      </c>
      <c r="L1674" s="113">
        <v>1.4</v>
      </c>
      <c r="M1674" s="113">
        <v>10.266</v>
      </c>
      <c r="N1674" s="113">
        <v>1.3912</v>
      </c>
      <c r="O1674" s="114" t="s">
        <v>2080</v>
      </c>
    </row>
    <row r="1675" spans="1:15" x14ac:dyDescent="0.25">
      <c r="A1675" s="113" t="s">
        <v>54</v>
      </c>
      <c r="B1675" s="113" t="s">
        <v>8</v>
      </c>
      <c r="C1675" s="113">
        <v>33</v>
      </c>
      <c r="D1675" s="113">
        <v>330.01</v>
      </c>
      <c r="E1675" s="113">
        <v>1E-3</v>
      </c>
      <c r="F1675" s="113" t="s">
        <v>6</v>
      </c>
      <c r="G1675" s="113" t="s">
        <v>4</v>
      </c>
      <c r="H1675" s="113">
        <v>50</v>
      </c>
      <c r="I1675" s="113">
        <v>100</v>
      </c>
      <c r="J1675" s="113" t="s">
        <v>10</v>
      </c>
      <c r="K1675" s="113">
        <v>92</v>
      </c>
      <c r="L1675" s="113">
        <v>2.8</v>
      </c>
      <c r="M1675" s="113">
        <v>91.936999999999998</v>
      </c>
      <c r="N1675" s="113">
        <v>2.7856000000000001</v>
      </c>
      <c r="O1675" s="114" t="s">
        <v>2079</v>
      </c>
    </row>
    <row r="1676" spans="1:15" x14ac:dyDescent="0.25">
      <c r="A1676" s="113" t="s">
        <v>54</v>
      </c>
      <c r="B1676" s="113" t="s">
        <v>8</v>
      </c>
      <c r="C1676" s="113">
        <v>33</v>
      </c>
      <c r="D1676" s="113">
        <v>330.01</v>
      </c>
      <c r="E1676" s="113">
        <v>0.01</v>
      </c>
      <c r="F1676" s="113" t="s">
        <v>6</v>
      </c>
      <c r="G1676" s="113" t="s">
        <v>4</v>
      </c>
      <c r="H1676" s="113">
        <v>4.4999999999999998E-2</v>
      </c>
      <c r="I1676" s="113">
        <v>10.00001</v>
      </c>
      <c r="J1676" s="113" t="s">
        <v>10</v>
      </c>
      <c r="K1676" s="113">
        <v>12</v>
      </c>
      <c r="L1676" s="113">
        <v>0.92330999999999996</v>
      </c>
      <c r="M1676" s="113">
        <v>10.834</v>
      </c>
      <c r="N1676" s="113">
        <v>0.9234</v>
      </c>
      <c r="O1676" s="114" t="s">
        <v>2082</v>
      </c>
    </row>
    <row r="1677" spans="1:15" x14ac:dyDescent="0.25">
      <c r="A1677" s="113" t="s">
        <v>54</v>
      </c>
      <c r="B1677" s="113" t="s">
        <v>8</v>
      </c>
      <c r="C1677" s="113">
        <v>33</v>
      </c>
      <c r="D1677" s="113">
        <v>330.01</v>
      </c>
      <c r="E1677" s="113">
        <v>0.01</v>
      </c>
      <c r="F1677" s="113" t="s">
        <v>6</v>
      </c>
      <c r="G1677" s="113" t="s">
        <v>4</v>
      </c>
      <c r="H1677" s="113">
        <v>10</v>
      </c>
      <c r="I1677" s="113">
        <v>20.010000000000002</v>
      </c>
      <c r="J1677" s="113" t="s">
        <v>10</v>
      </c>
      <c r="K1677" s="113">
        <v>24</v>
      </c>
      <c r="L1677" s="113">
        <v>1.0331999999999999</v>
      </c>
      <c r="M1677" s="113">
        <v>10.795999999999999</v>
      </c>
      <c r="N1677" s="113">
        <v>1.0388999999999999</v>
      </c>
      <c r="O1677" s="114" t="s">
        <v>2084</v>
      </c>
    </row>
    <row r="1678" spans="1:15" x14ac:dyDescent="0.25">
      <c r="A1678" s="113" t="s">
        <v>54</v>
      </c>
      <c r="B1678" s="113" t="s">
        <v>8</v>
      </c>
      <c r="C1678" s="113">
        <v>33</v>
      </c>
      <c r="D1678" s="113">
        <v>330.01</v>
      </c>
      <c r="E1678" s="113">
        <v>0.01</v>
      </c>
      <c r="F1678" s="113" t="s">
        <v>6</v>
      </c>
      <c r="G1678" s="113" t="s">
        <v>4</v>
      </c>
      <c r="H1678" s="113">
        <v>0.01</v>
      </c>
      <c r="I1678" s="113">
        <v>4.5010000000000001E-2</v>
      </c>
      <c r="J1678" s="113" t="s">
        <v>10</v>
      </c>
      <c r="K1678" s="113">
        <v>4.2872000000000003</v>
      </c>
      <c r="L1678" s="113">
        <v>0.57647000000000004</v>
      </c>
      <c r="M1678" s="113">
        <v>4.2606000000000002</v>
      </c>
      <c r="N1678" s="113">
        <v>0.57652000000000003</v>
      </c>
      <c r="O1678" s="114" t="s">
        <v>2083</v>
      </c>
    </row>
    <row r="1679" spans="1:15" x14ac:dyDescent="0.25">
      <c r="A1679" s="113" t="s">
        <v>54</v>
      </c>
      <c r="B1679" s="113" t="s">
        <v>8</v>
      </c>
      <c r="C1679" s="113">
        <v>33</v>
      </c>
      <c r="D1679" s="113">
        <v>330.01</v>
      </c>
      <c r="E1679" s="113">
        <v>0.01</v>
      </c>
      <c r="F1679" s="113" t="s">
        <v>6</v>
      </c>
      <c r="G1679" s="113" t="s">
        <v>4</v>
      </c>
      <c r="H1679" s="113">
        <v>50</v>
      </c>
      <c r="I1679" s="113">
        <v>100</v>
      </c>
      <c r="J1679" s="113" t="s">
        <v>10</v>
      </c>
      <c r="K1679" s="113">
        <v>92.063000000000002</v>
      </c>
      <c r="L1679" s="113">
        <v>2.7852999999999999</v>
      </c>
      <c r="M1679" s="113">
        <v>92.033000000000001</v>
      </c>
      <c r="N1679" s="113">
        <v>2.7854000000000001</v>
      </c>
      <c r="O1679" s="114" t="s">
        <v>2085</v>
      </c>
    </row>
    <row r="1680" spans="1:15" x14ac:dyDescent="0.25">
      <c r="A1680" s="113" t="s">
        <v>54</v>
      </c>
      <c r="B1680" s="113" t="s">
        <v>8</v>
      </c>
      <c r="C1680" s="113">
        <v>33</v>
      </c>
      <c r="D1680" s="113">
        <v>330.01</v>
      </c>
      <c r="E1680" s="113">
        <v>0.01</v>
      </c>
      <c r="F1680" s="113" t="s">
        <v>6</v>
      </c>
      <c r="G1680" s="113" t="s">
        <v>4</v>
      </c>
      <c r="H1680" s="113">
        <v>20</v>
      </c>
      <c r="I1680" s="113">
        <v>50.01</v>
      </c>
      <c r="J1680" s="113" t="s">
        <v>10</v>
      </c>
      <c r="K1680" s="113">
        <v>22</v>
      </c>
      <c r="L1680" s="113">
        <v>1.4</v>
      </c>
      <c r="M1680" s="113">
        <v>10.577</v>
      </c>
      <c r="N1680" s="113">
        <v>1.3904000000000001</v>
      </c>
      <c r="O1680" s="114" t="s">
        <v>2707</v>
      </c>
    </row>
    <row r="1681" spans="1:15" x14ac:dyDescent="0.25">
      <c r="A1681" s="113" t="s">
        <v>54</v>
      </c>
      <c r="B1681" s="113" t="s">
        <v>8</v>
      </c>
      <c r="C1681" s="113">
        <v>33</v>
      </c>
      <c r="D1681" s="113">
        <v>330.01</v>
      </c>
      <c r="E1681" s="113">
        <v>0.01</v>
      </c>
      <c r="F1681" s="113" t="s">
        <v>6</v>
      </c>
      <c r="G1681" s="113" t="s">
        <v>4</v>
      </c>
      <c r="H1681" s="113">
        <v>100</v>
      </c>
      <c r="I1681" s="113">
        <v>100.1</v>
      </c>
      <c r="J1681" s="113" t="s">
        <v>10</v>
      </c>
      <c r="K1681" s="113">
        <v>92.063000000000002</v>
      </c>
      <c r="L1681" s="113">
        <v>2.7852999999999999</v>
      </c>
      <c r="M1681" s="113">
        <v>92.033000000000001</v>
      </c>
      <c r="N1681" s="113">
        <v>2.7854000000000001</v>
      </c>
      <c r="O1681" s="114" t="s">
        <v>2081</v>
      </c>
    </row>
    <row r="1682" spans="1:15" x14ac:dyDescent="0.25">
      <c r="A1682" s="113" t="s">
        <v>54</v>
      </c>
      <c r="B1682" s="113" t="s">
        <v>8</v>
      </c>
      <c r="C1682" s="113">
        <v>33</v>
      </c>
      <c r="D1682" s="113">
        <v>330.01</v>
      </c>
      <c r="E1682" s="113">
        <v>0.1</v>
      </c>
      <c r="F1682" s="113" t="s">
        <v>6</v>
      </c>
      <c r="G1682" s="113" t="s">
        <v>4</v>
      </c>
      <c r="H1682" s="113">
        <v>100</v>
      </c>
      <c r="I1682" s="113">
        <v>100.1</v>
      </c>
      <c r="J1682" s="113" t="s">
        <v>10</v>
      </c>
      <c r="K1682" s="113">
        <v>101.77</v>
      </c>
      <c r="L1682" s="113">
        <v>2.7610000000000001</v>
      </c>
      <c r="M1682" s="113">
        <v>101.69</v>
      </c>
      <c r="N1682" s="113">
        <v>2.7610999999999999</v>
      </c>
      <c r="O1682" s="114" t="s">
        <v>2710</v>
      </c>
    </row>
    <row r="1683" spans="1:15" x14ac:dyDescent="0.25">
      <c r="A1683" s="113" t="s">
        <v>54</v>
      </c>
      <c r="B1683" s="113" t="s">
        <v>8</v>
      </c>
      <c r="C1683" s="113">
        <v>33</v>
      </c>
      <c r="D1683" s="113">
        <v>330.01</v>
      </c>
      <c r="E1683" s="113">
        <v>0.1</v>
      </c>
      <c r="F1683" s="113" t="s">
        <v>6</v>
      </c>
      <c r="G1683" s="113" t="s">
        <v>4</v>
      </c>
      <c r="H1683" s="113">
        <v>0.01</v>
      </c>
      <c r="I1683" s="113">
        <v>4.5010000000000001E-2</v>
      </c>
      <c r="J1683" s="113" t="s">
        <v>10</v>
      </c>
      <c r="K1683" s="113">
        <v>46.640999999999998</v>
      </c>
      <c r="L1683" s="113">
        <v>0.47359000000000001</v>
      </c>
      <c r="M1683" s="113">
        <v>46.601999999999997</v>
      </c>
      <c r="N1683" s="113">
        <v>0.47360999999999998</v>
      </c>
      <c r="O1683" s="114" t="s">
        <v>2087</v>
      </c>
    </row>
    <row r="1684" spans="1:15" x14ac:dyDescent="0.25">
      <c r="A1684" s="113" t="s">
        <v>54</v>
      </c>
      <c r="B1684" s="113" t="s">
        <v>8</v>
      </c>
      <c r="C1684" s="113">
        <v>33</v>
      </c>
      <c r="D1684" s="113">
        <v>330.01</v>
      </c>
      <c r="E1684" s="113">
        <v>0.1</v>
      </c>
      <c r="F1684" s="113" t="s">
        <v>6</v>
      </c>
      <c r="G1684" s="113" t="s">
        <v>4</v>
      </c>
      <c r="H1684" s="113">
        <v>4.4999999999999998E-2</v>
      </c>
      <c r="I1684" s="113">
        <v>10.00001</v>
      </c>
      <c r="J1684" s="113" t="s">
        <v>10</v>
      </c>
      <c r="K1684" s="113">
        <v>43.308999999999997</v>
      </c>
      <c r="L1684" s="113">
        <v>0.84099999999999997</v>
      </c>
      <c r="M1684" s="113">
        <v>43.21</v>
      </c>
      <c r="N1684" s="113">
        <v>0.84114999999999995</v>
      </c>
      <c r="O1684" s="114" t="s">
        <v>2711</v>
      </c>
    </row>
    <row r="1685" spans="1:15" x14ac:dyDescent="0.25">
      <c r="A1685" s="113" t="s">
        <v>54</v>
      </c>
      <c r="B1685" s="113" t="s">
        <v>8</v>
      </c>
      <c r="C1685" s="113">
        <v>33</v>
      </c>
      <c r="D1685" s="113">
        <v>330.01</v>
      </c>
      <c r="E1685" s="113">
        <v>0.1</v>
      </c>
      <c r="F1685" s="113" t="s">
        <v>6</v>
      </c>
      <c r="G1685" s="113" t="s">
        <v>4</v>
      </c>
      <c r="H1685" s="113">
        <v>10</v>
      </c>
      <c r="I1685" s="113">
        <v>20.010000000000002</v>
      </c>
      <c r="J1685" s="113" t="s">
        <v>10</v>
      </c>
      <c r="K1685" s="113">
        <v>41.651000000000003</v>
      </c>
      <c r="L1685" s="113">
        <v>0.95969000000000004</v>
      </c>
      <c r="M1685" s="113">
        <v>41.554000000000002</v>
      </c>
      <c r="N1685" s="113">
        <v>0.95984999999999998</v>
      </c>
      <c r="O1685" s="114" t="s">
        <v>2086</v>
      </c>
    </row>
    <row r="1686" spans="1:15" x14ac:dyDescent="0.25">
      <c r="A1686" s="113" t="s">
        <v>54</v>
      </c>
      <c r="B1686" s="113" t="s">
        <v>8</v>
      </c>
      <c r="C1686" s="113">
        <v>33</v>
      </c>
      <c r="D1686" s="113">
        <v>330.01</v>
      </c>
      <c r="E1686" s="113">
        <v>0.1</v>
      </c>
      <c r="F1686" s="113" t="s">
        <v>6</v>
      </c>
      <c r="G1686" s="113" t="s">
        <v>4</v>
      </c>
      <c r="H1686" s="113">
        <v>20</v>
      </c>
      <c r="I1686" s="113">
        <v>50.01</v>
      </c>
      <c r="J1686" s="113" t="s">
        <v>10</v>
      </c>
      <c r="K1686" s="113">
        <v>36.020000000000003</v>
      </c>
      <c r="L1686" s="113">
        <v>1.3574999999999999</v>
      </c>
      <c r="M1686" s="113">
        <v>37.167000000000002</v>
      </c>
      <c r="N1686" s="113">
        <v>1.3205</v>
      </c>
      <c r="O1686" s="114" t="s">
        <v>2708</v>
      </c>
    </row>
    <row r="1687" spans="1:15" x14ac:dyDescent="0.25">
      <c r="A1687" s="113" t="s">
        <v>54</v>
      </c>
      <c r="B1687" s="113" t="s">
        <v>8</v>
      </c>
      <c r="C1687" s="113">
        <v>33</v>
      </c>
      <c r="D1687" s="113">
        <v>330.01</v>
      </c>
      <c r="E1687" s="113">
        <v>0.1</v>
      </c>
      <c r="F1687" s="113" t="s">
        <v>6</v>
      </c>
      <c r="G1687" s="113" t="s">
        <v>4</v>
      </c>
      <c r="H1687" s="113">
        <v>50</v>
      </c>
      <c r="I1687" s="113">
        <v>100</v>
      </c>
      <c r="J1687" s="113" t="s">
        <v>10</v>
      </c>
      <c r="K1687" s="113">
        <v>101.77</v>
      </c>
      <c r="L1687" s="113">
        <v>2.7610000000000001</v>
      </c>
      <c r="M1687" s="113">
        <v>101.69</v>
      </c>
      <c r="N1687" s="113">
        <v>2.7610999999999999</v>
      </c>
      <c r="O1687" s="114" t="s">
        <v>2709</v>
      </c>
    </row>
    <row r="1688" spans="1:15" x14ac:dyDescent="0.25">
      <c r="A1688" s="113" t="s">
        <v>54</v>
      </c>
      <c r="B1688" s="113" t="s">
        <v>8</v>
      </c>
      <c r="C1688" s="113">
        <v>33</v>
      </c>
      <c r="D1688" s="113">
        <v>330.01</v>
      </c>
      <c r="E1688" s="113">
        <v>1</v>
      </c>
      <c r="F1688" s="113" t="s">
        <v>6</v>
      </c>
      <c r="G1688" s="113" t="s">
        <v>4</v>
      </c>
      <c r="H1688" s="113">
        <v>10</v>
      </c>
      <c r="I1688" s="113">
        <v>20.010000000000002</v>
      </c>
      <c r="J1688" s="113" t="s">
        <v>10</v>
      </c>
      <c r="K1688" s="113">
        <v>570.91999999999996</v>
      </c>
      <c r="L1688" s="113">
        <v>0.32863999999999999</v>
      </c>
      <c r="M1688" s="113">
        <v>570.88</v>
      </c>
      <c r="N1688" s="113">
        <v>0.32847999999999999</v>
      </c>
      <c r="O1688" s="114" t="s">
        <v>2090</v>
      </c>
    </row>
    <row r="1689" spans="1:15" x14ac:dyDescent="0.25">
      <c r="A1689" s="113" t="s">
        <v>54</v>
      </c>
      <c r="B1689" s="113" t="s">
        <v>8</v>
      </c>
      <c r="C1689" s="113">
        <v>33</v>
      </c>
      <c r="D1689" s="113">
        <v>330.01</v>
      </c>
      <c r="E1689" s="113">
        <v>1</v>
      </c>
      <c r="F1689" s="113" t="s">
        <v>6</v>
      </c>
      <c r="G1689" s="113" t="s">
        <v>4</v>
      </c>
      <c r="H1689" s="113">
        <v>20</v>
      </c>
      <c r="I1689" s="113">
        <v>50.01</v>
      </c>
      <c r="J1689" s="113" t="s">
        <v>10</v>
      </c>
      <c r="K1689" s="113">
        <v>564.6</v>
      </c>
      <c r="L1689" s="113">
        <v>0.55034000000000005</v>
      </c>
      <c r="M1689" s="113">
        <v>564.55999999999995</v>
      </c>
      <c r="N1689" s="113">
        <v>0.55020999999999998</v>
      </c>
      <c r="O1689" s="114" t="s">
        <v>2092</v>
      </c>
    </row>
    <row r="1690" spans="1:15" x14ac:dyDescent="0.25">
      <c r="A1690" s="113" t="s">
        <v>54</v>
      </c>
      <c r="B1690" s="113" t="s">
        <v>8</v>
      </c>
      <c r="C1690" s="113">
        <v>33</v>
      </c>
      <c r="D1690" s="113">
        <v>330.01</v>
      </c>
      <c r="E1690" s="113">
        <v>1</v>
      </c>
      <c r="F1690" s="113" t="s">
        <v>6</v>
      </c>
      <c r="G1690" s="113" t="s">
        <v>4</v>
      </c>
      <c r="H1690" s="113">
        <v>50</v>
      </c>
      <c r="I1690" s="113">
        <v>100</v>
      </c>
      <c r="J1690" s="113" t="s">
        <v>10</v>
      </c>
      <c r="K1690" s="113">
        <v>546.63</v>
      </c>
      <c r="L1690" s="113">
        <v>1.8765000000000001</v>
      </c>
      <c r="M1690" s="113">
        <v>546.54</v>
      </c>
      <c r="N1690" s="113">
        <v>1.8763000000000001</v>
      </c>
      <c r="O1690" s="114" t="s">
        <v>2089</v>
      </c>
    </row>
    <row r="1691" spans="1:15" x14ac:dyDescent="0.25">
      <c r="A1691" s="113" t="s">
        <v>54</v>
      </c>
      <c r="B1691" s="113" t="s">
        <v>8</v>
      </c>
      <c r="C1691" s="113">
        <v>33</v>
      </c>
      <c r="D1691" s="113">
        <v>330.01</v>
      </c>
      <c r="E1691" s="113">
        <v>1</v>
      </c>
      <c r="F1691" s="113" t="s">
        <v>6</v>
      </c>
      <c r="G1691" s="113" t="s">
        <v>4</v>
      </c>
      <c r="H1691" s="113">
        <v>100</v>
      </c>
      <c r="I1691" s="113">
        <v>100.1</v>
      </c>
      <c r="J1691" s="113" t="s">
        <v>10</v>
      </c>
      <c r="K1691" s="113">
        <v>546.63</v>
      </c>
      <c r="L1691" s="113">
        <v>1.8765000000000001</v>
      </c>
      <c r="M1691" s="113">
        <v>546.54</v>
      </c>
      <c r="N1691" s="113">
        <v>1.8763000000000001</v>
      </c>
      <c r="O1691" s="114" t="s">
        <v>2093</v>
      </c>
    </row>
    <row r="1692" spans="1:15" x14ac:dyDescent="0.25">
      <c r="A1692" s="113" t="s">
        <v>54</v>
      </c>
      <c r="B1692" s="113" t="s">
        <v>8</v>
      </c>
      <c r="C1692" s="113">
        <v>33</v>
      </c>
      <c r="D1692" s="113">
        <v>330.01</v>
      </c>
      <c r="E1692" s="113">
        <v>1</v>
      </c>
      <c r="F1692" s="113" t="s">
        <v>6</v>
      </c>
      <c r="G1692" s="113" t="s">
        <v>4</v>
      </c>
      <c r="H1692" s="113">
        <v>4.4999999999999998E-2</v>
      </c>
      <c r="I1692" s="113">
        <v>10.00001</v>
      </c>
      <c r="J1692" s="113" t="s">
        <v>10</v>
      </c>
      <c r="K1692" s="113">
        <v>572.72</v>
      </c>
      <c r="L1692" s="113">
        <v>0.26556000000000002</v>
      </c>
      <c r="M1692" s="113">
        <v>572.67999999999995</v>
      </c>
      <c r="N1692" s="113">
        <v>0.26538</v>
      </c>
      <c r="O1692" s="114" t="s">
        <v>2088</v>
      </c>
    </row>
    <row r="1693" spans="1:15" x14ac:dyDescent="0.25">
      <c r="A1693" s="113" t="s">
        <v>54</v>
      </c>
      <c r="B1693" s="113" t="s">
        <v>8</v>
      </c>
      <c r="C1693" s="113">
        <v>33</v>
      </c>
      <c r="D1693" s="113">
        <v>330.01</v>
      </c>
      <c r="E1693" s="113">
        <v>1</v>
      </c>
      <c r="F1693" s="113" t="s">
        <v>6</v>
      </c>
      <c r="G1693" s="113" t="s">
        <v>4</v>
      </c>
      <c r="H1693" s="113">
        <v>0.01</v>
      </c>
      <c r="I1693" s="113">
        <v>4.5010000000000001E-2</v>
      </c>
      <c r="J1693" s="113" t="s">
        <v>10</v>
      </c>
      <c r="K1693" s="113">
        <v>576.98</v>
      </c>
      <c r="L1693" s="113">
        <v>0.10542</v>
      </c>
      <c r="M1693" s="113">
        <v>576.96</v>
      </c>
      <c r="N1693" s="113">
        <v>0.10532999999999999</v>
      </c>
      <c r="O1693" s="114" t="s">
        <v>2091</v>
      </c>
    </row>
    <row r="1694" spans="1:15" x14ac:dyDescent="0.25">
      <c r="A1694" s="113" t="s">
        <v>54</v>
      </c>
      <c r="B1694" s="113" t="s">
        <v>8</v>
      </c>
      <c r="C1694" s="113">
        <v>33</v>
      </c>
      <c r="D1694" s="113">
        <v>330.01</v>
      </c>
      <c r="E1694" s="113">
        <v>10</v>
      </c>
      <c r="F1694" s="113" t="s">
        <v>6</v>
      </c>
      <c r="G1694" s="113" t="s">
        <v>4</v>
      </c>
      <c r="H1694" s="113">
        <v>4.4999999999999998E-2</v>
      </c>
      <c r="I1694" s="113">
        <v>10.00001</v>
      </c>
      <c r="J1694" s="113" t="s">
        <v>10</v>
      </c>
      <c r="K1694" s="113">
        <v>5799.2</v>
      </c>
      <c r="L1694" s="113">
        <v>2.8473999999999999E-2</v>
      </c>
      <c r="M1694" s="113">
        <v>5799.2</v>
      </c>
      <c r="N1694" s="113">
        <v>2.8386000000000002E-2</v>
      </c>
      <c r="O1694" s="114" t="s">
        <v>2712</v>
      </c>
    </row>
    <row r="1695" spans="1:15" x14ac:dyDescent="0.25">
      <c r="A1695" s="113" t="s">
        <v>54</v>
      </c>
      <c r="B1695" s="113" t="s">
        <v>8</v>
      </c>
      <c r="C1695" s="113">
        <v>33</v>
      </c>
      <c r="D1695" s="113">
        <v>330.01</v>
      </c>
      <c r="E1695" s="113">
        <v>10</v>
      </c>
      <c r="F1695" s="113" t="s">
        <v>6</v>
      </c>
      <c r="G1695" s="113" t="s">
        <v>4</v>
      </c>
      <c r="H1695" s="113">
        <v>20</v>
      </c>
      <c r="I1695" s="113">
        <v>50.01</v>
      </c>
      <c r="J1695" s="113" t="s">
        <v>10</v>
      </c>
      <c r="K1695" s="113">
        <v>5798.2</v>
      </c>
      <c r="L1695" s="113">
        <v>6.3011999999999999E-2</v>
      </c>
      <c r="M1695" s="113">
        <v>5798.2</v>
      </c>
      <c r="N1695" s="113">
        <v>6.2924999999999995E-2</v>
      </c>
      <c r="O1695" s="114" t="s">
        <v>2095</v>
      </c>
    </row>
    <row r="1696" spans="1:15" x14ac:dyDescent="0.25">
      <c r="A1696" s="113" t="s">
        <v>54</v>
      </c>
      <c r="B1696" s="113" t="s">
        <v>8</v>
      </c>
      <c r="C1696" s="113">
        <v>33</v>
      </c>
      <c r="D1696" s="113">
        <v>330.01</v>
      </c>
      <c r="E1696" s="113">
        <v>10</v>
      </c>
      <c r="F1696" s="113" t="s">
        <v>6</v>
      </c>
      <c r="G1696" s="113" t="s">
        <v>4</v>
      </c>
      <c r="H1696" s="113">
        <v>0.01</v>
      </c>
      <c r="I1696" s="113">
        <v>4.5010000000000001E-2</v>
      </c>
      <c r="J1696" s="113" t="s">
        <v>10</v>
      </c>
      <c r="K1696" s="113">
        <v>5799.7</v>
      </c>
      <c r="L1696" s="113">
        <v>1.0862E-2</v>
      </c>
      <c r="M1696" s="113">
        <v>5799.7</v>
      </c>
      <c r="N1696" s="113">
        <v>1.0822E-2</v>
      </c>
      <c r="O1696" s="114" t="s">
        <v>2096</v>
      </c>
    </row>
    <row r="1697" spans="1:15" x14ac:dyDescent="0.25">
      <c r="A1697" s="113" t="s">
        <v>54</v>
      </c>
      <c r="B1697" s="113" t="s">
        <v>8</v>
      </c>
      <c r="C1697" s="113">
        <v>33</v>
      </c>
      <c r="D1697" s="113">
        <v>330.01</v>
      </c>
      <c r="E1697" s="113">
        <v>10</v>
      </c>
      <c r="F1697" s="113" t="s">
        <v>6</v>
      </c>
      <c r="G1697" s="113" t="s">
        <v>4</v>
      </c>
      <c r="H1697" s="113">
        <v>10</v>
      </c>
      <c r="I1697" s="113">
        <v>20.010000000000002</v>
      </c>
      <c r="J1697" s="113" t="s">
        <v>10</v>
      </c>
      <c r="K1697" s="113">
        <v>5799</v>
      </c>
      <c r="L1697" s="113">
        <v>3.5762000000000002E-2</v>
      </c>
      <c r="M1697" s="113">
        <v>5799</v>
      </c>
      <c r="N1697" s="113">
        <v>3.5673999999999997E-2</v>
      </c>
      <c r="O1697" s="114" t="s">
        <v>2098</v>
      </c>
    </row>
    <row r="1698" spans="1:15" x14ac:dyDescent="0.25">
      <c r="A1698" s="113" t="s">
        <v>54</v>
      </c>
      <c r="B1698" s="113" t="s">
        <v>8</v>
      </c>
      <c r="C1698" s="113">
        <v>33</v>
      </c>
      <c r="D1698" s="113">
        <v>330.01</v>
      </c>
      <c r="E1698" s="113">
        <v>10</v>
      </c>
      <c r="F1698" s="113" t="s">
        <v>6</v>
      </c>
      <c r="G1698" s="113" t="s">
        <v>4</v>
      </c>
      <c r="H1698" s="113">
        <v>50</v>
      </c>
      <c r="I1698" s="113">
        <v>100</v>
      </c>
      <c r="J1698" s="113" t="s">
        <v>10</v>
      </c>
      <c r="K1698" s="113">
        <v>5793.6</v>
      </c>
      <c r="L1698" s="113">
        <v>0.28499000000000002</v>
      </c>
      <c r="M1698" s="113">
        <v>5793.5</v>
      </c>
      <c r="N1698" s="113">
        <v>0.28476000000000001</v>
      </c>
      <c r="O1698" s="114" t="s">
        <v>2097</v>
      </c>
    </row>
    <row r="1699" spans="1:15" x14ac:dyDescent="0.25">
      <c r="A1699" s="113" t="s">
        <v>54</v>
      </c>
      <c r="B1699" s="113" t="s">
        <v>8</v>
      </c>
      <c r="C1699" s="113">
        <v>33</v>
      </c>
      <c r="D1699" s="113">
        <v>330.01</v>
      </c>
      <c r="E1699" s="113">
        <v>10</v>
      </c>
      <c r="F1699" s="113" t="s">
        <v>6</v>
      </c>
      <c r="G1699" s="113" t="s">
        <v>4</v>
      </c>
      <c r="H1699" s="113">
        <v>100</v>
      </c>
      <c r="I1699" s="113">
        <v>100.1</v>
      </c>
      <c r="J1699" s="113" t="s">
        <v>10</v>
      </c>
      <c r="K1699" s="113">
        <v>5793.6</v>
      </c>
      <c r="L1699" s="113">
        <v>0.28499000000000002</v>
      </c>
      <c r="M1699" s="113">
        <v>5793.5</v>
      </c>
      <c r="N1699" s="113">
        <v>0.28476000000000001</v>
      </c>
      <c r="O1699" s="114" t="s">
        <v>2094</v>
      </c>
    </row>
    <row r="1700" spans="1:15" x14ac:dyDescent="0.25">
      <c r="A1700" s="113" t="s">
        <v>54</v>
      </c>
      <c r="B1700" s="113" t="s">
        <v>8</v>
      </c>
      <c r="C1700" s="113">
        <v>330</v>
      </c>
      <c r="D1700" s="113">
        <v>1020.01</v>
      </c>
      <c r="E1700" s="113">
        <v>1E-3</v>
      </c>
      <c r="F1700" s="113" t="s">
        <v>6</v>
      </c>
      <c r="G1700" s="113" t="s">
        <v>4</v>
      </c>
      <c r="H1700" s="113">
        <v>4.4999999999999998E-2</v>
      </c>
      <c r="I1700" s="113">
        <v>1.0000100000000001</v>
      </c>
      <c r="J1700" s="113" t="s">
        <v>10</v>
      </c>
      <c r="K1700" s="113">
        <v>24</v>
      </c>
      <c r="L1700" s="113">
        <v>0.57999999999999996</v>
      </c>
      <c r="M1700" s="113">
        <v>23.335000000000001</v>
      </c>
      <c r="N1700" s="113">
        <v>0.57833999999999997</v>
      </c>
      <c r="O1700" s="114" t="s">
        <v>2713</v>
      </c>
    </row>
    <row r="1701" spans="1:15" x14ac:dyDescent="0.25">
      <c r="A1701" s="113" t="s">
        <v>54</v>
      </c>
      <c r="B1701" s="113" t="s">
        <v>8</v>
      </c>
      <c r="C1701" s="113">
        <v>330</v>
      </c>
      <c r="D1701" s="113">
        <v>1020.01</v>
      </c>
      <c r="E1701" s="113">
        <v>1E-3</v>
      </c>
      <c r="F1701" s="113" t="s">
        <v>6</v>
      </c>
      <c r="G1701" s="113" t="s">
        <v>4</v>
      </c>
      <c r="H1701" s="113">
        <v>10</v>
      </c>
      <c r="I1701" s="113">
        <v>10.01</v>
      </c>
      <c r="J1701" s="113" t="s">
        <v>10</v>
      </c>
      <c r="K1701" s="113">
        <v>64</v>
      </c>
      <c r="L1701" s="113">
        <v>1</v>
      </c>
      <c r="M1701" s="113">
        <v>23.23</v>
      </c>
      <c r="N1701" s="113">
        <v>1.0398000000000001</v>
      </c>
      <c r="O1701" s="114" t="s">
        <v>2101</v>
      </c>
    </row>
    <row r="1702" spans="1:15" x14ac:dyDescent="0.25">
      <c r="A1702" s="113" t="s">
        <v>54</v>
      </c>
      <c r="B1702" s="113" t="s">
        <v>8</v>
      </c>
      <c r="C1702" s="113">
        <v>330</v>
      </c>
      <c r="D1702" s="113">
        <v>1020.01</v>
      </c>
      <c r="E1702" s="113">
        <v>1E-3</v>
      </c>
      <c r="F1702" s="113" t="s">
        <v>6</v>
      </c>
      <c r="G1702" s="113" t="s">
        <v>4</v>
      </c>
      <c r="H1702" s="113">
        <v>1</v>
      </c>
      <c r="I1702" s="113">
        <v>5.01</v>
      </c>
      <c r="J1702" s="113" t="s">
        <v>10</v>
      </c>
      <c r="K1702" s="113">
        <v>28</v>
      </c>
      <c r="L1702" s="113">
        <v>0.92</v>
      </c>
      <c r="M1702" s="113">
        <v>23.262</v>
      </c>
      <c r="N1702" s="113">
        <v>0.92437000000000002</v>
      </c>
      <c r="O1702" s="114" t="s">
        <v>2100</v>
      </c>
    </row>
    <row r="1703" spans="1:15" x14ac:dyDescent="0.25">
      <c r="A1703" s="113" t="s">
        <v>54</v>
      </c>
      <c r="B1703" s="113" t="s">
        <v>8</v>
      </c>
      <c r="C1703" s="113">
        <v>330</v>
      </c>
      <c r="D1703" s="113">
        <v>1020.01</v>
      </c>
      <c r="E1703" s="113">
        <v>1E-3</v>
      </c>
      <c r="F1703" s="113" t="s">
        <v>6</v>
      </c>
      <c r="G1703" s="113" t="s">
        <v>4</v>
      </c>
      <c r="H1703" s="113">
        <v>5</v>
      </c>
      <c r="I1703" s="113">
        <v>10.01</v>
      </c>
      <c r="J1703" s="113" t="s">
        <v>10</v>
      </c>
      <c r="K1703" s="113">
        <v>64</v>
      </c>
      <c r="L1703" s="113">
        <v>1</v>
      </c>
      <c r="M1703" s="113">
        <v>23.23</v>
      </c>
      <c r="N1703" s="113">
        <v>1.0398000000000001</v>
      </c>
      <c r="O1703" s="114" t="s">
        <v>2099</v>
      </c>
    </row>
    <row r="1704" spans="1:15" x14ac:dyDescent="0.25">
      <c r="A1704" s="113" t="s">
        <v>54</v>
      </c>
      <c r="B1704" s="113" t="s">
        <v>8</v>
      </c>
      <c r="C1704" s="113">
        <v>330</v>
      </c>
      <c r="D1704" s="113">
        <v>1020.01</v>
      </c>
      <c r="E1704" s="113">
        <v>0.01</v>
      </c>
      <c r="F1704" s="113" t="s">
        <v>6</v>
      </c>
      <c r="G1704" s="113" t="s">
        <v>4</v>
      </c>
      <c r="H1704" s="113">
        <v>1</v>
      </c>
      <c r="I1704" s="113">
        <v>5.01</v>
      </c>
      <c r="J1704" s="113" t="s">
        <v>10</v>
      </c>
      <c r="K1704" s="113">
        <v>29.895</v>
      </c>
      <c r="L1704" s="113">
        <v>0.91966999999999999</v>
      </c>
      <c r="M1704" s="113">
        <v>29.873000000000001</v>
      </c>
      <c r="N1704" s="113">
        <v>0.91957</v>
      </c>
      <c r="O1704" s="114" t="s">
        <v>2714</v>
      </c>
    </row>
    <row r="1705" spans="1:15" x14ac:dyDescent="0.25">
      <c r="A1705" s="113" t="s">
        <v>54</v>
      </c>
      <c r="B1705" s="113" t="s">
        <v>8</v>
      </c>
      <c r="C1705" s="113">
        <v>330</v>
      </c>
      <c r="D1705" s="113">
        <v>1020.01</v>
      </c>
      <c r="E1705" s="113">
        <v>0.01</v>
      </c>
      <c r="F1705" s="113" t="s">
        <v>6</v>
      </c>
      <c r="G1705" s="113" t="s">
        <v>4</v>
      </c>
      <c r="H1705" s="113">
        <v>4.4999999999999998E-2</v>
      </c>
      <c r="I1705" s="113">
        <v>1.0000100000000001</v>
      </c>
      <c r="J1705" s="113" t="s">
        <v>10</v>
      </c>
      <c r="K1705" s="113">
        <v>33.353999999999999</v>
      </c>
      <c r="L1705" s="113">
        <v>0.57133999999999996</v>
      </c>
      <c r="M1705" s="113">
        <v>33.320999999999998</v>
      </c>
      <c r="N1705" s="113">
        <v>0.57118999999999998</v>
      </c>
      <c r="O1705" s="114" t="s">
        <v>2103</v>
      </c>
    </row>
    <row r="1706" spans="1:15" x14ac:dyDescent="0.25">
      <c r="A1706" s="113" t="s">
        <v>54</v>
      </c>
      <c r="B1706" s="113" t="s">
        <v>8</v>
      </c>
      <c r="C1706" s="113">
        <v>330</v>
      </c>
      <c r="D1706" s="113">
        <v>1020.01</v>
      </c>
      <c r="E1706" s="113">
        <v>0.01</v>
      </c>
      <c r="F1706" s="113" t="s">
        <v>6</v>
      </c>
      <c r="G1706" s="113" t="s">
        <v>4</v>
      </c>
      <c r="H1706" s="113">
        <v>5</v>
      </c>
      <c r="I1706" s="113">
        <v>10.01</v>
      </c>
      <c r="J1706" s="113" t="s">
        <v>10</v>
      </c>
      <c r="K1706" s="113">
        <v>64</v>
      </c>
      <c r="L1706" s="113">
        <v>1.0355000000000001</v>
      </c>
      <c r="M1706" s="113">
        <v>29.164999999999999</v>
      </c>
      <c r="N1706" s="113">
        <v>1.0355000000000001</v>
      </c>
      <c r="O1706" s="114" t="s">
        <v>2104</v>
      </c>
    </row>
    <row r="1707" spans="1:15" x14ac:dyDescent="0.25">
      <c r="A1707" s="113" t="s">
        <v>54</v>
      </c>
      <c r="B1707" s="113" t="s">
        <v>8</v>
      </c>
      <c r="C1707" s="113">
        <v>330</v>
      </c>
      <c r="D1707" s="113">
        <v>1020.01</v>
      </c>
      <c r="E1707" s="113">
        <v>0.01</v>
      </c>
      <c r="F1707" s="113" t="s">
        <v>6</v>
      </c>
      <c r="G1707" s="113" t="s">
        <v>4</v>
      </c>
      <c r="H1707" s="113">
        <v>10</v>
      </c>
      <c r="I1707" s="113">
        <v>10.01</v>
      </c>
      <c r="J1707" s="113" t="s">
        <v>10</v>
      </c>
      <c r="K1707" s="113">
        <v>64</v>
      </c>
      <c r="L1707" s="113">
        <v>1.0355000000000001</v>
      </c>
      <c r="M1707" s="113">
        <v>29.164999999999999</v>
      </c>
      <c r="N1707" s="113">
        <v>1.0355000000000001</v>
      </c>
      <c r="O1707" s="114" t="s">
        <v>2102</v>
      </c>
    </row>
    <row r="1708" spans="1:15" x14ac:dyDescent="0.25">
      <c r="A1708" s="113" t="s">
        <v>54</v>
      </c>
      <c r="B1708" s="113" t="s">
        <v>8</v>
      </c>
      <c r="C1708" s="113">
        <v>330</v>
      </c>
      <c r="D1708" s="113">
        <v>1020.01</v>
      </c>
      <c r="E1708" s="113">
        <v>0.1</v>
      </c>
      <c r="F1708" s="113" t="s">
        <v>6</v>
      </c>
      <c r="G1708" s="113" t="s">
        <v>4</v>
      </c>
      <c r="H1708" s="113">
        <v>5</v>
      </c>
      <c r="I1708" s="113">
        <v>10.01</v>
      </c>
      <c r="J1708" s="113" t="s">
        <v>10</v>
      </c>
      <c r="K1708" s="113">
        <v>426.17</v>
      </c>
      <c r="L1708" s="113">
        <v>0.78768000000000005</v>
      </c>
      <c r="M1708" s="113">
        <v>426.19</v>
      </c>
      <c r="N1708" s="113">
        <v>0.7873</v>
      </c>
      <c r="O1708" s="114" t="s">
        <v>2715</v>
      </c>
    </row>
    <row r="1709" spans="1:15" x14ac:dyDescent="0.25">
      <c r="A1709" s="113" t="s">
        <v>54</v>
      </c>
      <c r="B1709" s="113" t="s">
        <v>8</v>
      </c>
      <c r="C1709" s="113">
        <v>330</v>
      </c>
      <c r="D1709" s="113">
        <v>1020.01</v>
      </c>
      <c r="E1709" s="113">
        <v>0.1</v>
      </c>
      <c r="F1709" s="113" t="s">
        <v>6</v>
      </c>
      <c r="G1709" s="113" t="s">
        <v>4</v>
      </c>
      <c r="H1709" s="113">
        <v>4.4999999999999998E-2</v>
      </c>
      <c r="I1709" s="113">
        <v>1.0000100000000001</v>
      </c>
      <c r="J1709" s="113" t="s">
        <v>10</v>
      </c>
      <c r="K1709" s="113">
        <v>510.18</v>
      </c>
      <c r="L1709" s="113">
        <v>0.32784999999999997</v>
      </c>
      <c r="M1709" s="113">
        <v>510.26</v>
      </c>
      <c r="N1709" s="113">
        <v>0.32723999999999998</v>
      </c>
      <c r="O1709" s="114" t="s">
        <v>2716</v>
      </c>
    </row>
    <row r="1710" spans="1:15" x14ac:dyDescent="0.25">
      <c r="A1710" s="113" t="s">
        <v>54</v>
      </c>
      <c r="B1710" s="113" t="s">
        <v>8</v>
      </c>
      <c r="C1710" s="113">
        <v>330</v>
      </c>
      <c r="D1710" s="113">
        <v>1020.01</v>
      </c>
      <c r="E1710" s="113">
        <v>0.1</v>
      </c>
      <c r="F1710" s="113" t="s">
        <v>6</v>
      </c>
      <c r="G1710" s="113" t="s">
        <v>4</v>
      </c>
      <c r="H1710" s="113">
        <v>1</v>
      </c>
      <c r="I1710" s="113">
        <v>5.01</v>
      </c>
      <c r="J1710" s="113" t="s">
        <v>10</v>
      </c>
      <c r="K1710" s="113">
        <v>446.23</v>
      </c>
      <c r="L1710" s="113">
        <v>0.66766000000000003</v>
      </c>
      <c r="M1710" s="113">
        <v>446.26</v>
      </c>
      <c r="N1710" s="113">
        <v>0.66722999999999999</v>
      </c>
      <c r="O1710" s="114" t="s">
        <v>2106</v>
      </c>
    </row>
    <row r="1711" spans="1:15" x14ac:dyDescent="0.25">
      <c r="A1711" s="113" t="s">
        <v>54</v>
      </c>
      <c r="B1711" s="113" t="s">
        <v>8</v>
      </c>
      <c r="C1711" s="113">
        <v>330</v>
      </c>
      <c r="D1711" s="113">
        <v>1020.01</v>
      </c>
      <c r="E1711" s="113">
        <v>0.1</v>
      </c>
      <c r="F1711" s="113" t="s">
        <v>6</v>
      </c>
      <c r="G1711" s="113" t="s">
        <v>4</v>
      </c>
      <c r="H1711" s="113">
        <v>10</v>
      </c>
      <c r="I1711" s="113">
        <v>10.01</v>
      </c>
      <c r="J1711" s="113" t="s">
        <v>10</v>
      </c>
      <c r="K1711" s="113">
        <v>426.17</v>
      </c>
      <c r="L1711" s="113">
        <v>0.78768000000000005</v>
      </c>
      <c r="M1711" s="113">
        <v>426.19</v>
      </c>
      <c r="N1711" s="113">
        <v>0.7873</v>
      </c>
      <c r="O1711" s="114" t="s">
        <v>2105</v>
      </c>
    </row>
    <row r="1712" spans="1:15" x14ac:dyDescent="0.25">
      <c r="A1712" s="113" t="s">
        <v>54</v>
      </c>
      <c r="B1712" s="113" t="s">
        <v>8</v>
      </c>
      <c r="C1712" s="113">
        <v>330</v>
      </c>
      <c r="D1712" s="113">
        <v>1020.01</v>
      </c>
      <c r="E1712" s="113">
        <v>1</v>
      </c>
      <c r="F1712" s="113" t="s">
        <v>6</v>
      </c>
      <c r="G1712" s="113" t="s">
        <v>4</v>
      </c>
      <c r="H1712" s="113">
        <v>4.4999999999999998E-2</v>
      </c>
      <c r="I1712" s="113">
        <v>1.0000100000000001</v>
      </c>
      <c r="J1712" s="113" t="s">
        <v>10</v>
      </c>
      <c r="K1712" s="113">
        <v>5790.3</v>
      </c>
      <c r="L1712" s="113">
        <v>4.1506000000000001E-2</v>
      </c>
      <c r="M1712" s="113">
        <v>5790.4</v>
      </c>
      <c r="N1712" s="113">
        <v>4.1123E-2</v>
      </c>
      <c r="O1712" s="114" t="s">
        <v>2110</v>
      </c>
    </row>
    <row r="1713" spans="1:15" x14ac:dyDescent="0.25">
      <c r="A1713" s="113" t="s">
        <v>54</v>
      </c>
      <c r="B1713" s="113" t="s">
        <v>8</v>
      </c>
      <c r="C1713" s="113">
        <v>330</v>
      </c>
      <c r="D1713" s="113">
        <v>1020.01</v>
      </c>
      <c r="E1713" s="113">
        <v>1</v>
      </c>
      <c r="F1713" s="113" t="s">
        <v>6</v>
      </c>
      <c r="G1713" s="113" t="s">
        <v>4</v>
      </c>
      <c r="H1713" s="113">
        <v>10</v>
      </c>
      <c r="I1713" s="113">
        <v>10.01</v>
      </c>
      <c r="J1713" s="113" t="s">
        <v>10</v>
      </c>
      <c r="K1713" s="113">
        <v>5769</v>
      </c>
      <c r="L1713" s="113">
        <v>0.12912000000000001</v>
      </c>
      <c r="M1713" s="113">
        <v>5769.1</v>
      </c>
      <c r="N1713" s="113">
        <v>0.12875</v>
      </c>
      <c r="O1713" s="114" t="s">
        <v>2107</v>
      </c>
    </row>
    <row r="1714" spans="1:15" x14ac:dyDescent="0.25">
      <c r="A1714" s="113" t="s">
        <v>54</v>
      </c>
      <c r="B1714" s="113" t="s">
        <v>8</v>
      </c>
      <c r="C1714" s="113">
        <v>330</v>
      </c>
      <c r="D1714" s="113">
        <v>1020.01</v>
      </c>
      <c r="E1714" s="113">
        <v>1</v>
      </c>
      <c r="F1714" s="113" t="s">
        <v>6</v>
      </c>
      <c r="G1714" s="113" t="s">
        <v>4</v>
      </c>
      <c r="H1714" s="113">
        <v>1</v>
      </c>
      <c r="I1714" s="113">
        <v>5.01</v>
      </c>
      <c r="J1714" s="113" t="s">
        <v>10</v>
      </c>
      <c r="K1714" s="113">
        <v>5775.4</v>
      </c>
      <c r="L1714" s="113">
        <v>0.10274</v>
      </c>
      <c r="M1714" s="113">
        <v>5775.5</v>
      </c>
      <c r="N1714" s="113">
        <v>0.10236000000000001</v>
      </c>
      <c r="O1714" s="114" t="s">
        <v>2109</v>
      </c>
    </row>
    <row r="1715" spans="1:15" x14ac:dyDescent="0.25">
      <c r="A1715" s="113" t="s">
        <v>54</v>
      </c>
      <c r="B1715" s="113" t="s">
        <v>8</v>
      </c>
      <c r="C1715" s="113">
        <v>330</v>
      </c>
      <c r="D1715" s="113">
        <v>1020.01</v>
      </c>
      <c r="E1715" s="113">
        <v>1</v>
      </c>
      <c r="F1715" s="113" t="s">
        <v>6</v>
      </c>
      <c r="G1715" s="113" t="s">
        <v>4</v>
      </c>
      <c r="H1715" s="113">
        <v>5</v>
      </c>
      <c r="I1715" s="113">
        <v>10.01</v>
      </c>
      <c r="J1715" s="113" t="s">
        <v>10</v>
      </c>
      <c r="K1715" s="113">
        <v>5769</v>
      </c>
      <c r="L1715" s="113">
        <v>0.12912000000000001</v>
      </c>
      <c r="M1715" s="113">
        <v>5769.1</v>
      </c>
      <c r="N1715" s="113">
        <v>0.12875</v>
      </c>
      <c r="O1715" s="114" t="s">
        <v>2108</v>
      </c>
    </row>
    <row r="1716" spans="1:15" x14ac:dyDescent="0.25">
      <c r="A1716" s="113" t="s">
        <v>54</v>
      </c>
      <c r="B1716" s="113" t="s">
        <v>8</v>
      </c>
      <c r="C1716" s="113">
        <v>330</v>
      </c>
      <c r="D1716" s="113">
        <v>1020.01</v>
      </c>
      <c r="E1716" s="113">
        <v>10</v>
      </c>
      <c r="F1716" s="113" t="s">
        <v>6</v>
      </c>
      <c r="G1716" s="113" t="s">
        <v>4</v>
      </c>
      <c r="H1716" s="113">
        <v>4.4999999999999998E-2</v>
      </c>
      <c r="I1716" s="113">
        <v>1.0000100000000001</v>
      </c>
      <c r="J1716" s="113" t="s">
        <v>10</v>
      </c>
      <c r="K1716" s="113">
        <v>57999</v>
      </c>
      <c r="L1716" s="113">
        <v>4.2792999999999998E-3</v>
      </c>
      <c r="M1716" s="113">
        <v>57999</v>
      </c>
      <c r="N1716" s="113">
        <v>4.1250000000000002E-3</v>
      </c>
      <c r="O1716" s="114" t="s">
        <v>2717</v>
      </c>
    </row>
    <row r="1717" spans="1:15" x14ac:dyDescent="0.25">
      <c r="A1717" s="113" t="s">
        <v>54</v>
      </c>
      <c r="B1717" s="113" t="s">
        <v>8</v>
      </c>
      <c r="C1717" s="113">
        <v>330</v>
      </c>
      <c r="D1717" s="113">
        <v>1020.01</v>
      </c>
      <c r="E1717" s="113">
        <v>10</v>
      </c>
      <c r="F1717" s="113" t="s">
        <v>6</v>
      </c>
      <c r="G1717" s="113" t="s">
        <v>4</v>
      </c>
      <c r="H1717" s="113">
        <v>1</v>
      </c>
      <c r="I1717" s="113">
        <v>5.01</v>
      </c>
      <c r="J1717" s="113" t="s">
        <v>10</v>
      </c>
      <c r="K1717" s="113">
        <v>57998</v>
      </c>
      <c r="L1717" s="113">
        <v>1.0468E-2</v>
      </c>
      <c r="M1717" s="113">
        <v>57998</v>
      </c>
      <c r="N1717" s="113">
        <v>1.0314E-2</v>
      </c>
      <c r="O1717" s="114" t="s">
        <v>2113</v>
      </c>
    </row>
    <row r="1718" spans="1:15" x14ac:dyDescent="0.25">
      <c r="A1718" s="113" t="s">
        <v>54</v>
      </c>
      <c r="B1718" s="113" t="s">
        <v>8</v>
      </c>
      <c r="C1718" s="113">
        <v>330</v>
      </c>
      <c r="D1718" s="113">
        <v>1020.01</v>
      </c>
      <c r="E1718" s="113">
        <v>10</v>
      </c>
      <c r="F1718" s="113" t="s">
        <v>6</v>
      </c>
      <c r="G1718" s="113" t="s">
        <v>4</v>
      </c>
      <c r="H1718" s="113">
        <v>10</v>
      </c>
      <c r="I1718" s="113">
        <v>10.01</v>
      </c>
      <c r="J1718" s="113" t="s">
        <v>10</v>
      </c>
      <c r="K1718" s="113">
        <v>57997</v>
      </c>
      <c r="L1718" s="113">
        <v>1.3152E-2</v>
      </c>
      <c r="M1718" s="113">
        <v>57997</v>
      </c>
      <c r="N1718" s="113">
        <v>1.2997999999999999E-2</v>
      </c>
      <c r="O1718" s="114" t="s">
        <v>2112</v>
      </c>
    </row>
    <row r="1719" spans="1:15" x14ac:dyDescent="0.25">
      <c r="A1719" s="113" t="s">
        <v>54</v>
      </c>
      <c r="B1719" s="113" t="s">
        <v>8</v>
      </c>
      <c r="C1719" s="113">
        <v>330</v>
      </c>
      <c r="D1719" s="113">
        <v>1020.01</v>
      </c>
      <c r="E1719" s="113">
        <v>10</v>
      </c>
      <c r="F1719" s="113" t="s">
        <v>6</v>
      </c>
      <c r="G1719" s="113" t="s">
        <v>4</v>
      </c>
      <c r="H1719" s="113">
        <v>5</v>
      </c>
      <c r="I1719" s="113">
        <v>10.01</v>
      </c>
      <c r="J1719" s="113" t="s">
        <v>10</v>
      </c>
      <c r="K1719" s="113">
        <v>57997</v>
      </c>
      <c r="L1719" s="113">
        <v>1.3152E-2</v>
      </c>
      <c r="M1719" s="113">
        <v>57997</v>
      </c>
      <c r="N1719" s="113">
        <v>1.2997999999999999E-2</v>
      </c>
      <c r="O1719" s="114" t="s">
        <v>2111</v>
      </c>
    </row>
    <row r="1720" spans="1:15" x14ac:dyDescent="0.25">
      <c r="A1720" s="113" t="s">
        <v>54</v>
      </c>
      <c r="B1720" s="113" t="s">
        <v>99</v>
      </c>
      <c r="C1720" s="113">
        <v>0</v>
      </c>
      <c r="D1720" s="113">
        <v>1.0900099999999999E-5</v>
      </c>
      <c r="E1720" s="113">
        <v>1E-10</v>
      </c>
      <c r="F1720" s="113" t="s">
        <v>100</v>
      </c>
      <c r="G1720" s="113" t="s">
        <v>100</v>
      </c>
      <c r="H1720" s="113">
        <v>0</v>
      </c>
      <c r="I1720" s="113">
        <v>0</v>
      </c>
      <c r="K1720" s="113">
        <v>0</v>
      </c>
      <c r="L1720" s="113">
        <v>2.5000000000000001E-2</v>
      </c>
      <c r="M1720" s="113">
        <v>0</v>
      </c>
      <c r="N1720" s="113">
        <v>0</v>
      </c>
      <c r="O1720" s="114" t="s">
        <v>1230</v>
      </c>
    </row>
    <row r="1721" spans="1:15" x14ac:dyDescent="0.25">
      <c r="A1721" s="113" t="s">
        <v>54</v>
      </c>
      <c r="B1721" s="113" t="s">
        <v>99</v>
      </c>
      <c r="C1721" s="113">
        <v>0</v>
      </c>
      <c r="D1721" s="113">
        <v>1.0900099999999999E-5</v>
      </c>
      <c r="E1721" s="113">
        <v>1.0000000000000001E-9</v>
      </c>
      <c r="F1721" s="113" t="s">
        <v>100</v>
      </c>
      <c r="G1721" s="113" t="s">
        <v>100</v>
      </c>
      <c r="H1721" s="113">
        <v>0</v>
      </c>
      <c r="I1721" s="113">
        <v>0</v>
      </c>
      <c r="K1721" s="113">
        <v>0</v>
      </c>
      <c r="L1721" s="113">
        <v>2.5177999999999999E-2</v>
      </c>
      <c r="M1721" s="113">
        <v>0</v>
      </c>
      <c r="N1721" s="113">
        <v>0</v>
      </c>
      <c r="O1721" s="114" t="s">
        <v>1231</v>
      </c>
    </row>
    <row r="1722" spans="1:15" x14ac:dyDescent="0.25">
      <c r="A1722" s="113" t="s">
        <v>54</v>
      </c>
      <c r="B1722" s="113" t="s">
        <v>99</v>
      </c>
      <c r="C1722" s="113">
        <v>0</v>
      </c>
      <c r="D1722" s="113">
        <v>1.0900099999999999E-5</v>
      </c>
      <c r="E1722" s="113">
        <v>1E-8</v>
      </c>
      <c r="F1722" s="113" t="s">
        <v>100</v>
      </c>
      <c r="G1722" s="113" t="s">
        <v>100</v>
      </c>
      <c r="H1722" s="113">
        <v>0</v>
      </c>
      <c r="I1722" s="113">
        <v>0</v>
      </c>
      <c r="K1722" s="113">
        <v>0</v>
      </c>
      <c r="L1722" s="113">
        <v>6.2989000000000003E-2</v>
      </c>
      <c r="M1722" s="113">
        <v>0</v>
      </c>
      <c r="N1722" s="113">
        <v>0</v>
      </c>
      <c r="O1722" s="114" t="s">
        <v>1232</v>
      </c>
    </row>
    <row r="1723" spans="1:15" x14ac:dyDescent="0.25">
      <c r="A1723" s="113" t="s">
        <v>54</v>
      </c>
      <c r="B1723" s="113" t="s">
        <v>99</v>
      </c>
      <c r="C1723" s="113">
        <v>0</v>
      </c>
      <c r="D1723" s="113">
        <v>1.0900099999999999E-5</v>
      </c>
      <c r="E1723" s="113">
        <v>9.9999999999999995E-8</v>
      </c>
      <c r="F1723" s="113" t="s">
        <v>100</v>
      </c>
      <c r="G1723" s="113" t="s">
        <v>100</v>
      </c>
      <c r="H1723" s="113">
        <v>0</v>
      </c>
      <c r="I1723" s="113">
        <v>0</v>
      </c>
      <c r="K1723" s="113">
        <v>0</v>
      </c>
      <c r="L1723" s="113">
        <v>0.58052999999999999</v>
      </c>
      <c r="M1723" s="113">
        <v>0</v>
      </c>
      <c r="N1723" s="113">
        <v>0</v>
      </c>
      <c r="O1723" s="114" t="s">
        <v>1233</v>
      </c>
    </row>
    <row r="1724" spans="1:15" x14ac:dyDescent="0.25">
      <c r="A1724" s="113" t="s">
        <v>54</v>
      </c>
      <c r="B1724" s="113" t="s">
        <v>99</v>
      </c>
      <c r="C1724" s="113">
        <v>0</v>
      </c>
      <c r="D1724" s="113">
        <v>1.0900099999999999E-5</v>
      </c>
      <c r="E1724" s="113">
        <v>9.9999999999999995E-7</v>
      </c>
      <c r="F1724" s="113" t="s">
        <v>100</v>
      </c>
      <c r="G1724" s="113" t="s">
        <v>100</v>
      </c>
      <c r="H1724" s="113">
        <v>0</v>
      </c>
      <c r="I1724" s="113">
        <v>0</v>
      </c>
      <c r="K1724" s="113">
        <v>0</v>
      </c>
      <c r="L1724" s="113">
        <v>5.8000999999999996</v>
      </c>
      <c r="M1724" s="113">
        <v>0</v>
      </c>
      <c r="N1724" s="113">
        <v>0</v>
      </c>
      <c r="O1724" s="114" t="s">
        <v>1234</v>
      </c>
    </row>
    <row r="1725" spans="1:15" x14ac:dyDescent="0.25">
      <c r="A1725" s="113" t="s">
        <v>54</v>
      </c>
      <c r="B1725" s="113" t="s">
        <v>99</v>
      </c>
      <c r="C1725" s="113">
        <v>1.0900000000000001E-5</v>
      </c>
      <c r="D1725" s="113">
        <v>1.0900000000000001E-4</v>
      </c>
      <c r="E1725" s="113">
        <v>1.0000000000000001E-9</v>
      </c>
      <c r="F1725" s="113" t="s">
        <v>100</v>
      </c>
      <c r="G1725" s="113" t="s">
        <v>100</v>
      </c>
      <c r="H1725" s="113">
        <v>0</v>
      </c>
      <c r="I1725" s="113">
        <v>0</v>
      </c>
      <c r="K1725" s="113">
        <v>0</v>
      </c>
      <c r="L1725" s="113">
        <v>2.5999999999999999E-3</v>
      </c>
      <c r="M1725" s="113">
        <v>0</v>
      </c>
      <c r="N1725" s="113">
        <v>0</v>
      </c>
      <c r="O1725" s="114" t="s">
        <v>1235</v>
      </c>
    </row>
    <row r="1726" spans="1:15" x14ac:dyDescent="0.25">
      <c r="A1726" s="113" t="s">
        <v>54</v>
      </c>
      <c r="B1726" s="113" t="s">
        <v>99</v>
      </c>
      <c r="C1726" s="113">
        <v>1.0900000000000001E-5</v>
      </c>
      <c r="D1726" s="113">
        <v>1.0900000000000001E-4</v>
      </c>
      <c r="E1726" s="113">
        <v>1E-8</v>
      </c>
      <c r="F1726" s="113" t="s">
        <v>100</v>
      </c>
      <c r="G1726" s="113" t="s">
        <v>100</v>
      </c>
      <c r="H1726" s="113">
        <v>0</v>
      </c>
      <c r="I1726" s="113">
        <v>0</v>
      </c>
      <c r="K1726" s="113">
        <v>0</v>
      </c>
      <c r="L1726" s="113">
        <v>2.5999999999999999E-3</v>
      </c>
      <c r="M1726" s="113">
        <v>0</v>
      </c>
      <c r="N1726" s="113">
        <v>0</v>
      </c>
      <c r="O1726" s="114" t="s">
        <v>1236</v>
      </c>
    </row>
    <row r="1727" spans="1:15" x14ac:dyDescent="0.25">
      <c r="A1727" s="113" t="s">
        <v>54</v>
      </c>
      <c r="B1727" s="113" t="s">
        <v>99</v>
      </c>
      <c r="C1727" s="113">
        <v>1.0900000000000001E-5</v>
      </c>
      <c r="D1727" s="113">
        <v>1.0900000000000001E-4</v>
      </c>
      <c r="E1727" s="113">
        <v>9.9999999999999995E-8</v>
      </c>
      <c r="F1727" s="113" t="s">
        <v>100</v>
      </c>
      <c r="G1727" s="113" t="s">
        <v>100</v>
      </c>
      <c r="H1727" s="113">
        <v>0</v>
      </c>
      <c r="I1727" s="113">
        <v>0</v>
      </c>
      <c r="K1727" s="113">
        <v>0</v>
      </c>
      <c r="L1727" s="113">
        <v>5.8884000000000002E-3</v>
      </c>
      <c r="M1727" s="113">
        <v>0</v>
      </c>
      <c r="N1727" s="113">
        <v>0</v>
      </c>
      <c r="O1727" s="114" t="s">
        <v>1237</v>
      </c>
    </row>
    <row r="1728" spans="1:15" x14ac:dyDescent="0.25">
      <c r="A1728" s="113" t="s">
        <v>54</v>
      </c>
      <c r="B1728" s="113" t="s">
        <v>99</v>
      </c>
      <c r="C1728" s="113">
        <v>1.0900000000000001E-5</v>
      </c>
      <c r="D1728" s="113">
        <v>1.0900000000000001E-4</v>
      </c>
      <c r="E1728" s="113">
        <v>9.9999999999999995E-7</v>
      </c>
      <c r="F1728" s="113" t="s">
        <v>100</v>
      </c>
      <c r="G1728" s="113" t="s">
        <v>100</v>
      </c>
      <c r="H1728" s="113">
        <v>0</v>
      </c>
      <c r="I1728" s="113">
        <v>0</v>
      </c>
      <c r="K1728" s="113">
        <v>0</v>
      </c>
      <c r="L1728" s="113">
        <v>5.3319999999999999E-2</v>
      </c>
      <c r="M1728" s="113">
        <v>0</v>
      </c>
      <c r="N1728" s="113">
        <v>0</v>
      </c>
      <c r="O1728" s="114" t="s">
        <v>1238</v>
      </c>
    </row>
    <row r="1729" spans="1:15" x14ac:dyDescent="0.25">
      <c r="A1729" s="113" t="s">
        <v>54</v>
      </c>
      <c r="B1729" s="113" t="s">
        <v>99</v>
      </c>
      <c r="C1729" s="113">
        <v>1.0900000000000001E-5</v>
      </c>
      <c r="D1729" s="113">
        <v>1.0900000000000001E-4</v>
      </c>
      <c r="E1729" s="113">
        <v>1.0000000000000001E-5</v>
      </c>
      <c r="F1729" s="113" t="s">
        <v>100</v>
      </c>
      <c r="G1729" s="113" t="s">
        <v>100</v>
      </c>
      <c r="H1729" s="113">
        <v>0</v>
      </c>
      <c r="I1729" s="113">
        <v>0</v>
      </c>
      <c r="K1729" s="113">
        <v>0</v>
      </c>
      <c r="L1729" s="113">
        <v>0.53261000000000003</v>
      </c>
      <c r="M1729" s="113">
        <v>0</v>
      </c>
      <c r="N1729" s="113">
        <v>0</v>
      </c>
      <c r="O1729" s="114" t="s">
        <v>1239</v>
      </c>
    </row>
    <row r="1730" spans="1:15" x14ac:dyDescent="0.25">
      <c r="A1730" s="113" t="s">
        <v>54</v>
      </c>
      <c r="B1730" s="113" t="s">
        <v>99</v>
      </c>
      <c r="C1730" s="113">
        <v>1.0900000000000001E-4</v>
      </c>
      <c r="D1730" s="113">
        <v>1.0901000000000001E-3</v>
      </c>
      <c r="E1730" s="113">
        <v>1E-8</v>
      </c>
      <c r="F1730" s="113" t="s">
        <v>100</v>
      </c>
      <c r="G1730" s="113" t="s">
        <v>100</v>
      </c>
      <c r="H1730" s="113">
        <v>0</v>
      </c>
      <c r="I1730" s="113">
        <v>0</v>
      </c>
      <c r="K1730" s="113">
        <v>0</v>
      </c>
      <c r="L1730" s="113">
        <v>1.6999999999999999E-3</v>
      </c>
      <c r="M1730" s="113">
        <v>0</v>
      </c>
      <c r="N1730" s="113">
        <v>0</v>
      </c>
      <c r="O1730" s="114" t="s">
        <v>1240</v>
      </c>
    </row>
    <row r="1731" spans="1:15" x14ac:dyDescent="0.25">
      <c r="A1731" s="113" t="s">
        <v>54</v>
      </c>
      <c r="B1731" s="113" t="s">
        <v>99</v>
      </c>
      <c r="C1731" s="113">
        <v>1.0900000000000001E-4</v>
      </c>
      <c r="D1731" s="113">
        <v>1.0901000000000001E-3</v>
      </c>
      <c r="E1731" s="113">
        <v>9.9999999999999995E-8</v>
      </c>
      <c r="F1731" s="113" t="s">
        <v>100</v>
      </c>
      <c r="G1731" s="113" t="s">
        <v>100</v>
      </c>
      <c r="H1731" s="113">
        <v>0</v>
      </c>
      <c r="I1731" s="113">
        <v>0</v>
      </c>
      <c r="K1731" s="113">
        <v>0</v>
      </c>
      <c r="L1731" s="113">
        <v>1.6999999999999999E-3</v>
      </c>
      <c r="M1731" s="113">
        <v>0</v>
      </c>
      <c r="N1731" s="113">
        <v>0</v>
      </c>
      <c r="O1731" s="114" t="s">
        <v>1241</v>
      </c>
    </row>
    <row r="1732" spans="1:15" x14ac:dyDescent="0.25">
      <c r="A1732" s="113" t="s">
        <v>54</v>
      </c>
      <c r="B1732" s="113" t="s">
        <v>99</v>
      </c>
      <c r="C1732" s="113">
        <v>1.0900000000000001E-4</v>
      </c>
      <c r="D1732" s="113">
        <v>1.0901000000000001E-3</v>
      </c>
      <c r="E1732" s="113">
        <v>9.9999999999999995E-7</v>
      </c>
      <c r="F1732" s="113" t="s">
        <v>100</v>
      </c>
      <c r="G1732" s="113" t="s">
        <v>100</v>
      </c>
      <c r="H1732" s="113">
        <v>0</v>
      </c>
      <c r="I1732" s="113">
        <v>0</v>
      </c>
      <c r="K1732" s="113">
        <v>0</v>
      </c>
      <c r="L1732" s="113">
        <v>5.5645E-3</v>
      </c>
      <c r="M1732" s="113">
        <v>0</v>
      </c>
      <c r="N1732" s="113">
        <v>0</v>
      </c>
      <c r="O1732" s="114" t="s">
        <v>1242</v>
      </c>
    </row>
    <row r="1733" spans="1:15" x14ac:dyDescent="0.25">
      <c r="A1733" s="113" t="s">
        <v>54</v>
      </c>
      <c r="B1733" s="113" t="s">
        <v>99</v>
      </c>
      <c r="C1733" s="113">
        <v>1.0900000000000001E-4</v>
      </c>
      <c r="D1733" s="113">
        <v>1.0901000000000001E-3</v>
      </c>
      <c r="E1733" s="113">
        <v>1.0000000000000001E-5</v>
      </c>
      <c r="F1733" s="113" t="s">
        <v>100</v>
      </c>
      <c r="G1733" s="113" t="s">
        <v>100</v>
      </c>
      <c r="H1733" s="113">
        <v>0</v>
      </c>
      <c r="I1733" s="113">
        <v>0</v>
      </c>
      <c r="K1733" s="113">
        <v>0</v>
      </c>
      <c r="L1733" s="113">
        <v>5.3284999999999999E-2</v>
      </c>
      <c r="M1733" s="113">
        <v>0</v>
      </c>
      <c r="N1733" s="113">
        <v>0</v>
      </c>
      <c r="O1733" s="114" t="s">
        <v>1243</v>
      </c>
    </row>
    <row r="1734" spans="1:15" x14ac:dyDescent="0.25">
      <c r="A1734" s="113" t="s">
        <v>54</v>
      </c>
      <c r="B1734" s="113" t="s">
        <v>99</v>
      </c>
      <c r="C1734" s="113">
        <v>1.0900000000000001E-4</v>
      </c>
      <c r="D1734" s="113">
        <v>1.0901000000000001E-3</v>
      </c>
      <c r="E1734" s="113">
        <v>1E-4</v>
      </c>
      <c r="F1734" s="113" t="s">
        <v>100</v>
      </c>
      <c r="G1734" s="113" t="s">
        <v>100</v>
      </c>
      <c r="H1734" s="113">
        <v>0</v>
      </c>
      <c r="I1734" s="113">
        <v>0</v>
      </c>
      <c r="K1734" s="113">
        <v>0</v>
      </c>
      <c r="L1734" s="113">
        <v>0.53259999999999996</v>
      </c>
      <c r="M1734" s="113">
        <v>0</v>
      </c>
      <c r="N1734" s="113">
        <v>0</v>
      </c>
      <c r="O1734" s="114" t="s">
        <v>1244</v>
      </c>
    </row>
    <row r="1735" spans="1:15" x14ac:dyDescent="0.25">
      <c r="A1735" s="113" t="s">
        <v>54</v>
      </c>
      <c r="B1735" s="113" t="s">
        <v>99</v>
      </c>
      <c r="C1735" s="113">
        <v>1.09E-3</v>
      </c>
      <c r="D1735" s="113">
        <v>1.0900099999999999E-2</v>
      </c>
      <c r="E1735" s="113">
        <v>9.9999999999999995E-8</v>
      </c>
      <c r="F1735" s="113" t="s">
        <v>100</v>
      </c>
      <c r="G1735" s="113" t="s">
        <v>100</v>
      </c>
      <c r="H1735" s="113">
        <v>0</v>
      </c>
      <c r="I1735" s="113">
        <v>0</v>
      </c>
      <c r="K1735" s="113">
        <v>0</v>
      </c>
      <c r="L1735" s="113">
        <v>1.2999999999999999E-3</v>
      </c>
      <c r="M1735" s="113">
        <v>0</v>
      </c>
      <c r="N1735" s="113">
        <v>0</v>
      </c>
      <c r="O1735" s="114" t="s">
        <v>1245</v>
      </c>
    </row>
    <row r="1736" spans="1:15" x14ac:dyDescent="0.25">
      <c r="A1736" s="113" t="s">
        <v>54</v>
      </c>
      <c r="B1736" s="113" t="s">
        <v>99</v>
      </c>
      <c r="C1736" s="113">
        <v>1.09E-3</v>
      </c>
      <c r="D1736" s="113">
        <v>1.0900099999999999E-2</v>
      </c>
      <c r="E1736" s="113">
        <v>9.9999999999999995E-7</v>
      </c>
      <c r="F1736" s="113" t="s">
        <v>100</v>
      </c>
      <c r="G1736" s="113" t="s">
        <v>100</v>
      </c>
      <c r="H1736" s="113">
        <v>0</v>
      </c>
      <c r="I1736" s="113">
        <v>0</v>
      </c>
      <c r="K1736" s="113">
        <v>0</v>
      </c>
      <c r="L1736" s="113">
        <v>1.3483E-3</v>
      </c>
      <c r="M1736" s="113">
        <v>0</v>
      </c>
      <c r="N1736" s="113">
        <v>0</v>
      </c>
      <c r="O1736" s="114" t="s">
        <v>1246</v>
      </c>
    </row>
    <row r="1737" spans="1:15" x14ac:dyDescent="0.25">
      <c r="A1737" s="113" t="s">
        <v>54</v>
      </c>
      <c r="B1737" s="113" t="s">
        <v>99</v>
      </c>
      <c r="C1737" s="113">
        <v>1.09E-3</v>
      </c>
      <c r="D1737" s="113">
        <v>1.0900099999999999E-2</v>
      </c>
      <c r="E1737" s="113">
        <v>1.0000000000000001E-5</v>
      </c>
      <c r="F1737" s="113" t="s">
        <v>100</v>
      </c>
      <c r="G1737" s="113" t="s">
        <v>100</v>
      </c>
      <c r="H1737" s="113">
        <v>0</v>
      </c>
      <c r="I1737" s="113">
        <v>0</v>
      </c>
      <c r="K1737" s="113">
        <v>0</v>
      </c>
      <c r="L1737" s="113">
        <v>5.4701999999999997E-3</v>
      </c>
      <c r="M1737" s="113">
        <v>0</v>
      </c>
      <c r="N1737" s="113">
        <v>0</v>
      </c>
      <c r="O1737" s="114" t="s">
        <v>1247</v>
      </c>
    </row>
    <row r="1738" spans="1:15" x14ac:dyDescent="0.25">
      <c r="A1738" s="113" t="s">
        <v>54</v>
      </c>
      <c r="B1738" s="113" t="s">
        <v>99</v>
      </c>
      <c r="C1738" s="113">
        <v>1.09E-3</v>
      </c>
      <c r="D1738" s="113">
        <v>1.0900099999999999E-2</v>
      </c>
      <c r="E1738" s="113">
        <v>1E-4</v>
      </c>
      <c r="F1738" s="113" t="s">
        <v>100</v>
      </c>
      <c r="G1738" s="113" t="s">
        <v>100</v>
      </c>
      <c r="H1738" s="113">
        <v>0</v>
      </c>
      <c r="I1738" s="113">
        <v>0</v>
      </c>
      <c r="K1738" s="113">
        <v>0</v>
      </c>
      <c r="L1738" s="113">
        <v>5.3275000000000003E-2</v>
      </c>
      <c r="M1738" s="113">
        <v>0</v>
      </c>
      <c r="N1738" s="113">
        <v>0</v>
      </c>
      <c r="O1738" s="114" t="s">
        <v>1248</v>
      </c>
    </row>
    <row r="1739" spans="1:15" x14ac:dyDescent="0.25">
      <c r="A1739" s="113" t="s">
        <v>54</v>
      </c>
      <c r="B1739" s="113" t="s">
        <v>99</v>
      </c>
      <c r="C1739" s="113">
        <v>1.09E-3</v>
      </c>
      <c r="D1739" s="113">
        <v>1.0900099999999999E-2</v>
      </c>
      <c r="E1739" s="113">
        <v>1E-3</v>
      </c>
      <c r="F1739" s="113" t="s">
        <v>100</v>
      </c>
      <c r="G1739" s="113" t="s">
        <v>100</v>
      </c>
      <c r="H1739" s="113">
        <v>0</v>
      </c>
      <c r="I1739" s="113">
        <v>0</v>
      </c>
      <c r="K1739" s="113">
        <v>0</v>
      </c>
      <c r="L1739" s="113">
        <v>0.53259999999999996</v>
      </c>
      <c r="M1739" s="113">
        <v>0</v>
      </c>
      <c r="N1739" s="113">
        <v>0</v>
      </c>
      <c r="O1739" s="114" t="s">
        <v>1249</v>
      </c>
    </row>
    <row r="1740" spans="1:15" x14ac:dyDescent="0.25">
      <c r="A1740" s="113" t="s">
        <v>54</v>
      </c>
      <c r="B1740" s="113" t="s">
        <v>99</v>
      </c>
      <c r="C1740" s="113">
        <v>1.09E-2</v>
      </c>
      <c r="D1740" s="113">
        <v>0.1090001</v>
      </c>
      <c r="E1740" s="113">
        <v>9.9999999999999995E-7</v>
      </c>
      <c r="F1740" s="113" t="s">
        <v>100</v>
      </c>
      <c r="G1740" s="113" t="s">
        <v>100</v>
      </c>
      <c r="H1740" s="113">
        <v>0</v>
      </c>
      <c r="I1740" s="113">
        <v>0</v>
      </c>
      <c r="K1740" s="113">
        <v>0</v>
      </c>
      <c r="L1740" s="113">
        <v>7.7999999999999999E-4</v>
      </c>
      <c r="M1740" s="113">
        <v>0</v>
      </c>
      <c r="N1740" s="113">
        <v>0</v>
      </c>
      <c r="O1740" s="114" t="s">
        <v>1250</v>
      </c>
    </row>
    <row r="1741" spans="1:15" x14ac:dyDescent="0.25">
      <c r="A1741" s="113" t="s">
        <v>54</v>
      </c>
      <c r="B1741" s="113" t="s">
        <v>99</v>
      </c>
      <c r="C1741" s="113">
        <v>1.09E-2</v>
      </c>
      <c r="D1741" s="113">
        <v>0.1090001</v>
      </c>
      <c r="E1741" s="113">
        <v>1.0000000000000001E-5</v>
      </c>
      <c r="F1741" s="113" t="s">
        <v>100</v>
      </c>
      <c r="G1741" s="113" t="s">
        <v>100</v>
      </c>
      <c r="H1741" s="113">
        <v>0</v>
      </c>
      <c r="I1741" s="113">
        <v>0</v>
      </c>
      <c r="K1741" s="113">
        <v>0</v>
      </c>
      <c r="L1741" s="113">
        <v>9.4315999999999996E-4</v>
      </c>
      <c r="M1741" s="113">
        <v>0</v>
      </c>
      <c r="N1741" s="113">
        <v>0</v>
      </c>
      <c r="O1741" s="114" t="s">
        <v>1251</v>
      </c>
    </row>
    <row r="1742" spans="1:15" x14ac:dyDescent="0.25">
      <c r="A1742" s="113" t="s">
        <v>54</v>
      </c>
      <c r="B1742" s="113" t="s">
        <v>99</v>
      </c>
      <c r="C1742" s="113">
        <v>1.09E-2</v>
      </c>
      <c r="D1742" s="113">
        <v>0.1090001</v>
      </c>
      <c r="E1742" s="113">
        <v>1E-4</v>
      </c>
      <c r="F1742" s="113" t="s">
        <v>100</v>
      </c>
      <c r="G1742" s="113" t="s">
        <v>100</v>
      </c>
      <c r="H1742" s="113">
        <v>0</v>
      </c>
      <c r="I1742" s="113">
        <v>0</v>
      </c>
      <c r="K1742" s="113">
        <v>0</v>
      </c>
      <c r="L1742" s="113">
        <v>5.3847000000000001E-3</v>
      </c>
      <c r="M1742" s="113">
        <v>0</v>
      </c>
      <c r="N1742" s="113">
        <v>0</v>
      </c>
      <c r="O1742" s="114" t="s">
        <v>1252</v>
      </c>
    </row>
    <row r="1743" spans="1:15" x14ac:dyDescent="0.25">
      <c r="A1743" s="113" t="s">
        <v>54</v>
      </c>
      <c r="B1743" s="113" t="s">
        <v>99</v>
      </c>
      <c r="C1743" s="113">
        <v>1.09E-2</v>
      </c>
      <c r="D1743" s="113">
        <v>0.1090001</v>
      </c>
      <c r="E1743" s="113">
        <v>1E-3</v>
      </c>
      <c r="F1743" s="113" t="s">
        <v>100</v>
      </c>
      <c r="G1743" s="113" t="s">
        <v>100</v>
      </c>
      <c r="H1743" s="113">
        <v>0</v>
      </c>
      <c r="I1743" s="113">
        <v>0</v>
      </c>
      <c r="K1743" s="113">
        <v>0</v>
      </c>
      <c r="L1743" s="113">
        <v>5.3267000000000002E-2</v>
      </c>
      <c r="M1743" s="113">
        <v>0</v>
      </c>
      <c r="N1743" s="113">
        <v>0</v>
      </c>
      <c r="O1743" s="114" t="s">
        <v>1253</v>
      </c>
    </row>
    <row r="1744" spans="1:15" x14ac:dyDescent="0.25">
      <c r="A1744" s="113" t="s">
        <v>54</v>
      </c>
      <c r="B1744" s="113" t="s">
        <v>99</v>
      </c>
      <c r="C1744" s="113">
        <v>1.09E-2</v>
      </c>
      <c r="D1744" s="113">
        <v>0.1090001</v>
      </c>
      <c r="E1744" s="113">
        <v>0.01</v>
      </c>
      <c r="F1744" s="113" t="s">
        <v>100</v>
      </c>
      <c r="G1744" s="113" t="s">
        <v>100</v>
      </c>
      <c r="H1744" s="113">
        <v>0</v>
      </c>
      <c r="I1744" s="113">
        <v>0</v>
      </c>
      <c r="K1744" s="113">
        <v>0</v>
      </c>
      <c r="L1744" s="113">
        <v>0.53259999999999996</v>
      </c>
      <c r="M1744" s="113">
        <v>0</v>
      </c>
      <c r="N1744" s="113">
        <v>0</v>
      </c>
      <c r="O1744" s="114" t="s">
        <v>1254</v>
      </c>
    </row>
    <row r="1745" spans="1:15" x14ac:dyDescent="0.25">
      <c r="A1745" s="113" t="s">
        <v>54</v>
      </c>
      <c r="B1745" s="113" t="s">
        <v>99</v>
      </c>
      <c r="C1745" s="113">
        <v>0.109</v>
      </c>
      <c r="D1745" s="113">
        <v>1.0901000000000001</v>
      </c>
      <c r="E1745" s="113">
        <v>1.0000000000000001E-5</v>
      </c>
      <c r="F1745" s="113" t="s">
        <v>100</v>
      </c>
      <c r="G1745" s="113" t="s">
        <v>100</v>
      </c>
      <c r="H1745" s="113">
        <v>0</v>
      </c>
      <c r="I1745" s="113">
        <v>0</v>
      </c>
      <c r="K1745" s="113">
        <v>0</v>
      </c>
      <c r="L1745" s="113">
        <v>7.7999999999999999E-4</v>
      </c>
      <c r="M1745" s="113">
        <v>0</v>
      </c>
      <c r="N1745" s="113">
        <v>0</v>
      </c>
      <c r="O1745" s="114" t="s">
        <v>1255</v>
      </c>
    </row>
    <row r="1746" spans="1:15" x14ac:dyDescent="0.25">
      <c r="A1746" s="113" t="s">
        <v>54</v>
      </c>
      <c r="B1746" s="113" t="s">
        <v>99</v>
      </c>
      <c r="C1746" s="113">
        <v>0.109</v>
      </c>
      <c r="D1746" s="113">
        <v>1.0901000000000001</v>
      </c>
      <c r="E1746" s="113">
        <v>1E-4</v>
      </c>
      <c r="F1746" s="113" t="s">
        <v>100</v>
      </c>
      <c r="G1746" s="113" t="s">
        <v>100</v>
      </c>
      <c r="H1746" s="113">
        <v>0</v>
      </c>
      <c r="I1746" s="113">
        <v>0</v>
      </c>
      <c r="K1746" s="113">
        <v>0</v>
      </c>
      <c r="L1746" s="113">
        <v>9.4282999999999997E-4</v>
      </c>
      <c r="M1746" s="113">
        <v>0</v>
      </c>
      <c r="N1746" s="113">
        <v>0</v>
      </c>
      <c r="O1746" s="114" t="s">
        <v>1256</v>
      </c>
    </row>
    <row r="1747" spans="1:15" x14ac:dyDescent="0.25">
      <c r="A1747" s="113" t="s">
        <v>54</v>
      </c>
      <c r="B1747" s="113" t="s">
        <v>99</v>
      </c>
      <c r="C1747" s="113">
        <v>0.109</v>
      </c>
      <c r="D1747" s="113">
        <v>1.0901000000000001</v>
      </c>
      <c r="E1747" s="113">
        <v>1E-3</v>
      </c>
      <c r="F1747" s="113" t="s">
        <v>100</v>
      </c>
      <c r="G1747" s="113" t="s">
        <v>100</v>
      </c>
      <c r="H1747" s="113">
        <v>0</v>
      </c>
      <c r="I1747" s="113">
        <v>0</v>
      </c>
      <c r="K1747" s="113">
        <v>0</v>
      </c>
      <c r="L1747" s="113">
        <v>5.3845999999999998E-3</v>
      </c>
      <c r="M1747" s="113">
        <v>0</v>
      </c>
      <c r="N1747" s="113">
        <v>0</v>
      </c>
      <c r="O1747" s="114" t="s">
        <v>1257</v>
      </c>
    </row>
    <row r="1748" spans="1:15" x14ac:dyDescent="0.25">
      <c r="A1748" s="113" t="s">
        <v>54</v>
      </c>
      <c r="B1748" s="113" t="s">
        <v>99</v>
      </c>
      <c r="C1748" s="113">
        <v>0.109</v>
      </c>
      <c r="D1748" s="113">
        <v>1.0901000000000001</v>
      </c>
      <c r="E1748" s="113">
        <v>0.01</v>
      </c>
      <c r="F1748" s="113" t="s">
        <v>100</v>
      </c>
      <c r="G1748" s="113" t="s">
        <v>100</v>
      </c>
      <c r="H1748" s="113">
        <v>0</v>
      </c>
      <c r="I1748" s="113">
        <v>0</v>
      </c>
      <c r="K1748" s="113">
        <v>0</v>
      </c>
      <c r="L1748" s="113">
        <v>5.3267000000000002E-2</v>
      </c>
      <c r="M1748" s="113">
        <v>0</v>
      </c>
      <c r="N1748" s="113">
        <v>0</v>
      </c>
      <c r="O1748" s="114" t="s">
        <v>1258</v>
      </c>
    </row>
    <row r="1749" spans="1:15" x14ac:dyDescent="0.25">
      <c r="A1749" s="113" t="s">
        <v>54</v>
      </c>
      <c r="B1749" s="113" t="s">
        <v>99</v>
      </c>
      <c r="C1749" s="113">
        <v>0.109</v>
      </c>
      <c r="D1749" s="113">
        <v>1.0901000000000001</v>
      </c>
      <c r="E1749" s="113">
        <v>0.1</v>
      </c>
      <c r="F1749" s="113" t="s">
        <v>100</v>
      </c>
      <c r="G1749" s="113" t="s">
        <v>100</v>
      </c>
      <c r="H1749" s="113">
        <v>0</v>
      </c>
      <c r="I1749" s="113">
        <v>0</v>
      </c>
      <c r="K1749" s="113">
        <v>0</v>
      </c>
      <c r="L1749" s="113">
        <v>0.53259999999999996</v>
      </c>
      <c r="M1749" s="113">
        <v>0</v>
      </c>
      <c r="N1749" s="113">
        <v>0</v>
      </c>
      <c r="O1749" s="114" t="s">
        <v>1259</v>
      </c>
    </row>
    <row r="1750" spans="1:15" x14ac:dyDescent="0.25">
      <c r="A1750" s="113" t="s">
        <v>54</v>
      </c>
      <c r="B1750" s="113" t="s">
        <v>99</v>
      </c>
      <c r="C1750" s="113">
        <v>1.0900000000000001</v>
      </c>
      <c r="D1750" s="113">
        <v>10.9001</v>
      </c>
      <c r="E1750" s="113">
        <v>1E-4</v>
      </c>
      <c r="F1750" s="113" t="s">
        <v>100</v>
      </c>
      <c r="G1750" s="113" t="s">
        <v>100</v>
      </c>
      <c r="H1750" s="113">
        <v>0</v>
      </c>
      <c r="I1750" s="113">
        <v>0</v>
      </c>
      <c r="K1750" s="113">
        <v>0</v>
      </c>
      <c r="L1750" s="113">
        <v>1.2999999999999999E-3</v>
      </c>
      <c r="M1750" s="113">
        <v>0</v>
      </c>
      <c r="N1750" s="113">
        <v>0</v>
      </c>
      <c r="O1750" s="114" t="s">
        <v>1260</v>
      </c>
    </row>
    <row r="1751" spans="1:15" x14ac:dyDescent="0.25">
      <c r="A1751" s="113" t="s">
        <v>54</v>
      </c>
      <c r="B1751" s="113" t="s">
        <v>99</v>
      </c>
      <c r="C1751" s="113">
        <v>1.0900000000000001</v>
      </c>
      <c r="D1751" s="113">
        <v>10.9001</v>
      </c>
      <c r="E1751" s="113">
        <v>1E-3</v>
      </c>
      <c r="F1751" s="113" t="s">
        <v>100</v>
      </c>
      <c r="G1751" s="113" t="s">
        <v>100</v>
      </c>
      <c r="H1751" s="113">
        <v>0</v>
      </c>
      <c r="I1751" s="113">
        <v>0</v>
      </c>
      <c r="K1751" s="113">
        <v>0</v>
      </c>
      <c r="L1751" s="113">
        <v>1.3347000000000001E-3</v>
      </c>
      <c r="M1751" s="113">
        <v>0</v>
      </c>
      <c r="N1751" s="113">
        <v>0</v>
      </c>
      <c r="O1751" s="114" t="s">
        <v>1261</v>
      </c>
    </row>
    <row r="1752" spans="1:15" x14ac:dyDescent="0.25">
      <c r="A1752" s="113" t="s">
        <v>54</v>
      </c>
      <c r="B1752" s="113" t="s">
        <v>99</v>
      </c>
      <c r="C1752" s="113">
        <v>1.0900000000000001</v>
      </c>
      <c r="D1752" s="113">
        <v>10.9001</v>
      </c>
      <c r="E1752" s="113">
        <v>0.01</v>
      </c>
      <c r="F1752" s="113" t="s">
        <v>100</v>
      </c>
      <c r="G1752" s="113" t="s">
        <v>100</v>
      </c>
      <c r="H1752" s="113">
        <v>0</v>
      </c>
      <c r="I1752" s="113">
        <v>0</v>
      </c>
      <c r="K1752" s="113">
        <v>0</v>
      </c>
      <c r="L1752" s="113">
        <v>5.4669000000000002E-3</v>
      </c>
      <c r="M1752" s="113">
        <v>0</v>
      </c>
      <c r="N1752" s="113">
        <v>0</v>
      </c>
      <c r="O1752" s="114" t="s">
        <v>1262</v>
      </c>
    </row>
    <row r="1753" spans="1:15" x14ac:dyDescent="0.25">
      <c r="A1753" s="113" t="s">
        <v>54</v>
      </c>
      <c r="B1753" s="113" t="s">
        <v>99</v>
      </c>
      <c r="C1753" s="113">
        <v>1.0900000000000001</v>
      </c>
      <c r="D1753" s="113">
        <v>10.9001</v>
      </c>
      <c r="E1753" s="113">
        <v>0.1</v>
      </c>
      <c r="F1753" s="113" t="s">
        <v>100</v>
      </c>
      <c r="G1753" s="113" t="s">
        <v>100</v>
      </c>
      <c r="H1753" s="113">
        <v>0</v>
      </c>
      <c r="I1753" s="113">
        <v>0</v>
      </c>
      <c r="K1753" s="113">
        <v>0</v>
      </c>
      <c r="L1753" s="113">
        <v>5.3275000000000003E-2</v>
      </c>
      <c r="M1753" s="113">
        <v>0</v>
      </c>
      <c r="N1753" s="113">
        <v>0</v>
      </c>
      <c r="O1753" s="114" t="s">
        <v>1263</v>
      </c>
    </row>
    <row r="1754" spans="1:15" x14ac:dyDescent="0.25">
      <c r="A1754" s="113" t="s">
        <v>54</v>
      </c>
      <c r="B1754" s="113" t="s">
        <v>99</v>
      </c>
      <c r="C1754" s="113">
        <v>1.0900000000000001</v>
      </c>
      <c r="D1754" s="113">
        <v>10.9001</v>
      </c>
      <c r="E1754" s="113">
        <v>1</v>
      </c>
      <c r="F1754" s="113" t="s">
        <v>100</v>
      </c>
      <c r="G1754" s="113" t="s">
        <v>100</v>
      </c>
      <c r="H1754" s="113">
        <v>0</v>
      </c>
      <c r="I1754" s="113">
        <v>0</v>
      </c>
      <c r="K1754" s="113">
        <v>0</v>
      </c>
      <c r="L1754" s="113">
        <v>0.53259999999999996</v>
      </c>
      <c r="M1754" s="113">
        <v>0</v>
      </c>
      <c r="N1754" s="113">
        <v>0</v>
      </c>
      <c r="O1754" s="114" t="s">
        <v>1264</v>
      </c>
    </row>
    <row r="1755" spans="1:15" x14ac:dyDescent="0.25">
      <c r="A1755" s="113" t="s">
        <v>54</v>
      </c>
      <c r="B1755" s="113" t="s">
        <v>99</v>
      </c>
      <c r="C1755" s="113">
        <v>10.9</v>
      </c>
      <c r="D1755" s="113">
        <v>109.0001</v>
      </c>
      <c r="E1755" s="113">
        <v>1E-3</v>
      </c>
      <c r="F1755" s="113" t="s">
        <v>100</v>
      </c>
      <c r="G1755" s="113" t="s">
        <v>100</v>
      </c>
      <c r="H1755" s="113">
        <v>0</v>
      </c>
      <c r="I1755" s="113">
        <v>0</v>
      </c>
      <c r="K1755" s="113">
        <v>0</v>
      </c>
      <c r="L1755" s="113">
        <v>8.8000000000000003E-4</v>
      </c>
      <c r="M1755" s="113">
        <v>0</v>
      </c>
      <c r="N1755" s="113">
        <v>0</v>
      </c>
      <c r="O1755" s="114" t="s">
        <v>1265</v>
      </c>
    </row>
    <row r="1756" spans="1:15" x14ac:dyDescent="0.25">
      <c r="A1756" s="113" t="s">
        <v>54</v>
      </c>
      <c r="B1756" s="113" t="s">
        <v>99</v>
      </c>
      <c r="C1756" s="113">
        <v>10.9</v>
      </c>
      <c r="D1756" s="113">
        <v>109.0001</v>
      </c>
      <c r="E1756" s="113">
        <v>0.01</v>
      </c>
      <c r="F1756" s="113" t="s">
        <v>100</v>
      </c>
      <c r="G1756" s="113" t="s">
        <v>100</v>
      </c>
      <c r="H1756" s="113">
        <v>0</v>
      </c>
      <c r="I1756" s="113">
        <v>0</v>
      </c>
      <c r="K1756" s="113">
        <v>0</v>
      </c>
      <c r="L1756" s="113">
        <v>1.0256E-3</v>
      </c>
      <c r="M1756" s="113">
        <v>0</v>
      </c>
      <c r="N1756" s="113">
        <v>0</v>
      </c>
      <c r="O1756" s="114" t="s">
        <v>1266</v>
      </c>
    </row>
    <row r="1757" spans="1:15" x14ac:dyDescent="0.25">
      <c r="A1757" s="113" t="s">
        <v>54</v>
      </c>
      <c r="B1757" s="113" t="s">
        <v>99</v>
      </c>
      <c r="C1757" s="113">
        <v>10.9</v>
      </c>
      <c r="D1757" s="113">
        <v>109.0001</v>
      </c>
      <c r="E1757" s="113">
        <v>0.1</v>
      </c>
      <c r="F1757" s="113" t="s">
        <v>100</v>
      </c>
      <c r="G1757" s="113" t="s">
        <v>100</v>
      </c>
      <c r="H1757" s="113">
        <v>0</v>
      </c>
      <c r="I1757" s="113">
        <v>0</v>
      </c>
      <c r="K1757" s="113">
        <v>0</v>
      </c>
      <c r="L1757" s="113">
        <v>5.3997000000000003E-3</v>
      </c>
      <c r="M1757" s="113">
        <v>0</v>
      </c>
      <c r="N1757" s="113">
        <v>0</v>
      </c>
      <c r="O1757" s="114" t="s">
        <v>1267</v>
      </c>
    </row>
    <row r="1758" spans="1:15" x14ac:dyDescent="0.25">
      <c r="A1758" s="113" t="s">
        <v>54</v>
      </c>
      <c r="B1758" s="113" t="s">
        <v>99</v>
      </c>
      <c r="C1758" s="113">
        <v>10.9</v>
      </c>
      <c r="D1758" s="113">
        <v>109.0001</v>
      </c>
      <c r="E1758" s="113">
        <v>1</v>
      </c>
      <c r="F1758" s="113" t="s">
        <v>100</v>
      </c>
      <c r="G1758" s="113" t="s">
        <v>100</v>
      </c>
      <c r="H1758" s="113">
        <v>0</v>
      </c>
      <c r="I1758" s="113">
        <v>0</v>
      </c>
      <c r="K1758" s="113">
        <v>0</v>
      </c>
      <c r="L1758" s="113">
        <v>5.3268000000000003E-2</v>
      </c>
      <c r="M1758" s="113">
        <v>0</v>
      </c>
      <c r="N1758" s="113">
        <v>0</v>
      </c>
      <c r="O1758" s="114" t="s">
        <v>1268</v>
      </c>
    </row>
    <row r="1759" spans="1:15" x14ac:dyDescent="0.25">
      <c r="A1759" s="113" t="s">
        <v>54</v>
      </c>
      <c r="B1759" s="113" t="s">
        <v>99</v>
      </c>
      <c r="C1759" s="113">
        <v>10.9</v>
      </c>
      <c r="D1759" s="113">
        <v>109.0001</v>
      </c>
      <c r="E1759" s="113">
        <v>10</v>
      </c>
      <c r="F1759" s="113" t="s">
        <v>100</v>
      </c>
      <c r="G1759" s="113" t="s">
        <v>100</v>
      </c>
      <c r="H1759" s="113">
        <v>0</v>
      </c>
      <c r="I1759" s="113">
        <v>0</v>
      </c>
      <c r="K1759" s="113">
        <v>0</v>
      </c>
      <c r="L1759" s="113">
        <v>0.53259999999999996</v>
      </c>
      <c r="M1759" s="113">
        <v>0</v>
      </c>
      <c r="N1759" s="113">
        <v>0</v>
      </c>
      <c r="O1759" s="114" t="s">
        <v>1269</v>
      </c>
    </row>
    <row r="1760" spans="1:15" x14ac:dyDescent="0.25">
      <c r="A1760" s="113" t="s">
        <v>54</v>
      </c>
      <c r="B1760" s="113" t="s">
        <v>99</v>
      </c>
      <c r="C1760" s="113">
        <v>109</v>
      </c>
      <c r="D1760" s="113">
        <v>363.00009999999997</v>
      </c>
      <c r="E1760" s="113">
        <v>0.01</v>
      </c>
      <c r="F1760" s="113" t="s">
        <v>100</v>
      </c>
      <c r="G1760" s="113" t="s">
        <v>100</v>
      </c>
      <c r="H1760" s="113">
        <v>0</v>
      </c>
      <c r="I1760" s="113">
        <v>0</v>
      </c>
      <c r="K1760" s="113">
        <v>0</v>
      </c>
      <c r="L1760" s="113">
        <v>1.1999999999999999E-3</v>
      </c>
      <c r="M1760" s="113">
        <v>0</v>
      </c>
      <c r="N1760" s="113">
        <v>0</v>
      </c>
      <c r="O1760" s="114" t="s">
        <v>1270</v>
      </c>
    </row>
    <row r="1761" spans="1:15" x14ac:dyDescent="0.25">
      <c r="A1761" s="113" t="s">
        <v>54</v>
      </c>
      <c r="B1761" s="113" t="s">
        <v>99</v>
      </c>
      <c r="C1761" s="113">
        <v>109</v>
      </c>
      <c r="D1761" s="113">
        <v>363.00009999999997</v>
      </c>
      <c r="E1761" s="113">
        <v>0.1</v>
      </c>
      <c r="F1761" s="113" t="s">
        <v>100</v>
      </c>
      <c r="G1761" s="113" t="s">
        <v>100</v>
      </c>
      <c r="H1761" s="113">
        <v>0</v>
      </c>
      <c r="I1761" s="113">
        <v>0</v>
      </c>
      <c r="K1761" s="113">
        <v>0</v>
      </c>
      <c r="L1761" s="113">
        <v>1.2283999999999999E-3</v>
      </c>
      <c r="M1761" s="113">
        <v>0</v>
      </c>
      <c r="N1761" s="113">
        <v>0</v>
      </c>
      <c r="O1761" s="114" t="s">
        <v>1271</v>
      </c>
    </row>
    <row r="1762" spans="1:15" x14ac:dyDescent="0.25">
      <c r="A1762" s="113" t="s">
        <v>54</v>
      </c>
      <c r="B1762" s="113" t="s">
        <v>99</v>
      </c>
      <c r="C1762" s="113">
        <v>109</v>
      </c>
      <c r="D1762" s="113">
        <v>363.00009999999997</v>
      </c>
      <c r="E1762" s="113">
        <v>1</v>
      </c>
      <c r="F1762" s="113" t="s">
        <v>100</v>
      </c>
      <c r="G1762" s="113" t="s">
        <v>100</v>
      </c>
      <c r="H1762" s="113">
        <v>0</v>
      </c>
      <c r="I1762" s="113">
        <v>0</v>
      </c>
      <c r="K1762" s="113">
        <v>0</v>
      </c>
      <c r="L1762" s="113">
        <v>5.4419000000000004E-3</v>
      </c>
      <c r="M1762" s="113">
        <v>0</v>
      </c>
      <c r="N1762" s="113">
        <v>0</v>
      </c>
      <c r="O1762" s="114" t="s">
        <v>1272</v>
      </c>
    </row>
    <row r="1763" spans="1:15" x14ac:dyDescent="0.25">
      <c r="A1763" s="113" t="s">
        <v>54</v>
      </c>
      <c r="B1763" s="113" t="s">
        <v>99</v>
      </c>
      <c r="C1763" s="113">
        <v>109</v>
      </c>
      <c r="D1763" s="113">
        <v>363.00009999999997</v>
      </c>
      <c r="E1763" s="113">
        <v>10</v>
      </c>
      <c r="F1763" s="113" t="s">
        <v>100</v>
      </c>
      <c r="G1763" s="113" t="s">
        <v>100</v>
      </c>
      <c r="H1763" s="113">
        <v>0</v>
      </c>
      <c r="I1763" s="113">
        <v>0</v>
      </c>
      <c r="K1763" s="113">
        <v>0</v>
      </c>
      <c r="L1763" s="113">
        <v>5.3273000000000001E-2</v>
      </c>
      <c r="M1763" s="113">
        <v>0</v>
      </c>
      <c r="N1763" s="113">
        <v>0</v>
      </c>
      <c r="O1763" s="114" t="s">
        <v>1273</v>
      </c>
    </row>
    <row r="1764" spans="1:15" x14ac:dyDescent="0.25">
      <c r="A1764" s="113" t="s">
        <v>54</v>
      </c>
      <c r="B1764" s="113" t="s">
        <v>99</v>
      </c>
      <c r="C1764" s="113">
        <v>363</v>
      </c>
      <c r="D1764" s="113">
        <v>990.00009999999997</v>
      </c>
      <c r="E1764" s="113">
        <v>0.01</v>
      </c>
      <c r="F1764" s="113" t="s">
        <v>100</v>
      </c>
      <c r="G1764" s="113" t="s">
        <v>100</v>
      </c>
      <c r="H1764" s="113">
        <v>0</v>
      </c>
      <c r="I1764" s="113">
        <v>0</v>
      </c>
      <c r="K1764" s="113">
        <v>0</v>
      </c>
      <c r="L1764" s="113">
        <v>1E-3</v>
      </c>
      <c r="M1764" s="113">
        <v>0</v>
      </c>
      <c r="N1764" s="113">
        <v>0</v>
      </c>
      <c r="O1764" s="114" t="s">
        <v>1274</v>
      </c>
    </row>
    <row r="1765" spans="1:15" x14ac:dyDescent="0.25">
      <c r="A1765" s="113" t="s">
        <v>54</v>
      </c>
      <c r="B1765" s="113" t="s">
        <v>99</v>
      </c>
      <c r="C1765" s="113">
        <v>363</v>
      </c>
      <c r="D1765" s="113">
        <v>990.00009999999997</v>
      </c>
      <c r="E1765" s="113">
        <v>0.1</v>
      </c>
      <c r="F1765" s="113" t="s">
        <v>100</v>
      </c>
      <c r="G1765" s="113" t="s">
        <v>100</v>
      </c>
      <c r="H1765" s="113">
        <v>0</v>
      </c>
      <c r="I1765" s="113">
        <v>0</v>
      </c>
      <c r="K1765" s="113">
        <v>0</v>
      </c>
      <c r="L1765" s="113">
        <v>1.0070000000000001E-3</v>
      </c>
      <c r="M1765" s="113">
        <v>0</v>
      </c>
      <c r="N1765" s="113">
        <v>0</v>
      </c>
      <c r="O1765" s="114" t="s">
        <v>1275</v>
      </c>
    </row>
    <row r="1766" spans="1:15" x14ac:dyDescent="0.25">
      <c r="A1766" s="113" t="s">
        <v>54</v>
      </c>
      <c r="B1766" s="113" t="s">
        <v>99</v>
      </c>
      <c r="C1766" s="113">
        <v>363</v>
      </c>
      <c r="D1766" s="113">
        <v>990.00009999999997</v>
      </c>
      <c r="E1766" s="113">
        <v>1</v>
      </c>
      <c r="F1766" s="113" t="s">
        <v>100</v>
      </c>
      <c r="G1766" s="113" t="s">
        <v>100</v>
      </c>
      <c r="H1766" s="113">
        <v>0</v>
      </c>
      <c r="I1766" s="113">
        <v>0</v>
      </c>
      <c r="K1766" s="113">
        <v>0</v>
      </c>
      <c r="L1766" s="113">
        <v>1.8832E-3</v>
      </c>
      <c r="M1766" s="113">
        <v>0</v>
      </c>
      <c r="N1766" s="113">
        <v>0</v>
      </c>
      <c r="O1766" s="114" t="s">
        <v>1276</v>
      </c>
    </row>
    <row r="1767" spans="1:15" x14ac:dyDescent="0.25">
      <c r="A1767" s="113" t="s">
        <v>54</v>
      </c>
      <c r="B1767" s="113" t="s">
        <v>99</v>
      </c>
      <c r="C1767" s="113">
        <v>363</v>
      </c>
      <c r="D1767" s="113">
        <v>990.00009999999997</v>
      </c>
      <c r="E1767" s="113">
        <v>10</v>
      </c>
      <c r="F1767" s="113" t="s">
        <v>100</v>
      </c>
      <c r="G1767" s="113" t="s">
        <v>100</v>
      </c>
      <c r="H1767" s="113">
        <v>0</v>
      </c>
      <c r="I1767" s="113">
        <v>0</v>
      </c>
      <c r="K1767" s="113">
        <v>0</v>
      </c>
      <c r="L1767" s="113">
        <v>1.601E-2</v>
      </c>
      <c r="M1767" s="113">
        <v>0</v>
      </c>
      <c r="N1767" s="113">
        <v>0</v>
      </c>
      <c r="O1767" s="114" t="s">
        <v>1277</v>
      </c>
    </row>
    <row r="1768" spans="1:15" x14ac:dyDescent="0.25">
      <c r="A1768" s="113" t="s">
        <v>54</v>
      </c>
      <c r="B1768" s="113" t="s">
        <v>99</v>
      </c>
      <c r="C1768" s="113">
        <v>363</v>
      </c>
      <c r="D1768" s="113">
        <v>990.00009999999997</v>
      </c>
      <c r="E1768" s="113">
        <v>100</v>
      </c>
      <c r="F1768" s="113" t="s">
        <v>100</v>
      </c>
      <c r="G1768" s="113" t="s">
        <v>100</v>
      </c>
      <c r="H1768" s="113">
        <v>0</v>
      </c>
      <c r="I1768" s="113">
        <v>0</v>
      </c>
      <c r="K1768" s="113">
        <v>0</v>
      </c>
      <c r="L1768" s="113">
        <v>0.15978999999999999</v>
      </c>
      <c r="M1768" s="113">
        <v>0</v>
      </c>
      <c r="N1768" s="113">
        <v>0</v>
      </c>
      <c r="O1768" s="114" t="s">
        <v>1278</v>
      </c>
    </row>
    <row r="1769" spans="1:15" x14ac:dyDescent="0.25">
      <c r="A1769" s="113" t="s">
        <v>54</v>
      </c>
      <c r="B1769" s="113" t="s">
        <v>99</v>
      </c>
      <c r="C1769" s="113">
        <v>990</v>
      </c>
      <c r="D1769" s="113">
        <v>3630.1</v>
      </c>
      <c r="E1769" s="113">
        <v>0.1</v>
      </c>
      <c r="F1769" s="113" t="s">
        <v>100</v>
      </c>
      <c r="G1769" s="113" t="s">
        <v>100</v>
      </c>
      <c r="H1769" s="113">
        <v>0</v>
      </c>
      <c r="I1769" s="113">
        <v>0</v>
      </c>
      <c r="K1769" s="113">
        <v>0</v>
      </c>
      <c r="L1769" s="113">
        <v>2.0999999999999999E-3</v>
      </c>
      <c r="M1769" s="113">
        <v>0</v>
      </c>
      <c r="N1769" s="113">
        <v>0</v>
      </c>
      <c r="O1769" s="114" t="s">
        <v>1279</v>
      </c>
    </row>
    <row r="1770" spans="1:15" x14ac:dyDescent="0.25">
      <c r="A1770" s="113" t="s">
        <v>54</v>
      </c>
      <c r="B1770" s="113" t="s">
        <v>99</v>
      </c>
      <c r="C1770" s="113">
        <v>990</v>
      </c>
      <c r="D1770" s="113">
        <v>3630.1</v>
      </c>
      <c r="E1770" s="113">
        <v>1</v>
      </c>
      <c r="F1770" s="113" t="s">
        <v>100</v>
      </c>
      <c r="G1770" s="113" t="s">
        <v>100</v>
      </c>
      <c r="H1770" s="113">
        <v>0</v>
      </c>
      <c r="I1770" s="113">
        <v>0</v>
      </c>
      <c r="K1770" s="113">
        <v>0</v>
      </c>
      <c r="L1770" s="113">
        <v>2.0999999999999999E-3</v>
      </c>
      <c r="M1770" s="113">
        <v>0</v>
      </c>
      <c r="N1770" s="113">
        <v>0</v>
      </c>
      <c r="O1770" s="114" t="s">
        <v>1280</v>
      </c>
    </row>
    <row r="1771" spans="1:15" x14ac:dyDescent="0.25">
      <c r="A1771" s="113" t="s">
        <v>54</v>
      </c>
      <c r="B1771" s="113" t="s">
        <v>99</v>
      </c>
      <c r="C1771" s="113">
        <v>990</v>
      </c>
      <c r="D1771" s="113">
        <v>3630.1</v>
      </c>
      <c r="E1771" s="113">
        <v>10</v>
      </c>
      <c r="F1771" s="113" t="s">
        <v>100</v>
      </c>
      <c r="G1771" s="113" t="s">
        <v>100</v>
      </c>
      <c r="H1771" s="113">
        <v>0</v>
      </c>
      <c r="I1771" s="113">
        <v>0</v>
      </c>
      <c r="K1771" s="113">
        <v>0</v>
      </c>
      <c r="L1771" s="113">
        <v>6.1979000000000001E-3</v>
      </c>
      <c r="M1771" s="113">
        <v>0</v>
      </c>
      <c r="N1771" s="113">
        <v>0</v>
      </c>
      <c r="O1771" s="114" t="s">
        <v>1281</v>
      </c>
    </row>
    <row r="1772" spans="1:15" x14ac:dyDescent="0.25">
      <c r="A1772" s="113" t="s">
        <v>54</v>
      </c>
      <c r="B1772" s="113" t="s">
        <v>99</v>
      </c>
      <c r="C1772" s="113">
        <v>990</v>
      </c>
      <c r="D1772" s="113">
        <v>3630.1</v>
      </c>
      <c r="E1772" s="113">
        <v>100</v>
      </c>
      <c r="F1772" s="113" t="s">
        <v>100</v>
      </c>
      <c r="G1772" s="113" t="s">
        <v>100</v>
      </c>
      <c r="H1772" s="113">
        <v>0</v>
      </c>
      <c r="I1772" s="113">
        <v>0</v>
      </c>
      <c r="K1772" s="113">
        <v>0</v>
      </c>
      <c r="L1772" s="113">
        <v>5.8622E-2</v>
      </c>
      <c r="M1772" s="113">
        <v>0</v>
      </c>
      <c r="N1772" s="113">
        <v>0</v>
      </c>
      <c r="O1772" s="114" t="s">
        <v>1282</v>
      </c>
    </row>
    <row r="1773" spans="1:15" x14ac:dyDescent="0.25">
      <c r="A1773" s="113" t="s">
        <v>54</v>
      </c>
      <c r="B1773" s="113" t="s">
        <v>99</v>
      </c>
      <c r="C1773" s="113">
        <v>990</v>
      </c>
      <c r="D1773" s="113">
        <v>3630.1</v>
      </c>
      <c r="E1773" s="113">
        <v>1000</v>
      </c>
      <c r="F1773" s="113" t="s">
        <v>100</v>
      </c>
      <c r="G1773" s="113" t="s">
        <v>100</v>
      </c>
      <c r="H1773" s="113">
        <v>0</v>
      </c>
      <c r="I1773" s="113">
        <v>0</v>
      </c>
      <c r="K1773" s="113">
        <v>0</v>
      </c>
      <c r="L1773" s="113">
        <v>0.58586000000000005</v>
      </c>
      <c r="M1773" s="113">
        <v>0</v>
      </c>
      <c r="N1773" s="113">
        <v>0</v>
      </c>
      <c r="O1773" s="114" t="s">
        <v>1283</v>
      </c>
    </row>
    <row r="1774" spans="1:15" x14ac:dyDescent="0.25">
      <c r="A1774" s="113" t="s">
        <v>54</v>
      </c>
      <c r="B1774" s="113" t="s">
        <v>99</v>
      </c>
      <c r="C1774" s="113">
        <v>3630</v>
      </c>
      <c r="D1774" s="113">
        <v>11200.1</v>
      </c>
      <c r="E1774" s="113">
        <v>0.1</v>
      </c>
      <c r="F1774" s="113" t="s">
        <v>100</v>
      </c>
      <c r="G1774" s="113" t="s">
        <v>100</v>
      </c>
      <c r="H1774" s="113">
        <v>0</v>
      </c>
      <c r="I1774" s="113">
        <v>0</v>
      </c>
      <c r="K1774" s="113">
        <v>0</v>
      </c>
      <c r="L1774" s="113">
        <v>1.6000000000000001E-3</v>
      </c>
      <c r="M1774" s="113">
        <v>0</v>
      </c>
      <c r="N1774" s="113">
        <v>0</v>
      </c>
      <c r="O1774" s="114" t="s">
        <v>1284</v>
      </c>
    </row>
    <row r="1775" spans="1:15" x14ac:dyDescent="0.25">
      <c r="A1775" s="113" t="s">
        <v>54</v>
      </c>
      <c r="B1775" s="113" t="s">
        <v>99</v>
      </c>
      <c r="C1775" s="113">
        <v>3630</v>
      </c>
      <c r="D1775" s="113">
        <v>11200.1</v>
      </c>
      <c r="E1775" s="113">
        <v>1</v>
      </c>
      <c r="F1775" s="113" t="s">
        <v>100</v>
      </c>
      <c r="G1775" s="113" t="s">
        <v>100</v>
      </c>
      <c r="H1775" s="113">
        <v>0</v>
      </c>
      <c r="I1775" s="113">
        <v>0</v>
      </c>
      <c r="K1775" s="113">
        <v>0</v>
      </c>
      <c r="L1775" s="113">
        <v>1.6000000000000001E-3</v>
      </c>
      <c r="M1775" s="113">
        <v>0</v>
      </c>
      <c r="N1775" s="113">
        <v>0</v>
      </c>
      <c r="O1775" s="114" t="s">
        <v>1285</v>
      </c>
    </row>
    <row r="1776" spans="1:15" x14ac:dyDescent="0.25">
      <c r="A1776" s="113" t="s">
        <v>54</v>
      </c>
      <c r="B1776" s="113" t="s">
        <v>99</v>
      </c>
      <c r="C1776" s="113">
        <v>3630</v>
      </c>
      <c r="D1776" s="113">
        <v>11200.1</v>
      </c>
      <c r="E1776" s="113">
        <v>10</v>
      </c>
      <c r="F1776" s="113" t="s">
        <v>100</v>
      </c>
      <c r="G1776" s="113" t="s">
        <v>100</v>
      </c>
      <c r="H1776" s="113">
        <v>0</v>
      </c>
      <c r="I1776" s="113">
        <v>0</v>
      </c>
      <c r="K1776" s="113">
        <v>0</v>
      </c>
      <c r="L1776" s="113">
        <v>2.2011999999999999E-3</v>
      </c>
      <c r="M1776" s="113">
        <v>0</v>
      </c>
      <c r="N1776" s="113">
        <v>0</v>
      </c>
      <c r="O1776" s="114" t="s">
        <v>1286</v>
      </c>
    </row>
    <row r="1777" spans="1:15" x14ac:dyDescent="0.25">
      <c r="A1777" s="113" t="s">
        <v>54</v>
      </c>
      <c r="B1777" s="113" t="s">
        <v>99</v>
      </c>
      <c r="C1777" s="113">
        <v>3630</v>
      </c>
      <c r="D1777" s="113">
        <v>11200.1</v>
      </c>
      <c r="E1777" s="113">
        <v>100</v>
      </c>
      <c r="F1777" s="113" t="s">
        <v>100</v>
      </c>
      <c r="G1777" s="113" t="s">
        <v>100</v>
      </c>
      <c r="H1777" s="113">
        <v>0</v>
      </c>
      <c r="I1777" s="113">
        <v>0</v>
      </c>
      <c r="K1777" s="113">
        <v>0</v>
      </c>
      <c r="L1777" s="113">
        <v>1.6050999999999999E-2</v>
      </c>
      <c r="M1777" s="113">
        <v>0</v>
      </c>
      <c r="N1777" s="113">
        <v>0</v>
      </c>
      <c r="O1777" s="114" t="s">
        <v>1287</v>
      </c>
    </row>
    <row r="1778" spans="1:15" x14ac:dyDescent="0.25">
      <c r="A1778" s="113" t="s">
        <v>54</v>
      </c>
      <c r="B1778" s="113" t="s">
        <v>99</v>
      </c>
      <c r="C1778" s="113">
        <v>3630</v>
      </c>
      <c r="D1778" s="113">
        <v>11200.1</v>
      </c>
      <c r="E1778" s="113">
        <v>1000</v>
      </c>
      <c r="F1778" s="113" t="s">
        <v>100</v>
      </c>
      <c r="G1778" s="113" t="s">
        <v>100</v>
      </c>
      <c r="H1778" s="113">
        <v>0</v>
      </c>
      <c r="I1778" s="113">
        <v>0</v>
      </c>
      <c r="K1778" s="113">
        <v>0</v>
      </c>
      <c r="L1778" s="113">
        <v>0.15978999999999999</v>
      </c>
      <c r="M1778" s="113">
        <v>0</v>
      </c>
      <c r="N1778" s="113">
        <v>0</v>
      </c>
      <c r="O1778" s="114" t="s">
        <v>1288</v>
      </c>
    </row>
    <row r="1779" spans="1:15" x14ac:dyDescent="0.25">
      <c r="A1779" s="113" t="s">
        <v>54</v>
      </c>
      <c r="B1779" s="113" t="s">
        <v>99</v>
      </c>
      <c r="C1779" s="113">
        <v>11200</v>
      </c>
      <c r="D1779" s="113">
        <v>20900</v>
      </c>
      <c r="E1779" s="113">
        <v>0.1</v>
      </c>
      <c r="F1779" s="113" t="s">
        <v>100</v>
      </c>
      <c r="G1779" s="113" t="s">
        <v>100</v>
      </c>
      <c r="H1779" s="113">
        <v>0</v>
      </c>
      <c r="I1779" s="113">
        <v>0</v>
      </c>
      <c r="K1779" s="113">
        <v>0</v>
      </c>
      <c r="L1779" s="113">
        <v>0.15978999999999999</v>
      </c>
      <c r="M1779" s="113">
        <v>0</v>
      </c>
      <c r="N1779" s="113">
        <v>0</v>
      </c>
      <c r="O1779" s="114" t="s">
        <v>1289</v>
      </c>
    </row>
    <row r="1780" spans="1:15" x14ac:dyDescent="0.25">
      <c r="A1780" s="113" t="s">
        <v>54</v>
      </c>
      <c r="B1780" s="113" t="s">
        <v>99</v>
      </c>
      <c r="C1780" s="113">
        <v>11200</v>
      </c>
      <c r="D1780" s="113">
        <v>20900</v>
      </c>
      <c r="E1780" s="113">
        <v>1</v>
      </c>
      <c r="F1780" s="113" t="s">
        <v>100</v>
      </c>
      <c r="G1780" s="113" t="s">
        <v>100</v>
      </c>
      <c r="H1780" s="113">
        <v>0</v>
      </c>
      <c r="I1780" s="113">
        <v>0</v>
      </c>
      <c r="K1780" s="113">
        <v>0</v>
      </c>
      <c r="L1780" s="113">
        <v>2.0999999999999999E-3</v>
      </c>
      <c r="M1780" s="113">
        <v>0</v>
      </c>
      <c r="N1780" s="113">
        <v>0</v>
      </c>
      <c r="O1780" s="114" t="s">
        <v>1290</v>
      </c>
    </row>
    <row r="1781" spans="1:15" x14ac:dyDescent="0.25">
      <c r="A1781" s="113" t="s">
        <v>54</v>
      </c>
      <c r="B1781" s="113" t="s">
        <v>99</v>
      </c>
      <c r="C1781" s="113">
        <v>11200</v>
      </c>
      <c r="D1781" s="113">
        <v>20900</v>
      </c>
      <c r="E1781" s="113">
        <v>10</v>
      </c>
      <c r="F1781" s="113" t="s">
        <v>100</v>
      </c>
      <c r="G1781" s="113" t="s">
        <v>100</v>
      </c>
      <c r="H1781" s="113">
        <v>0</v>
      </c>
      <c r="I1781" s="113">
        <v>0</v>
      </c>
      <c r="K1781" s="113">
        <v>0</v>
      </c>
      <c r="L1781" s="113">
        <v>2.0999999999999999E-3</v>
      </c>
      <c r="M1781" s="113">
        <v>0</v>
      </c>
      <c r="N1781" s="113">
        <v>0</v>
      </c>
      <c r="O1781" s="114" t="s">
        <v>1291</v>
      </c>
    </row>
    <row r="1782" spans="1:15" x14ac:dyDescent="0.25">
      <c r="A1782" s="113" t="s">
        <v>54</v>
      </c>
      <c r="B1782" s="113" t="s">
        <v>99</v>
      </c>
      <c r="C1782" s="113">
        <v>11200</v>
      </c>
      <c r="D1782" s="113">
        <v>20900</v>
      </c>
      <c r="E1782" s="113">
        <v>100</v>
      </c>
      <c r="F1782" s="113" t="s">
        <v>100</v>
      </c>
      <c r="G1782" s="113" t="s">
        <v>100</v>
      </c>
      <c r="H1782" s="113">
        <v>0</v>
      </c>
      <c r="I1782" s="113">
        <v>0</v>
      </c>
      <c r="K1782" s="113">
        <v>0</v>
      </c>
      <c r="L1782" s="113">
        <v>5.5465999999999996E-3</v>
      </c>
      <c r="M1782" s="113">
        <v>0</v>
      </c>
      <c r="N1782" s="113">
        <v>0</v>
      </c>
      <c r="O1782" s="114" t="s">
        <v>1292</v>
      </c>
    </row>
    <row r="1783" spans="1:15" x14ac:dyDescent="0.25">
      <c r="A1783" s="113" t="s">
        <v>54</v>
      </c>
      <c r="B1783" s="113" t="s">
        <v>99</v>
      </c>
      <c r="C1783" s="113">
        <v>11200</v>
      </c>
      <c r="D1783" s="113">
        <v>20900</v>
      </c>
      <c r="E1783" s="113">
        <v>1000</v>
      </c>
      <c r="F1783" s="113" t="s">
        <v>100</v>
      </c>
      <c r="G1783" s="113" t="s">
        <v>100</v>
      </c>
      <c r="H1783" s="113">
        <v>0</v>
      </c>
      <c r="I1783" s="113">
        <v>0</v>
      </c>
      <c r="K1783" s="113">
        <v>0</v>
      </c>
      <c r="L1783" s="113">
        <v>5.1733000000000001E-2</v>
      </c>
      <c r="M1783" s="113">
        <v>0</v>
      </c>
      <c r="N1783" s="113">
        <v>0</v>
      </c>
      <c r="O1783" s="114" t="s">
        <v>1293</v>
      </c>
    </row>
    <row r="1784" spans="1:15" x14ac:dyDescent="0.25">
      <c r="A1784" s="113" t="s">
        <v>54</v>
      </c>
      <c r="B1784" s="113" t="s">
        <v>99</v>
      </c>
      <c r="C1784" s="113">
        <v>20900</v>
      </c>
      <c r="D1784" s="113">
        <v>20901</v>
      </c>
      <c r="E1784" s="113">
        <v>0.1</v>
      </c>
      <c r="F1784" s="113" t="s">
        <v>100</v>
      </c>
      <c r="G1784" s="113" t="s">
        <v>100</v>
      </c>
      <c r="H1784" s="113">
        <v>0</v>
      </c>
      <c r="I1784" s="113">
        <v>0</v>
      </c>
      <c r="K1784" s="113">
        <v>0</v>
      </c>
      <c r="L1784" s="113">
        <v>0.15978999999999999</v>
      </c>
      <c r="M1784" s="113">
        <v>0</v>
      </c>
      <c r="N1784" s="113">
        <v>0</v>
      </c>
      <c r="O1784" s="114" t="s">
        <v>1294</v>
      </c>
    </row>
    <row r="1785" spans="1:15" x14ac:dyDescent="0.25">
      <c r="A1785" s="113" t="s">
        <v>54</v>
      </c>
      <c r="B1785" s="113" t="s">
        <v>99</v>
      </c>
      <c r="C1785" s="113">
        <v>20900</v>
      </c>
      <c r="D1785" s="113">
        <v>20901</v>
      </c>
      <c r="E1785" s="113">
        <v>1</v>
      </c>
      <c r="F1785" s="113" t="s">
        <v>100</v>
      </c>
      <c r="G1785" s="113" t="s">
        <v>100</v>
      </c>
      <c r="H1785" s="113">
        <v>0</v>
      </c>
      <c r="I1785" s="113">
        <v>0</v>
      </c>
      <c r="K1785" s="113">
        <v>0</v>
      </c>
      <c r="L1785" s="113">
        <v>2.0999999999999999E-3</v>
      </c>
      <c r="M1785" s="113">
        <v>0</v>
      </c>
      <c r="N1785" s="113">
        <v>0</v>
      </c>
      <c r="O1785" s="114" t="s">
        <v>1295</v>
      </c>
    </row>
    <row r="1786" spans="1:15" x14ac:dyDescent="0.25">
      <c r="A1786" s="113" t="s">
        <v>54</v>
      </c>
      <c r="B1786" s="113" t="s">
        <v>99</v>
      </c>
      <c r="C1786" s="113">
        <v>20900</v>
      </c>
      <c r="D1786" s="113">
        <v>20901</v>
      </c>
      <c r="E1786" s="113">
        <v>10</v>
      </c>
      <c r="F1786" s="113" t="s">
        <v>100</v>
      </c>
      <c r="G1786" s="113" t="s">
        <v>100</v>
      </c>
      <c r="H1786" s="113">
        <v>0</v>
      </c>
      <c r="I1786" s="113">
        <v>0</v>
      </c>
      <c r="K1786" s="113">
        <v>0</v>
      </c>
      <c r="L1786" s="113">
        <v>2.0999999999999999E-3</v>
      </c>
      <c r="M1786" s="113">
        <v>0</v>
      </c>
      <c r="N1786" s="113">
        <v>0</v>
      </c>
      <c r="O1786" s="114" t="s">
        <v>1296</v>
      </c>
    </row>
    <row r="1787" spans="1:15" x14ac:dyDescent="0.25">
      <c r="A1787" s="113" t="s">
        <v>54</v>
      </c>
      <c r="B1787" s="113" t="s">
        <v>99</v>
      </c>
      <c r="C1787" s="113">
        <v>20900</v>
      </c>
      <c r="D1787" s="113">
        <v>20901</v>
      </c>
      <c r="E1787" s="113">
        <v>100</v>
      </c>
      <c r="F1787" s="113" t="s">
        <v>100</v>
      </c>
      <c r="G1787" s="113" t="s">
        <v>100</v>
      </c>
      <c r="H1787" s="113">
        <v>0</v>
      </c>
      <c r="I1787" s="113">
        <v>0</v>
      </c>
      <c r="K1787" s="113">
        <v>0</v>
      </c>
      <c r="L1787" s="113">
        <v>5.5465999999999996E-3</v>
      </c>
      <c r="M1787" s="113">
        <v>0</v>
      </c>
      <c r="N1787" s="113">
        <v>0</v>
      </c>
      <c r="O1787" s="114" t="s">
        <v>1297</v>
      </c>
    </row>
    <row r="1788" spans="1:15" x14ac:dyDescent="0.25">
      <c r="A1788" s="113" t="s">
        <v>54</v>
      </c>
      <c r="B1788" s="113" t="s">
        <v>99</v>
      </c>
      <c r="C1788" s="113">
        <v>20900</v>
      </c>
      <c r="D1788" s="113">
        <v>20901</v>
      </c>
      <c r="E1788" s="113">
        <v>1000</v>
      </c>
      <c r="F1788" s="113" t="s">
        <v>100</v>
      </c>
      <c r="G1788" s="113" t="s">
        <v>100</v>
      </c>
      <c r="H1788" s="113">
        <v>0</v>
      </c>
      <c r="I1788" s="113">
        <v>0</v>
      </c>
      <c r="K1788" s="113">
        <v>0</v>
      </c>
      <c r="L1788" s="113">
        <v>5.1733000000000001E-2</v>
      </c>
      <c r="M1788" s="113">
        <v>0</v>
      </c>
      <c r="N1788" s="113">
        <v>0</v>
      </c>
      <c r="O1788" s="114" t="s">
        <v>1298</v>
      </c>
    </row>
    <row r="1789" spans="1:15" x14ac:dyDescent="0.25">
      <c r="A1789" s="113" t="s">
        <v>54</v>
      </c>
      <c r="B1789" s="113" t="s">
        <v>14</v>
      </c>
      <c r="C1789" s="113">
        <v>2.1999999999999999E-10</v>
      </c>
      <c r="D1789" s="113">
        <v>3.3000000000000002E-9</v>
      </c>
      <c r="E1789" s="113">
        <v>1E-13</v>
      </c>
      <c r="F1789" s="113" t="s">
        <v>140</v>
      </c>
      <c r="G1789" s="113" t="s">
        <v>15</v>
      </c>
      <c r="H1789" s="113">
        <v>0</v>
      </c>
      <c r="I1789" s="113">
        <v>0</v>
      </c>
      <c r="K1789" s="113">
        <v>1.2E-2</v>
      </c>
      <c r="L1789" s="113">
        <v>5800000</v>
      </c>
      <c r="M1789" s="113">
        <v>1.155E-2</v>
      </c>
      <c r="N1789" s="113">
        <v>5775200</v>
      </c>
      <c r="O1789" s="114" t="s">
        <v>1160</v>
      </c>
    </row>
    <row r="1790" spans="1:15" x14ac:dyDescent="0.25">
      <c r="A1790" s="113" t="s">
        <v>54</v>
      </c>
      <c r="B1790" s="113" t="s">
        <v>14</v>
      </c>
      <c r="C1790" s="113">
        <v>2.1999999999999999E-10</v>
      </c>
      <c r="D1790" s="113">
        <v>3.3000000000000002E-9</v>
      </c>
      <c r="E1790" s="113">
        <v>9.9999999999999998E-13</v>
      </c>
      <c r="F1790" s="113" t="s">
        <v>140</v>
      </c>
      <c r="G1790" s="113" t="s">
        <v>15</v>
      </c>
      <c r="H1790" s="113">
        <v>0</v>
      </c>
      <c r="I1790" s="113">
        <v>0</v>
      </c>
      <c r="K1790" s="113">
        <v>1.2E-2</v>
      </c>
      <c r="L1790" s="113">
        <v>5800000</v>
      </c>
      <c r="M1790" s="113">
        <v>1.1563E-2</v>
      </c>
      <c r="N1790" s="113">
        <v>5772800</v>
      </c>
      <c r="O1790" s="114" t="s">
        <v>1161</v>
      </c>
    </row>
    <row r="1791" spans="1:15" x14ac:dyDescent="0.25">
      <c r="A1791" s="113" t="s">
        <v>54</v>
      </c>
      <c r="B1791" s="113" t="s">
        <v>14</v>
      </c>
      <c r="C1791" s="113">
        <v>2.1999999999999999E-10</v>
      </c>
      <c r="D1791" s="113">
        <v>3.3000000000000002E-9</v>
      </c>
      <c r="E1791" s="113">
        <v>9.9999999999999994E-12</v>
      </c>
      <c r="F1791" s="113" t="s">
        <v>140</v>
      </c>
      <c r="G1791" s="113" t="s">
        <v>15</v>
      </c>
      <c r="H1791" s="113">
        <v>0</v>
      </c>
      <c r="I1791" s="113">
        <v>0</v>
      </c>
      <c r="K1791" s="113">
        <v>1.2845000000000001E-2</v>
      </c>
      <c r="L1791" s="113">
        <v>5547800</v>
      </c>
      <c r="M1791" s="113">
        <v>1.2838E-2</v>
      </c>
      <c r="N1791" s="113">
        <v>5547800</v>
      </c>
      <c r="O1791" s="114" t="s">
        <v>1162</v>
      </c>
    </row>
    <row r="1792" spans="1:15" x14ac:dyDescent="0.25">
      <c r="A1792" s="113" t="s">
        <v>54</v>
      </c>
      <c r="B1792" s="113" t="s">
        <v>14</v>
      </c>
      <c r="C1792" s="113">
        <v>2.1999999999999999E-10</v>
      </c>
      <c r="D1792" s="113">
        <v>3.3000000000000002E-9</v>
      </c>
      <c r="E1792" s="113">
        <v>1E-10</v>
      </c>
      <c r="F1792" s="113" t="s">
        <v>140</v>
      </c>
      <c r="G1792" s="113" t="s">
        <v>15</v>
      </c>
      <c r="H1792" s="113">
        <v>0</v>
      </c>
      <c r="I1792" s="113">
        <v>0</v>
      </c>
      <c r="K1792" s="113">
        <v>5.8705E-2</v>
      </c>
      <c r="L1792" s="113">
        <v>2016900</v>
      </c>
      <c r="M1792" s="113">
        <v>5.8698E-2</v>
      </c>
      <c r="N1792" s="113">
        <v>2014500</v>
      </c>
      <c r="O1792" s="114" t="s">
        <v>1163</v>
      </c>
    </row>
    <row r="1793" spans="1:15" x14ac:dyDescent="0.25">
      <c r="A1793" s="113" t="s">
        <v>54</v>
      </c>
      <c r="B1793" s="113" t="s">
        <v>14</v>
      </c>
      <c r="C1793" s="113">
        <v>2.1999999999999999E-10</v>
      </c>
      <c r="D1793" s="113">
        <v>3.3000000000000002E-9</v>
      </c>
      <c r="E1793" s="113">
        <v>1.0000000000000001E-9</v>
      </c>
      <c r="F1793" s="113" t="s">
        <v>140</v>
      </c>
      <c r="G1793" s="113" t="s">
        <v>15</v>
      </c>
      <c r="H1793" s="113">
        <v>0</v>
      </c>
      <c r="I1793" s="113">
        <v>0</v>
      </c>
      <c r="K1793" s="113">
        <v>0.57745000000000002</v>
      </c>
      <c r="L1793" s="113">
        <v>218190</v>
      </c>
      <c r="M1793" s="113">
        <v>0.57745000000000002</v>
      </c>
      <c r="N1793" s="113">
        <v>217000</v>
      </c>
      <c r="O1793" s="114" t="s">
        <v>1164</v>
      </c>
    </row>
    <row r="1794" spans="1:15" x14ac:dyDescent="0.25">
      <c r="A1794" s="113" t="s">
        <v>54</v>
      </c>
      <c r="B1794" s="113" t="s">
        <v>14</v>
      </c>
      <c r="C1794" s="113">
        <v>3.3000000000000002E-9</v>
      </c>
      <c r="D1794" s="113">
        <v>1.0999999999999999E-8</v>
      </c>
      <c r="E1794" s="113">
        <v>9.9999999999999998E-13</v>
      </c>
      <c r="F1794" s="113" t="s">
        <v>140</v>
      </c>
      <c r="G1794" s="113" t="s">
        <v>15</v>
      </c>
      <c r="H1794" s="113">
        <v>0</v>
      </c>
      <c r="I1794" s="113">
        <v>0</v>
      </c>
      <c r="K1794" s="113">
        <v>1.2E-2</v>
      </c>
      <c r="L1794" s="113">
        <v>2900000</v>
      </c>
      <c r="M1794" s="113">
        <v>1.1575999999999999E-2</v>
      </c>
      <c r="N1794" s="113">
        <v>2885200</v>
      </c>
      <c r="O1794" s="114" t="s">
        <v>1165</v>
      </c>
    </row>
    <row r="1795" spans="1:15" x14ac:dyDescent="0.25">
      <c r="A1795" s="113" t="s">
        <v>54</v>
      </c>
      <c r="B1795" s="113" t="s">
        <v>14</v>
      </c>
      <c r="C1795" s="113">
        <v>3.3000000000000002E-9</v>
      </c>
      <c r="D1795" s="113">
        <v>1.0999999999999999E-8</v>
      </c>
      <c r="E1795" s="113">
        <v>9.9999999999999994E-12</v>
      </c>
      <c r="F1795" s="113" t="s">
        <v>140</v>
      </c>
      <c r="G1795" s="113" t="s">
        <v>15</v>
      </c>
      <c r="H1795" s="113">
        <v>0</v>
      </c>
      <c r="I1795" s="113">
        <v>0</v>
      </c>
      <c r="K1795" s="113">
        <v>1.2482E-2</v>
      </c>
      <c r="L1795" s="113">
        <v>2856200</v>
      </c>
      <c r="M1795" s="113">
        <v>1.2511E-2</v>
      </c>
      <c r="N1795" s="113">
        <v>2834700</v>
      </c>
      <c r="O1795" s="114" t="s">
        <v>1166</v>
      </c>
    </row>
    <row r="1796" spans="1:15" x14ac:dyDescent="0.25">
      <c r="A1796" s="113" t="s">
        <v>54</v>
      </c>
      <c r="B1796" s="113" t="s">
        <v>14</v>
      </c>
      <c r="C1796" s="113">
        <v>3.3000000000000002E-9</v>
      </c>
      <c r="D1796" s="113">
        <v>1.0999999999999999E-8</v>
      </c>
      <c r="E1796" s="113">
        <v>1E-10</v>
      </c>
      <c r="F1796" s="113" t="s">
        <v>140</v>
      </c>
      <c r="G1796" s="113" t="s">
        <v>15</v>
      </c>
      <c r="H1796" s="113">
        <v>0</v>
      </c>
      <c r="I1796" s="113">
        <v>0</v>
      </c>
      <c r="K1796" s="113">
        <v>5.6911000000000003E-2</v>
      </c>
      <c r="L1796" s="113">
        <v>1398700</v>
      </c>
      <c r="M1796" s="113">
        <v>5.6877999999999998E-2</v>
      </c>
      <c r="N1796" s="113">
        <v>1390600</v>
      </c>
      <c r="O1796" s="114" t="s">
        <v>1167</v>
      </c>
    </row>
    <row r="1797" spans="1:15" x14ac:dyDescent="0.25">
      <c r="A1797" s="113" t="s">
        <v>54</v>
      </c>
      <c r="B1797" s="113" t="s">
        <v>14</v>
      </c>
      <c r="C1797" s="113">
        <v>3.3000000000000002E-9</v>
      </c>
      <c r="D1797" s="113">
        <v>1.0999999999999999E-8</v>
      </c>
      <c r="E1797" s="113">
        <v>1.0000000000000001E-9</v>
      </c>
      <c r="F1797" s="113" t="s">
        <v>140</v>
      </c>
      <c r="G1797" s="113" t="s">
        <v>15</v>
      </c>
      <c r="H1797" s="113">
        <v>0</v>
      </c>
      <c r="I1797" s="113">
        <v>0</v>
      </c>
      <c r="K1797" s="113">
        <v>0.57721999999999996</v>
      </c>
      <c r="L1797" s="113">
        <v>165280</v>
      </c>
      <c r="M1797" s="113">
        <v>0.57721</v>
      </c>
      <c r="N1797" s="113">
        <v>160660</v>
      </c>
      <c r="O1797" s="114" t="s">
        <v>1168</v>
      </c>
    </row>
    <row r="1798" spans="1:15" x14ac:dyDescent="0.25">
      <c r="A1798" s="113" t="s">
        <v>54</v>
      </c>
      <c r="B1798" s="113" t="s">
        <v>14</v>
      </c>
      <c r="C1798" s="113">
        <v>1.0999999999999999E-8</v>
      </c>
      <c r="D1798" s="113">
        <v>3.2999999999999998E-8</v>
      </c>
      <c r="E1798" s="113">
        <v>9.9999999999999998E-13</v>
      </c>
      <c r="F1798" s="113" t="s">
        <v>140</v>
      </c>
      <c r="G1798" s="113" t="s">
        <v>15</v>
      </c>
      <c r="H1798" s="113">
        <v>0</v>
      </c>
      <c r="I1798" s="113">
        <v>0</v>
      </c>
      <c r="K1798" s="113">
        <v>0.12</v>
      </c>
      <c r="L1798" s="113">
        <v>2900000</v>
      </c>
      <c r="M1798" s="113">
        <v>0.11547</v>
      </c>
      <c r="N1798" s="113">
        <v>2886700</v>
      </c>
      <c r="O1798" s="114" t="s">
        <v>1169</v>
      </c>
    </row>
    <row r="1799" spans="1:15" x14ac:dyDescent="0.25">
      <c r="A1799" s="113" t="s">
        <v>54</v>
      </c>
      <c r="B1799" s="113" t="s">
        <v>14</v>
      </c>
      <c r="C1799" s="113">
        <v>1.0999999999999999E-8</v>
      </c>
      <c r="D1799" s="113">
        <v>3.2999999999999998E-8</v>
      </c>
      <c r="E1799" s="113">
        <v>9.9999999999999994E-12</v>
      </c>
      <c r="F1799" s="113" t="s">
        <v>140</v>
      </c>
      <c r="G1799" s="113" t="s">
        <v>15</v>
      </c>
      <c r="H1799" s="113">
        <v>0</v>
      </c>
      <c r="I1799" s="113">
        <v>0</v>
      </c>
      <c r="K1799" s="113">
        <v>0.12</v>
      </c>
      <c r="L1799" s="113">
        <v>2900000</v>
      </c>
      <c r="M1799" s="113">
        <v>0.11561</v>
      </c>
      <c r="N1799" s="113">
        <v>2885200</v>
      </c>
      <c r="O1799" s="114" t="s">
        <v>1170</v>
      </c>
    </row>
    <row r="1800" spans="1:15" x14ac:dyDescent="0.25">
      <c r="A1800" s="113" t="s">
        <v>54</v>
      </c>
      <c r="B1800" s="113" t="s">
        <v>14</v>
      </c>
      <c r="C1800" s="113">
        <v>1.0999999999999999E-8</v>
      </c>
      <c r="D1800" s="113">
        <v>3.2999999999999998E-8</v>
      </c>
      <c r="E1800" s="113">
        <v>1E-10</v>
      </c>
      <c r="F1800" s="113" t="s">
        <v>140</v>
      </c>
      <c r="G1800" s="113" t="s">
        <v>15</v>
      </c>
      <c r="H1800" s="113">
        <v>0</v>
      </c>
      <c r="I1800" s="113">
        <v>0</v>
      </c>
      <c r="K1800" s="113">
        <v>0.12801000000000001</v>
      </c>
      <c r="L1800" s="113">
        <v>2745100</v>
      </c>
      <c r="M1800" s="113">
        <v>0.12797</v>
      </c>
      <c r="N1800" s="113">
        <v>2743500</v>
      </c>
      <c r="O1800" s="114" t="s">
        <v>1171</v>
      </c>
    </row>
    <row r="1801" spans="1:15" x14ac:dyDescent="0.25">
      <c r="A1801" s="113" t="s">
        <v>54</v>
      </c>
      <c r="B1801" s="113" t="s">
        <v>14</v>
      </c>
      <c r="C1801" s="113">
        <v>1.0999999999999999E-8</v>
      </c>
      <c r="D1801" s="113">
        <v>3.2999999999999998E-8</v>
      </c>
      <c r="E1801" s="113">
        <v>1.0000000000000001E-9</v>
      </c>
      <c r="F1801" s="113" t="s">
        <v>140</v>
      </c>
      <c r="G1801" s="113" t="s">
        <v>15</v>
      </c>
      <c r="H1801" s="113">
        <v>0</v>
      </c>
      <c r="I1801" s="113">
        <v>0</v>
      </c>
      <c r="K1801" s="113">
        <v>0.58647000000000005</v>
      </c>
      <c r="L1801" s="113">
        <v>856770</v>
      </c>
      <c r="M1801" s="113">
        <v>0.58643999999999996</v>
      </c>
      <c r="N1801" s="113">
        <v>853690</v>
      </c>
      <c r="O1801" s="114" t="s">
        <v>1172</v>
      </c>
    </row>
    <row r="1802" spans="1:15" x14ac:dyDescent="0.25">
      <c r="A1802" s="113" t="s">
        <v>54</v>
      </c>
      <c r="B1802" s="113" t="s">
        <v>14</v>
      </c>
      <c r="C1802" s="113">
        <v>1.0999999999999999E-8</v>
      </c>
      <c r="D1802" s="113">
        <v>3.2999999999999998E-8</v>
      </c>
      <c r="E1802" s="113">
        <v>1E-8</v>
      </c>
      <c r="F1802" s="113" t="s">
        <v>140</v>
      </c>
      <c r="G1802" s="113" t="s">
        <v>15</v>
      </c>
      <c r="H1802" s="113">
        <v>0</v>
      </c>
      <c r="I1802" s="113">
        <v>0</v>
      </c>
      <c r="K1802" s="113">
        <v>5.7744999999999997</v>
      </c>
      <c r="L1802" s="113">
        <v>853270</v>
      </c>
      <c r="M1802" s="113">
        <v>5.7744</v>
      </c>
      <c r="N1802" s="113">
        <v>89445</v>
      </c>
      <c r="O1802" s="114" t="s">
        <v>1173</v>
      </c>
    </row>
    <row r="1803" spans="1:15" x14ac:dyDescent="0.25">
      <c r="A1803" s="113" t="s">
        <v>54</v>
      </c>
      <c r="B1803" s="113" t="s">
        <v>14</v>
      </c>
      <c r="C1803" s="113">
        <v>3.2999999999999998E-8</v>
      </c>
      <c r="D1803" s="113">
        <v>1.1000000000000001E-7</v>
      </c>
      <c r="E1803" s="113">
        <v>9.9999999999999994E-12</v>
      </c>
      <c r="F1803" s="113" t="s">
        <v>140</v>
      </c>
      <c r="G1803" s="113" t="s">
        <v>15</v>
      </c>
      <c r="H1803" s="113">
        <v>0</v>
      </c>
      <c r="I1803" s="113">
        <v>0</v>
      </c>
      <c r="K1803" s="113">
        <v>0.12</v>
      </c>
      <c r="L1803" s="113">
        <v>2900000</v>
      </c>
      <c r="M1803" s="113">
        <v>0.11565</v>
      </c>
      <c r="N1803" s="113">
        <v>2886200</v>
      </c>
      <c r="O1803" s="114" t="s">
        <v>1174</v>
      </c>
    </row>
    <row r="1804" spans="1:15" x14ac:dyDescent="0.25">
      <c r="A1804" s="113" t="s">
        <v>54</v>
      </c>
      <c r="B1804" s="113" t="s">
        <v>14</v>
      </c>
      <c r="C1804" s="113">
        <v>3.2999999999999998E-8</v>
      </c>
      <c r="D1804" s="113">
        <v>1.1000000000000001E-7</v>
      </c>
      <c r="E1804" s="113">
        <v>1E-10</v>
      </c>
      <c r="F1804" s="113" t="s">
        <v>140</v>
      </c>
      <c r="G1804" s="113" t="s">
        <v>15</v>
      </c>
      <c r="H1804" s="113">
        <v>0</v>
      </c>
      <c r="I1804" s="113">
        <v>0</v>
      </c>
      <c r="K1804" s="113">
        <v>0.12459000000000001</v>
      </c>
      <c r="L1804" s="113">
        <v>2858300</v>
      </c>
      <c r="M1804" s="113">
        <v>0.125</v>
      </c>
      <c r="N1804" s="113">
        <v>2835700</v>
      </c>
      <c r="O1804" s="114" t="s">
        <v>1175</v>
      </c>
    </row>
    <row r="1805" spans="1:15" x14ac:dyDescent="0.25">
      <c r="A1805" s="113" t="s">
        <v>54</v>
      </c>
      <c r="B1805" s="113" t="s">
        <v>14</v>
      </c>
      <c r="C1805" s="113">
        <v>3.2999999999999998E-8</v>
      </c>
      <c r="D1805" s="113">
        <v>1.1000000000000001E-7</v>
      </c>
      <c r="E1805" s="113">
        <v>1.0000000000000001E-9</v>
      </c>
      <c r="F1805" s="113" t="s">
        <v>140</v>
      </c>
      <c r="G1805" s="113" t="s">
        <v>15</v>
      </c>
      <c r="H1805" s="113">
        <v>0</v>
      </c>
      <c r="I1805" s="113">
        <v>0</v>
      </c>
      <c r="K1805" s="113">
        <v>0.56898000000000004</v>
      </c>
      <c r="L1805" s="113">
        <v>1398000</v>
      </c>
      <c r="M1805" s="113">
        <v>0.56874000000000002</v>
      </c>
      <c r="N1805" s="113">
        <v>1390900</v>
      </c>
      <c r="O1805" s="114" t="s">
        <v>1176</v>
      </c>
    </row>
    <row r="1806" spans="1:15" x14ac:dyDescent="0.25">
      <c r="A1806" s="113" t="s">
        <v>54</v>
      </c>
      <c r="B1806" s="113" t="s">
        <v>14</v>
      </c>
      <c r="C1806" s="113">
        <v>3.2999999999999998E-8</v>
      </c>
      <c r="D1806" s="113">
        <v>1.1000000000000001E-7</v>
      </c>
      <c r="E1806" s="113">
        <v>1E-8</v>
      </c>
      <c r="F1806" s="113" t="s">
        <v>140</v>
      </c>
      <c r="G1806" s="113" t="s">
        <v>15</v>
      </c>
      <c r="H1806" s="113">
        <v>0</v>
      </c>
      <c r="I1806" s="113">
        <v>0</v>
      </c>
      <c r="K1806" s="113">
        <v>5.7721999999999998</v>
      </c>
      <c r="L1806" s="113">
        <v>164700</v>
      </c>
      <c r="M1806" s="113">
        <v>5.7721</v>
      </c>
      <c r="N1806" s="113">
        <v>160690</v>
      </c>
      <c r="O1806" s="114" t="s">
        <v>1177</v>
      </c>
    </row>
    <row r="1807" spans="1:15" x14ac:dyDescent="0.25">
      <c r="A1807" s="113" t="s">
        <v>54</v>
      </c>
      <c r="B1807" s="113" t="s">
        <v>14</v>
      </c>
      <c r="C1807" s="113">
        <v>1.1000000000000001E-7</v>
      </c>
      <c r="D1807" s="113">
        <v>3.3000000000000002E-7</v>
      </c>
      <c r="E1807" s="113">
        <v>9.9999999999999994E-12</v>
      </c>
      <c r="F1807" s="113" t="s">
        <v>140</v>
      </c>
      <c r="G1807" s="113" t="s">
        <v>15</v>
      </c>
      <c r="H1807" s="113">
        <v>0</v>
      </c>
      <c r="I1807" s="113">
        <v>0</v>
      </c>
      <c r="K1807" s="113">
        <v>0.35</v>
      </c>
      <c r="L1807" s="113">
        <v>2900000</v>
      </c>
      <c r="M1807" s="113">
        <v>0.34649000000000002</v>
      </c>
      <c r="N1807" s="113">
        <v>2886700</v>
      </c>
      <c r="O1807" s="114" t="s">
        <v>1178</v>
      </c>
    </row>
    <row r="1808" spans="1:15" x14ac:dyDescent="0.25">
      <c r="A1808" s="113" t="s">
        <v>54</v>
      </c>
      <c r="B1808" s="113" t="s">
        <v>14</v>
      </c>
      <c r="C1808" s="113">
        <v>1.1000000000000001E-7</v>
      </c>
      <c r="D1808" s="113">
        <v>3.3000000000000002E-7</v>
      </c>
      <c r="E1808" s="113">
        <v>1E-10</v>
      </c>
      <c r="F1808" s="113" t="s">
        <v>140</v>
      </c>
      <c r="G1808" s="113" t="s">
        <v>15</v>
      </c>
      <c r="H1808" s="113">
        <v>0</v>
      </c>
      <c r="I1808" s="113">
        <v>0</v>
      </c>
      <c r="K1808" s="113">
        <v>0.35</v>
      </c>
      <c r="L1808" s="113">
        <v>2900000</v>
      </c>
      <c r="M1808" s="113">
        <v>0.34958</v>
      </c>
      <c r="N1808" s="113">
        <v>2881200</v>
      </c>
      <c r="O1808" s="114" t="s">
        <v>1179</v>
      </c>
    </row>
    <row r="1809" spans="1:15" x14ac:dyDescent="0.25">
      <c r="A1809" s="113" t="s">
        <v>54</v>
      </c>
      <c r="B1809" s="113" t="s">
        <v>14</v>
      </c>
      <c r="C1809" s="113">
        <v>1.1000000000000001E-7</v>
      </c>
      <c r="D1809" s="113">
        <v>3.3000000000000002E-7</v>
      </c>
      <c r="E1809" s="113">
        <v>1.0000000000000001E-9</v>
      </c>
      <c r="F1809" s="113" t="s">
        <v>140</v>
      </c>
      <c r="G1809" s="113" t="s">
        <v>15</v>
      </c>
      <c r="H1809" s="113">
        <v>0</v>
      </c>
      <c r="I1809" s="113">
        <v>0</v>
      </c>
      <c r="K1809" s="113">
        <v>0.60931000000000002</v>
      </c>
      <c r="L1809" s="113">
        <v>2463100</v>
      </c>
      <c r="M1809" s="113">
        <v>0.60906000000000005</v>
      </c>
      <c r="N1809" s="113">
        <v>2462300</v>
      </c>
      <c r="O1809" s="114" t="s">
        <v>1180</v>
      </c>
    </row>
    <row r="1810" spans="1:15" x14ac:dyDescent="0.25">
      <c r="A1810" s="113" t="s">
        <v>54</v>
      </c>
      <c r="B1810" s="113" t="s">
        <v>14</v>
      </c>
      <c r="C1810" s="113">
        <v>1.1000000000000001E-7</v>
      </c>
      <c r="D1810" s="113">
        <v>3.3000000000000002E-7</v>
      </c>
      <c r="E1810" s="113">
        <v>1E-8</v>
      </c>
      <c r="F1810" s="113" t="s">
        <v>140</v>
      </c>
      <c r="G1810" s="113" t="s">
        <v>15</v>
      </c>
      <c r="H1810" s="113">
        <v>0</v>
      </c>
      <c r="I1810" s="113">
        <v>0</v>
      </c>
      <c r="K1810" s="113">
        <v>5.7584999999999997</v>
      </c>
      <c r="L1810" s="113">
        <v>484500</v>
      </c>
      <c r="M1810" s="113">
        <v>5.7584999999999997</v>
      </c>
      <c r="N1810" s="113">
        <v>483140</v>
      </c>
      <c r="O1810" s="114" t="s">
        <v>1181</v>
      </c>
    </row>
    <row r="1811" spans="1:15" x14ac:dyDescent="0.25">
      <c r="A1811" s="113" t="s">
        <v>54</v>
      </c>
      <c r="B1811" s="113" t="s">
        <v>14</v>
      </c>
      <c r="C1811" s="113">
        <v>3.3000000000000002E-7</v>
      </c>
      <c r="D1811" s="113">
        <v>1.1000000000000001E-6</v>
      </c>
      <c r="E1811" s="113">
        <v>1E-10</v>
      </c>
      <c r="F1811" s="113" t="s">
        <v>140</v>
      </c>
      <c r="G1811" s="113" t="s">
        <v>15</v>
      </c>
      <c r="H1811" s="113">
        <v>0</v>
      </c>
      <c r="I1811" s="113">
        <v>0</v>
      </c>
      <c r="K1811" s="113">
        <v>1.2</v>
      </c>
      <c r="L1811" s="113">
        <v>2900000</v>
      </c>
      <c r="M1811" s="113">
        <v>1.1566000000000001</v>
      </c>
      <c r="N1811" s="113">
        <v>2886200</v>
      </c>
      <c r="O1811" s="114" t="s">
        <v>1182</v>
      </c>
    </row>
    <row r="1812" spans="1:15" x14ac:dyDescent="0.25">
      <c r="A1812" s="113" t="s">
        <v>54</v>
      </c>
      <c r="B1812" s="113" t="s">
        <v>14</v>
      </c>
      <c r="C1812" s="113">
        <v>3.3000000000000002E-7</v>
      </c>
      <c r="D1812" s="113">
        <v>1.1000000000000001E-6</v>
      </c>
      <c r="E1812" s="113">
        <v>1.0000000000000001E-9</v>
      </c>
      <c r="F1812" s="113" t="s">
        <v>140</v>
      </c>
      <c r="G1812" s="113" t="s">
        <v>15</v>
      </c>
      <c r="H1812" s="113">
        <v>0</v>
      </c>
      <c r="I1812" s="113">
        <v>0</v>
      </c>
      <c r="K1812" s="113">
        <v>1.2438</v>
      </c>
      <c r="L1812" s="113">
        <v>2860200</v>
      </c>
      <c r="M1812" s="113">
        <v>1.2501</v>
      </c>
      <c r="N1812" s="113">
        <v>2835600</v>
      </c>
      <c r="O1812" s="114" t="s">
        <v>1183</v>
      </c>
    </row>
    <row r="1813" spans="1:15" x14ac:dyDescent="0.25">
      <c r="A1813" s="113" t="s">
        <v>54</v>
      </c>
      <c r="B1813" s="113" t="s">
        <v>14</v>
      </c>
      <c r="C1813" s="113">
        <v>3.3000000000000002E-7</v>
      </c>
      <c r="D1813" s="113">
        <v>1.1000000000000001E-6</v>
      </c>
      <c r="E1813" s="113">
        <v>1E-8</v>
      </c>
      <c r="F1813" s="113" t="s">
        <v>140</v>
      </c>
      <c r="G1813" s="113" t="s">
        <v>15</v>
      </c>
      <c r="H1813" s="113">
        <v>0</v>
      </c>
      <c r="I1813" s="113">
        <v>0</v>
      </c>
      <c r="K1813" s="113">
        <v>5.6890999999999998</v>
      </c>
      <c r="L1813" s="113">
        <v>1394000</v>
      </c>
      <c r="M1813" s="113">
        <v>5.6874000000000002</v>
      </c>
      <c r="N1813" s="113">
        <v>1390900</v>
      </c>
      <c r="O1813" s="114" t="s">
        <v>1184</v>
      </c>
    </row>
    <row r="1814" spans="1:15" x14ac:dyDescent="0.25">
      <c r="A1814" s="113" t="s">
        <v>54</v>
      </c>
      <c r="B1814" s="113" t="s">
        <v>14</v>
      </c>
      <c r="C1814" s="113">
        <v>3.3000000000000002E-7</v>
      </c>
      <c r="D1814" s="113">
        <v>1.1001000000000001E-6</v>
      </c>
      <c r="E1814" s="113">
        <v>9.9999999999999995E-8</v>
      </c>
      <c r="F1814" s="113" t="s">
        <v>140</v>
      </c>
      <c r="G1814" s="113" t="s">
        <v>15</v>
      </c>
      <c r="H1814" s="113">
        <v>0</v>
      </c>
      <c r="I1814" s="113">
        <v>0</v>
      </c>
      <c r="K1814" s="113">
        <v>57.722000000000001</v>
      </c>
      <c r="L1814" s="113">
        <v>162480</v>
      </c>
      <c r="M1814" s="113">
        <v>57.720999999999997</v>
      </c>
      <c r="N1814" s="113">
        <v>160690</v>
      </c>
      <c r="O1814" s="114" t="s">
        <v>1185</v>
      </c>
    </row>
    <row r="1815" spans="1:15" x14ac:dyDescent="0.25">
      <c r="A1815" s="113" t="s">
        <v>54</v>
      </c>
      <c r="B1815" s="113" t="s">
        <v>14</v>
      </c>
      <c r="C1815" s="113">
        <v>1.1000000000000001E-6</v>
      </c>
      <c r="D1815" s="113">
        <v>3.3001E-6</v>
      </c>
      <c r="E1815" s="113">
        <v>1E-10</v>
      </c>
      <c r="F1815" s="113" t="s">
        <v>140</v>
      </c>
      <c r="G1815" s="113" t="s">
        <v>15</v>
      </c>
      <c r="H1815" s="113">
        <v>0</v>
      </c>
      <c r="I1815" s="113">
        <v>0</v>
      </c>
      <c r="K1815" s="113">
        <v>3.5</v>
      </c>
      <c r="L1815" s="113">
        <v>2900000</v>
      </c>
      <c r="M1815" s="113">
        <v>3.4649000000000001</v>
      </c>
      <c r="N1815" s="113">
        <v>2886700</v>
      </c>
      <c r="O1815" s="114" t="s">
        <v>1186</v>
      </c>
    </row>
    <row r="1816" spans="1:15" x14ac:dyDescent="0.25">
      <c r="A1816" s="113" t="s">
        <v>54</v>
      </c>
      <c r="B1816" s="113" t="s">
        <v>14</v>
      </c>
      <c r="C1816" s="113">
        <v>1.1000000000000001E-6</v>
      </c>
      <c r="D1816" s="113">
        <v>3.3001E-6</v>
      </c>
      <c r="E1816" s="113">
        <v>1.0000000000000001E-9</v>
      </c>
      <c r="F1816" s="113" t="s">
        <v>140</v>
      </c>
      <c r="G1816" s="113" t="s">
        <v>15</v>
      </c>
      <c r="H1816" s="113">
        <v>0</v>
      </c>
      <c r="I1816" s="113">
        <v>0</v>
      </c>
      <c r="K1816" s="113">
        <v>3.5</v>
      </c>
      <c r="L1816" s="113">
        <v>2900000</v>
      </c>
      <c r="M1816" s="113">
        <v>3.4958</v>
      </c>
      <c r="N1816" s="113">
        <v>2881200</v>
      </c>
      <c r="O1816" s="114" t="s">
        <v>1187</v>
      </c>
    </row>
    <row r="1817" spans="1:15" x14ac:dyDescent="0.25">
      <c r="A1817" s="113" t="s">
        <v>54</v>
      </c>
      <c r="B1817" s="113" t="s">
        <v>14</v>
      </c>
      <c r="C1817" s="113">
        <v>1.1000000000000001E-6</v>
      </c>
      <c r="D1817" s="113">
        <v>3.3001E-6</v>
      </c>
      <c r="E1817" s="113">
        <v>1E-8</v>
      </c>
      <c r="F1817" s="113" t="s">
        <v>140</v>
      </c>
      <c r="G1817" s="113" t="s">
        <v>15</v>
      </c>
      <c r="H1817" s="113">
        <v>0</v>
      </c>
      <c r="I1817" s="113">
        <v>0</v>
      </c>
      <c r="K1817" s="113">
        <v>6.0937000000000001</v>
      </c>
      <c r="L1817" s="113">
        <v>2463200</v>
      </c>
      <c r="M1817" s="113">
        <v>6.0906000000000002</v>
      </c>
      <c r="N1817" s="113">
        <v>2462300</v>
      </c>
      <c r="O1817" s="114" t="s">
        <v>1188</v>
      </c>
    </row>
    <row r="1818" spans="1:15" x14ac:dyDescent="0.25">
      <c r="A1818" s="113" t="s">
        <v>54</v>
      </c>
      <c r="B1818" s="113" t="s">
        <v>14</v>
      </c>
      <c r="C1818" s="113">
        <v>1.1000000000000001E-6</v>
      </c>
      <c r="D1818" s="113">
        <v>3.3001E-6</v>
      </c>
      <c r="E1818" s="113">
        <v>9.9999999999999995E-8</v>
      </c>
      <c r="F1818" s="113" t="s">
        <v>140</v>
      </c>
      <c r="G1818" s="113" t="s">
        <v>15</v>
      </c>
      <c r="H1818" s="113">
        <v>0</v>
      </c>
      <c r="I1818" s="113">
        <v>0</v>
      </c>
      <c r="K1818" s="113">
        <v>57.585000000000001</v>
      </c>
      <c r="L1818" s="113">
        <v>484680</v>
      </c>
      <c r="M1818" s="113">
        <v>57.585000000000001</v>
      </c>
      <c r="N1818" s="113">
        <v>483140</v>
      </c>
      <c r="O1818" s="114" t="s">
        <v>1189</v>
      </c>
    </row>
    <row r="1819" spans="1:15" x14ac:dyDescent="0.25">
      <c r="A1819" s="113" t="s">
        <v>54</v>
      </c>
      <c r="B1819" s="113" t="s">
        <v>14</v>
      </c>
      <c r="C1819" s="113">
        <v>3.3000000000000002E-6</v>
      </c>
      <c r="D1819" s="113">
        <v>1.1001E-5</v>
      </c>
      <c r="E1819" s="113">
        <v>1.0000000000000001E-9</v>
      </c>
      <c r="F1819" s="113" t="s">
        <v>140</v>
      </c>
      <c r="G1819" s="113" t="s">
        <v>15</v>
      </c>
      <c r="H1819" s="113">
        <v>0</v>
      </c>
      <c r="I1819" s="113">
        <v>0</v>
      </c>
      <c r="K1819" s="113">
        <v>12</v>
      </c>
      <c r="L1819" s="113">
        <v>2900000</v>
      </c>
      <c r="M1819" s="113">
        <v>11.566000000000001</v>
      </c>
      <c r="N1819" s="113">
        <v>2886200</v>
      </c>
      <c r="O1819" s="114" t="s">
        <v>1190</v>
      </c>
    </row>
    <row r="1820" spans="1:15" x14ac:dyDescent="0.25">
      <c r="A1820" s="113" t="s">
        <v>54</v>
      </c>
      <c r="B1820" s="113" t="s">
        <v>14</v>
      </c>
      <c r="C1820" s="113">
        <v>3.3000000000000002E-6</v>
      </c>
      <c r="D1820" s="113">
        <v>1.1001E-5</v>
      </c>
      <c r="E1820" s="113">
        <v>1E-8</v>
      </c>
      <c r="F1820" s="113" t="s">
        <v>140</v>
      </c>
      <c r="G1820" s="113" t="s">
        <v>15</v>
      </c>
      <c r="H1820" s="113">
        <v>0</v>
      </c>
      <c r="I1820" s="113">
        <v>0</v>
      </c>
      <c r="K1820" s="113">
        <v>12.429</v>
      </c>
      <c r="L1820" s="113">
        <v>2861100</v>
      </c>
      <c r="M1820" s="113">
        <v>12.500999999999999</v>
      </c>
      <c r="N1820" s="113">
        <v>2835600</v>
      </c>
      <c r="O1820" s="114" t="s">
        <v>1191</v>
      </c>
    </row>
    <row r="1821" spans="1:15" x14ac:dyDescent="0.25">
      <c r="A1821" s="113" t="s">
        <v>54</v>
      </c>
      <c r="B1821" s="113" t="s">
        <v>14</v>
      </c>
      <c r="C1821" s="113">
        <v>3.3000000000000002E-6</v>
      </c>
      <c r="D1821" s="113">
        <v>1.1001E-5</v>
      </c>
      <c r="E1821" s="113">
        <v>9.9999999999999995E-8</v>
      </c>
      <c r="F1821" s="113" t="s">
        <v>140</v>
      </c>
      <c r="G1821" s="113" t="s">
        <v>15</v>
      </c>
      <c r="H1821" s="113">
        <v>0</v>
      </c>
      <c r="I1821" s="113">
        <v>0</v>
      </c>
      <c r="K1821" s="113">
        <v>56.88</v>
      </c>
      <c r="L1821" s="113">
        <v>1394300</v>
      </c>
      <c r="M1821" s="113">
        <v>56.874000000000002</v>
      </c>
      <c r="N1821" s="113">
        <v>1390900</v>
      </c>
      <c r="O1821" s="114" t="s">
        <v>1192</v>
      </c>
    </row>
    <row r="1822" spans="1:15" x14ac:dyDescent="0.25">
      <c r="A1822" s="113" t="s">
        <v>54</v>
      </c>
      <c r="B1822" s="113" t="s">
        <v>14</v>
      </c>
      <c r="C1822" s="113">
        <v>3.3000000000000002E-6</v>
      </c>
      <c r="D1822" s="113">
        <v>1.1001E-5</v>
      </c>
      <c r="E1822" s="113">
        <v>9.9999999999999995E-7</v>
      </c>
      <c r="F1822" s="113" t="s">
        <v>140</v>
      </c>
      <c r="G1822" s="113" t="s">
        <v>15</v>
      </c>
      <c r="H1822" s="113">
        <v>0</v>
      </c>
      <c r="I1822" s="113">
        <v>0</v>
      </c>
      <c r="K1822" s="113">
        <v>577.21</v>
      </c>
      <c r="L1822" s="113">
        <v>162540</v>
      </c>
      <c r="M1822" s="113">
        <v>577.21</v>
      </c>
      <c r="N1822" s="113">
        <v>160690</v>
      </c>
      <c r="O1822" s="114" t="s">
        <v>1193</v>
      </c>
    </row>
    <row r="1823" spans="1:15" x14ac:dyDescent="0.25">
      <c r="A1823" s="113" t="s">
        <v>54</v>
      </c>
      <c r="B1823" s="113" t="s">
        <v>14</v>
      </c>
      <c r="C1823" s="113">
        <v>1.1E-5</v>
      </c>
      <c r="D1823" s="113">
        <v>3.3000999999999998E-5</v>
      </c>
      <c r="E1823" s="113">
        <v>1.0000000000000001E-9</v>
      </c>
      <c r="F1823" s="113" t="s">
        <v>140</v>
      </c>
      <c r="G1823" s="113" t="s">
        <v>15</v>
      </c>
      <c r="H1823" s="113">
        <v>0</v>
      </c>
      <c r="I1823" s="113">
        <v>0</v>
      </c>
      <c r="K1823" s="113">
        <v>36</v>
      </c>
      <c r="L1823" s="113">
        <v>4600000</v>
      </c>
      <c r="M1823" s="113">
        <v>34.648000000000003</v>
      </c>
      <c r="N1823" s="113">
        <v>4618700</v>
      </c>
      <c r="O1823" s="114" t="s">
        <v>1194</v>
      </c>
    </row>
    <row r="1824" spans="1:15" x14ac:dyDescent="0.25">
      <c r="A1824" s="113" t="s">
        <v>54</v>
      </c>
      <c r="B1824" s="113" t="s">
        <v>14</v>
      </c>
      <c r="C1824" s="113">
        <v>1.1E-5</v>
      </c>
      <c r="D1824" s="113">
        <v>3.3000999999999998E-5</v>
      </c>
      <c r="E1824" s="113">
        <v>1E-8</v>
      </c>
      <c r="F1824" s="113" t="s">
        <v>140</v>
      </c>
      <c r="G1824" s="113" t="s">
        <v>15</v>
      </c>
      <c r="H1824" s="113">
        <v>0</v>
      </c>
      <c r="I1824" s="113">
        <v>0</v>
      </c>
      <c r="K1824" s="113">
        <v>36</v>
      </c>
      <c r="L1824" s="113">
        <v>4600000</v>
      </c>
      <c r="M1824" s="113">
        <v>34.893999999999998</v>
      </c>
      <c r="N1824" s="113">
        <v>4613900</v>
      </c>
      <c r="O1824" s="114" t="s">
        <v>1195</v>
      </c>
    </row>
    <row r="1825" spans="1:15" x14ac:dyDescent="0.25">
      <c r="A1825" s="113" t="s">
        <v>54</v>
      </c>
      <c r="B1825" s="113" t="s">
        <v>14</v>
      </c>
      <c r="C1825" s="113">
        <v>1.1E-5</v>
      </c>
      <c r="D1825" s="113">
        <v>3.3000999999999998E-5</v>
      </c>
      <c r="E1825" s="113">
        <v>9.9999999999999995E-8</v>
      </c>
      <c r="F1825" s="113" t="s">
        <v>140</v>
      </c>
      <c r="G1825" s="113" t="s">
        <v>15</v>
      </c>
      <c r="H1825" s="113">
        <v>0</v>
      </c>
      <c r="I1825" s="113">
        <v>0</v>
      </c>
      <c r="K1825" s="113">
        <v>56.814</v>
      </c>
      <c r="L1825" s="113">
        <v>4211300</v>
      </c>
      <c r="M1825" s="113">
        <v>56.808</v>
      </c>
      <c r="N1825" s="113">
        <v>4211000</v>
      </c>
      <c r="O1825" s="114" t="s">
        <v>1196</v>
      </c>
    </row>
    <row r="1826" spans="1:15" x14ac:dyDescent="0.25">
      <c r="A1826" s="113" t="s">
        <v>54</v>
      </c>
      <c r="B1826" s="113" t="s">
        <v>14</v>
      </c>
      <c r="C1826" s="113">
        <v>1.1E-5</v>
      </c>
      <c r="D1826" s="113">
        <v>3.3000999999999998E-5</v>
      </c>
      <c r="E1826" s="113">
        <v>9.9999999999999995E-7</v>
      </c>
      <c r="F1826" s="113" t="s">
        <v>140</v>
      </c>
      <c r="G1826" s="113" t="s">
        <v>15</v>
      </c>
      <c r="H1826" s="113">
        <v>0</v>
      </c>
      <c r="I1826" s="113">
        <v>0</v>
      </c>
      <c r="K1826" s="113">
        <v>572.02</v>
      </c>
      <c r="L1826" s="113">
        <v>1057800</v>
      </c>
      <c r="M1826" s="113">
        <v>572.02</v>
      </c>
      <c r="N1826" s="113">
        <v>1057200</v>
      </c>
      <c r="O1826" s="114" t="s">
        <v>1197</v>
      </c>
    </row>
    <row r="1827" spans="1:15" x14ac:dyDescent="0.25">
      <c r="A1827" s="113" t="s">
        <v>54</v>
      </c>
      <c r="B1827" s="113" t="s">
        <v>14</v>
      </c>
      <c r="C1827" s="113">
        <v>3.3000000000000003E-5</v>
      </c>
      <c r="D1827" s="113">
        <v>1.1001E-4</v>
      </c>
      <c r="E1827" s="113">
        <v>1E-8</v>
      </c>
      <c r="F1827" s="113" t="s">
        <v>140</v>
      </c>
      <c r="G1827" s="113" t="s">
        <v>15</v>
      </c>
      <c r="H1827" s="113">
        <v>0</v>
      </c>
      <c r="I1827" s="113">
        <v>0</v>
      </c>
      <c r="K1827" s="113">
        <v>120</v>
      </c>
      <c r="L1827" s="113">
        <v>5200000</v>
      </c>
      <c r="M1827" s="113">
        <v>115.61</v>
      </c>
      <c r="N1827" s="113">
        <v>5195600</v>
      </c>
      <c r="O1827" s="114" t="s">
        <v>1198</v>
      </c>
    </row>
    <row r="1828" spans="1:15" x14ac:dyDescent="0.25">
      <c r="A1828" s="113" t="s">
        <v>54</v>
      </c>
      <c r="B1828" s="113" t="s">
        <v>14</v>
      </c>
      <c r="C1828" s="113">
        <v>3.3000000000000003E-5</v>
      </c>
      <c r="D1828" s="113">
        <v>1.1001E-4</v>
      </c>
      <c r="E1828" s="113">
        <v>9.9999999999999995E-8</v>
      </c>
      <c r="F1828" s="113" t="s">
        <v>140</v>
      </c>
      <c r="G1828" s="113" t="s">
        <v>15</v>
      </c>
      <c r="H1828" s="113">
        <v>0</v>
      </c>
      <c r="I1828" s="113">
        <v>0</v>
      </c>
      <c r="K1828" s="113">
        <v>121.85</v>
      </c>
      <c r="L1828" s="113">
        <v>5183200</v>
      </c>
      <c r="M1828" s="113">
        <v>122.72</v>
      </c>
      <c r="N1828" s="113">
        <v>5152800</v>
      </c>
      <c r="O1828" s="114" t="s">
        <v>1199</v>
      </c>
    </row>
    <row r="1829" spans="1:15" x14ac:dyDescent="0.25">
      <c r="A1829" s="113" t="s">
        <v>54</v>
      </c>
      <c r="B1829" s="113" t="s">
        <v>14</v>
      </c>
      <c r="C1829" s="113">
        <v>3.3000000000000003E-5</v>
      </c>
      <c r="D1829" s="113">
        <v>1.1001E-4</v>
      </c>
      <c r="E1829" s="113">
        <v>9.9999999999999995E-7</v>
      </c>
      <c r="F1829" s="113" t="s">
        <v>140</v>
      </c>
      <c r="G1829" s="113" t="s">
        <v>15</v>
      </c>
      <c r="H1829" s="113">
        <v>0</v>
      </c>
      <c r="I1829" s="113">
        <v>0</v>
      </c>
      <c r="K1829" s="113">
        <v>536.63</v>
      </c>
      <c r="L1829" s="113">
        <v>3284200</v>
      </c>
      <c r="M1829" s="113">
        <v>536.45000000000005</v>
      </c>
      <c r="N1829" s="113">
        <v>3282000</v>
      </c>
      <c r="O1829" s="114" t="s">
        <v>1200</v>
      </c>
    </row>
    <row r="1830" spans="1:15" x14ac:dyDescent="0.25">
      <c r="A1830" s="113" t="s">
        <v>54</v>
      </c>
      <c r="B1830" s="113" t="s">
        <v>14</v>
      </c>
      <c r="C1830" s="113">
        <v>3.3000000000000003E-5</v>
      </c>
      <c r="D1830" s="113">
        <v>1.1001E-4</v>
      </c>
      <c r="E1830" s="113">
        <v>1.0000000000000001E-5</v>
      </c>
      <c r="F1830" s="113" t="s">
        <v>140</v>
      </c>
      <c r="G1830" s="113" t="s">
        <v>15</v>
      </c>
      <c r="H1830" s="113">
        <v>0</v>
      </c>
      <c r="I1830" s="113">
        <v>0</v>
      </c>
      <c r="K1830" s="113">
        <v>5766.3</v>
      </c>
      <c r="L1830" s="113">
        <v>438500</v>
      </c>
      <c r="M1830" s="113">
        <v>5766.3</v>
      </c>
      <c r="N1830" s="113">
        <v>436530</v>
      </c>
      <c r="O1830" s="114" t="s">
        <v>1201</v>
      </c>
    </row>
    <row r="1831" spans="1:15" x14ac:dyDescent="0.25">
      <c r="A1831" s="113" t="s">
        <v>54</v>
      </c>
      <c r="B1831" s="113" t="s">
        <v>14</v>
      </c>
      <c r="C1831" s="113">
        <v>1.1E-4</v>
      </c>
      <c r="D1831" s="113">
        <v>3.3000999999999999E-4</v>
      </c>
      <c r="E1831" s="113">
        <v>1E-8</v>
      </c>
      <c r="F1831" s="113" t="s">
        <v>140</v>
      </c>
      <c r="G1831" s="113" t="s">
        <v>16</v>
      </c>
      <c r="H1831" s="113">
        <v>0</v>
      </c>
      <c r="I1831" s="113">
        <v>0</v>
      </c>
      <c r="K1831" s="113">
        <v>0.35</v>
      </c>
      <c r="L1831" s="113">
        <v>5200</v>
      </c>
      <c r="M1831" s="113">
        <v>0.34612999999999999</v>
      </c>
      <c r="N1831" s="113">
        <v>5199.8</v>
      </c>
      <c r="O1831" s="114" t="s">
        <v>1202</v>
      </c>
    </row>
    <row r="1832" spans="1:15" x14ac:dyDescent="0.25">
      <c r="A1832" s="113" t="s">
        <v>54</v>
      </c>
      <c r="B1832" s="113" t="s">
        <v>14</v>
      </c>
      <c r="C1832" s="113">
        <v>1.1E-4</v>
      </c>
      <c r="D1832" s="113">
        <v>3.3000999999999999E-4</v>
      </c>
      <c r="E1832" s="113">
        <v>9.9999999999999995E-8</v>
      </c>
      <c r="F1832" s="113" t="s">
        <v>140</v>
      </c>
      <c r="G1832" s="113" t="s">
        <v>16</v>
      </c>
      <c r="H1832" s="113">
        <v>0</v>
      </c>
      <c r="I1832" s="113">
        <v>0</v>
      </c>
      <c r="K1832" s="113">
        <v>0.35</v>
      </c>
      <c r="L1832" s="113">
        <v>5200</v>
      </c>
      <c r="M1832" s="113">
        <v>0.34836</v>
      </c>
      <c r="N1832" s="113">
        <v>5195.3</v>
      </c>
      <c r="O1832" s="114" t="s">
        <v>1203</v>
      </c>
    </row>
    <row r="1833" spans="1:15" x14ac:dyDescent="0.25">
      <c r="A1833" s="113" t="s">
        <v>54</v>
      </c>
      <c r="B1833" s="113" t="s">
        <v>14</v>
      </c>
      <c r="C1833" s="113">
        <v>1.1E-4</v>
      </c>
      <c r="D1833" s="113">
        <v>3.3000999999999999E-4</v>
      </c>
      <c r="E1833" s="113">
        <v>9.9999999999999995E-7</v>
      </c>
      <c r="F1833" s="113" t="s">
        <v>140</v>
      </c>
      <c r="G1833" s="113" t="s">
        <v>16</v>
      </c>
      <c r="H1833" s="113">
        <v>0</v>
      </c>
      <c r="I1833" s="113">
        <v>0</v>
      </c>
      <c r="K1833" s="113">
        <v>0.55623</v>
      </c>
      <c r="L1833" s="113">
        <v>4803.8</v>
      </c>
      <c r="M1833" s="113">
        <v>0.55608000000000002</v>
      </c>
      <c r="N1833" s="113">
        <v>4803.7</v>
      </c>
      <c r="O1833" s="114" t="s">
        <v>1204</v>
      </c>
    </row>
    <row r="1834" spans="1:15" x14ac:dyDescent="0.25">
      <c r="A1834" s="113" t="s">
        <v>54</v>
      </c>
      <c r="B1834" s="113" t="s">
        <v>14</v>
      </c>
      <c r="C1834" s="113">
        <v>1.1E-4</v>
      </c>
      <c r="D1834" s="113">
        <v>3.3000999999999999E-4</v>
      </c>
      <c r="E1834" s="113">
        <v>1.0000000000000001E-5</v>
      </c>
      <c r="F1834" s="113" t="s">
        <v>140</v>
      </c>
      <c r="G1834" s="113" t="s">
        <v>16</v>
      </c>
      <c r="H1834" s="113">
        <v>0</v>
      </c>
      <c r="I1834" s="113">
        <v>0</v>
      </c>
      <c r="K1834" s="113">
        <v>5.7038000000000002</v>
      </c>
      <c r="L1834" s="113">
        <v>1294.4000000000001</v>
      </c>
      <c r="M1834" s="113">
        <v>5.7038000000000002</v>
      </c>
      <c r="N1834" s="113">
        <v>1293.8</v>
      </c>
      <c r="O1834" s="114" t="s">
        <v>1205</v>
      </c>
    </row>
    <row r="1835" spans="1:15" x14ac:dyDescent="0.25">
      <c r="A1835" s="113" t="s">
        <v>54</v>
      </c>
      <c r="B1835" s="113" t="s">
        <v>14</v>
      </c>
      <c r="C1835" s="113">
        <v>3.3E-4</v>
      </c>
      <c r="D1835" s="113">
        <v>1.1000999999999999E-3</v>
      </c>
      <c r="E1835" s="113">
        <v>9.9999999999999995E-8</v>
      </c>
      <c r="F1835" s="113" t="s">
        <v>140</v>
      </c>
      <c r="G1835" s="113" t="s">
        <v>16</v>
      </c>
      <c r="H1835" s="113">
        <v>0</v>
      </c>
      <c r="I1835" s="113">
        <v>0</v>
      </c>
      <c r="K1835" s="113">
        <v>1.2</v>
      </c>
      <c r="L1835" s="113">
        <v>5200</v>
      </c>
      <c r="M1835" s="113">
        <v>1.1557999999999999</v>
      </c>
      <c r="N1835" s="113">
        <v>5198.3</v>
      </c>
      <c r="O1835" s="114" t="s">
        <v>1206</v>
      </c>
    </row>
    <row r="1836" spans="1:15" x14ac:dyDescent="0.25">
      <c r="A1836" s="113" t="s">
        <v>54</v>
      </c>
      <c r="B1836" s="113" t="s">
        <v>14</v>
      </c>
      <c r="C1836" s="113">
        <v>3.3E-4</v>
      </c>
      <c r="D1836" s="113">
        <v>1.1000999999999999E-3</v>
      </c>
      <c r="E1836" s="113">
        <v>9.9999999999999995E-7</v>
      </c>
      <c r="F1836" s="113" t="s">
        <v>140</v>
      </c>
      <c r="G1836" s="113" t="s">
        <v>16</v>
      </c>
      <c r="H1836" s="113">
        <v>0</v>
      </c>
      <c r="I1836" s="113">
        <v>0</v>
      </c>
      <c r="K1836" s="113">
        <v>1.2193000000000001</v>
      </c>
      <c r="L1836" s="113">
        <v>5182.5</v>
      </c>
      <c r="M1836" s="113">
        <v>1.2267999999999999</v>
      </c>
      <c r="N1836" s="113">
        <v>5155.5</v>
      </c>
      <c r="O1836" s="114" t="s">
        <v>1207</v>
      </c>
    </row>
    <row r="1837" spans="1:15" x14ac:dyDescent="0.25">
      <c r="A1837" s="113" t="s">
        <v>54</v>
      </c>
      <c r="B1837" s="113" t="s">
        <v>14</v>
      </c>
      <c r="C1837" s="113">
        <v>3.3E-4</v>
      </c>
      <c r="D1837" s="113">
        <v>1.1000999999999999E-3</v>
      </c>
      <c r="E1837" s="113">
        <v>1.0000000000000001E-5</v>
      </c>
      <c r="F1837" s="113" t="s">
        <v>140</v>
      </c>
      <c r="G1837" s="113" t="s">
        <v>16</v>
      </c>
      <c r="H1837" s="113">
        <v>0</v>
      </c>
      <c r="I1837" s="113">
        <v>0</v>
      </c>
      <c r="K1837" s="113">
        <v>5.3658000000000001</v>
      </c>
      <c r="L1837" s="113">
        <v>3286.5</v>
      </c>
      <c r="M1837" s="113">
        <v>5.3640999999999996</v>
      </c>
      <c r="N1837" s="113">
        <v>3284.2</v>
      </c>
      <c r="O1837" s="114" t="s">
        <v>1208</v>
      </c>
    </row>
    <row r="1838" spans="1:15" x14ac:dyDescent="0.25">
      <c r="A1838" s="113" t="s">
        <v>54</v>
      </c>
      <c r="B1838" s="113" t="s">
        <v>14</v>
      </c>
      <c r="C1838" s="113">
        <v>3.3E-4</v>
      </c>
      <c r="D1838" s="113">
        <v>1.1000999999999999E-3</v>
      </c>
      <c r="E1838" s="113">
        <v>1E-4</v>
      </c>
      <c r="F1838" s="113" t="s">
        <v>140</v>
      </c>
      <c r="G1838" s="113" t="s">
        <v>16</v>
      </c>
      <c r="H1838" s="113">
        <v>0</v>
      </c>
      <c r="I1838" s="113">
        <v>0</v>
      </c>
      <c r="K1838" s="113">
        <v>57.662999999999997</v>
      </c>
      <c r="L1838" s="113">
        <v>438.86</v>
      </c>
      <c r="M1838" s="113">
        <v>57.662999999999997</v>
      </c>
      <c r="N1838" s="113">
        <v>436.89</v>
      </c>
      <c r="O1838" s="114" t="s">
        <v>1209</v>
      </c>
    </row>
    <row r="1839" spans="1:15" x14ac:dyDescent="0.25">
      <c r="A1839" s="113" t="s">
        <v>54</v>
      </c>
      <c r="B1839" s="113" t="s">
        <v>14</v>
      </c>
      <c r="C1839" s="113">
        <v>1.1000000000000001E-3</v>
      </c>
      <c r="D1839" s="113">
        <v>3.3000999999999998E-3</v>
      </c>
      <c r="E1839" s="113">
        <v>9.9999999999999995E-8</v>
      </c>
      <c r="F1839" s="113" t="s">
        <v>140</v>
      </c>
      <c r="G1839" s="113" t="s">
        <v>16</v>
      </c>
      <c r="H1839" s="113">
        <v>0</v>
      </c>
      <c r="I1839" s="113">
        <v>0</v>
      </c>
      <c r="K1839" s="113">
        <v>3.5</v>
      </c>
      <c r="L1839" s="113">
        <v>5200</v>
      </c>
      <c r="M1839" s="113">
        <v>3.4636</v>
      </c>
      <c r="N1839" s="113">
        <v>5198.8999999999996</v>
      </c>
      <c r="O1839" s="114" t="s">
        <v>1210</v>
      </c>
    </row>
    <row r="1840" spans="1:15" x14ac:dyDescent="0.25">
      <c r="A1840" s="113" t="s">
        <v>54</v>
      </c>
      <c r="B1840" s="113" t="s">
        <v>14</v>
      </c>
      <c r="C1840" s="113">
        <v>1.1000000000000001E-3</v>
      </c>
      <c r="D1840" s="113">
        <v>3.3000999999999998E-3</v>
      </c>
      <c r="E1840" s="113">
        <v>9.9999999999999995E-7</v>
      </c>
      <c r="F1840" s="113" t="s">
        <v>140</v>
      </c>
      <c r="G1840" s="113" t="s">
        <v>16</v>
      </c>
      <c r="H1840" s="113">
        <v>0</v>
      </c>
      <c r="I1840" s="113">
        <v>0</v>
      </c>
      <c r="K1840" s="113">
        <v>3.5</v>
      </c>
      <c r="L1840" s="113">
        <v>5200</v>
      </c>
      <c r="M1840" s="113">
        <v>3.4866000000000001</v>
      </c>
      <c r="N1840" s="113">
        <v>5194.3999999999996</v>
      </c>
      <c r="O1840" s="114" t="s">
        <v>1211</v>
      </c>
    </row>
    <row r="1841" spans="1:15" x14ac:dyDescent="0.25">
      <c r="A1841" s="113" t="s">
        <v>54</v>
      </c>
      <c r="B1841" s="113" t="s">
        <v>14</v>
      </c>
      <c r="C1841" s="113">
        <v>1.1000000000000001E-3</v>
      </c>
      <c r="D1841" s="113">
        <v>3.3000999999999998E-3</v>
      </c>
      <c r="E1841" s="113">
        <v>1.0000000000000001E-5</v>
      </c>
      <c r="F1841" s="113" t="s">
        <v>140</v>
      </c>
      <c r="G1841" s="113" t="s">
        <v>16</v>
      </c>
      <c r="H1841" s="113">
        <v>0</v>
      </c>
      <c r="I1841" s="113">
        <v>0</v>
      </c>
      <c r="K1841" s="113">
        <v>5.5761000000000003</v>
      </c>
      <c r="L1841" s="113">
        <v>4803.8999999999996</v>
      </c>
      <c r="M1841" s="113">
        <v>5.5633999999999997</v>
      </c>
      <c r="N1841" s="113">
        <v>4802.8999999999996</v>
      </c>
      <c r="O1841" s="114" t="s">
        <v>1212</v>
      </c>
    </row>
    <row r="1842" spans="1:15" x14ac:dyDescent="0.25">
      <c r="A1842" s="113" t="s">
        <v>54</v>
      </c>
      <c r="B1842" s="113" t="s">
        <v>14</v>
      </c>
      <c r="C1842" s="113">
        <v>1.1000000000000001E-3</v>
      </c>
      <c r="D1842" s="113">
        <v>3.3000999999999998E-3</v>
      </c>
      <c r="E1842" s="113">
        <v>1E-4</v>
      </c>
      <c r="F1842" s="113" t="s">
        <v>140</v>
      </c>
      <c r="G1842" s="113" t="s">
        <v>16</v>
      </c>
      <c r="H1842" s="113">
        <v>0</v>
      </c>
      <c r="I1842" s="113">
        <v>0</v>
      </c>
      <c r="K1842" s="113">
        <v>57.042999999999999</v>
      </c>
      <c r="L1842" s="113">
        <v>1299.0999999999999</v>
      </c>
      <c r="M1842" s="113">
        <v>57.037999999999997</v>
      </c>
      <c r="N1842" s="113">
        <v>1293.7</v>
      </c>
      <c r="O1842" s="114" t="s">
        <v>1213</v>
      </c>
    </row>
    <row r="1843" spans="1:15" x14ac:dyDescent="0.25">
      <c r="A1843" s="113" t="s">
        <v>54</v>
      </c>
      <c r="B1843" s="113" t="s">
        <v>14</v>
      </c>
      <c r="C1843" s="113">
        <v>3.3E-3</v>
      </c>
      <c r="D1843" s="113">
        <v>1.1001E-2</v>
      </c>
      <c r="E1843" s="113">
        <v>9.9999999999999995E-7</v>
      </c>
      <c r="F1843" s="113" t="s">
        <v>140</v>
      </c>
      <c r="G1843" s="113" t="s">
        <v>16</v>
      </c>
      <c r="H1843" s="113">
        <v>0</v>
      </c>
      <c r="I1843" s="113">
        <v>0</v>
      </c>
      <c r="K1843" s="113">
        <v>13</v>
      </c>
      <c r="L1843" s="113">
        <v>5200</v>
      </c>
      <c r="M1843" s="113">
        <v>12.076000000000001</v>
      </c>
      <c r="N1843" s="113">
        <v>5198.3</v>
      </c>
      <c r="O1843" s="114" t="s">
        <v>1214</v>
      </c>
    </row>
    <row r="1844" spans="1:15" x14ac:dyDescent="0.25">
      <c r="A1844" s="113" t="s">
        <v>54</v>
      </c>
      <c r="B1844" s="113" t="s">
        <v>14</v>
      </c>
      <c r="C1844" s="113">
        <v>3.3E-3</v>
      </c>
      <c r="D1844" s="113">
        <v>1.1001E-2</v>
      </c>
      <c r="E1844" s="113">
        <v>1.0000000000000001E-5</v>
      </c>
      <c r="F1844" s="113" t="s">
        <v>140</v>
      </c>
      <c r="G1844" s="113" t="s">
        <v>16</v>
      </c>
      <c r="H1844" s="113">
        <v>0</v>
      </c>
      <c r="I1844" s="113">
        <v>0</v>
      </c>
      <c r="K1844" s="113">
        <v>13</v>
      </c>
      <c r="L1844" s="113">
        <v>5200</v>
      </c>
      <c r="M1844" s="113">
        <v>12.712999999999999</v>
      </c>
      <c r="N1844" s="113">
        <v>5155.6000000000004</v>
      </c>
      <c r="O1844" s="114" t="s">
        <v>1215</v>
      </c>
    </row>
    <row r="1845" spans="1:15" x14ac:dyDescent="0.25">
      <c r="A1845" s="113" t="s">
        <v>54</v>
      </c>
      <c r="B1845" s="113" t="s">
        <v>14</v>
      </c>
      <c r="C1845" s="113">
        <v>3.3E-3</v>
      </c>
      <c r="D1845" s="113">
        <v>1.1001E-2</v>
      </c>
      <c r="E1845" s="113">
        <v>1E-4</v>
      </c>
      <c r="F1845" s="113" t="s">
        <v>140</v>
      </c>
      <c r="G1845" s="113" t="s">
        <v>16</v>
      </c>
      <c r="H1845" s="113">
        <v>0</v>
      </c>
      <c r="I1845" s="113">
        <v>0</v>
      </c>
      <c r="K1845" s="113">
        <v>53.665999999999997</v>
      </c>
      <c r="L1845" s="113">
        <v>3287.9</v>
      </c>
      <c r="M1845" s="113">
        <v>53.64</v>
      </c>
      <c r="N1845" s="113">
        <v>3284.3</v>
      </c>
      <c r="O1845" s="114" t="s">
        <v>1216</v>
      </c>
    </row>
    <row r="1846" spans="1:15" x14ac:dyDescent="0.25">
      <c r="A1846" s="113" t="s">
        <v>54</v>
      </c>
      <c r="B1846" s="113" t="s">
        <v>14</v>
      </c>
      <c r="C1846" s="113">
        <v>3.3E-3</v>
      </c>
      <c r="D1846" s="113">
        <v>1.1001E-2</v>
      </c>
      <c r="E1846" s="113">
        <v>1E-3</v>
      </c>
      <c r="F1846" s="113" t="s">
        <v>140</v>
      </c>
      <c r="G1846" s="113" t="s">
        <v>16</v>
      </c>
      <c r="H1846" s="113">
        <v>0</v>
      </c>
      <c r="I1846" s="113">
        <v>0</v>
      </c>
      <c r="K1846" s="113">
        <v>576.63</v>
      </c>
      <c r="L1846" s="113">
        <v>439.99</v>
      </c>
      <c r="M1846" s="113">
        <v>576.63</v>
      </c>
      <c r="N1846" s="113">
        <v>436.9</v>
      </c>
      <c r="O1846" s="114" t="s">
        <v>1217</v>
      </c>
    </row>
    <row r="1847" spans="1:15" x14ac:dyDescent="0.25">
      <c r="A1847" s="113" t="s">
        <v>54</v>
      </c>
      <c r="B1847" s="113" t="s">
        <v>14</v>
      </c>
      <c r="C1847" s="113">
        <v>1.0999999999999999E-2</v>
      </c>
      <c r="D1847" s="113">
        <v>3.3001000000000003E-2</v>
      </c>
      <c r="E1847" s="113">
        <v>9.9999999999999995E-7</v>
      </c>
      <c r="F1847" s="113" t="s">
        <v>140</v>
      </c>
      <c r="G1847" s="113" t="s">
        <v>16</v>
      </c>
      <c r="H1847" s="113">
        <v>0</v>
      </c>
      <c r="I1847" s="113">
        <v>0</v>
      </c>
      <c r="K1847" s="113">
        <v>35</v>
      </c>
      <c r="L1847" s="113">
        <v>8700</v>
      </c>
      <c r="M1847" s="113">
        <v>34.642000000000003</v>
      </c>
      <c r="N1847" s="113">
        <v>8661.9</v>
      </c>
      <c r="O1847" s="114" t="s">
        <v>1218</v>
      </c>
    </row>
    <row r="1848" spans="1:15" x14ac:dyDescent="0.25">
      <c r="A1848" s="113" t="s">
        <v>54</v>
      </c>
      <c r="B1848" s="113" t="s">
        <v>14</v>
      </c>
      <c r="C1848" s="113">
        <v>1.0999999999999999E-2</v>
      </c>
      <c r="D1848" s="113">
        <v>3.3001000000000003E-2</v>
      </c>
      <c r="E1848" s="113">
        <v>1.0000000000000001E-5</v>
      </c>
      <c r="F1848" s="113" t="s">
        <v>140</v>
      </c>
      <c r="G1848" s="113" t="s">
        <v>16</v>
      </c>
      <c r="H1848" s="113">
        <v>0</v>
      </c>
      <c r="I1848" s="113">
        <v>0</v>
      </c>
      <c r="K1848" s="113">
        <v>35</v>
      </c>
      <c r="L1848" s="113">
        <v>8700</v>
      </c>
      <c r="M1848" s="113">
        <v>34.805999999999997</v>
      </c>
      <c r="N1848" s="113">
        <v>8658.5</v>
      </c>
      <c r="O1848" s="114" t="s">
        <v>1219</v>
      </c>
    </row>
    <row r="1849" spans="1:15" x14ac:dyDescent="0.25">
      <c r="A1849" s="113" t="s">
        <v>54</v>
      </c>
      <c r="B1849" s="113" t="s">
        <v>14</v>
      </c>
      <c r="C1849" s="113">
        <v>1.0999999999999999E-2</v>
      </c>
      <c r="D1849" s="113">
        <v>3.3001000000000003E-2</v>
      </c>
      <c r="E1849" s="113">
        <v>1E-4</v>
      </c>
      <c r="F1849" s="113" t="s">
        <v>140</v>
      </c>
      <c r="G1849" s="113" t="s">
        <v>16</v>
      </c>
      <c r="H1849" s="113">
        <v>0</v>
      </c>
      <c r="I1849" s="113">
        <v>0</v>
      </c>
      <c r="K1849" s="113">
        <v>50.508000000000003</v>
      </c>
      <c r="L1849" s="113">
        <v>8339.7000000000007</v>
      </c>
      <c r="M1849" s="113">
        <v>50.436999999999998</v>
      </c>
      <c r="N1849" s="113">
        <v>8339.6</v>
      </c>
      <c r="O1849" s="114" t="s">
        <v>1220</v>
      </c>
    </row>
    <row r="1850" spans="1:15" x14ac:dyDescent="0.25">
      <c r="A1850" s="113" t="s">
        <v>54</v>
      </c>
      <c r="B1850" s="113" t="s">
        <v>14</v>
      </c>
      <c r="C1850" s="113">
        <v>1.0999999999999999E-2</v>
      </c>
      <c r="D1850" s="113">
        <v>3.3001000000000003E-2</v>
      </c>
      <c r="E1850" s="113">
        <v>1E-3</v>
      </c>
      <c r="F1850" s="113" t="s">
        <v>140</v>
      </c>
      <c r="G1850" s="113" t="s">
        <v>16</v>
      </c>
      <c r="H1850" s="113">
        <v>0</v>
      </c>
      <c r="I1850" s="113">
        <v>0</v>
      </c>
      <c r="K1850" s="113">
        <v>557.54999999999995</v>
      </c>
      <c r="L1850" s="113">
        <v>3119.3</v>
      </c>
      <c r="M1850" s="113">
        <v>557.52</v>
      </c>
      <c r="N1850" s="113">
        <v>3115.8</v>
      </c>
      <c r="O1850" s="114" t="s">
        <v>1221</v>
      </c>
    </row>
    <row r="1851" spans="1:15" x14ac:dyDescent="0.25">
      <c r="A1851" s="113" t="s">
        <v>54</v>
      </c>
      <c r="B1851" s="113" t="s">
        <v>14</v>
      </c>
      <c r="C1851" s="113">
        <v>3.3000000000000002E-2</v>
      </c>
      <c r="D1851" s="113">
        <v>0.11001</v>
      </c>
      <c r="E1851" s="113">
        <v>1.0000000000000001E-5</v>
      </c>
      <c r="F1851" s="113" t="s">
        <v>140</v>
      </c>
      <c r="G1851" s="113" t="s">
        <v>64</v>
      </c>
      <c r="H1851" s="113">
        <v>0</v>
      </c>
      <c r="I1851" s="113">
        <v>0</v>
      </c>
      <c r="K1851" s="113">
        <v>120</v>
      </c>
      <c r="L1851" s="113">
        <v>13000</v>
      </c>
      <c r="M1851" s="113">
        <v>115.63</v>
      </c>
      <c r="N1851" s="113">
        <v>12701</v>
      </c>
      <c r="O1851" s="114" t="s">
        <v>1222</v>
      </c>
    </row>
    <row r="1852" spans="1:15" x14ac:dyDescent="0.25">
      <c r="A1852" s="113" t="s">
        <v>54</v>
      </c>
      <c r="B1852" s="113" t="s">
        <v>14</v>
      </c>
      <c r="C1852" s="113">
        <v>3.3000000000000002E-2</v>
      </c>
      <c r="D1852" s="113">
        <v>0.11001</v>
      </c>
      <c r="E1852" s="113">
        <v>1E-4</v>
      </c>
      <c r="F1852" s="113" t="s">
        <v>140</v>
      </c>
      <c r="G1852" s="113" t="s">
        <v>64</v>
      </c>
      <c r="H1852" s="113">
        <v>0</v>
      </c>
      <c r="I1852" s="113">
        <v>0</v>
      </c>
      <c r="K1852" s="113">
        <v>120</v>
      </c>
      <c r="L1852" s="113">
        <v>13000</v>
      </c>
      <c r="M1852" s="113">
        <v>119.5</v>
      </c>
      <c r="N1852" s="113">
        <v>12676</v>
      </c>
      <c r="O1852" s="114" t="s">
        <v>1223</v>
      </c>
    </row>
    <row r="1853" spans="1:15" x14ac:dyDescent="0.25">
      <c r="A1853" s="113" t="s">
        <v>54</v>
      </c>
      <c r="B1853" s="113" t="s">
        <v>14</v>
      </c>
      <c r="C1853" s="113">
        <v>3.3000000000000002E-2</v>
      </c>
      <c r="D1853" s="113">
        <v>0.11001</v>
      </c>
      <c r="E1853" s="113">
        <v>1E-3</v>
      </c>
      <c r="F1853" s="113" t="s">
        <v>140</v>
      </c>
      <c r="G1853" s="113" t="s">
        <v>64</v>
      </c>
      <c r="H1853" s="113">
        <v>0</v>
      </c>
      <c r="I1853" s="113">
        <v>0</v>
      </c>
      <c r="K1853" s="113">
        <v>430.99</v>
      </c>
      <c r="L1853" s="113">
        <v>10809</v>
      </c>
      <c r="M1853" s="113">
        <v>430.28</v>
      </c>
      <c r="N1853" s="113">
        <v>10808</v>
      </c>
      <c r="O1853" s="114" t="s">
        <v>1224</v>
      </c>
    </row>
    <row r="1854" spans="1:15" x14ac:dyDescent="0.25">
      <c r="A1854" s="113" t="s">
        <v>54</v>
      </c>
      <c r="B1854" s="113" t="s">
        <v>14</v>
      </c>
      <c r="C1854" s="113">
        <v>3.3000000000000002E-2</v>
      </c>
      <c r="D1854" s="113">
        <v>0.11001</v>
      </c>
      <c r="E1854" s="113">
        <v>0.01</v>
      </c>
      <c r="F1854" s="113" t="s">
        <v>140</v>
      </c>
      <c r="G1854" s="113" t="s">
        <v>64</v>
      </c>
      <c r="H1854" s="113">
        <v>0</v>
      </c>
      <c r="I1854" s="113">
        <v>0</v>
      </c>
      <c r="K1854" s="113">
        <v>5725.6</v>
      </c>
      <c r="L1854" s="113">
        <v>2215.6</v>
      </c>
      <c r="M1854" s="113">
        <v>5725.3</v>
      </c>
      <c r="N1854" s="113">
        <v>2210.1</v>
      </c>
      <c r="O1854" s="114" t="s">
        <v>1225</v>
      </c>
    </row>
    <row r="1855" spans="1:15" x14ac:dyDescent="0.25">
      <c r="A1855" s="113" t="s">
        <v>54</v>
      </c>
      <c r="B1855" s="113" t="s">
        <v>14</v>
      </c>
      <c r="C1855" s="113">
        <v>0.11</v>
      </c>
      <c r="D1855" s="113">
        <v>0.1101</v>
      </c>
      <c r="E1855" s="113">
        <v>1.0000000000000001E-5</v>
      </c>
      <c r="F1855" s="113" t="s">
        <v>140</v>
      </c>
      <c r="G1855" s="113" t="s">
        <v>16</v>
      </c>
      <c r="H1855" s="113">
        <v>0</v>
      </c>
      <c r="I1855" s="113">
        <v>0</v>
      </c>
      <c r="K1855" s="113">
        <v>120</v>
      </c>
      <c r="L1855" s="113">
        <v>13000</v>
      </c>
      <c r="M1855" s="113">
        <v>115.63</v>
      </c>
      <c r="N1855" s="113">
        <v>12701</v>
      </c>
      <c r="O1855" s="114" t="s">
        <v>1226</v>
      </c>
    </row>
    <row r="1856" spans="1:15" x14ac:dyDescent="0.25">
      <c r="A1856" s="113" t="s">
        <v>54</v>
      </c>
      <c r="B1856" s="113" t="s">
        <v>14</v>
      </c>
      <c r="C1856" s="113">
        <v>0.11</v>
      </c>
      <c r="D1856" s="113">
        <v>0.1101</v>
      </c>
      <c r="E1856" s="113">
        <v>1E-4</v>
      </c>
      <c r="F1856" s="113" t="s">
        <v>140</v>
      </c>
      <c r="G1856" s="113" t="s">
        <v>16</v>
      </c>
      <c r="H1856" s="113">
        <v>0</v>
      </c>
      <c r="I1856" s="113">
        <v>0</v>
      </c>
      <c r="K1856" s="113">
        <v>120</v>
      </c>
      <c r="L1856" s="113">
        <v>13000</v>
      </c>
      <c r="M1856" s="113">
        <v>119.5</v>
      </c>
      <c r="N1856" s="113">
        <v>12676</v>
      </c>
      <c r="O1856" s="114" t="s">
        <v>1227</v>
      </c>
    </row>
    <row r="1857" spans="1:15" x14ac:dyDescent="0.25">
      <c r="A1857" s="113" t="s">
        <v>54</v>
      </c>
      <c r="B1857" s="113" t="s">
        <v>14</v>
      </c>
      <c r="C1857" s="113">
        <v>0.11</v>
      </c>
      <c r="D1857" s="113">
        <v>0.1101</v>
      </c>
      <c r="E1857" s="113">
        <v>1E-3</v>
      </c>
      <c r="F1857" s="113" t="s">
        <v>140</v>
      </c>
      <c r="G1857" s="113" t="s">
        <v>16</v>
      </c>
      <c r="H1857" s="113">
        <v>0</v>
      </c>
      <c r="I1857" s="113">
        <v>0</v>
      </c>
      <c r="K1857" s="113">
        <v>430.99</v>
      </c>
      <c r="L1857" s="113">
        <v>10809</v>
      </c>
      <c r="M1857" s="113">
        <v>430.28</v>
      </c>
      <c r="N1857" s="113">
        <v>10808</v>
      </c>
      <c r="O1857" s="114" t="s">
        <v>1228</v>
      </c>
    </row>
    <row r="1858" spans="1:15" x14ac:dyDescent="0.25">
      <c r="A1858" s="113" t="s">
        <v>54</v>
      </c>
      <c r="B1858" s="113" t="s">
        <v>14</v>
      </c>
      <c r="C1858" s="113">
        <v>0.11</v>
      </c>
      <c r="D1858" s="113">
        <v>0.1101</v>
      </c>
      <c r="E1858" s="113">
        <v>0.01</v>
      </c>
      <c r="F1858" s="113" t="s">
        <v>140</v>
      </c>
      <c r="G1858" s="113" t="s">
        <v>16</v>
      </c>
      <c r="H1858" s="113">
        <v>0</v>
      </c>
      <c r="I1858" s="113">
        <v>0</v>
      </c>
      <c r="K1858" s="113">
        <v>5725.6</v>
      </c>
      <c r="L1858" s="113">
        <v>2215.6</v>
      </c>
      <c r="M1858" s="113">
        <v>5725.3</v>
      </c>
      <c r="N1858" s="113">
        <v>2210.1</v>
      </c>
      <c r="O1858" s="114" t="s">
        <v>1229</v>
      </c>
    </row>
    <row r="1859" spans="1:15" x14ac:dyDescent="0.25">
      <c r="A1859" s="113" t="s">
        <v>54</v>
      </c>
      <c r="B1859" s="113" t="s">
        <v>91</v>
      </c>
      <c r="C1859" s="113">
        <v>-250</v>
      </c>
      <c r="D1859" s="113">
        <v>-99.9</v>
      </c>
      <c r="E1859" s="113">
        <v>0.1</v>
      </c>
      <c r="F1859" s="113" t="s">
        <v>23</v>
      </c>
      <c r="G1859" s="113" t="s">
        <v>23</v>
      </c>
      <c r="H1859" s="113">
        <v>0</v>
      </c>
      <c r="I1859" s="113">
        <v>0</v>
      </c>
      <c r="K1859" s="113">
        <v>0.58422842399999997</v>
      </c>
      <c r="L1859" s="113">
        <v>0</v>
      </c>
      <c r="M1859" s="113">
        <v>0.58257756299999996</v>
      </c>
      <c r="N1859" s="113">
        <v>0</v>
      </c>
      <c r="O1859" s="114" t="s">
        <v>1148</v>
      </c>
    </row>
    <row r="1860" spans="1:15" x14ac:dyDescent="0.25">
      <c r="A1860" s="113" t="s">
        <v>54</v>
      </c>
      <c r="B1860" s="113" t="s">
        <v>91</v>
      </c>
      <c r="C1860" s="113">
        <v>-250</v>
      </c>
      <c r="D1860" s="113">
        <v>-99.9</v>
      </c>
      <c r="E1860" s="113">
        <v>1</v>
      </c>
      <c r="F1860" s="113" t="s">
        <v>23</v>
      </c>
      <c r="G1860" s="113" t="s">
        <v>23</v>
      </c>
      <c r="H1860" s="113">
        <v>0</v>
      </c>
      <c r="I1860" s="113">
        <v>0</v>
      </c>
      <c r="K1860" s="113">
        <v>0.82286180799999997</v>
      </c>
      <c r="L1860" s="113">
        <v>0</v>
      </c>
      <c r="M1860" s="113">
        <v>0.81816661899999998</v>
      </c>
      <c r="N1860" s="113">
        <v>0</v>
      </c>
      <c r="O1860" s="114" t="s">
        <v>1149</v>
      </c>
    </row>
    <row r="1861" spans="1:15" x14ac:dyDescent="0.25">
      <c r="A1861" s="113" t="s">
        <v>54</v>
      </c>
      <c r="B1861" s="113" t="s">
        <v>91</v>
      </c>
      <c r="C1861" s="113">
        <v>-100</v>
      </c>
      <c r="D1861" s="113">
        <v>-24.9</v>
      </c>
      <c r="E1861" s="113">
        <v>0.1</v>
      </c>
      <c r="F1861" s="113" t="s">
        <v>23</v>
      </c>
      <c r="G1861" s="113" t="s">
        <v>23</v>
      </c>
      <c r="H1861" s="113">
        <v>0</v>
      </c>
      <c r="I1861" s="113">
        <v>0</v>
      </c>
      <c r="K1861" s="113">
        <v>0.198592928</v>
      </c>
      <c r="L1861" s="113">
        <v>0</v>
      </c>
      <c r="M1861" s="113">
        <v>0.19764767999999999</v>
      </c>
      <c r="N1861" s="113">
        <v>0</v>
      </c>
      <c r="O1861" s="114" t="s">
        <v>1150</v>
      </c>
    </row>
    <row r="1862" spans="1:15" x14ac:dyDescent="0.25">
      <c r="A1862" s="113" t="s">
        <v>54</v>
      </c>
      <c r="B1862" s="113" t="s">
        <v>91</v>
      </c>
      <c r="C1862" s="113">
        <v>-100</v>
      </c>
      <c r="D1862" s="113">
        <v>-24.9</v>
      </c>
      <c r="E1862" s="113">
        <v>1</v>
      </c>
      <c r="F1862" s="113" t="s">
        <v>23</v>
      </c>
      <c r="G1862" s="113" t="s">
        <v>23</v>
      </c>
      <c r="H1862" s="113">
        <v>0</v>
      </c>
      <c r="I1862" s="113">
        <v>0</v>
      </c>
      <c r="K1862" s="113">
        <v>0.60873868600000003</v>
      </c>
      <c r="L1862" s="113">
        <v>0</v>
      </c>
      <c r="M1862" s="113">
        <v>0.60750687699999995</v>
      </c>
      <c r="N1862" s="113">
        <v>0</v>
      </c>
      <c r="O1862" s="114" t="s">
        <v>1151</v>
      </c>
    </row>
    <row r="1863" spans="1:15" x14ac:dyDescent="0.25">
      <c r="A1863" s="113" t="s">
        <v>54</v>
      </c>
      <c r="B1863" s="113" t="s">
        <v>91</v>
      </c>
      <c r="C1863" s="113">
        <v>-25</v>
      </c>
      <c r="D1863" s="113">
        <v>350.1</v>
      </c>
      <c r="E1863" s="113">
        <v>0.1</v>
      </c>
      <c r="F1863" s="113" t="s">
        <v>23</v>
      </c>
      <c r="G1863" s="113" t="s">
        <v>23</v>
      </c>
      <c r="H1863" s="113">
        <v>0</v>
      </c>
      <c r="I1863" s="113">
        <v>0</v>
      </c>
      <c r="K1863" s="113">
        <v>0.17588372099999999</v>
      </c>
      <c r="L1863" s="113">
        <v>0</v>
      </c>
      <c r="M1863" s="113">
        <v>0.17481572500000001</v>
      </c>
      <c r="N1863" s="113">
        <v>0</v>
      </c>
      <c r="O1863" s="114" t="s">
        <v>1152</v>
      </c>
    </row>
    <row r="1864" spans="1:15" x14ac:dyDescent="0.25">
      <c r="A1864" s="113" t="s">
        <v>54</v>
      </c>
      <c r="B1864" s="113" t="s">
        <v>91</v>
      </c>
      <c r="C1864" s="113">
        <v>-25</v>
      </c>
      <c r="D1864" s="113">
        <v>350.1</v>
      </c>
      <c r="E1864" s="113">
        <v>1</v>
      </c>
      <c r="F1864" s="113" t="s">
        <v>23</v>
      </c>
      <c r="G1864" s="113" t="s">
        <v>23</v>
      </c>
      <c r="H1864" s="113">
        <v>0</v>
      </c>
      <c r="I1864" s="113">
        <v>0</v>
      </c>
      <c r="K1864" s="113">
        <v>0.60171315400000003</v>
      </c>
      <c r="L1864" s="113">
        <v>0</v>
      </c>
      <c r="M1864" s="113">
        <v>0.60046693299999998</v>
      </c>
      <c r="N1864" s="113">
        <v>0</v>
      </c>
      <c r="O1864" s="114" t="s">
        <v>1153</v>
      </c>
    </row>
    <row r="1865" spans="1:15" x14ac:dyDescent="0.25">
      <c r="A1865" s="113" t="s">
        <v>54</v>
      </c>
      <c r="B1865" s="113" t="s">
        <v>91</v>
      </c>
      <c r="C1865" s="113">
        <v>350</v>
      </c>
      <c r="D1865" s="113">
        <v>650.1</v>
      </c>
      <c r="E1865" s="113">
        <v>0.1</v>
      </c>
      <c r="F1865" s="113" t="s">
        <v>23</v>
      </c>
      <c r="G1865" s="113" t="s">
        <v>23</v>
      </c>
      <c r="H1865" s="113">
        <v>0</v>
      </c>
      <c r="I1865" s="113">
        <v>0</v>
      </c>
      <c r="K1865" s="113">
        <v>0.19682908399999999</v>
      </c>
      <c r="L1865" s="113">
        <v>0</v>
      </c>
      <c r="M1865" s="113">
        <v>0.19628464600000001</v>
      </c>
      <c r="N1865" s="113">
        <v>0</v>
      </c>
      <c r="O1865" s="114" t="s">
        <v>1154</v>
      </c>
    </row>
    <row r="1866" spans="1:15" x14ac:dyDescent="0.25">
      <c r="A1866" s="113" t="s">
        <v>54</v>
      </c>
      <c r="B1866" s="113" t="s">
        <v>91</v>
      </c>
      <c r="C1866" s="113">
        <v>350</v>
      </c>
      <c r="D1866" s="113">
        <v>650.1</v>
      </c>
      <c r="E1866" s="113">
        <v>1</v>
      </c>
      <c r="F1866" s="113" t="s">
        <v>23</v>
      </c>
      <c r="G1866" s="113" t="s">
        <v>23</v>
      </c>
      <c r="H1866" s="113">
        <v>0</v>
      </c>
      <c r="I1866" s="113">
        <v>0</v>
      </c>
      <c r="K1866" s="113">
        <v>0.60776950100000005</v>
      </c>
      <c r="L1866" s="113">
        <v>0</v>
      </c>
      <c r="M1866" s="113">
        <v>0.60706479199999996</v>
      </c>
      <c r="N1866" s="113">
        <v>0</v>
      </c>
      <c r="O1866" s="114" t="s">
        <v>1155</v>
      </c>
    </row>
    <row r="1867" spans="1:15" x14ac:dyDescent="0.25">
      <c r="A1867" s="113" t="s">
        <v>54</v>
      </c>
      <c r="B1867" s="113" t="s">
        <v>91</v>
      </c>
      <c r="C1867" s="113">
        <v>650</v>
      </c>
      <c r="D1867" s="113">
        <v>1000</v>
      </c>
      <c r="E1867" s="113">
        <v>0.1</v>
      </c>
      <c r="F1867" s="113" t="s">
        <v>23</v>
      </c>
      <c r="G1867" s="113" t="s">
        <v>23</v>
      </c>
      <c r="H1867" s="113">
        <v>0</v>
      </c>
      <c r="I1867" s="113">
        <v>0</v>
      </c>
      <c r="K1867" s="113">
        <v>0.25181161499999999</v>
      </c>
      <c r="L1867" s="113">
        <v>0</v>
      </c>
      <c r="M1867" s="113">
        <v>0.25138628299999999</v>
      </c>
      <c r="N1867" s="113">
        <v>0</v>
      </c>
      <c r="O1867" s="114" t="s">
        <v>1156</v>
      </c>
    </row>
    <row r="1868" spans="1:15" x14ac:dyDescent="0.25">
      <c r="A1868" s="113" t="s">
        <v>54</v>
      </c>
      <c r="B1868" s="113" t="s">
        <v>91</v>
      </c>
      <c r="C1868" s="113">
        <v>650</v>
      </c>
      <c r="D1868" s="113">
        <v>1000</v>
      </c>
      <c r="E1868" s="113">
        <v>1</v>
      </c>
      <c r="F1868" s="113" t="s">
        <v>23</v>
      </c>
      <c r="G1868" s="113" t="s">
        <v>23</v>
      </c>
      <c r="H1868" s="113">
        <v>0</v>
      </c>
      <c r="I1868" s="113">
        <v>0</v>
      </c>
      <c r="K1868" s="113">
        <v>0.62773495000000001</v>
      </c>
      <c r="L1868" s="113">
        <v>0</v>
      </c>
      <c r="M1868" s="113">
        <v>0.62705268000000003</v>
      </c>
      <c r="N1868" s="113">
        <v>0</v>
      </c>
      <c r="O1868" s="114" t="s">
        <v>1157</v>
      </c>
    </row>
    <row r="1869" spans="1:15" x14ac:dyDescent="0.25">
      <c r="A1869" s="113" t="s">
        <v>54</v>
      </c>
      <c r="B1869" s="113" t="s">
        <v>91</v>
      </c>
      <c r="C1869" s="113">
        <v>1000</v>
      </c>
      <c r="D1869" s="113">
        <v>1000.1</v>
      </c>
      <c r="E1869" s="113">
        <v>0.1</v>
      </c>
      <c r="F1869" s="113" t="s">
        <v>23</v>
      </c>
      <c r="G1869" s="113" t="s">
        <v>23</v>
      </c>
      <c r="H1869" s="113">
        <v>0</v>
      </c>
      <c r="I1869" s="113">
        <v>0</v>
      </c>
      <c r="K1869" s="113">
        <v>0.25181161499999999</v>
      </c>
      <c r="L1869" s="113">
        <v>0</v>
      </c>
      <c r="M1869" s="113">
        <v>0.25138628299999999</v>
      </c>
      <c r="N1869" s="113">
        <v>0</v>
      </c>
      <c r="O1869" s="114" t="s">
        <v>1158</v>
      </c>
    </row>
    <row r="1870" spans="1:15" x14ac:dyDescent="0.25">
      <c r="A1870" s="113" t="s">
        <v>54</v>
      </c>
      <c r="B1870" s="113" t="s">
        <v>91</v>
      </c>
      <c r="C1870" s="113">
        <v>1000</v>
      </c>
      <c r="D1870" s="113">
        <v>1000.1</v>
      </c>
      <c r="E1870" s="113">
        <v>1</v>
      </c>
      <c r="F1870" s="113" t="s">
        <v>23</v>
      </c>
      <c r="G1870" s="113" t="s">
        <v>23</v>
      </c>
      <c r="H1870" s="113">
        <v>0</v>
      </c>
      <c r="I1870" s="113">
        <v>0</v>
      </c>
      <c r="K1870" s="113">
        <v>0.62773495000000001</v>
      </c>
      <c r="L1870" s="113">
        <v>0</v>
      </c>
      <c r="M1870" s="113">
        <v>0.62705268000000003</v>
      </c>
      <c r="N1870" s="113">
        <v>0</v>
      </c>
      <c r="O1870" s="114" t="s">
        <v>1159</v>
      </c>
    </row>
    <row r="1871" spans="1:15" x14ac:dyDescent="0.25">
      <c r="A1871" s="113" t="s">
        <v>54</v>
      </c>
      <c r="B1871" s="113" t="s">
        <v>90</v>
      </c>
      <c r="C1871" s="113">
        <v>-210</v>
      </c>
      <c r="D1871" s="113">
        <v>-99.9</v>
      </c>
      <c r="E1871" s="113">
        <v>0.1</v>
      </c>
      <c r="F1871" s="113" t="s">
        <v>23</v>
      </c>
      <c r="G1871" s="113" t="s">
        <v>23</v>
      </c>
      <c r="H1871" s="113">
        <v>0</v>
      </c>
      <c r="I1871" s="113">
        <v>0</v>
      </c>
      <c r="K1871" s="113">
        <v>0.32482492800000001</v>
      </c>
      <c r="L1871" s="113">
        <v>0</v>
      </c>
      <c r="M1871" s="113">
        <v>0.31951027599999998</v>
      </c>
      <c r="N1871" s="113">
        <v>0</v>
      </c>
      <c r="O1871" s="114" t="s">
        <v>1136</v>
      </c>
    </row>
    <row r="1872" spans="1:15" x14ac:dyDescent="0.25">
      <c r="A1872" s="113" t="s">
        <v>54</v>
      </c>
      <c r="B1872" s="113" t="s">
        <v>90</v>
      </c>
      <c r="C1872" s="113">
        <v>-210</v>
      </c>
      <c r="D1872" s="113">
        <v>-99.9</v>
      </c>
      <c r="E1872" s="113">
        <v>1</v>
      </c>
      <c r="F1872" s="113" t="s">
        <v>23</v>
      </c>
      <c r="G1872" s="113" t="s">
        <v>23</v>
      </c>
      <c r="H1872" s="113">
        <v>0</v>
      </c>
      <c r="I1872" s="113">
        <v>0</v>
      </c>
      <c r="K1872" s="113">
        <v>0.66767094000000005</v>
      </c>
      <c r="L1872" s="113">
        <v>0</v>
      </c>
      <c r="M1872" s="113">
        <v>0.65733310899999997</v>
      </c>
      <c r="N1872" s="113">
        <v>0</v>
      </c>
      <c r="O1872" s="114" t="s">
        <v>1137</v>
      </c>
    </row>
    <row r="1873" spans="1:15" x14ac:dyDescent="0.25">
      <c r="A1873" s="113" t="s">
        <v>54</v>
      </c>
      <c r="B1873" s="113" t="s">
        <v>90</v>
      </c>
      <c r="C1873" s="113">
        <v>-100</v>
      </c>
      <c r="D1873" s="113">
        <v>-29.9</v>
      </c>
      <c r="E1873" s="113">
        <v>0.1</v>
      </c>
      <c r="F1873" s="113" t="s">
        <v>23</v>
      </c>
      <c r="G1873" s="113" t="s">
        <v>23</v>
      </c>
      <c r="H1873" s="113">
        <v>0</v>
      </c>
      <c r="I1873" s="113">
        <v>0</v>
      </c>
      <c r="K1873" s="113">
        <v>0.20265709500000001</v>
      </c>
      <c r="L1873" s="113">
        <v>0</v>
      </c>
      <c r="M1873" s="113">
        <v>0.19649070799999999</v>
      </c>
      <c r="N1873" s="113">
        <v>0</v>
      </c>
      <c r="O1873" s="114" t="s">
        <v>1138</v>
      </c>
    </row>
    <row r="1874" spans="1:15" x14ac:dyDescent="0.25">
      <c r="A1874" s="113" t="s">
        <v>54</v>
      </c>
      <c r="B1874" s="113" t="s">
        <v>90</v>
      </c>
      <c r="C1874" s="113">
        <v>-100</v>
      </c>
      <c r="D1874" s="113">
        <v>-29.9</v>
      </c>
      <c r="E1874" s="113">
        <v>1</v>
      </c>
      <c r="F1874" s="113" t="s">
        <v>23</v>
      </c>
      <c r="G1874" s="113" t="s">
        <v>23</v>
      </c>
      <c r="H1874" s="113">
        <v>0</v>
      </c>
      <c r="I1874" s="113">
        <v>0</v>
      </c>
      <c r="K1874" s="113">
        <v>0.61518598599999996</v>
      </c>
      <c r="L1874" s="113">
        <v>0</v>
      </c>
      <c r="M1874" s="113">
        <v>0.60713145099999999</v>
      </c>
      <c r="N1874" s="113">
        <v>0</v>
      </c>
      <c r="O1874" s="114" t="s">
        <v>1139</v>
      </c>
    </row>
    <row r="1875" spans="1:15" x14ac:dyDescent="0.25">
      <c r="A1875" s="113" t="s">
        <v>54</v>
      </c>
      <c r="B1875" s="113" t="s">
        <v>90</v>
      </c>
      <c r="C1875" s="113">
        <v>-30</v>
      </c>
      <c r="D1875" s="113">
        <v>150.1</v>
      </c>
      <c r="E1875" s="113">
        <v>0.1</v>
      </c>
      <c r="F1875" s="113" t="s">
        <v>23</v>
      </c>
      <c r="G1875" s="113" t="s">
        <v>23</v>
      </c>
      <c r="H1875" s="113">
        <v>0</v>
      </c>
      <c r="I1875" s="113">
        <v>0</v>
      </c>
      <c r="K1875" s="113">
        <v>0.18177460600000001</v>
      </c>
      <c r="L1875" s="113">
        <v>0</v>
      </c>
      <c r="M1875" s="113">
        <v>0.17487340400000001</v>
      </c>
      <c r="N1875" s="113">
        <v>0</v>
      </c>
      <c r="O1875" s="114" t="s">
        <v>1140</v>
      </c>
    </row>
    <row r="1876" spans="1:15" x14ac:dyDescent="0.25">
      <c r="A1876" s="113" t="s">
        <v>54</v>
      </c>
      <c r="B1876" s="113" t="s">
        <v>90</v>
      </c>
      <c r="C1876" s="113">
        <v>-30</v>
      </c>
      <c r="D1876" s="113">
        <v>150.1</v>
      </c>
      <c r="E1876" s="113">
        <v>1</v>
      </c>
      <c r="F1876" s="113" t="s">
        <v>23</v>
      </c>
      <c r="G1876" s="113" t="s">
        <v>23</v>
      </c>
      <c r="H1876" s="113">
        <v>0</v>
      </c>
      <c r="I1876" s="113">
        <v>0</v>
      </c>
      <c r="K1876" s="113">
        <v>0.60862624499999995</v>
      </c>
      <c r="L1876" s="113">
        <v>0</v>
      </c>
      <c r="M1876" s="113">
        <v>0.60048372800000005</v>
      </c>
      <c r="N1876" s="113">
        <v>0</v>
      </c>
      <c r="O1876" s="114" t="s">
        <v>1141</v>
      </c>
    </row>
    <row r="1877" spans="1:15" x14ac:dyDescent="0.25">
      <c r="A1877" s="113" t="s">
        <v>54</v>
      </c>
      <c r="B1877" s="113" t="s">
        <v>90</v>
      </c>
      <c r="C1877" s="113">
        <v>150</v>
      </c>
      <c r="D1877" s="113">
        <v>760.1</v>
      </c>
      <c r="E1877" s="113">
        <v>0.1</v>
      </c>
      <c r="F1877" s="113" t="s">
        <v>23</v>
      </c>
      <c r="G1877" s="113" t="s">
        <v>23</v>
      </c>
      <c r="H1877" s="113">
        <v>0</v>
      </c>
      <c r="I1877" s="113">
        <v>0</v>
      </c>
      <c r="K1877" s="113">
        <v>0.208895572</v>
      </c>
      <c r="L1877" s="113">
        <v>0</v>
      </c>
      <c r="M1877" s="113">
        <v>0.20722397400000001</v>
      </c>
      <c r="N1877" s="113">
        <v>0</v>
      </c>
      <c r="O1877" s="114" t="s">
        <v>1142</v>
      </c>
    </row>
    <row r="1878" spans="1:15" x14ac:dyDescent="0.25">
      <c r="A1878" s="113" t="s">
        <v>54</v>
      </c>
      <c r="B1878" s="113" t="s">
        <v>90</v>
      </c>
      <c r="C1878" s="113">
        <v>150</v>
      </c>
      <c r="D1878" s="113">
        <v>760.1</v>
      </c>
      <c r="E1878" s="113">
        <v>1</v>
      </c>
      <c r="F1878" s="113" t="s">
        <v>23</v>
      </c>
      <c r="G1878" s="113" t="s">
        <v>23</v>
      </c>
      <c r="H1878" s="113">
        <v>0</v>
      </c>
      <c r="I1878" s="113">
        <v>0</v>
      </c>
      <c r="K1878" s="113">
        <v>0.61296338699999997</v>
      </c>
      <c r="L1878" s="113">
        <v>0</v>
      </c>
      <c r="M1878" s="113">
        <v>0.61068959</v>
      </c>
      <c r="N1878" s="113">
        <v>0</v>
      </c>
      <c r="O1878" s="114" t="s">
        <v>1143</v>
      </c>
    </row>
    <row r="1879" spans="1:15" x14ac:dyDescent="0.25">
      <c r="A1879" s="113" t="s">
        <v>54</v>
      </c>
      <c r="B1879" s="113" t="s">
        <v>90</v>
      </c>
      <c r="C1879" s="113">
        <v>760</v>
      </c>
      <c r="D1879" s="113">
        <v>1200</v>
      </c>
      <c r="E1879" s="113">
        <v>0.1</v>
      </c>
      <c r="F1879" s="113" t="s">
        <v>23</v>
      </c>
      <c r="G1879" s="113" t="s">
        <v>23</v>
      </c>
      <c r="H1879" s="113">
        <v>0</v>
      </c>
      <c r="I1879" s="113">
        <v>0</v>
      </c>
      <c r="K1879" s="113">
        <v>0.27502981300000001</v>
      </c>
      <c r="L1879" s="113">
        <v>0</v>
      </c>
      <c r="M1879" s="113">
        <v>0.27376233</v>
      </c>
      <c r="N1879" s="113">
        <v>0</v>
      </c>
      <c r="O1879" s="114" t="s">
        <v>1144</v>
      </c>
    </row>
    <row r="1880" spans="1:15" x14ac:dyDescent="0.25">
      <c r="A1880" s="113" t="s">
        <v>54</v>
      </c>
      <c r="B1880" s="113" t="s">
        <v>90</v>
      </c>
      <c r="C1880" s="113">
        <v>760</v>
      </c>
      <c r="D1880" s="113">
        <v>1200</v>
      </c>
      <c r="E1880" s="113">
        <v>1</v>
      </c>
      <c r="F1880" s="113" t="s">
        <v>23</v>
      </c>
      <c r="G1880" s="113" t="s">
        <v>23</v>
      </c>
      <c r="H1880" s="113">
        <v>0</v>
      </c>
      <c r="I1880" s="113">
        <v>0</v>
      </c>
      <c r="K1880" s="113">
        <v>0.63853594400000002</v>
      </c>
      <c r="L1880" s="113">
        <v>0</v>
      </c>
      <c r="M1880" s="113">
        <v>0.636353528</v>
      </c>
      <c r="N1880" s="113">
        <v>0</v>
      </c>
      <c r="O1880" s="114" t="s">
        <v>1145</v>
      </c>
    </row>
    <row r="1881" spans="1:15" x14ac:dyDescent="0.25">
      <c r="A1881" s="113" t="s">
        <v>54</v>
      </c>
      <c r="B1881" s="113" t="s">
        <v>90</v>
      </c>
      <c r="C1881" s="113">
        <v>1200</v>
      </c>
      <c r="D1881" s="113">
        <v>1200.0999999999999</v>
      </c>
      <c r="E1881" s="113">
        <v>0.1</v>
      </c>
      <c r="F1881" s="113" t="s">
        <v>23</v>
      </c>
      <c r="G1881" s="113" t="s">
        <v>23</v>
      </c>
      <c r="H1881" s="113">
        <v>0</v>
      </c>
      <c r="I1881" s="113">
        <v>0</v>
      </c>
      <c r="K1881" s="113">
        <v>0.27502981300000001</v>
      </c>
      <c r="L1881" s="113">
        <v>0</v>
      </c>
      <c r="M1881" s="113">
        <v>0.27376233</v>
      </c>
      <c r="N1881" s="113">
        <v>0</v>
      </c>
      <c r="O1881" s="114" t="s">
        <v>1146</v>
      </c>
    </row>
    <row r="1882" spans="1:15" x14ac:dyDescent="0.25">
      <c r="A1882" s="113" t="s">
        <v>54</v>
      </c>
      <c r="B1882" s="113" t="s">
        <v>90</v>
      </c>
      <c r="C1882" s="113">
        <v>1200</v>
      </c>
      <c r="D1882" s="113">
        <v>1200.0999999999999</v>
      </c>
      <c r="E1882" s="113">
        <v>1</v>
      </c>
      <c r="F1882" s="113" t="s">
        <v>23</v>
      </c>
      <c r="G1882" s="113" t="s">
        <v>23</v>
      </c>
      <c r="H1882" s="113">
        <v>0</v>
      </c>
      <c r="I1882" s="113">
        <v>0</v>
      </c>
      <c r="K1882" s="113">
        <v>0.63853594400000002</v>
      </c>
      <c r="L1882" s="113">
        <v>0</v>
      </c>
      <c r="M1882" s="113">
        <v>0.636353528</v>
      </c>
      <c r="N1882" s="113">
        <v>0</v>
      </c>
      <c r="O1882" s="114" t="s">
        <v>1147</v>
      </c>
    </row>
    <row r="1883" spans="1:15" x14ac:dyDescent="0.25">
      <c r="A1883" s="113" t="s">
        <v>54</v>
      </c>
      <c r="B1883" s="113" t="s">
        <v>89</v>
      </c>
      <c r="C1883" s="113">
        <v>-200</v>
      </c>
      <c r="D1883" s="113">
        <v>-99.9</v>
      </c>
      <c r="E1883" s="113">
        <v>0.1</v>
      </c>
      <c r="F1883" s="113" t="s">
        <v>23</v>
      </c>
      <c r="G1883" s="113" t="s">
        <v>23</v>
      </c>
      <c r="H1883" s="113">
        <v>0</v>
      </c>
      <c r="I1883" s="113">
        <v>0</v>
      </c>
      <c r="K1883" s="113">
        <v>0.39349449399999997</v>
      </c>
      <c r="L1883" s="113">
        <v>0</v>
      </c>
      <c r="M1883" s="113">
        <v>0.38767236500000002</v>
      </c>
      <c r="N1883" s="113">
        <v>0</v>
      </c>
      <c r="O1883" s="114" t="s">
        <v>1124</v>
      </c>
    </row>
    <row r="1884" spans="1:15" x14ac:dyDescent="0.25">
      <c r="A1884" s="113" t="s">
        <v>54</v>
      </c>
      <c r="B1884" s="113" t="s">
        <v>89</v>
      </c>
      <c r="C1884" s="113">
        <v>-200</v>
      </c>
      <c r="D1884" s="113">
        <v>-99.9</v>
      </c>
      <c r="E1884" s="113">
        <v>1</v>
      </c>
      <c r="F1884" s="113" t="s">
        <v>23</v>
      </c>
      <c r="G1884" s="113" t="s">
        <v>23</v>
      </c>
      <c r="H1884" s="113">
        <v>0</v>
      </c>
      <c r="I1884" s="113">
        <v>0</v>
      </c>
      <c r="K1884" s="113">
        <v>0.70603263199999999</v>
      </c>
      <c r="L1884" s="113">
        <v>0</v>
      </c>
      <c r="M1884" s="113">
        <v>0.69302948200000003</v>
      </c>
      <c r="N1884" s="113">
        <v>0</v>
      </c>
      <c r="O1884" s="114" t="s">
        <v>1125</v>
      </c>
    </row>
    <row r="1885" spans="1:15" x14ac:dyDescent="0.25">
      <c r="A1885" s="113" t="s">
        <v>54</v>
      </c>
      <c r="B1885" s="113" t="s">
        <v>89</v>
      </c>
      <c r="C1885" s="113">
        <v>-100</v>
      </c>
      <c r="D1885" s="113">
        <v>-24.9</v>
      </c>
      <c r="E1885" s="113">
        <v>0.1</v>
      </c>
      <c r="F1885" s="113" t="s">
        <v>23</v>
      </c>
      <c r="G1885" s="113" t="s">
        <v>23</v>
      </c>
      <c r="H1885" s="113">
        <v>0</v>
      </c>
      <c r="I1885" s="113">
        <v>0</v>
      </c>
      <c r="K1885" s="113">
        <v>0.22869477099999999</v>
      </c>
      <c r="L1885" s="113">
        <v>0</v>
      </c>
      <c r="M1885" s="113">
        <v>0.218525158</v>
      </c>
      <c r="N1885" s="113">
        <v>0</v>
      </c>
      <c r="O1885" s="114" t="s">
        <v>1126</v>
      </c>
    </row>
    <row r="1886" spans="1:15" x14ac:dyDescent="0.25">
      <c r="A1886" s="113" t="s">
        <v>54</v>
      </c>
      <c r="B1886" s="113" t="s">
        <v>89</v>
      </c>
      <c r="C1886" s="113">
        <v>-100</v>
      </c>
      <c r="D1886" s="113">
        <v>-24.9</v>
      </c>
      <c r="E1886" s="113">
        <v>1</v>
      </c>
      <c r="F1886" s="113" t="s">
        <v>23</v>
      </c>
      <c r="G1886" s="113" t="s">
        <v>23</v>
      </c>
      <c r="H1886" s="113">
        <v>0</v>
      </c>
      <c r="I1886" s="113">
        <v>0</v>
      </c>
      <c r="K1886" s="113">
        <v>0.62924197199999998</v>
      </c>
      <c r="L1886" s="113">
        <v>0</v>
      </c>
      <c r="M1886" s="113">
        <v>0.61461633900000001</v>
      </c>
      <c r="N1886" s="113">
        <v>0</v>
      </c>
      <c r="O1886" s="114" t="s">
        <v>1127</v>
      </c>
    </row>
    <row r="1887" spans="1:15" x14ac:dyDescent="0.25">
      <c r="A1887" s="113" t="s">
        <v>54</v>
      </c>
      <c r="B1887" s="113" t="s">
        <v>89</v>
      </c>
      <c r="C1887" s="113">
        <v>-25</v>
      </c>
      <c r="D1887" s="113">
        <v>120.1</v>
      </c>
      <c r="E1887" s="113">
        <v>0.1</v>
      </c>
      <c r="F1887" s="113" t="s">
        <v>23</v>
      </c>
      <c r="G1887" s="113" t="s">
        <v>23</v>
      </c>
      <c r="H1887" s="113">
        <v>0</v>
      </c>
      <c r="I1887" s="113">
        <v>0</v>
      </c>
      <c r="K1887" s="113">
        <v>0.204276027</v>
      </c>
      <c r="L1887" s="113">
        <v>0</v>
      </c>
      <c r="M1887" s="113">
        <v>0.19653324699999999</v>
      </c>
      <c r="N1887" s="113">
        <v>0</v>
      </c>
      <c r="O1887" s="114" t="s">
        <v>1128</v>
      </c>
    </row>
    <row r="1888" spans="1:15" x14ac:dyDescent="0.25">
      <c r="A1888" s="113" t="s">
        <v>54</v>
      </c>
      <c r="B1888" s="113" t="s">
        <v>89</v>
      </c>
      <c r="C1888" s="113">
        <v>-25</v>
      </c>
      <c r="D1888" s="113">
        <v>120.1</v>
      </c>
      <c r="E1888" s="113">
        <v>1</v>
      </c>
      <c r="F1888" s="113" t="s">
        <v>23</v>
      </c>
      <c r="G1888" s="113" t="s">
        <v>23</v>
      </c>
      <c r="H1888" s="113">
        <v>0</v>
      </c>
      <c r="I1888" s="113">
        <v>0</v>
      </c>
      <c r="K1888" s="113">
        <v>0.61728342700000005</v>
      </c>
      <c r="L1888" s="113">
        <v>0</v>
      </c>
      <c r="M1888" s="113">
        <v>0.60714521899999996</v>
      </c>
      <c r="N1888" s="113">
        <v>0</v>
      </c>
      <c r="O1888" s="114" t="s">
        <v>1129</v>
      </c>
    </row>
    <row r="1889" spans="1:15" x14ac:dyDescent="0.25">
      <c r="A1889" s="113" t="s">
        <v>54</v>
      </c>
      <c r="B1889" s="113" t="s">
        <v>89</v>
      </c>
      <c r="C1889" s="113">
        <v>120</v>
      </c>
      <c r="D1889" s="113">
        <v>1000.1</v>
      </c>
      <c r="E1889" s="113">
        <v>0.1</v>
      </c>
      <c r="F1889" s="113" t="s">
        <v>23</v>
      </c>
      <c r="G1889" s="113" t="s">
        <v>23</v>
      </c>
      <c r="H1889" s="113">
        <v>0</v>
      </c>
      <c r="I1889" s="113">
        <v>0</v>
      </c>
      <c r="K1889" s="113">
        <v>0.31026319299999999</v>
      </c>
      <c r="L1889" s="113">
        <v>0</v>
      </c>
      <c r="M1889" s="113">
        <v>0.30757852099999999</v>
      </c>
      <c r="N1889" s="113">
        <v>0</v>
      </c>
      <c r="O1889" s="114" t="s">
        <v>1130</v>
      </c>
    </row>
    <row r="1890" spans="1:15" x14ac:dyDescent="0.25">
      <c r="A1890" s="113" t="s">
        <v>54</v>
      </c>
      <c r="B1890" s="113" t="s">
        <v>89</v>
      </c>
      <c r="C1890" s="113">
        <v>120</v>
      </c>
      <c r="D1890" s="113">
        <v>1000.1</v>
      </c>
      <c r="E1890" s="113">
        <v>1</v>
      </c>
      <c r="F1890" s="113" t="s">
        <v>23</v>
      </c>
      <c r="G1890" s="113" t="s">
        <v>23</v>
      </c>
      <c r="H1890" s="113">
        <v>0</v>
      </c>
      <c r="I1890" s="113">
        <v>0</v>
      </c>
      <c r="K1890" s="113">
        <v>0.65668817199999996</v>
      </c>
      <c r="L1890" s="113">
        <v>0</v>
      </c>
      <c r="M1890" s="113">
        <v>0.65161687099999999</v>
      </c>
      <c r="N1890" s="113">
        <v>0</v>
      </c>
      <c r="O1890" s="114" t="s">
        <v>1131</v>
      </c>
    </row>
    <row r="1891" spans="1:15" x14ac:dyDescent="0.25">
      <c r="A1891" s="113" t="s">
        <v>54</v>
      </c>
      <c r="B1891" s="113" t="s">
        <v>89</v>
      </c>
      <c r="C1891" s="113">
        <v>1000</v>
      </c>
      <c r="D1891" s="113">
        <v>1372</v>
      </c>
      <c r="E1891" s="113">
        <v>0.1</v>
      </c>
      <c r="F1891" s="113" t="s">
        <v>23</v>
      </c>
      <c r="G1891" s="113" t="s">
        <v>23</v>
      </c>
      <c r="H1891" s="113">
        <v>0</v>
      </c>
      <c r="I1891" s="113">
        <v>0</v>
      </c>
      <c r="K1891" s="113">
        <v>0.46917668400000001</v>
      </c>
      <c r="L1891" s="113">
        <v>0</v>
      </c>
      <c r="M1891" s="113">
        <v>0.466718309</v>
      </c>
      <c r="N1891" s="113">
        <v>0</v>
      </c>
      <c r="O1891" s="114" t="s">
        <v>1132</v>
      </c>
    </row>
    <row r="1892" spans="1:15" x14ac:dyDescent="0.25">
      <c r="A1892" s="113" t="s">
        <v>54</v>
      </c>
      <c r="B1892" s="113" t="s">
        <v>89</v>
      </c>
      <c r="C1892" s="113">
        <v>1000</v>
      </c>
      <c r="D1892" s="113">
        <v>1372</v>
      </c>
      <c r="E1892" s="113">
        <v>1</v>
      </c>
      <c r="F1892" s="113" t="s">
        <v>23</v>
      </c>
      <c r="G1892" s="113" t="s">
        <v>23</v>
      </c>
      <c r="H1892" s="113">
        <v>0</v>
      </c>
      <c r="I1892" s="113">
        <v>0</v>
      </c>
      <c r="K1892" s="113">
        <v>0.74634382200000005</v>
      </c>
      <c r="L1892" s="113">
        <v>0</v>
      </c>
      <c r="M1892" s="113">
        <v>0.74015267399999995</v>
      </c>
      <c r="N1892" s="113">
        <v>0</v>
      </c>
      <c r="O1892" s="114" t="s">
        <v>1133</v>
      </c>
    </row>
    <row r="1893" spans="1:15" x14ac:dyDescent="0.25">
      <c r="A1893" s="113" t="s">
        <v>54</v>
      </c>
      <c r="B1893" s="113" t="s">
        <v>89</v>
      </c>
      <c r="C1893" s="113">
        <v>1372</v>
      </c>
      <c r="D1893" s="113">
        <v>1372.1</v>
      </c>
      <c r="E1893" s="113">
        <v>0.1</v>
      </c>
      <c r="F1893" s="113" t="s">
        <v>23</v>
      </c>
      <c r="G1893" s="113" t="s">
        <v>23</v>
      </c>
      <c r="H1893" s="113">
        <v>0</v>
      </c>
      <c r="I1893" s="113">
        <v>0</v>
      </c>
      <c r="K1893" s="113">
        <v>0.46917668400000001</v>
      </c>
      <c r="L1893" s="113">
        <v>0</v>
      </c>
      <c r="M1893" s="113">
        <v>0.466718309</v>
      </c>
      <c r="N1893" s="113">
        <v>0</v>
      </c>
      <c r="O1893" s="114" t="s">
        <v>1134</v>
      </c>
    </row>
    <row r="1894" spans="1:15" x14ac:dyDescent="0.25">
      <c r="A1894" s="113" t="s">
        <v>54</v>
      </c>
      <c r="B1894" s="113" t="s">
        <v>89</v>
      </c>
      <c r="C1894" s="113">
        <v>1372</v>
      </c>
      <c r="D1894" s="113">
        <v>1372.1</v>
      </c>
      <c r="E1894" s="113">
        <v>1</v>
      </c>
      <c r="F1894" s="113" t="s">
        <v>23</v>
      </c>
      <c r="G1894" s="113" t="s">
        <v>23</v>
      </c>
      <c r="H1894" s="113">
        <v>0</v>
      </c>
      <c r="I1894" s="113">
        <v>0</v>
      </c>
      <c r="K1894" s="113">
        <v>0.74634382200000005</v>
      </c>
      <c r="L1894" s="113">
        <v>0</v>
      </c>
      <c r="M1894" s="113">
        <v>0.74015267399999995</v>
      </c>
      <c r="N1894" s="113">
        <v>0</v>
      </c>
      <c r="O1894" s="114" t="s">
        <v>1135</v>
      </c>
    </row>
    <row r="1895" spans="1:15" x14ac:dyDescent="0.25">
      <c r="A1895" s="113" t="s">
        <v>54</v>
      </c>
      <c r="B1895" s="113" t="s">
        <v>92</v>
      </c>
      <c r="C1895" s="113">
        <v>-200</v>
      </c>
      <c r="D1895" s="113">
        <v>-99.9</v>
      </c>
      <c r="E1895" s="113">
        <v>0.1</v>
      </c>
      <c r="F1895" s="113" t="s">
        <v>23</v>
      </c>
      <c r="G1895" s="113" t="s">
        <v>23</v>
      </c>
      <c r="H1895" s="113">
        <v>0</v>
      </c>
      <c r="I1895" s="113">
        <v>0</v>
      </c>
      <c r="K1895" s="113">
        <v>0.47200850999999999</v>
      </c>
      <c r="L1895" s="113">
        <v>0</v>
      </c>
      <c r="M1895" s="113">
        <v>0.46682217199999998</v>
      </c>
      <c r="N1895" s="113">
        <v>0</v>
      </c>
      <c r="O1895" s="114" t="s">
        <v>1112</v>
      </c>
    </row>
    <row r="1896" spans="1:15" x14ac:dyDescent="0.25">
      <c r="A1896" s="113" t="s">
        <v>54</v>
      </c>
      <c r="B1896" s="113" t="s">
        <v>92</v>
      </c>
      <c r="C1896" s="113">
        <v>-200</v>
      </c>
      <c r="D1896" s="113">
        <v>-99.9</v>
      </c>
      <c r="E1896" s="113">
        <v>1</v>
      </c>
      <c r="F1896" s="113" t="s">
        <v>23</v>
      </c>
      <c r="G1896" s="113" t="s">
        <v>23</v>
      </c>
      <c r="H1896" s="113">
        <v>0</v>
      </c>
      <c r="I1896" s="113">
        <v>0</v>
      </c>
      <c r="K1896" s="113">
        <v>0.75325912699999997</v>
      </c>
      <c r="L1896" s="113">
        <v>0</v>
      </c>
      <c r="M1896" s="113">
        <v>0.74021817099999998</v>
      </c>
      <c r="N1896" s="113">
        <v>0</v>
      </c>
      <c r="O1896" s="114" t="s">
        <v>1113</v>
      </c>
    </row>
    <row r="1897" spans="1:15" x14ac:dyDescent="0.25">
      <c r="A1897" s="113" t="s">
        <v>54</v>
      </c>
      <c r="B1897" s="113" t="s">
        <v>92</v>
      </c>
      <c r="C1897" s="113">
        <v>-100</v>
      </c>
      <c r="D1897" s="113">
        <v>-24.9</v>
      </c>
      <c r="E1897" s="113">
        <v>0.1</v>
      </c>
      <c r="F1897" s="113" t="s">
        <v>23</v>
      </c>
      <c r="G1897" s="113" t="s">
        <v>23</v>
      </c>
      <c r="H1897" s="113">
        <v>0</v>
      </c>
      <c r="I1897" s="113">
        <v>0</v>
      </c>
      <c r="K1897" s="113">
        <v>0.26967921099999997</v>
      </c>
      <c r="L1897" s="113">
        <v>0</v>
      </c>
      <c r="M1897" s="113">
        <v>0.26325360399999997</v>
      </c>
      <c r="N1897" s="113">
        <v>0</v>
      </c>
      <c r="O1897" s="114" t="s">
        <v>1114</v>
      </c>
    </row>
    <row r="1898" spans="1:15" x14ac:dyDescent="0.25">
      <c r="A1898" s="113" t="s">
        <v>54</v>
      </c>
      <c r="B1898" s="113" t="s">
        <v>92</v>
      </c>
      <c r="C1898" s="113">
        <v>-100</v>
      </c>
      <c r="D1898" s="113">
        <v>-24.9</v>
      </c>
      <c r="E1898" s="113">
        <v>1</v>
      </c>
      <c r="F1898" s="113" t="s">
        <v>23</v>
      </c>
      <c r="G1898" s="113" t="s">
        <v>23</v>
      </c>
      <c r="H1898" s="113">
        <v>0</v>
      </c>
      <c r="I1898" s="113">
        <v>0</v>
      </c>
      <c r="K1898" s="113">
        <v>0.64265086000000005</v>
      </c>
      <c r="L1898" s="113">
        <v>0</v>
      </c>
      <c r="M1898" s="113">
        <v>0.63190383800000005</v>
      </c>
      <c r="N1898" s="113">
        <v>0</v>
      </c>
      <c r="O1898" s="114" t="s">
        <v>1115</v>
      </c>
    </row>
    <row r="1899" spans="1:15" x14ac:dyDescent="0.25">
      <c r="A1899" s="113" t="s">
        <v>54</v>
      </c>
      <c r="B1899" s="113" t="s">
        <v>92</v>
      </c>
      <c r="C1899" s="113">
        <v>-25</v>
      </c>
      <c r="D1899" s="113">
        <v>120.1</v>
      </c>
      <c r="E1899" s="113">
        <v>0.1</v>
      </c>
      <c r="F1899" s="113" t="s">
        <v>23</v>
      </c>
      <c r="G1899" s="113" t="s">
        <v>23</v>
      </c>
      <c r="H1899" s="113">
        <v>0</v>
      </c>
      <c r="I1899" s="113">
        <v>0</v>
      </c>
      <c r="K1899" s="113">
        <v>0.23706429000000001</v>
      </c>
      <c r="L1899" s="113">
        <v>0</v>
      </c>
      <c r="M1899" s="113">
        <v>0.229728232</v>
      </c>
      <c r="N1899" s="113">
        <v>0</v>
      </c>
      <c r="O1899" s="114" t="s">
        <v>1116</v>
      </c>
    </row>
    <row r="1900" spans="1:15" x14ac:dyDescent="0.25">
      <c r="A1900" s="113" t="s">
        <v>54</v>
      </c>
      <c r="B1900" s="113" t="s">
        <v>92</v>
      </c>
      <c r="C1900" s="113">
        <v>-25</v>
      </c>
      <c r="D1900" s="113">
        <v>120.1</v>
      </c>
      <c r="E1900" s="113">
        <v>1</v>
      </c>
      <c r="F1900" s="113" t="s">
        <v>23</v>
      </c>
      <c r="G1900" s="113" t="s">
        <v>23</v>
      </c>
      <c r="H1900" s="113">
        <v>0</v>
      </c>
      <c r="I1900" s="113">
        <v>0</v>
      </c>
      <c r="K1900" s="113">
        <v>0.62966080400000002</v>
      </c>
      <c r="L1900" s="113">
        <v>0</v>
      </c>
      <c r="M1900" s="113">
        <v>0.61868817700000001</v>
      </c>
      <c r="N1900" s="113">
        <v>0</v>
      </c>
      <c r="O1900" s="114" t="s">
        <v>1117</v>
      </c>
    </row>
    <row r="1901" spans="1:15" x14ac:dyDescent="0.25">
      <c r="A1901" s="113" t="s">
        <v>54</v>
      </c>
      <c r="B1901" s="113" t="s">
        <v>92</v>
      </c>
      <c r="C1901" s="113">
        <v>120</v>
      </c>
      <c r="D1901" s="113">
        <v>410.1</v>
      </c>
      <c r="E1901" s="113">
        <v>0.1</v>
      </c>
      <c r="F1901" s="113" t="s">
        <v>23</v>
      </c>
      <c r="G1901" s="113" t="s">
        <v>23</v>
      </c>
      <c r="H1901" s="113">
        <v>0</v>
      </c>
      <c r="I1901" s="113">
        <v>0</v>
      </c>
      <c r="K1901" s="113">
        <v>0.22303414499999999</v>
      </c>
      <c r="L1901" s="113">
        <v>0</v>
      </c>
      <c r="M1901" s="113">
        <v>0.218550883</v>
      </c>
      <c r="N1901" s="113">
        <v>0</v>
      </c>
      <c r="O1901" s="114" t="s">
        <v>1118</v>
      </c>
    </row>
    <row r="1902" spans="1:15" x14ac:dyDescent="0.25">
      <c r="A1902" s="113" t="s">
        <v>54</v>
      </c>
      <c r="B1902" s="113" t="s">
        <v>92</v>
      </c>
      <c r="C1902" s="113">
        <v>120</v>
      </c>
      <c r="D1902" s="113">
        <v>410.1</v>
      </c>
      <c r="E1902" s="113">
        <v>1</v>
      </c>
      <c r="F1902" s="113" t="s">
        <v>23</v>
      </c>
      <c r="G1902" s="113" t="s">
        <v>23</v>
      </c>
      <c r="H1902" s="113">
        <v>0</v>
      </c>
      <c r="I1902" s="113">
        <v>0</v>
      </c>
      <c r="K1902" s="113">
        <v>0.62103417999999999</v>
      </c>
      <c r="L1902" s="113">
        <v>0</v>
      </c>
      <c r="M1902" s="113">
        <v>0.614625486</v>
      </c>
      <c r="N1902" s="113">
        <v>0</v>
      </c>
      <c r="O1902" s="114" t="s">
        <v>1119</v>
      </c>
    </row>
    <row r="1903" spans="1:15" x14ac:dyDescent="0.25">
      <c r="A1903" s="113" t="s">
        <v>54</v>
      </c>
      <c r="B1903" s="113" t="s">
        <v>92</v>
      </c>
      <c r="C1903" s="113">
        <v>410</v>
      </c>
      <c r="D1903" s="113">
        <v>1300</v>
      </c>
      <c r="E1903" s="113">
        <v>0.1</v>
      </c>
      <c r="F1903" s="113" t="s">
        <v>23</v>
      </c>
      <c r="G1903" s="113" t="s">
        <v>23</v>
      </c>
      <c r="H1903" s="113">
        <v>0</v>
      </c>
      <c r="I1903" s="113">
        <v>0</v>
      </c>
      <c r="K1903" s="113">
        <v>0.321968492</v>
      </c>
      <c r="L1903" s="113">
        <v>0</v>
      </c>
      <c r="M1903" s="113">
        <v>0.31887923899999998</v>
      </c>
      <c r="N1903" s="113">
        <v>0</v>
      </c>
      <c r="O1903" s="114" t="s">
        <v>1120</v>
      </c>
    </row>
    <row r="1904" spans="1:15" x14ac:dyDescent="0.25">
      <c r="A1904" s="113" t="s">
        <v>54</v>
      </c>
      <c r="B1904" s="113" t="s">
        <v>92</v>
      </c>
      <c r="C1904" s="113">
        <v>410</v>
      </c>
      <c r="D1904" s="113">
        <v>1300</v>
      </c>
      <c r="E1904" s="113">
        <v>1</v>
      </c>
      <c r="F1904" s="113" t="s">
        <v>23</v>
      </c>
      <c r="G1904" s="113" t="s">
        <v>23</v>
      </c>
      <c r="H1904" s="113">
        <v>0</v>
      </c>
      <c r="I1904" s="113">
        <v>0</v>
      </c>
      <c r="K1904" s="113">
        <v>0.66302559000000005</v>
      </c>
      <c r="L1904" s="113">
        <v>0</v>
      </c>
      <c r="M1904" s="113">
        <v>0.65702661200000001</v>
      </c>
      <c r="N1904" s="113">
        <v>0</v>
      </c>
      <c r="O1904" s="114" t="s">
        <v>1121</v>
      </c>
    </row>
    <row r="1905" spans="1:15" x14ac:dyDescent="0.25">
      <c r="A1905" s="113" t="s">
        <v>54</v>
      </c>
      <c r="B1905" s="113" t="s">
        <v>92</v>
      </c>
      <c r="C1905" s="113">
        <v>1300</v>
      </c>
      <c r="D1905" s="113">
        <v>1300.0999999999999</v>
      </c>
      <c r="E1905" s="113">
        <v>0.1</v>
      </c>
      <c r="F1905" s="113" t="s">
        <v>23</v>
      </c>
      <c r="G1905" s="113" t="s">
        <v>23</v>
      </c>
      <c r="H1905" s="113">
        <v>0</v>
      </c>
      <c r="I1905" s="113">
        <v>0</v>
      </c>
      <c r="K1905" s="113">
        <v>0.321968492</v>
      </c>
      <c r="L1905" s="113">
        <v>0</v>
      </c>
      <c r="M1905" s="113">
        <v>0.31887923899999998</v>
      </c>
      <c r="N1905" s="113">
        <v>0</v>
      </c>
      <c r="O1905" s="114" t="s">
        <v>1122</v>
      </c>
    </row>
    <row r="1906" spans="1:15" x14ac:dyDescent="0.25">
      <c r="A1906" s="113" t="s">
        <v>54</v>
      </c>
      <c r="B1906" s="113" t="s">
        <v>92</v>
      </c>
      <c r="C1906" s="113">
        <v>1300</v>
      </c>
      <c r="D1906" s="113">
        <v>1300.0999999999999</v>
      </c>
      <c r="E1906" s="113">
        <v>1</v>
      </c>
      <c r="F1906" s="113" t="s">
        <v>23</v>
      </c>
      <c r="G1906" s="113" t="s">
        <v>23</v>
      </c>
      <c r="H1906" s="113">
        <v>0</v>
      </c>
      <c r="I1906" s="113">
        <v>0</v>
      </c>
      <c r="K1906" s="113">
        <v>0.66302559000000005</v>
      </c>
      <c r="L1906" s="113">
        <v>0</v>
      </c>
      <c r="M1906" s="113">
        <v>0.65702661200000001</v>
      </c>
      <c r="N1906" s="113">
        <v>0</v>
      </c>
      <c r="O1906" s="114" t="s">
        <v>1123</v>
      </c>
    </row>
    <row r="1907" spans="1:15" x14ac:dyDescent="0.25">
      <c r="A1907" s="113" t="s">
        <v>54</v>
      </c>
      <c r="B1907" s="113" t="s">
        <v>96</v>
      </c>
      <c r="C1907" s="113">
        <v>-200</v>
      </c>
      <c r="D1907" s="113">
        <v>0.1</v>
      </c>
      <c r="E1907" s="113">
        <v>0.1</v>
      </c>
      <c r="F1907" s="113" t="s">
        <v>23</v>
      </c>
      <c r="G1907" s="113" t="s">
        <v>23</v>
      </c>
      <c r="H1907" s="113">
        <v>0</v>
      </c>
      <c r="I1907" s="113">
        <v>0</v>
      </c>
      <c r="K1907" s="113">
        <v>0.13102279</v>
      </c>
      <c r="L1907" s="113">
        <v>0</v>
      </c>
      <c r="M1907" s="113">
        <v>0.116270806</v>
      </c>
      <c r="N1907" s="113">
        <v>0</v>
      </c>
      <c r="O1907" s="114" t="s">
        <v>1098</v>
      </c>
    </row>
    <row r="1908" spans="1:15" x14ac:dyDescent="0.25">
      <c r="A1908" s="113" t="s">
        <v>54</v>
      </c>
      <c r="B1908" s="113" t="s">
        <v>96</v>
      </c>
      <c r="C1908" s="113">
        <v>-200</v>
      </c>
      <c r="D1908" s="113">
        <v>0.1</v>
      </c>
      <c r="E1908" s="113">
        <v>1</v>
      </c>
      <c r="F1908" s="113" t="s">
        <v>23</v>
      </c>
      <c r="G1908" s="113" t="s">
        <v>23</v>
      </c>
      <c r="H1908" s="113">
        <v>0</v>
      </c>
      <c r="I1908" s="113">
        <v>0</v>
      </c>
      <c r="K1908" s="113">
        <v>0.60095134800000005</v>
      </c>
      <c r="L1908" s="113">
        <v>0</v>
      </c>
      <c r="M1908" s="113">
        <v>0.588685177</v>
      </c>
      <c r="N1908" s="113">
        <v>0</v>
      </c>
      <c r="O1908" s="114" t="s">
        <v>1099</v>
      </c>
    </row>
    <row r="1909" spans="1:15" x14ac:dyDescent="0.25">
      <c r="A1909" s="113" t="s">
        <v>54</v>
      </c>
      <c r="B1909" s="113" t="s">
        <v>96</v>
      </c>
      <c r="C1909" s="113">
        <v>0</v>
      </c>
      <c r="D1909" s="113">
        <v>100.1</v>
      </c>
      <c r="E1909" s="113">
        <v>0.1</v>
      </c>
      <c r="F1909" s="113" t="s">
        <v>23</v>
      </c>
      <c r="G1909" s="113" t="s">
        <v>23</v>
      </c>
      <c r="H1909" s="113">
        <v>0</v>
      </c>
      <c r="I1909" s="113">
        <v>0</v>
      </c>
      <c r="K1909" s="113">
        <v>0.165710737</v>
      </c>
      <c r="L1909" s="113">
        <v>0</v>
      </c>
      <c r="M1909" s="113">
        <v>0.15431129900000001</v>
      </c>
      <c r="N1909" s="113">
        <v>0</v>
      </c>
      <c r="O1909" s="114" t="s">
        <v>1100</v>
      </c>
    </row>
    <row r="1910" spans="1:15" x14ac:dyDescent="0.25">
      <c r="A1910" s="113" t="s">
        <v>54</v>
      </c>
      <c r="B1910" s="113" t="s">
        <v>96</v>
      </c>
      <c r="C1910" s="113">
        <v>0</v>
      </c>
      <c r="D1910" s="113">
        <v>100.1</v>
      </c>
      <c r="E1910" s="113">
        <v>1</v>
      </c>
      <c r="F1910" s="113" t="s">
        <v>23</v>
      </c>
      <c r="G1910" s="113" t="s">
        <v>23</v>
      </c>
      <c r="H1910" s="113">
        <v>0</v>
      </c>
      <c r="I1910" s="113">
        <v>0</v>
      </c>
      <c r="K1910" s="113">
        <v>0.60945516600000005</v>
      </c>
      <c r="L1910" s="113">
        <v>0</v>
      </c>
      <c r="M1910" s="113">
        <v>0.59736363699999995</v>
      </c>
      <c r="N1910" s="113">
        <v>0</v>
      </c>
      <c r="O1910" s="114" t="s">
        <v>1101</v>
      </c>
    </row>
    <row r="1911" spans="1:15" x14ac:dyDescent="0.25">
      <c r="A1911" s="113" t="s">
        <v>54</v>
      </c>
      <c r="B1911" s="113" t="s">
        <v>96</v>
      </c>
      <c r="C1911" s="113">
        <v>100</v>
      </c>
      <c r="D1911" s="113">
        <v>300.10000000000002</v>
      </c>
      <c r="E1911" s="113">
        <v>0.1</v>
      </c>
      <c r="F1911" s="113" t="s">
        <v>23</v>
      </c>
      <c r="G1911" s="113" t="s">
        <v>23</v>
      </c>
      <c r="H1911" s="113">
        <v>0</v>
      </c>
      <c r="I1911" s="113">
        <v>0</v>
      </c>
      <c r="K1911" s="113">
        <v>0.165710737</v>
      </c>
      <c r="L1911" s="113">
        <v>0</v>
      </c>
      <c r="M1911" s="113">
        <v>0.15431129900000001</v>
      </c>
      <c r="N1911" s="113">
        <v>0</v>
      </c>
      <c r="O1911" s="114" t="s">
        <v>1102</v>
      </c>
    </row>
    <row r="1912" spans="1:15" x14ac:dyDescent="0.25">
      <c r="A1912" s="113" t="s">
        <v>54</v>
      </c>
      <c r="B1912" s="113" t="s">
        <v>96</v>
      </c>
      <c r="C1912" s="113">
        <v>100</v>
      </c>
      <c r="D1912" s="113">
        <v>300.10000000000002</v>
      </c>
      <c r="E1912" s="113">
        <v>1</v>
      </c>
      <c r="F1912" s="113" t="s">
        <v>23</v>
      </c>
      <c r="G1912" s="113" t="s">
        <v>23</v>
      </c>
      <c r="H1912" s="113">
        <v>0</v>
      </c>
      <c r="I1912" s="113">
        <v>0</v>
      </c>
      <c r="K1912" s="113">
        <v>0.60945516600000005</v>
      </c>
      <c r="L1912" s="113">
        <v>0</v>
      </c>
      <c r="M1912" s="113">
        <v>0.59736363699999995</v>
      </c>
      <c r="N1912" s="113">
        <v>0</v>
      </c>
      <c r="O1912" s="114" t="s">
        <v>1103</v>
      </c>
    </row>
    <row r="1913" spans="1:15" x14ac:dyDescent="0.25">
      <c r="A1913" s="113" t="s">
        <v>54</v>
      </c>
      <c r="B1913" s="113" t="s">
        <v>96</v>
      </c>
      <c r="C1913" s="113">
        <v>300</v>
      </c>
      <c r="D1913" s="113">
        <v>400.1</v>
      </c>
      <c r="E1913" s="113">
        <v>0.1</v>
      </c>
      <c r="F1913" s="113" t="s">
        <v>23</v>
      </c>
      <c r="G1913" s="113" t="s">
        <v>23</v>
      </c>
      <c r="H1913" s="113">
        <v>0</v>
      </c>
      <c r="I1913" s="113">
        <v>0</v>
      </c>
      <c r="K1913" s="113">
        <v>0.22203263600000001</v>
      </c>
      <c r="L1913" s="113">
        <v>0</v>
      </c>
      <c r="M1913" s="113">
        <v>0.21365959000000001</v>
      </c>
      <c r="N1913" s="113">
        <v>0</v>
      </c>
      <c r="O1913" s="114" t="s">
        <v>1104</v>
      </c>
    </row>
    <row r="1914" spans="1:15" x14ac:dyDescent="0.25">
      <c r="A1914" s="113" t="s">
        <v>54</v>
      </c>
      <c r="B1914" s="113" t="s">
        <v>96</v>
      </c>
      <c r="C1914" s="113">
        <v>300</v>
      </c>
      <c r="D1914" s="113">
        <v>400.1</v>
      </c>
      <c r="E1914" s="113">
        <v>1</v>
      </c>
      <c r="F1914" s="113" t="s">
        <v>23</v>
      </c>
      <c r="G1914" s="113" t="s">
        <v>23</v>
      </c>
      <c r="H1914" s="113">
        <v>0</v>
      </c>
      <c r="I1914" s="113">
        <v>0</v>
      </c>
      <c r="K1914" s="113">
        <v>0.62711565300000005</v>
      </c>
      <c r="L1914" s="113">
        <v>0</v>
      </c>
      <c r="M1914" s="113">
        <v>0.61537123599999999</v>
      </c>
      <c r="N1914" s="113">
        <v>0</v>
      </c>
      <c r="O1914" s="114" t="s">
        <v>1105</v>
      </c>
    </row>
    <row r="1915" spans="1:15" x14ac:dyDescent="0.25">
      <c r="A1915" s="113" t="s">
        <v>54</v>
      </c>
      <c r="B1915" s="113" t="s">
        <v>96</v>
      </c>
      <c r="C1915" s="113">
        <v>400</v>
      </c>
      <c r="D1915" s="113">
        <v>630.1</v>
      </c>
      <c r="E1915" s="113">
        <v>0.1</v>
      </c>
      <c r="F1915" s="113" t="s">
        <v>23</v>
      </c>
      <c r="G1915" s="113" t="s">
        <v>23</v>
      </c>
      <c r="H1915" s="113">
        <v>0</v>
      </c>
      <c r="I1915" s="113">
        <v>0</v>
      </c>
      <c r="K1915" s="113">
        <v>0.259995115</v>
      </c>
      <c r="L1915" s="113">
        <v>0</v>
      </c>
      <c r="M1915" s="113">
        <v>0.25288216299999999</v>
      </c>
      <c r="N1915" s="113">
        <v>0</v>
      </c>
      <c r="O1915" s="114" t="s">
        <v>1106</v>
      </c>
    </row>
    <row r="1916" spans="1:15" x14ac:dyDescent="0.25">
      <c r="A1916" s="113" t="s">
        <v>54</v>
      </c>
      <c r="B1916" s="113" t="s">
        <v>96</v>
      </c>
      <c r="C1916" s="113">
        <v>400</v>
      </c>
      <c r="D1916" s="113">
        <v>630.1</v>
      </c>
      <c r="E1916" s="113">
        <v>1</v>
      </c>
      <c r="F1916" s="113" t="s">
        <v>23</v>
      </c>
      <c r="G1916" s="113" t="s">
        <v>23</v>
      </c>
      <c r="H1916" s="113">
        <v>0</v>
      </c>
      <c r="I1916" s="113">
        <v>0</v>
      </c>
      <c r="K1916" s="113">
        <v>0.64153956300000003</v>
      </c>
      <c r="L1916" s="113">
        <v>0</v>
      </c>
      <c r="M1916" s="113">
        <v>0.63006406500000001</v>
      </c>
      <c r="N1916" s="113">
        <v>0</v>
      </c>
      <c r="O1916" s="114" t="s">
        <v>1107</v>
      </c>
    </row>
    <row r="1917" spans="1:15" x14ac:dyDescent="0.25">
      <c r="A1917" s="113" t="s">
        <v>54</v>
      </c>
      <c r="B1917" s="113" t="s">
        <v>96</v>
      </c>
      <c r="C1917" s="113">
        <v>630</v>
      </c>
      <c r="D1917" s="113">
        <v>800</v>
      </c>
      <c r="E1917" s="113">
        <v>0.1</v>
      </c>
      <c r="F1917" s="113" t="s">
        <v>23</v>
      </c>
      <c r="G1917" s="113" t="s">
        <v>23</v>
      </c>
      <c r="H1917" s="113">
        <v>0</v>
      </c>
      <c r="I1917" s="113">
        <v>0</v>
      </c>
      <c r="K1917" s="113">
        <v>0.43496643800000001</v>
      </c>
      <c r="L1917" s="113">
        <v>0</v>
      </c>
      <c r="M1917" s="113">
        <v>0.43075251799999997</v>
      </c>
      <c r="N1917" s="113">
        <v>0</v>
      </c>
      <c r="O1917" s="114" t="s">
        <v>1108</v>
      </c>
    </row>
    <row r="1918" spans="1:15" x14ac:dyDescent="0.25">
      <c r="A1918" s="113" t="s">
        <v>54</v>
      </c>
      <c r="B1918" s="113" t="s">
        <v>96</v>
      </c>
      <c r="C1918" s="113">
        <v>630</v>
      </c>
      <c r="D1918" s="113">
        <v>800</v>
      </c>
      <c r="E1918" s="113">
        <v>1</v>
      </c>
      <c r="F1918" s="113" t="s">
        <v>23</v>
      </c>
      <c r="G1918" s="113" t="s">
        <v>23</v>
      </c>
      <c r="H1918" s="113">
        <v>0</v>
      </c>
      <c r="I1918" s="113">
        <v>0</v>
      </c>
      <c r="K1918" s="113">
        <v>0.73018583500000001</v>
      </c>
      <c r="L1918" s="113">
        <v>0</v>
      </c>
      <c r="M1918" s="113">
        <v>0.72012434299999994</v>
      </c>
      <c r="N1918" s="113">
        <v>0</v>
      </c>
      <c r="O1918" s="114" t="s">
        <v>1109</v>
      </c>
    </row>
    <row r="1919" spans="1:15" x14ac:dyDescent="0.25">
      <c r="A1919" s="113" t="s">
        <v>54</v>
      </c>
      <c r="B1919" s="113" t="s">
        <v>96</v>
      </c>
      <c r="C1919" s="113">
        <v>800</v>
      </c>
      <c r="D1919" s="113">
        <v>800.1</v>
      </c>
      <c r="E1919" s="113">
        <v>0.1</v>
      </c>
      <c r="F1919" s="113" t="s">
        <v>23</v>
      </c>
      <c r="G1919" s="113" t="s">
        <v>23</v>
      </c>
      <c r="H1919" s="113">
        <v>0</v>
      </c>
      <c r="I1919" s="113">
        <v>0</v>
      </c>
      <c r="K1919" s="113">
        <v>0.43496643800000001</v>
      </c>
      <c r="L1919" s="113">
        <v>0</v>
      </c>
      <c r="M1919" s="113">
        <v>0.43075251799999997</v>
      </c>
      <c r="N1919" s="113">
        <v>0</v>
      </c>
      <c r="O1919" s="114" t="s">
        <v>1110</v>
      </c>
    </row>
    <row r="1920" spans="1:15" x14ac:dyDescent="0.25">
      <c r="A1920" s="113" t="s">
        <v>54</v>
      </c>
      <c r="B1920" s="113" t="s">
        <v>96</v>
      </c>
      <c r="C1920" s="113">
        <v>800</v>
      </c>
      <c r="D1920" s="113">
        <v>800.1</v>
      </c>
      <c r="E1920" s="113">
        <v>1</v>
      </c>
      <c r="F1920" s="113" t="s">
        <v>23</v>
      </c>
      <c r="G1920" s="113" t="s">
        <v>23</v>
      </c>
      <c r="H1920" s="113">
        <v>0</v>
      </c>
      <c r="I1920" s="113">
        <v>0</v>
      </c>
      <c r="K1920" s="113">
        <v>0.73018583500000001</v>
      </c>
      <c r="L1920" s="113">
        <v>0</v>
      </c>
      <c r="M1920" s="113">
        <v>0.72012434299999994</v>
      </c>
      <c r="N1920" s="113">
        <v>0</v>
      </c>
      <c r="O1920" s="114" t="s">
        <v>1111</v>
      </c>
    </row>
    <row r="1921" spans="1:15" x14ac:dyDescent="0.25">
      <c r="A1921" s="113" t="s">
        <v>54</v>
      </c>
      <c r="B1921" s="113" t="s">
        <v>97</v>
      </c>
      <c r="C1921" s="113">
        <v>-200</v>
      </c>
      <c r="D1921" s="113">
        <v>0.1</v>
      </c>
      <c r="E1921" s="113">
        <v>0.1</v>
      </c>
      <c r="F1921" s="113" t="s">
        <v>23</v>
      </c>
      <c r="G1921" s="113" t="s">
        <v>23</v>
      </c>
      <c r="H1921" s="113">
        <v>0</v>
      </c>
      <c r="I1921" s="113">
        <v>0</v>
      </c>
      <c r="K1921" s="113">
        <v>0.103093619</v>
      </c>
      <c r="L1921" s="113">
        <v>0</v>
      </c>
      <c r="M1921" s="113">
        <v>8.3547729000000001E-2</v>
      </c>
      <c r="N1921" s="113">
        <v>0</v>
      </c>
      <c r="O1921" s="114" t="s">
        <v>1082</v>
      </c>
    </row>
    <row r="1922" spans="1:15" x14ac:dyDescent="0.25">
      <c r="A1922" s="113" t="s">
        <v>54</v>
      </c>
      <c r="B1922" s="113" t="s">
        <v>97</v>
      </c>
      <c r="C1922" s="113">
        <v>-200</v>
      </c>
      <c r="D1922" s="113">
        <v>0.1</v>
      </c>
      <c r="E1922" s="113">
        <v>1</v>
      </c>
      <c r="F1922" s="113" t="s">
        <v>23</v>
      </c>
      <c r="G1922" s="113" t="s">
        <v>23</v>
      </c>
      <c r="H1922" s="113">
        <v>0</v>
      </c>
      <c r="I1922" s="113">
        <v>0</v>
      </c>
      <c r="K1922" s="113">
        <v>0.59548622600000001</v>
      </c>
      <c r="L1922" s="113">
        <v>0</v>
      </c>
      <c r="M1922" s="113">
        <v>0.58310510299999996</v>
      </c>
      <c r="N1922" s="113">
        <v>0</v>
      </c>
      <c r="O1922" s="114" t="s">
        <v>1083</v>
      </c>
    </row>
    <row r="1923" spans="1:15" x14ac:dyDescent="0.25">
      <c r="A1923" s="113" t="s">
        <v>54</v>
      </c>
      <c r="B1923" s="113" t="s">
        <v>97</v>
      </c>
      <c r="C1923" s="113">
        <v>0</v>
      </c>
      <c r="D1923" s="113">
        <v>100.1</v>
      </c>
      <c r="E1923" s="113">
        <v>0.1</v>
      </c>
      <c r="F1923" s="113" t="s">
        <v>23</v>
      </c>
      <c r="G1923" s="113" t="s">
        <v>23</v>
      </c>
      <c r="H1923" s="113">
        <v>0</v>
      </c>
      <c r="I1923" s="113">
        <v>0</v>
      </c>
      <c r="K1923" s="113">
        <v>0.117069308</v>
      </c>
      <c r="L1923" s="113">
        <v>0</v>
      </c>
      <c r="M1923" s="113">
        <v>0.10028535099999999</v>
      </c>
      <c r="N1923" s="113">
        <v>0</v>
      </c>
      <c r="O1923" s="114" t="s">
        <v>1084</v>
      </c>
    </row>
    <row r="1924" spans="1:15" x14ac:dyDescent="0.25">
      <c r="A1924" s="113" t="s">
        <v>54</v>
      </c>
      <c r="B1924" s="113" t="s">
        <v>97</v>
      </c>
      <c r="C1924" s="113">
        <v>0</v>
      </c>
      <c r="D1924" s="113">
        <v>100.1</v>
      </c>
      <c r="E1924" s="113">
        <v>1</v>
      </c>
      <c r="F1924" s="113" t="s">
        <v>23</v>
      </c>
      <c r="G1924" s="113" t="s">
        <v>23</v>
      </c>
      <c r="H1924" s="113">
        <v>0</v>
      </c>
      <c r="I1924" s="113">
        <v>0</v>
      </c>
      <c r="K1924" s="113">
        <v>0.59806418900000002</v>
      </c>
      <c r="L1924" s="113">
        <v>0</v>
      </c>
      <c r="M1924" s="113">
        <v>0.58573755999999999</v>
      </c>
      <c r="N1924" s="113">
        <v>0</v>
      </c>
      <c r="O1924" s="114" t="s">
        <v>1085</v>
      </c>
    </row>
    <row r="1925" spans="1:15" x14ac:dyDescent="0.25">
      <c r="A1925" s="113" t="s">
        <v>54</v>
      </c>
      <c r="B1925" s="113" t="s">
        <v>97</v>
      </c>
      <c r="C1925" s="113">
        <v>100</v>
      </c>
      <c r="D1925" s="113">
        <v>260.10000000000002</v>
      </c>
      <c r="E1925" s="113">
        <v>0.1</v>
      </c>
      <c r="F1925" s="113" t="s">
        <v>23</v>
      </c>
      <c r="G1925" s="113" t="s">
        <v>23</v>
      </c>
      <c r="H1925" s="113">
        <v>0</v>
      </c>
      <c r="I1925" s="113">
        <v>0</v>
      </c>
      <c r="K1925" s="113">
        <v>0.117069308</v>
      </c>
      <c r="L1925" s="113">
        <v>0</v>
      </c>
      <c r="M1925" s="113">
        <v>0.10028535099999999</v>
      </c>
      <c r="N1925" s="113">
        <v>0</v>
      </c>
      <c r="O1925" s="114" t="s">
        <v>1086</v>
      </c>
    </row>
    <row r="1926" spans="1:15" x14ac:dyDescent="0.25">
      <c r="A1926" s="113" t="s">
        <v>54</v>
      </c>
      <c r="B1926" s="113" t="s">
        <v>97</v>
      </c>
      <c r="C1926" s="113">
        <v>100</v>
      </c>
      <c r="D1926" s="113">
        <v>260.10000000000002</v>
      </c>
      <c r="E1926" s="113">
        <v>1</v>
      </c>
      <c r="F1926" s="113" t="s">
        <v>23</v>
      </c>
      <c r="G1926" s="113" t="s">
        <v>23</v>
      </c>
      <c r="H1926" s="113">
        <v>0</v>
      </c>
      <c r="I1926" s="113">
        <v>0</v>
      </c>
      <c r="K1926" s="113">
        <v>0.59806418900000002</v>
      </c>
      <c r="L1926" s="113">
        <v>0</v>
      </c>
      <c r="M1926" s="113">
        <v>0.58573755999999999</v>
      </c>
      <c r="N1926" s="113">
        <v>0</v>
      </c>
      <c r="O1926" s="114" t="s">
        <v>1087</v>
      </c>
    </row>
    <row r="1927" spans="1:15" x14ac:dyDescent="0.25">
      <c r="A1927" s="113" t="s">
        <v>54</v>
      </c>
      <c r="B1927" s="113" t="s">
        <v>97</v>
      </c>
      <c r="C1927" s="113">
        <v>260</v>
      </c>
      <c r="D1927" s="113">
        <v>300.10000000000002</v>
      </c>
      <c r="E1927" s="113">
        <v>0.1</v>
      </c>
      <c r="F1927" s="113" t="s">
        <v>23</v>
      </c>
      <c r="G1927" s="113" t="s">
        <v>23</v>
      </c>
      <c r="H1927" s="113">
        <v>0</v>
      </c>
      <c r="I1927" s="113">
        <v>0</v>
      </c>
      <c r="K1927" s="113">
        <v>0.15328217499999999</v>
      </c>
      <c r="L1927" s="113">
        <v>0</v>
      </c>
      <c r="M1927" s="113">
        <v>0.140880637</v>
      </c>
      <c r="N1927" s="113">
        <v>0</v>
      </c>
      <c r="O1927" s="114" t="s">
        <v>1088</v>
      </c>
    </row>
    <row r="1928" spans="1:15" x14ac:dyDescent="0.25">
      <c r="A1928" s="113" t="s">
        <v>54</v>
      </c>
      <c r="B1928" s="113" t="s">
        <v>97</v>
      </c>
      <c r="C1928" s="113">
        <v>260</v>
      </c>
      <c r="D1928" s="113">
        <v>300.10000000000002</v>
      </c>
      <c r="E1928" s="113">
        <v>1</v>
      </c>
      <c r="F1928" s="113" t="s">
        <v>23</v>
      </c>
      <c r="G1928" s="113" t="s">
        <v>23</v>
      </c>
      <c r="H1928" s="113">
        <v>0</v>
      </c>
      <c r="I1928" s="113">
        <v>0</v>
      </c>
      <c r="K1928" s="113">
        <v>0.60619384399999998</v>
      </c>
      <c r="L1928" s="113">
        <v>0</v>
      </c>
      <c r="M1928" s="113">
        <v>0.59403593399999999</v>
      </c>
      <c r="N1928" s="113">
        <v>0</v>
      </c>
      <c r="O1928" s="114" t="s">
        <v>1089</v>
      </c>
    </row>
    <row r="1929" spans="1:15" x14ac:dyDescent="0.25">
      <c r="A1929" s="113" t="s">
        <v>54</v>
      </c>
      <c r="B1929" s="113" t="s">
        <v>97</v>
      </c>
      <c r="C1929" s="113">
        <v>300</v>
      </c>
      <c r="D1929" s="113">
        <v>400.1</v>
      </c>
      <c r="E1929" s="113">
        <v>0.1</v>
      </c>
      <c r="F1929" s="113" t="s">
        <v>23</v>
      </c>
      <c r="G1929" s="113" t="s">
        <v>23</v>
      </c>
      <c r="H1929" s="113">
        <v>0</v>
      </c>
      <c r="I1929" s="113">
        <v>0</v>
      </c>
      <c r="K1929" s="113">
        <v>0.16999556299999999</v>
      </c>
      <c r="L1929" s="113">
        <v>0</v>
      </c>
      <c r="M1929" s="113">
        <v>0.15890380900000001</v>
      </c>
      <c r="N1929" s="113">
        <v>0</v>
      </c>
      <c r="O1929" s="114" t="s">
        <v>1090</v>
      </c>
    </row>
    <row r="1930" spans="1:15" x14ac:dyDescent="0.25">
      <c r="A1930" s="113" t="s">
        <v>54</v>
      </c>
      <c r="B1930" s="113" t="s">
        <v>97</v>
      </c>
      <c r="C1930" s="113">
        <v>300</v>
      </c>
      <c r="D1930" s="113">
        <v>400.1</v>
      </c>
      <c r="E1930" s="113">
        <v>1</v>
      </c>
      <c r="F1930" s="113" t="s">
        <v>23</v>
      </c>
      <c r="G1930" s="113" t="s">
        <v>23</v>
      </c>
      <c r="H1930" s="113">
        <v>0</v>
      </c>
      <c r="I1930" s="113">
        <v>0</v>
      </c>
      <c r="K1930" s="113">
        <v>0.61063413099999997</v>
      </c>
      <c r="L1930" s="113">
        <v>0</v>
      </c>
      <c r="M1930" s="113">
        <v>0.59856641899999996</v>
      </c>
      <c r="N1930" s="113">
        <v>0</v>
      </c>
      <c r="O1930" s="114" t="s">
        <v>1091</v>
      </c>
    </row>
    <row r="1931" spans="1:15" x14ac:dyDescent="0.25">
      <c r="A1931" s="113" t="s">
        <v>54</v>
      </c>
      <c r="B1931" s="113" t="s">
        <v>97</v>
      </c>
      <c r="C1931" s="113">
        <v>400</v>
      </c>
      <c r="D1931" s="113">
        <v>600.1</v>
      </c>
      <c r="E1931" s="113">
        <v>0.1</v>
      </c>
      <c r="F1931" s="113" t="s">
        <v>23</v>
      </c>
      <c r="G1931" s="113" t="s">
        <v>23</v>
      </c>
      <c r="H1931" s="113">
        <v>0</v>
      </c>
      <c r="I1931" s="113">
        <v>0</v>
      </c>
      <c r="K1931" s="113">
        <v>0.17203912299999999</v>
      </c>
      <c r="L1931" s="113">
        <v>0</v>
      </c>
      <c r="M1931" s="113">
        <v>0.16108813899999999</v>
      </c>
      <c r="N1931" s="113">
        <v>0</v>
      </c>
      <c r="O1931" s="114" t="s">
        <v>1092</v>
      </c>
    </row>
    <row r="1932" spans="1:15" x14ac:dyDescent="0.25">
      <c r="A1932" s="113" t="s">
        <v>54</v>
      </c>
      <c r="B1932" s="113" t="s">
        <v>97</v>
      </c>
      <c r="C1932" s="113">
        <v>400</v>
      </c>
      <c r="D1932" s="113">
        <v>600.1</v>
      </c>
      <c r="E1932" s="113">
        <v>1</v>
      </c>
      <c r="F1932" s="113" t="s">
        <v>23</v>
      </c>
      <c r="G1932" s="113" t="s">
        <v>23</v>
      </c>
      <c r="H1932" s="113">
        <v>0</v>
      </c>
      <c r="I1932" s="113">
        <v>0</v>
      </c>
      <c r="K1932" s="113">
        <v>0.61120619300000001</v>
      </c>
      <c r="L1932" s="113">
        <v>0</v>
      </c>
      <c r="M1932" s="113">
        <v>0.59915000299999999</v>
      </c>
      <c r="N1932" s="113">
        <v>0</v>
      </c>
      <c r="O1932" s="114" t="s">
        <v>1093</v>
      </c>
    </row>
    <row r="1933" spans="1:15" x14ac:dyDescent="0.25">
      <c r="A1933" s="113" t="s">
        <v>54</v>
      </c>
      <c r="B1933" s="113" t="s">
        <v>97</v>
      </c>
      <c r="C1933" s="113">
        <v>600</v>
      </c>
      <c r="D1933" s="113">
        <v>630</v>
      </c>
      <c r="E1933" s="113">
        <v>0.1</v>
      </c>
      <c r="F1933" s="113" t="s">
        <v>23</v>
      </c>
      <c r="G1933" s="113" t="s">
        <v>23</v>
      </c>
      <c r="H1933" s="113">
        <v>0</v>
      </c>
      <c r="I1933" s="113">
        <v>0</v>
      </c>
      <c r="K1933" s="113">
        <v>0.47301427699999998</v>
      </c>
      <c r="L1933" s="113">
        <v>0</v>
      </c>
      <c r="M1933" s="113">
        <v>0.46914223399999999</v>
      </c>
      <c r="N1933" s="113">
        <v>0</v>
      </c>
      <c r="O1933" s="114" t="s">
        <v>1094</v>
      </c>
    </row>
    <row r="1934" spans="1:15" x14ac:dyDescent="0.25">
      <c r="A1934" s="113" t="s">
        <v>54</v>
      </c>
      <c r="B1934" s="113" t="s">
        <v>97</v>
      </c>
      <c r="C1934" s="113">
        <v>600</v>
      </c>
      <c r="D1934" s="113">
        <v>630</v>
      </c>
      <c r="E1934" s="113">
        <v>1</v>
      </c>
      <c r="F1934" s="113" t="s">
        <v>23</v>
      </c>
      <c r="G1934" s="113" t="s">
        <v>23</v>
      </c>
      <c r="H1934" s="113">
        <v>0</v>
      </c>
      <c r="I1934" s="113">
        <v>0</v>
      </c>
      <c r="K1934" s="113">
        <v>0.75347067499999998</v>
      </c>
      <c r="L1934" s="113">
        <v>0</v>
      </c>
      <c r="M1934" s="113">
        <v>0.74372425900000005</v>
      </c>
      <c r="N1934" s="113">
        <v>0</v>
      </c>
      <c r="O1934" s="114" t="s">
        <v>1095</v>
      </c>
    </row>
    <row r="1935" spans="1:15" x14ac:dyDescent="0.25">
      <c r="A1935" s="113" t="s">
        <v>54</v>
      </c>
      <c r="B1935" s="113" t="s">
        <v>97</v>
      </c>
      <c r="C1935" s="113">
        <v>630</v>
      </c>
      <c r="D1935" s="113">
        <v>630.1</v>
      </c>
      <c r="E1935" s="113">
        <v>0.1</v>
      </c>
      <c r="F1935" s="113" t="s">
        <v>23</v>
      </c>
      <c r="G1935" s="113" t="s">
        <v>23</v>
      </c>
      <c r="H1935" s="113">
        <v>0</v>
      </c>
      <c r="I1935" s="113">
        <v>0</v>
      </c>
      <c r="K1935" s="113">
        <v>0.47301427699999998</v>
      </c>
      <c r="L1935" s="113">
        <v>0</v>
      </c>
      <c r="M1935" s="113">
        <v>0.46914223399999999</v>
      </c>
      <c r="N1935" s="113">
        <v>0</v>
      </c>
      <c r="O1935" s="114" t="s">
        <v>1096</v>
      </c>
    </row>
    <row r="1936" spans="1:15" x14ac:dyDescent="0.25">
      <c r="A1936" s="113" t="s">
        <v>54</v>
      </c>
      <c r="B1936" s="113" t="s">
        <v>97</v>
      </c>
      <c r="C1936" s="113">
        <v>630</v>
      </c>
      <c r="D1936" s="113">
        <v>630.1</v>
      </c>
      <c r="E1936" s="113">
        <v>1</v>
      </c>
      <c r="F1936" s="113" t="s">
        <v>23</v>
      </c>
      <c r="G1936" s="113" t="s">
        <v>23</v>
      </c>
      <c r="H1936" s="113">
        <v>0</v>
      </c>
      <c r="I1936" s="113">
        <v>0</v>
      </c>
      <c r="K1936" s="113">
        <v>0.75347067499999998</v>
      </c>
      <c r="L1936" s="113">
        <v>0</v>
      </c>
      <c r="M1936" s="113">
        <v>0.74372425900000005</v>
      </c>
      <c r="N1936" s="113">
        <v>0</v>
      </c>
      <c r="O1936" s="114" t="s">
        <v>1097</v>
      </c>
    </row>
    <row r="1937" spans="1:15" x14ac:dyDescent="0.25">
      <c r="A1937" s="113" t="s">
        <v>54</v>
      </c>
      <c r="B1937" s="113" t="s">
        <v>93</v>
      </c>
      <c r="C1937" s="113">
        <v>0</v>
      </c>
      <c r="D1937" s="113">
        <v>250.1</v>
      </c>
      <c r="E1937" s="113">
        <v>0.1</v>
      </c>
      <c r="F1937" s="113" t="s">
        <v>23</v>
      </c>
      <c r="G1937" s="113" t="s">
        <v>23</v>
      </c>
      <c r="H1937" s="113">
        <v>0</v>
      </c>
      <c r="I1937" s="113">
        <v>0</v>
      </c>
      <c r="K1937" s="113">
        <v>0.66952654300000003</v>
      </c>
      <c r="L1937" s="113">
        <v>0</v>
      </c>
      <c r="M1937" s="113">
        <v>0.66592057000000004</v>
      </c>
      <c r="N1937" s="113">
        <v>0</v>
      </c>
      <c r="O1937" s="114" t="s">
        <v>1072</v>
      </c>
    </row>
    <row r="1938" spans="1:15" x14ac:dyDescent="0.25">
      <c r="A1938" s="113" t="s">
        <v>54</v>
      </c>
      <c r="B1938" s="113" t="s">
        <v>93</v>
      </c>
      <c r="C1938" s="113">
        <v>0</v>
      </c>
      <c r="D1938" s="113">
        <v>250.1</v>
      </c>
      <c r="E1938" s="113">
        <v>1</v>
      </c>
      <c r="F1938" s="113" t="s">
        <v>23</v>
      </c>
      <c r="G1938" s="113" t="s">
        <v>23</v>
      </c>
      <c r="H1938" s="113">
        <v>0</v>
      </c>
      <c r="I1938" s="113">
        <v>0</v>
      </c>
      <c r="K1938" s="113">
        <v>0.89034406399999999</v>
      </c>
      <c r="L1938" s="113">
        <v>0</v>
      </c>
      <c r="M1938" s="113">
        <v>0.87946017899999995</v>
      </c>
      <c r="N1938" s="113">
        <v>0</v>
      </c>
      <c r="O1938" s="114" t="s">
        <v>1073</v>
      </c>
    </row>
    <row r="1939" spans="1:15" x14ac:dyDescent="0.25">
      <c r="A1939" s="113" t="s">
        <v>54</v>
      </c>
      <c r="B1939" s="113" t="s">
        <v>93</v>
      </c>
      <c r="C1939" s="113">
        <v>250</v>
      </c>
      <c r="D1939" s="113">
        <v>400.1</v>
      </c>
      <c r="E1939" s="113">
        <v>0.1</v>
      </c>
      <c r="F1939" s="113" t="s">
        <v>23</v>
      </c>
      <c r="G1939" s="113" t="s">
        <v>23</v>
      </c>
      <c r="H1939" s="113">
        <v>0</v>
      </c>
      <c r="I1939" s="113">
        <v>0</v>
      </c>
      <c r="K1939" s="113">
        <v>0.41654469300000002</v>
      </c>
      <c r="L1939" s="113">
        <v>0</v>
      </c>
      <c r="M1939" s="113">
        <v>0.41163453</v>
      </c>
      <c r="N1939" s="113">
        <v>0</v>
      </c>
      <c r="O1939" s="114" t="s">
        <v>1074</v>
      </c>
    </row>
    <row r="1940" spans="1:15" x14ac:dyDescent="0.25">
      <c r="A1940" s="113" t="s">
        <v>54</v>
      </c>
      <c r="B1940" s="113" t="s">
        <v>93</v>
      </c>
      <c r="C1940" s="113">
        <v>250</v>
      </c>
      <c r="D1940" s="113">
        <v>400.1</v>
      </c>
      <c r="E1940" s="113">
        <v>1</v>
      </c>
      <c r="F1940" s="113" t="s">
        <v>23</v>
      </c>
      <c r="G1940" s="113" t="s">
        <v>23</v>
      </c>
      <c r="H1940" s="113">
        <v>0</v>
      </c>
      <c r="I1940" s="113">
        <v>0</v>
      </c>
      <c r="K1940" s="113">
        <v>0.71812879500000004</v>
      </c>
      <c r="L1940" s="113">
        <v>0</v>
      </c>
      <c r="M1940" s="113">
        <v>0.70671280299999995</v>
      </c>
      <c r="N1940" s="113">
        <v>0</v>
      </c>
      <c r="O1940" s="114" t="s">
        <v>1075</v>
      </c>
    </row>
    <row r="1941" spans="1:15" x14ac:dyDescent="0.25">
      <c r="A1941" s="113" t="s">
        <v>54</v>
      </c>
      <c r="B1941" s="113" t="s">
        <v>93</v>
      </c>
      <c r="C1941" s="113">
        <v>400</v>
      </c>
      <c r="D1941" s="113">
        <v>1000.1</v>
      </c>
      <c r="E1941" s="113">
        <v>0.1</v>
      </c>
      <c r="F1941" s="113" t="s">
        <v>23</v>
      </c>
      <c r="G1941" s="113" t="s">
        <v>23</v>
      </c>
      <c r="H1941" s="113">
        <v>0</v>
      </c>
      <c r="I1941" s="113">
        <v>0</v>
      </c>
      <c r="K1941" s="113">
        <v>0.39416654600000001</v>
      </c>
      <c r="L1941" s="113">
        <v>0</v>
      </c>
      <c r="M1941" s="113">
        <v>0.38897399700000002</v>
      </c>
      <c r="N1941" s="113">
        <v>0</v>
      </c>
      <c r="O1941" s="114" t="s">
        <v>1076</v>
      </c>
    </row>
    <row r="1942" spans="1:15" x14ac:dyDescent="0.25">
      <c r="A1942" s="113" t="s">
        <v>54</v>
      </c>
      <c r="B1942" s="113" t="s">
        <v>93</v>
      </c>
      <c r="C1942" s="113">
        <v>400</v>
      </c>
      <c r="D1942" s="113">
        <v>1000.1</v>
      </c>
      <c r="E1942" s="113">
        <v>1</v>
      </c>
      <c r="F1942" s="113" t="s">
        <v>23</v>
      </c>
      <c r="G1942" s="113" t="s">
        <v>23</v>
      </c>
      <c r="H1942" s="113">
        <v>0</v>
      </c>
      <c r="I1942" s="113">
        <v>0</v>
      </c>
      <c r="K1942" s="113">
        <v>0.70538411599999995</v>
      </c>
      <c r="L1942" s="113">
        <v>0</v>
      </c>
      <c r="M1942" s="113">
        <v>0.69375843800000003</v>
      </c>
      <c r="N1942" s="113">
        <v>0</v>
      </c>
      <c r="O1942" s="114" t="s">
        <v>1077</v>
      </c>
    </row>
    <row r="1943" spans="1:15" x14ac:dyDescent="0.25">
      <c r="A1943" s="113" t="s">
        <v>54</v>
      </c>
      <c r="B1943" s="113" t="s">
        <v>93</v>
      </c>
      <c r="C1943" s="113">
        <v>1000</v>
      </c>
      <c r="D1943" s="113">
        <v>1767</v>
      </c>
      <c r="E1943" s="113">
        <v>0.1</v>
      </c>
      <c r="F1943" s="113" t="s">
        <v>23</v>
      </c>
      <c r="G1943" s="113" t="s">
        <v>23</v>
      </c>
      <c r="H1943" s="113">
        <v>0</v>
      </c>
      <c r="I1943" s="113">
        <v>0</v>
      </c>
      <c r="K1943" s="113">
        <v>0.53997687599999999</v>
      </c>
      <c r="L1943" s="113">
        <v>0</v>
      </c>
      <c r="M1943" s="113">
        <v>0.53619821999999995</v>
      </c>
      <c r="N1943" s="113">
        <v>0</v>
      </c>
      <c r="O1943" s="114" t="s">
        <v>1078</v>
      </c>
    </row>
    <row r="1944" spans="1:15" x14ac:dyDescent="0.25">
      <c r="A1944" s="113" t="s">
        <v>54</v>
      </c>
      <c r="B1944" s="113" t="s">
        <v>93</v>
      </c>
      <c r="C1944" s="113">
        <v>1000</v>
      </c>
      <c r="D1944" s="113">
        <v>1767</v>
      </c>
      <c r="E1944" s="113">
        <v>1</v>
      </c>
      <c r="F1944" s="113" t="s">
        <v>23</v>
      </c>
      <c r="G1944" s="113" t="s">
        <v>23</v>
      </c>
      <c r="H1944" s="113">
        <v>0</v>
      </c>
      <c r="I1944" s="113">
        <v>0</v>
      </c>
      <c r="K1944" s="113">
        <v>0.79609956199999998</v>
      </c>
      <c r="L1944" s="113">
        <v>0</v>
      </c>
      <c r="M1944" s="113">
        <v>0.78581710999999999</v>
      </c>
      <c r="N1944" s="113">
        <v>0</v>
      </c>
      <c r="O1944" s="114" t="s">
        <v>1079</v>
      </c>
    </row>
    <row r="1945" spans="1:15" x14ac:dyDescent="0.25">
      <c r="A1945" s="113" t="s">
        <v>54</v>
      </c>
      <c r="B1945" s="113" t="s">
        <v>93</v>
      </c>
      <c r="C1945" s="113">
        <v>1767</v>
      </c>
      <c r="D1945" s="113">
        <v>1767.1</v>
      </c>
      <c r="E1945" s="113">
        <v>0.1</v>
      </c>
      <c r="F1945" s="113" t="s">
        <v>23</v>
      </c>
      <c r="G1945" s="113" t="s">
        <v>23</v>
      </c>
      <c r="H1945" s="113">
        <v>0</v>
      </c>
      <c r="I1945" s="113">
        <v>0</v>
      </c>
      <c r="K1945" s="113">
        <v>0.53997687599999999</v>
      </c>
      <c r="L1945" s="113">
        <v>0</v>
      </c>
      <c r="M1945" s="113">
        <v>0.53619821999999995</v>
      </c>
      <c r="N1945" s="113">
        <v>0</v>
      </c>
      <c r="O1945" s="114" t="s">
        <v>1080</v>
      </c>
    </row>
    <row r="1946" spans="1:15" x14ac:dyDescent="0.25">
      <c r="A1946" s="113" t="s">
        <v>54</v>
      </c>
      <c r="B1946" s="113" t="s">
        <v>93</v>
      </c>
      <c r="C1946" s="113">
        <v>1767</v>
      </c>
      <c r="D1946" s="113">
        <v>1767.1</v>
      </c>
      <c r="E1946" s="113">
        <v>1</v>
      </c>
      <c r="F1946" s="113" t="s">
        <v>23</v>
      </c>
      <c r="G1946" s="113" t="s">
        <v>23</v>
      </c>
      <c r="H1946" s="113">
        <v>0</v>
      </c>
      <c r="I1946" s="113">
        <v>0</v>
      </c>
      <c r="K1946" s="113">
        <v>0.79609956199999998</v>
      </c>
      <c r="L1946" s="113">
        <v>0</v>
      </c>
      <c r="M1946" s="113">
        <v>0.78581710999999999</v>
      </c>
      <c r="N1946" s="113">
        <v>0</v>
      </c>
      <c r="O1946" s="114" t="s">
        <v>1081</v>
      </c>
    </row>
    <row r="1947" spans="1:15" x14ac:dyDescent="0.25">
      <c r="A1947" s="113" t="s">
        <v>54</v>
      </c>
      <c r="B1947" s="113" t="s">
        <v>94</v>
      </c>
      <c r="C1947" s="113">
        <v>0</v>
      </c>
      <c r="D1947" s="113">
        <v>250.1</v>
      </c>
      <c r="E1947" s="113">
        <v>0.1</v>
      </c>
      <c r="F1947" s="113" t="s">
        <v>23</v>
      </c>
      <c r="G1947" s="113" t="s">
        <v>23</v>
      </c>
      <c r="H1947" s="113">
        <v>0</v>
      </c>
      <c r="I1947" s="113">
        <v>0</v>
      </c>
      <c r="K1947" s="113">
        <v>0.55632015300000004</v>
      </c>
      <c r="L1947" s="113">
        <v>0</v>
      </c>
      <c r="M1947" s="113">
        <v>0.55207204200000004</v>
      </c>
      <c r="N1947" s="113">
        <v>0</v>
      </c>
      <c r="O1947" s="114" t="s">
        <v>1062</v>
      </c>
    </row>
    <row r="1948" spans="1:15" x14ac:dyDescent="0.25">
      <c r="A1948" s="113" t="s">
        <v>54</v>
      </c>
      <c r="B1948" s="113" t="s">
        <v>94</v>
      </c>
      <c r="C1948" s="113">
        <v>0</v>
      </c>
      <c r="D1948" s="113">
        <v>250.1</v>
      </c>
      <c r="E1948" s="113">
        <v>1</v>
      </c>
      <c r="F1948" s="113" t="s">
        <v>23</v>
      </c>
      <c r="G1948" s="113" t="s">
        <v>23</v>
      </c>
      <c r="H1948" s="113">
        <v>0</v>
      </c>
      <c r="I1948" s="113">
        <v>0</v>
      </c>
      <c r="K1948" s="113">
        <v>0.808466346</v>
      </c>
      <c r="L1948" s="113">
        <v>0</v>
      </c>
      <c r="M1948" s="113">
        <v>0.79673304099999998</v>
      </c>
      <c r="N1948" s="113">
        <v>0</v>
      </c>
      <c r="O1948" s="114" t="s">
        <v>1063</v>
      </c>
    </row>
    <row r="1949" spans="1:15" x14ac:dyDescent="0.25">
      <c r="A1949" s="113" t="s">
        <v>54</v>
      </c>
      <c r="B1949" s="113" t="s">
        <v>94</v>
      </c>
      <c r="C1949" s="113">
        <v>250</v>
      </c>
      <c r="D1949" s="113">
        <v>1000.1</v>
      </c>
      <c r="E1949" s="113">
        <v>0.1</v>
      </c>
      <c r="F1949" s="113" t="s">
        <v>23</v>
      </c>
      <c r="G1949" s="113" t="s">
        <v>23</v>
      </c>
      <c r="H1949" s="113">
        <v>0</v>
      </c>
      <c r="I1949" s="113">
        <v>0</v>
      </c>
      <c r="K1949" s="113">
        <v>0.42875922700000002</v>
      </c>
      <c r="L1949" s="113">
        <v>0</v>
      </c>
      <c r="M1949" s="113">
        <v>0.42399054200000003</v>
      </c>
      <c r="N1949" s="113">
        <v>0</v>
      </c>
      <c r="O1949" s="114" t="s">
        <v>1064</v>
      </c>
    </row>
    <row r="1950" spans="1:15" x14ac:dyDescent="0.25">
      <c r="A1950" s="113" t="s">
        <v>54</v>
      </c>
      <c r="B1950" s="113" t="s">
        <v>94</v>
      </c>
      <c r="C1950" s="113">
        <v>250</v>
      </c>
      <c r="D1950" s="113">
        <v>1000.1</v>
      </c>
      <c r="E1950" s="113">
        <v>1</v>
      </c>
      <c r="F1950" s="113" t="s">
        <v>23</v>
      </c>
      <c r="G1950" s="113" t="s">
        <v>23</v>
      </c>
      <c r="H1950" s="113">
        <v>0</v>
      </c>
      <c r="I1950" s="113">
        <v>0</v>
      </c>
      <c r="K1950" s="113">
        <v>0.72528198700000002</v>
      </c>
      <c r="L1950" s="113">
        <v>0</v>
      </c>
      <c r="M1950" s="113">
        <v>0.71398037800000003</v>
      </c>
      <c r="N1950" s="113">
        <v>0</v>
      </c>
      <c r="O1950" s="114" t="s">
        <v>1065</v>
      </c>
    </row>
    <row r="1951" spans="1:15" x14ac:dyDescent="0.25">
      <c r="A1951" s="113" t="s">
        <v>54</v>
      </c>
      <c r="B1951" s="113" t="s">
        <v>94</v>
      </c>
      <c r="C1951" s="113">
        <v>1000</v>
      </c>
      <c r="D1951" s="113">
        <v>1400.1</v>
      </c>
      <c r="E1951" s="113">
        <v>0.1</v>
      </c>
      <c r="F1951" s="113" t="s">
        <v>23</v>
      </c>
      <c r="G1951" s="113" t="s">
        <v>23</v>
      </c>
      <c r="H1951" s="113">
        <v>0</v>
      </c>
      <c r="I1951" s="113">
        <v>0</v>
      </c>
      <c r="K1951" s="113">
        <v>0.438600078</v>
      </c>
      <c r="L1951" s="113">
        <v>0</v>
      </c>
      <c r="M1951" s="113">
        <v>0.43393955000000001</v>
      </c>
      <c r="N1951" s="113">
        <v>0</v>
      </c>
      <c r="O1951" s="114" t="s">
        <v>1066</v>
      </c>
    </row>
    <row r="1952" spans="1:15" x14ac:dyDescent="0.25">
      <c r="A1952" s="113" t="s">
        <v>54</v>
      </c>
      <c r="B1952" s="113" t="s">
        <v>94</v>
      </c>
      <c r="C1952" s="113">
        <v>1000</v>
      </c>
      <c r="D1952" s="113">
        <v>1400.1</v>
      </c>
      <c r="E1952" s="113">
        <v>1</v>
      </c>
      <c r="F1952" s="113" t="s">
        <v>23</v>
      </c>
      <c r="G1952" s="113" t="s">
        <v>23</v>
      </c>
      <c r="H1952" s="113">
        <v>0</v>
      </c>
      <c r="I1952" s="113">
        <v>0</v>
      </c>
      <c r="K1952" s="113">
        <v>0.73114260799999997</v>
      </c>
      <c r="L1952" s="113">
        <v>0</v>
      </c>
      <c r="M1952" s="113">
        <v>0.71993300599999999</v>
      </c>
      <c r="N1952" s="113">
        <v>0</v>
      </c>
      <c r="O1952" s="114" t="s">
        <v>1067</v>
      </c>
    </row>
    <row r="1953" spans="1:15" x14ac:dyDescent="0.25">
      <c r="A1953" s="113" t="s">
        <v>54</v>
      </c>
      <c r="B1953" s="113" t="s">
        <v>94</v>
      </c>
      <c r="C1953" s="113">
        <v>1400</v>
      </c>
      <c r="D1953" s="113">
        <v>1767</v>
      </c>
      <c r="E1953" s="113">
        <v>0.1</v>
      </c>
      <c r="F1953" s="113" t="s">
        <v>23</v>
      </c>
      <c r="G1953" s="113" t="s">
        <v>23</v>
      </c>
      <c r="H1953" s="113">
        <v>0</v>
      </c>
      <c r="I1953" s="113">
        <v>0</v>
      </c>
      <c r="K1953" s="113">
        <v>0.54056503099999997</v>
      </c>
      <c r="L1953" s="113">
        <v>0</v>
      </c>
      <c r="M1953" s="113">
        <v>0.53679051499999997</v>
      </c>
      <c r="N1953" s="113">
        <v>0</v>
      </c>
      <c r="O1953" s="114" t="s">
        <v>1068</v>
      </c>
    </row>
    <row r="1954" spans="1:15" x14ac:dyDescent="0.25">
      <c r="A1954" s="113" t="s">
        <v>54</v>
      </c>
      <c r="B1954" s="113" t="s">
        <v>94</v>
      </c>
      <c r="C1954" s="113">
        <v>1400</v>
      </c>
      <c r="D1954" s="113">
        <v>1767</v>
      </c>
      <c r="E1954" s="113">
        <v>1</v>
      </c>
      <c r="F1954" s="113" t="s">
        <v>23</v>
      </c>
      <c r="G1954" s="113" t="s">
        <v>23</v>
      </c>
      <c r="H1954" s="113">
        <v>0</v>
      </c>
      <c r="I1954" s="113">
        <v>0</v>
      </c>
      <c r="K1954" s="113">
        <v>0.79649861099999997</v>
      </c>
      <c r="L1954" s="113">
        <v>0</v>
      </c>
      <c r="M1954" s="113">
        <v>0.786221379</v>
      </c>
      <c r="N1954" s="113">
        <v>0</v>
      </c>
      <c r="O1954" s="114" t="s">
        <v>1069</v>
      </c>
    </row>
    <row r="1955" spans="1:15" x14ac:dyDescent="0.25">
      <c r="A1955" s="113" t="s">
        <v>54</v>
      </c>
      <c r="B1955" s="113" t="s">
        <v>94</v>
      </c>
      <c r="C1955" s="113">
        <v>1767</v>
      </c>
      <c r="D1955" s="113">
        <v>1767.1</v>
      </c>
      <c r="E1955" s="113">
        <v>0.1</v>
      </c>
      <c r="F1955" s="113" t="s">
        <v>23</v>
      </c>
      <c r="G1955" s="113" t="s">
        <v>23</v>
      </c>
      <c r="H1955" s="113">
        <v>0</v>
      </c>
      <c r="I1955" s="113">
        <v>0</v>
      </c>
      <c r="K1955" s="113">
        <v>0.54056503099999997</v>
      </c>
      <c r="L1955" s="113">
        <v>0</v>
      </c>
      <c r="M1955" s="113">
        <v>0.53679051499999997</v>
      </c>
      <c r="N1955" s="113">
        <v>0</v>
      </c>
      <c r="O1955" s="114" t="s">
        <v>1070</v>
      </c>
    </row>
    <row r="1956" spans="1:15" x14ac:dyDescent="0.25">
      <c r="A1956" s="113" t="s">
        <v>54</v>
      </c>
      <c r="B1956" s="113" t="s">
        <v>94</v>
      </c>
      <c r="C1956" s="113">
        <v>1767</v>
      </c>
      <c r="D1956" s="113">
        <v>1767.1</v>
      </c>
      <c r="E1956" s="113">
        <v>1</v>
      </c>
      <c r="F1956" s="113" t="s">
        <v>23</v>
      </c>
      <c r="G1956" s="113" t="s">
        <v>23</v>
      </c>
      <c r="H1956" s="113">
        <v>0</v>
      </c>
      <c r="I1956" s="113">
        <v>0</v>
      </c>
      <c r="K1956" s="113">
        <v>0.79649861099999997</v>
      </c>
      <c r="L1956" s="113">
        <v>0</v>
      </c>
      <c r="M1956" s="113">
        <v>0.786221379</v>
      </c>
      <c r="N1956" s="113">
        <v>0</v>
      </c>
      <c r="O1956" s="114" t="s">
        <v>1071</v>
      </c>
    </row>
    <row r="1957" spans="1:15" x14ac:dyDescent="0.25">
      <c r="A1957" s="113" t="s">
        <v>54</v>
      </c>
      <c r="B1957" s="113" t="s">
        <v>95</v>
      </c>
      <c r="C1957" s="113">
        <v>-250</v>
      </c>
      <c r="D1957" s="113">
        <v>-149.9</v>
      </c>
      <c r="E1957" s="113">
        <v>0.1</v>
      </c>
      <c r="F1957" s="113" t="s">
        <v>23</v>
      </c>
      <c r="G1957" s="113" t="s">
        <v>23</v>
      </c>
      <c r="H1957" s="113">
        <v>0</v>
      </c>
      <c r="I1957" s="113">
        <v>0</v>
      </c>
      <c r="K1957" s="113">
        <v>0.55536480200000005</v>
      </c>
      <c r="L1957" s="113">
        <v>0</v>
      </c>
      <c r="M1957" s="113">
        <v>0.55057507900000002</v>
      </c>
      <c r="N1957" s="113">
        <v>0</v>
      </c>
      <c r="O1957" s="114" t="s">
        <v>1052</v>
      </c>
    </row>
    <row r="1958" spans="1:15" x14ac:dyDescent="0.25">
      <c r="A1958" s="113" t="s">
        <v>54</v>
      </c>
      <c r="B1958" s="113" t="s">
        <v>95</v>
      </c>
      <c r="C1958" s="113">
        <v>-250</v>
      </c>
      <c r="D1958" s="113">
        <v>-149.9</v>
      </c>
      <c r="E1958" s="113">
        <v>1</v>
      </c>
      <c r="F1958" s="113" t="s">
        <v>23</v>
      </c>
      <c r="G1958" s="113" t="s">
        <v>23</v>
      </c>
      <c r="H1958" s="113">
        <v>0</v>
      </c>
      <c r="I1958" s="113">
        <v>0</v>
      </c>
      <c r="K1958" s="113">
        <v>0.80890141400000004</v>
      </c>
      <c r="L1958" s="113">
        <v>0</v>
      </c>
      <c r="M1958" s="113">
        <v>0.79569649899999995</v>
      </c>
      <c r="N1958" s="113">
        <v>0</v>
      </c>
      <c r="O1958" s="114" t="s">
        <v>1053</v>
      </c>
    </row>
    <row r="1959" spans="1:15" x14ac:dyDescent="0.25">
      <c r="A1959" s="113" t="s">
        <v>54</v>
      </c>
      <c r="B1959" s="113" t="s">
        <v>95</v>
      </c>
      <c r="C1959" s="113">
        <v>-150</v>
      </c>
      <c r="D1959" s="113">
        <v>0.1</v>
      </c>
      <c r="E1959" s="113">
        <v>0.1</v>
      </c>
      <c r="F1959" s="113" t="s">
        <v>23</v>
      </c>
      <c r="G1959" s="113" t="s">
        <v>23</v>
      </c>
      <c r="H1959" s="113">
        <v>0</v>
      </c>
      <c r="I1959" s="113">
        <v>0</v>
      </c>
      <c r="K1959" s="113">
        <v>0.29307530900000001</v>
      </c>
      <c r="L1959" s="113">
        <v>0</v>
      </c>
      <c r="M1959" s="113">
        <v>0.28549186100000001</v>
      </c>
      <c r="N1959" s="113">
        <v>0</v>
      </c>
      <c r="O1959" s="114" t="s">
        <v>1054</v>
      </c>
    </row>
    <row r="1960" spans="1:15" x14ac:dyDescent="0.25">
      <c r="A1960" s="113" t="s">
        <v>54</v>
      </c>
      <c r="B1960" s="113" t="s">
        <v>95</v>
      </c>
      <c r="C1960" s="113">
        <v>-150</v>
      </c>
      <c r="D1960" s="113">
        <v>0.1</v>
      </c>
      <c r="E1960" s="113">
        <v>1</v>
      </c>
      <c r="F1960" s="113" t="s">
        <v>23</v>
      </c>
      <c r="G1960" s="113" t="s">
        <v>23</v>
      </c>
      <c r="H1960" s="113">
        <v>0</v>
      </c>
      <c r="I1960" s="113">
        <v>0</v>
      </c>
      <c r="K1960" s="113">
        <v>0.65502346499999997</v>
      </c>
      <c r="L1960" s="113">
        <v>0</v>
      </c>
      <c r="M1960" s="113">
        <v>0.64148702499999999</v>
      </c>
      <c r="N1960" s="113">
        <v>0</v>
      </c>
      <c r="O1960" s="114" t="s">
        <v>1055</v>
      </c>
    </row>
    <row r="1961" spans="1:15" x14ac:dyDescent="0.25">
      <c r="A1961" s="113" t="s">
        <v>54</v>
      </c>
      <c r="B1961" s="113" t="s">
        <v>95</v>
      </c>
      <c r="C1961" s="113">
        <v>0</v>
      </c>
      <c r="D1961" s="113">
        <v>120.1</v>
      </c>
      <c r="E1961" s="113">
        <v>0.1</v>
      </c>
      <c r="F1961" s="113" t="s">
        <v>23</v>
      </c>
      <c r="G1961" s="113" t="s">
        <v>23</v>
      </c>
      <c r="H1961" s="113">
        <v>0</v>
      </c>
      <c r="I1961" s="113">
        <v>0</v>
      </c>
      <c r="K1961" s="113">
        <v>0.20014928100000001</v>
      </c>
      <c r="L1961" s="113">
        <v>0</v>
      </c>
      <c r="M1961" s="113">
        <v>0.19650714699999999</v>
      </c>
      <c r="N1961" s="113">
        <v>0</v>
      </c>
      <c r="O1961" s="114" t="s">
        <v>1056</v>
      </c>
    </row>
    <row r="1962" spans="1:15" x14ac:dyDescent="0.25">
      <c r="A1962" s="113" t="s">
        <v>54</v>
      </c>
      <c r="B1962" s="113" t="s">
        <v>95</v>
      </c>
      <c r="C1962" s="113">
        <v>0</v>
      </c>
      <c r="D1962" s="113">
        <v>120.1</v>
      </c>
      <c r="E1962" s="113">
        <v>1</v>
      </c>
      <c r="F1962" s="113" t="s">
        <v>23</v>
      </c>
      <c r="G1962" s="113" t="s">
        <v>23</v>
      </c>
      <c r="H1962" s="113">
        <v>0</v>
      </c>
      <c r="I1962" s="113">
        <v>0</v>
      </c>
      <c r="K1962" s="113">
        <v>0.61187724499999996</v>
      </c>
      <c r="L1962" s="113">
        <v>0</v>
      </c>
      <c r="M1962" s="113">
        <v>0.60713677099999996</v>
      </c>
      <c r="N1962" s="113">
        <v>0</v>
      </c>
      <c r="O1962" s="114" t="s">
        <v>1057</v>
      </c>
    </row>
    <row r="1963" spans="1:15" x14ac:dyDescent="0.25">
      <c r="A1963" s="113" t="s">
        <v>54</v>
      </c>
      <c r="B1963" s="113" t="s">
        <v>95</v>
      </c>
      <c r="C1963" s="113">
        <v>120</v>
      </c>
      <c r="D1963" s="113">
        <v>400</v>
      </c>
      <c r="E1963" s="113">
        <v>0.1</v>
      </c>
      <c r="F1963" s="113" t="s">
        <v>23</v>
      </c>
      <c r="G1963" s="113" t="s">
        <v>23</v>
      </c>
      <c r="H1963" s="113">
        <v>0</v>
      </c>
      <c r="I1963" s="113">
        <v>0</v>
      </c>
      <c r="K1963" s="113">
        <v>0.17895368</v>
      </c>
      <c r="L1963" s="113">
        <v>0</v>
      </c>
      <c r="M1963" s="113">
        <v>0.17487064799999999</v>
      </c>
      <c r="N1963" s="113">
        <v>0</v>
      </c>
      <c r="O1963" s="114" t="s">
        <v>1058</v>
      </c>
    </row>
    <row r="1964" spans="1:15" x14ac:dyDescent="0.25">
      <c r="A1964" s="113" t="s">
        <v>54</v>
      </c>
      <c r="B1964" s="113" t="s">
        <v>95</v>
      </c>
      <c r="C1964" s="113">
        <v>120</v>
      </c>
      <c r="D1964" s="113">
        <v>400</v>
      </c>
      <c r="E1964" s="113">
        <v>1</v>
      </c>
      <c r="F1964" s="113" t="s">
        <v>23</v>
      </c>
      <c r="G1964" s="113" t="s">
        <v>23</v>
      </c>
      <c r="H1964" s="113">
        <v>0</v>
      </c>
      <c r="I1964" s="113">
        <v>0</v>
      </c>
      <c r="K1964" s="113">
        <v>0.60527551300000004</v>
      </c>
      <c r="L1964" s="113">
        <v>0</v>
      </c>
      <c r="M1964" s="113">
        <v>0.600482925</v>
      </c>
      <c r="N1964" s="113">
        <v>0</v>
      </c>
      <c r="O1964" s="114" t="s">
        <v>1059</v>
      </c>
    </row>
    <row r="1965" spans="1:15" x14ac:dyDescent="0.25">
      <c r="A1965" s="113" t="s">
        <v>54</v>
      </c>
      <c r="B1965" s="113" t="s">
        <v>95</v>
      </c>
      <c r="C1965" s="113">
        <v>400</v>
      </c>
      <c r="D1965" s="113">
        <v>400.1</v>
      </c>
      <c r="E1965" s="113">
        <v>0.1</v>
      </c>
      <c r="F1965" s="113" t="s">
        <v>23</v>
      </c>
      <c r="G1965" s="113" t="s">
        <v>23</v>
      </c>
      <c r="H1965" s="113">
        <v>0</v>
      </c>
      <c r="I1965" s="113">
        <v>0</v>
      </c>
      <c r="K1965" s="113">
        <v>0.17895368</v>
      </c>
      <c r="L1965" s="113">
        <v>0</v>
      </c>
      <c r="M1965" s="113">
        <v>0.17487064799999999</v>
      </c>
      <c r="N1965" s="113">
        <v>0</v>
      </c>
      <c r="O1965" s="114" t="s">
        <v>1060</v>
      </c>
    </row>
    <row r="1966" spans="1:15" x14ac:dyDescent="0.25">
      <c r="A1966" s="113" t="s">
        <v>54</v>
      </c>
      <c r="B1966" s="113" t="s">
        <v>95</v>
      </c>
      <c r="C1966" s="113">
        <v>400</v>
      </c>
      <c r="D1966" s="113">
        <v>400.1</v>
      </c>
      <c r="E1966" s="113">
        <v>1</v>
      </c>
      <c r="F1966" s="113" t="s">
        <v>23</v>
      </c>
      <c r="G1966" s="113" t="s">
        <v>23</v>
      </c>
      <c r="H1966" s="113">
        <v>0</v>
      </c>
      <c r="I1966" s="113">
        <v>0</v>
      </c>
      <c r="K1966" s="113">
        <v>0.60527551300000004</v>
      </c>
      <c r="L1966" s="113">
        <v>0</v>
      </c>
      <c r="M1966" s="113">
        <v>0.600482925</v>
      </c>
      <c r="N1966" s="113">
        <v>0</v>
      </c>
      <c r="O1966" s="114" t="s">
        <v>1061</v>
      </c>
    </row>
    <row r="1967" spans="1:15" x14ac:dyDescent="0.25">
      <c r="A1967" s="113" t="s">
        <v>54</v>
      </c>
      <c r="B1967" s="113" t="s">
        <v>46</v>
      </c>
      <c r="C1967" s="113">
        <v>0</v>
      </c>
      <c r="D1967" s="113">
        <v>3.3000999999999999E-4</v>
      </c>
      <c r="E1967" s="113">
        <v>1.0000000000000001E-9</v>
      </c>
      <c r="F1967" s="113" t="s">
        <v>13</v>
      </c>
      <c r="G1967" s="113" t="s">
        <v>11</v>
      </c>
      <c r="H1967" s="113">
        <v>0</v>
      </c>
      <c r="I1967" s="113">
        <v>0</v>
      </c>
      <c r="K1967" s="113">
        <v>2.4E-2</v>
      </c>
      <c r="L1967" s="113">
        <v>180</v>
      </c>
      <c r="M1967" s="113">
        <v>2.3106999999999999E-2</v>
      </c>
      <c r="N1967" s="113">
        <v>175.06</v>
      </c>
      <c r="O1967" s="114" t="s">
        <v>1011</v>
      </c>
    </row>
    <row r="1968" spans="1:15" x14ac:dyDescent="0.25">
      <c r="A1968" s="113" t="s">
        <v>54</v>
      </c>
      <c r="B1968" s="113" t="s">
        <v>46</v>
      </c>
      <c r="C1968" s="113">
        <v>0</v>
      </c>
      <c r="D1968" s="113">
        <v>3.3000999999999999E-4</v>
      </c>
      <c r="E1968" s="113">
        <v>1E-8</v>
      </c>
      <c r="F1968" s="113" t="s">
        <v>13</v>
      </c>
      <c r="G1968" s="113" t="s">
        <v>11</v>
      </c>
      <c r="H1968" s="113">
        <v>0</v>
      </c>
      <c r="I1968" s="113">
        <v>0</v>
      </c>
      <c r="K1968" s="113">
        <v>2.4E-2</v>
      </c>
      <c r="L1968" s="113">
        <v>173.53</v>
      </c>
      <c r="M1968" s="113">
        <v>2.3813999999999998E-2</v>
      </c>
      <c r="N1968" s="113">
        <v>173.54</v>
      </c>
      <c r="O1968" s="114" t="s">
        <v>1012</v>
      </c>
    </row>
    <row r="1969" spans="1:15" x14ac:dyDescent="0.25">
      <c r="A1969" s="113" t="s">
        <v>54</v>
      </c>
      <c r="B1969" s="113" t="s">
        <v>46</v>
      </c>
      <c r="C1969" s="113">
        <v>0</v>
      </c>
      <c r="D1969" s="113">
        <v>3.3000999999999999E-4</v>
      </c>
      <c r="E1969" s="113">
        <v>9.9999999999999995E-8</v>
      </c>
      <c r="F1969" s="113" t="s">
        <v>13</v>
      </c>
      <c r="G1969" s="113" t="s">
        <v>11</v>
      </c>
      <c r="H1969" s="113">
        <v>0</v>
      </c>
      <c r="I1969" s="113">
        <v>0</v>
      </c>
      <c r="K1969" s="113">
        <v>6.2453000000000002E-2</v>
      </c>
      <c r="L1969" s="113">
        <v>113</v>
      </c>
      <c r="M1969" s="113">
        <v>6.2384000000000002E-2</v>
      </c>
      <c r="N1969" s="113">
        <v>113</v>
      </c>
      <c r="O1969" s="114" t="s">
        <v>1013</v>
      </c>
    </row>
    <row r="1970" spans="1:15" x14ac:dyDescent="0.25">
      <c r="A1970" s="113" t="s">
        <v>54</v>
      </c>
      <c r="B1970" s="113" t="s">
        <v>46</v>
      </c>
      <c r="C1970" s="113">
        <v>0</v>
      </c>
      <c r="D1970" s="113">
        <v>3.3000999999999999E-4</v>
      </c>
      <c r="E1970" s="113">
        <v>9.9999999999999995E-7</v>
      </c>
      <c r="F1970" s="113" t="s">
        <v>13</v>
      </c>
      <c r="G1970" s="113" t="s">
        <v>11</v>
      </c>
      <c r="H1970" s="113">
        <v>0</v>
      </c>
      <c r="I1970" s="113">
        <v>0</v>
      </c>
      <c r="K1970" s="113">
        <v>0.58048</v>
      </c>
      <c r="L1970" s="113">
        <v>15.8</v>
      </c>
      <c r="M1970" s="113">
        <v>0.58045000000000002</v>
      </c>
      <c r="N1970" s="113">
        <v>15.6</v>
      </c>
      <c r="O1970" s="114" t="s">
        <v>1014</v>
      </c>
    </row>
    <row r="1971" spans="1:15" x14ac:dyDescent="0.25">
      <c r="A1971" s="113" t="s">
        <v>54</v>
      </c>
      <c r="B1971" s="113" t="s">
        <v>46</v>
      </c>
      <c r="C1971" s="113">
        <v>0</v>
      </c>
      <c r="D1971" s="113">
        <v>3.3000999999999999E-4</v>
      </c>
      <c r="E1971" s="113">
        <v>1.0000000000000001E-5</v>
      </c>
      <c r="F1971" s="113" t="s">
        <v>13</v>
      </c>
      <c r="G1971" s="113" t="s">
        <v>11</v>
      </c>
      <c r="H1971" s="113">
        <v>0</v>
      </c>
      <c r="I1971" s="113">
        <v>0</v>
      </c>
      <c r="K1971" s="113">
        <v>5.8000999999999996</v>
      </c>
      <c r="L1971" s="113">
        <v>1.6500999999999999</v>
      </c>
      <c r="M1971" s="113">
        <v>5.8000999999999996</v>
      </c>
      <c r="N1971" s="113">
        <v>1.5718000000000001</v>
      </c>
      <c r="O1971" s="114" t="s">
        <v>1015</v>
      </c>
    </row>
    <row r="1972" spans="1:15" x14ac:dyDescent="0.25">
      <c r="A1972" s="113" t="s">
        <v>54</v>
      </c>
      <c r="B1972" s="113" t="s">
        <v>46</v>
      </c>
      <c r="C1972" s="113">
        <v>0</v>
      </c>
      <c r="D1972" s="113">
        <v>3.3000999999999999E-4</v>
      </c>
      <c r="E1972" s="113">
        <v>1E-4</v>
      </c>
      <c r="F1972" s="113" t="s">
        <v>13</v>
      </c>
      <c r="G1972" s="113" t="s">
        <v>11</v>
      </c>
      <c r="H1972" s="113">
        <v>0</v>
      </c>
      <c r="I1972" s="113">
        <v>0</v>
      </c>
      <c r="K1972" s="113">
        <v>58</v>
      </c>
      <c r="L1972" s="113">
        <v>0.18851999999999999</v>
      </c>
      <c r="M1972" s="113">
        <v>58</v>
      </c>
      <c r="N1972" s="113">
        <v>0.15719</v>
      </c>
      <c r="O1972" s="114" t="s">
        <v>1016</v>
      </c>
    </row>
    <row r="1973" spans="1:15" x14ac:dyDescent="0.25">
      <c r="A1973" s="113" t="s">
        <v>54</v>
      </c>
      <c r="B1973" s="113" t="s">
        <v>46</v>
      </c>
      <c r="C1973" s="113">
        <v>0</v>
      </c>
      <c r="D1973" s="113">
        <v>3.3000999999999999E-4</v>
      </c>
      <c r="E1973" s="113">
        <v>1E-3</v>
      </c>
      <c r="F1973" s="113" t="s">
        <v>13</v>
      </c>
      <c r="G1973" s="113" t="s">
        <v>11</v>
      </c>
      <c r="H1973" s="113">
        <v>0</v>
      </c>
      <c r="I1973" s="113">
        <v>0</v>
      </c>
      <c r="K1973" s="113">
        <v>580</v>
      </c>
      <c r="L1973" s="113">
        <v>2.8251999999999999E-2</v>
      </c>
      <c r="M1973" s="113">
        <v>580</v>
      </c>
      <c r="N1973" s="113">
        <v>1.5719E-2</v>
      </c>
      <c r="O1973" s="114" t="s">
        <v>1017</v>
      </c>
    </row>
    <row r="1974" spans="1:15" x14ac:dyDescent="0.25">
      <c r="A1974" s="113" t="s">
        <v>54</v>
      </c>
      <c r="B1974" s="113" t="s">
        <v>46</v>
      </c>
      <c r="C1974" s="113">
        <v>0</v>
      </c>
      <c r="D1974" s="113">
        <v>3.3000999999999999E-4</v>
      </c>
      <c r="E1974" s="113">
        <v>0.01</v>
      </c>
      <c r="F1974" s="113" t="s">
        <v>13</v>
      </c>
      <c r="G1974" s="113" t="s">
        <v>12</v>
      </c>
      <c r="H1974" s="113">
        <v>0</v>
      </c>
      <c r="I1974" s="113">
        <v>0</v>
      </c>
      <c r="K1974" s="113">
        <v>5.8</v>
      </c>
      <c r="L1974" s="113">
        <v>6.5850999999999999E-6</v>
      </c>
      <c r="M1974" s="113">
        <v>5.8</v>
      </c>
      <c r="N1974" s="113">
        <v>1.5718999999999999E-6</v>
      </c>
      <c r="O1974" s="114" t="s">
        <v>1018</v>
      </c>
    </row>
    <row r="1975" spans="1:15" x14ac:dyDescent="0.25">
      <c r="A1975" s="113" t="s">
        <v>54</v>
      </c>
      <c r="B1975" s="113" t="s">
        <v>46</v>
      </c>
      <c r="C1975" s="113">
        <v>0</v>
      </c>
      <c r="D1975" s="113">
        <v>3.3000999999999999E-4</v>
      </c>
      <c r="E1975" s="113">
        <v>0.1</v>
      </c>
      <c r="F1975" s="113" t="s">
        <v>13</v>
      </c>
      <c r="G1975" s="113" t="s">
        <v>12</v>
      </c>
      <c r="H1975" s="113">
        <v>0</v>
      </c>
      <c r="I1975" s="113">
        <v>0</v>
      </c>
      <c r="K1975" s="113">
        <v>58</v>
      </c>
      <c r="L1975" s="113">
        <v>2.1625E-6</v>
      </c>
      <c r="M1975" s="113">
        <v>58</v>
      </c>
      <c r="N1975" s="113">
        <v>1.572E-7</v>
      </c>
      <c r="O1975" s="114" t="s">
        <v>1019</v>
      </c>
    </row>
    <row r="1976" spans="1:15" x14ac:dyDescent="0.25">
      <c r="A1976" s="113" t="s">
        <v>54</v>
      </c>
      <c r="B1976" s="113" t="s">
        <v>46</v>
      </c>
      <c r="C1976" s="113">
        <v>3.3E-4</v>
      </c>
      <c r="D1976" s="113">
        <v>3.3000999999999998E-3</v>
      </c>
      <c r="E1976" s="113">
        <v>1E-8</v>
      </c>
      <c r="F1976" s="113" t="s">
        <v>13</v>
      </c>
      <c r="G1976" s="113" t="s">
        <v>11</v>
      </c>
      <c r="H1976" s="113">
        <v>0</v>
      </c>
      <c r="I1976" s="113">
        <v>0</v>
      </c>
      <c r="K1976" s="113">
        <v>6.8000000000000005E-2</v>
      </c>
      <c r="L1976" s="113">
        <v>150</v>
      </c>
      <c r="M1976" s="113">
        <v>5.7598000000000003E-2</v>
      </c>
      <c r="N1976" s="113">
        <v>152.88999999999999</v>
      </c>
      <c r="O1976" s="114" t="s">
        <v>1020</v>
      </c>
    </row>
    <row r="1977" spans="1:15" x14ac:dyDescent="0.25">
      <c r="A1977" s="113" t="s">
        <v>54</v>
      </c>
      <c r="B1977" s="113" t="s">
        <v>46</v>
      </c>
      <c r="C1977" s="113">
        <v>3.3E-4</v>
      </c>
      <c r="D1977" s="113">
        <v>3.3000999999999998E-3</v>
      </c>
      <c r="E1977" s="113">
        <v>9.9999999999999995E-8</v>
      </c>
      <c r="F1977" s="113" t="s">
        <v>13</v>
      </c>
      <c r="G1977" s="113" t="s">
        <v>11</v>
      </c>
      <c r="H1977" s="113">
        <v>0</v>
      </c>
      <c r="I1977" s="113">
        <v>0</v>
      </c>
      <c r="K1977" s="113">
        <v>7.6187000000000005E-2</v>
      </c>
      <c r="L1977" s="113">
        <v>148.47</v>
      </c>
      <c r="M1977" s="113">
        <v>7.3319999999999996E-2</v>
      </c>
      <c r="N1977" s="113">
        <v>149.02000000000001</v>
      </c>
      <c r="O1977" s="114" t="s">
        <v>1021</v>
      </c>
    </row>
    <row r="1978" spans="1:15" x14ac:dyDescent="0.25">
      <c r="A1978" s="113" t="s">
        <v>54</v>
      </c>
      <c r="B1978" s="113" t="s">
        <v>46</v>
      </c>
      <c r="C1978" s="113">
        <v>3.3E-4</v>
      </c>
      <c r="D1978" s="113">
        <v>3.3000999999999998E-3</v>
      </c>
      <c r="E1978" s="113">
        <v>9.9999999999999995E-7</v>
      </c>
      <c r="F1978" s="113" t="s">
        <v>13</v>
      </c>
      <c r="G1978" s="113" t="s">
        <v>11</v>
      </c>
      <c r="H1978" s="113">
        <v>0</v>
      </c>
      <c r="I1978" s="113">
        <v>0</v>
      </c>
      <c r="K1978" s="113">
        <v>0.56791999999999998</v>
      </c>
      <c r="L1978" s="113">
        <v>73.551000000000002</v>
      </c>
      <c r="M1978" s="113">
        <v>0.56576000000000004</v>
      </c>
      <c r="N1978" s="113">
        <v>73.311999999999998</v>
      </c>
      <c r="O1978" s="114" t="s">
        <v>1022</v>
      </c>
    </row>
    <row r="1979" spans="1:15" x14ac:dyDescent="0.25">
      <c r="A1979" s="113" t="s">
        <v>54</v>
      </c>
      <c r="B1979" s="113" t="s">
        <v>46</v>
      </c>
      <c r="C1979" s="113">
        <v>3.3E-4</v>
      </c>
      <c r="D1979" s="113">
        <v>3.3000999999999998E-3</v>
      </c>
      <c r="E1979" s="113">
        <v>1.0000000000000001E-5</v>
      </c>
      <c r="F1979" s="113" t="s">
        <v>13</v>
      </c>
      <c r="G1979" s="113" t="s">
        <v>11</v>
      </c>
      <c r="H1979" s="113">
        <v>0</v>
      </c>
      <c r="I1979" s="113">
        <v>0</v>
      </c>
      <c r="K1979" s="113">
        <v>5.7988999999999997</v>
      </c>
      <c r="L1979" s="113">
        <v>9.0556999999999999</v>
      </c>
      <c r="M1979" s="113">
        <v>5.7980999999999998</v>
      </c>
      <c r="N1979" s="113">
        <v>8.8116000000000003</v>
      </c>
      <c r="O1979" s="114" t="s">
        <v>1023</v>
      </c>
    </row>
    <row r="1980" spans="1:15" x14ac:dyDescent="0.25">
      <c r="A1980" s="113" t="s">
        <v>54</v>
      </c>
      <c r="B1980" s="113" t="s">
        <v>46</v>
      </c>
      <c r="C1980" s="113">
        <v>3.3E-4</v>
      </c>
      <c r="D1980" s="113">
        <v>3.3000999999999998E-3</v>
      </c>
      <c r="E1980" s="113">
        <v>1E-4</v>
      </c>
      <c r="F1980" s="113" t="s">
        <v>13</v>
      </c>
      <c r="G1980" s="113" t="s">
        <v>11</v>
      </c>
      <c r="H1980" s="113">
        <v>0</v>
      </c>
      <c r="I1980" s="113">
        <v>0</v>
      </c>
      <c r="K1980" s="113">
        <v>58</v>
      </c>
      <c r="L1980" s="113">
        <v>0.98192000000000002</v>
      </c>
      <c r="M1980" s="113">
        <v>58</v>
      </c>
      <c r="N1980" s="113">
        <v>0.88327999999999995</v>
      </c>
      <c r="O1980" s="114" t="s">
        <v>1024</v>
      </c>
    </row>
    <row r="1981" spans="1:15" x14ac:dyDescent="0.25">
      <c r="A1981" s="113" t="s">
        <v>54</v>
      </c>
      <c r="B1981" s="113" t="s">
        <v>46</v>
      </c>
      <c r="C1981" s="113">
        <v>3.3E-3</v>
      </c>
      <c r="D1981" s="113">
        <v>3.3001000000000003E-2</v>
      </c>
      <c r="E1981" s="113">
        <v>9.9999999999999995E-8</v>
      </c>
      <c r="F1981" s="113" t="s">
        <v>13</v>
      </c>
      <c r="G1981" s="113" t="s">
        <v>11</v>
      </c>
      <c r="H1981" s="113">
        <v>0</v>
      </c>
      <c r="I1981" s="113">
        <v>0</v>
      </c>
      <c r="K1981" s="113">
        <v>0.21</v>
      </c>
      <c r="L1981" s="113">
        <v>150</v>
      </c>
      <c r="M1981" s="113">
        <v>0.20100000000000001</v>
      </c>
      <c r="N1981" s="113">
        <v>145.79</v>
      </c>
      <c r="O1981" s="114" t="s">
        <v>1025</v>
      </c>
    </row>
    <row r="1982" spans="1:15" x14ac:dyDescent="0.25">
      <c r="A1982" s="113" t="s">
        <v>54</v>
      </c>
      <c r="B1982" s="113" t="s">
        <v>46</v>
      </c>
      <c r="C1982" s="113">
        <v>3.3E-3</v>
      </c>
      <c r="D1982" s="113">
        <v>3.3001000000000003E-2</v>
      </c>
      <c r="E1982" s="113">
        <v>9.9999999999999995E-7</v>
      </c>
      <c r="F1982" s="113" t="s">
        <v>13</v>
      </c>
      <c r="G1982" s="113" t="s">
        <v>11</v>
      </c>
      <c r="H1982" s="113">
        <v>0</v>
      </c>
      <c r="I1982" s="113">
        <v>0</v>
      </c>
      <c r="K1982" s="113">
        <v>0.44201000000000001</v>
      </c>
      <c r="L1982" s="113">
        <v>139.58000000000001</v>
      </c>
      <c r="M1982" s="113">
        <v>0.43215999999999999</v>
      </c>
      <c r="N1982" s="113">
        <v>139.79</v>
      </c>
      <c r="O1982" s="114" t="s">
        <v>1026</v>
      </c>
    </row>
    <row r="1983" spans="1:15" x14ac:dyDescent="0.25">
      <c r="A1983" s="113" t="s">
        <v>54</v>
      </c>
      <c r="B1983" s="113" t="s">
        <v>46</v>
      </c>
      <c r="C1983" s="113">
        <v>3.3E-3</v>
      </c>
      <c r="D1983" s="113">
        <v>3.3001000000000003E-2</v>
      </c>
      <c r="E1983" s="113">
        <v>1.0000000000000001E-5</v>
      </c>
      <c r="F1983" s="113" t="s">
        <v>13</v>
      </c>
      <c r="G1983" s="113" t="s">
        <v>11</v>
      </c>
      <c r="H1983" s="113">
        <v>0</v>
      </c>
      <c r="I1983" s="113">
        <v>0</v>
      </c>
      <c r="K1983" s="113">
        <v>5.6421999999999999</v>
      </c>
      <c r="L1983" s="113">
        <v>61.543999999999997</v>
      </c>
      <c r="M1983" s="113">
        <v>5.6368999999999998</v>
      </c>
      <c r="N1983" s="113">
        <v>61.47</v>
      </c>
      <c r="O1983" s="114" t="s">
        <v>1027</v>
      </c>
    </row>
    <row r="1984" spans="1:15" x14ac:dyDescent="0.25">
      <c r="A1984" s="113" t="s">
        <v>54</v>
      </c>
      <c r="B1984" s="113" t="s">
        <v>46</v>
      </c>
      <c r="C1984" s="113">
        <v>3.3E-3</v>
      </c>
      <c r="D1984" s="113">
        <v>3.3001000000000003E-2</v>
      </c>
      <c r="E1984" s="113">
        <v>1E-4</v>
      </c>
      <c r="F1984" s="113" t="s">
        <v>13</v>
      </c>
      <c r="G1984" s="113" t="s">
        <v>11</v>
      </c>
      <c r="H1984" s="113">
        <v>0</v>
      </c>
      <c r="I1984" s="113">
        <v>0</v>
      </c>
      <c r="K1984" s="113">
        <v>57.982999999999997</v>
      </c>
      <c r="L1984" s="113">
        <v>7.2053000000000003</v>
      </c>
      <c r="M1984" s="113">
        <v>57.981000000000002</v>
      </c>
      <c r="N1984" s="113">
        <v>7.1429999999999998</v>
      </c>
      <c r="O1984" s="114" t="s">
        <v>1028</v>
      </c>
    </row>
    <row r="1985" spans="1:15" x14ac:dyDescent="0.25">
      <c r="A1985" s="113" t="s">
        <v>54</v>
      </c>
      <c r="B1985" s="113" t="s">
        <v>46</v>
      </c>
      <c r="C1985" s="113">
        <v>3.3E-3</v>
      </c>
      <c r="D1985" s="113">
        <v>3.3001000000000003E-2</v>
      </c>
      <c r="E1985" s="113">
        <v>1E-3</v>
      </c>
      <c r="F1985" s="113" t="s">
        <v>13</v>
      </c>
      <c r="G1985" s="113" t="s">
        <v>11</v>
      </c>
      <c r="H1985" s="113">
        <v>0</v>
      </c>
      <c r="I1985" s="113">
        <v>0</v>
      </c>
      <c r="K1985" s="113">
        <v>580</v>
      </c>
      <c r="L1985" s="113">
        <v>0.74075999999999997</v>
      </c>
      <c r="M1985" s="113">
        <v>580</v>
      </c>
      <c r="N1985" s="113">
        <v>0.71564000000000005</v>
      </c>
      <c r="O1985" s="114" t="s">
        <v>1029</v>
      </c>
    </row>
    <row r="1986" spans="1:15" x14ac:dyDescent="0.25">
      <c r="A1986" s="113" t="s">
        <v>54</v>
      </c>
      <c r="B1986" s="113" t="s">
        <v>46</v>
      </c>
      <c r="C1986" s="113">
        <v>3.3000000000000002E-2</v>
      </c>
      <c r="D1986" s="113">
        <v>0.33001000000000003</v>
      </c>
      <c r="E1986" s="113">
        <v>9.9999999999999995E-7</v>
      </c>
      <c r="F1986" s="113" t="s">
        <v>13</v>
      </c>
      <c r="G1986" s="113" t="s">
        <v>11</v>
      </c>
      <c r="H1986" s="113">
        <v>0</v>
      </c>
      <c r="I1986" s="113">
        <v>0</v>
      </c>
      <c r="K1986" s="113">
        <v>3</v>
      </c>
      <c r="L1986" s="113">
        <v>120</v>
      </c>
      <c r="M1986" s="113">
        <v>2.9413999999999998</v>
      </c>
      <c r="N1986" s="113">
        <v>115.33</v>
      </c>
      <c r="O1986" s="114" t="s">
        <v>1030</v>
      </c>
    </row>
    <row r="1987" spans="1:15" x14ac:dyDescent="0.25">
      <c r="A1987" s="113" t="s">
        <v>54</v>
      </c>
      <c r="B1987" s="113" t="s">
        <v>46</v>
      </c>
      <c r="C1987" s="113">
        <v>3.3000000000000002E-2</v>
      </c>
      <c r="D1987" s="113">
        <v>0.33001000000000003</v>
      </c>
      <c r="E1987" s="113">
        <v>1.0000000000000001E-5</v>
      </c>
      <c r="F1987" s="113" t="s">
        <v>13</v>
      </c>
      <c r="G1987" s="113" t="s">
        <v>11</v>
      </c>
      <c r="H1987" s="113">
        <v>0</v>
      </c>
      <c r="I1987" s="113">
        <v>0</v>
      </c>
      <c r="K1987" s="113">
        <v>5.2853000000000003</v>
      </c>
      <c r="L1987" s="113">
        <v>109.48</v>
      </c>
      <c r="M1987" s="113">
        <v>5.266</v>
      </c>
      <c r="N1987" s="113">
        <v>109.51</v>
      </c>
      <c r="O1987" s="114" t="s">
        <v>1031</v>
      </c>
    </row>
    <row r="1988" spans="1:15" x14ac:dyDescent="0.25">
      <c r="A1988" s="113" t="s">
        <v>54</v>
      </c>
      <c r="B1988" s="113" t="s">
        <v>46</v>
      </c>
      <c r="C1988" s="113">
        <v>3.3000000000000002E-2</v>
      </c>
      <c r="D1988" s="113">
        <v>0.33001000000000003</v>
      </c>
      <c r="E1988" s="113">
        <v>1E-4</v>
      </c>
      <c r="F1988" s="113" t="s">
        <v>13</v>
      </c>
      <c r="G1988" s="113" t="s">
        <v>11</v>
      </c>
      <c r="H1988" s="113">
        <v>0</v>
      </c>
      <c r="I1988" s="113">
        <v>0</v>
      </c>
      <c r="K1988" s="113">
        <v>56.994999999999997</v>
      </c>
      <c r="L1988" s="113">
        <v>42.585000000000001</v>
      </c>
      <c r="M1988" s="113">
        <v>56.984000000000002</v>
      </c>
      <c r="N1988" s="113">
        <v>42.551000000000002</v>
      </c>
      <c r="O1988" s="114" t="s">
        <v>1032</v>
      </c>
    </row>
    <row r="1989" spans="1:15" x14ac:dyDescent="0.25">
      <c r="A1989" s="113" t="s">
        <v>54</v>
      </c>
      <c r="B1989" s="113" t="s">
        <v>46</v>
      </c>
      <c r="C1989" s="113">
        <v>3.3000000000000002E-2</v>
      </c>
      <c r="D1989" s="113">
        <v>0.33001000000000003</v>
      </c>
      <c r="E1989" s="113">
        <v>1E-3</v>
      </c>
      <c r="F1989" s="113" t="s">
        <v>13</v>
      </c>
      <c r="G1989" s="113" t="s">
        <v>11</v>
      </c>
      <c r="H1989" s="113">
        <v>0</v>
      </c>
      <c r="I1989" s="113">
        <v>0</v>
      </c>
      <c r="K1989" s="113">
        <v>579.89</v>
      </c>
      <c r="L1989" s="113">
        <v>4.7610000000000001</v>
      </c>
      <c r="M1989" s="113">
        <v>579.88</v>
      </c>
      <c r="N1989" s="113">
        <v>4.7411000000000003</v>
      </c>
      <c r="O1989" s="114" t="s">
        <v>1033</v>
      </c>
    </row>
    <row r="1990" spans="1:15" x14ac:dyDescent="0.25">
      <c r="A1990" s="113" t="s">
        <v>54</v>
      </c>
      <c r="B1990" s="113" t="s">
        <v>46</v>
      </c>
      <c r="C1990" s="113">
        <v>3.3000000000000002E-2</v>
      </c>
      <c r="D1990" s="113">
        <v>0.33001000000000003</v>
      </c>
      <c r="E1990" s="113">
        <v>0.01</v>
      </c>
      <c r="F1990" s="113" t="s">
        <v>13</v>
      </c>
      <c r="G1990" s="113" t="s">
        <v>11</v>
      </c>
      <c r="H1990" s="113">
        <v>0</v>
      </c>
      <c r="I1990" s="113">
        <v>0</v>
      </c>
      <c r="K1990" s="113">
        <v>5800</v>
      </c>
      <c r="L1990" s="113">
        <v>0.48270000000000002</v>
      </c>
      <c r="M1990" s="113">
        <v>5800</v>
      </c>
      <c r="N1990" s="113">
        <v>0.47471000000000002</v>
      </c>
      <c r="O1990" s="114" t="s">
        <v>1034</v>
      </c>
    </row>
    <row r="1991" spans="1:15" x14ac:dyDescent="0.25">
      <c r="A1991" s="113" t="s">
        <v>54</v>
      </c>
      <c r="B1991" s="113" t="s">
        <v>46</v>
      </c>
      <c r="C1991" s="113">
        <v>0.33</v>
      </c>
      <c r="D1991" s="113">
        <v>3.0001000000000002</v>
      </c>
      <c r="E1991" s="113">
        <v>1.0000000000000001E-5</v>
      </c>
      <c r="F1991" s="113" t="s">
        <v>13</v>
      </c>
      <c r="G1991" s="113" t="s">
        <v>12</v>
      </c>
      <c r="H1991" s="113">
        <v>0</v>
      </c>
      <c r="I1991" s="113">
        <v>0</v>
      </c>
      <c r="K1991" s="113">
        <v>5.1999999999999998E-2</v>
      </c>
      <c r="L1991" s="113">
        <v>0.44</v>
      </c>
      <c r="M1991" s="113">
        <v>5.0999999999999997E-2</v>
      </c>
      <c r="N1991" s="113">
        <v>0.43873000000000001</v>
      </c>
      <c r="O1991" s="114" t="s">
        <v>1035</v>
      </c>
    </row>
    <row r="1992" spans="1:15" x14ac:dyDescent="0.25">
      <c r="A1992" s="113" t="s">
        <v>54</v>
      </c>
      <c r="B1992" s="113" t="s">
        <v>46</v>
      </c>
      <c r="C1992" s="113">
        <v>0.33</v>
      </c>
      <c r="D1992" s="113">
        <v>3.0001000000000002</v>
      </c>
      <c r="E1992" s="113">
        <v>1E-4</v>
      </c>
      <c r="F1992" s="113" t="s">
        <v>13</v>
      </c>
      <c r="G1992" s="113" t="s">
        <v>12</v>
      </c>
      <c r="H1992" s="113">
        <v>0</v>
      </c>
      <c r="I1992" s="113">
        <v>0</v>
      </c>
      <c r="K1992" s="113">
        <v>6.0248999999999997E-2</v>
      </c>
      <c r="L1992" s="113">
        <v>0.43614000000000003</v>
      </c>
      <c r="M1992" s="113">
        <v>6.0204000000000001E-2</v>
      </c>
      <c r="N1992" s="113">
        <v>0.43607000000000001</v>
      </c>
      <c r="O1992" s="114" t="s">
        <v>1036</v>
      </c>
    </row>
    <row r="1993" spans="1:15" x14ac:dyDescent="0.25">
      <c r="A1993" s="113" t="s">
        <v>54</v>
      </c>
      <c r="B1993" s="113" t="s">
        <v>46</v>
      </c>
      <c r="C1993" s="113">
        <v>0.33</v>
      </c>
      <c r="D1993" s="113">
        <v>3.0001000000000002</v>
      </c>
      <c r="E1993" s="113">
        <v>1E-3</v>
      </c>
      <c r="F1993" s="113" t="s">
        <v>13</v>
      </c>
      <c r="G1993" s="113" t="s">
        <v>12</v>
      </c>
      <c r="H1993" s="113">
        <v>0</v>
      </c>
      <c r="I1993" s="113">
        <v>0</v>
      </c>
      <c r="K1993" s="113">
        <v>0.50421000000000005</v>
      </c>
      <c r="L1993" s="113">
        <v>0.32729000000000003</v>
      </c>
      <c r="M1993" s="113">
        <v>0.50424000000000002</v>
      </c>
      <c r="N1993" s="113">
        <v>0.32695999999999997</v>
      </c>
      <c r="O1993" s="114" t="s">
        <v>1037</v>
      </c>
    </row>
    <row r="1994" spans="1:15" x14ac:dyDescent="0.25">
      <c r="A1994" s="113" t="s">
        <v>54</v>
      </c>
      <c r="B1994" s="113" t="s">
        <v>46</v>
      </c>
      <c r="C1994" s="113">
        <v>0.33</v>
      </c>
      <c r="D1994" s="113">
        <v>3.0001000000000002</v>
      </c>
      <c r="E1994" s="113">
        <v>0.01</v>
      </c>
      <c r="F1994" s="113" t="s">
        <v>13</v>
      </c>
      <c r="G1994" s="113" t="s">
        <v>12</v>
      </c>
      <c r="H1994" s="113">
        <v>0</v>
      </c>
      <c r="I1994" s="113">
        <v>0</v>
      </c>
      <c r="K1994" s="113">
        <v>5.7839999999999998</v>
      </c>
      <c r="L1994" s="113">
        <v>5.8643000000000001E-2</v>
      </c>
      <c r="M1994" s="113">
        <v>5.7840999999999996</v>
      </c>
      <c r="N1994" s="113">
        <v>5.8298999999999997E-2</v>
      </c>
      <c r="O1994" s="114" t="s">
        <v>1038</v>
      </c>
    </row>
    <row r="1995" spans="1:15" x14ac:dyDescent="0.25">
      <c r="A1995" s="113" t="s">
        <v>54</v>
      </c>
      <c r="B1995" s="113" t="s">
        <v>46</v>
      </c>
      <c r="C1995" s="113">
        <v>0.33</v>
      </c>
      <c r="D1995" s="113">
        <v>3.0001000000000002</v>
      </c>
      <c r="E1995" s="113">
        <v>0.1</v>
      </c>
      <c r="F1995" s="113" t="s">
        <v>13</v>
      </c>
      <c r="G1995" s="113" t="s">
        <v>12</v>
      </c>
      <c r="H1995" s="113">
        <v>0</v>
      </c>
      <c r="I1995" s="113">
        <v>0</v>
      </c>
      <c r="K1995" s="113">
        <v>57.997999999999998</v>
      </c>
      <c r="L1995" s="113">
        <v>6.0523E-3</v>
      </c>
      <c r="M1995" s="113">
        <v>57.997999999999998</v>
      </c>
      <c r="N1995" s="113">
        <v>5.9106000000000002E-3</v>
      </c>
      <c r="O1995" s="114" t="s">
        <v>1039</v>
      </c>
    </row>
    <row r="1996" spans="1:15" x14ac:dyDescent="0.25">
      <c r="A1996" s="113" t="s">
        <v>54</v>
      </c>
      <c r="B1996" s="113" t="s">
        <v>46</v>
      </c>
      <c r="C1996" s="113">
        <v>3</v>
      </c>
      <c r="D1996" s="113">
        <v>11.000999999999999</v>
      </c>
      <c r="E1996" s="113">
        <v>1E-4</v>
      </c>
      <c r="F1996" s="113" t="s">
        <v>13</v>
      </c>
      <c r="G1996" s="113" t="s">
        <v>12</v>
      </c>
      <c r="H1996" s="113">
        <v>0</v>
      </c>
      <c r="I1996" s="113">
        <v>0</v>
      </c>
      <c r="K1996" s="113">
        <v>-2.4E-2</v>
      </c>
      <c r="L1996" s="113">
        <v>0.92</v>
      </c>
      <c r="M1996" s="113">
        <v>-2.4618999999999999E-2</v>
      </c>
      <c r="N1996" s="113">
        <v>0.91522999999999999</v>
      </c>
      <c r="O1996" s="114" t="s">
        <v>1040</v>
      </c>
    </row>
    <row r="1997" spans="1:15" x14ac:dyDescent="0.25">
      <c r="A1997" s="113" t="s">
        <v>54</v>
      </c>
      <c r="B1997" s="113" t="s">
        <v>46</v>
      </c>
      <c r="C1997" s="113">
        <v>3</v>
      </c>
      <c r="D1997" s="113">
        <v>11.000999999999999</v>
      </c>
      <c r="E1997" s="113">
        <v>1E-3</v>
      </c>
      <c r="F1997" s="113" t="s">
        <v>13</v>
      </c>
      <c r="G1997" s="113" t="s">
        <v>12</v>
      </c>
      <c r="H1997" s="113">
        <v>0</v>
      </c>
      <c r="I1997" s="113">
        <v>0</v>
      </c>
      <c r="K1997" s="113">
        <v>5.5271000000000001E-2</v>
      </c>
      <c r="L1997" s="113">
        <v>0.90973000000000004</v>
      </c>
      <c r="M1997" s="113">
        <v>5.2344000000000002E-2</v>
      </c>
      <c r="N1997" s="113">
        <v>0.90973999999999999</v>
      </c>
      <c r="O1997" s="114" t="s">
        <v>1041</v>
      </c>
    </row>
    <row r="1998" spans="1:15" x14ac:dyDescent="0.25">
      <c r="A1998" s="113" t="s">
        <v>54</v>
      </c>
      <c r="B1998" s="113" t="s">
        <v>46</v>
      </c>
      <c r="C1998" s="113">
        <v>3</v>
      </c>
      <c r="D1998" s="113">
        <v>11.000999999999999</v>
      </c>
      <c r="E1998" s="113">
        <v>0.01</v>
      </c>
      <c r="F1998" s="113" t="s">
        <v>13</v>
      </c>
      <c r="G1998" s="113" t="s">
        <v>12</v>
      </c>
      <c r="H1998" s="113">
        <v>0</v>
      </c>
      <c r="I1998" s="113">
        <v>0</v>
      </c>
      <c r="K1998" s="113">
        <v>4.4629000000000003</v>
      </c>
      <c r="L1998" s="113">
        <v>0.64946999999999999</v>
      </c>
      <c r="M1998" s="113">
        <v>4.4596999999999998</v>
      </c>
      <c r="N1998" s="113">
        <v>0.64886999999999995</v>
      </c>
      <c r="O1998" s="114" t="s">
        <v>1042</v>
      </c>
    </row>
    <row r="1999" spans="1:15" x14ac:dyDescent="0.25">
      <c r="A1999" s="113" t="s">
        <v>54</v>
      </c>
      <c r="B1999" s="113" t="s">
        <v>46</v>
      </c>
      <c r="C1999" s="113">
        <v>3</v>
      </c>
      <c r="D1999" s="113">
        <v>11.000999999999999</v>
      </c>
      <c r="E1999" s="113">
        <v>0.1</v>
      </c>
      <c r="F1999" s="113" t="s">
        <v>13</v>
      </c>
      <c r="G1999" s="113" t="s">
        <v>12</v>
      </c>
      <c r="H1999" s="113">
        <v>0</v>
      </c>
      <c r="I1999" s="113">
        <v>0</v>
      </c>
      <c r="K1999" s="113">
        <v>57.764000000000003</v>
      </c>
      <c r="L1999" s="113">
        <v>0.10059999999999999</v>
      </c>
      <c r="M1999" s="113">
        <v>57.764000000000003</v>
      </c>
      <c r="N1999" s="113">
        <v>9.9908999999999998E-2</v>
      </c>
      <c r="O1999" s="114" t="s">
        <v>1043</v>
      </c>
    </row>
    <row r="2000" spans="1:15" x14ac:dyDescent="0.25">
      <c r="A2000" s="113" t="s">
        <v>54</v>
      </c>
      <c r="B2000" s="113" t="s">
        <v>46</v>
      </c>
      <c r="C2000" s="113">
        <v>11</v>
      </c>
      <c r="D2000" s="113">
        <v>20.5</v>
      </c>
      <c r="E2000" s="113">
        <v>1E-4</v>
      </c>
      <c r="F2000" s="113" t="s">
        <v>13</v>
      </c>
      <c r="G2000" s="113" t="s">
        <v>12</v>
      </c>
      <c r="H2000" s="113">
        <v>0</v>
      </c>
      <c r="I2000" s="113">
        <v>0</v>
      </c>
      <c r="K2000" s="113">
        <v>2.7</v>
      </c>
      <c r="L2000" s="113">
        <v>1.1000000000000001</v>
      </c>
      <c r="M2000" s="113">
        <v>2.6473</v>
      </c>
      <c r="N2000" s="113">
        <v>1.1008</v>
      </c>
      <c r="O2000" s="114" t="s">
        <v>1044</v>
      </c>
    </row>
    <row r="2001" spans="1:15" x14ac:dyDescent="0.25">
      <c r="A2001" s="113" t="s">
        <v>54</v>
      </c>
      <c r="B2001" s="113" t="s">
        <v>46</v>
      </c>
      <c r="C2001" s="113">
        <v>11</v>
      </c>
      <c r="D2001" s="113">
        <v>20.5</v>
      </c>
      <c r="E2001" s="113">
        <v>1E-3</v>
      </c>
      <c r="F2001" s="113" t="s">
        <v>13</v>
      </c>
      <c r="G2001" s="113" t="s">
        <v>12</v>
      </c>
      <c r="H2001" s="113">
        <v>0</v>
      </c>
      <c r="I2001" s="113">
        <v>0</v>
      </c>
      <c r="K2001" s="113">
        <v>2.7</v>
      </c>
      <c r="L2001" s="113">
        <v>1.1006</v>
      </c>
      <c r="M2001" s="113">
        <v>2.6625999999999999</v>
      </c>
      <c r="N2001" s="113">
        <v>1.1004</v>
      </c>
      <c r="O2001" s="114" t="s">
        <v>1045</v>
      </c>
    </row>
    <row r="2002" spans="1:15" x14ac:dyDescent="0.25">
      <c r="A2002" s="113" t="s">
        <v>54</v>
      </c>
      <c r="B2002" s="113" t="s">
        <v>46</v>
      </c>
      <c r="C2002" s="113">
        <v>11</v>
      </c>
      <c r="D2002" s="113">
        <v>20.5</v>
      </c>
      <c r="E2002" s="113">
        <v>0.01</v>
      </c>
      <c r="F2002" s="113" t="s">
        <v>13</v>
      </c>
      <c r="G2002" s="113" t="s">
        <v>12</v>
      </c>
      <c r="H2002" s="113">
        <v>0</v>
      </c>
      <c r="I2002" s="113">
        <v>0</v>
      </c>
      <c r="K2002" s="113">
        <v>4.2515999999999998</v>
      </c>
      <c r="L2002" s="113">
        <v>1.0555000000000001</v>
      </c>
      <c r="M2002" s="113">
        <v>4.2550999999999997</v>
      </c>
      <c r="N2002" s="113">
        <v>1.0545</v>
      </c>
      <c r="O2002" s="114" t="s">
        <v>1046</v>
      </c>
    </row>
    <row r="2003" spans="1:15" x14ac:dyDescent="0.25">
      <c r="A2003" s="113" t="s">
        <v>54</v>
      </c>
      <c r="B2003" s="113" t="s">
        <v>46</v>
      </c>
      <c r="C2003" s="113">
        <v>11</v>
      </c>
      <c r="D2003" s="113">
        <v>20.5</v>
      </c>
      <c r="E2003" s="113">
        <v>0.1</v>
      </c>
      <c r="F2003" s="113" t="s">
        <v>13</v>
      </c>
      <c r="G2003" s="113" t="s">
        <v>12</v>
      </c>
      <c r="H2003" s="113">
        <v>0</v>
      </c>
      <c r="I2003" s="113">
        <v>0</v>
      </c>
      <c r="K2003" s="113">
        <v>55.899000000000001</v>
      </c>
      <c r="L2003" s="113">
        <v>0.35962</v>
      </c>
      <c r="M2003" s="113">
        <v>55.915999999999997</v>
      </c>
      <c r="N2003" s="113">
        <v>0.35746</v>
      </c>
      <c r="O2003" s="114" t="s">
        <v>1047</v>
      </c>
    </row>
    <row r="2004" spans="1:15" x14ac:dyDescent="0.25">
      <c r="A2004" s="113" t="s">
        <v>54</v>
      </c>
      <c r="B2004" s="113" t="s">
        <v>46</v>
      </c>
      <c r="C2004" s="113">
        <v>20.5</v>
      </c>
      <c r="D2004" s="113">
        <v>20.6</v>
      </c>
      <c r="E2004" s="113">
        <v>1E-4</v>
      </c>
      <c r="F2004" s="113" t="s">
        <v>13</v>
      </c>
      <c r="G2004" s="113" t="s">
        <v>12</v>
      </c>
      <c r="H2004" s="113">
        <v>0</v>
      </c>
      <c r="I2004" s="113">
        <v>0</v>
      </c>
      <c r="K2004" s="113">
        <v>2.7</v>
      </c>
      <c r="L2004" s="113">
        <v>1.1000000000000001</v>
      </c>
      <c r="M2004" s="113">
        <v>2.6473</v>
      </c>
      <c r="N2004" s="113">
        <v>1.1008</v>
      </c>
      <c r="O2004" s="114" t="s">
        <v>1048</v>
      </c>
    </row>
    <row r="2005" spans="1:15" x14ac:dyDescent="0.25">
      <c r="A2005" s="113" t="s">
        <v>54</v>
      </c>
      <c r="B2005" s="113" t="s">
        <v>46</v>
      </c>
      <c r="C2005" s="113">
        <v>20.5</v>
      </c>
      <c r="D2005" s="113">
        <v>20.6</v>
      </c>
      <c r="E2005" s="113">
        <v>1E-3</v>
      </c>
      <c r="F2005" s="113" t="s">
        <v>13</v>
      </c>
      <c r="G2005" s="113" t="s">
        <v>12</v>
      </c>
      <c r="H2005" s="113">
        <v>0</v>
      </c>
      <c r="I2005" s="113">
        <v>0</v>
      </c>
      <c r="K2005" s="113">
        <v>2.7</v>
      </c>
      <c r="L2005" s="113">
        <v>1.1006</v>
      </c>
      <c r="M2005" s="113">
        <v>2.6625999999999999</v>
      </c>
      <c r="N2005" s="113">
        <v>1.1004</v>
      </c>
      <c r="O2005" s="114" t="s">
        <v>1049</v>
      </c>
    </row>
    <row r="2006" spans="1:15" x14ac:dyDescent="0.25">
      <c r="A2006" s="113" t="s">
        <v>54</v>
      </c>
      <c r="B2006" s="113" t="s">
        <v>46</v>
      </c>
      <c r="C2006" s="113">
        <v>20.5</v>
      </c>
      <c r="D2006" s="113">
        <v>20.6</v>
      </c>
      <c r="E2006" s="113">
        <v>0.01</v>
      </c>
      <c r="F2006" s="113" t="s">
        <v>13</v>
      </c>
      <c r="G2006" s="113" t="s">
        <v>12</v>
      </c>
      <c r="H2006" s="113">
        <v>0</v>
      </c>
      <c r="I2006" s="113">
        <v>0</v>
      </c>
      <c r="K2006" s="113">
        <v>4.2515999999999998</v>
      </c>
      <c r="L2006" s="113">
        <v>1.0555000000000001</v>
      </c>
      <c r="M2006" s="113">
        <v>4.2550999999999997</v>
      </c>
      <c r="N2006" s="113">
        <v>1.0545</v>
      </c>
      <c r="O2006" s="114" t="s">
        <v>1050</v>
      </c>
    </row>
    <row r="2007" spans="1:15" x14ac:dyDescent="0.25">
      <c r="A2007" s="113" t="s">
        <v>54</v>
      </c>
      <c r="B2007" s="113" t="s">
        <v>46</v>
      </c>
      <c r="C2007" s="113">
        <v>20.5</v>
      </c>
      <c r="D2007" s="113">
        <v>20.6</v>
      </c>
      <c r="E2007" s="113">
        <v>0.1</v>
      </c>
      <c r="F2007" s="113" t="s">
        <v>13</v>
      </c>
      <c r="G2007" s="113" t="s">
        <v>12</v>
      </c>
      <c r="H2007" s="113">
        <v>0</v>
      </c>
      <c r="I2007" s="113">
        <v>0</v>
      </c>
      <c r="K2007" s="113">
        <v>55.899000000000001</v>
      </c>
      <c r="L2007" s="113">
        <v>0.35962</v>
      </c>
      <c r="M2007" s="113">
        <v>55.915999999999997</v>
      </c>
      <c r="N2007" s="113">
        <v>0.35746</v>
      </c>
      <c r="O2007" s="114" t="s">
        <v>1051</v>
      </c>
    </row>
    <row r="2008" spans="1:15" x14ac:dyDescent="0.25">
      <c r="A2008" s="113" t="s">
        <v>54</v>
      </c>
      <c r="B2008" s="113" t="s">
        <v>58</v>
      </c>
      <c r="C2008" s="113">
        <v>1</v>
      </c>
      <c r="D2008" s="113">
        <v>11.000999999999999</v>
      </c>
      <c r="E2008" s="113">
        <v>1E-4</v>
      </c>
      <c r="F2008" s="113" t="s">
        <v>13</v>
      </c>
      <c r="G2008" s="113" t="s">
        <v>12</v>
      </c>
      <c r="H2008" s="113">
        <v>0</v>
      </c>
      <c r="I2008" s="113">
        <v>0</v>
      </c>
      <c r="K2008" s="113">
        <v>8.2000000000000003E-2</v>
      </c>
      <c r="L2008" s="113">
        <v>2</v>
      </c>
      <c r="M2008" s="113">
        <v>8.0875000000000002E-2</v>
      </c>
      <c r="N2008" s="113">
        <v>1.9946999999999999</v>
      </c>
      <c r="O2008" s="114" t="s">
        <v>985</v>
      </c>
    </row>
    <row r="2009" spans="1:15" x14ac:dyDescent="0.25">
      <c r="A2009" s="113" t="s">
        <v>54</v>
      </c>
      <c r="B2009" s="113" t="s">
        <v>58</v>
      </c>
      <c r="C2009" s="113">
        <v>1</v>
      </c>
      <c r="D2009" s="113">
        <v>11.000999999999999</v>
      </c>
      <c r="E2009" s="113">
        <v>1E-3</v>
      </c>
      <c r="F2009" s="113" t="s">
        <v>13</v>
      </c>
      <c r="G2009" s="113" t="s">
        <v>12</v>
      </c>
      <c r="H2009" s="113">
        <v>0</v>
      </c>
      <c r="I2009" s="113">
        <v>0</v>
      </c>
      <c r="K2009" s="113">
        <v>0.16836000000000001</v>
      </c>
      <c r="L2009" s="113">
        <v>1.9875</v>
      </c>
      <c r="M2009" s="113">
        <v>0.16627</v>
      </c>
      <c r="N2009" s="113">
        <v>1.9876</v>
      </c>
      <c r="O2009" s="114" t="s">
        <v>986</v>
      </c>
    </row>
    <row r="2010" spans="1:15" x14ac:dyDescent="0.25">
      <c r="A2010" s="113" t="s">
        <v>54</v>
      </c>
      <c r="B2010" s="113" t="s">
        <v>58</v>
      </c>
      <c r="C2010" s="113">
        <v>1</v>
      </c>
      <c r="D2010" s="113">
        <v>11.000999999999999</v>
      </c>
      <c r="E2010" s="113">
        <v>0.01</v>
      </c>
      <c r="F2010" s="113" t="s">
        <v>13</v>
      </c>
      <c r="G2010" s="113" t="s">
        <v>12</v>
      </c>
      <c r="H2010" s="113">
        <v>0</v>
      </c>
      <c r="I2010" s="113">
        <v>0</v>
      </c>
      <c r="K2010" s="113">
        <v>4.4751000000000003</v>
      </c>
      <c r="L2010" s="113">
        <v>1.6631</v>
      </c>
      <c r="M2010" s="113">
        <v>4.4718</v>
      </c>
      <c r="N2010" s="113">
        <v>1.6632</v>
      </c>
      <c r="O2010" s="114" t="s">
        <v>987</v>
      </c>
    </row>
    <row r="2011" spans="1:15" x14ac:dyDescent="0.25">
      <c r="A2011" s="113" t="s">
        <v>54</v>
      </c>
      <c r="B2011" s="113" t="s">
        <v>58</v>
      </c>
      <c r="C2011" s="113">
        <v>1</v>
      </c>
      <c r="D2011" s="113">
        <v>11.000999999999999</v>
      </c>
      <c r="E2011" s="113">
        <v>0.1</v>
      </c>
      <c r="F2011" s="113" t="s">
        <v>13</v>
      </c>
      <c r="G2011" s="113" t="s">
        <v>12</v>
      </c>
      <c r="H2011" s="113">
        <v>0</v>
      </c>
      <c r="I2011" s="113">
        <v>0</v>
      </c>
      <c r="K2011" s="113">
        <v>57.372</v>
      </c>
      <c r="L2011" s="113">
        <v>0.40227000000000002</v>
      </c>
      <c r="M2011" s="113">
        <v>57.371000000000002</v>
      </c>
      <c r="N2011" s="113">
        <v>0.40201999999999999</v>
      </c>
      <c r="O2011" s="114" t="s">
        <v>988</v>
      </c>
    </row>
    <row r="2012" spans="1:15" x14ac:dyDescent="0.25">
      <c r="A2012" s="113" t="s">
        <v>54</v>
      </c>
      <c r="B2012" s="113" t="s">
        <v>58</v>
      </c>
      <c r="C2012" s="113">
        <v>1</v>
      </c>
      <c r="D2012" s="113">
        <v>11.000999999999999</v>
      </c>
      <c r="E2012" s="113">
        <v>1</v>
      </c>
      <c r="F2012" s="113" t="s">
        <v>13</v>
      </c>
      <c r="G2012" s="113" t="s">
        <v>12</v>
      </c>
      <c r="H2012" s="113">
        <v>0</v>
      </c>
      <c r="I2012" s="113">
        <v>0</v>
      </c>
      <c r="K2012" s="113">
        <v>577.32000000000005</v>
      </c>
      <c r="L2012" s="113">
        <v>4.1721000000000001E-2</v>
      </c>
      <c r="M2012" s="113">
        <v>577.32000000000005</v>
      </c>
      <c r="N2012" s="113">
        <v>4.1612999999999997E-2</v>
      </c>
      <c r="O2012" s="114" t="s">
        <v>989</v>
      </c>
    </row>
    <row r="2013" spans="1:15" x14ac:dyDescent="0.25">
      <c r="A2013" s="113" t="s">
        <v>54</v>
      </c>
      <c r="B2013" s="113" t="s">
        <v>58</v>
      </c>
      <c r="C2013" s="113">
        <v>11</v>
      </c>
      <c r="D2013" s="113">
        <v>30.001000000000001</v>
      </c>
      <c r="E2013" s="113">
        <v>1E-3</v>
      </c>
      <c r="F2013" s="113" t="s">
        <v>13</v>
      </c>
      <c r="G2013" s="113" t="s">
        <v>12</v>
      </c>
      <c r="H2013" s="113">
        <v>0</v>
      </c>
      <c r="I2013" s="113">
        <v>0</v>
      </c>
      <c r="K2013" s="113">
        <v>1.6</v>
      </c>
      <c r="L2013" s="113">
        <v>2</v>
      </c>
      <c r="M2013" s="113">
        <v>0.12764</v>
      </c>
      <c r="N2013" s="113">
        <v>2.0470999999999999</v>
      </c>
      <c r="O2013" s="114" t="s">
        <v>990</v>
      </c>
    </row>
    <row r="2014" spans="1:15" x14ac:dyDescent="0.25">
      <c r="A2014" s="113" t="s">
        <v>54</v>
      </c>
      <c r="B2014" s="113" t="s">
        <v>58</v>
      </c>
      <c r="C2014" s="113">
        <v>11</v>
      </c>
      <c r="D2014" s="113">
        <v>30.001000000000001</v>
      </c>
      <c r="E2014" s="113">
        <v>0.01</v>
      </c>
      <c r="F2014" s="113" t="s">
        <v>13</v>
      </c>
      <c r="G2014" s="113" t="s">
        <v>12</v>
      </c>
      <c r="H2014" s="113">
        <v>0</v>
      </c>
      <c r="I2014" s="113">
        <v>0</v>
      </c>
      <c r="K2014" s="113">
        <v>1.6</v>
      </c>
      <c r="L2014" s="113">
        <v>2.0127000000000002</v>
      </c>
      <c r="M2014" s="113">
        <v>1.1037999999999999</v>
      </c>
      <c r="N2014" s="113">
        <v>2.0234999999999999</v>
      </c>
      <c r="O2014" s="114" t="s">
        <v>991</v>
      </c>
    </row>
    <row r="2015" spans="1:15" x14ac:dyDescent="0.25">
      <c r="A2015" s="113" t="s">
        <v>54</v>
      </c>
      <c r="B2015" s="113" t="s">
        <v>58</v>
      </c>
      <c r="C2015" s="113">
        <v>11</v>
      </c>
      <c r="D2015" s="113">
        <v>30.001000000000001</v>
      </c>
      <c r="E2015" s="113">
        <v>0.1</v>
      </c>
      <c r="F2015" s="113" t="s">
        <v>13</v>
      </c>
      <c r="G2015" s="113" t="s">
        <v>12</v>
      </c>
      <c r="H2015" s="113">
        <v>0</v>
      </c>
      <c r="I2015" s="113">
        <v>0</v>
      </c>
      <c r="K2015" s="113">
        <v>49.094000000000001</v>
      </c>
      <c r="L2015" s="113">
        <v>1.1796</v>
      </c>
      <c r="M2015" s="113">
        <v>49.066000000000003</v>
      </c>
      <c r="N2015" s="113">
        <v>1.1772</v>
      </c>
      <c r="O2015" s="114" t="s">
        <v>992</v>
      </c>
    </row>
    <row r="2016" spans="1:15" x14ac:dyDescent="0.25">
      <c r="A2016" s="113" t="s">
        <v>54</v>
      </c>
      <c r="B2016" s="113" t="s">
        <v>58</v>
      </c>
      <c r="C2016" s="113">
        <v>11</v>
      </c>
      <c r="D2016" s="113">
        <v>30.001000000000001</v>
      </c>
      <c r="E2016" s="113">
        <v>1</v>
      </c>
      <c r="F2016" s="113" t="s">
        <v>13</v>
      </c>
      <c r="G2016" s="113" t="s">
        <v>12</v>
      </c>
      <c r="H2016" s="113">
        <v>0</v>
      </c>
      <c r="I2016" s="113">
        <v>0</v>
      </c>
      <c r="K2016" s="113">
        <v>576.16999999999996</v>
      </c>
      <c r="L2016" s="113">
        <v>0.15057999999999999</v>
      </c>
      <c r="M2016" s="113">
        <v>576.16</v>
      </c>
      <c r="N2016" s="113">
        <v>0.14877000000000001</v>
      </c>
      <c r="O2016" s="114" t="s">
        <v>993</v>
      </c>
    </row>
    <row r="2017" spans="1:15" x14ac:dyDescent="0.25">
      <c r="A2017" s="113" t="s">
        <v>54</v>
      </c>
      <c r="B2017" s="113" t="s">
        <v>58</v>
      </c>
      <c r="C2017" s="113">
        <v>11</v>
      </c>
      <c r="D2017" s="113">
        <v>30.001000000000001</v>
      </c>
      <c r="E2017" s="113">
        <v>10</v>
      </c>
      <c r="F2017" s="113" t="s">
        <v>13</v>
      </c>
      <c r="G2017" s="113" t="s">
        <v>12</v>
      </c>
      <c r="H2017" s="113">
        <v>0</v>
      </c>
      <c r="I2017" s="113">
        <v>0</v>
      </c>
      <c r="K2017" s="113">
        <v>5773.4</v>
      </c>
      <c r="L2017" s="113">
        <v>1.5656E-2</v>
      </c>
      <c r="M2017" s="113">
        <v>5773.4</v>
      </c>
      <c r="N2017" s="113">
        <v>1.4925000000000001E-2</v>
      </c>
      <c r="O2017" s="114" t="s">
        <v>994</v>
      </c>
    </row>
    <row r="2018" spans="1:15" x14ac:dyDescent="0.25">
      <c r="A2018" s="113" t="s">
        <v>54</v>
      </c>
      <c r="B2018" s="113" t="s">
        <v>58</v>
      </c>
      <c r="C2018" s="113">
        <v>11</v>
      </c>
      <c r="D2018" s="113">
        <v>30.001000000000001</v>
      </c>
      <c r="E2018" s="113">
        <v>100</v>
      </c>
      <c r="F2018" s="113" t="s">
        <v>13</v>
      </c>
      <c r="G2018" s="113" t="s">
        <v>12</v>
      </c>
      <c r="H2018" s="113">
        <v>0</v>
      </c>
      <c r="I2018" s="113">
        <v>0</v>
      </c>
      <c r="K2018" s="113">
        <v>57736</v>
      </c>
      <c r="L2018" s="113">
        <v>1.7851E-3</v>
      </c>
      <c r="M2018" s="113">
        <v>57735</v>
      </c>
      <c r="N2018" s="113">
        <v>1.4924999999999999E-3</v>
      </c>
      <c r="O2018" s="114" t="s">
        <v>995</v>
      </c>
    </row>
    <row r="2019" spans="1:15" x14ac:dyDescent="0.25">
      <c r="A2019" s="113" t="s">
        <v>54</v>
      </c>
      <c r="B2019" s="113" t="s">
        <v>58</v>
      </c>
      <c r="C2019" s="113">
        <v>30</v>
      </c>
      <c r="D2019" s="113">
        <v>110.01</v>
      </c>
      <c r="E2019" s="113">
        <v>0.01</v>
      </c>
      <c r="F2019" s="113" t="s">
        <v>13</v>
      </c>
      <c r="G2019" s="113" t="s">
        <v>12</v>
      </c>
      <c r="H2019" s="113">
        <v>0</v>
      </c>
      <c r="I2019" s="113">
        <v>0</v>
      </c>
      <c r="K2019" s="113">
        <v>4</v>
      </c>
      <c r="L2019" s="113">
        <v>2.1</v>
      </c>
      <c r="M2019" s="113">
        <v>2.5089999999999999</v>
      </c>
      <c r="N2019" s="113">
        <v>2.1122000000000001</v>
      </c>
      <c r="O2019" s="114" t="s">
        <v>996</v>
      </c>
    </row>
    <row r="2020" spans="1:15" x14ac:dyDescent="0.25">
      <c r="A2020" s="113" t="s">
        <v>54</v>
      </c>
      <c r="B2020" s="113" t="s">
        <v>58</v>
      </c>
      <c r="C2020" s="113">
        <v>30</v>
      </c>
      <c r="D2020" s="113">
        <v>110.01</v>
      </c>
      <c r="E2020" s="113">
        <v>0.1</v>
      </c>
      <c r="F2020" s="113" t="s">
        <v>13</v>
      </c>
      <c r="G2020" s="113" t="s">
        <v>12</v>
      </c>
      <c r="H2020" s="113">
        <v>0</v>
      </c>
      <c r="I2020" s="113">
        <v>0</v>
      </c>
      <c r="K2020" s="113">
        <v>29.550999999999998</v>
      </c>
      <c r="L2020" s="113">
        <v>1.93</v>
      </c>
      <c r="M2020" s="113">
        <v>29.510999999999999</v>
      </c>
      <c r="N2020" s="113">
        <v>1.9297</v>
      </c>
      <c r="O2020" s="114" t="s">
        <v>997</v>
      </c>
    </row>
    <row r="2021" spans="1:15" x14ac:dyDescent="0.25">
      <c r="A2021" s="113" t="s">
        <v>54</v>
      </c>
      <c r="B2021" s="113" t="s">
        <v>58</v>
      </c>
      <c r="C2021" s="113">
        <v>30</v>
      </c>
      <c r="D2021" s="113">
        <v>110.01</v>
      </c>
      <c r="E2021" s="113">
        <v>1</v>
      </c>
      <c r="F2021" s="113" t="s">
        <v>13</v>
      </c>
      <c r="G2021" s="113" t="s">
        <v>12</v>
      </c>
      <c r="H2021" s="113">
        <v>0</v>
      </c>
      <c r="I2021" s="113">
        <v>0</v>
      </c>
      <c r="K2021" s="113">
        <v>565.25</v>
      </c>
      <c r="L2021" s="113">
        <v>0.52854000000000001</v>
      </c>
      <c r="M2021" s="113">
        <v>565.25</v>
      </c>
      <c r="N2021" s="113">
        <v>0.52742999999999995</v>
      </c>
      <c r="O2021" s="114" t="s">
        <v>998</v>
      </c>
    </row>
    <row r="2022" spans="1:15" x14ac:dyDescent="0.25">
      <c r="A2022" s="113" t="s">
        <v>54</v>
      </c>
      <c r="B2022" s="113" t="s">
        <v>58</v>
      </c>
      <c r="C2022" s="113">
        <v>30</v>
      </c>
      <c r="D2022" s="113">
        <v>110.01</v>
      </c>
      <c r="E2022" s="113">
        <v>10</v>
      </c>
      <c r="F2022" s="113" t="s">
        <v>13</v>
      </c>
      <c r="G2022" s="113" t="s">
        <v>12</v>
      </c>
      <c r="H2022" s="113">
        <v>0</v>
      </c>
      <c r="I2022" s="113">
        <v>0</v>
      </c>
      <c r="K2022" s="113">
        <v>5772.3</v>
      </c>
      <c r="L2022" s="113">
        <v>5.5474999999999997E-2</v>
      </c>
      <c r="M2022" s="113">
        <v>5772.3</v>
      </c>
      <c r="N2022" s="113">
        <v>5.4984999999999999E-2</v>
      </c>
      <c r="O2022" s="114" t="s">
        <v>999</v>
      </c>
    </row>
    <row r="2023" spans="1:15" x14ac:dyDescent="0.25">
      <c r="A2023" s="113" t="s">
        <v>54</v>
      </c>
      <c r="B2023" s="113" t="s">
        <v>58</v>
      </c>
      <c r="C2023" s="113">
        <v>30</v>
      </c>
      <c r="D2023" s="113">
        <v>110.01</v>
      </c>
      <c r="E2023" s="113">
        <v>100</v>
      </c>
      <c r="F2023" s="113" t="s">
        <v>13</v>
      </c>
      <c r="G2023" s="113" t="s">
        <v>12</v>
      </c>
      <c r="H2023" s="113">
        <v>0</v>
      </c>
      <c r="I2023" s="113">
        <v>0</v>
      </c>
      <c r="K2023" s="113">
        <v>57735</v>
      </c>
      <c r="L2023" s="113">
        <v>5.6968000000000001E-3</v>
      </c>
      <c r="M2023" s="113">
        <v>57735</v>
      </c>
      <c r="N2023" s="113">
        <v>5.5009999999999998E-3</v>
      </c>
      <c r="O2023" s="114" t="s">
        <v>1000</v>
      </c>
    </row>
    <row r="2024" spans="1:15" x14ac:dyDescent="0.25">
      <c r="A2024" s="113" t="s">
        <v>54</v>
      </c>
      <c r="B2024" s="113" t="s">
        <v>58</v>
      </c>
      <c r="C2024" s="113">
        <v>110</v>
      </c>
      <c r="D2024" s="113">
        <v>205</v>
      </c>
      <c r="E2024" s="113">
        <v>0.01</v>
      </c>
      <c r="F2024" s="113" t="s">
        <v>13</v>
      </c>
      <c r="G2024" s="113" t="s">
        <v>12</v>
      </c>
      <c r="H2024" s="113">
        <v>0</v>
      </c>
      <c r="I2024" s="113">
        <v>0</v>
      </c>
      <c r="K2024" s="113">
        <v>6.5</v>
      </c>
      <c r="L2024" s="113">
        <v>2.2999999999999998</v>
      </c>
      <c r="M2024" s="113">
        <v>4.5922000000000001</v>
      </c>
      <c r="N2024" s="113">
        <v>2.3086000000000002</v>
      </c>
      <c r="O2024" s="114" t="s">
        <v>1001</v>
      </c>
    </row>
    <row r="2025" spans="1:15" x14ac:dyDescent="0.25">
      <c r="A2025" s="113" t="s">
        <v>54</v>
      </c>
      <c r="B2025" s="113" t="s">
        <v>58</v>
      </c>
      <c r="C2025" s="113">
        <v>110</v>
      </c>
      <c r="D2025" s="113">
        <v>205</v>
      </c>
      <c r="E2025" s="113">
        <v>0.1</v>
      </c>
      <c r="F2025" s="113" t="s">
        <v>13</v>
      </c>
      <c r="G2025" s="113" t="s">
        <v>12</v>
      </c>
      <c r="H2025" s="113">
        <v>0</v>
      </c>
      <c r="I2025" s="113">
        <v>0</v>
      </c>
      <c r="K2025" s="113">
        <v>14.301</v>
      </c>
      <c r="L2025" s="113">
        <v>2.2787999999999999</v>
      </c>
      <c r="M2025" s="113">
        <v>14.221</v>
      </c>
      <c r="N2025" s="113">
        <v>2.2784</v>
      </c>
      <c r="O2025" s="114" t="s">
        <v>1002</v>
      </c>
    </row>
    <row r="2026" spans="1:15" x14ac:dyDescent="0.25">
      <c r="A2026" s="113" t="s">
        <v>54</v>
      </c>
      <c r="B2026" s="113" t="s">
        <v>58</v>
      </c>
      <c r="C2026" s="113">
        <v>110</v>
      </c>
      <c r="D2026" s="113">
        <v>205</v>
      </c>
      <c r="E2026" s="113">
        <v>1</v>
      </c>
      <c r="F2026" s="113" t="s">
        <v>13</v>
      </c>
      <c r="G2026" s="113" t="s">
        <v>12</v>
      </c>
      <c r="H2026" s="113">
        <v>0</v>
      </c>
      <c r="I2026" s="113">
        <v>0</v>
      </c>
      <c r="K2026" s="113">
        <v>497.21</v>
      </c>
      <c r="L2026" s="113">
        <v>1.2323999999999999</v>
      </c>
      <c r="M2026" s="113">
        <v>497.26</v>
      </c>
      <c r="N2026" s="113">
        <v>1.2301</v>
      </c>
      <c r="O2026" s="114" t="s">
        <v>1003</v>
      </c>
    </row>
    <row r="2027" spans="1:15" x14ac:dyDescent="0.25">
      <c r="A2027" s="113" t="s">
        <v>54</v>
      </c>
      <c r="B2027" s="113" t="s">
        <v>58</v>
      </c>
      <c r="C2027" s="113">
        <v>110</v>
      </c>
      <c r="D2027" s="113">
        <v>205</v>
      </c>
      <c r="E2027" s="113">
        <v>10</v>
      </c>
      <c r="F2027" s="113" t="s">
        <v>13</v>
      </c>
      <c r="G2027" s="113" t="s">
        <v>12</v>
      </c>
      <c r="H2027" s="113">
        <v>0</v>
      </c>
      <c r="I2027" s="113">
        <v>0</v>
      </c>
      <c r="K2027" s="113">
        <v>5763.1</v>
      </c>
      <c r="L2027" s="113">
        <v>0.14824000000000001</v>
      </c>
      <c r="M2027" s="113">
        <v>5763.2</v>
      </c>
      <c r="N2027" s="113">
        <v>0.1469</v>
      </c>
      <c r="O2027" s="114" t="s">
        <v>1004</v>
      </c>
    </row>
    <row r="2028" spans="1:15" x14ac:dyDescent="0.25">
      <c r="A2028" s="113" t="s">
        <v>54</v>
      </c>
      <c r="B2028" s="113" t="s">
        <v>58</v>
      </c>
      <c r="C2028" s="113">
        <v>110</v>
      </c>
      <c r="D2028" s="113">
        <v>205</v>
      </c>
      <c r="E2028" s="113">
        <v>100</v>
      </c>
      <c r="F2028" s="113" t="s">
        <v>13</v>
      </c>
      <c r="G2028" s="113" t="s">
        <v>12</v>
      </c>
      <c r="H2028" s="113">
        <v>0</v>
      </c>
      <c r="I2028" s="113">
        <v>0</v>
      </c>
      <c r="K2028" s="113">
        <v>57734</v>
      </c>
      <c r="L2028" s="113">
        <v>1.5259999999999999E-2</v>
      </c>
      <c r="M2028" s="113">
        <v>57734</v>
      </c>
      <c r="N2028" s="113">
        <v>1.4722000000000001E-2</v>
      </c>
      <c r="O2028" s="114" t="s">
        <v>1005</v>
      </c>
    </row>
    <row r="2029" spans="1:15" x14ac:dyDescent="0.25">
      <c r="A2029" s="113" t="s">
        <v>54</v>
      </c>
      <c r="B2029" s="113" t="s">
        <v>58</v>
      </c>
      <c r="C2029" s="113">
        <v>205</v>
      </c>
      <c r="D2029" s="113">
        <v>206</v>
      </c>
      <c r="E2029" s="113">
        <v>0.01</v>
      </c>
      <c r="F2029" s="113" t="s">
        <v>13</v>
      </c>
      <c r="G2029" s="113" t="s">
        <v>12</v>
      </c>
      <c r="H2029" s="113">
        <v>0</v>
      </c>
      <c r="I2029" s="113">
        <v>0</v>
      </c>
      <c r="K2029" s="113">
        <v>6.5</v>
      </c>
      <c r="L2029" s="113">
        <v>2.2999999999999998</v>
      </c>
      <c r="M2029" s="113">
        <v>4.5922000000000001</v>
      </c>
      <c r="N2029" s="113">
        <v>2.3086000000000002</v>
      </c>
      <c r="O2029" s="114" t="s">
        <v>1006</v>
      </c>
    </row>
    <row r="2030" spans="1:15" x14ac:dyDescent="0.25">
      <c r="A2030" s="113" t="s">
        <v>54</v>
      </c>
      <c r="B2030" s="113" t="s">
        <v>58</v>
      </c>
      <c r="C2030" s="113">
        <v>205</v>
      </c>
      <c r="D2030" s="113">
        <v>206</v>
      </c>
      <c r="E2030" s="113">
        <v>0.1</v>
      </c>
      <c r="F2030" s="113" t="s">
        <v>13</v>
      </c>
      <c r="G2030" s="113" t="s">
        <v>12</v>
      </c>
      <c r="H2030" s="113">
        <v>0</v>
      </c>
      <c r="I2030" s="113">
        <v>0</v>
      </c>
      <c r="K2030" s="113">
        <v>14.301</v>
      </c>
      <c r="L2030" s="113">
        <v>2.2787999999999999</v>
      </c>
      <c r="M2030" s="113">
        <v>14.221</v>
      </c>
      <c r="N2030" s="113">
        <v>2.2784</v>
      </c>
      <c r="O2030" s="114" t="s">
        <v>1007</v>
      </c>
    </row>
    <row r="2031" spans="1:15" x14ac:dyDescent="0.25">
      <c r="A2031" s="113" t="s">
        <v>54</v>
      </c>
      <c r="B2031" s="113" t="s">
        <v>58</v>
      </c>
      <c r="C2031" s="113">
        <v>205</v>
      </c>
      <c r="D2031" s="113">
        <v>206</v>
      </c>
      <c r="E2031" s="113">
        <v>1</v>
      </c>
      <c r="F2031" s="113" t="s">
        <v>13</v>
      </c>
      <c r="G2031" s="113" t="s">
        <v>12</v>
      </c>
      <c r="H2031" s="113">
        <v>0</v>
      </c>
      <c r="I2031" s="113">
        <v>0</v>
      </c>
      <c r="K2031" s="113">
        <v>497.21</v>
      </c>
      <c r="L2031" s="113">
        <v>1.2323999999999999</v>
      </c>
      <c r="M2031" s="113">
        <v>497.26</v>
      </c>
      <c r="N2031" s="113">
        <v>1.2301</v>
      </c>
      <c r="O2031" s="114" t="s">
        <v>1008</v>
      </c>
    </row>
    <row r="2032" spans="1:15" x14ac:dyDescent="0.25">
      <c r="A2032" s="113" t="s">
        <v>54</v>
      </c>
      <c r="B2032" s="113" t="s">
        <v>58</v>
      </c>
      <c r="C2032" s="113">
        <v>205</v>
      </c>
      <c r="D2032" s="113">
        <v>206</v>
      </c>
      <c r="E2032" s="113">
        <v>10</v>
      </c>
      <c r="F2032" s="113" t="s">
        <v>13</v>
      </c>
      <c r="G2032" s="113" t="s">
        <v>12</v>
      </c>
      <c r="H2032" s="113">
        <v>0</v>
      </c>
      <c r="I2032" s="113">
        <v>0</v>
      </c>
      <c r="K2032" s="113">
        <v>5763.1</v>
      </c>
      <c r="L2032" s="113">
        <v>0.14824000000000001</v>
      </c>
      <c r="M2032" s="113">
        <v>5763.2</v>
      </c>
      <c r="N2032" s="113">
        <v>0.1469</v>
      </c>
      <c r="O2032" s="114" t="s">
        <v>1009</v>
      </c>
    </row>
    <row r="2033" spans="1:15" x14ac:dyDescent="0.25">
      <c r="A2033" s="113" t="s">
        <v>54</v>
      </c>
      <c r="B2033" s="113" t="s">
        <v>58</v>
      </c>
      <c r="C2033" s="113">
        <v>205</v>
      </c>
      <c r="D2033" s="113">
        <v>206</v>
      </c>
      <c r="E2033" s="113">
        <v>100</v>
      </c>
      <c r="F2033" s="113" t="s">
        <v>13</v>
      </c>
      <c r="G2033" s="113" t="s">
        <v>12</v>
      </c>
      <c r="H2033" s="113">
        <v>0</v>
      </c>
      <c r="I2033" s="113">
        <v>0</v>
      </c>
      <c r="K2033" s="113">
        <v>57734</v>
      </c>
      <c r="L2033" s="113">
        <v>1.5259999999999999E-2</v>
      </c>
      <c r="M2033" s="113">
        <v>57734</v>
      </c>
      <c r="N2033" s="113">
        <v>1.4722000000000001E-2</v>
      </c>
      <c r="O2033" s="114" t="s">
        <v>1010</v>
      </c>
    </row>
    <row r="2034" spans="1:15" x14ac:dyDescent="0.25">
      <c r="A2034" s="113" t="s">
        <v>54</v>
      </c>
      <c r="B2034" s="113" t="s">
        <v>59</v>
      </c>
      <c r="C2034" s="113">
        <v>20</v>
      </c>
      <c r="D2034" s="113">
        <v>60.01</v>
      </c>
      <c r="E2034" s="113">
        <v>1E-3</v>
      </c>
      <c r="F2034" s="113" t="s">
        <v>13</v>
      </c>
      <c r="G2034" s="113" t="s">
        <v>12</v>
      </c>
      <c r="H2034" s="113">
        <v>0</v>
      </c>
      <c r="I2034" s="113">
        <v>0</v>
      </c>
      <c r="K2034" s="113">
        <v>3.9</v>
      </c>
      <c r="L2034" s="113">
        <v>2.1</v>
      </c>
      <c r="M2034" s="113">
        <v>0.23927999999999999</v>
      </c>
      <c r="N2034" s="113">
        <v>2.0472999999999999</v>
      </c>
      <c r="O2034" s="114" t="s">
        <v>963</v>
      </c>
    </row>
    <row r="2035" spans="1:15" x14ac:dyDescent="0.25">
      <c r="A2035" s="113" t="s">
        <v>54</v>
      </c>
      <c r="B2035" s="113" t="s">
        <v>59</v>
      </c>
      <c r="C2035" s="113">
        <v>20</v>
      </c>
      <c r="D2035" s="113">
        <v>60.01</v>
      </c>
      <c r="E2035" s="113">
        <v>0.01</v>
      </c>
      <c r="F2035" s="113" t="s">
        <v>13</v>
      </c>
      <c r="G2035" s="113" t="s">
        <v>12</v>
      </c>
      <c r="H2035" s="113">
        <v>0</v>
      </c>
      <c r="I2035" s="113">
        <v>0</v>
      </c>
      <c r="K2035" s="113">
        <v>3.9</v>
      </c>
      <c r="L2035" s="113">
        <v>2.1</v>
      </c>
      <c r="M2035" s="113">
        <v>0.76998</v>
      </c>
      <c r="N2035" s="113">
        <v>2.0407000000000002</v>
      </c>
      <c r="O2035" s="114" t="s">
        <v>964</v>
      </c>
    </row>
    <row r="2036" spans="1:15" x14ac:dyDescent="0.25">
      <c r="A2036" s="113" t="s">
        <v>54</v>
      </c>
      <c r="B2036" s="113" t="s">
        <v>59</v>
      </c>
      <c r="C2036" s="113">
        <v>20</v>
      </c>
      <c r="D2036" s="113">
        <v>60.01</v>
      </c>
      <c r="E2036" s="113">
        <v>0.1</v>
      </c>
      <c r="F2036" s="113" t="s">
        <v>13</v>
      </c>
      <c r="G2036" s="113" t="s">
        <v>12</v>
      </c>
      <c r="H2036" s="113">
        <v>0</v>
      </c>
      <c r="I2036" s="113">
        <v>0</v>
      </c>
      <c r="K2036" s="113">
        <v>38.447000000000003</v>
      </c>
      <c r="L2036" s="113">
        <v>1.6259999999999999</v>
      </c>
      <c r="M2036" s="113">
        <v>38.404000000000003</v>
      </c>
      <c r="N2036" s="113">
        <v>1.6256999999999999</v>
      </c>
      <c r="O2036" s="114" t="s">
        <v>965</v>
      </c>
    </row>
    <row r="2037" spans="1:15" x14ac:dyDescent="0.25">
      <c r="A2037" s="113" t="s">
        <v>54</v>
      </c>
      <c r="B2037" s="113" t="s">
        <v>59</v>
      </c>
      <c r="C2037" s="113">
        <v>20</v>
      </c>
      <c r="D2037" s="113">
        <v>60.01</v>
      </c>
      <c r="E2037" s="113">
        <v>1</v>
      </c>
      <c r="F2037" s="113" t="s">
        <v>13</v>
      </c>
      <c r="G2037" s="113" t="s">
        <v>12</v>
      </c>
      <c r="H2037" s="113">
        <v>0</v>
      </c>
      <c r="I2037" s="113">
        <v>0</v>
      </c>
      <c r="K2037" s="113">
        <v>573.08000000000004</v>
      </c>
      <c r="L2037" s="113">
        <v>0.28848000000000001</v>
      </c>
      <c r="M2037" s="113">
        <v>573.07000000000005</v>
      </c>
      <c r="N2037" s="113">
        <v>0.28764000000000001</v>
      </c>
      <c r="O2037" s="114" t="s">
        <v>966</v>
      </c>
    </row>
    <row r="2038" spans="1:15" x14ac:dyDescent="0.25">
      <c r="A2038" s="113" t="s">
        <v>54</v>
      </c>
      <c r="B2038" s="113" t="s">
        <v>59</v>
      </c>
      <c r="C2038" s="113">
        <v>20</v>
      </c>
      <c r="D2038" s="113">
        <v>60.01</v>
      </c>
      <c r="E2038" s="113">
        <v>10</v>
      </c>
      <c r="F2038" s="113" t="s">
        <v>13</v>
      </c>
      <c r="G2038" s="113" t="s">
        <v>12</v>
      </c>
      <c r="H2038" s="113">
        <v>0</v>
      </c>
      <c r="I2038" s="113">
        <v>0</v>
      </c>
      <c r="K2038" s="113">
        <v>5773.1</v>
      </c>
      <c r="L2038" s="113">
        <v>2.9468000000000001E-2</v>
      </c>
      <c r="M2038" s="113">
        <v>5773.1</v>
      </c>
      <c r="N2038" s="113">
        <v>2.912E-2</v>
      </c>
      <c r="O2038" s="114" t="s">
        <v>967</v>
      </c>
    </row>
    <row r="2039" spans="1:15" x14ac:dyDescent="0.25">
      <c r="A2039" s="113" t="s">
        <v>54</v>
      </c>
      <c r="B2039" s="113" t="s">
        <v>59</v>
      </c>
      <c r="C2039" s="113">
        <v>20</v>
      </c>
      <c r="D2039" s="113">
        <v>60.01</v>
      </c>
      <c r="E2039" s="113">
        <v>100</v>
      </c>
      <c r="F2039" s="113" t="s">
        <v>13</v>
      </c>
      <c r="G2039" s="113" t="s">
        <v>12</v>
      </c>
      <c r="H2039" s="113">
        <v>0</v>
      </c>
      <c r="I2039" s="113">
        <v>0</v>
      </c>
      <c r="K2039" s="113">
        <v>57735</v>
      </c>
      <c r="L2039" s="113">
        <v>3.0514000000000001E-3</v>
      </c>
      <c r="M2039" s="113">
        <v>57735</v>
      </c>
      <c r="N2039" s="113">
        <v>2.9123999999999999E-3</v>
      </c>
      <c r="O2039" s="114" t="s">
        <v>968</v>
      </c>
    </row>
    <row r="2040" spans="1:15" x14ac:dyDescent="0.25">
      <c r="A2040" s="113" t="s">
        <v>54</v>
      </c>
      <c r="B2040" s="113" t="s">
        <v>59</v>
      </c>
      <c r="C2040" s="113">
        <v>60</v>
      </c>
      <c r="D2040" s="113">
        <v>220.01</v>
      </c>
      <c r="E2040" s="113">
        <v>1E-3</v>
      </c>
      <c r="F2040" s="113" t="s">
        <v>13</v>
      </c>
      <c r="G2040" s="113" t="s">
        <v>12</v>
      </c>
      <c r="H2040" s="113">
        <v>0</v>
      </c>
      <c r="I2040" s="113">
        <v>0</v>
      </c>
      <c r="K2040" s="113">
        <v>19</v>
      </c>
      <c r="L2040" s="113">
        <v>2.2000000000000002</v>
      </c>
      <c r="M2040" s="113">
        <v>4.5221</v>
      </c>
      <c r="N2040" s="113">
        <v>2.1139999999999999</v>
      </c>
      <c r="O2040" s="114" t="s">
        <v>969</v>
      </c>
    </row>
    <row r="2041" spans="1:15" x14ac:dyDescent="0.25">
      <c r="A2041" s="113" t="s">
        <v>54</v>
      </c>
      <c r="B2041" s="113" t="s">
        <v>59</v>
      </c>
      <c r="C2041" s="113">
        <v>60</v>
      </c>
      <c r="D2041" s="113">
        <v>220.01</v>
      </c>
      <c r="E2041" s="113">
        <v>0.01</v>
      </c>
      <c r="F2041" s="113" t="s">
        <v>13</v>
      </c>
      <c r="G2041" s="113" t="s">
        <v>12</v>
      </c>
      <c r="H2041" s="113">
        <v>0</v>
      </c>
      <c r="I2041" s="113">
        <v>0</v>
      </c>
      <c r="K2041" s="113">
        <v>19</v>
      </c>
      <c r="L2041" s="113">
        <v>2.2000000000000002</v>
      </c>
      <c r="M2041" s="113">
        <v>19.725999999999999</v>
      </c>
      <c r="N2041" s="113">
        <v>2.0608</v>
      </c>
      <c r="O2041" s="114" t="s">
        <v>970</v>
      </c>
    </row>
    <row r="2042" spans="1:15" x14ac:dyDescent="0.25">
      <c r="A2042" s="113" t="s">
        <v>54</v>
      </c>
      <c r="B2042" s="113" t="s">
        <v>59</v>
      </c>
      <c r="C2042" s="113">
        <v>60</v>
      </c>
      <c r="D2042" s="113">
        <v>220.01</v>
      </c>
      <c r="E2042" s="113">
        <v>0.1</v>
      </c>
      <c r="F2042" s="113" t="s">
        <v>13</v>
      </c>
      <c r="G2042" s="113" t="s">
        <v>12</v>
      </c>
      <c r="H2042" s="113">
        <v>0</v>
      </c>
      <c r="I2042" s="113">
        <v>0</v>
      </c>
      <c r="K2042" s="113">
        <v>535.04</v>
      </c>
      <c r="L2042" s="113">
        <v>0.95226</v>
      </c>
      <c r="M2042" s="113">
        <v>535.04</v>
      </c>
      <c r="N2042" s="113">
        <v>0.95071000000000006</v>
      </c>
      <c r="O2042" s="114" t="s">
        <v>971</v>
      </c>
    </row>
    <row r="2043" spans="1:15" x14ac:dyDescent="0.25">
      <c r="A2043" s="113" t="s">
        <v>54</v>
      </c>
      <c r="B2043" s="113" t="s">
        <v>59</v>
      </c>
      <c r="C2043" s="113">
        <v>60</v>
      </c>
      <c r="D2043" s="113">
        <v>220.01</v>
      </c>
      <c r="E2043" s="113">
        <v>1</v>
      </c>
      <c r="F2043" s="113" t="s">
        <v>13</v>
      </c>
      <c r="G2043" s="113" t="s">
        <v>12</v>
      </c>
      <c r="H2043" s="113">
        <v>0</v>
      </c>
      <c r="I2043" s="113">
        <v>0</v>
      </c>
      <c r="K2043" s="113">
        <v>5768.4</v>
      </c>
      <c r="L2043" s="113">
        <v>0.11068</v>
      </c>
      <c r="M2043" s="113">
        <v>5768.5</v>
      </c>
      <c r="N2043" s="113">
        <v>0.10982</v>
      </c>
      <c r="O2043" s="114" t="s">
        <v>972</v>
      </c>
    </row>
    <row r="2044" spans="1:15" x14ac:dyDescent="0.25">
      <c r="A2044" s="113" t="s">
        <v>54</v>
      </c>
      <c r="B2044" s="113" t="s">
        <v>59</v>
      </c>
      <c r="C2044" s="113">
        <v>60</v>
      </c>
      <c r="D2044" s="113">
        <v>220.01</v>
      </c>
      <c r="E2044" s="113">
        <v>10</v>
      </c>
      <c r="F2044" s="113" t="s">
        <v>13</v>
      </c>
      <c r="G2044" s="113" t="s">
        <v>12</v>
      </c>
      <c r="H2044" s="113">
        <v>0</v>
      </c>
      <c r="I2044" s="113">
        <v>0</v>
      </c>
      <c r="K2044" s="113">
        <v>57735</v>
      </c>
      <c r="L2044" s="113">
        <v>1.1346999999999999E-2</v>
      </c>
      <c r="M2044" s="113">
        <v>57735</v>
      </c>
      <c r="N2044" s="113">
        <v>1.1002E-2</v>
      </c>
      <c r="O2044" s="114" t="s">
        <v>973</v>
      </c>
    </row>
    <row r="2045" spans="1:15" x14ac:dyDescent="0.25">
      <c r="A2045" s="113" t="s">
        <v>54</v>
      </c>
      <c r="B2045" s="113" t="s">
        <v>59</v>
      </c>
      <c r="C2045" s="113">
        <v>60</v>
      </c>
      <c r="D2045" s="113">
        <v>220.01</v>
      </c>
      <c r="E2045" s="113">
        <v>100</v>
      </c>
      <c r="F2045" s="113" t="s">
        <v>13</v>
      </c>
      <c r="G2045" s="113" t="s">
        <v>12</v>
      </c>
      <c r="H2045" s="113">
        <v>0</v>
      </c>
      <c r="I2045" s="113">
        <v>0</v>
      </c>
      <c r="K2045" s="113">
        <v>577360</v>
      </c>
      <c r="L2045" s="113">
        <v>1.2382000000000001E-3</v>
      </c>
      <c r="M2045" s="113">
        <v>577350</v>
      </c>
      <c r="N2045" s="113">
        <v>1.1002E-3</v>
      </c>
      <c r="O2045" s="114" t="s">
        <v>974</v>
      </c>
    </row>
    <row r="2046" spans="1:15" x14ac:dyDescent="0.25">
      <c r="A2046" s="113" t="s">
        <v>54</v>
      </c>
      <c r="B2046" s="113" t="s">
        <v>59</v>
      </c>
      <c r="C2046" s="113">
        <v>220</v>
      </c>
      <c r="D2046" s="113">
        <v>410</v>
      </c>
      <c r="E2046" s="113">
        <v>0.01</v>
      </c>
      <c r="F2046" s="113" t="s">
        <v>13</v>
      </c>
      <c r="G2046" s="113" t="s">
        <v>12</v>
      </c>
      <c r="H2046" s="113">
        <v>0</v>
      </c>
      <c r="I2046" s="113">
        <v>0</v>
      </c>
      <c r="K2046" s="113">
        <v>13</v>
      </c>
      <c r="L2046" s="113">
        <v>2.2999999999999998</v>
      </c>
      <c r="M2046" s="113">
        <v>9.0436999999999994</v>
      </c>
      <c r="N2046" s="113">
        <v>2.3088000000000002</v>
      </c>
      <c r="O2046" s="114" t="s">
        <v>975</v>
      </c>
    </row>
    <row r="2047" spans="1:15" x14ac:dyDescent="0.25">
      <c r="A2047" s="113" t="s">
        <v>54</v>
      </c>
      <c r="B2047" s="113" t="s">
        <v>59</v>
      </c>
      <c r="C2047" s="113">
        <v>220</v>
      </c>
      <c r="D2047" s="113">
        <v>410</v>
      </c>
      <c r="E2047" s="113">
        <v>0.1</v>
      </c>
      <c r="F2047" s="113" t="s">
        <v>13</v>
      </c>
      <c r="G2047" s="113" t="s">
        <v>12</v>
      </c>
      <c r="H2047" s="113">
        <v>0</v>
      </c>
      <c r="I2047" s="113">
        <v>0</v>
      </c>
      <c r="K2047" s="113">
        <v>13.978</v>
      </c>
      <c r="L2047" s="113">
        <v>2.3014000000000001</v>
      </c>
      <c r="M2047" s="113">
        <v>13.925000000000001</v>
      </c>
      <c r="N2047" s="113">
        <v>2.3010999999999999</v>
      </c>
      <c r="O2047" s="114" t="s">
        <v>976</v>
      </c>
    </row>
    <row r="2048" spans="1:15" x14ac:dyDescent="0.25">
      <c r="A2048" s="113" t="s">
        <v>54</v>
      </c>
      <c r="B2048" s="113" t="s">
        <v>59</v>
      </c>
      <c r="C2048" s="113">
        <v>220</v>
      </c>
      <c r="D2048" s="113">
        <v>410</v>
      </c>
      <c r="E2048" s="113">
        <v>1</v>
      </c>
      <c r="F2048" s="113" t="s">
        <v>13</v>
      </c>
      <c r="G2048" s="113" t="s">
        <v>12</v>
      </c>
      <c r="H2048" s="113">
        <v>0</v>
      </c>
      <c r="I2048" s="113">
        <v>0</v>
      </c>
      <c r="K2048" s="113">
        <v>379.54</v>
      </c>
      <c r="L2048" s="113">
        <v>1.7988999999999999</v>
      </c>
      <c r="M2048" s="113">
        <v>379.5</v>
      </c>
      <c r="N2048" s="113">
        <v>1.7976000000000001</v>
      </c>
      <c r="O2048" s="114" t="s">
        <v>977</v>
      </c>
    </row>
    <row r="2049" spans="1:15" x14ac:dyDescent="0.25">
      <c r="A2049" s="113" t="s">
        <v>54</v>
      </c>
      <c r="B2049" s="113" t="s">
        <v>59</v>
      </c>
      <c r="C2049" s="113">
        <v>220</v>
      </c>
      <c r="D2049" s="113">
        <v>410</v>
      </c>
      <c r="E2049" s="113">
        <v>10</v>
      </c>
      <c r="F2049" s="113" t="s">
        <v>13</v>
      </c>
      <c r="G2049" s="113" t="s">
        <v>12</v>
      </c>
      <c r="H2049" s="113">
        <v>0</v>
      </c>
      <c r="I2049" s="113">
        <v>0</v>
      </c>
      <c r="K2049" s="113">
        <v>5732.3</v>
      </c>
      <c r="L2049" s="113">
        <v>0.29332000000000003</v>
      </c>
      <c r="M2049" s="113">
        <v>5732.4</v>
      </c>
      <c r="N2049" s="113">
        <v>0.29187999999999997</v>
      </c>
      <c r="O2049" s="114" t="s">
        <v>978</v>
      </c>
    </row>
    <row r="2050" spans="1:15" x14ac:dyDescent="0.25">
      <c r="A2050" s="113" t="s">
        <v>54</v>
      </c>
      <c r="B2050" s="113" t="s">
        <v>59</v>
      </c>
      <c r="C2050" s="113">
        <v>220</v>
      </c>
      <c r="D2050" s="113">
        <v>410</v>
      </c>
      <c r="E2050" s="113">
        <v>100</v>
      </c>
      <c r="F2050" s="113" t="s">
        <v>13</v>
      </c>
      <c r="G2050" s="113" t="s">
        <v>12</v>
      </c>
      <c r="H2050" s="113">
        <v>0</v>
      </c>
      <c r="I2050" s="113">
        <v>0</v>
      </c>
      <c r="K2050" s="113">
        <v>57731</v>
      </c>
      <c r="L2050" s="113">
        <v>3.0030000000000001E-2</v>
      </c>
      <c r="M2050" s="113">
        <v>57731</v>
      </c>
      <c r="N2050" s="113">
        <v>2.9441999999999999E-2</v>
      </c>
      <c r="O2050" s="114" t="s">
        <v>979</v>
      </c>
    </row>
    <row r="2051" spans="1:15" x14ac:dyDescent="0.25">
      <c r="A2051" s="113" t="s">
        <v>54</v>
      </c>
      <c r="B2051" s="113" t="s">
        <v>59</v>
      </c>
      <c r="C2051" s="113">
        <v>410</v>
      </c>
      <c r="D2051" s="113">
        <v>411</v>
      </c>
      <c r="E2051" s="113">
        <v>0.01</v>
      </c>
      <c r="F2051" s="113" t="s">
        <v>13</v>
      </c>
      <c r="G2051" s="113" t="s">
        <v>12</v>
      </c>
      <c r="H2051" s="113">
        <v>0</v>
      </c>
      <c r="I2051" s="113">
        <v>0</v>
      </c>
      <c r="K2051" s="113">
        <v>13</v>
      </c>
      <c r="L2051" s="113">
        <v>2.2999999999999998</v>
      </c>
      <c r="M2051" s="113">
        <v>9.0436999999999994</v>
      </c>
      <c r="N2051" s="113">
        <v>2.3088000000000002</v>
      </c>
      <c r="O2051" s="114" t="s">
        <v>980</v>
      </c>
    </row>
    <row r="2052" spans="1:15" x14ac:dyDescent="0.25">
      <c r="A2052" s="113" t="s">
        <v>54</v>
      </c>
      <c r="B2052" s="113" t="s">
        <v>59</v>
      </c>
      <c r="C2052" s="113">
        <v>410</v>
      </c>
      <c r="D2052" s="113">
        <v>411</v>
      </c>
      <c r="E2052" s="113">
        <v>0.1</v>
      </c>
      <c r="F2052" s="113" t="s">
        <v>13</v>
      </c>
      <c r="G2052" s="113" t="s">
        <v>12</v>
      </c>
      <c r="H2052" s="113">
        <v>0</v>
      </c>
      <c r="I2052" s="113">
        <v>0</v>
      </c>
      <c r="K2052" s="113">
        <v>13.978</v>
      </c>
      <c r="L2052" s="113">
        <v>2.3014000000000001</v>
      </c>
      <c r="M2052" s="113">
        <v>13.925000000000001</v>
      </c>
      <c r="N2052" s="113">
        <v>2.3010999999999999</v>
      </c>
      <c r="O2052" s="114" t="s">
        <v>981</v>
      </c>
    </row>
    <row r="2053" spans="1:15" x14ac:dyDescent="0.25">
      <c r="A2053" s="113" t="s">
        <v>54</v>
      </c>
      <c r="B2053" s="113" t="s">
        <v>59</v>
      </c>
      <c r="C2053" s="113">
        <v>410</v>
      </c>
      <c r="D2053" s="113">
        <v>411</v>
      </c>
      <c r="E2053" s="113">
        <v>1</v>
      </c>
      <c r="F2053" s="113" t="s">
        <v>13</v>
      </c>
      <c r="G2053" s="113" t="s">
        <v>12</v>
      </c>
      <c r="H2053" s="113">
        <v>0</v>
      </c>
      <c r="I2053" s="113">
        <v>0</v>
      </c>
      <c r="K2053" s="113">
        <v>379.54</v>
      </c>
      <c r="L2053" s="113">
        <v>1.7988999999999999</v>
      </c>
      <c r="M2053" s="113">
        <v>379.5</v>
      </c>
      <c r="N2053" s="113">
        <v>1.7976000000000001</v>
      </c>
      <c r="O2053" s="114" t="s">
        <v>982</v>
      </c>
    </row>
    <row r="2054" spans="1:15" x14ac:dyDescent="0.25">
      <c r="A2054" s="113" t="s">
        <v>54</v>
      </c>
      <c r="B2054" s="113" t="s">
        <v>59</v>
      </c>
      <c r="C2054" s="113">
        <v>410</v>
      </c>
      <c r="D2054" s="113">
        <v>411</v>
      </c>
      <c r="E2054" s="113">
        <v>10</v>
      </c>
      <c r="F2054" s="113" t="s">
        <v>13</v>
      </c>
      <c r="G2054" s="113" t="s">
        <v>12</v>
      </c>
      <c r="H2054" s="113">
        <v>0</v>
      </c>
      <c r="I2054" s="113">
        <v>0</v>
      </c>
      <c r="K2054" s="113">
        <v>5732.3</v>
      </c>
      <c r="L2054" s="113">
        <v>0.29332000000000003</v>
      </c>
      <c r="M2054" s="113">
        <v>5732.4</v>
      </c>
      <c r="N2054" s="113">
        <v>0.29187999999999997</v>
      </c>
      <c r="O2054" s="114" t="s">
        <v>983</v>
      </c>
    </row>
    <row r="2055" spans="1:15" x14ac:dyDescent="0.25">
      <c r="A2055" s="113" t="s">
        <v>54</v>
      </c>
      <c r="B2055" s="113" t="s">
        <v>59</v>
      </c>
      <c r="C2055" s="113">
        <v>410</v>
      </c>
      <c r="D2055" s="113">
        <v>411</v>
      </c>
      <c r="E2055" s="113">
        <v>100</v>
      </c>
      <c r="F2055" s="113" t="s">
        <v>13</v>
      </c>
      <c r="G2055" s="113" t="s">
        <v>12</v>
      </c>
      <c r="H2055" s="113">
        <v>0</v>
      </c>
      <c r="I2055" s="113">
        <v>0</v>
      </c>
      <c r="K2055" s="113">
        <v>57731</v>
      </c>
      <c r="L2055" s="113">
        <v>3.0030000000000001E-2</v>
      </c>
      <c r="M2055" s="113">
        <v>57731</v>
      </c>
      <c r="N2055" s="113">
        <v>2.9441999999999999E-2</v>
      </c>
      <c r="O2055" s="114" t="s">
        <v>984</v>
      </c>
    </row>
    <row r="2056" spans="1:15" x14ac:dyDescent="0.25">
      <c r="A2056" s="113" t="s">
        <v>54</v>
      </c>
      <c r="B2056" s="113" t="s">
        <v>60</v>
      </c>
      <c r="C2056" s="113">
        <v>55</v>
      </c>
      <c r="D2056" s="113">
        <v>150.01</v>
      </c>
      <c r="E2056" s="113">
        <v>1E-3</v>
      </c>
      <c r="F2056" s="113" t="s">
        <v>13</v>
      </c>
      <c r="G2056" s="113" t="s">
        <v>12</v>
      </c>
      <c r="H2056" s="113">
        <v>0</v>
      </c>
      <c r="I2056" s="113">
        <v>0</v>
      </c>
      <c r="K2056" s="113">
        <v>7.7</v>
      </c>
      <c r="L2056" s="113">
        <v>2</v>
      </c>
      <c r="M2056" s="113">
        <v>0.58265</v>
      </c>
      <c r="N2056" s="113">
        <v>2.0474000000000001</v>
      </c>
      <c r="O2056" s="114" t="s">
        <v>942</v>
      </c>
    </row>
    <row r="2057" spans="1:15" x14ac:dyDescent="0.25">
      <c r="A2057" s="113" t="s">
        <v>54</v>
      </c>
      <c r="B2057" s="113" t="s">
        <v>60</v>
      </c>
      <c r="C2057" s="113">
        <v>55</v>
      </c>
      <c r="D2057" s="113">
        <v>150.01</v>
      </c>
      <c r="E2057" s="113">
        <v>0.01</v>
      </c>
      <c r="F2057" s="113" t="s">
        <v>13</v>
      </c>
      <c r="G2057" s="113" t="s">
        <v>12</v>
      </c>
      <c r="H2057" s="113">
        <v>0</v>
      </c>
      <c r="I2057" s="113">
        <v>0</v>
      </c>
      <c r="K2057" s="113">
        <v>7.7</v>
      </c>
      <c r="L2057" s="113">
        <v>2.0005999999999999</v>
      </c>
      <c r="M2057" s="113">
        <v>0.78383999999999998</v>
      </c>
      <c r="N2057" s="113">
        <v>2.0464000000000002</v>
      </c>
      <c r="O2057" s="114" t="s">
        <v>943</v>
      </c>
    </row>
    <row r="2058" spans="1:15" x14ac:dyDescent="0.25">
      <c r="A2058" s="113" t="s">
        <v>54</v>
      </c>
      <c r="B2058" s="113" t="s">
        <v>60</v>
      </c>
      <c r="C2058" s="113">
        <v>55</v>
      </c>
      <c r="D2058" s="113">
        <v>150.01</v>
      </c>
      <c r="E2058" s="113">
        <v>0.1</v>
      </c>
      <c r="F2058" s="113" t="s">
        <v>13</v>
      </c>
      <c r="G2058" s="113" t="s">
        <v>12</v>
      </c>
      <c r="H2058" s="113">
        <v>0</v>
      </c>
      <c r="I2058" s="113">
        <v>0</v>
      </c>
      <c r="K2058" s="113">
        <v>19.451000000000001</v>
      </c>
      <c r="L2058" s="113">
        <v>1.9578</v>
      </c>
      <c r="M2058" s="113">
        <v>19.379000000000001</v>
      </c>
      <c r="N2058" s="113">
        <v>1.9579</v>
      </c>
      <c r="O2058" s="114" t="s">
        <v>944</v>
      </c>
    </row>
    <row r="2059" spans="1:15" x14ac:dyDescent="0.25">
      <c r="A2059" s="113" t="s">
        <v>54</v>
      </c>
      <c r="B2059" s="113" t="s">
        <v>60</v>
      </c>
      <c r="C2059" s="113">
        <v>55</v>
      </c>
      <c r="D2059" s="113">
        <v>150.01</v>
      </c>
      <c r="E2059" s="113">
        <v>1</v>
      </c>
      <c r="F2059" s="113" t="s">
        <v>13</v>
      </c>
      <c r="G2059" s="113" t="s">
        <v>12</v>
      </c>
      <c r="H2059" s="113">
        <v>0</v>
      </c>
      <c r="I2059" s="113">
        <v>0</v>
      </c>
      <c r="K2059" s="113">
        <v>550.23</v>
      </c>
      <c r="L2059" s="113">
        <v>0.69408000000000003</v>
      </c>
      <c r="M2059" s="113">
        <v>550.20000000000005</v>
      </c>
      <c r="N2059" s="113">
        <v>0.69349000000000005</v>
      </c>
      <c r="O2059" s="114" t="s">
        <v>945</v>
      </c>
    </row>
    <row r="2060" spans="1:15" x14ac:dyDescent="0.25">
      <c r="A2060" s="113" t="s">
        <v>54</v>
      </c>
      <c r="B2060" s="113" t="s">
        <v>60</v>
      </c>
      <c r="C2060" s="113">
        <v>55</v>
      </c>
      <c r="D2060" s="113">
        <v>150.01</v>
      </c>
      <c r="E2060" s="113">
        <v>10</v>
      </c>
      <c r="F2060" s="113" t="s">
        <v>13</v>
      </c>
      <c r="G2060" s="113" t="s">
        <v>12</v>
      </c>
      <c r="H2060" s="113">
        <v>0</v>
      </c>
      <c r="I2060" s="113">
        <v>0</v>
      </c>
      <c r="K2060" s="113">
        <v>5770.6</v>
      </c>
      <c r="L2060" s="113">
        <v>7.4861999999999998E-2</v>
      </c>
      <c r="M2060" s="113">
        <v>5770.6</v>
      </c>
      <c r="N2060" s="113">
        <v>7.4565000000000006E-2</v>
      </c>
      <c r="O2060" s="114" t="s">
        <v>946</v>
      </c>
    </row>
    <row r="2061" spans="1:15" x14ac:dyDescent="0.25">
      <c r="A2061" s="113" t="s">
        <v>54</v>
      </c>
      <c r="B2061" s="113" t="s">
        <v>60</v>
      </c>
      <c r="C2061" s="113">
        <v>55</v>
      </c>
      <c r="D2061" s="113">
        <v>150.01</v>
      </c>
      <c r="E2061" s="113">
        <v>100</v>
      </c>
      <c r="F2061" s="113" t="s">
        <v>13</v>
      </c>
      <c r="G2061" s="113" t="s">
        <v>12</v>
      </c>
      <c r="H2061" s="113">
        <v>0</v>
      </c>
      <c r="I2061" s="113">
        <v>0</v>
      </c>
      <c r="K2061" s="113">
        <v>57735</v>
      </c>
      <c r="L2061" s="113">
        <v>7.5814999999999997E-3</v>
      </c>
      <c r="M2061" s="113">
        <v>57732</v>
      </c>
      <c r="N2061" s="113">
        <v>7.4625000000000004E-3</v>
      </c>
      <c r="O2061" s="114" t="s">
        <v>947</v>
      </c>
    </row>
    <row r="2062" spans="1:15" x14ac:dyDescent="0.25">
      <c r="A2062" s="113" t="s">
        <v>54</v>
      </c>
      <c r="B2062" s="113" t="s">
        <v>60</v>
      </c>
      <c r="C2062" s="113">
        <v>150</v>
      </c>
      <c r="D2062" s="113">
        <v>550.01</v>
      </c>
      <c r="E2062" s="113">
        <v>0.01</v>
      </c>
      <c r="F2062" s="113" t="s">
        <v>13</v>
      </c>
      <c r="G2062" s="113" t="s">
        <v>12</v>
      </c>
      <c r="H2062" s="113">
        <v>0</v>
      </c>
      <c r="I2062" s="113">
        <v>0</v>
      </c>
      <c r="K2062" s="113">
        <v>19</v>
      </c>
      <c r="L2062" s="113">
        <v>2.2000000000000002</v>
      </c>
      <c r="M2062" s="113">
        <v>-17.053000000000001</v>
      </c>
      <c r="N2062" s="113">
        <v>2.1654</v>
      </c>
      <c r="O2062" s="114" t="s">
        <v>948</v>
      </c>
    </row>
    <row r="2063" spans="1:15" x14ac:dyDescent="0.25">
      <c r="A2063" s="113" t="s">
        <v>54</v>
      </c>
      <c r="B2063" s="113" t="s">
        <v>60</v>
      </c>
      <c r="C2063" s="113">
        <v>150</v>
      </c>
      <c r="D2063" s="113">
        <v>550.01</v>
      </c>
      <c r="E2063" s="113">
        <v>0.1</v>
      </c>
      <c r="F2063" s="113" t="s">
        <v>13</v>
      </c>
      <c r="G2063" s="113" t="s">
        <v>12</v>
      </c>
      <c r="H2063" s="113">
        <v>0</v>
      </c>
      <c r="I2063" s="113">
        <v>0</v>
      </c>
      <c r="K2063" s="113">
        <v>19</v>
      </c>
      <c r="L2063" s="113">
        <v>2.2000000000000002</v>
      </c>
      <c r="M2063" s="113">
        <v>-10.260999999999999</v>
      </c>
      <c r="N2063" s="113">
        <v>2.1556000000000002</v>
      </c>
      <c r="O2063" s="114" t="s">
        <v>949</v>
      </c>
    </row>
    <row r="2064" spans="1:15" x14ac:dyDescent="0.25">
      <c r="A2064" s="113" t="s">
        <v>54</v>
      </c>
      <c r="B2064" s="113" t="s">
        <v>60</v>
      </c>
      <c r="C2064" s="113">
        <v>150</v>
      </c>
      <c r="D2064" s="113">
        <v>550.01</v>
      </c>
      <c r="E2064" s="113">
        <v>1</v>
      </c>
      <c r="F2064" s="113" t="s">
        <v>13</v>
      </c>
      <c r="G2064" s="113" t="s">
        <v>12</v>
      </c>
      <c r="H2064" s="113">
        <v>0</v>
      </c>
      <c r="I2064" s="113">
        <v>0</v>
      </c>
      <c r="K2064" s="113">
        <v>409.49</v>
      </c>
      <c r="L2064" s="113">
        <v>1.6356999999999999</v>
      </c>
      <c r="M2064" s="113">
        <v>409.01</v>
      </c>
      <c r="N2064" s="113">
        <v>1.6349</v>
      </c>
      <c r="O2064" s="114" t="s">
        <v>950</v>
      </c>
    </row>
    <row r="2065" spans="1:15" x14ac:dyDescent="0.25">
      <c r="A2065" s="113" t="s">
        <v>54</v>
      </c>
      <c r="B2065" s="113" t="s">
        <v>60</v>
      </c>
      <c r="C2065" s="113">
        <v>150</v>
      </c>
      <c r="D2065" s="113">
        <v>550.01</v>
      </c>
      <c r="E2065" s="113">
        <v>10</v>
      </c>
      <c r="F2065" s="113" t="s">
        <v>13</v>
      </c>
      <c r="G2065" s="113" t="s">
        <v>12</v>
      </c>
      <c r="H2065" s="113">
        <v>0</v>
      </c>
      <c r="I2065" s="113">
        <v>0</v>
      </c>
      <c r="K2065" s="113">
        <v>5740.6</v>
      </c>
      <c r="L2065" s="113">
        <v>0.27617999999999998</v>
      </c>
      <c r="M2065" s="113">
        <v>5740.5</v>
      </c>
      <c r="N2065" s="113">
        <v>0.27484999999999998</v>
      </c>
      <c r="O2065" s="114" t="s">
        <v>951</v>
      </c>
    </row>
    <row r="2066" spans="1:15" x14ac:dyDescent="0.25">
      <c r="A2066" s="113" t="s">
        <v>54</v>
      </c>
      <c r="B2066" s="113" t="s">
        <v>60</v>
      </c>
      <c r="C2066" s="113">
        <v>150</v>
      </c>
      <c r="D2066" s="113">
        <v>550.01</v>
      </c>
      <c r="E2066" s="113">
        <v>100</v>
      </c>
      <c r="F2066" s="113" t="s">
        <v>13</v>
      </c>
      <c r="G2066" s="113" t="s">
        <v>12</v>
      </c>
      <c r="H2066" s="113">
        <v>0</v>
      </c>
      <c r="I2066" s="113">
        <v>0</v>
      </c>
      <c r="K2066" s="113">
        <v>57732</v>
      </c>
      <c r="L2066" s="113">
        <v>2.8329E-2</v>
      </c>
      <c r="M2066" s="113">
        <v>57732</v>
      </c>
      <c r="N2066" s="113">
        <v>2.7782999999999999E-2</v>
      </c>
      <c r="O2066" s="114" t="s">
        <v>952</v>
      </c>
    </row>
    <row r="2067" spans="1:15" x14ac:dyDescent="0.25">
      <c r="A2067" s="113" t="s">
        <v>54</v>
      </c>
      <c r="B2067" s="113" t="s">
        <v>60</v>
      </c>
      <c r="C2067" s="113">
        <v>550</v>
      </c>
      <c r="D2067" s="113">
        <v>1025</v>
      </c>
      <c r="E2067" s="113">
        <v>0.01</v>
      </c>
      <c r="F2067" s="113" t="s">
        <v>13</v>
      </c>
      <c r="G2067" s="113" t="s">
        <v>12</v>
      </c>
      <c r="H2067" s="113">
        <v>0</v>
      </c>
      <c r="I2067" s="113">
        <v>0</v>
      </c>
      <c r="K2067" s="113">
        <v>32</v>
      </c>
      <c r="L2067" s="113">
        <v>2.2999999999999998</v>
      </c>
      <c r="M2067" s="113">
        <v>22.486999999999998</v>
      </c>
      <c r="N2067" s="113">
        <v>2.3089</v>
      </c>
      <c r="O2067" s="114" t="s">
        <v>953</v>
      </c>
    </row>
    <row r="2068" spans="1:15" x14ac:dyDescent="0.25">
      <c r="A2068" s="113" t="s">
        <v>54</v>
      </c>
      <c r="B2068" s="113" t="s">
        <v>60</v>
      </c>
      <c r="C2068" s="113">
        <v>550</v>
      </c>
      <c r="D2068" s="113">
        <v>1025</v>
      </c>
      <c r="E2068" s="113">
        <v>0.1</v>
      </c>
      <c r="F2068" s="113" t="s">
        <v>13</v>
      </c>
      <c r="G2068" s="113" t="s">
        <v>12</v>
      </c>
      <c r="H2068" s="113">
        <v>0</v>
      </c>
      <c r="I2068" s="113">
        <v>0</v>
      </c>
      <c r="K2068" s="113">
        <v>32</v>
      </c>
      <c r="L2068" s="113">
        <v>2.3014000000000001</v>
      </c>
      <c r="M2068" s="113">
        <v>24.491</v>
      </c>
      <c r="N2068" s="113">
        <v>2.3075999999999999</v>
      </c>
      <c r="O2068" s="114" t="s">
        <v>954</v>
      </c>
    </row>
    <row r="2069" spans="1:15" x14ac:dyDescent="0.25">
      <c r="A2069" s="113" t="s">
        <v>54</v>
      </c>
      <c r="B2069" s="113" t="s">
        <v>60</v>
      </c>
      <c r="C2069" s="113">
        <v>550</v>
      </c>
      <c r="D2069" s="113">
        <v>1025</v>
      </c>
      <c r="E2069" s="113">
        <v>1</v>
      </c>
      <c r="F2069" s="113" t="s">
        <v>13</v>
      </c>
      <c r="G2069" s="113" t="s">
        <v>12</v>
      </c>
      <c r="H2069" s="113">
        <v>0</v>
      </c>
      <c r="I2069" s="113">
        <v>0</v>
      </c>
      <c r="K2069" s="113">
        <v>209.6</v>
      </c>
      <c r="L2069" s="113">
        <v>2.1949000000000001</v>
      </c>
      <c r="M2069" s="113">
        <v>208.5</v>
      </c>
      <c r="N2069" s="113">
        <v>2.1945000000000001</v>
      </c>
      <c r="O2069" s="114" t="s">
        <v>955</v>
      </c>
    </row>
    <row r="2070" spans="1:15" x14ac:dyDescent="0.25">
      <c r="A2070" s="113" t="s">
        <v>54</v>
      </c>
      <c r="B2070" s="113" t="s">
        <v>60</v>
      </c>
      <c r="C2070" s="113">
        <v>550</v>
      </c>
      <c r="D2070" s="113">
        <v>1025</v>
      </c>
      <c r="E2070" s="113">
        <v>10</v>
      </c>
      <c r="F2070" s="113" t="s">
        <v>13</v>
      </c>
      <c r="G2070" s="113" t="s">
        <v>12</v>
      </c>
      <c r="H2070" s="113">
        <v>0</v>
      </c>
      <c r="I2070" s="113">
        <v>0</v>
      </c>
      <c r="K2070" s="113">
        <v>5532.1</v>
      </c>
      <c r="L2070" s="113">
        <v>0.70111000000000001</v>
      </c>
      <c r="M2070" s="113">
        <v>5532.1</v>
      </c>
      <c r="N2070" s="113">
        <v>0.69874999999999998</v>
      </c>
      <c r="O2070" s="114" t="s">
        <v>956</v>
      </c>
    </row>
    <row r="2071" spans="1:15" x14ac:dyDescent="0.25">
      <c r="A2071" s="113" t="s">
        <v>54</v>
      </c>
      <c r="B2071" s="113" t="s">
        <v>60</v>
      </c>
      <c r="C2071" s="113">
        <v>550</v>
      </c>
      <c r="D2071" s="113">
        <v>1025</v>
      </c>
      <c r="E2071" s="113">
        <v>100</v>
      </c>
      <c r="F2071" s="113" t="s">
        <v>13</v>
      </c>
      <c r="G2071" s="113" t="s">
        <v>12</v>
      </c>
      <c r="H2071" s="113">
        <v>0</v>
      </c>
      <c r="I2071" s="113">
        <v>0</v>
      </c>
      <c r="K2071" s="113">
        <v>57709</v>
      </c>
      <c r="L2071" s="113">
        <v>7.4653999999999998E-2</v>
      </c>
      <c r="M2071" s="113">
        <v>57710</v>
      </c>
      <c r="N2071" s="113">
        <v>7.3570999999999998E-2</v>
      </c>
      <c r="O2071" s="114" t="s">
        <v>957</v>
      </c>
    </row>
    <row r="2072" spans="1:15" x14ac:dyDescent="0.25">
      <c r="A2072" s="113" t="s">
        <v>54</v>
      </c>
      <c r="B2072" s="113" t="s">
        <v>60</v>
      </c>
      <c r="C2072" s="113">
        <v>1025</v>
      </c>
      <c r="D2072" s="113">
        <v>1026</v>
      </c>
      <c r="E2072" s="113">
        <v>0.01</v>
      </c>
      <c r="F2072" s="113" t="s">
        <v>13</v>
      </c>
      <c r="G2072" s="113" t="s">
        <v>12</v>
      </c>
      <c r="H2072" s="113">
        <v>0</v>
      </c>
      <c r="I2072" s="113">
        <v>0</v>
      </c>
      <c r="K2072" s="113">
        <v>32</v>
      </c>
      <c r="L2072" s="113">
        <v>2.2999999999999998</v>
      </c>
      <c r="M2072" s="113">
        <v>22.486999999999998</v>
      </c>
      <c r="N2072" s="113">
        <v>2.3089</v>
      </c>
      <c r="O2072" s="114" t="s">
        <v>958</v>
      </c>
    </row>
    <row r="2073" spans="1:15" x14ac:dyDescent="0.25">
      <c r="A2073" s="113" t="s">
        <v>54</v>
      </c>
      <c r="B2073" s="113" t="s">
        <v>60</v>
      </c>
      <c r="C2073" s="113">
        <v>1025</v>
      </c>
      <c r="D2073" s="113">
        <v>1026</v>
      </c>
      <c r="E2073" s="113">
        <v>0.1</v>
      </c>
      <c r="F2073" s="113" t="s">
        <v>13</v>
      </c>
      <c r="G2073" s="113" t="s">
        <v>12</v>
      </c>
      <c r="H2073" s="113">
        <v>0</v>
      </c>
      <c r="I2073" s="113">
        <v>0</v>
      </c>
      <c r="K2073" s="113">
        <v>32</v>
      </c>
      <c r="L2073" s="113">
        <v>2.3014000000000001</v>
      </c>
      <c r="M2073" s="113">
        <v>24.491</v>
      </c>
      <c r="N2073" s="113">
        <v>2.3075999999999999</v>
      </c>
      <c r="O2073" s="114" t="s">
        <v>959</v>
      </c>
    </row>
    <row r="2074" spans="1:15" x14ac:dyDescent="0.25">
      <c r="A2074" s="113" t="s">
        <v>54</v>
      </c>
      <c r="B2074" s="113" t="s">
        <v>60</v>
      </c>
      <c r="C2074" s="113">
        <v>1025</v>
      </c>
      <c r="D2074" s="113">
        <v>1026</v>
      </c>
      <c r="E2074" s="113">
        <v>1</v>
      </c>
      <c r="F2074" s="113" t="s">
        <v>13</v>
      </c>
      <c r="G2074" s="113" t="s">
        <v>12</v>
      </c>
      <c r="H2074" s="113">
        <v>0</v>
      </c>
      <c r="I2074" s="113">
        <v>0</v>
      </c>
      <c r="K2074" s="113">
        <v>209.6</v>
      </c>
      <c r="L2074" s="113">
        <v>2.1949000000000001</v>
      </c>
      <c r="M2074" s="113">
        <v>208.5</v>
      </c>
      <c r="N2074" s="113">
        <v>2.1945000000000001</v>
      </c>
      <c r="O2074" s="114" t="s">
        <v>960</v>
      </c>
    </row>
    <row r="2075" spans="1:15" x14ac:dyDescent="0.25">
      <c r="A2075" s="113" t="s">
        <v>54</v>
      </c>
      <c r="B2075" s="113" t="s">
        <v>60</v>
      </c>
      <c r="C2075" s="113">
        <v>1025</v>
      </c>
      <c r="D2075" s="113">
        <v>1026</v>
      </c>
      <c r="E2075" s="113">
        <v>10</v>
      </c>
      <c r="F2075" s="113" t="s">
        <v>13</v>
      </c>
      <c r="G2075" s="113" t="s">
        <v>12</v>
      </c>
      <c r="H2075" s="113">
        <v>0</v>
      </c>
      <c r="I2075" s="113">
        <v>0</v>
      </c>
      <c r="K2075" s="113">
        <v>5532.1</v>
      </c>
      <c r="L2075" s="113">
        <v>0.70111000000000001</v>
      </c>
      <c r="M2075" s="113">
        <v>5532.1</v>
      </c>
      <c r="N2075" s="113">
        <v>0.69874999999999998</v>
      </c>
      <c r="O2075" s="114" t="s">
        <v>961</v>
      </c>
    </row>
    <row r="2076" spans="1:15" x14ac:dyDescent="0.25">
      <c r="A2076" s="113" t="s">
        <v>54</v>
      </c>
      <c r="B2076" s="113" t="s">
        <v>60</v>
      </c>
      <c r="C2076" s="113">
        <v>1025</v>
      </c>
      <c r="D2076" s="113">
        <v>1026</v>
      </c>
      <c r="E2076" s="113">
        <v>100</v>
      </c>
      <c r="F2076" s="113" t="s">
        <v>13</v>
      </c>
      <c r="G2076" s="113" t="s">
        <v>12</v>
      </c>
      <c r="H2076" s="113">
        <v>0</v>
      </c>
      <c r="I2076" s="113">
        <v>0</v>
      </c>
      <c r="K2076" s="113">
        <v>57709</v>
      </c>
      <c r="L2076" s="113">
        <v>7.4653999999999998E-2</v>
      </c>
      <c r="M2076" s="113">
        <v>57710</v>
      </c>
      <c r="N2076" s="113">
        <v>7.3570999999999998E-2</v>
      </c>
      <c r="O2076" s="114" t="s">
        <v>962</v>
      </c>
    </row>
    <row r="2077" spans="1:15" x14ac:dyDescent="0.25">
      <c r="A2077" s="113" t="s">
        <v>54</v>
      </c>
      <c r="B2077" s="113" t="s">
        <v>3</v>
      </c>
      <c r="C2077" s="113">
        <v>0</v>
      </c>
      <c r="D2077" s="113">
        <v>0.33000099999999999</v>
      </c>
      <c r="E2077" s="113">
        <v>9.9999999999999995E-8</v>
      </c>
      <c r="F2077" s="113" t="s">
        <v>6</v>
      </c>
      <c r="G2077" s="113" t="s">
        <v>5</v>
      </c>
      <c r="H2077" s="113">
        <v>0</v>
      </c>
      <c r="I2077" s="113">
        <v>0</v>
      </c>
      <c r="K2077" s="113">
        <v>3.6</v>
      </c>
      <c r="L2077" s="113">
        <v>69</v>
      </c>
      <c r="M2077" s="113">
        <v>3.4727000000000001</v>
      </c>
      <c r="N2077" s="113">
        <v>69.313999999999993</v>
      </c>
      <c r="O2077" s="114" t="s">
        <v>905</v>
      </c>
    </row>
    <row r="2078" spans="1:15" x14ac:dyDescent="0.25">
      <c r="A2078" s="113" t="s">
        <v>54</v>
      </c>
      <c r="B2078" s="113" t="s">
        <v>3</v>
      </c>
      <c r="C2078" s="113">
        <v>0</v>
      </c>
      <c r="D2078" s="113">
        <v>0.33000099999999999</v>
      </c>
      <c r="E2078" s="113">
        <v>9.9999999999999995E-7</v>
      </c>
      <c r="F2078" s="113" t="s">
        <v>6</v>
      </c>
      <c r="G2078" s="113" t="s">
        <v>5</v>
      </c>
      <c r="H2078" s="113">
        <v>0</v>
      </c>
      <c r="I2078" s="113">
        <v>0</v>
      </c>
      <c r="K2078" s="113">
        <v>3.6</v>
      </c>
      <c r="L2078" s="113">
        <v>69.150999999999996</v>
      </c>
      <c r="M2078" s="113">
        <v>3.5196000000000001</v>
      </c>
      <c r="N2078" s="113">
        <v>69.191000000000003</v>
      </c>
      <c r="O2078" s="114" t="s">
        <v>906</v>
      </c>
    </row>
    <row r="2079" spans="1:15" x14ac:dyDescent="0.25">
      <c r="A2079" s="113" t="s">
        <v>54</v>
      </c>
      <c r="B2079" s="113" t="s">
        <v>3</v>
      </c>
      <c r="C2079" s="113">
        <v>0</v>
      </c>
      <c r="D2079" s="113">
        <v>0.33000099999999999</v>
      </c>
      <c r="E2079" s="113">
        <v>1.0000000000000001E-5</v>
      </c>
      <c r="F2079" s="113" t="s">
        <v>6</v>
      </c>
      <c r="G2079" s="113" t="s">
        <v>5</v>
      </c>
      <c r="H2079" s="113">
        <v>0</v>
      </c>
      <c r="I2079" s="113">
        <v>0</v>
      </c>
      <c r="K2079" s="113">
        <v>6.7737999999999996</v>
      </c>
      <c r="L2079" s="113">
        <v>61.286999999999999</v>
      </c>
      <c r="M2079" s="113">
        <v>6.7343999999999999</v>
      </c>
      <c r="N2079" s="113">
        <v>61.341999999999999</v>
      </c>
      <c r="O2079" s="114" t="s">
        <v>907</v>
      </c>
    </row>
    <row r="2080" spans="1:15" x14ac:dyDescent="0.25">
      <c r="A2080" s="113" t="s">
        <v>54</v>
      </c>
      <c r="B2080" s="113" t="s">
        <v>3</v>
      </c>
      <c r="C2080" s="113">
        <v>0</v>
      </c>
      <c r="D2080" s="113">
        <v>0.33000099999999999</v>
      </c>
      <c r="E2080" s="113">
        <v>1E-4</v>
      </c>
      <c r="F2080" s="113" t="s">
        <v>6</v>
      </c>
      <c r="G2080" s="113" t="s">
        <v>5</v>
      </c>
      <c r="H2080" s="113">
        <v>0</v>
      </c>
      <c r="I2080" s="113">
        <v>0</v>
      </c>
      <c r="K2080" s="113">
        <v>58.11</v>
      </c>
      <c r="L2080" s="113">
        <v>17.059999999999999</v>
      </c>
      <c r="M2080" s="113">
        <v>58.091000000000001</v>
      </c>
      <c r="N2080" s="113">
        <v>17.007000000000001</v>
      </c>
      <c r="O2080" s="114" t="s">
        <v>908</v>
      </c>
    </row>
    <row r="2081" spans="1:15" x14ac:dyDescent="0.25">
      <c r="A2081" s="113" t="s">
        <v>54</v>
      </c>
      <c r="B2081" s="113" t="s">
        <v>3</v>
      </c>
      <c r="C2081" s="113">
        <v>0</v>
      </c>
      <c r="D2081" s="113">
        <v>0.33000099999999999</v>
      </c>
      <c r="E2081" s="113">
        <v>1E-3</v>
      </c>
      <c r="F2081" s="113" t="s">
        <v>6</v>
      </c>
      <c r="G2081" s="113" t="s">
        <v>5</v>
      </c>
      <c r="H2081" s="113">
        <v>0</v>
      </c>
      <c r="I2081" s="113">
        <v>0</v>
      </c>
      <c r="K2081" s="113">
        <v>580.02</v>
      </c>
      <c r="L2081" s="113">
        <v>1.8105</v>
      </c>
      <c r="M2081" s="113">
        <v>580.01</v>
      </c>
      <c r="N2081" s="113">
        <v>1.7849999999999999</v>
      </c>
      <c r="O2081" s="114" t="s">
        <v>909</v>
      </c>
    </row>
    <row r="2082" spans="1:15" x14ac:dyDescent="0.25">
      <c r="A2082" s="113" t="s">
        <v>54</v>
      </c>
      <c r="B2082" s="113" t="s">
        <v>3</v>
      </c>
      <c r="C2082" s="113">
        <v>0</v>
      </c>
      <c r="D2082" s="113">
        <v>0.33000099999999999</v>
      </c>
      <c r="E2082" s="113">
        <v>0.01</v>
      </c>
      <c r="F2082" s="113" t="s">
        <v>6</v>
      </c>
      <c r="G2082" s="113" t="s">
        <v>5</v>
      </c>
      <c r="H2082" s="113">
        <v>0</v>
      </c>
      <c r="I2082" s="113">
        <v>0</v>
      </c>
      <c r="K2082" s="113">
        <v>5800</v>
      </c>
      <c r="L2082" s="113">
        <v>0.1888</v>
      </c>
      <c r="M2082" s="113">
        <v>5800</v>
      </c>
      <c r="N2082" s="113">
        <v>0.17859</v>
      </c>
      <c r="O2082" s="114" t="s">
        <v>910</v>
      </c>
    </row>
    <row r="2083" spans="1:15" x14ac:dyDescent="0.25">
      <c r="A2083" s="113" t="s">
        <v>54</v>
      </c>
      <c r="B2083" s="113" t="s">
        <v>3</v>
      </c>
      <c r="C2083" s="113">
        <v>0</v>
      </c>
      <c r="D2083" s="113">
        <v>0.33000099999999999</v>
      </c>
      <c r="E2083" s="113">
        <v>0.1</v>
      </c>
      <c r="F2083" s="113" t="s">
        <v>6</v>
      </c>
      <c r="G2083" s="113" t="s">
        <v>4</v>
      </c>
      <c r="H2083" s="113">
        <v>0</v>
      </c>
      <c r="I2083" s="113">
        <v>0</v>
      </c>
      <c r="K2083" s="113">
        <v>58</v>
      </c>
      <c r="L2083" s="113">
        <v>2.1943E-5</v>
      </c>
      <c r="M2083" s="113">
        <v>58</v>
      </c>
      <c r="N2083" s="113">
        <v>1.7859E-5</v>
      </c>
      <c r="O2083" s="114" t="s">
        <v>911</v>
      </c>
    </row>
    <row r="2084" spans="1:15" x14ac:dyDescent="0.25">
      <c r="A2084" s="113" t="s">
        <v>54</v>
      </c>
      <c r="B2084" s="113" t="s">
        <v>3</v>
      </c>
      <c r="C2084" s="113">
        <v>0</v>
      </c>
      <c r="D2084" s="113">
        <v>0.33000099999999999</v>
      </c>
      <c r="E2084" s="113">
        <v>1</v>
      </c>
      <c r="F2084" s="113" t="s">
        <v>6</v>
      </c>
      <c r="G2084" s="113" t="s">
        <v>4</v>
      </c>
      <c r="H2084" s="113">
        <v>0</v>
      </c>
      <c r="I2084" s="113">
        <v>0</v>
      </c>
      <c r="K2084" s="113">
        <v>580</v>
      </c>
      <c r="L2084" s="113">
        <v>3.4199999999999999E-6</v>
      </c>
      <c r="M2084" s="113">
        <v>580</v>
      </c>
      <c r="N2084" s="113">
        <v>1.79E-6</v>
      </c>
      <c r="O2084" s="114" t="s">
        <v>912</v>
      </c>
    </row>
    <row r="2085" spans="1:15" x14ac:dyDescent="0.25">
      <c r="A2085" s="113" t="s">
        <v>54</v>
      </c>
      <c r="B2085" s="113" t="s">
        <v>3</v>
      </c>
      <c r="C2085" s="113">
        <v>0</v>
      </c>
      <c r="D2085" s="113">
        <v>0.33000099999999999</v>
      </c>
      <c r="E2085" s="113">
        <v>10</v>
      </c>
      <c r="F2085" s="113" t="s">
        <v>6</v>
      </c>
      <c r="G2085" s="113" t="s">
        <v>4</v>
      </c>
      <c r="H2085" s="113">
        <v>0</v>
      </c>
      <c r="I2085" s="113">
        <v>0</v>
      </c>
      <c r="K2085" s="113">
        <v>5800</v>
      </c>
      <c r="L2085" s="113">
        <v>8.3200000000000004E-7</v>
      </c>
      <c r="M2085" s="113">
        <v>5800</v>
      </c>
      <c r="N2085" s="113">
        <v>1.79E-7</v>
      </c>
      <c r="O2085" s="114" t="s">
        <v>913</v>
      </c>
    </row>
    <row r="2086" spans="1:15" x14ac:dyDescent="0.25">
      <c r="A2086" s="113" t="s">
        <v>54</v>
      </c>
      <c r="B2086" s="113" t="s">
        <v>3</v>
      </c>
      <c r="C2086" s="113">
        <v>0.33</v>
      </c>
      <c r="D2086" s="113">
        <v>3.3000099999999999</v>
      </c>
      <c r="E2086" s="113">
        <v>9.9999999999999995E-7</v>
      </c>
      <c r="F2086" s="113" t="s">
        <v>6</v>
      </c>
      <c r="G2086" s="113" t="s">
        <v>5</v>
      </c>
      <c r="H2086" s="113">
        <v>0</v>
      </c>
      <c r="I2086" s="113">
        <v>0</v>
      </c>
      <c r="K2086" s="113">
        <v>5.9</v>
      </c>
      <c r="L2086" s="113">
        <v>58</v>
      </c>
      <c r="M2086" s="113">
        <v>5.7708000000000004</v>
      </c>
      <c r="N2086" s="113">
        <v>57.786999999999999</v>
      </c>
      <c r="O2086" s="114" t="s">
        <v>914</v>
      </c>
    </row>
    <row r="2087" spans="1:15" x14ac:dyDescent="0.25">
      <c r="A2087" s="113" t="s">
        <v>54</v>
      </c>
      <c r="B2087" s="113" t="s">
        <v>3</v>
      </c>
      <c r="C2087" s="113">
        <v>0.33</v>
      </c>
      <c r="D2087" s="113">
        <v>3.3000099999999999</v>
      </c>
      <c r="E2087" s="113">
        <v>1.0000000000000001E-5</v>
      </c>
      <c r="F2087" s="113" t="s">
        <v>6</v>
      </c>
      <c r="G2087" s="113" t="s">
        <v>5</v>
      </c>
      <c r="H2087" s="113">
        <v>0</v>
      </c>
      <c r="I2087" s="113">
        <v>0</v>
      </c>
      <c r="K2087" s="113">
        <v>6.8066000000000004</v>
      </c>
      <c r="L2087" s="113">
        <v>57.529000000000003</v>
      </c>
      <c r="M2087" s="113">
        <v>6.4957000000000003</v>
      </c>
      <c r="N2087" s="113">
        <v>57.593000000000004</v>
      </c>
      <c r="O2087" s="114" t="s">
        <v>915</v>
      </c>
    </row>
    <row r="2088" spans="1:15" x14ac:dyDescent="0.25">
      <c r="A2088" s="113" t="s">
        <v>54</v>
      </c>
      <c r="B2088" s="113" t="s">
        <v>3</v>
      </c>
      <c r="C2088" s="113">
        <v>0.33</v>
      </c>
      <c r="D2088" s="113">
        <v>3.3000099999999999</v>
      </c>
      <c r="E2088" s="113">
        <v>1E-4</v>
      </c>
      <c r="F2088" s="113" t="s">
        <v>6</v>
      </c>
      <c r="G2088" s="113" t="s">
        <v>5</v>
      </c>
      <c r="H2088" s="113">
        <v>0</v>
      </c>
      <c r="I2088" s="113">
        <v>0</v>
      </c>
      <c r="K2088" s="113">
        <v>47.82</v>
      </c>
      <c r="L2088" s="113">
        <v>47.701000000000001</v>
      </c>
      <c r="M2088" s="113">
        <v>47.341999999999999</v>
      </c>
      <c r="N2088" s="113">
        <v>47.73</v>
      </c>
      <c r="O2088" s="114" t="s">
        <v>916</v>
      </c>
    </row>
    <row r="2089" spans="1:15" x14ac:dyDescent="0.25">
      <c r="A2089" s="113" t="s">
        <v>54</v>
      </c>
      <c r="B2089" s="113" t="s">
        <v>3</v>
      </c>
      <c r="C2089" s="113">
        <v>0.33</v>
      </c>
      <c r="D2089" s="113">
        <v>3.3000099999999999</v>
      </c>
      <c r="E2089" s="113">
        <v>1E-3</v>
      </c>
      <c r="F2089" s="113" t="s">
        <v>6</v>
      </c>
      <c r="G2089" s="113" t="s">
        <v>5</v>
      </c>
      <c r="H2089" s="113">
        <v>0</v>
      </c>
      <c r="I2089" s="113">
        <v>0</v>
      </c>
      <c r="K2089" s="113">
        <v>577.16999999999996</v>
      </c>
      <c r="L2089" s="113">
        <v>10.824</v>
      </c>
      <c r="M2089" s="113">
        <v>576.99</v>
      </c>
      <c r="N2089" s="113">
        <v>10.721</v>
      </c>
      <c r="O2089" s="114" t="s">
        <v>917</v>
      </c>
    </row>
    <row r="2090" spans="1:15" x14ac:dyDescent="0.25">
      <c r="A2090" s="113" t="s">
        <v>54</v>
      </c>
      <c r="B2090" s="113" t="s">
        <v>3</v>
      </c>
      <c r="C2090" s="113">
        <v>0.33</v>
      </c>
      <c r="D2090" s="113">
        <v>3.3000099999999999</v>
      </c>
      <c r="E2090" s="113">
        <v>0.01</v>
      </c>
      <c r="F2090" s="113" t="s">
        <v>6</v>
      </c>
      <c r="G2090" s="113" t="s">
        <v>5</v>
      </c>
      <c r="H2090" s="113">
        <v>0</v>
      </c>
      <c r="I2090" s="113">
        <v>0</v>
      </c>
      <c r="K2090" s="113">
        <v>5799.8</v>
      </c>
      <c r="L2090" s="113">
        <v>1.1473</v>
      </c>
      <c r="M2090" s="113">
        <v>5799.7</v>
      </c>
      <c r="N2090" s="113">
        <v>1.1022000000000001</v>
      </c>
      <c r="O2090" s="114" t="s">
        <v>918</v>
      </c>
    </row>
    <row r="2091" spans="1:15" x14ac:dyDescent="0.25">
      <c r="A2091" s="113" t="s">
        <v>54</v>
      </c>
      <c r="B2091" s="113" t="s">
        <v>3</v>
      </c>
      <c r="C2091" s="113">
        <v>0.33</v>
      </c>
      <c r="D2091" s="113">
        <v>3.3000099999999999</v>
      </c>
      <c r="E2091" s="113">
        <v>0.1</v>
      </c>
      <c r="F2091" s="113" t="s">
        <v>6</v>
      </c>
      <c r="G2091" s="113" t="s">
        <v>5</v>
      </c>
      <c r="H2091" s="113">
        <v>0</v>
      </c>
      <c r="I2091" s="113">
        <v>0</v>
      </c>
      <c r="K2091" s="113">
        <v>58000</v>
      </c>
      <c r="L2091" s="113">
        <v>0.12833</v>
      </c>
      <c r="M2091" s="113">
        <v>5799.8</v>
      </c>
      <c r="N2091" s="113">
        <v>0.11025</v>
      </c>
      <c r="O2091" s="114" t="s">
        <v>919</v>
      </c>
    </row>
    <row r="2092" spans="1:15" x14ac:dyDescent="0.25">
      <c r="A2092" s="113" t="s">
        <v>54</v>
      </c>
      <c r="B2092" s="113" t="s">
        <v>3</v>
      </c>
      <c r="C2092" s="113">
        <v>3</v>
      </c>
      <c r="D2092" s="113">
        <v>33.000100000000003</v>
      </c>
      <c r="E2092" s="113">
        <v>1.0000000000000001E-5</v>
      </c>
      <c r="F2092" s="113" t="s">
        <v>6</v>
      </c>
      <c r="G2092" s="113" t="s">
        <v>4</v>
      </c>
      <c r="H2092" s="113">
        <v>0</v>
      </c>
      <c r="I2092" s="113">
        <v>0</v>
      </c>
      <c r="K2092" s="113">
        <v>5.8999999999999997E-2</v>
      </c>
      <c r="L2092" s="113">
        <v>5.8000000000000003E-2</v>
      </c>
      <c r="M2092" s="113">
        <v>5.8347999999999997E-2</v>
      </c>
      <c r="N2092" s="113">
        <v>5.7918999999999998E-2</v>
      </c>
      <c r="O2092" s="114" t="s">
        <v>920</v>
      </c>
    </row>
    <row r="2093" spans="1:15" x14ac:dyDescent="0.25">
      <c r="A2093" s="113" t="s">
        <v>54</v>
      </c>
      <c r="B2093" s="113" t="s">
        <v>3</v>
      </c>
      <c r="C2093" s="113">
        <v>3</v>
      </c>
      <c r="D2093" s="113">
        <v>33.000100000000003</v>
      </c>
      <c r="E2093" s="113">
        <v>1E-4</v>
      </c>
      <c r="F2093" s="113" t="s">
        <v>6</v>
      </c>
      <c r="G2093" s="113" t="s">
        <v>4</v>
      </c>
      <c r="H2093" s="113">
        <v>0</v>
      </c>
      <c r="I2093" s="113">
        <v>0</v>
      </c>
      <c r="K2093" s="113">
        <v>6.7757999999999999E-2</v>
      </c>
      <c r="L2093" s="113">
        <v>5.7660999999999997E-2</v>
      </c>
      <c r="M2093" s="113">
        <v>6.4652000000000001E-2</v>
      </c>
      <c r="N2093" s="113">
        <v>5.7724999999999999E-2</v>
      </c>
      <c r="O2093" s="114" t="s">
        <v>921</v>
      </c>
    </row>
    <row r="2094" spans="1:15" x14ac:dyDescent="0.25">
      <c r="A2094" s="113" t="s">
        <v>54</v>
      </c>
      <c r="B2094" s="113" t="s">
        <v>3</v>
      </c>
      <c r="C2094" s="113">
        <v>3</v>
      </c>
      <c r="D2094" s="113">
        <v>33.000100000000003</v>
      </c>
      <c r="E2094" s="113">
        <v>1E-3</v>
      </c>
      <c r="F2094" s="113" t="s">
        <v>6</v>
      </c>
      <c r="G2094" s="113" t="s">
        <v>4</v>
      </c>
      <c r="H2094" s="113">
        <v>0</v>
      </c>
      <c r="I2094" s="113">
        <v>0</v>
      </c>
      <c r="K2094" s="113">
        <v>0.47783999999999999</v>
      </c>
      <c r="L2094" s="113">
        <v>4.7829000000000003E-2</v>
      </c>
      <c r="M2094" s="113">
        <v>0.47304000000000002</v>
      </c>
      <c r="N2094" s="113">
        <v>4.7858999999999999E-2</v>
      </c>
      <c r="O2094" s="114" t="s">
        <v>922</v>
      </c>
    </row>
    <row r="2095" spans="1:15" x14ac:dyDescent="0.25">
      <c r="A2095" s="113" t="s">
        <v>54</v>
      </c>
      <c r="B2095" s="113" t="s">
        <v>3</v>
      </c>
      <c r="C2095" s="113">
        <v>3</v>
      </c>
      <c r="D2095" s="113">
        <v>33.000100000000003</v>
      </c>
      <c r="E2095" s="113">
        <v>0.01</v>
      </c>
      <c r="F2095" s="113" t="s">
        <v>6</v>
      </c>
      <c r="G2095" s="113" t="s">
        <v>4</v>
      </c>
      <c r="H2095" s="113">
        <v>0</v>
      </c>
      <c r="I2095" s="113">
        <v>0</v>
      </c>
      <c r="K2095" s="113">
        <v>5.7714999999999996</v>
      </c>
      <c r="L2095" s="113">
        <v>1.0867999999999999E-2</v>
      </c>
      <c r="M2095" s="113">
        <v>5.7698</v>
      </c>
      <c r="N2095" s="113">
        <v>1.0763999999999999E-2</v>
      </c>
      <c r="O2095" s="114" t="s">
        <v>923</v>
      </c>
    </row>
    <row r="2096" spans="1:15" x14ac:dyDescent="0.25">
      <c r="A2096" s="113" t="s">
        <v>54</v>
      </c>
      <c r="B2096" s="113" t="s">
        <v>3</v>
      </c>
      <c r="C2096" s="113">
        <v>3</v>
      </c>
      <c r="D2096" s="113">
        <v>33.000100000000003</v>
      </c>
      <c r="E2096" s="113">
        <v>0.1</v>
      </c>
      <c r="F2096" s="113" t="s">
        <v>6</v>
      </c>
      <c r="G2096" s="113" t="s">
        <v>4</v>
      </c>
      <c r="H2096" s="113">
        <v>0</v>
      </c>
      <c r="I2096" s="113">
        <v>0</v>
      </c>
      <c r="K2096" s="113">
        <v>57.997999999999998</v>
      </c>
      <c r="L2096" s="113">
        <v>1.1519E-3</v>
      </c>
      <c r="M2096" s="113">
        <v>57.997</v>
      </c>
      <c r="N2096" s="113">
        <v>1.1068E-3</v>
      </c>
      <c r="O2096" s="114" t="s">
        <v>924</v>
      </c>
    </row>
    <row r="2097" spans="1:15" x14ac:dyDescent="0.25">
      <c r="A2097" s="113" t="s">
        <v>54</v>
      </c>
      <c r="B2097" s="113" t="s">
        <v>3</v>
      </c>
      <c r="C2097" s="113">
        <v>3</v>
      </c>
      <c r="D2097" s="113">
        <v>33.000100000000003</v>
      </c>
      <c r="E2097" s="113">
        <v>1</v>
      </c>
      <c r="F2097" s="113" t="s">
        <v>6</v>
      </c>
      <c r="G2097" s="113" t="s">
        <v>4</v>
      </c>
      <c r="H2097" s="113">
        <v>0</v>
      </c>
      <c r="I2097" s="113">
        <v>0</v>
      </c>
      <c r="K2097" s="113">
        <v>580</v>
      </c>
      <c r="L2097" s="113">
        <v>1.2878999999999999E-4</v>
      </c>
      <c r="M2097" s="113">
        <v>580</v>
      </c>
      <c r="N2097" s="113">
        <v>1.1071E-4</v>
      </c>
      <c r="O2097" s="114" t="s">
        <v>925</v>
      </c>
    </row>
    <row r="2098" spans="1:15" x14ac:dyDescent="0.25">
      <c r="A2098" s="113" t="s">
        <v>54</v>
      </c>
      <c r="B2098" s="113" t="s">
        <v>3</v>
      </c>
      <c r="C2098" s="113">
        <v>33</v>
      </c>
      <c r="D2098" s="113">
        <v>330.00099999999998</v>
      </c>
      <c r="E2098" s="113">
        <v>1E-4</v>
      </c>
      <c r="F2098" s="113" t="s">
        <v>6</v>
      </c>
      <c r="G2098" s="113" t="s">
        <v>4</v>
      </c>
      <c r="H2098" s="113">
        <v>0</v>
      </c>
      <c r="I2098" s="113">
        <v>0</v>
      </c>
      <c r="K2098" s="113">
        <v>0.59</v>
      </c>
      <c r="L2098" s="113">
        <v>6.4000000000000001E-2</v>
      </c>
      <c r="M2098" s="113">
        <v>0.57833999999999997</v>
      </c>
      <c r="N2098" s="113">
        <v>6.3644000000000006E-2</v>
      </c>
      <c r="O2098" s="114" t="s">
        <v>926</v>
      </c>
    </row>
    <row r="2099" spans="1:15" x14ac:dyDescent="0.25">
      <c r="A2099" s="113" t="s">
        <v>54</v>
      </c>
      <c r="B2099" s="113" t="s">
        <v>3</v>
      </c>
      <c r="C2099" s="113">
        <v>33</v>
      </c>
      <c r="D2099" s="113">
        <v>330.00099999999998</v>
      </c>
      <c r="E2099" s="113">
        <v>1E-3</v>
      </c>
      <c r="F2099" s="113" t="s">
        <v>6</v>
      </c>
      <c r="G2099" s="113" t="s">
        <v>4</v>
      </c>
      <c r="H2099" s="113">
        <v>0</v>
      </c>
      <c r="I2099" s="113">
        <v>0</v>
      </c>
      <c r="K2099" s="113">
        <v>0.67471000000000003</v>
      </c>
      <c r="L2099" s="113">
        <v>6.3403000000000001E-2</v>
      </c>
      <c r="M2099" s="113">
        <v>0.64578000000000002</v>
      </c>
      <c r="N2099" s="113">
        <v>6.3463000000000006E-2</v>
      </c>
      <c r="O2099" s="114" t="s">
        <v>927</v>
      </c>
    </row>
    <row r="2100" spans="1:15" x14ac:dyDescent="0.25">
      <c r="A2100" s="113" t="s">
        <v>54</v>
      </c>
      <c r="B2100" s="113" t="s">
        <v>3</v>
      </c>
      <c r="C2100" s="113">
        <v>33</v>
      </c>
      <c r="D2100" s="113">
        <v>330.00099999999998</v>
      </c>
      <c r="E2100" s="113">
        <v>0.01</v>
      </c>
      <c r="F2100" s="113" t="s">
        <v>6</v>
      </c>
      <c r="G2100" s="113" t="s">
        <v>4</v>
      </c>
      <c r="H2100" s="113">
        <v>0</v>
      </c>
      <c r="I2100" s="113">
        <v>0</v>
      </c>
      <c r="K2100" s="113">
        <v>4.6628999999999996</v>
      </c>
      <c r="L2100" s="113">
        <v>5.3692999999999998E-2</v>
      </c>
      <c r="M2100" s="113">
        <v>4.6153000000000004</v>
      </c>
      <c r="N2100" s="113">
        <v>5.3731000000000001E-2</v>
      </c>
      <c r="O2100" s="114" t="s">
        <v>928</v>
      </c>
    </row>
    <row r="2101" spans="1:15" x14ac:dyDescent="0.25">
      <c r="A2101" s="113" t="s">
        <v>54</v>
      </c>
      <c r="B2101" s="113" t="s">
        <v>3</v>
      </c>
      <c r="C2101" s="113">
        <v>33</v>
      </c>
      <c r="D2101" s="113">
        <v>330.00099999999998</v>
      </c>
      <c r="E2101" s="113">
        <v>0.1</v>
      </c>
      <c r="F2101" s="113" t="s">
        <v>6</v>
      </c>
      <c r="G2101" s="113" t="s">
        <v>4</v>
      </c>
      <c r="H2101" s="113">
        <v>0</v>
      </c>
      <c r="I2101" s="113">
        <v>0</v>
      </c>
      <c r="K2101" s="113">
        <v>57.654000000000003</v>
      </c>
      <c r="L2101" s="113">
        <v>1.2973999999999999E-2</v>
      </c>
      <c r="M2101" s="113">
        <v>57.637</v>
      </c>
      <c r="N2101" s="113">
        <v>1.2872E-2</v>
      </c>
      <c r="O2101" s="114" t="s">
        <v>929</v>
      </c>
    </row>
    <row r="2102" spans="1:15" x14ac:dyDescent="0.25">
      <c r="A2102" s="113" t="s">
        <v>54</v>
      </c>
      <c r="B2102" s="113" t="s">
        <v>3</v>
      </c>
      <c r="C2102" s="113">
        <v>33</v>
      </c>
      <c r="D2102" s="113">
        <v>330.00099999999998</v>
      </c>
      <c r="E2102" s="113">
        <v>1</v>
      </c>
      <c r="F2102" s="113" t="s">
        <v>6</v>
      </c>
      <c r="G2102" s="113" t="s">
        <v>4</v>
      </c>
      <c r="H2102" s="113">
        <v>0</v>
      </c>
      <c r="I2102" s="113">
        <v>0</v>
      </c>
      <c r="K2102" s="113">
        <v>579.97</v>
      </c>
      <c r="L2102" s="113">
        <v>1.3757000000000001E-3</v>
      </c>
      <c r="M2102" s="113">
        <v>579.96</v>
      </c>
      <c r="N2102" s="113">
        <v>1.3305000000000001E-3</v>
      </c>
      <c r="O2102" s="114" t="s">
        <v>930</v>
      </c>
    </row>
    <row r="2103" spans="1:15" x14ac:dyDescent="0.25">
      <c r="A2103" s="113" t="s">
        <v>54</v>
      </c>
      <c r="B2103" s="113" t="s">
        <v>3</v>
      </c>
      <c r="C2103" s="113">
        <v>33</v>
      </c>
      <c r="D2103" s="113">
        <v>330.00099999999998</v>
      </c>
      <c r="E2103" s="113">
        <v>10</v>
      </c>
      <c r="F2103" s="113" t="s">
        <v>6</v>
      </c>
      <c r="G2103" s="113" t="s">
        <v>4</v>
      </c>
      <c r="H2103" s="113">
        <v>0</v>
      </c>
      <c r="I2103" s="113">
        <v>0</v>
      </c>
      <c r="K2103" s="113">
        <v>5800</v>
      </c>
      <c r="L2103" s="113">
        <v>1.5118E-4</v>
      </c>
      <c r="M2103" s="113">
        <v>5800</v>
      </c>
      <c r="N2103" s="113">
        <v>1.3310000000000001E-4</v>
      </c>
      <c r="O2103" s="114" t="s">
        <v>931</v>
      </c>
    </row>
    <row r="2104" spans="1:15" x14ac:dyDescent="0.25">
      <c r="A2104" s="113" t="s">
        <v>54</v>
      </c>
      <c r="B2104" s="113" t="s">
        <v>3</v>
      </c>
      <c r="C2104" s="113">
        <v>330</v>
      </c>
      <c r="D2104" s="113">
        <v>1000.01</v>
      </c>
      <c r="E2104" s="113">
        <v>1E-3</v>
      </c>
      <c r="F2104" s="113" t="s">
        <v>6</v>
      </c>
      <c r="G2104" s="113" t="s">
        <v>4</v>
      </c>
      <c r="H2104" s="113">
        <v>0</v>
      </c>
      <c r="I2104" s="113">
        <v>0</v>
      </c>
      <c r="K2104" s="113">
        <v>1.9</v>
      </c>
      <c r="L2104" s="113">
        <v>6.4000000000000001E-2</v>
      </c>
      <c r="M2104" s="113">
        <v>1.7548999999999999</v>
      </c>
      <c r="N2104" s="113">
        <v>6.3615000000000005E-2</v>
      </c>
      <c r="O2104" s="114" t="s">
        <v>932</v>
      </c>
    </row>
    <row r="2105" spans="1:15" x14ac:dyDescent="0.25">
      <c r="A2105" s="113" t="s">
        <v>54</v>
      </c>
      <c r="B2105" s="113" t="s">
        <v>3</v>
      </c>
      <c r="C2105" s="113">
        <v>330</v>
      </c>
      <c r="D2105" s="113">
        <v>1000.01</v>
      </c>
      <c r="E2105" s="113">
        <v>0.01</v>
      </c>
      <c r="F2105" s="113" t="s">
        <v>6</v>
      </c>
      <c r="G2105" s="113" t="s">
        <v>4</v>
      </c>
      <c r="H2105" s="113">
        <v>0</v>
      </c>
      <c r="I2105" s="113">
        <v>0</v>
      </c>
      <c r="K2105" s="113">
        <v>3.0276999999999998</v>
      </c>
      <c r="L2105" s="113">
        <v>6.2894000000000005E-2</v>
      </c>
      <c r="M2105" s="113">
        <v>2.7052</v>
      </c>
      <c r="N2105" s="113">
        <v>6.2919000000000003E-2</v>
      </c>
      <c r="O2105" s="114" t="s">
        <v>933</v>
      </c>
    </row>
    <row r="2106" spans="1:15" x14ac:dyDescent="0.25">
      <c r="A2106" s="113" t="s">
        <v>54</v>
      </c>
      <c r="B2106" s="113" t="s">
        <v>3</v>
      </c>
      <c r="C2106" s="113">
        <v>330</v>
      </c>
      <c r="D2106" s="113">
        <v>1000.01</v>
      </c>
      <c r="E2106" s="113">
        <v>0.1</v>
      </c>
      <c r="F2106" s="113" t="s">
        <v>6</v>
      </c>
      <c r="G2106" s="113" t="s">
        <v>4</v>
      </c>
      <c r="H2106" s="113">
        <v>0</v>
      </c>
      <c r="I2106" s="113">
        <v>0</v>
      </c>
      <c r="K2106" s="113">
        <v>50.21</v>
      </c>
      <c r="L2106" s="113">
        <v>3.8072000000000002E-2</v>
      </c>
      <c r="M2106" s="113">
        <v>49.941000000000003</v>
      </c>
      <c r="N2106" s="113">
        <v>3.7448000000000002E-2</v>
      </c>
      <c r="O2106" s="114" t="s">
        <v>934</v>
      </c>
    </row>
    <row r="2107" spans="1:15" x14ac:dyDescent="0.25">
      <c r="A2107" s="113" t="s">
        <v>54</v>
      </c>
      <c r="B2107" s="113" t="s">
        <v>3</v>
      </c>
      <c r="C2107" s="113">
        <v>330</v>
      </c>
      <c r="D2107" s="113">
        <v>1000.01</v>
      </c>
      <c r="E2107" s="113">
        <v>1</v>
      </c>
      <c r="F2107" s="113" t="s">
        <v>6</v>
      </c>
      <c r="G2107" s="113" t="s">
        <v>4</v>
      </c>
      <c r="H2107" s="113">
        <v>0</v>
      </c>
      <c r="I2107" s="113">
        <v>0</v>
      </c>
      <c r="K2107" s="113">
        <v>578.9</v>
      </c>
      <c r="L2107" s="113">
        <v>5.3112000000000003E-3</v>
      </c>
      <c r="M2107" s="113">
        <v>578.86</v>
      </c>
      <c r="N2107" s="113">
        <v>4.8152999999999998E-3</v>
      </c>
      <c r="O2107" s="114" t="s">
        <v>935</v>
      </c>
    </row>
    <row r="2108" spans="1:15" x14ac:dyDescent="0.25">
      <c r="A2108" s="113" t="s">
        <v>54</v>
      </c>
      <c r="B2108" s="113" t="s">
        <v>3</v>
      </c>
      <c r="C2108" s="113">
        <v>330</v>
      </c>
      <c r="D2108" s="113">
        <v>1000.01</v>
      </c>
      <c r="E2108" s="113">
        <v>10</v>
      </c>
      <c r="F2108" s="113" t="s">
        <v>6</v>
      </c>
      <c r="G2108" s="113" t="s">
        <v>4</v>
      </c>
      <c r="H2108" s="113">
        <v>0</v>
      </c>
      <c r="I2108" s="113">
        <v>0</v>
      </c>
      <c r="K2108" s="113">
        <v>5799.9</v>
      </c>
      <c r="L2108" s="113">
        <v>6.8362000000000002E-4</v>
      </c>
      <c r="M2108" s="113">
        <v>5799.9</v>
      </c>
      <c r="N2108" s="113">
        <v>4.8322000000000003E-4</v>
      </c>
      <c r="O2108" s="114" t="s">
        <v>936</v>
      </c>
    </row>
    <row r="2109" spans="1:15" x14ac:dyDescent="0.25">
      <c r="A2109" s="113" t="s">
        <v>54</v>
      </c>
      <c r="B2109" s="113" t="s">
        <v>3</v>
      </c>
      <c r="C2109" s="113">
        <v>1000</v>
      </c>
      <c r="D2109" s="113">
        <v>1001</v>
      </c>
      <c r="E2109" s="113">
        <v>1E-3</v>
      </c>
      <c r="F2109" s="113" t="s">
        <v>6</v>
      </c>
      <c r="G2109" s="113" t="s">
        <v>4</v>
      </c>
      <c r="H2109" s="113">
        <v>0</v>
      </c>
      <c r="I2109" s="113">
        <v>0</v>
      </c>
      <c r="K2109" s="113">
        <v>1.9</v>
      </c>
      <c r="L2109" s="113">
        <v>6.4000000000000001E-2</v>
      </c>
      <c r="M2109" s="113">
        <v>1.7548999999999999</v>
      </c>
      <c r="N2109" s="113">
        <v>6.3615000000000005E-2</v>
      </c>
      <c r="O2109" s="114" t="s">
        <v>937</v>
      </c>
    </row>
    <row r="2110" spans="1:15" x14ac:dyDescent="0.25">
      <c r="A2110" s="113" t="s">
        <v>54</v>
      </c>
      <c r="B2110" s="113" t="s">
        <v>3</v>
      </c>
      <c r="C2110" s="113">
        <v>1000</v>
      </c>
      <c r="D2110" s="113">
        <v>1001</v>
      </c>
      <c r="E2110" s="113">
        <v>0.01</v>
      </c>
      <c r="F2110" s="113" t="s">
        <v>6</v>
      </c>
      <c r="G2110" s="113" t="s">
        <v>4</v>
      </c>
      <c r="H2110" s="113">
        <v>0</v>
      </c>
      <c r="I2110" s="113">
        <v>0</v>
      </c>
      <c r="K2110" s="113">
        <v>3.0276999999999998</v>
      </c>
      <c r="L2110" s="113">
        <v>6.2894000000000005E-2</v>
      </c>
      <c r="M2110" s="113">
        <v>2.7052</v>
      </c>
      <c r="N2110" s="113">
        <v>6.2919000000000003E-2</v>
      </c>
      <c r="O2110" s="114" t="s">
        <v>938</v>
      </c>
    </row>
    <row r="2111" spans="1:15" x14ac:dyDescent="0.25">
      <c r="A2111" s="113" t="s">
        <v>54</v>
      </c>
      <c r="B2111" s="113" t="s">
        <v>3</v>
      </c>
      <c r="C2111" s="113">
        <v>1000</v>
      </c>
      <c r="D2111" s="113">
        <v>1001</v>
      </c>
      <c r="E2111" s="113">
        <v>0.1</v>
      </c>
      <c r="F2111" s="113" t="s">
        <v>6</v>
      </c>
      <c r="G2111" s="113" t="s">
        <v>4</v>
      </c>
      <c r="H2111" s="113">
        <v>0</v>
      </c>
      <c r="I2111" s="113">
        <v>0</v>
      </c>
      <c r="K2111" s="113">
        <v>50.21</v>
      </c>
      <c r="L2111" s="113">
        <v>3.8072000000000002E-2</v>
      </c>
      <c r="M2111" s="113">
        <v>49.941000000000003</v>
      </c>
      <c r="N2111" s="113">
        <v>3.7448000000000002E-2</v>
      </c>
      <c r="O2111" s="114" t="s">
        <v>939</v>
      </c>
    </row>
    <row r="2112" spans="1:15" x14ac:dyDescent="0.25">
      <c r="A2112" s="113" t="s">
        <v>54</v>
      </c>
      <c r="B2112" s="113" t="s">
        <v>3</v>
      </c>
      <c r="C2112" s="113">
        <v>1000</v>
      </c>
      <c r="D2112" s="113">
        <v>1001</v>
      </c>
      <c r="E2112" s="113">
        <v>1</v>
      </c>
      <c r="F2112" s="113" t="s">
        <v>6</v>
      </c>
      <c r="G2112" s="113" t="s">
        <v>4</v>
      </c>
      <c r="H2112" s="113">
        <v>0</v>
      </c>
      <c r="I2112" s="113">
        <v>0</v>
      </c>
      <c r="K2112" s="113">
        <v>578.9</v>
      </c>
      <c r="L2112" s="113">
        <v>5.3112000000000003E-3</v>
      </c>
      <c r="M2112" s="113">
        <v>578.86</v>
      </c>
      <c r="N2112" s="113">
        <v>4.8152999999999998E-3</v>
      </c>
      <c r="O2112" s="114" t="s">
        <v>940</v>
      </c>
    </row>
    <row r="2113" spans="1:15" x14ac:dyDescent="0.25">
      <c r="A2113" s="113" t="s">
        <v>54</v>
      </c>
      <c r="B2113" s="113" t="s">
        <v>3</v>
      </c>
      <c r="C2113" s="113">
        <v>1000</v>
      </c>
      <c r="D2113" s="113">
        <v>1001</v>
      </c>
      <c r="E2113" s="113">
        <v>10</v>
      </c>
      <c r="F2113" s="113" t="s">
        <v>6</v>
      </c>
      <c r="G2113" s="113" t="s">
        <v>4</v>
      </c>
      <c r="H2113" s="113">
        <v>0</v>
      </c>
      <c r="I2113" s="113">
        <v>0</v>
      </c>
      <c r="K2113" s="113">
        <v>5799.9</v>
      </c>
      <c r="L2113" s="113">
        <v>6.8362000000000002E-4</v>
      </c>
      <c r="M2113" s="113">
        <v>5799.9</v>
      </c>
      <c r="N2113" s="113">
        <v>4.8322000000000003E-4</v>
      </c>
      <c r="O2113" s="114" t="s">
        <v>941</v>
      </c>
    </row>
    <row r="2114" spans="1:15" x14ac:dyDescent="0.25">
      <c r="A2114" s="113" t="s">
        <v>54</v>
      </c>
      <c r="B2114" s="113" t="s">
        <v>98</v>
      </c>
      <c r="C2114" s="113">
        <v>0</v>
      </c>
      <c r="D2114" s="113">
        <v>1.0900000000000001E-4</v>
      </c>
      <c r="E2114" s="113">
        <v>1E-10</v>
      </c>
      <c r="F2114" s="113" t="s">
        <v>152</v>
      </c>
      <c r="G2114" s="113" t="s">
        <v>152</v>
      </c>
      <c r="H2114" s="113">
        <v>0</v>
      </c>
      <c r="I2114" s="113">
        <v>0</v>
      </c>
      <c r="K2114" s="113">
        <v>0</v>
      </c>
      <c r="L2114" s="113">
        <v>3.5999999999999999E-3</v>
      </c>
      <c r="M2114" s="113">
        <v>0</v>
      </c>
      <c r="N2114" s="113">
        <v>0</v>
      </c>
      <c r="O2114" s="114" t="s">
        <v>841</v>
      </c>
    </row>
    <row r="2115" spans="1:15" x14ac:dyDescent="0.25">
      <c r="A2115" s="113" t="s">
        <v>54</v>
      </c>
      <c r="B2115" s="113" t="s">
        <v>98</v>
      </c>
      <c r="C2115" s="113">
        <v>0</v>
      </c>
      <c r="D2115" s="113">
        <v>1.0900000000000001E-4</v>
      </c>
      <c r="E2115" s="113">
        <v>1.0000000000000001E-9</v>
      </c>
      <c r="F2115" s="113" t="s">
        <v>152</v>
      </c>
      <c r="G2115" s="113" t="s">
        <v>152</v>
      </c>
      <c r="H2115" s="113">
        <v>0</v>
      </c>
      <c r="I2115" s="113">
        <v>0</v>
      </c>
      <c r="K2115" s="113">
        <v>0</v>
      </c>
      <c r="L2115" s="113">
        <v>3.5999999999999999E-3</v>
      </c>
      <c r="M2115" s="113">
        <v>0</v>
      </c>
      <c r="N2115" s="113">
        <v>0</v>
      </c>
      <c r="O2115" s="114" t="s">
        <v>842</v>
      </c>
    </row>
    <row r="2116" spans="1:15" x14ac:dyDescent="0.25">
      <c r="A2116" s="113" t="s">
        <v>54</v>
      </c>
      <c r="B2116" s="113" t="s">
        <v>98</v>
      </c>
      <c r="C2116" s="113">
        <v>0</v>
      </c>
      <c r="D2116" s="113">
        <v>1.0900000000000001E-4</v>
      </c>
      <c r="E2116" s="113">
        <v>1E-8</v>
      </c>
      <c r="F2116" s="113" t="s">
        <v>152</v>
      </c>
      <c r="G2116" s="113" t="s">
        <v>152</v>
      </c>
      <c r="H2116" s="113">
        <v>0</v>
      </c>
      <c r="I2116" s="113">
        <v>0</v>
      </c>
      <c r="K2116" s="113">
        <v>0</v>
      </c>
      <c r="L2116" s="113">
        <v>6.8024000000000001E-3</v>
      </c>
      <c r="M2116" s="113">
        <v>0</v>
      </c>
      <c r="N2116" s="113">
        <v>0</v>
      </c>
      <c r="O2116" s="114" t="s">
        <v>843</v>
      </c>
    </row>
    <row r="2117" spans="1:15" x14ac:dyDescent="0.25">
      <c r="A2117" s="113" t="s">
        <v>54</v>
      </c>
      <c r="B2117" s="113" t="s">
        <v>98</v>
      </c>
      <c r="C2117" s="113">
        <v>0</v>
      </c>
      <c r="D2117" s="113">
        <v>1.0900000000000001E-4</v>
      </c>
      <c r="E2117" s="113">
        <v>9.9999999999999995E-8</v>
      </c>
      <c r="F2117" s="113" t="s">
        <v>152</v>
      </c>
      <c r="G2117" s="113" t="s">
        <v>152</v>
      </c>
      <c r="H2117" s="113">
        <v>0</v>
      </c>
      <c r="I2117" s="113">
        <v>0</v>
      </c>
      <c r="K2117" s="113">
        <v>0</v>
      </c>
      <c r="L2117" s="113">
        <v>5.8110000000000002E-2</v>
      </c>
      <c r="M2117" s="113">
        <v>0</v>
      </c>
      <c r="N2117" s="113">
        <v>0</v>
      </c>
      <c r="O2117" s="114" t="s">
        <v>844</v>
      </c>
    </row>
    <row r="2118" spans="1:15" x14ac:dyDescent="0.25">
      <c r="A2118" s="113" t="s">
        <v>54</v>
      </c>
      <c r="B2118" s="113" t="s">
        <v>98</v>
      </c>
      <c r="C2118" s="113">
        <v>0</v>
      </c>
      <c r="D2118" s="113">
        <v>1.0900000000000001E-4</v>
      </c>
      <c r="E2118" s="113">
        <v>9.9999999999999995E-7</v>
      </c>
      <c r="F2118" s="113" t="s">
        <v>152</v>
      </c>
      <c r="G2118" s="113" t="s">
        <v>152</v>
      </c>
      <c r="H2118" s="113">
        <v>0</v>
      </c>
      <c r="I2118" s="113">
        <v>0</v>
      </c>
      <c r="K2118" s="113">
        <v>0</v>
      </c>
      <c r="L2118" s="113">
        <v>0.58001000000000003</v>
      </c>
      <c r="M2118" s="113">
        <v>0</v>
      </c>
      <c r="N2118" s="113">
        <v>0</v>
      </c>
      <c r="O2118" s="114" t="s">
        <v>845</v>
      </c>
    </row>
    <row r="2119" spans="1:15" x14ac:dyDescent="0.25">
      <c r="A2119" s="113" t="s">
        <v>54</v>
      </c>
      <c r="B2119" s="113" t="s">
        <v>98</v>
      </c>
      <c r="C2119" s="113">
        <v>0</v>
      </c>
      <c r="D2119" s="113">
        <v>1.0900000000000001E-4</v>
      </c>
      <c r="E2119" s="113">
        <v>1.0000000000000001E-5</v>
      </c>
      <c r="F2119" s="113" t="s">
        <v>152</v>
      </c>
      <c r="G2119" s="113" t="s">
        <v>152</v>
      </c>
      <c r="H2119" s="113">
        <v>0</v>
      </c>
      <c r="I2119" s="113">
        <v>0</v>
      </c>
      <c r="K2119" s="113">
        <v>0</v>
      </c>
      <c r="L2119" s="113">
        <v>5.8</v>
      </c>
      <c r="M2119" s="113">
        <v>0</v>
      </c>
      <c r="N2119" s="113">
        <v>0</v>
      </c>
      <c r="O2119" s="114" t="s">
        <v>846</v>
      </c>
    </row>
    <row r="2120" spans="1:15" x14ac:dyDescent="0.25">
      <c r="A2120" s="113" t="s">
        <v>54</v>
      </c>
      <c r="B2120" s="113" t="s">
        <v>98</v>
      </c>
      <c r="C2120" s="113">
        <v>0</v>
      </c>
      <c r="D2120" s="113">
        <v>1.0900000000000001E-4</v>
      </c>
      <c r="E2120" s="113">
        <v>1E-4</v>
      </c>
      <c r="F2120" s="113" t="s">
        <v>152</v>
      </c>
      <c r="G2120" s="113" t="s">
        <v>152</v>
      </c>
      <c r="H2120" s="113">
        <v>0</v>
      </c>
      <c r="I2120" s="113">
        <v>0</v>
      </c>
      <c r="K2120" s="113">
        <v>0</v>
      </c>
      <c r="L2120" s="113">
        <v>58</v>
      </c>
      <c r="M2120" s="113">
        <v>0</v>
      </c>
      <c r="N2120" s="113">
        <v>0</v>
      </c>
      <c r="O2120" s="114" t="s">
        <v>847</v>
      </c>
    </row>
    <row r="2121" spans="1:15" x14ac:dyDescent="0.25">
      <c r="A2121" s="113" t="s">
        <v>54</v>
      </c>
      <c r="B2121" s="113" t="s">
        <v>98</v>
      </c>
      <c r="C2121" s="113">
        <v>0</v>
      </c>
      <c r="D2121" s="113">
        <v>1.0900000000000001E-4</v>
      </c>
      <c r="E2121" s="113">
        <v>1E-3</v>
      </c>
      <c r="F2121" s="113" t="s">
        <v>152</v>
      </c>
      <c r="G2121" s="113" t="s">
        <v>152</v>
      </c>
      <c r="H2121" s="113">
        <v>0</v>
      </c>
      <c r="I2121" s="113">
        <v>0</v>
      </c>
      <c r="K2121" s="113">
        <v>0</v>
      </c>
      <c r="L2121" s="113">
        <v>580</v>
      </c>
      <c r="M2121" s="113">
        <v>0</v>
      </c>
      <c r="N2121" s="113">
        <v>0</v>
      </c>
      <c r="O2121" s="114" t="s">
        <v>848</v>
      </c>
    </row>
    <row r="2122" spans="1:15" x14ac:dyDescent="0.25">
      <c r="A2122" s="113" t="s">
        <v>54</v>
      </c>
      <c r="B2122" s="113" t="s">
        <v>98</v>
      </c>
      <c r="C2122" s="113">
        <v>0</v>
      </c>
      <c r="D2122" s="113">
        <v>1.0900000000000001E-4</v>
      </c>
      <c r="E2122" s="113">
        <v>0.01</v>
      </c>
      <c r="F2122" s="113" t="s">
        <v>152</v>
      </c>
      <c r="G2122" s="113" t="s">
        <v>152</v>
      </c>
      <c r="H2122" s="113">
        <v>0</v>
      </c>
      <c r="I2122" s="113">
        <v>0</v>
      </c>
      <c r="K2122" s="113">
        <v>0</v>
      </c>
      <c r="L2122" s="113">
        <v>5800</v>
      </c>
      <c r="M2122" s="113">
        <v>0</v>
      </c>
      <c r="N2122" s="113">
        <v>0</v>
      </c>
      <c r="O2122" s="114" t="s">
        <v>849</v>
      </c>
    </row>
    <row r="2123" spans="1:15" x14ac:dyDescent="0.25">
      <c r="A2123" s="113" t="s">
        <v>54</v>
      </c>
      <c r="B2123" s="113" t="s">
        <v>98</v>
      </c>
      <c r="C2123" s="113">
        <v>1.0900000000000001E-4</v>
      </c>
      <c r="D2123" s="113">
        <v>1.0900999999999999E-6</v>
      </c>
      <c r="E2123" s="113">
        <v>1E-8</v>
      </c>
      <c r="F2123" s="113" t="s">
        <v>152</v>
      </c>
      <c r="G2123" s="113" t="s">
        <v>152</v>
      </c>
      <c r="H2123" s="113">
        <v>0</v>
      </c>
      <c r="I2123" s="113">
        <v>0</v>
      </c>
      <c r="K2123" s="113">
        <v>0</v>
      </c>
      <c r="L2123" s="113">
        <v>3.5E-4</v>
      </c>
      <c r="M2123" s="113">
        <v>0</v>
      </c>
      <c r="N2123" s="113">
        <v>0</v>
      </c>
      <c r="O2123" s="114" t="s">
        <v>850</v>
      </c>
    </row>
    <row r="2124" spans="1:15" x14ac:dyDescent="0.25">
      <c r="A2124" s="113" t="s">
        <v>54</v>
      </c>
      <c r="B2124" s="113" t="s">
        <v>98</v>
      </c>
      <c r="C2124" s="113">
        <v>1.0900000000000001E-4</v>
      </c>
      <c r="D2124" s="113">
        <v>1.0900999999999999E-6</v>
      </c>
      <c r="E2124" s="113">
        <v>9.9999999999999995E-8</v>
      </c>
      <c r="F2124" s="113" t="s">
        <v>152</v>
      </c>
      <c r="G2124" s="113" t="s">
        <v>152</v>
      </c>
      <c r="H2124" s="113">
        <v>0</v>
      </c>
      <c r="I2124" s="113">
        <v>0</v>
      </c>
      <c r="K2124" s="113">
        <v>0</v>
      </c>
      <c r="L2124" s="113">
        <v>6.3400999999999996E-4</v>
      </c>
      <c r="M2124" s="113">
        <v>0</v>
      </c>
      <c r="N2124" s="113">
        <v>0</v>
      </c>
      <c r="O2124" s="114" t="s">
        <v>851</v>
      </c>
    </row>
    <row r="2125" spans="1:15" x14ac:dyDescent="0.25">
      <c r="A2125" s="113" t="s">
        <v>54</v>
      </c>
      <c r="B2125" s="113" t="s">
        <v>98</v>
      </c>
      <c r="C2125" s="113">
        <v>1.0900000000000001E-4</v>
      </c>
      <c r="D2125" s="113">
        <v>1.0900999999999999E-6</v>
      </c>
      <c r="E2125" s="113">
        <v>9.9999999999999995E-7</v>
      </c>
      <c r="F2125" s="113" t="s">
        <v>152</v>
      </c>
      <c r="G2125" s="113" t="s">
        <v>152</v>
      </c>
      <c r="H2125" s="113">
        <v>0</v>
      </c>
      <c r="I2125" s="113">
        <v>0</v>
      </c>
      <c r="K2125" s="113">
        <v>0</v>
      </c>
      <c r="L2125" s="113">
        <v>5.3337000000000002E-3</v>
      </c>
      <c r="M2125" s="113">
        <v>0</v>
      </c>
      <c r="N2125" s="113">
        <v>0</v>
      </c>
      <c r="O2125" s="114" t="s">
        <v>852</v>
      </c>
    </row>
    <row r="2126" spans="1:15" x14ac:dyDescent="0.25">
      <c r="A2126" s="113" t="s">
        <v>54</v>
      </c>
      <c r="B2126" s="113" t="s">
        <v>98</v>
      </c>
      <c r="C2126" s="113">
        <v>1.0900000000000001E-4</v>
      </c>
      <c r="D2126" s="113">
        <v>1.0900999999999999E-6</v>
      </c>
      <c r="E2126" s="113">
        <v>1.0000000000000001E-5</v>
      </c>
      <c r="F2126" s="113" t="s">
        <v>152</v>
      </c>
      <c r="G2126" s="113" t="s">
        <v>152</v>
      </c>
      <c r="H2126" s="113">
        <v>0</v>
      </c>
      <c r="I2126" s="113">
        <v>0</v>
      </c>
      <c r="K2126" s="113">
        <v>0</v>
      </c>
      <c r="L2126" s="113">
        <v>5.3213000000000003E-2</v>
      </c>
      <c r="M2126" s="113">
        <v>0</v>
      </c>
      <c r="N2126" s="113">
        <v>0</v>
      </c>
      <c r="O2126" s="114" t="s">
        <v>853</v>
      </c>
    </row>
    <row r="2127" spans="1:15" x14ac:dyDescent="0.25">
      <c r="A2127" s="113" t="s">
        <v>54</v>
      </c>
      <c r="B2127" s="113" t="s">
        <v>98</v>
      </c>
      <c r="C2127" s="113">
        <v>1.0900000000000001E-4</v>
      </c>
      <c r="D2127" s="113">
        <v>1.0900999999999999E-6</v>
      </c>
      <c r="E2127" s="113">
        <v>1E-4</v>
      </c>
      <c r="F2127" s="113" t="s">
        <v>152</v>
      </c>
      <c r="G2127" s="113" t="s">
        <v>152</v>
      </c>
      <c r="H2127" s="113">
        <v>0</v>
      </c>
      <c r="I2127" s="113">
        <v>0</v>
      </c>
      <c r="K2127" s="113">
        <v>0</v>
      </c>
      <c r="L2127" s="113">
        <v>0.53210999999999997</v>
      </c>
      <c r="M2127" s="113">
        <v>0</v>
      </c>
      <c r="N2127" s="113">
        <v>0</v>
      </c>
      <c r="O2127" s="114" t="s">
        <v>854</v>
      </c>
    </row>
    <row r="2128" spans="1:15" x14ac:dyDescent="0.25">
      <c r="A2128" s="113" t="s">
        <v>54</v>
      </c>
      <c r="B2128" s="113" t="s">
        <v>98</v>
      </c>
      <c r="C2128" s="113">
        <v>1.09E-3</v>
      </c>
      <c r="D2128" s="113">
        <v>1.0900099999999999E-2</v>
      </c>
      <c r="E2128" s="113">
        <v>9.9999999999999995E-8</v>
      </c>
      <c r="F2128" s="113" t="s">
        <v>152</v>
      </c>
      <c r="G2128" s="113" t="s">
        <v>152</v>
      </c>
      <c r="H2128" s="113">
        <v>0</v>
      </c>
      <c r="I2128" s="113">
        <v>0</v>
      </c>
      <c r="K2128" s="113">
        <v>0</v>
      </c>
      <c r="L2128" s="113">
        <v>2.4000000000000001E-4</v>
      </c>
      <c r="M2128" s="113">
        <v>0</v>
      </c>
      <c r="N2128" s="113">
        <v>0</v>
      </c>
      <c r="O2128" s="114" t="s">
        <v>855</v>
      </c>
    </row>
    <row r="2129" spans="1:15" x14ac:dyDescent="0.25">
      <c r="A2129" s="113" t="s">
        <v>54</v>
      </c>
      <c r="B2129" s="113" t="s">
        <v>98</v>
      </c>
      <c r="C2129" s="113">
        <v>1.09E-3</v>
      </c>
      <c r="D2129" s="113">
        <v>1.0900099999999999E-2</v>
      </c>
      <c r="E2129" s="113">
        <v>9.9999999999999995E-7</v>
      </c>
      <c r="F2129" s="113" t="s">
        <v>152</v>
      </c>
      <c r="G2129" s="113" t="s">
        <v>152</v>
      </c>
      <c r="H2129" s="113">
        <v>0</v>
      </c>
      <c r="I2129" s="113">
        <v>0</v>
      </c>
      <c r="K2129" s="113">
        <v>0</v>
      </c>
      <c r="L2129" s="113">
        <v>5.8093000000000001E-4</v>
      </c>
      <c r="M2129" s="113">
        <v>0</v>
      </c>
      <c r="N2129" s="113">
        <v>0</v>
      </c>
      <c r="O2129" s="114" t="s">
        <v>856</v>
      </c>
    </row>
    <row r="2130" spans="1:15" x14ac:dyDescent="0.25">
      <c r="A2130" s="113" t="s">
        <v>54</v>
      </c>
      <c r="B2130" s="113" t="s">
        <v>98</v>
      </c>
      <c r="C2130" s="113">
        <v>1.09E-3</v>
      </c>
      <c r="D2130" s="113">
        <v>1.0900099999999999E-2</v>
      </c>
      <c r="E2130" s="113">
        <v>1.0000000000000001E-5</v>
      </c>
      <c r="F2130" s="113" t="s">
        <v>152</v>
      </c>
      <c r="G2130" s="113" t="s">
        <v>152</v>
      </c>
      <c r="H2130" s="113">
        <v>0</v>
      </c>
      <c r="I2130" s="113">
        <v>0</v>
      </c>
      <c r="K2130" s="113">
        <v>0</v>
      </c>
      <c r="L2130" s="113">
        <v>5.3277000000000003E-3</v>
      </c>
      <c r="M2130" s="113">
        <v>0</v>
      </c>
      <c r="N2130" s="113">
        <v>0</v>
      </c>
      <c r="O2130" s="114" t="s">
        <v>857</v>
      </c>
    </row>
    <row r="2131" spans="1:15" x14ac:dyDescent="0.25">
      <c r="A2131" s="113" t="s">
        <v>54</v>
      </c>
      <c r="B2131" s="113" t="s">
        <v>98</v>
      </c>
      <c r="C2131" s="113">
        <v>1.09E-3</v>
      </c>
      <c r="D2131" s="113">
        <v>1.0900099999999999E-2</v>
      </c>
      <c r="E2131" s="113">
        <v>1E-4</v>
      </c>
      <c r="F2131" s="113" t="s">
        <v>152</v>
      </c>
      <c r="G2131" s="113" t="s">
        <v>152</v>
      </c>
      <c r="H2131" s="113">
        <v>0</v>
      </c>
      <c r="I2131" s="113">
        <v>0</v>
      </c>
      <c r="K2131" s="113">
        <v>0</v>
      </c>
      <c r="L2131" s="113">
        <v>5.3212000000000002E-2</v>
      </c>
      <c r="M2131" s="113">
        <v>0</v>
      </c>
      <c r="N2131" s="113">
        <v>0</v>
      </c>
      <c r="O2131" s="114" t="s">
        <v>858</v>
      </c>
    </row>
    <row r="2132" spans="1:15" x14ac:dyDescent="0.25">
      <c r="A2132" s="113" t="s">
        <v>54</v>
      </c>
      <c r="B2132" s="113" t="s">
        <v>98</v>
      </c>
      <c r="C2132" s="113">
        <v>1.09E-3</v>
      </c>
      <c r="D2132" s="113">
        <v>1.0900099999999999E-2</v>
      </c>
      <c r="E2132" s="113">
        <v>1E-3</v>
      </c>
      <c r="F2132" s="113" t="s">
        <v>152</v>
      </c>
      <c r="G2132" s="113" t="s">
        <v>152</v>
      </c>
      <c r="H2132" s="113">
        <v>0</v>
      </c>
      <c r="I2132" s="113">
        <v>0</v>
      </c>
      <c r="K2132" s="113">
        <v>0</v>
      </c>
      <c r="L2132" s="113">
        <v>0.53210999999999997</v>
      </c>
      <c r="M2132" s="113">
        <v>0</v>
      </c>
      <c r="N2132" s="113">
        <v>0</v>
      </c>
      <c r="O2132" s="114" t="s">
        <v>859</v>
      </c>
    </row>
    <row r="2133" spans="1:15" x14ac:dyDescent="0.25">
      <c r="A2133" s="113" t="s">
        <v>54</v>
      </c>
      <c r="B2133" s="113" t="s">
        <v>98</v>
      </c>
      <c r="C2133" s="113">
        <v>1.09E-2</v>
      </c>
      <c r="D2133" s="113">
        <v>0.1090001</v>
      </c>
      <c r="E2133" s="113">
        <v>9.9999999999999995E-7</v>
      </c>
      <c r="F2133" s="113" t="s">
        <v>152</v>
      </c>
      <c r="G2133" s="113" t="s">
        <v>152</v>
      </c>
      <c r="H2133" s="113">
        <v>0</v>
      </c>
      <c r="I2133" s="113">
        <v>0</v>
      </c>
      <c r="K2133" s="113">
        <v>0</v>
      </c>
      <c r="L2133" s="113">
        <v>1.9000000000000001E-4</v>
      </c>
      <c r="M2133" s="113">
        <v>0</v>
      </c>
      <c r="N2133" s="113">
        <v>0</v>
      </c>
      <c r="O2133" s="114" t="s">
        <v>860</v>
      </c>
    </row>
    <row r="2134" spans="1:15" x14ac:dyDescent="0.25">
      <c r="A2134" s="113" t="s">
        <v>54</v>
      </c>
      <c r="B2134" s="113" t="s">
        <v>98</v>
      </c>
      <c r="C2134" s="113">
        <v>1.09E-2</v>
      </c>
      <c r="D2134" s="113">
        <v>0.1090001</v>
      </c>
      <c r="E2134" s="113">
        <v>1.0000000000000001E-5</v>
      </c>
      <c r="F2134" s="113" t="s">
        <v>152</v>
      </c>
      <c r="G2134" s="113" t="s">
        <v>152</v>
      </c>
      <c r="H2134" s="113">
        <v>0</v>
      </c>
      <c r="I2134" s="113">
        <v>0</v>
      </c>
      <c r="K2134" s="113">
        <v>0</v>
      </c>
      <c r="L2134" s="113">
        <v>5.6395000000000002E-4</v>
      </c>
      <c r="M2134" s="113">
        <v>0</v>
      </c>
      <c r="N2134" s="113">
        <v>0</v>
      </c>
      <c r="O2134" s="114" t="s">
        <v>861</v>
      </c>
    </row>
    <row r="2135" spans="1:15" x14ac:dyDescent="0.25">
      <c r="A2135" s="113" t="s">
        <v>54</v>
      </c>
      <c r="B2135" s="113" t="s">
        <v>98</v>
      </c>
      <c r="C2135" s="113">
        <v>1.09E-2</v>
      </c>
      <c r="D2135" s="113">
        <v>0.1090001</v>
      </c>
      <c r="E2135" s="113">
        <v>1E-4</v>
      </c>
      <c r="F2135" s="113" t="s">
        <v>152</v>
      </c>
      <c r="G2135" s="113" t="s">
        <v>152</v>
      </c>
      <c r="H2135" s="113">
        <v>0</v>
      </c>
      <c r="I2135" s="113">
        <v>0</v>
      </c>
      <c r="K2135" s="113">
        <v>0</v>
      </c>
      <c r="L2135" s="113">
        <v>5.3308000000000001E-3</v>
      </c>
      <c r="M2135" s="113">
        <v>0</v>
      </c>
      <c r="N2135" s="113">
        <v>0</v>
      </c>
      <c r="O2135" s="114" t="s">
        <v>862</v>
      </c>
    </row>
    <row r="2136" spans="1:15" x14ac:dyDescent="0.25">
      <c r="A2136" s="113" t="s">
        <v>54</v>
      </c>
      <c r="B2136" s="113" t="s">
        <v>98</v>
      </c>
      <c r="C2136" s="113">
        <v>1.09E-2</v>
      </c>
      <c r="D2136" s="113">
        <v>0.1090001</v>
      </c>
      <c r="E2136" s="113">
        <v>1E-3</v>
      </c>
      <c r="F2136" s="113" t="s">
        <v>152</v>
      </c>
      <c r="G2136" s="113" t="s">
        <v>152</v>
      </c>
      <c r="H2136" s="113">
        <v>0</v>
      </c>
      <c r="I2136" s="113">
        <v>0</v>
      </c>
      <c r="K2136" s="113">
        <v>0</v>
      </c>
      <c r="L2136" s="113">
        <v>5.3261000000000003E-2</v>
      </c>
      <c r="M2136" s="113">
        <v>0</v>
      </c>
      <c r="N2136" s="113">
        <v>0</v>
      </c>
      <c r="O2136" s="114" t="s">
        <v>863</v>
      </c>
    </row>
    <row r="2137" spans="1:15" x14ac:dyDescent="0.25">
      <c r="A2137" s="113" t="s">
        <v>54</v>
      </c>
      <c r="B2137" s="113" t="s">
        <v>98</v>
      </c>
      <c r="C2137" s="113">
        <v>1.09E-2</v>
      </c>
      <c r="D2137" s="113">
        <v>0.1090001</v>
      </c>
      <c r="E2137" s="113">
        <v>0.01</v>
      </c>
      <c r="F2137" s="113" t="s">
        <v>152</v>
      </c>
      <c r="G2137" s="113" t="s">
        <v>152</v>
      </c>
      <c r="H2137" s="113">
        <v>0</v>
      </c>
      <c r="I2137" s="113">
        <v>0</v>
      </c>
      <c r="K2137" s="113">
        <v>0</v>
      </c>
      <c r="L2137" s="113">
        <v>0.53259999999999996</v>
      </c>
      <c r="M2137" s="113">
        <v>0</v>
      </c>
      <c r="N2137" s="113">
        <v>0</v>
      </c>
      <c r="O2137" s="114" t="s">
        <v>864</v>
      </c>
    </row>
    <row r="2138" spans="1:15" x14ac:dyDescent="0.25">
      <c r="A2138" s="113" t="s">
        <v>54</v>
      </c>
      <c r="B2138" s="113" t="s">
        <v>98</v>
      </c>
      <c r="C2138" s="113">
        <v>0.109</v>
      </c>
      <c r="D2138" s="113">
        <v>1.0901000000000001</v>
      </c>
      <c r="E2138" s="113">
        <v>1.0000000000000001E-5</v>
      </c>
      <c r="F2138" s="113" t="s">
        <v>152</v>
      </c>
      <c r="G2138" s="113" t="s">
        <v>152</v>
      </c>
      <c r="H2138" s="113">
        <v>0</v>
      </c>
      <c r="I2138" s="113">
        <v>0</v>
      </c>
      <c r="K2138" s="113">
        <v>0</v>
      </c>
      <c r="L2138" s="113">
        <v>2.3000000000000001E-4</v>
      </c>
      <c r="M2138" s="113">
        <v>0</v>
      </c>
      <c r="N2138" s="113">
        <v>0</v>
      </c>
      <c r="O2138" s="114" t="s">
        <v>865</v>
      </c>
    </row>
    <row r="2139" spans="1:15" x14ac:dyDescent="0.25">
      <c r="A2139" s="113" t="s">
        <v>54</v>
      </c>
      <c r="B2139" s="113" t="s">
        <v>98</v>
      </c>
      <c r="C2139" s="113">
        <v>0.109</v>
      </c>
      <c r="D2139" s="113">
        <v>1.0901000000000001</v>
      </c>
      <c r="E2139" s="113">
        <v>1E-4</v>
      </c>
      <c r="F2139" s="113" t="s">
        <v>152</v>
      </c>
      <c r="G2139" s="113" t="s">
        <v>152</v>
      </c>
      <c r="H2139" s="113">
        <v>0</v>
      </c>
      <c r="I2139" s="113">
        <v>0</v>
      </c>
      <c r="K2139" s="113">
        <v>0</v>
      </c>
      <c r="L2139" s="113">
        <v>5.7855999999999999E-4</v>
      </c>
      <c r="M2139" s="113">
        <v>0</v>
      </c>
      <c r="N2139" s="113">
        <v>0</v>
      </c>
      <c r="O2139" s="114" t="s">
        <v>866</v>
      </c>
    </row>
    <row r="2140" spans="1:15" x14ac:dyDescent="0.25">
      <c r="A2140" s="113" t="s">
        <v>54</v>
      </c>
      <c r="B2140" s="113" t="s">
        <v>98</v>
      </c>
      <c r="C2140" s="113">
        <v>0.109</v>
      </c>
      <c r="D2140" s="113">
        <v>1.0901000000000001</v>
      </c>
      <c r="E2140" s="113">
        <v>1E-3</v>
      </c>
      <c r="F2140" s="113" t="s">
        <v>152</v>
      </c>
      <c r="G2140" s="113" t="s">
        <v>152</v>
      </c>
      <c r="H2140" s="113">
        <v>0</v>
      </c>
      <c r="I2140" s="113">
        <v>0</v>
      </c>
      <c r="K2140" s="113">
        <v>0</v>
      </c>
      <c r="L2140" s="113">
        <v>5.3324000000000002E-3</v>
      </c>
      <c r="M2140" s="113">
        <v>0</v>
      </c>
      <c r="N2140" s="113">
        <v>0</v>
      </c>
      <c r="O2140" s="114" t="s">
        <v>867</v>
      </c>
    </row>
    <row r="2141" spans="1:15" x14ac:dyDescent="0.25">
      <c r="A2141" s="113" t="s">
        <v>54</v>
      </c>
      <c r="B2141" s="113" t="s">
        <v>98</v>
      </c>
      <c r="C2141" s="113">
        <v>0.109</v>
      </c>
      <c r="D2141" s="113">
        <v>1.0901000000000001</v>
      </c>
      <c r="E2141" s="113">
        <v>0.01</v>
      </c>
      <c r="F2141" s="113" t="s">
        <v>152</v>
      </c>
      <c r="G2141" s="113" t="s">
        <v>152</v>
      </c>
      <c r="H2141" s="113">
        <v>0</v>
      </c>
      <c r="I2141" s="113">
        <v>0</v>
      </c>
      <c r="K2141" s="113">
        <v>0</v>
      </c>
      <c r="L2141" s="113">
        <v>5.3261000000000003E-2</v>
      </c>
      <c r="M2141" s="113">
        <v>0</v>
      </c>
      <c r="N2141" s="113">
        <v>0</v>
      </c>
      <c r="O2141" s="114" t="s">
        <v>868</v>
      </c>
    </row>
    <row r="2142" spans="1:15" x14ac:dyDescent="0.25">
      <c r="A2142" s="113" t="s">
        <v>54</v>
      </c>
      <c r="B2142" s="113" t="s">
        <v>98</v>
      </c>
      <c r="C2142" s="113">
        <v>0.109</v>
      </c>
      <c r="D2142" s="113">
        <v>1.0901000000000001</v>
      </c>
      <c r="E2142" s="113">
        <v>0.1</v>
      </c>
      <c r="F2142" s="113" t="s">
        <v>152</v>
      </c>
      <c r="G2142" s="113" t="s">
        <v>152</v>
      </c>
      <c r="H2142" s="113">
        <v>0</v>
      </c>
      <c r="I2142" s="113">
        <v>0</v>
      </c>
      <c r="K2142" s="113">
        <v>0</v>
      </c>
      <c r="L2142" s="113">
        <v>0.53259999999999996</v>
      </c>
      <c r="M2142" s="113">
        <v>0</v>
      </c>
      <c r="N2142" s="113">
        <v>0</v>
      </c>
      <c r="O2142" s="114" t="s">
        <v>869</v>
      </c>
    </row>
    <row r="2143" spans="1:15" x14ac:dyDescent="0.25">
      <c r="A2143" s="113" t="s">
        <v>54</v>
      </c>
      <c r="B2143" s="113" t="s">
        <v>98</v>
      </c>
      <c r="C2143" s="113">
        <v>1.0900000000000001</v>
      </c>
      <c r="D2143" s="113">
        <v>10.9001</v>
      </c>
      <c r="E2143" s="113">
        <v>1E-4</v>
      </c>
      <c r="F2143" s="113" t="s">
        <v>152</v>
      </c>
      <c r="G2143" s="113" t="s">
        <v>152</v>
      </c>
      <c r="H2143" s="113">
        <v>0</v>
      </c>
      <c r="I2143" s="113">
        <v>0</v>
      </c>
      <c r="K2143" s="113">
        <v>0</v>
      </c>
      <c r="L2143" s="113">
        <v>2.3000000000000001E-4</v>
      </c>
      <c r="M2143" s="113">
        <v>0</v>
      </c>
      <c r="N2143" s="113">
        <v>0</v>
      </c>
      <c r="O2143" s="114" t="s">
        <v>870</v>
      </c>
    </row>
    <row r="2144" spans="1:15" x14ac:dyDescent="0.25">
      <c r="A2144" s="113" t="s">
        <v>54</v>
      </c>
      <c r="B2144" s="113" t="s">
        <v>98</v>
      </c>
      <c r="C2144" s="113">
        <v>1.0900000000000001</v>
      </c>
      <c r="D2144" s="113">
        <v>10.9001</v>
      </c>
      <c r="E2144" s="113">
        <v>1E-3</v>
      </c>
      <c r="F2144" s="113" t="s">
        <v>152</v>
      </c>
      <c r="G2144" s="113" t="s">
        <v>152</v>
      </c>
      <c r="H2144" s="113">
        <v>0</v>
      </c>
      <c r="I2144" s="113">
        <v>0</v>
      </c>
      <c r="K2144" s="113">
        <v>0</v>
      </c>
      <c r="L2144" s="113">
        <v>5.7824999999999999E-4</v>
      </c>
      <c r="M2144" s="113">
        <v>0</v>
      </c>
      <c r="N2144" s="113">
        <v>0</v>
      </c>
      <c r="O2144" s="114" t="s">
        <v>871</v>
      </c>
    </row>
    <row r="2145" spans="1:15" x14ac:dyDescent="0.25">
      <c r="A2145" s="113" t="s">
        <v>54</v>
      </c>
      <c r="B2145" s="113" t="s">
        <v>98</v>
      </c>
      <c r="C2145" s="113">
        <v>1.0900000000000001</v>
      </c>
      <c r="D2145" s="113">
        <v>10.9001</v>
      </c>
      <c r="E2145" s="113">
        <v>0.01</v>
      </c>
      <c r="F2145" s="113" t="s">
        <v>152</v>
      </c>
      <c r="G2145" s="113" t="s">
        <v>152</v>
      </c>
      <c r="H2145" s="113">
        <v>0</v>
      </c>
      <c r="I2145" s="113">
        <v>0</v>
      </c>
      <c r="K2145" s="113">
        <v>0</v>
      </c>
      <c r="L2145" s="113">
        <v>5.3321999999999996E-3</v>
      </c>
      <c r="M2145" s="113">
        <v>0</v>
      </c>
      <c r="N2145" s="113">
        <v>0</v>
      </c>
      <c r="O2145" s="114" t="s">
        <v>872</v>
      </c>
    </row>
    <row r="2146" spans="1:15" x14ac:dyDescent="0.25">
      <c r="A2146" s="113" t="s">
        <v>54</v>
      </c>
      <c r="B2146" s="113" t="s">
        <v>98</v>
      </c>
      <c r="C2146" s="113">
        <v>1.0900000000000001</v>
      </c>
      <c r="D2146" s="113">
        <v>10.9001</v>
      </c>
      <c r="E2146" s="113">
        <v>0.1</v>
      </c>
      <c r="F2146" s="113" t="s">
        <v>152</v>
      </c>
      <c r="G2146" s="113" t="s">
        <v>152</v>
      </c>
      <c r="H2146" s="113">
        <v>0</v>
      </c>
      <c r="I2146" s="113">
        <v>0</v>
      </c>
      <c r="K2146" s="113">
        <v>0</v>
      </c>
      <c r="L2146" s="113">
        <v>5.3261000000000003E-2</v>
      </c>
      <c r="M2146" s="113">
        <v>0</v>
      </c>
      <c r="N2146" s="113">
        <v>0</v>
      </c>
      <c r="O2146" s="114" t="s">
        <v>873</v>
      </c>
    </row>
    <row r="2147" spans="1:15" x14ac:dyDescent="0.25">
      <c r="A2147" s="113" t="s">
        <v>54</v>
      </c>
      <c r="B2147" s="113" t="s">
        <v>98</v>
      </c>
      <c r="C2147" s="113">
        <v>1.0900000000000001</v>
      </c>
      <c r="D2147" s="113">
        <v>10.9001</v>
      </c>
      <c r="E2147" s="113">
        <v>1</v>
      </c>
      <c r="F2147" s="113" t="s">
        <v>152</v>
      </c>
      <c r="G2147" s="113" t="s">
        <v>152</v>
      </c>
      <c r="H2147" s="113">
        <v>0</v>
      </c>
      <c r="I2147" s="113">
        <v>0</v>
      </c>
      <c r="K2147" s="113">
        <v>0</v>
      </c>
      <c r="L2147" s="113">
        <v>0.53259999999999996</v>
      </c>
      <c r="M2147" s="113">
        <v>0</v>
      </c>
      <c r="N2147" s="113">
        <v>0</v>
      </c>
      <c r="O2147" s="114" t="s">
        <v>874</v>
      </c>
    </row>
    <row r="2148" spans="1:15" x14ac:dyDescent="0.25">
      <c r="A2148" s="113" t="s">
        <v>54</v>
      </c>
      <c r="B2148" s="113" t="s">
        <v>98</v>
      </c>
      <c r="C2148" s="113">
        <v>10.9</v>
      </c>
      <c r="D2148" s="113">
        <v>109.0001</v>
      </c>
      <c r="E2148" s="113">
        <v>1E-3</v>
      </c>
      <c r="F2148" s="113" t="s">
        <v>152</v>
      </c>
      <c r="G2148" s="113" t="s">
        <v>152</v>
      </c>
      <c r="H2148" s="113">
        <v>0</v>
      </c>
      <c r="I2148" s="113">
        <v>0</v>
      </c>
      <c r="K2148" s="113">
        <v>0</v>
      </c>
      <c r="L2148" s="113">
        <v>2.3000000000000001E-4</v>
      </c>
      <c r="M2148" s="113">
        <v>0</v>
      </c>
      <c r="N2148" s="113">
        <v>0</v>
      </c>
      <c r="O2148" s="114" t="s">
        <v>875</v>
      </c>
    </row>
    <row r="2149" spans="1:15" x14ac:dyDescent="0.25">
      <c r="A2149" s="113" t="s">
        <v>54</v>
      </c>
      <c r="B2149" s="113" t="s">
        <v>98</v>
      </c>
      <c r="C2149" s="113">
        <v>10.9</v>
      </c>
      <c r="D2149" s="113">
        <v>109.0001</v>
      </c>
      <c r="E2149" s="113">
        <v>0.01</v>
      </c>
      <c r="F2149" s="113" t="s">
        <v>152</v>
      </c>
      <c r="G2149" s="113" t="s">
        <v>152</v>
      </c>
      <c r="H2149" s="113">
        <v>0</v>
      </c>
      <c r="I2149" s="113">
        <v>0</v>
      </c>
      <c r="K2149" s="113">
        <v>0</v>
      </c>
      <c r="L2149" s="113">
        <v>5.7886999999999999E-4</v>
      </c>
      <c r="M2149" s="113">
        <v>0</v>
      </c>
      <c r="N2149" s="113">
        <v>0</v>
      </c>
      <c r="O2149" s="114" t="s">
        <v>876</v>
      </c>
    </row>
    <row r="2150" spans="1:15" x14ac:dyDescent="0.25">
      <c r="A2150" s="113" t="s">
        <v>54</v>
      </c>
      <c r="B2150" s="113" t="s">
        <v>98</v>
      </c>
      <c r="C2150" s="113">
        <v>10.9</v>
      </c>
      <c r="D2150" s="113">
        <v>109.0001</v>
      </c>
      <c r="E2150" s="113">
        <v>0.1</v>
      </c>
      <c r="F2150" s="113" t="s">
        <v>152</v>
      </c>
      <c r="G2150" s="113" t="s">
        <v>152</v>
      </c>
      <c r="H2150" s="113">
        <v>0</v>
      </c>
      <c r="I2150" s="113">
        <v>0</v>
      </c>
      <c r="K2150" s="113">
        <v>0</v>
      </c>
      <c r="L2150" s="113">
        <v>5.3322999999999999E-3</v>
      </c>
      <c r="M2150" s="113">
        <v>0</v>
      </c>
      <c r="N2150" s="113">
        <v>0</v>
      </c>
      <c r="O2150" s="114" t="s">
        <v>877</v>
      </c>
    </row>
    <row r="2151" spans="1:15" x14ac:dyDescent="0.25">
      <c r="A2151" s="113" t="s">
        <v>54</v>
      </c>
      <c r="B2151" s="113" t="s">
        <v>98</v>
      </c>
      <c r="C2151" s="113">
        <v>10.9</v>
      </c>
      <c r="D2151" s="113">
        <v>109.0001</v>
      </c>
      <c r="E2151" s="113">
        <v>1</v>
      </c>
      <c r="F2151" s="113" t="s">
        <v>152</v>
      </c>
      <c r="G2151" s="113" t="s">
        <v>152</v>
      </c>
      <c r="H2151" s="113">
        <v>0</v>
      </c>
      <c r="I2151" s="113">
        <v>0</v>
      </c>
      <c r="K2151" s="113">
        <v>0</v>
      </c>
      <c r="L2151" s="113">
        <v>5.3261000000000003E-2</v>
      </c>
      <c r="M2151" s="113">
        <v>0</v>
      </c>
      <c r="N2151" s="113">
        <v>0</v>
      </c>
      <c r="O2151" s="114" t="s">
        <v>878</v>
      </c>
    </row>
    <row r="2152" spans="1:15" x14ac:dyDescent="0.25">
      <c r="A2152" s="113" t="s">
        <v>54</v>
      </c>
      <c r="B2152" s="113" t="s">
        <v>98</v>
      </c>
      <c r="C2152" s="113">
        <v>10.9</v>
      </c>
      <c r="D2152" s="113">
        <v>109.0001</v>
      </c>
      <c r="E2152" s="113">
        <v>10</v>
      </c>
      <c r="F2152" s="113" t="s">
        <v>152</v>
      </c>
      <c r="G2152" s="113" t="s">
        <v>152</v>
      </c>
      <c r="H2152" s="113">
        <v>0</v>
      </c>
      <c r="I2152" s="113">
        <v>0</v>
      </c>
      <c r="K2152" s="113">
        <v>0</v>
      </c>
      <c r="L2152" s="113">
        <v>0.53259999999999996</v>
      </c>
      <c r="M2152" s="113">
        <v>0</v>
      </c>
      <c r="N2152" s="113">
        <v>0</v>
      </c>
      <c r="O2152" s="114" t="s">
        <v>879</v>
      </c>
    </row>
    <row r="2153" spans="1:15" x14ac:dyDescent="0.25">
      <c r="A2153" s="113" t="s">
        <v>54</v>
      </c>
      <c r="B2153" s="113" t="s">
        <v>98</v>
      </c>
      <c r="C2153" s="113">
        <v>109</v>
      </c>
      <c r="D2153" s="113">
        <v>330.00009999999997</v>
      </c>
      <c r="E2153" s="113">
        <v>1E-3</v>
      </c>
      <c r="F2153" s="113" t="s">
        <v>152</v>
      </c>
      <c r="G2153" s="113" t="s">
        <v>152</v>
      </c>
      <c r="H2153" s="113">
        <v>0</v>
      </c>
      <c r="I2153" s="113">
        <v>0</v>
      </c>
      <c r="K2153" s="113">
        <v>0</v>
      </c>
      <c r="L2153" s="113">
        <v>1.4999999999999999E-4</v>
      </c>
      <c r="M2153" s="113">
        <v>0</v>
      </c>
      <c r="N2153" s="113">
        <v>0</v>
      </c>
      <c r="O2153" s="114" t="s">
        <v>880</v>
      </c>
    </row>
    <row r="2154" spans="1:15" x14ac:dyDescent="0.25">
      <c r="A2154" s="113" t="s">
        <v>54</v>
      </c>
      <c r="B2154" s="113" t="s">
        <v>98</v>
      </c>
      <c r="C2154" s="113">
        <v>109</v>
      </c>
      <c r="D2154" s="113">
        <v>330.00009999999997</v>
      </c>
      <c r="E2154" s="113">
        <v>0.01</v>
      </c>
      <c r="F2154" s="113" t="s">
        <v>152</v>
      </c>
      <c r="G2154" s="113" t="s">
        <v>152</v>
      </c>
      <c r="H2154" s="113">
        <v>0</v>
      </c>
      <c r="I2154" s="113">
        <v>0</v>
      </c>
      <c r="K2154" s="113">
        <v>0</v>
      </c>
      <c r="L2154" s="113">
        <v>1.5254999999999999E-4</v>
      </c>
      <c r="M2154" s="113">
        <v>0</v>
      </c>
      <c r="N2154" s="113">
        <v>0</v>
      </c>
      <c r="O2154" s="114" t="s">
        <v>881</v>
      </c>
    </row>
    <row r="2155" spans="1:15" x14ac:dyDescent="0.25">
      <c r="A2155" s="113" t="s">
        <v>54</v>
      </c>
      <c r="B2155" s="113" t="s">
        <v>98</v>
      </c>
      <c r="C2155" s="113">
        <v>109</v>
      </c>
      <c r="D2155" s="113">
        <v>330.00009999999997</v>
      </c>
      <c r="E2155" s="113">
        <v>0.1</v>
      </c>
      <c r="F2155" s="113" t="s">
        <v>152</v>
      </c>
      <c r="G2155" s="113" t="s">
        <v>152</v>
      </c>
      <c r="H2155" s="113">
        <v>0</v>
      </c>
      <c r="I2155" s="113">
        <v>0</v>
      </c>
      <c r="K2155" s="113">
        <v>0</v>
      </c>
      <c r="L2155" s="113">
        <v>5.5201999999999996E-4</v>
      </c>
      <c r="M2155" s="113">
        <v>0</v>
      </c>
      <c r="N2155" s="113">
        <v>0</v>
      </c>
      <c r="O2155" s="114" t="s">
        <v>882</v>
      </c>
    </row>
    <row r="2156" spans="1:15" x14ac:dyDescent="0.25">
      <c r="A2156" s="113" t="s">
        <v>54</v>
      </c>
      <c r="B2156" s="113" t="s">
        <v>98</v>
      </c>
      <c r="C2156" s="113">
        <v>109</v>
      </c>
      <c r="D2156" s="113">
        <v>330.00009999999997</v>
      </c>
      <c r="E2156" s="113">
        <v>1</v>
      </c>
      <c r="F2156" s="113" t="s">
        <v>152</v>
      </c>
      <c r="G2156" s="113" t="s">
        <v>152</v>
      </c>
      <c r="H2156" s="113">
        <v>0</v>
      </c>
      <c r="I2156" s="113">
        <v>0</v>
      </c>
      <c r="K2156" s="113">
        <v>0</v>
      </c>
      <c r="L2156" s="113">
        <v>5.3282E-3</v>
      </c>
      <c r="M2156" s="113">
        <v>0</v>
      </c>
      <c r="N2156" s="113">
        <v>0</v>
      </c>
      <c r="O2156" s="114" t="s">
        <v>883</v>
      </c>
    </row>
    <row r="2157" spans="1:15" x14ac:dyDescent="0.25">
      <c r="A2157" s="113" t="s">
        <v>54</v>
      </c>
      <c r="B2157" s="113" t="s">
        <v>98</v>
      </c>
      <c r="C2157" s="113">
        <v>109</v>
      </c>
      <c r="D2157" s="113">
        <v>330.00009999999997</v>
      </c>
      <c r="E2157" s="113">
        <v>10</v>
      </c>
      <c r="F2157" s="113" t="s">
        <v>152</v>
      </c>
      <c r="G2157" s="113" t="s">
        <v>152</v>
      </c>
      <c r="H2157" s="113">
        <v>0</v>
      </c>
      <c r="I2157" s="113">
        <v>0</v>
      </c>
      <c r="K2157" s="113">
        <v>0</v>
      </c>
      <c r="L2157" s="113">
        <v>5.3260000000000002E-2</v>
      </c>
      <c r="M2157" s="113">
        <v>0</v>
      </c>
      <c r="N2157" s="113">
        <v>0</v>
      </c>
      <c r="O2157" s="114" t="s">
        <v>884</v>
      </c>
    </row>
    <row r="2158" spans="1:15" x14ac:dyDescent="0.25">
      <c r="A2158" s="113" t="s">
        <v>54</v>
      </c>
      <c r="B2158" s="113" t="s">
        <v>98</v>
      </c>
      <c r="C2158" s="113">
        <v>330</v>
      </c>
      <c r="D2158" s="113">
        <v>3000.0001000000002</v>
      </c>
      <c r="E2158" s="113">
        <v>0.01</v>
      </c>
      <c r="F2158" s="113" t="s">
        <v>152</v>
      </c>
      <c r="G2158" s="113" t="s">
        <v>152</v>
      </c>
      <c r="H2158" s="113">
        <v>0</v>
      </c>
      <c r="I2158" s="113">
        <v>0</v>
      </c>
      <c r="K2158" s="113">
        <v>0</v>
      </c>
      <c r="L2158" s="113">
        <v>5.9999999999999995E-4</v>
      </c>
      <c r="M2158" s="113">
        <v>0</v>
      </c>
      <c r="N2158" s="113">
        <v>0</v>
      </c>
      <c r="O2158" s="114" t="s">
        <v>885</v>
      </c>
    </row>
    <row r="2159" spans="1:15" x14ac:dyDescent="0.25">
      <c r="A2159" s="113" t="s">
        <v>54</v>
      </c>
      <c r="B2159" s="113" t="s">
        <v>98</v>
      </c>
      <c r="C2159" s="113">
        <v>330</v>
      </c>
      <c r="D2159" s="113">
        <v>3000.0001000000002</v>
      </c>
      <c r="E2159" s="113">
        <v>0.1</v>
      </c>
      <c r="F2159" s="113" t="s">
        <v>152</v>
      </c>
      <c r="G2159" s="113" t="s">
        <v>152</v>
      </c>
      <c r="H2159" s="113">
        <v>0</v>
      </c>
      <c r="I2159" s="113">
        <v>0</v>
      </c>
      <c r="K2159" s="113">
        <v>0</v>
      </c>
      <c r="L2159" s="113">
        <v>6.2246000000000003E-4</v>
      </c>
      <c r="M2159" s="113">
        <v>0</v>
      </c>
      <c r="N2159" s="113">
        <v>0</v>
      </c>
      <c r="O2159" s="114" t="s">
        <v>886</v>
      </c>
    </row>
    <row r="2160" spans="1:15" x14ac:dyDescent="0.25">
      <c r="A2160" s="113" t="s">
        <v>54</v>
      </c>
      <c r="B2160" s="113" t="s">
        <v>98</v>
      </c>
      <c r="C2160" s="113">
        <v>330</v>
      </c>
      <c r="D2160" s="113">
        <v>3000.0001000000002</v>
      </c>
      <c r="E2160" s="113">
        <v>1</v>
      </c>
      <c r="F2160" s="113" t="s">
        <v>152</v>
      </c>
      <c r="G2160" s="113" t="s">
        <v>152</v>
      </c>
      <c r="H2160" s="113">
        <v>0</v>
      </c>
      <c r="I2160" s="113">
        <v>0</v>
      </c>
      <c r="K2160" s="113">
        <v>0</v>
      </c>
      <c r="L2160" s="113">
        <v>1.8565000000000001E-3</v>
      </c>
      <c r="M2160" s="113">
        <v>0</v>
      </c>
      <c r="N2160" s="113">
        <v>0</v>
      </c>
      <c r="O2160" s="114" t="s">
        <v>887</v>
      </c>
    </row>
    <row r="2161" spans="1:15" x14ac:dyDescent="0.25">
      <c r="A2161" s="113" t="s">
        <v>54</v>
      </c>
      <c r="B2161" s="113" t="s">
        <v>98</v>
      </c>
      <c r="C2161" s="113">
        <v>330</v>
      </c>
      <c r="D2161" s="113">
        <v>3000.0001000000002</v>
      </c>
      <c r="E2161" s="113">
        <v>10</v>
      </c>
      <c r="F2161" s="113" t="s">
        <v>152</v>
      </c>
      <c r="G2161" s="113" t="s">
        <v>152</v>
      </c>
      <c r="H2161" s="113">
        <v>0</v>
      </c>
      <c r="I2161" s="113">
        <v>0</v>
      </c>
      <c r="K2161" s="113">
        <v>0</v>
      </c>
      <c r="L2161" s="113">
        <v>1.7586000000000001E-2</v>
      </c>
      <c r="M2161" s="113">
        <v>0</v>
      </c>
      <c r="N2161" s="113">
        <v>0</v>
      </c>
      <c r="O2161" s="114" t="s">
        <v>888</v>
      </c>
    </row>
    <row r="2162" spans="1:15" x14ac:dyDescent="0.25">
      <c r="A2162" s="113" t="s">
        <v>54</v>
      </c>
      <c r="B2162" s="113" t="s">
        <v>98</v>
      </c>
      <c r="C2162" s="113">
        <v>330</v>
      </c>
      <c r="D2162" s="113">
        <v>3000.0001000000002</v>
      </c>
      <c r="E2162" s="113">
        <v>100</v>
      </c>
      <c r="F2162" s="113" t="s">
        <v>152</v>
      </c>
      <c r="G2162" s="113" t="s">
        <v>152</v>
      </c>
      <c r="H2162" s="113">
        <v>0</v>
      </c>
      <c r="I2162" s="113">
        <v>0</v>
      </c>
      <c r="K2162" s="113">
        <v>0</v>
      </c>
      <c r="L2162" s="113">
        <v>0.17576</v>
      </c>
      <c r="M2162" s="113">
        <v>0</v>
      </c>
      <c r="N2162" s="113">
        <v>0</v>
      </c>
      <c r="O2162" s="114" t="s">
        <v>889</v>
      </c>
    </row>
    <row r="2163" spans="1:15" x14ac:dyDescent="0.25">
      <c r="A2163" s="113" t="s">
        <v>54</v>
      </c>
      <c r="B2163" s="113" t="s">
        <v>98</v>
      </c>
      <c r="C2163" s="113">
        <v>3000</v>
      </c>
      <c r="D2163" s="113">
        <v>11000.1</v>
      </c>
      <c r="E2163" s="113">
        <v>10</v>
      </c>
      <c r="F2163" s="113" t="s">
        <v>152</v>
      </c>
      <c r="G2163" s="113" t="s">
        <v>152</v>
      </c>
      <c r="H2163" s="113">
        <v>0</v>
      </c>
      <c r="I2163" s="113">
        <v>0</v>
      </c>
      <c r="K2163" s="113">
        <v>0</v>
      </c>
      <c r="L2163" s="113">
        <v>9.1E-4</v>
      </c>
      <c r="M2163" s="113">
        <v>0</v>
      </c>
      <c r="N2163" s="113">
        <v>0</v>
      </c>
      <c r="O2163" s="114" t="s">
        <v>890</v>
      </c>
    </row>
    <row r="2164" spans="1:15" x14ac:dyDescent="0.25">
      <c r="A2164" s="113" t="s">
        <v>54</v>
      </c>
      <c r="B2164" s="113" t="s">
        <v>98</v>
      </c>
      <c r="C2164" s="113">
        <v>3000</v>
      </c>
      <c r="D2164" s="113">
        <v>11000.1</v>
      </c>
      <c r="E2164" s="113">
        <v>100</v>
      </c>
      <c r="F2164" s="113" t="s">
        <v>152</v>
      </c>
      <c r="G2164" s="113" t="s">
        <v>152</v>
      </c>
      <c r="H2164" s="113">
        <v>0</v>
      </c>
      <c r="I2164" s="113">
        <v>0</v>
      </c>
      <c r="K2164" s="113">
        <v>0</v>
      </c>
      <c r="L2164" s="113">
        <v>9.1E-4</v>
      </c>
      <c r="M2164" s="113">
        <v>0</v>
      </c>
      <c r="N2164" s="113">
        <v>0</v>
      </c>
      <c r="O2164" s="114" t="s">
        <v>891</v>
      </c>
    </row>
    <row r="2165" spans="1:15" x14ac:dyDescent="0.25">
      <c r="A2165" s="113" t="s">
        <v>54</v>
      </c>
      <c r="B2165" s="113" t="s">
        <v>98</v>
      </c>
      <c r="C2165" s="113">
        <v>3000</v>
      </c>
      <c r="D2165" s="113">
        <v>11000.1</v>
      </c>
      <c r="E2165" s="113">
        <v>1000</v>
      </c>
      <c r="F2165" s="113" t="s">
        <v>152</v>
      </c>
      <c r="G2165" s="113" t="s">
        <v>152</v>
      </c>
      <c r="H2165" s="113">
        <v>0</v>
      </c>
      <c r="I2165" s="113">
        <v>0</v>
      </c>
      <c r="K2165" s="113">
        <v>0</v>
      </c>
      <c r="L2165" s="113">
        <v>9.2997999999999996E-4</v>
      </c>
      <c r="M2165" s="113">
        <v>0</v>
      </c>
      <c r="N2165" s="113">
        <v>0</v>
      </c>
      <c r="O2165" s="114" t="s">
        <v>892</v>
      </c>
    </row>
    <row r="2166" spans="1:15" x14ac:dyDescent="0.25">
      <c r="A2166" s="113" t="s">
        <v>54</v>
      </c>
      <c r="B2166" s="113" t="s">
        <v>98</v>
      </c>
      <c r="C2166" s="113">
        <v>3000</v>
      </c>
      <c r="D2166" s="113">
        <v>11000.1</v>
      </c>
      <c r="E2166" s="113">
        <v>10000</v>
      </c>
      <c r="F2166" s="113" t="s">
        <v>152</v>
      </c>
      <c r="G2166" s="113" t="s">
        <v>152</v>
      </c>
      <c r="H2166" s="113">
        <v>0</v>
      </c>
      <c r="I2166" s="113">
        <v>0</v>
      </c>
      <c r="K2166" s="113">
        <v>0</v>
      </c>
      <c r="L2166" s="113">
        <v>2.1367000000000001E-3</v>
      </c>
      <c r="M2166" s="113">
        <v>0</v>
      </c>
      <c r="N2166" s="113">
        <v>0</v>
      </c>
      <c r="O2166" s="114" t="s">
        <v>893</v>
      </c>
    </row>
    <row r="2167" spans="1:15" x14ac:dyDescent="0.25">
      <c r="A2167" s="113" t="s">
        <v>54</v>
      </c>
      <c r="B2167" s="113" t="s">
        <v>98</v>
      </c>
      <c r="C2167" s="113">
        <v>3000</v>
      </c>
      <c r="D2167" s="113">
        <v>11000.1</v>
      </c>
      <c r="E2167" s="113">
        <v>100000</v>
      </c>
      <c r="F2167" s="113" t="s">
        <v>152</v>
      </c>
      <c r="G2167" s="113" t="s">
        <v>152</v>
      </c>
      <c r="H2167" s="113">
        <v>0</v>
      </c>
      <c r="I2167" s="113">
        <v>0</v>
      </c>
      <c r="K2167" s="113">
        <v>0</v>
      </c>
      <c r="L2167" s="113">
        <v>1.9355000000000001E-2</v>
      </c>
      <c r="M2167" s="113">
        <v>0</v>
      </c>
      <c r="N2167" s="113">
        <v>0</v>
      </c>
      <c r="O2167" s="114" t="s">
        <v>894</v>
      </c>
    </row>
    <row r="2168" spans="1:15" x14ac:dyDescent="0.25">
      <c r="A2168" s="113" t="s">
        <v>54</v>
      </c>
      <c r="B2168" s="113" t="s">
        <v>98</v>
      </c>
      <c r="C2168" s="113">
        <v>11000</v>
      </c>
      <c r="D2168" s="113">
        <v>24500</v>
      </c>
      <c r="E2168" s="113">
        <v>10</v>
      </c>
      <c r="F2168" s="113" t="s">
        <v>152</v>
      </c>
      <c r="G2168" s="113" t="s">
        <v>152</v>
      </c>
      <c r="H2168" s="113">
        <v>0</v>
      </c>
      <c r="I2168" s="113">
        <v>0</v>
      </c>
      <c r="K2168" s="113">
        <v>0</v>
      </c>
      <c r="L2168" s="113">
        <v>1.4E-3</v>
      </c>
      <c r="M2168" s="113">
        <v>0</v>
      </c>
      <c r="N2168" s="113">
        <v>0</v>
      </c>
      <c r="O2168" s="114" t="s">
        <v>895</v>
      </c>
    </row>
    <row r="2169" spans="1:15" x14ac:dyDescent="0.25">
      <c r="A2169" s="113" t="s">
        <v>54</v>
      </c>
      <c r="B2169" s="113" t="s">
        <v>98</v>
      </c>
      <c r="C2169" s="113">
        <v>11000</v>
      </c>
      <c r="D2169" s="113">
        <v>24500</v>
      </c>
      <c r="E2169" s="113">
        <v>100</v>
      </c>
      <c r="F2169" s="113" t="s">
        <v>152</v>
      </c>
      <c r="G2169" s="113" t="s">
        <v>152</v>
      </c>
      <c r="H2169" s="113">
        <v>0</v>
      </c>
      <c r="I2169" s="113">
        <v>0</v>
      </c>
      <c r="K2169" s="113">
        <v>0</v>
      </c>
      <c r="L2169" s="113">
        <v>1.4E-3</v>
      </c>
      <c r="M2169" s="113">
        <v>0</v>
      </c>
      <c r="N2169" s="113">
        <v>0</v>
      </c>
      <c r="O2169" s="114" t="s">
        <v>896</v>
      </c>
    </row>
    <row r="2170" spans="1:15" x14ac:dyDescent="0.25">
      <c r="A2170" s="113" t="s">
        <v>54</v>
      </c>
      <c r="B2170" s="113" t="s">
        <v>98</v>
      </c>
      <c r="C2170" s="113">
        <v>11000</v>
      </c>
      <c r="D2170" s="113">
        <v>24500</v>
      </c>
      <c r="E2170" s="113">
        <v>1000</v>
      </c>
      <c r="F2170" s="113" t="s">
        <v>152</v>
      </c>
      <c r="G2170" s="113" t="s">
        <v>152</v>
      </c>
      <c r="H2170" s="113">
        <v>0</v>
      </c>
      <c r="I2170" s="113">
        <v>0</v>
      </c>
      <c r="K2170" s="113">
        <v>0</v>
      </c>
      <c r="L2170" s="113">
        <v>1.4429E-3</v>
      </c>
      <c r="M2170" s="113">
        <v>0</v>
      </c>
      <c r="N2170" s="113">
        <v>0</v>
      </c>
      <c r="O2170" s="114" t="s">
        <v>897</v>
      </c>
    </row>
    <row r="2171" spans="1:15" x14ac:dyDescent="0.25">
      <c r="A2171" s="113" t="s">
        <v>54</v>
      </c>
      <c r="B2171" s="113" t="s">
        <v>98</v>
      </c>
      <c r="C2171" s="113">
        <v>11000</v>
      </c>
      <c r="D2171" s="113">
        <v>24500</v>
      </c>
      <c r="E2171" s="113">
        <v>10000</v>
      </c>
      <c r="F2171" s="113" t="s">
        <v>152</v>
      </c>
      <c r="G2171" s="113" t="s">
        <v>152</v>
      </c>
      <c r="H2171" s="113">
        <v>0</v>
      </c>
      <c r="I2171" s="113">
        <v>0</v>
      </c>
      <c r="K2171" s="113">
        <v>0</v>
      </c>
      <c r="L2171" s="113">
        <v>5.4410999999999999E-3</v>
      </c>
      <c r="M2171" s="113">
        <v>0</v>
      </c>
      <c r="N2171" s="113">
        <v>0</v>
      </c>
      <c r="O2171" s="114" t="s">
        <v>898</v>
      </c>
    </row>
    <row r="2172" spans="1:15" x14ac:dyDescent="0.25">
      <c r="A2172" s="113" t="s">
        <v>54</v>
      </c>
      <c r="B2172" s="113" t="s">
        <v>98</v>
      </c>
      <c r="C2172" s="113">
        <v>11000</v>
      </c>
      <c r="D2172" s="113">
        <v>24500</v>
      </c>
      <c r="E2172" s="113">
        <v>100000</v>
      </c>
      <c r="F2172" s="113" t="s">
        <v>152</v>
      </c>
      <c r="G2172" s="113" t="s">
        <v>152</v>
      </c>
      <c r="H2172" s="113">
        <v>0</v>
      </c>
      <c r="I2172" s="113">
        <v>0</v>
      </c>
      <c r="K2172" s="113">
        <v>0</v>
      </c>
      <c r="L2172" s="113">
        <v>5.2745E-2</v>
      </c>
      <c r="M2172" s="113">
        <v>0</v>
      </c>
      <c r="N2172" s="113">
        <v>0</v>
      </c>
      <c r="O2172" s="114" t="s">
        <v>899</v>
      </c>
    </row>
    <row r="2173" spans="1:15" x14ac:dyDescent="0.25">
      <c r="A2173" s="113" t="s">
        <v>54</v>
      </c>
      <c r="B2173" s="113" t="s">
        <v>98</v>
      </c>
      <c r="C2173" s="113">
        <v>24500</v>
      </c>
      <c r="D2173" s="113">
        <v>24500</v>
      </c>
      <c r="E2173" s="113">
        <v>10</v>
      </c>
      <c r="F2173" s="113" t="s">
        <v>100</v>
      </c>
      <c r="G2173" s="113" t="s">
        <v>100</v>
      </c>
      <c r="H2173" s="113">
        <v>0</v>
      </c>
      <c r="I2173" s="113">
        <v>0</v>
      </c>
      <c r="K2173" s="113">
        <v>0</v>
      </c>
      <c r="L2173" s="113">
        <v>1.4E-3</v>
      </c>
      <c r="M2173" s="113">
        <v>0</v>
      </c>
      <c r="N2173" s="113">
        <v>0</v>
      </c>
      <c r="O2173" s="114" t="s">
        <v>900</v>
      </c>
    </row>
    <row r="2174" spans="1:15" x14ac:dyDescent="0.25">
      <c r="A2174" s="113" t="s">
        <v>54</v>
      </c>
      <c r="B2174" s="113" t="s">
        <v>98</v>
      </c>
      <c r="C2174" s="113">
        <v>24500</v>
      </c>
      <c r="D2174" s="113">
        <v>24500</v>
      </c>
      <c r="E2174" s="113">
        <v>100</v>
      </c>
      <c r="F2174" s="113" t="s">
        <v>100</v>
      </c>
      <c r="G2174" s="113" t="s">
        <v>100</v>
      </c>
      <c r="H2174" s="113">
        <v>0</v>
      </c>
      <c r="I2174" s="113">
        <v>0</v>
      </c>
      <c r="K2174" s="113">
        <v>0</v>
      </c>
      <c r="L2174" s="113">
        <v>1.4E-3</v>
      </c>
      <c r="M2174" s="113">
        <v>0</v>
      </c>
      <c r="N2174" s="113">
        <v>0</v>
      </c>
      <c r="O2174" s="114" t="s">
        <v>901</v>
      </c>
    </row>
    <row r="2175" spans="1:15" x14ac:dyDescent="0.25">
      <c r="A2175" s="113" t="s">
        <v>54</v>
      </c>
      <c r="B2175" s="113" t="s">
        <v>98</v>
      </c>
      <c r="C2175" s="113">
        <v>24500</v>
      </c>
      <c r="D2175" s="113">
        <v>24500</v>
      </c>
      <c r="E2175" s="113">
        <v>1000</v>
      </c>
      <c r="F2175" s="113" t="s">
        <v>100</v>
      </c>
      <c r="G2175" s="113" t="s">
        <v>100</v>
      </c>
      <c r="H2175" s="113">
        <v>0</v>
      </c>
      <c r="I2175" s="113">
        <v>0</v>
      </c>
      <c r="K2175" s="113">
        <v>0</v>
      </c>
      <c r="L2175" s="113">
        <v>1.4429E-3</v>
      </c>
      <c r="M2175" s="113">
        <v>0</v>
      </c>
      <c r="N2175" s="113">
        <v>0</v>
      </c>
      <c r="O2175" s="114" t="s">
        <v>902</v>
      </c>
    </row>
    <row r="2176" spans="1:15" x14ac:dyDescent="0.25">
      <c r="A2176" s="113" t="s">
        <v>54</v>
      </c>
      <c r="B2176" s="113" t="s">
        <v>98</v>
      </c>
      <c r="C2176" s="113">
        <v>24500</v>
      </c>
      <c r="D2176" s="113">
        <v>24500</v>
      </c>
      <c r="E2176" s="113">
        <v>10000</v>
      </c>
      <c r="F2176" s="113" t="s">
        <v>100</v>
      </c>
      <c r="G2176" s="113" t="s">
        <v>100</v>
      </c>
      <c r="H2176" s="113">
        <v>0</v>
      </c>
      <c r="I2176" s="113">
        <v>0</v>
      </c>
      <c r="K2176" s="113">
        <v>0</v>
      </c>
      <c r="L2176" s="113">
        <v>5.4410999999999999E-3</v>
      </c>
      <c r="M2176" s="113">
        <v>0</v>
      </c>
      <c r="N2176" s="113">
        <v>0</v>
      </c>
      <c r="O2176" s="114" t="s">
        <v>903</v>
      </c>
    </row>
    <row r="2177" spans="1:15" x14ac:dyDescent="0.25">
      <c r="A2177" s="113" t="s">
        <v>54</v>
      </c>
      <c r="B2177" s="113" t="s">
        <v>98</v>
      </c>
      <c r="C2177" s="113">
        <v>24500</v>
      </c>
      <c r="D2177" s="113">
        <v>24500</v>
      </c>
      <c r="E2177" s="113">
        <v>100000</v>
      </c>
      <c r="F2177" s="113" t="s">
        <v>100</v>
      </c>
      <c r="G2177" s="113" t="s">
        <v>100</v>
      </c>
      <c r="H2177" s="113">
        <v>0</v>
      </c>
      <c r="I2177" s="113">
        <v>0</v>
      </c>
      <c r="K2177" s="113">
        <v>0</v>
      </c>
      <c r="L2177" s="113">
        <v>5.2745E-2</v>
      </c>
      <c r="M2177" s="113">
        <v>0</v>
      </c>
      <c r="N2177" s="113">
        <v>0</v>
      </c>
      <c r="O2177" s="114" t="s">
        <v>904</v>
      </c>
    </row>
    <row r="2178" spans="1:15" x14ac:dyDescent="0.25">
      <c r="A2178" s="113" t="s">
        <v>54</v>
      </c>
      <c r="B2178" s="113" t="s">
        <v>80</v>
      </c>
      <c r="C2178" s="113">
        <v>-418</v>
      </c>
      <c r="D2178" s="113">
        <v>-147.9</v>
      </c>
      <c r="E2178" s="113">
        <v>0.1</v>
      </c>
      <c r="F2178" s="113" t="s">
        <v>26</v>
      </c>
      <c r="G2178" s="113" t="s">
        <v>26</v>
      </c>
      <c r="H2178" s="113">
        <v>0</v>
      </c>
      <c r="I2178" s="113">
        <v>0</v>
      </c>
      <c r="K2178" s="113">
        <v>1.046246556</v>
      </c>
      <c r="L2178" s="113">
        <v>0</v>
      </c>
      <c r="M2178" s="113">
        <v>1.0432597260000001</v>
      </c>
      <c r="N2178" s="113">
        <v>0</v>
      </c>
      <c r="O2178" s="114" t="s">
        <v>829</v>
      </c>
    </row>
    <row r="2179" spans="1:15" x14ac:dyDescent="0.25">
      <c r="A2179" s="113" t="s">
        <v>54</v>
      </c>
      <c r="B2179" s="113" t="s">
        <v>80</v>
      </c>
      <c r="C2179" s="113">
        <v>-418</v>
      </c>
      <c r="D2179" s="113">
        <v>-147.9</v>
      </c>
      <c r="E2179" s="113">
        <v>1</v>
      </c>
      <c r="F2179" s="113" t="s">
        <v>26</v>
      </c>
      <c r="G2179" s="113" t="s">
        <v>26</v>
      </c>
      <c r="H2179" s="113">
        <v>0</v>
      </c>
      <c r="I2179" s="113">
        <v>0</v>
      </c>
      <c r="K2179" s="113">
        <v>1.2013970430000001</v>
      </c>
      <c r="L2179" s="113">
        <v>0</v>
      </c>
      <c r="M2179" s="113">
        <v>1.190962155</v>
      </c>
      <c r="N2179" s="113">
        <v>0</v>
      </c>
      <c r="O2179" s="114" t="s">
        <v>830</v>
      </c>
    </row>
    <row r="2180" spans="1:15" x14ac:dyDescent="0.25">
      <c r="A2180" s="113" t="s">
        <v>54</v>
      </c>
      <c r="B2180" s="113" t="s">
        <v>80</v>
      </c>
      <c r="C2180" s="113">
        <v>-148</v>
      </c>
      <c r="D2180" s="113">
        <v>-12.9</v>
      </c>
      <c r="E2180" s="113">
        <v>0.1</v>
      </c>
      <c r="F2180" s="113" t="s">
        <v>26</v>
      </c>
      <c r="G2180" s="113" t="s">
        <v>26</v>
      </c>
      <c r="H2180" s="113">
        <v>0</v>
      </c>
      <c r="I2180" s="113">
        <v>0</v>
      </c>
      <c r="K2180" s="113">
        <v>0.34659772799999999</v>
      </c>
      <c r="L2180" s="113">
        <v>0</v>
      </c>
      <c r="M2180" s="113">
        <v>0.34484265600000003</v>
      </c>
      <c r="N2180" s="113">
        <v>0</v>
      </c>
      <c r="O2180" s="114" t="s">
        <v>831</v>
      </c>
    </row>
    <row r="2181" spans="1:15" x14ac:dyDescent="0.25">
      <c r="A2181" s="113" t="s">
        <v>54</v>
      </c>
      <c r="B2181" s="113" t="s">
        <v>80</v>
      </c>
      <c r="C2181" s="113">
        <v>-148</v>
      </c>
      <c r="D2181" s="113">
        <v>-12.9</v>
      </c>
      <c r="E2181" s="113">
        <v>1</v>
      </c>
      <c r="F2181" s="113" t="s">
        <v>26</v>
      </c>
      <c r="G2181" s="113" t="s">
        <v>26</v>
      </c>
      <c r="H2181" s="113">
        <v>0</v>
      </c>
      <c r="I2181" s="113">
        <v>0</v>
      </c>
      <c r="K2181" s="113">
        <v>1.2013970430000001</v>
      </c>
      <c r="L2181" s="113">
        <v>0</v>
      </c>
      <c r="M2181" s="113">
        <v>1.190962155</v>
      </c>
      <c r="N2181" s="113">
        <v>0</v>
      </c>
      <c r="O2181" s="114" t="s">
        <v>832</v>
      </c>
    </row>
    <row r="2182" spans="1:15" x14ac:dyDescent="0.25">
      <c r="A2182" s="113" t="s">
        <v>54</v>
      </c>
      <c r="B2182" s="113" t="s">
        <v>80</v>
      </c>
      <c r="C2182" s="113">
        <v>-13</v>
      </c>
      <c r="D2182" s="113">
        <v>662.1</v>
      </c>
      <c r="E2182" s="113">
        <v>0.1</v>
      </c>
      <c r="F2182" s="113" t="s">
        <v>26</v>
      </c>
      <c r="G2182" s="113" t="s">
        <v>26</v>
      </c>
      <c r="H2182" s="113">
        <v>0</v>
      </c>
      <c r="I2182" s="113">
        <v>0</v>
      </c>
      <c r="K2182" s="113">
        <v>0.30436869799999999</v>
      </c>
      <c r="L2182" s="113">
        <v>0</v>
      </c>
      <c r="M2182" s="113">
        <v>0.30236860999999998</v>
      </c>
      <c r="N2182" s="113">
        <v>0</v>
      </c>
      <c r="O2182" s="114" t="s">
        <v>833</v>
      </c>
    </row>
    <row r="2183" spans="1:15" x14ac:dyDescent="0.25">
      <c r="A2183" s="113" t="s">
        <v>54</v>
      </c>
      <c r="B2183" s="113" t="s">
        <v>80</v>
      </c>
      <c r="C2183" s="113">
        <v>-13</v>
      </c>
      <c r="D2183" s="113">
        <v>662.1</v>
      </c>
      <c r="E2183" s="113">
        <v>1</v>
      </c>
      <c r="F2183" s="113" t="s">
        <v>26</v>
      </c>
      <c r="G2183" s="113" t="s">
        <v>26</v>
      </c>
      <c r="H2183" s="113">
        <v>0</v>
      </c>
      <c r="I2183" s="113">
        <v>0</v>
      </c>
      <c r="K2183" s="113">
        <v>0.65290189700000001</v>
      </c>
      <c r="L2183" s="113">
        <v>0</v>
      </c>
      <c r="M2183" s="113">
        <v>0.64917391800000002</v>
      </c>
      <c r="N2183" s="113">
        <v>0</v>
      </c>
      <c r="O2183" s="114" t="s">
        <v>834</v>
      </c>
    </row>
    <row r="2184" spans="1:15" x14ac:dyDescent="0.25">
      <c r="A2184" s="113" t="s">
        <v>54</v>
      </c>
      <c r="B2184" s="113" t="s">
        <v>80</v>
      </c>
      <c r="C2184" s="113">
        <v>662</v>
      </c>
      <c r="D2184" s="113">
        <v>1202.0999999999999</v>
      </c>
      <c r="E2184" s="113">
        <v>0.1</v>
      </c>
      <c r="F2184" s="113" t="s">
        <v>26</v>
      </c>
      <c r="G2184" s="113" t="s">
        <v>26</v>
      </c>
      <c r="H2184" s="113">
        <v>0</v>
      </c>
      <c r="I2184" s="113">
        <v>0</v>
      </c>
      <c r="K2184" s="113">
        <v>0.34352197200000001</v>
      </c>
      <c r="L2184" s="113">
        <v>0</v>
      </c>
      <c r="M2184" s="113">
        <v>0.342511169</v>
      </c>
      <c r="N2184" s="113">
        <v>0</v>
      </c>
      <c r="O2184" s="114" t="s">
        <v>835</v>
      </c>
    </row>
    <row r="2185" spans="1:15" x14ac:dyDescent="0.25">
      <c r="A2185" s="113" t="s">
        <v>54</v>
      </c>
      <c r="B2185" s="113" t="s">
        <v>80</v>
      </c>
      <c r="C2185" s="113">
        <v>662</v>
      </c>
      <c r="D2185" s="113">
        <v>1202.0999999999999</v>
      </c>
      <c r="E2185" s="113">
        <v>1</v>
      </c>
      <c r="F2185" s="113" t="s">
        <v>26</v>
      </c>
      <c r="G2185" s="113" t="s">
        <v>26</v>
      </c>
      <c r="H2185" s="113">
        <v>0</v>
      </c>
      <c r="I2185" s="113">
        <v>0</v>
      </c>
      <c r="K2185" s="113">
        <v>0.67088574199999995</v>
      </c>
      <c r="L2185" s="113">
        <v>0</v>
      </c>
      <c r="M2185" s="113">
        <v>0.668815296</v>
      </c>
      <c r="N2185" s="113">
        <v>0</v>
      </c>
      <c r="O2185" s="114" t="s">
        <v>836</v>
      </c>
    </row>
    <row r="2186" spans="1:15" x14ac:dyDescent="0.25">
      <c r="A2186" s="113" t="s">
        <v>54</v>
      </c>
      <c r="B2186" s="113" t="s">
        <v>80</v>
      </c>
      <c r="C2186" s="113">
        <v>1202</v>
      </c>
      <c r="D2186" s="113">
        <v>1832</v>
      </c>
      <c r="E2186" s="113">
        <v>0.1</v>
      </c>
      <c r="F2186" s="113" t="s">
        <v>26</v>
      </c>
      <c r="G2186" s="113" t="s">
        <v>26</v>
      </c>
      <c r="H2186" s="113">
        <v>0</v>
      </c>
      <c r="I2186" s="113">
        <v>0</v>
      </c>
      <c r="K2186" s="113">
        <v>0.44489108799999999</v>
      </c>
      <c r="L2186" s="113">
        <v>0</v>
      </c>
      <c r="M2186" s="113">
        <v>0.444111062</v>
      </c>
      <c r="N2186" s="113">
        <v>0</v>
      </c>
      <c r="O2186" s="114" t="s">
        <v>837</v>
      </c>
    </row>
    <row r="2187" spans="1:15" x14ac:dyDescent="0.25">
      <c r="A2187" s="113" t="s">
        <v>54</v>
      </c>
      <c r="B2187" s="113" t="s">
        <v>80</v>
      </c>
      <c r="C2187" s="113">
        <v>1202</v>
      </c>
      <c r="D2187" s="113">
        <v>1832</v>
      </c>
      <c r="E2187" s="113">
        <v>1</v>
      </c>
      <c r="F2187" s="113" t="s">
        <v>26</v>
      </c>
      <c r="G2187" s="113" t="s">
        <v>26</v>
      </c>
      <c r="H2187" s="113">
        <v>0</v>
      </c>
      <c r="I2187" s="113">
        <v>0</v>
      </c>
      <c r="K2187" s="113">
        <v>0.72801676699999995</v>
      </c>
      <c r="L2187" s="113">
        <v>0</v>
      </c>
      <c r="M2187" s="113">
        <v>0.72610924499999996</v>
      </c>
      <c r="N2187" s="113">
        <v>0</v>
      </c>
      <c r="O2187" s="114" t="s">
        <v>838</v>
      </c>
    </row>
    <row r="2188" spans="1:15" x14ac:dyDescent="0.25">
      <c r="A2188" s="113" t="s">
        <v>54</v>
      </c>
      <c r="B2188" s="113" t="s">
        <v>80</v>
      </c>
      <c r="C2188" s="113">
        <v>1832</v>
      </c>
      <c r="D2188" s="113">
        <v>1832.1</v>
      </c>
      <c r="E2188" s="113">
        <v>0.1</v>
      </c>
      <c r="F2188" s="113" t="s">
        <v>26</v>
      </c>
      <c r="G2188" s="113" t="s">
        <v>26</v>
      </c>
      <c r="H2188" s="113">
        <v>0</v>
      </c>
      <c r="I2188" s="113">
        <v>0</v>
      </c>
      <c r="K2188" s="113">
        <v>0.44489108799999999</v>
      </c>
      <c r="L2188" s="113">
        <v>0</v>
      </c>
      <c r="M2188" s="113">
        <v>0.444111062</v>
      </c>
      <c r="N2188" s="113">
        <v>0</v>
      </c>
      <c r="O2188" s="114" t="s">
        <v>839</v>
      </c>
    </row>
    <row r="2189" spans="1:15" x14ac:dyDescent="0.25">
      <c r="A2189" s="113" t="s">
        <v>54</v>
      </c>
      <c r="B2189" s="113" t="s">
        <v>80</v>
      </c>
      <c r="C2189" s="113">
        <v>1832</v>
      </c>
      <c r="D2189" s="113">
        <v>1832.1</v>
      </c>
      <c r="E2189" s="113">
        <v>1</v>
      </c>
      <c r="F2189" s="113" t="s">
        <v>26</v>
      </c>
      <c r="G2189" s="113" t="s">
        <v>26</v>
      </c>
      <c r="H2189" s="113">
        <v>0</v>
      </c>
      <c r="I2189" s="113">
        <v>0</v>
      </c>
      <c r="K2189" s="113">
        <v>0.72801676699999995</v>
      </c>
      <c r="L2189" s="113">
        <v>0</v>
      </c>
      <c r="M2189" s="113">
        <v>0.72610924499999996</v>
      </c>
      <c r="N2189" s="113">
        <v>0</v>
      </c>
      <c r="O2189" s="114" t="s">
        <v>840</v>
      </c>
    </row>
    <row r="2190" spans="1:15" x14ac:dyDescent="0.25">
      <c r="A2190" s="113" t="s">
        <v>54</v>
      </c>
      <c r="B2190" s="113" t="s">
        <v>81</v>
      </c>
      <c r="C2190" s="113">
        <v>-346</v>
      </c>
      <c r="D2190" s="113">
        <v>-147.9</v>
      </c>
      <c r="E2190" s="113">
        <v>0.1</v>
      </c>
      <c r="F2190" s="113" t="s">
        <v>26</v>
      </c>
      <c r="G2190" s="113" t="s">
        <v>26</v>
      </c>
      <c r="H2190" s="113">
        <v>0</v>
      </c>
      <c r="I2190" s="113">
        <v>0</v>
      </c>
      <c r="K2190" s="113">
        <v>0.57726726900000003</v>
      </c>
      <c r="L2190" s="113">
        <v>0</v>
      </c>
      <c r="M2190" s="113">
        <v>0.56757588800000003</v>
      </c>
      <c r="N2190" s="113">
        <v>0</v>
      </c>
      <c r="O2190" s="114" t="s">
        <v>817</v>
      </c>
    </row>
    <row r="2191" spans="1:15" x14ac:dyDescent="0.25">
      <c r="A2191" s="113" t="s">
        <v>54</v>
      </c>
      <c r="B2191" s="113" t="s">
        <v>81</v>
      </c>
      <c r="C2191" s="113">
        <v>-346</v>
      </c>
      <c r="D2191" s="113">
        <v>-147.9</v>
      </c>
      <c r="E2191" s="113">
        <v>1</v>
      </c>
      <c r="F2191" s="113" t="s">
        <v>26</v>
      </c>
      <c r="G2191" s="113" t="s">
        <v>26</v>
      </c>
      <c r="H2191" s="113">
        <v>0</v>
      </c>
      <c r="I2191" s="113">
        <v>0</v>
      </c>
      <c r="K2191" s="113">
        <v>0.83457943499999998</v>
      </c>
      <c r="L2191" s="113">
        <v>0</v>
      </c>
      <c r="M2191" s="113">
        <v>0.80755333500000004</v>
      </c>
      <c r="N2191" s="113">
        <v>0</v>
      </c>
      <c r="O2191" s="114" t="s">
        <v>818</v>
      </c>
    </row>
    <row r="2192" spans="1:15" x14ac:dyDescent="0.25">
      <c r="A2192" s="113" t="s">
        <v>54</v>
      </c>
      <c r="B2192" s="113" t="s">
        <v>81</v>
      </c>
      <c r="C2192" s="113">
        <v>-148</v>
      </c>
      <c r="D2192" s="113">
        <v>-21.9</v>
      </c>
      <c r="E2192" s="113">
        <v>0.1</v>
      </c>
      <c r="F2192" s="113" t="s">
        <v>26</v>
      </c>
      <c r="G2192" s="113" t="s">
        <v>26</v>
      </c>
      <c r="H2192" s="113">
        <v>0</v>
      </c>
      <c r="I2192" s="113">
        <v>0</v>
      </c>
      <c r="K2192" s="113">
        <v>0.354075484</v>
      </c>
      <c r="L2192" s="113">
        <v>0</v>
      </c>
      <c r="M2192" s="113">
        <v>0.34262930000000003</v>
      </c>
      <c r="N2192" s="113">
        <v>0</v>
      </c>
      <c r="O2192" s="114" t="s">
        <v>819</v>
      </c>
    </row>
    <row r="2193" spans="1:15" x14ac:dyDescent="0.25">
      <c r="A2193" s="113" t="s">
        <v>54</v>
      </c>
      <c r="B2193" s="113" t="s">
        <v>81</v>
      </c>
      <c r="C2193" s="113">
        <v>-148</v>
      </c>
      <c r="D2193" s="113">
        <v>-21.9</v>
      </c>
      <c r="E2193" s="113">
        <v>1</v>
      </c>
      <c r="F2193" s="113" t="s">
        <v>26</v>
      </c>
      <c r="G2193" s="113" t="s">
        <v>26</v>
      </c>
      <c r="H2193" s="113">
        <v>0</v>
      </c>
      <c r="I2193" s="113">
        <v>0</v>
      </c>
      <c r="K2193" s="113">
        <v>0.69231010500000001</v>
      </c>
      <c r="L2193" s="113">
        <v>0</v>
      </c>
      <c r="M2193" s="113">
        <v>0.66887580099999999</v>
      </c>
      <c r="N2193" s="113">
        <v>0</v>
      </c>
      <c r="O2193" s="114" t="s">
        <v>820</v>
      </c>
    </row>
    <row r="2194" spans="1:15" x14ac:dyDescent="0.25">
      <c r="A2194" s="113" t="s">
        <v>54</v>
      </c>
      <c r="B2194" s="113" t="s">
        <v>81</v>
      </c>
      <c r="C2194" s="113">
        <v>-22</v>
      </c>
      <c r="D2194" s="113">
        <v>302.10000000000002</v>
      </c>
      <c r="E2194" s="113">
        <v>0.1</v>
      </c>
      <c r="F2194" s="113" t="s">
        <v>26</v>
      </c>
      <c r="G2194" s="113" t="s">
        <v>26</v>
      </c>
      <c r="H2194" s="113">
        <v>0</v>
      </c>
      <c r="I2194" s="113">
        <v>0</v>
      </c>
      <c r="K2194" s="113">
        <v>0.31531184099999998</v>
      </c>
      <c r="L2194" s="113">
        <v>0</v>
      </c>
      <c r="M2194" s="113">
        <v>0.302401961</v>
      </c>
      <c r="N2194" s="113">
        <v>0</v>
      </c>
      <c r="O2194" s="114" t="s">
        <v>821</v>
      </c>
    </row>
    <row r="2195" spans="1:15" x14ac:dyDescent="0.25">
      <c r="A2195" s="113" t="s">
        <v>54</v>
      </c>
      <c r="B2195" s="113" t="s">
        <v>81</v>
      </c>
      <c r="C2195" s="113">
        <v>-22</v>
      </c>
      <c r="D2195" s="113">
        <v>302.10000000000002</v>
      </c>
      <c r="E2195" s="113">
        <v>1</v>
      </c>
      <c r="F2195" s="113" t="s">
        <v>26</v>
      </c>
      <c r="G2195" s="113" t="s">
        <v>26</v>
      </c>
      <c r="H2195" s="113">
        <v>0</v>
      </c>
      <c r="I2195" s="113">
        <v>0</v>
      </c>
      <c r="K2195" s="113">
        <v>0.67330928300000004</v>
      </c>
      <c r="L2195" s="113">
        <v>0</v>
      </c>
      <c r="M2195" s="113">
        <v>0.64918945299999997</v>
      </c>
      <c r="N2195" s="113">
        <v>0</v>
      </c>
      <c r="O2195" s="114" t="s">
        <v>822</v>
      </c>
    </row>
    <row r="2196" spans="1:15" x14ac:dyDescent="0.25">
      <c r="A2196" s="113" t="s">
        <v>54</v>
      </c>
      <c r="B2196" s="113" t="s">
        <v>81</v>
      </c>
      <c r="C2196" s="113">
        <v>302</v>
      </c>
      <c r="D2196" s="113">
        <v>1400.1</v>
      </c>
      <c r="E2196" s="113">
        <v>0.1</v>
      </c>
      <c r="F2196" s="113" t="s">
        <v>26</v>
      </c>
      <c r="G2196" s="113" t="s">
        <v>26</v>
      </c>
      <c r="H2196" s="113">
        <v>0</v>
      </c>
      <c r="I2196" s="113">
        <v>0</v>
      </c>
      <c r="K2196" s="113">
        <v>0.36583836400000003</v>
      </c>
      <c r="L2196" s="113">
        <v>0</v>
      </c>
      <c r="M2196" s="113">
        <v>0.36274510900000001</v>
      </c>
      <c r="N2196" s="113">
        <v>0</v>
      </c>
      <c r="O2196" s="114" t="s">
        <v>823</v>
      </c>
    </row>
    <row r="2197" spans="1:15" x14ac:dyDescent="0.25">
      <c r="A2197" s="113" t="s">
        <v>54</v>
      </c>
      <c r="B2197" s="113" t="s">
        <v>81</v>
      </c>
      <c r="C2197" s="113">
        <v>302</v>
      </c>
      <c r="D2197" s="113">
        <v>1400.1</v>
      </c>
      <c r="E2197" s="113">
        <v>1</v>
      </c>
      <c r="F2197" s="113" t="s">
        <v>26</v>
      </c>
      <c r="G2197" s="113" t="s">
        <v>26</v>
      </c>
      <c r="H2197" s="113">
        <v>0</v>
      </c>
      <c r="I2197" s="113">
        <v>0</v>
      </c>
      <c r="K2197" s="113">
        <v>0.68600203500000001</v>
      </c>
      <c r="L2197" s="113">
        <v>0</v>
      </c>
      <c r="M2197" s="113">
        <v>0.679399745</v>
      </c>
      <c r="N2197" s="113">
        <v>0</v>
      </c>
      <c r="O2197" s="114" t="s">
        <v>824</v>
      </c>
    </row>
    <row r="2198" spans="1:15" x14ac:dyDescent="0.25">
      <c r="A2198" s="113" t="s">
        <v>54</v>
      </c>
      <c r="B2198" s="113" t="s">
        <v>81</v>
      </c>
      <c r="C2198" s="113">
        <v>1400</v>
      </c>
      <c r="D2198" s="113">
        <v>2192</v>
      </c>
      <c r="E2198" s="113">
        <v>0.1</v>
      </c>
      <c r="F2198" s="113" t="s">
        <v>26</v>
      </c>
      <c r="G2198" s="113" t="s">
        <v>26</v>
      </c>
      <c r="H2198" s="113">
        <v>0</v>
      </c>
      <c r="I2198" s="113">
        <v>0</v>
      </c>
      <c r="K2198" s="113">
        <v>0.487362028</v>
      </c>
      <c r="L2198" s="113">
        <v>0</v>
      </c>
      <c r="M2198" s="113">
        <v>0.48504438100000002</v>
      </c>
      <c r="N2198" s="113">
        <v>0</v>
      </c>
      <c r="O2198" s="114" t="s">
        <v>825</v>
      </c>
    </row>
    <row r="2199" spans="1:15" x14ac:dyDescent="0.25">
      <c r="A2199" s="113" t="s">
        <v>54</v>
      </c>
      <c r="B2199" s="113" t="s">
        <v>81</v>
      </c>
      <c r="C2199" s="113">
        <v>1400</v>
      </c>
      <c r="D2199" s="113">
        <v>2192</v>
      </c>
      <c r="E2199" s="113">
        <v>1</v>
      </c>
      <c r="F2199" s="113" t="s">
        <v>26</v>
      </c>
      <c r="G2199" s="113" t="s">
        <v>26</v>
      </c>
      <c r="H2199" s="113">
        <v>0</v>
      </c>
      <c r="I2199" s="113">
        <v>0</v>
      </c>
      <c r="K2199" s="113">
        <v>0.75781450900000003</v>
      </c>
      <c r="L2199" s="113">
        <v>0</v>
      </c>
      <c r="M2199" s="113">
        <v>0.75184310300000001</v>
      </c>
      <c r="N2199" s="113">
        <v>0</v>
      </c>
      <c r="O2199" s="114" t="s">
        <v>826</v>
      </c>
    </row>
    <row r="2200" spans="1:15" x14ac:dyDescent="0.25">
      <c r="A2200" s="113" t="s">
        <v>54</v>
      </c>
      <c r="B2200" s="113" t="s">
        <v>81</v>
      </c>
      <c r="C2200" s="113">
        <v>2192</v>
      </c>
      <c r="D2200" s="113">
        <v>2192.1</v>
      </c>
      <c r="E2200" s="113">
        <v>0.1</v>
      </c>
      <c r="F2200" s="113" t="s">
        <v>26</v>
      </c>
      <c r="G2200" s="113" t="s">
        <v>26</v>
      </c>
      <c r="H2200" s="113">
        <v>0</v>
      </c>
      <c r="I2200" s="113">
        <v>0</v>
      </c>
      <c r="K2200" s="113">
        <v>0.487362028</v>
      </c>
      <c r="L2200" s="113">
        <v>0</v>
      </c>
      <c r="M2200" s="113">
        <v>0.48504438100000002</v>
      </c>
      <c r="N2200" s="113">
        <v>0</v>
      </c>
      <c r="O2200" s="114" t="s">
        <v>827</v>
      </c>
    </row>
    <row r="2201" spans="1:15" x14ac:dyDescent="0.25">
      <c r="A2201" s="113" t="s">
        <v>54</v>
      </c>
      <c r="B2201" s="113" t="s">
        <v>81</v>
      </c>
      <c r="C2201" s="113">
        <v>2192</v>
      </c>
      <c r="D2201" s="113">
        <v>2192.1</v>
      </c>
      <c r="E2201" s="113">
        <v>1</v>
      </c>
      <c r="F2201" s="113" t="s">
        <v>26</v>
      </c>
      <c r="G2201" s="113" t="s">
        <v>26</v>
      </c>
      <c r="H2201" s="113">
        <v>0</v>
      </c>
      <c r="I2201" s="113">
        <v>0</v>
      </c>
      <c r="K2201" s="113">
        <v>0.75781450900000003</v>
      </c>
      <c r="L2201" s="113">
        <v>0</v>
      </c>
      <c r="M2201" s="113">
        <v>0.75184310300000001</v>
      </c>
      <c r="N2201" s="113">
        <v>0</v>
      </c>
      <c r="O2201" s="114" t="s">
        <v>828</v>
      </c>
    </row>
    <row r="2202" spans="1:15" x14ac:dyDescent="0.25">
      <c r="A2202" s="113" t="s">
        <v>54</v>
      </c>
      <c r="B2202" s="113" t="s">
        <v>82</v>
      </c>
      <c r="C2202" s="113">
        <v>-328</v>
      </c>
      <c r="D2202" s="113">
        <v>-147.9</v>
      </c>
      <c r="E2202" s="113">
        <v>0.1</v>
      </c>
      <c r="F2202" s="113" t="s">
        <v>26</v>
      </c>
      <c r="G2202" s="113" t="s">
        <v>26</v>
      </c>
      <c r="H2202" s="113">
        <v>0</v>
      </c>
      <c r="I2202" s="113">
        <v>0</v>
      </c>
      <c r="K2202" s="113">
        <v>0.70185549000000003</v>
      </c>
      <c r="L2202" s="113">
        <v>0</v>
      </c>
      <c r="M2202" s="113">
        <v>0.69127811699999997</v>
      </c>
      <c r="N2202" s="113">
        <v>0</v>
      </c>
      <c r="O2202" s="114" t="s">
        <v>805</v>
      </c>
    </row>
    <row r="2203" spans="1:15" x14ac:dyDescent="0.25">
      <c r="A2203" s="113" t="s">
        <v>54</v>
      </c>
      <c r="B2203" s="113" t="s">
        <v>82</v>
      </c>
      <c r="C2203" s="113">
        <v>-328</v>
      </c>
      <c r="D2203" s="113">
        <v>-147.9</v>
      </c>
      <c r="E2203" s="113">
        <v>1</v>
      </c>
      <c r="F2203" s="113" t="s">
        <v>26</v>
      </c>
      <c r="G2203" s="113" t="s">
        <v>26</v>
      </c>
      <c r="H2203" s="113">
        <v>0</v>
      </c>
      <c r="I2203" s="113">
        <v>0</v>
      </c>
      <c r="K2203" s="113">
        <v>0.93102535500000005</v>
      </c>
      <c r="L2203" s="113">
        <v>0</v>
      </c>
      <c r="M2203" s="113">
        <v>0.89881334800000001</v>
      </c>
      <c r="N2203" s="113">
        <v>0</v>
      </c>
      <c r="O2203" s="114" t="s">
        <v>806</v>
      </c>
    </row>
    <row r="2204" spans="1:15" x14ac:dyDescent="0.25">
      <c r="A2204" s="113" t="s">
        <v>54</v>
      </c>
      <c r="B2204" s="113" t="s">
        <v>82</v>
      </c>
      <c r="C2204" s="113">
        <v>-148</v>
      </c>
      <c r="D2204" s="113">
        <v>-12.9</v>
      </c>
      <c r="E2204" s="113">
        <v>0.1</v>
      </c>
      <c r="F2204" s="113" t="s">
        <v>26</v>
      </c>
      <c r="G2204" s="113" t="s">
        <v>26</v>
      </c>
      <c r="H2204" s="113">
        <v>0</v>
      </c>
      <c r="I2204" s="113">
        <v>0</v>
      </c>
      <c r="K2204" s="113">
        <v>0.40197575899999999</v>
      </c>
      <c r="L2204" s="113">
        <v>0</v>
      </c>
      <c r="M2204" s="113">
        <v>0.38320858099999999</v>
      </c>
      <c r="N2204" s="113">
        <v>0</v>
      </c>
      <c r="O2204" s="114" t="s">
        <v>807</v>
      </c>
    </row>
    <row r="2205" spans="1:15" x14ac:dyDescent="0.25">
      <c r="A2205" s="113" t="s">
        <v>54</v>
      </c>
      <c r="B2205" s="113" t="s">
        <v>82</v>
      </c>
      <c r="C2205" s="113">
        <v>-148</v>
      </c>
      <c r="D2205" s="113">
        <v>-12.9</v>
      </c>
      <c r="E2205" s="113">
        <v>1</v>
      </c>
      <c r="F2205" s="113" t="s">
        <v>26</v>
      </c>
      <c r="G2205" s="113" t="s">
        <v>26</v>
      </c>
      <c r="H2205" s="113">
        <v>0</v>
      </c>
      <c r="I2205" s="113">
        <v>0</v>
      </c>
      <c r="K2205" s="113">
        <v>0.73197786499999995</v>
      </c>
      <c r="L2205" s="113">
        <v>0</v>
      </c>
      <c r="M2205" s="113">
        <v>0.690542408</v>
      </c>
      <c r="N2205" s="113">
        <v>0</v>
      </c>
      <c r="O2205" s="114" t="s">
        <v>808</v>
      </c>
    </row>
    <row r="2206" spans="1:15" x14ac:dyDescent="0.25">
      <c r="A2206" s="113" t="s">
        <v>54</v>
      </c>
      <c r="B2206" s="113" t="s">
        <v>82</v>
      </c>
      <c r="C2206" s="113">
        <v>-13</v>
      </c>
      <c r="D2206" s="113">
        <v>248.1</v>
      </c>
      <c r="E2206" s="113">
        <v>0.1</v>
      </c>
      <c r="F2206" s="113" t="s">
        <v>26</v>
      </c>
      <c r="G2206" s="113" t="s">
        <v>26</v>
      </c>
      <c r="H2206" s="113">
        <v>0</v>
      </c>
      <c r="I2206" s="113">
        <v>0</v>
      </c>
      <c r="K2206" s="113">
        <v>0.35702451000000002</v>
      </c>
      <c r="L2206" s="113">
        <v>0</v>
      </c>
      <c r="M2206" s="113">
        <v>0.34265369699999998</v>
      </c>
      <c r="N2206" s="113">
        <v>0</v>
      </c>
      <c r="O2206" s="114" t="s">
        <v>809</v>
      </c>
    </row>
    <row r="2207" spans="1:15" x14ac:dyDescent="0.25">
      <c r="A2207" s="113" t="s">
        <v>54</v>
      </c>
      <c r="B2207" s="113" t="s">
        <v>82</v>
      </c>
      <c r="C2207" s="113">
        <v>-13</v>
      </c>
      <c r="D2207" s="113">
        <v>248.1</v>
      </c>
      <c r="E2207" s="113">
        <v>1</v>
      </c>
      <c r="F2207" s="113" t="s">
        <v>26</v>
      </c>
      <c r="G2207" s="113" t="s">
        <v>26</v>
      </c>
      <c r="H2207" s="113">
        <v>0</v>
      </c>
      <c r="I2207" s="113">
        <v>0</v>
      </c>
      <c r="K2207" s="113">
        <v>0.69830604600000001</v>
      </c>
      <c r="L2207" s="113">
        <v>0</v>
      </c>
      <c r="M2207" s="113">
        <v>0.66888829900000002</v>
      </c>
      <c r="N2207" s="113">
        <v>0</v>
      </c>
      <c r="O2207" s="114" t="s">
        <v>810</v>
      </c>
    </row>
    <row r="2208" spans="1:15" x14ac:dyDescent="0.25">
      <c r="A2208" s="113" t="s">
        <v>54</v>
      </c>
      <c r="B2208" s="113" t="s">
        <v>82</v>
      </c>
      <c r="C2208" s="113">
        <v>248</v>
      </c>
      <c r="D2208" s="113">
        <v>1832.1</v>
      </c>
      <c r="E2208" s="113">
        <v>0.1</v>
      </c>
      <c r="F2208" s="113" t="s">
        <v>26</v>
      </c>
      <c r="G2208" s="113" t="s">
        <v>26</v>
      </c>
      <c r="H2208" s="113">
        <v>0</v>
      </c>
      <c r="I2208" s="113">
        <v>0</v>
      </c>
      <c r="K2208" s="113">
        <v>0.55154780400000003</v>
      </c>
      <c r="L2208" s="113">
        <v>0</v>
      </c>
      <c r="M2208" s="113">
        <v>0.54665417400000005</v>
      </c>
      <c r="N2208" s="113">
        <v>0</v>
      </c>
      <c r="O2208" s="114" t="s">
        <v>811</v>
      </c>
    </row>
    <row r="2209" spans="1:15" x14ac:dyDescent="0.25">
      <c r="A2209" s="113" t="s">
        <v>54</v>
      </c>
      <c r="B2209" s="113" t="s">
        <v>82</v>
      </c>
      <c r="C2209" s="113">
        <v>248</v>
      </c>
      <c r="D2209" s="113">
        <v>1832.1</v>
      </c>
      <c r="E2209" s="113">
        <v>1</v>
      </c>
      <c r="F2209" s="113" t="s">
        <v>26</v>
      </c>
      <c r="G2209" s="113" t="s">
        <v>26</v>
      </c>
      <c r="H2209" s="113">
        <v>0</v>
      </c>
      <c r="I2209" s="113">
        <v>0</v>
      </c>
      <c r="K2209" s="113">
        <v>0.80642889500000003</v>
      </c>
      <c r="L2209" s="113">
        <v>0</v>
      </c>
      <c r="M2209" s="113">
        <v>0.792988515</v>
      </c>
      <c r="N2209" s="113">
        <v>0</v>
      </c>
      <c r="O2209" s="114" t="s">
        <v>812</v>
      </c>
    </row>
    <row r="2210" spans="1:15" x14ac:dyDescent="0.25">
      <c r="A2210" s="113" t="s">
        <v>54</v>
      </c>
      <c r="B2210" s="113" t="s">
        <v>82</v>
      </c>
      <c r="C2210" s="113">
        <v>1832</v>
      </c>
      <c r="D2210" s="113">
        <v>2500</v>
      </c>
      <c r="E2210" s="113">
        <v>0.1</v>
      </c>
      <c r="F2210" s="113" t="s">
        <v>26</v>
      </c>
      <c r="G2210" s="113" t="s">
        <v>26</v>
      </c>
      <c r="H2210" s="113">
        <v>0</v>
      </c>
      <c r="I2210" s="113">
        <v>0</v>
      </c>
      <c r="K2210" s="113">
        <v>0.83992544099999999</v>
      </c>
      <c r="L2210" s="113">
        <v>0</v>
      </c>
      <c r="M2210" s="113">
        <v>0.835476043</v>
      </c>
      <c r="N2210" s="113">
        <v>0</v>
      </c>
      <c r="O2210" s="114" t="s">
        <v>813</v>
      </c>
    </row>
    <row r="2211" spans="1:15" x14ac:dyDescent="0.25">
      <c r="A2211" s="113" t="s">
        <v>54</v>
      </c>
      <c r="B2211" s="113" t="s">
        <v>82</v>
      </c>
      <c r="C2211" s="113">
        <v>1832</v>
      </c>
      <c r="D2211" s="113">
        <v>2500</v>
      </c>
      <c r="E2211" s="113">
        <v>1</v>
      </c>
      <c r="F2211" s="113" t="s">
        <v>26</v>
      </c>
      <c r="G2211" s="113" t="s">
        <v>26</v>
      </c>
      <c r="H2211" s="113">
        <v>0</v>
      </c>
      <c r="I2211" s="113">
        <v>0</v>
      </c>
      <c r="K2211" s="113">
        <v>1.0285126790000001</v>
      </c>
      <c r="L2211" s="113">
        <v>0</v>
      </c>
      <c r="M2211" s="113">
        <v>1.013913319</v>
      </c>
      <c r="N2211" s="113">
        <v>0</v>
      </c>
      <c r="O2211" s="114" t="s">
        <v>814</v>
      </c>
    </row>
    <row r="2212" spans="1:15" x14ac:dyDescent="0.25">
      <c r="A2212" s="113" t="s">
        <v>54</v>
      </c>
      <c r="B2212" s="113" t="s">
        <v>82</v>
      </c>
      <c r="C2212" s="113">
        <v>2500</v>
      </c>
      <c r="D2212" s="113">
        <v>2500.1</v>
      </c>
      <c r="E2212" s="113">
        <v>0.1</v>
      </c>
      <c r="F2212" s="113" t="s">
        <v>26</v>
      </c>
      <c r="G2212" s="113" t="s">
        <v>26</v>
      </c>
      <c r="H2212" s="113">
        <v>0</v>
      </c>
      <c r="I2212" s="113">
        <v>0</v>
      </c>
      <c r="K2212" s="113">
        <v>0.83992544099999999</v>
      </c>
      <c r="L2212" s="113">
        <v>0</v>
      </c>
      <c r="M2212" s="113">
        <v>0.835476043</v>
      </c>
      <c r="N2212" s="113">
        <v>0</v>
      </c>
      <c r="O2212" s="114" t="s">
        <v>815</v>
      </c>
    </row>
    <row r="2213" spans="1:15" x14ac:dyDescent="0.25">
      <c r="A2213" s="113" t="s">
        <v>54</v>
      </c>
      <c r="B2213" s="113" t="s">
        <v>82</v>
      </c>
      <c r="C2213" s="113">
        <v>2500</v>
      </c>
      <c r="D2213" s="113">
        <v>2500.1</v>
      </c>
      <c r="E2213" s="113">
        <v>1</v>
      </c>
      <c r="F2213" s="113" t="s">
        <v>26</v>
      </c>
      <c r="G2213" s="113" t="s">
        <v>26</v>
      </c>
      <c r="H2213" s="113">
        <v>0</v>
      </c>
      <c r="I2213" s="113">
        <v>0</v>
      </c>
      <c r="K2213" s="113">
        <v>1.0285126790000001</v>
      </c>
      <c r="L2213" s="113">
        <v>0</v>
      </c>
      <c r="M2213" s="113">
        <v>1.013913319</v>
      </c>
      <c r="N2213" s="113">
        <v>0</v>
      </c>
      <c r="O2213" s="114" t="s">
        <v>816</v>
      </c>
    </row>
    <row r="2214" spans="1:15" x14ac:dyDescent="0.25">
      <c r="A2214" s="113" t="s">
        <v>54</v>
      </c>
      <c r="B2214" s="113" t="s">
        <v>83</v>
      </c>
      <c r="C2214" s="113">
        <v>-328</v>
      </c>
      <c r="D2214" s="113">
        <v>-147.9</v>
      </c>
      <c r="E2214" s="113">
        <v>0.1</v>
      </c>
      <c r="F2214" s="113" t="s">
        <v>26</v>
      </c>
      <c r="G2214" s="113" t="s">
        <v>26</v>
      </c>
      <c r="H2214" s="113">
        <v>0</v>
      </c>
      <c r="I2214" s="113">
        <v>0</v>
      </c>
      <c r="K2214" s="113">
        <v>0.84492191400000005</v>
      </c>
      <c r="L2214" s="113">
        <v>0</v>
      </c>
      <c r="M2214" s="113">
        <v>0.83553406799999996</v>
      </c>
      <c r="N2214" s="113">
        <v>0</v>
      </c>
      <c r="O2214" s="114" t="s">
        <v>793</v>
      </c>
    </row>
    <row r="2215" spans="1:15" x14ac:dyDescent="0.25">
      <c r="A2215" s="113" t="s">
        <v>54</v>
      </c>
      <c r="B2215" s="113" t="s">
        <v>83</v>
      </c>
      <c r="C2215" s="113">
        <v>-328</v>
      </c>
      <c r="D2215" s="113">
        <v>-147.9</v>
      </c>
      <c r="E2215" s="113">
        <v>1</v>
      </c>
      <c r="F2215" s="113" t="s">
        <v>26</v>
      </c>
      <c r="G2215" s="113" t="s">
        <v>26</v>
      </c>
      <c r="H2215" s="113">
        <v>0</v>
      </c>
      <c r="I2215" s="113">
        <v>0</v>
      </c>
      <c r="K2215" s="113">
        <v>1.0446150599999999</v>
      </c>
      <c r="L2215" s="113">
        <v>0</v>
      </c>
      <c r="M2215" s="113">
        <v>1.013961133</v>
      </c>
      <c r="N2215" s="113">
        <v>0</v>
      </c>
      <c r="O2215" s="114" t="s">
        <v>794</v>
      </c>
    </row>
    <row r="2216" spans="1:15" x14ac:dyDescent="0.25">
      <c r="A2216" s="113" t="s">
        <v>54</v>
      </c>
      <c r="B2216" s="113" t="s">
        <v>83</v>
      </c>
      <c r="C2216" s="113">
        <v>-148</v>
      </c>
      <c r="D2216" s="113">
        <v>-12.9</v>
      </c>
      <c r="E2216" s="113">
        <v>0.1</v>
      </c>
      <c r="F2216" s="113" t="s">
        <v>26</v>
      </c>
      <c r="G2216" s="113" t="s">
        <v>26</v>
      </c>
      <c r="H2216" s="113">
        <v>0</v>
      </c>
      <c r="I2216" s="113">
        <v>0</v>
      </c>
      <c r="K2216" s="113">
        <v>0.47673872299999998</v>
      </c>
      <c r="L2216" s="113">
        <v>0</v>
      </c>
      <c r="M2216" s="113">
        <v>0.46495666299999999</v>
      </c>
      <c r="N2216" s="113">
        <v>0</v>
      </c>
      <c r="O2216" s="114" t="s">
        <v>795</v>
      </c>
    </row>
    <row r="2217" spans="1:15" x14ac:dyDescent="0.25">
      <c r="A2217" s="113" t="s">
        <v>54</v>
      </c>
      <c r="B2217" s="113" t="s">
        <v>83</v>
      </c>
      <c r="C2217" s="113">
        <v>-148</v>
      </c>
      <c r="D2217" s="113">
        <v>-12.9</v>
      </c>
      <c r="E2217" s="113">
        <v>1</v>
      </c>
      <c r="F2217" s="113" t="s">
        <v>26</v>
      </c>
      <c r="G2217" s="113" t="s">
        <v>26</v>
      </c>
      <c r="H2217" s="113">
        <v>0</v>
      </c>
      <c r="I2217" s="113">
        <v>0</v>
      </c>
      <c r="K2217" s="113">
        <v>0.76848236400000003</v>
      </c>
      <c r="L2217" s="113">
        <v>0</v>
      </c>
      <c r="M2217" s="113">
        <v>0.73904309700000004</v>
      </c>
      <c r="N2217" s="113">
        <v>0</v>
      </c>
      <c r="O2217" s="114" t="s">
        <v>796</v>
      </c>
    </row>
    <row r="2218" spans="1:15" x14ac:dyDescent="0.25">
      <c r="A2218" s="113" t="s">
        <v>54</v>
      </c>
      <c r="B2218" s="113" t="s">
        <v>83</v>
      </c>
      <c r="C2218" s="113">
        <v>-13</v>
      </c>
      <c r="D2218" s="113">
        <v>248.1</v>
      </c>
      <c r="E2218" s="113">
        <v>0.1</v>
      </c>
      <c r="F2218" s="113" t="s">
        <v>26</v>
      </c>
      <c r="G2218" s="113" t="s">
        <v>26</v>
      </c>
      <c r="H2218" s="113">
        <v>0</v>
      </c>
      <c r="I2218" s="113">
        <v>0</v>
      </c>
      <c r="K2218" s="113">
        <v>0.41715274200000002</v>
      </c>
      <c r="L2218" s="113">
        <v>0</v>
      </c>
      <c r="M2218" s="113">
        <v>0.40363510699999999</v>
      </c>
      <c r="N2218" s="113">
        <v>0</v>
      </c>
      <c r="O2218" s="114" t="s">
        <v>797</v>
      </c>
    </row>
    <row r="2219" spans="1:15" x14ac:dyDescent="0.25">
      <c r="A2219" s="113" t="s">
        <v>54</v>
      </c>
      <c r="B2219" s="113" t="s">
        <v>83</v>
      </c>
      <c r="C2219" s="113">
        <v>-13</v>
      </c>
      <c r="D2219" s="113">
        <v>248.1</v>
      </c>
      <c r="E2219" s="113">
        <v>1</v>
      </c>
      <c r="F2219" s="113" t="s">
        <v>26</v>
      </c>
      <c r="G2219" s="113" t="s">
        <v>26</v>
      </c>
      <c r="H2219" s="113">
        <v>0</v>
      </c>
      <c r="I2219" s="113">
        <v>0</v>
      </c>
      <c r="K2219" s="113">
        <v>0.73300869300000004</v>
      </c>
      <c r="L2219" s="113">
        <v>0</v>
      </c>
      <c r="M2219" s="113">
        <v>0.70208354100000003</v>
      </c>
      <c r="N2219" s="113">
        <v>0</v>
      </c>
      <c r="O2219" s="114" t="s">
        <v>798</v>
      </c>
    </row>
    <row r="2220" spans="1:15" x14ac:dyDescent="0.25">
      <c r="A2220" s="113" t="s">
        <v>54</v>
      </c>
      <c r="B2220" s="113" t="s">
        <v>83</v>
      </c>
      <c r="C2220" s="113">
        <v>248</v>
      </c>
      <c r="D2220" s="113">
        <v>770.1</v>
      </c>
      <c r="E2220" s="113">
        <v>0.1</v>
      </c>
      <c r="F2220" s="113" t="s">
        <v>26</v>
      </c>
      <c r="G2220" s="113" t="s">
        <v>26</v>
      </c>
      <c r="H2220" s="113">
        <v>0</v>
      </c>
      <c r="I2220" s="113">
        <v>0</v>
      </c>
      <c r="K2220" s="113">
        <v>0.391502774</v>
      </c>
      <c r="L2220" s="113">
        <v>0</v>
      </c>
      <c r="M2220" s="113">
        <v>0.38322325200000001</v>
      </c>
      <c r="N2220" s="113">
        <v>0</v>
      </c>
      <c r="O2220" s="114" t="s">
        <v>799</v>
      </c>
    </row>
    <row r="2221" spans="1:15" x14ac:dyDescent="0.25">
      <c r="A2221" s="113" t="s">
        <v>54</v>
      </c>
      <c r="B2221" s="113" t="s">
        <v>83</v>
      </c>
      <c r="C2221" s="113">
        <v>248</v>
      </c>
      <c r="D2221" s="113">
        <v>770.1</v>
      </c>
      <c r="E2221" s="113">
        <v>1</v>
      </c>
      <c r="F2221" s="113" t="s">
        <v>26</v>
      </c>
      <c r="G2221" s="113" t="s">
        <v>26</v>
      </c>
      <c r="H2221" s="113">
        <v>0</v>
      </c>
      <c r="I2221" s="113">
        <v>0</v>
      </c>
      <c r="K2221" s="113">
        <v>0.70888469099999996</v>
      </c>
      <c r="L2221" s="113">
        <v>0</v>
      </c>
      <c r="M2221" s="113">
        <v>0.69055054900000001</v>
      </c>
      <c r="N2221" s="113">
        <v>0</v>
      </c>
      <c r="O2221" s="114" t="s">
        <v>800</v>
      </c>
    </row>
    <row r="2222" spans="1:15" x14ac:dyDescent="0.25">
      <c r="A2222" s="113" t="s">
        <v>54</v>
      </c>
      <c r="B2222" s="113" t="s">
        <v>83</v>
      </c>
      <c r="C2222" s="113">
        <v>770</v>
      </c>
      <c r="D2222" s="113">
        <v>2372</v>
      </c>
      <c r="E2222" s="113">
        <v>0.1</v>
      </c>
      <c r="F2222" s="113" t="s">
        <v>26</v>
      </c>
      <c r="G2222" s="113" t="s">
        <v>26</v>
      </c>
      <c r="H2222" s="113">
        <v>0</v>
      </c>
      <c r="I2222" s="113">
        <v>0</v>
      </c>
      <c r="K2222" s="113">
        <v>0.57284718899999998</v>
      </c>
      <c r="L2222" s="113">
        <v>0</v>
      </c>
      <c r="M2222" s="113">
        <v>0.567220893</v>
      </c>
      <c r="N2222" s="113">
        <v>0</v>
      </c>
      <c r="O2222" s="114" t="s">
        <v>801</v>
      </c>
    </row>
    <row r="2223" spans="1:15" x14ac:dyDescent="0.25">
      <c r="A2223" s="113" t="s">
        <v>54</v>
      </c>
      <c r="B2223" s="113" t="s">
        <v>83</v>
      </c>
      <c r="C2223" s="113">
        <v>770</v>
      </c>
      <c r="D2223" s="113">
        <v>2372</v>
      </c>
      <c r="E2223" s="113">
        <v>1</v>
      </c>
      <c r="F2223" s="113" t="s">
        <v>26</v>
      </c>
      <c r="G2223" s="113" t="s">
        <v>26</v>
      </c>
      <c r="H2223" s="113">
        <v>0</v>
      </c>
      <c r="I2223" s="113">
        <v>0</v>
      </c>
      <c r="K2223" s="113">
        <v>0.82304130200000003</v>
      </c>
      <c r="L2223" s="113">
        <v>0</v>
      </c>
      <c r="M2223" s="113">
        <v>0.80730387100000001</v>
      </c>
      <c r="N2223" s="113">
        <v>0</v>
      </c>
      <c r="O2223" s="114" t="s">
        <v>802</v>
      </c>
    </row>
    <row r="2224" spans="1:15" x14ac:dyDescent="0.25">
      <c r="A2224" s="113" t="s">
        <v>54</v>
      </c>
      <c r="B2224" s="113" t="s">
        <v>83</v>
      </c>
      <c r="C2224" s="113">
        <v>2372</v>
      </c>
      <c r="D2224" s="113">
        <v>2372.1</v>
      </c>
      <c r="E2224" s="113">
        <v>0.1</v>
      </c>
      <c r="F2224" s="113" t="s">
        <v>26</v>
      </c>
      <c r="G2224" s="113" t="s">
        <v>26</v>
      </c>
      <c r="H2224" s="113">
        <v>0</v>
      </c>
      <c r="I2224" s="113">
        <v>0</v>
      </c>
      <c r="K2224" s="113">
        <v>0.57284718899999998</v>
      </c>
      <c r="L2224" s="113">
        <v>0</v>
      </c>
      <c r="M2224" s="113">
        <v>0.567220893</v>
      </c>
      <c r="N2224" s="113">
        <v>0</v>
      </c>
      <c r="O2224" s="114" t="s">
        <v>803</v>
      </c>
    </row>
    <row r="2225" spans="1:15" x14ac:dyDescent="0.25">
      <c r="A2225" s="113" t="s">
        <v>54</v>
      </c>
      <c r="B2225" s="113" t="s">
        <v>83</v>
      </c>
      <c r="C2225" s="113">
        <v>2372</v>
      </c>
      <c r="D2225" s="113">
        <v>2372.1</v>
      </c>
      <c r="E2225" s="113">
        <v>1</v>
      </c>
      <c r="F2225" s="113" t="s">
        <v>26</v>
      </c>
      <c r="G2225" s="113" t="s">
        <v>26</v>
      </c>
      <c r="H2225" s="113">
        <v>0</v>
      </c>
      <c r="I2225" s="113">
        <v>0</v>
      </c>
      <c r="K2225" s="113">
        <v>0.82304130200000003</v>
      </c>
      <c r="L2225" s="113">
        <v>0</v>
      </c>
      <c r="M2225" s="113">
        <v>0.80730387100000001</v>
      </c>
      <c r="N2225" s="113">
        <v>0</v>
      </c>
      <c r="O2225" s="114" t="s">
        <v>804</v>
      </c>
    </row>
    <row r="2226" spans="1:15" x14ac:dyDescent="0.25">
      <c r="A2226" s="113" t="s">
        <v>54</v>
      </c>
      <c r="B2226" s="113" t="s">
        <v>87</v>
      </c>
      <c r="C2226" s="113">
        <v>-328</v>
      </c>
      <c r="D2226" s="113">
        <v>32.1</v>
      </c>
      <c r="E2226" s="113">
        <v>0.1</v>
      </c>
      <c r="F2226" s="113" t="s">
        <v>26</v>
      </c>
      <c r="G2226" s="113" t="s">
        <v>26</v>
      </c>
      <c r="H2226" s="113">
        <v>0</v>
      </c>
      <c r="I2226" s="113">
        <v>0</v>
      </c>
      <c r="K2226" s="113">
        <v>0.219284594</v>
      </c>
      <c r="L2226" s="113">
        <v>0</v>
      </c>
      <c r="M2226" s="113">
        <v>0.190436296</v>
      </c>
      <c r="N2226" s="113">
        <v>0</v>
      </c>
      <c r="O2226" s="114" t="s">
        <v>779</v>
      </c>
    </row>
    <row r="2227" spans="1:15" x14ac:dyDescent="0.25">
      <c r="A2227" s="113" t="s">
        <v>54</v>
      </c>
      <c r="B2227" s="113" t="s">
        <v>87</v>
      </c>
      <c r="C2227" s="113">
        <v>-328</v>
      </c>
      <c r="D2227" s="113">
        <v>32.1</v>
      </c>
      <c r="E2227" s="113">
        <v>1</v>
      </c>
      <c r="F2227" s="113" t="s">
        <v>26</v>
      </c>
      <c r="G2227" s="113" t="s">
        <v>26</v>
      </c>
      <c r="H2227" s="113">
        <v>0</v>
      </c>
      <c r="I2227" s="113">
        <v>0</v>
      </c>
      <c r="K2227" s="113">
        <v>0.60123441600000005</v>
      </c>
      <c r="L2227" s="113">
        <v>0</v>
      </c>
      <c r="M2227" s="113">
        <v>0.58897414100000001</v>
      </c>
      <c r="N2227" s="113">
        <v>0</v>
      </c>
      <c r="O2227" s="114" t="s">
        <v>780</v>
      </c>
    </row>
    <row r="2228" spans="1:15" x14ac:dyDescent="0.25">
      <c r="A2228" s="113" t="s">
        <v>54</v>
      </c>
      <c r="B2228" s="113" t="s">
        <v>87</v>
      </c>
      <c r="C2228" s="113">
        <v>32</v>
      </c>
      <c r="D2228" s="113">
        <v>212.1</v>
      </c>
      <c r="E2228" s="113">
        <v>0.1</v>
      </c>
      <c r="F2228" s="113" t="s">
        <v>26</v>
      </c>
      <c r="G2228" s="113" t="s">
        <v>26</v>
      </c>
      <c r="H2228" s="113">
        <v>0</v>
      </c>
      <c r="I2228" s="113">
        <v>0</v>
      </c>
      <c r="K2228" s="113">
        <v>0.28536871200000002</v>
      </c>
      <c r="L2228" s="113">
        <v>0</v>
      </c>
      <c r="M2228" s="113">
        <v>0.26384759099999999</v>
      </c>
      <c r="N2228" s="113">
        <v>0</v>
      </c>
      <c r="O2228" s="114" t="s">
        <v>781</v>
      </c>
    </row>
    <row r="2229" spans="1:15" x14ac:dyDescent="0.25">
      <c r="A2229" s="113" t="s">
        <v>54</v>
      </c>
      <c r="B2229" s="113" t="s">
        <v>87</v>
      </c>
      <c r="C2229" s="113">
        <v>32</v>
      </c>
      <c r="D2229" s="113">
        <v>212.1</v>
      </c>
      <c r="E2229" s="113">
        <v>1</v>
      </c>
      <c r="F2229" s="113" t="s">
        <v>26</v>
      </c>
      <c r="G2229" s="113" t="s">
        <v>26</v>
      </c>
      <c r="H2229" s="113">
        <v>0</v>
      </c>
      <c r="I2229" s="113">
        <v>0</v>
      </c>
      <c r="K2229" s="113">
        <v>0.611006049</v>
      </c>
      <c r="L2229" s="113">
        <v>0</v>
      </c>
      <c r="M2229" s="113">
        <v>0.59894583000000001</v>
      </c>
      <c r="N2229" s="113">
        <v>0</v>
      </c>
      <c r="O2229" s="114" t="s">
        <v>782</v>
      </c>
    </row>
    <row r="2230" spans="1:15" x14ac:dyDescent="0.25">
      <c r="A2230" s="113" t="s">
        <v>54</v>
      </c>
      <c r="B2230" s="113" t="s">
        <v>87</v>
      </c>
      <c r="C2230" s="113">
        <v>212</v>
      </c>
      <c r="D2230" s="113">
        <v>572.1</v>
      </c>
      <c r="E2230" s="113">
        <v>0.1</v>
      </c>
      <c r="F2230" s="113" t="s">
        <v>26</v>
      </c>
      <c r="G2230" s="113" t="s">
        <v>26</v>
      </c>
      <c r="H2230" s="113">
        <v>0</v>
      </c>
      <c r="I2230" s="113">
        <v>0</v>
      </c>
      <c r="K2230" s="113">
        <v>0.28536871200000002</v>
      </c>
      <c r="L2230" s="113">
        <v>0</v>
      </c>
      <c r="M2230" s="113">
        <v>0.26384759099999999</v>
      </c>
      <c r="N2230" s="113">
        <v>0</v>
      </c>
      <c r="O2230" s="114" t="s">
        <v>783</v>
      </c>
    </row>
    <row r="2231" spans="1:15" x14ac:dyDescent="0.25">
      <c r="A2231" s="113" t="s">
        <v>54</v>
      </c>
      <c r="B2231" s="113" t="s">
        <v>87</v>
      </c>
      <c r="C2231" s="113">
        <v>212</v>
      </c>
      <c r="D2231" s="113">
        <v>572.1</v>
      </c>
      <c r="E2231" s="113">
        <v>1</v>
      </c>
      <c r="F2231" s="113" t="s">
        <v>26</v>
      </c>
      <c r="G2231" s="113" t="s">
        <v>26</v>
      </c>
      <c r="H2231" s="113">
        <v>0</v>
      </c>
      <c r="I2231" s="113">
        <v>0</v>
      </c>
      <c r="K2231" s="113">
        <v>0.611006049</v>
      </c>
      <c r="L2231" s="113">
        <v>0</v>
      </c>
      <c r="M2231" s="113">
        <v>0.59894583000000001</v>
      </c>
      <c r="N2231" s="113">
        <v>0</v>
      </c>
      <c r="O2231" s="114" t="s">
        <v>784</v>
      </c>
    </row>
    <row r="2232" spans="1:15" x14ac:dyDescent="0.25">
      <c r="A2232" s="113" t="s">
        <v>54</v>
      </c>
      <c r="B2232" s="113" t="s">
        <v>87</v>
      </c>
      <c r="C2232" s="113">
        <v>572</v>
      </c>
      <c r="D2232" s="113">
        <v>752.1</v>
      </c>
      <c r="E2232" s="113">
        <v>0.1</v>
      </c>
      <c r="F2232" s="113" t="s">
        <v>26</v>
      </c>
      <c r="G2232" s="113" t="s">
        <v>26</v>
      </c>
      <c r="H2232" s="113">
        <v>0</v>
      </c>
      <c r="I2232" s="113">
        <v>0</v>
      </c>
      <c r="K2232" s="113">
        <v>0.39011774900000001</v>
      </c>
      <c r="L2232" s="113">
        <v>0</v>
      </c>
      <c r="M2232" s="113">
        <v>0.37466265900000001</v>
      </c>
      <c r="N2232" s="113">
        <v>0</v>
      </c>
      <c r="O2232" s="114" t="s">
        <v>785</v>
      </c>
    </row>
    <row r="2233" spans="1:15" x14ac:dyDescent="0.25">
      <c r="A2233" s="113" t="s">
        <v>54</v>
      </c>
      <c r="B2233" s="113" t="s">
        <v>87</v>
      </c>
      <c r="C2233" s="113">
        <v>572</v>
      </c>
      <c r="D2233" s="113">
        <v>752.1</v>
      </c>
      <c r="E2233" s="113">
        <v>1</v>
      </c>
      <c r="F2233" s="113" t="s">
        <v>26</v>
      </c>
      <c r="G2233" s="113" t="s">
        <v>26</v>
      </c>
      <c r="H2233" s="113">
        <v>0</v>
      </c>
      <c r="I2233" s="113">
        <v>0</v>
      </c>
      <c r="K2233" s="113">
        <v>0.63118059900000001</v>
      </c>
      <c r="L2233" s="113">
        <v>0</v>
      </c>
      <c r="M2233" s="113">
        <v>0.61951324699999999</v>
      </c>
      <c r="N2233" s="113">
        <v>0</v>
      </c>
      <c r="O2233" s="114" t="s">
        <v>786</v>
      </c>
    </row>
    <row r="2234" spans="1:15" x14ac:dyDescent="0.25">
      <c r="A2234" s="113" t="s">
        <v>54</v>
      </c>
      <c r="B2234" s="113" t="s">
        <v>87</v>
      </c>
      <c r="C2234" s="113">
        <v>752</v>
      </c>
      <c r="D2234" s="113">
        <v>1166.0999999999999</v>
      </c>
      <c r="E2234" s="113">
        <v>0.1</v>
      </c>
      <c r="F2234" s="113" t="s">
        <v>26</v>
      </c>
      <c r="G2234" s="113" t="s">
        <v>26</v>
      </c>
      <c r="H2234" s="113">
        <v>0</v>
      </c>
      <c r="I2234" s="113">
        <v>0</v>
      </c>
      <c r="K2234" s="113">
        <v>0.45987010699999997</v>
      </c>
      <c r="L2234" s="113">
        <v>0</v>
      </c>
      <c r="M2234" s="113">
        <v>0.44683415799999998</v>
      </c>
      <c r="N2234" s="113">
        <v>0</v>
      </c>
      <c r="O2234" s="114" t="s">
        <v>787</v>
      </c>
    </row>
    <row r="2235" spans="1:15" x14ac:dyDescent="0.25">
      <c r="A2235" s="113" t="s">
        <v>54</v>
      </c>
      <c r="B2235" s="113" t="s">
        <v>87</v>
      </c>
      <c r="C2235" s="113">
        <v>752</v>
      </c>
      <c r="D2235" s="113">
        <v>1166.0999999999999</v>
      </c>
      <c r="E2235" s="113">
        <v>1</v>
      </c>
      <c r="F2235" s="113" t="s">
        <v>26</v>
      </c>
      <c r="G2235" s="113" t="s">
        <v>26</v>
      </c>
      <c r="H2235" s="113">
        <v>0</v>
      </c>
      <c r="I2235" s="113">
        <v>0</v>
      </c>
      <c r="K2235" s="113">
        <v>0.64672529300000003</v>
      </c>
      <c r="L2235" s="113">
        <v>0</v>
      </c>
      <c r="M2235" s="113">
        <v>0.63534346600000002</v>
      </c>
      <c r="N2235" s="113">
        <v>0</v>
      </c>
      <c r="O2235" s="114" t="s">
        <v>788</v>
      </c>
    </row>
    <row r="2236" spans="1:15" x14ac:dyDescent="0.25">
      <c r="A2236" s="113" t="s">
        <v>54</v>
      </c>
      <c r="B2236" s="113" t="s">
        <v>87</v>
      </c>
      <c r="C2236" s="113">
        <v>1166</v>
      </c>
      <c r="D2236" s="113">
        <v>1472</v>
      </c>
      <c r="E2236" s="113">
        <v>0.1</v>
      </c>
      <c r="F2236" s="113" t="s">
        <v>26</v>
      </c>
      <c r="G2236" s="113" t="s">
        <v>26</v>
      </c>
      <c r="H2236" s="113">
        <v>0</v>
      </c>
      <c r="I2236" s="113">
        <v>0</v>
      </c>
      <c r="K2236" s="113">
        <v>0.77811255300000004</v>
      </c>
      <c r="L2236" s="113">
        <v>0</v>
      </c>
      <c r="M2236" s="113">
        <v>0.77047997700000004</v>
      </c>
      <c r="N2236" s="113">
        <v>0</v>
      </c>
      <c r="O2236" s="114" t="s">
        <v>789</v>
      </c>
    </row>
    <row r="2237" spans="1:15" x14ac:dyDescent="0.25">
      <c r="A2237" s="113" t="s">
        <v>54</v>
      </c>
      <c r="B2237" s="113" t="s">
        <v>87</v>
      </c>
      <c r="C2237" s="113">
        <v>1166</v>
      </c>
      <c r="D2237" s="113">
        <v>1472</v>
      </c>
      <c r="E2237" s="113">
        <v>1</v>
      </c>
      <c r="F2237" s="113" t="s">
        <v>26</v>
      </c>
      <c r="G2237" s="113" t="s">
        <v>26</v>
      </c>
      <c r="H2237" s="113">
        <v>0</v>
      </c>
      <c r="I2237" s="113">
        <v>0</v>
      </c>
      <c r="K2237" s="113">
        <v>0.73899948299999996</v>
      </c>
      <c r="L2237" s="113">
        <v>0</v>
      </c>
      <c r="M2237" s="113">
        <v>0.72905963500000004</v>
      </c>
      <c r="N2237" s="113">
        <v>0</v>
      </c>
      <c r="O2237" s="114" t="s">
        <v>790</v>
      </c>
    </row>
    <row r="2238" spans="1:15" x14ac:dyDescent="0.25">
      <c r="A2238" s="113" t="s">
        <v>54</v>
      </c>
      <c r="B2238" s="113" t="s">
        <v>87</v>
      </c>
      <c r="C2238" s="113">
        <v>1472</v>
      </c>
      <c r="D2238" s="113">
        <v>1472.1</v>
      </c>
      <c r="E2238" s="113">
        <v>0.1</v>
      </c>
      <c r="F2238" s="113" t="s">
        <v>26</v>
      </c>
      <c r="G2238" s="113" t="s">
        <v>26</v>
      </c>
      <c r="H2238" s="113">
        <v>0</v>
      </c>
      <c r="I2238" s="113">
        <v>0</v>
      </c>
      <c r="K2238" s="113">
        <v>0.77811255300000004</v>
      </c>
      <c r="L2238" s="113">
        <v>0</v>
      </c>
      <c r="M2238" s="113">
        <v>0.77047997700000004</v>
      </c>
      <c r="N2238" s="113">
        <v>0</v>
      </c>
      <c r="O2238" s="114" t="s">
        <v>791</v>
      </c>
    </row>
    <row r="2239" spans="1:15" x14ac:dyDescent="0.25">
      <c r="A2239" s="113" t="s">
        <v>54</v>
      </c>
      <c r="B2239" s="113" t="s">
        <v>87</v>
      </c>
      <c r="C2239" s="113">
        <v>1472</v>
      </c>
      <c r="D2239" s="113">
        <v>1472.1</v>
      </c>
      <c r="E2239" s="113">
        <v>1</v>
      </c>
      <c r="F2239" s="113" t="s">
        <v>26</v>
      </c>
      <c r="G2239" s="113" t="s">
        <v>26</v>
      </c>
      <c r="H2239" s="113">
        <v>0</v>
      </c>
      <c r="I2239" s="113">
        <v>0</v>
      </c>
      <c r="K2239" s="113">
        <v>0.73899948299999996</v>
      </c>
      <c r="L2239" s="113">
        <v>0</v>
      </c>
      <c r="M2239" s="113">
        <v>0.72905963500000004</v>
      </c>
      <c r="N2239" s="113">
        <v>0</v>
      </c>
      <c r="O2239" s="114" t="s">
        <v>792</v>
      </c>
    </row>
    <row r="2240" spans="1:15" x14ac:dyDescent="0.25">
      <c r="A2240" s="113" t="s">
        <v>54</v>
      </c>
      <c r="B2240" s="113" t="s">
        <v>88</v>
      </c>
      <c r="C2240" s="113">
        <v>-328</v>
      </c>
      <c r="D2240" s="113">
        <v>32.1</v>
      </c>
      <c r="E2240" s="113">
        <v>0.1</v>
      </c>
      <c r="F2240" s="113" t="s">
        <v>26</v>
      </c>
      <c r="G2240" s="113" t="s">
        <v>26</v>
      </c>
      <c r="H2240" s="113">
        <v>0</v>
      </c>
      <c r="I2240" s="113">
        <v>0</v>
      </c>
      <c r="K2240" s="113">
        <v>0.16401347099999999</v>
      </c>
      <c r="L2240" s="113">
        <v>0</v>
      </c>
      <c r="M2240" s="113">
        <v>0.12280337299999999</v>
      </c>
      <c r="N2240" s="113">
        <v>0</v>
      </c>
      <c r="O2240" s="114" t="s">
        <v>764</v>
      </c>
    </row>
    <row r="2241" spans="1:15" x14ac:dyDescent="0.25">
      <c r="A2241" s="113" t="s">
        <v>54</v>
      </c>
      <c r="B2241" s="113" t="s">
        <v>88</v>
      </c>
      <c r="C2241" s="113">
        <v>-328</v>
      </c>
      <c r="D2241" s="113">
        <v>32.1</v>
      </c>
      <c r="E2241" s="113">
        <v>1</v>
      </c>
      <c r="F2241" s="113" t="s">
        <v>26</v>
      </c>
      <c r="G2241" s="113" t="s">
        <v>26</v>
      </c>
      <c r="H2241" s="113">
        <v>0</v>
      </c>
      <c r="I2241" s="113">
        <v>0</v>
      </c>
      <c r="K2241" s="113">
        <v>0.59551113200000005</v>
      </c>
      <c r="L2241" s="113">
        <v>0</v>
      </c>
      <c r="M2241" s="113">
        <v>0.58313053800000003</v>
      </c>
      <c r="N2241" s="113">
        <v>0</v>
      </c>
      <c r="O2241" s="114" t="s">
        <v>765</v>
      </c>
    </row>
    <row r="2242" spans="1:15" x14ac:dyDescent="0.25">
      <c r="A2242" s="113" t="s">
        <v>54</v>
      </c>
      <c r="B2242" s="113" t="s">
        <v>88</v>
      </c>
      <c r="C2242" s="113">
        <v>32</v>
      </c>
      <c r="D2242" s="113">
        <v>212.1</v>
      </c>
      <c r="E2242" s="113">
        <v>0.1</v>
      </c>
      <c r="F2242" s="113" t="s">
        <v>26</v>
      </c>
      <c r="G2242" s="113" t="s">
        <v>26</v>
      </c>
      <c r="H2242" s="113">
        <v>0</v>
      </c>
      <c r="I2242" s="113">
        <v>0</v>
      </c>
      <c r="K2242" s="113">
        <v>0.19201475800000001</v>
      </c>
      <c r="L2242" s="113">
        <v>0</v>
      </c>
      <c r="M2242" s="113">
        <v>0.15827165600000001</v>
      </c>
      <c r="N2242" s="113">
        <v>0</v>
      </c>
      <c r="O2242" s="114" t="s">
        <v>766</v>
      </c>
    </row>
    <row r="2243" spans="1:15" x14ac:dyDescent="0.25">
      <c r="A2243" s="113" t="s">
        <v>54</v>
      </c>
      <c r="B2243" s="113" t="s">
        <v>88</v>
      </c>
      <c r="C2243" s="113">
        <v>212</v>
      </c>
      <c r="D2243" s="113">
        <v>500.1</v>
      </c>
      <c r="E2243" s="113">
        <v>0.1</v>
      </c>
      <c r="F2243" s="113" t="s">
        <v>26</v>
      </c>
      <c r="G2243" s="113" t="s">
        <v>26</v>
      </c>
      <c r="H2243" s="113">
        <v>0</v>
      </c>
      <c r="I2243" s="113">
        <v>0</v>
      </c>
      <c r="K2243" s="113">
        <v>0.19201475800000001</v>
      </c>
      <c r="L2243" s="113">
        <v>0</v>
      </c>
      <c r="M2243" s="113">
        <v>0.15827165600000001</v>
      </c>
      <c r="N2243" s="113">
        <v>0</v>
      </c>
      <c r="O2243" s="114" t="s">
        <v>767</v>
      </c>
    </row>
    <row r="2244" spans="1:15" x14ac:dyDescent="0.25">
      <c r="A2244" s="113" t="s">
        <v>54</v>
      </c>
      <c r="B2244" s="113" t="s">
        <v>88</v>
      </c>
      <c r="C2244" s="113">
        <v>212</v>
      </c>
      <c r="D2244" s="113">
        <v>500.1</v>
      </c>
      <c r="E2244" s="113">
        <v>1</v>
      </c>
      <c r="F2244" s="113" t="s">
        <v>26</v>
      </c>
      <c r="G2244" s="113" t="s">
        <v>26</v>
      </c>
      <c r="H2244" s="113">
        <v>0</v>
      </c>
      <c r="I2244" s="113">
        <v>0</v>
      </c>
      <c r="K2244" s="113">
        <v>0.59860734800000004</v>
      </c>
      <c r="L2244" s="113">
        <v>0</v>
      </c>
      <c r="M2244" s="113">
        <v>0.58629213899999999</v>
      </c>
      <c r="N2244" s="113">
        <v>0</v>
      </c>
      <c r="O2244" s="114" t="s">
        <v>768</v>
      </c>
    </row>
    <row r="2245" spans="1:15" x14ac:dyDescent="0.25">
      <c r="A2245" s="113" t="s">
        <v>54</v>
      </c>
      <c r="B2245" s="113" t="s">
        <v>88</v>
      </c>
      <c r="C2245" s="113">
        <v>500</v>
      </c>
      <c r="D2245" s="113">
        <v>572.1</v>
      </c>
      <c r="E2245" s="113">
        <v>0.1</v>
      </c>
      <c r="F2245" s="113" t="s">
        <v>26</v>
      </c>
      <c r="G2245" s="113" t="s">
        <v>26</v>
      </c>
      <c r="H2245" s="113">
        <v>0</v>
      </c>
      <c r="I2245" s="113">
        <v>0</v>
      </c>
      <c r="K2245" s="113">
        <v>0.26189677900000002</v>
      </c>
      <c r="L2245" s="113">
        <v>0</v>
      </c>
      <c r="M2245" s="113">
        <v>0.23826491999999999</v>
      </c>
      <c r="N2245" s="113">
        <v>0</v>
      </c>
      <c r="O2245" s="114" t="s">
        <v>769</v>
      </c>
    </row>
    <row r="2246" spans="1:15" x14ac:dyDescent="0.25">
      <c r="A2246" s="113" t="s">
        <v>54</v>
      </c>
      <c r="B2246" s="113" t="s">
        <v>88</v>
      </c>
      <c r="C2246" s="113">
        <v>500</v>
      </c>
      <c r="D2246" s="113">
        <v>572.1</v>
      </c>
      <c r="E2246" s="113">
        <v>1</v>
      </c>
      <c r="F2246" s="113" t="s">
        <v>26</v>
      </c>
      <c r="G2246" s="113" t="s">
        <v>26</v>
      </c>
      <c r="H2246" s="113">
        <v>0</v>
      </c>
      <c r="I2246" s="113">
        <v>0</v>
      </c>
      <c r="K2246" s="113">
        <v>0.61002542000000004</v>
      </c>
      <c r="L2246" s="113">
        <v>0</v>
      </c>
      <c r="M2246" s="113">
        <v>0.597945422</v>
      </c>
      <c r="N2246" s="113">
        <v>0</v>
      </c>
      <c r="O2246" s="114" t="s">
        <v>770</v>
      </c>
    </row>
    <row r="2247" spans="1:15" x14ac:dyDescent="0.25">
      <c r="A2247" s="113" t="s">
        <v>54</v>
      </c>
      <c r="B2247" s="113" t="s">
        <v>88</v>
      </c>
      <c r="C2247" s="113">
        <v>572</v>
      </c>
      <c r="D2247" s="113">
        <v>752.1</v>
      </c>
      <c r="E2247" s="113">
        <v>0.1</v>
      </c>
      <c r="F2247" s="113" t="s">
        <v>26</v>
      </c>
      <c r="G2247" s="113" t="s">
        <v>26</v>
      </c>
      <c r="H2247" s="113">
        <v>0</v>
      </c>
      <c r="I2247" s="113">
        <v>0</v>
      </c>
      <c r="K2247" s="113">
        <v>0.29342095699999998</v>
      </c>
      <c r="L2247" s="113">
        <v>0</v>
      </c>
      <c r="M2247" s="113">
        <v>0.27253643399999999</v>
      </c>
      <c r="N2247" s="113">
        <v>0</v>
      </c>
      <c r="O2247" s="114" t="s">
        <v>771</v>
      </c>
    </row>
    <row r="2248" spans="1:15" x14ac:dyDescent="0.25">
      <c r="A2248" s="113" t="s">
        <v>54</v>
      </c>
      <c r="B2248" s="113" t="s">
        <v>88</v>
      </c>
      <c r="C2248" s="113">
        <v>572</v>
      </c>
      <c r="D2248" s="113">
        <v>752.1</v>
      </c>
      <c r="E2248" s="113">
        <v>1</v>
      </c>
      <c r="F2248" s="113" t="s">
        <v>26</v>
      </c>
      <c r="G2248" s="113" t="s">
        <v>26</v>
      </c>
      <c r="H2248" s="113">
        <v>0</v>
      </c>
      <c r="I2248" s="113">
        <v>0</v>
      </c>
      <c r="K2248" s="113">
        <v>0.61480805800000005</v>
      </c>
      <c r="L2248" s="113">
        <v>0</v>
      </c>
      <c r="M2248" s="113">
        <v>0.60282390799999996</v>
      </c>
      <c r="N2248" s="113">
        <v>0</v>
      </c>
      <c r="O2248" s="114" t="s">
        <v>772</v>
      </c>
    </row>
    <row r="2249" spans="1:15" x14ac:dyDescent="0.25">
      <c r="A2249" s="113" t="s">
        <v>54</v>
      </c>
      <c r="B2249" s="113" t="s">
        <v>88</v>
      </c>
      <c r="C2249" s="113">
        <v>752</v>
      </c>
      <c r="D2249" s="113">
        <v>1112.0999999999999</v>
      </c>
      <c r="E2249" s="113">
        <v>0.1</v>
      </c>
      <c r="F2249" s="113" t="s">
        <v>26</v>
      </c>
      <c r="G2249" s="113" t="s">
        <v>26</v>
      </c>
      <c r="H2249" s="113">
        <v>0</v>
      </c>
      <c r="I2249" s="113">
        <v>0</v>
      </c>
      <c r="K2249" s="113">
        <v>0.29725496600000001</v>
      </c>
      <c r="L2249" s="113">
        <v>0</v>
      </c>
      <c r="M2249" s="113">
        <v>0.27666001600000001</v>
      </c>
      <c r="N2249" s="113">
        <v>0</v>
      </c>
      <c r="O2249" s="114" t="s">
        <v>773</v>
      </c>
    </row>
    <row r="2250" spans="1:15" x14ac:dyDescent="0.25">
      <c r="A2250" s="113" t="s">
        <v>54</v>
      </c>
      <c r="B2250" s="113" t="s">
        <v>88</v>
      </c>
      <c r="C2250" s="113">
        <v>752</v>
      </c>
      <c r="D2250" s="113">
        <v>1112.0999999999999</v>
      </c>
      <c r="E2250" s="113">
        <v>1</v>
      </c>
      <c r="F2250" s="113" t="s">
        <v>26</v>
      </c>
      <c r="G2250" s="113" t="s">
        <v>26</v>
      </c>
      <c r="H2250" s="113">
        <v>0</v>
      </c>
      <c r="I2250" s="113">
        <v>0</v>
      </c>
      <c r="K2250" s="113">
        <v>0.61664706700000005</v>
      </c>
      <c r="L2250" s="113">
        <v>0</v>
      </c>
      <c r="M2250" s="113">
        <v>0.60469936400000002</v>
      </c>
      <c r="N2250" s="113">
        <v>0</v>
      </c>
      <c r="O2250" s="114" t="s">
        <v>774</v>
      </c>
    </row>
    <row r="2251" spans="1:15" x14ac:dyDescent="0.25">
      <c r="A2251" s="113" t="s">
        <v>54</v>
      </c>
      <c r="B2251" s="113" t="s">
        <v>88</v>
      </c>
      <c r="C2251" s="113">
        <v>1112</v>
      </c>
      <c r="D2251" s="113">
        <v>1166</v>
      </c>
      <c r="E2251" s="113">
        <v>0.1</v>
      </c>
      <c r="F2251" s="113" t="s">
        <v>26</v>
      </c>
      <c r="G2251" s="113" t="s">
        <v>26</v>
      </c>
      <c r="H2251" s="113">
        <v>0</v>
      </c>
      <c r="I2251" s="113">
        <v>0</v>
      </c>
      <c r="K2251" s="113">
        <v>0.84698905999999996</v>
      </c>
      <c r="L2251" s="113">
        <v>0</v>
      </c>
      <c r="M2251" s="113">
        <v>0.83998256900000001</v>
      </c>
      <c r="N2251" s="113">
        <v>0</v>
      </c>
      <c r="O2251" s="114" t="s">
        <v>775</v>
      </c>
    </row>
    <row r="2252" spans="1:15" x14ac:dyDescent="0.25">
      <c r="A2252" s="113" t="s">
        <v>54</v>
      </c>
      <c r="B2252" s="113" t="s">
        <v>88</v>
      </c>
      <c r="C2252" s="113">
        <v>1112</v>
      </c>
      <c r="D2252" s="113">
        <v>1166</v>
      </c>
      <c r="E2252" s="113">
        <v>1</v>
      </c>
      <c r="F2252" s="113" t="s">
        <v>26</v>
      </c>
      <c r="G2252" s="113" t="s">
        <v>26</v>
      </c>
      <c r="H2252" s="113">
        <v>0</v>
      </c>
      <c r="I2252" s="113">
        <v>0</v>
      </c>
      <c r="K2252" s="113">
        <v>1.026249266</v>
      </c>
      <c r="L2252" s="113">
        <v>0</v>
      </c>
      <c r="M2252" s="113">
        <v>1.019114946</v>
      </c>
      <c r="N2252" s="113">
        <v>0</v>
      </c>
      <c r="O2252" s="114" t="s">
        <v>776</v>
      </c>
    </row>
    <row r="2253" spans="1:15" x14ac:dyDescent="0.25">
      <c r="A2253" s="113" t="s">
        <v>54</v>
      </c>
      <c r="B2253" s="113" t="s">
        <v>88</v>
      </c>
      <c r="C2253" s="113">
        <v>1166</v>
      </c>
      <c r="D2253" s="113">
        <v>1166.0999999999999</v>
      </c>
      <c r="E2253" s="113">
        <v>0.1</v>
      </c>
      <c r="F2253" s="113" t="s">
        <v>26</v>
      </c>
      <c r="G2253" s="113" t="s">
        <v>26</v>
      </c>
      <c r="H2253" s="113">
        <v>0</v>
      </c>
      <c r="I2253" s="113">
        <v>0</v>
      </c>
      <c r="K2253" s="113">
        <v>0.84698905999999996</v>
      </c>
      <c r="L2253" s="113">
        <v>0</v>
      </c>
      <c r="M2253" s="113">
        <v>0.83998256900000001</v>
      </c>
      <c r="N2253" s="113">
        <v>0</v>
      </c>
      <c r="O2253" s="114" t="s">
        <v>777</v>
      </c>
    </row>
    <row r="2254" spans="1:15" x14ac:dyDescent="0.25">
      <c r="A2254" s="113" t="s">
        <v>54</v>
      </c>
      <c r="B2254" s="113" t="s">
        <v>88</v>
      </c>
      <c r="C2254" s="113">
        <v>1166</v>
      </c>
      <c r="D2254" s="113">
        <v>1166.0999999999999</v>
      </c>
      <c r="E2254" s="113">
        <v>1</v>
      </c>
      <c r="F2254" s="113" t="s">
        <v>26</v>
      </c>
      <c r="G2254" s="113" t="s">
        <v>26</v>
      </c>
      <c r="H2254" s="113">
        <v>0</v>
      </c>
      <c r="I2254" s="113">
        <v>0</v>
      </c>
      <c r="K2254" s="113">
        <v>1.026249266</v>
      </c>
      <c r="L2254" s="113">
        <v>0</v>
      </c>
      <c r="M2254" s="113">
        <v>1.019114946</v>
      </c>
      <c r="N2254" s="113">
        <v>0</v>
      </c>
      <c r="O2254" s="114" t="s">
        <v>778</v>
      </c>
    </row>
    <row r="2255" spans="1:15" x14ac:dyDescent="0.25">
      <c r="A2255" s="113" t="s">
        <v>54</v>
      </c>
      <c r="B2255" s="113" t="s">
        <v>84</v>
      </c>
      <c r="C2255" s="113">
        <v>32</v>
      </c>
      <c r="D2255" s="113">
        <v>482.1</v>
      </c>
      <c r="E2255" s="113">
        <v>0.1</v>
      </c>
      <c r="F2255" s="113" t="s">
        <v>26</v>
      </c>
      <c r="G2255" s="113" t="s">
        <v>26</v>
      </c>
      <c r="H2255" s="113">
        <v>0</v>
      </c>
      <c r="I2255" s="113">
        <v>0</v>
      </c>
      <c r="K2255" s="113">
        <v>1.196556843</v>
      </c>
      <c r="L2255" s="113">
        <v>0</v>
      </c>
      <c r="M2255" s="113">
        <v>1.190019234</v>
      </c>
      <c r="N2255" s="113">
        <v>0</v>
      </c>
      <c r="O2255" s="114" t="s">
        <v>754</v>
      </c>
    </row>
    <row r="2256" spans="1:15" x14ac:dyDescent="0.25">
      <c r="A2256" s="113" t="s">
        <v>54</v>
      </c>
      <c r="B2256" s="113" t="s">
        <v>84</v>
      </c>
      <c r="C2256" s="113">
        <v>32</v>
      </c>
      <c r="D2256" s="113">
        <v>482.1</v>
      </c>
      <c r="E2256" s="113">
        <v>1</v>
      </c>
      <c r="F2256" s="113" t="s">
        <v>26</v>
      </c>
      <c r="G2256" s="113" t="s">
        <v>26</v>
      </c>
      <c r="H2256" s="113">
        <v>0</v>
      </c>
      <c r="I2256" s="113">
        <v>0</v>
      </c>
      <c r="K2256" s="113">
        <v>1.3448255570000001</v>
      </c>
      <c r="L2256" s="113">
        <v>0</v>
      </c>
      <c r="M2256" s="113">
        <v>1.3214180929999999</v>
      </c>
      <c r="N2256" s="113">
        <v>0</v>
      </c>
      <c r="O2256" s="114" t="s">
        <v>755</v>
      </c>
    </row>
    <row r="2257" spans="1:15" x14ac:dyDescent="0.25">
      <c r="A2257" s="113" t="s">
        <v>54</v>
      </c>
      <c r="B2257" s="113" t="s">
        <v>84</v>
      </c>
      <c r="C2257" s="113">
        <v>482</v>
      </c>
      <c r="D2257" s="113">
        <v>752.1</v>
      </c>
      <c r="E2257" s="113">
        <v>0.1</v>
      </c>
      <c r="F2257" s="113" t="s">
        <v>26</v>
      </c>
      <c r="G2257" s="113" t="s">
        <v>26</v>
      </c>
      <c r="H2257" s="113">
        <v>0</v>
      </c>
      <c r="I2257" s="113">
        <v>0</v>
      </c>
      <c r="K2257" s="113">
        <v>0.74216754799999995</v>
      </c>
      <c r="L2257" s="113">
        <v>0</v>
      </c>
      <c r="M2257" s="113">
        <v>0.73323749500000002</v>
      </c>
      <c r="N2257" s="113">
        <v>0</v>
      </c>
      <c r="O2257" s="114" t="s">
        <v>756</v>
      </c>
    </row>
    <row r="2258" spans="1:15" x14ac:dyDescent="0.25">
      <c r="A2258" s="113" t="s">
        <v>54</v>
      </c>
      <c r="B2258" s="113" t="s">
        <v>84</v>
      </c>
      <c r="C2258" s="113">
        <v>482</v>
      </c>
      <c r="D2258" s="113">
        <v>752.1</v>
      </c>
      <c r="E2258" s="113">
        <v>1</v>
      </c>
      <c r="F2258" s="113" t="s">
        <v>26</v>
      </c>
      <c r="G2258" s="113" t="s">
        <v>26</v>
      </c>
      <c r="H2258" s="113">
        <v>0</v>
      </c>
      <c r="I2258" s="113">
        <v>0</v>
      </c>
      <c r="K2258" s="113">
        <v>0.959343006</v>
      </c>
      <c r="L2258" s="113">
        <v>0</v>
      </c>
      <c r="M2258" s="113">
        <v>0.931470464</v>
      </c>
      <c r="N2258" s="113">
        <v>0</v>
      </c>
      <c r="O2258" s="114" t="s">
        <v>757</v>
      </c>
    </row>
    <row r="2259" spans="1:15" x14ac:dyDescent="0.25">
      <c r="A2259" s="113" t="s">
        <v>54</v>
      </c>
      <c r="B2259" s="113" t="s">
        <v>84</v>
      </c>
      <c r="C2259" s="113">
        <v>752</v>
      </c>
      <c r="D2259" s="113">
        <v>1832.1</v>
      </c>
      <c r="E2259" s="113">
        <v>0.1</v>
      </c>
      <c r="F2259" s="113" t="s">
        <v>26</v>
      </c>
      <c r="G2259" s="113" t="s">
        <v>26</v>
      </c>
      <c r="H2259" s="113">
        <v>0</v>
      </c>
      <c r="I2259" s="113">
        <v>0</v>
      </c>
      <c r="K2259" s="113">
        <v>0.70146403099999999</v>
      </c>
      <c r="L2259" s="113">
        <v>0</v>
      </c>
      <c r="M2259" s="113">
        <v>0.69200891799999997</v>
      </c>
      <c r="N2259" s="113">
        <v>0</v>
      </c>
      <c r="O2259" s="114" t="s">
        <v>758</v>
      </c>
    </row>
    <row r="2260" spans="1:15" x14ac:dyDescent="0.25">
      <c r="A2260" s="113" t="s">
        <v>54</v>
      </c>
      <c r="B2260" s="113" t="s">
        <v>84</v>
      </c>
      <c r="C2260" s="113">
        <v>752</v>
      </c>
      <c r="D2260" s="113">
        <v>1832.1</v>
      </c>
      <c r="E2260" s="113">
        <v>1</v>
      </c>
      <c r="F2260" s="113" t="s">
        <v>26</v>
      </c>
      <c r="G2260" s="113" t="s">
        <v>26</v>
      </c>
      <c r="H2260" s="113">
        <v>0</v>
      </c>
      <c r="I2260" s="113">
        <v>0</v>
      </c>
      <c r="K2260" s="113">
        <v>0.92821232499999995</v>
      </c>
      <c r="L2260" s="113">
        <v>0</v>
      </c>
      <c r="M2260" s="113">
        <v>0.89937552899999995</v>
      </c>
      <c r="N2260" s="113">
        <v>0</v>
      </c>
      <c r="O2260" s="114" t="s">
        <v>759</v>
      </c>
    </row>
    <row r="2261" spans="1:15" x14ac:dyDescent="0.25">
      <c r="A2261" s="113" t="s">
        <v>54</v>
      </c>
      <c r="B2261" s="113" t="s">
        <v>84</v>
      </c>
      <c r="C2261" s="113">
        <v>1832</v>
      </c>
      <c r="D2261" s="113">
        <v>3213</v>
      </c>
      <c r="E2261" s="113">
        <v>0.1</v>
      </c>
      <c r="F2261" s="113" t="s">
        <v>26</v>
      </c>
      <c r="G2261" s="113" t="s">
        <v>26</v>
      </c>
      <c r="H2261" s="113">
        <v>0</v>
      </c>
      <c r="I2261" s="113">
        <v>0</v>
      </c>
      <c r="K2261" s="113">
        <v>0.96694891999999999</v>
      </c>
      <c r="L2261" s="113">
        <v>0</v>
      </c>
      <c r="M2261" s="113">
        <v>0.96011185300000002</v>
      </c>
      <c r="N2261" s="113">
        <v>0</v>
      </c>
      <c r="O2261" s="114" t="s">
        <v>760</v>
      </c>
    </row>
    <row r="2262" spans="1:15" x14ac:dyDescent="0.25">
      <c r="A2262" s="113" t="s">
        <v>54</v>
      </c>
      <c r="B2262" s="113" t="s">
        <v>84</v>
      </c>
      <c r="C2262" s="113">
        <v>1832</v>
      </c>
      <c r="D2262" s="113">
        <v>3213</v>
      </c>
      <c r="E2262" s="113">
        <v>1</v>
      </c>
      <c r="F2262" s="113" t="s">
        <v>26</v>
      </c>
      <c r="G2262" s="113" t="s">
        <v>26</v>
      </c>
      <c r="H2262" s="113">
        <v>0</v>
      </c>
      <c r="I2262" s="113">
        <v>0</v>
      </c>
      <c r="K2262" s="113">
        <v>1.142154345</v>
      </c>
      <c r="L2262" s="113">
        <v>0</v>
      </c>
      <c r="M2262" s="113">
        <v>1.1188452840000001</v>
      </c>
      <c r="N2262" s="113">
        <v>0</v>
      </c>
      <c r="O2262" s="114" t="s">
        <v>761</v>
      </c>
    </row>
    <row r="2263" spans="1:15" x14ac:dyDescent="0.25">
      <c r="A2263" s="113" t="s">
        <v>54</v>
      </c>
      <c r="B2263" s="113" t="s">
        <v>84</v>
      </c>
      <c r="C2263" s="113">
        <v>3213</v>
      </c>
      <c r="D2263" s="113">
        <v>3213.1</v>
      </c>
      <c r="E2263" s="113">
        <v>0.1</v>
      </c>
      <c r="F2263" s="113" t="s">
        <v>26</v>
      </c>
      <c r="G2263" s="113" t="s">
        <v>26</v>
      </c>
      <c r="H2263" s="113">
        <v>0</v>
      </c>
      <c r="I2263" s="113">
        <v>0</v>
      </c>
      <c r="K2263" s="113">
        <v>0.96694891999999999</v>
      </c>
      <c r="L2263" s="113">
        <v>0</v>
      </c>
      <c r="M2263" s="113">
        <v>0.96011185300000002</v>
      </c>
      <c r="N2263" s="113">
        <v>0</v>
      </c>
      <c r="O2263" s="114" t="s">
        <v>762</v>
      </c>
    </row>
    <row r="2264" spans="1:15" x14ac:dyDescent="0.25">
      <c r="A2264" s="113" t="s">
        <v>54</v>
      </c>
      <c r="B2264" s="113" t="s">
        <v>84</v>
      </c>
      <c r="C2264" s="113">
        <v>3213</v>
      </c>
      <c r="D2264" s="113">
        <v>3213.1</v>
      </c>
      <c r="E2264" s="113">
        <v>1</v>
      </c>
      <c r="F2264" s="113" t="s">
        <v>26</v>
      </c>
      <c r="G2264" s="113" t="s">
        <v>26</v>
      </c>
      <c r="H2264" s="113">
        <v>0</v>
      </c>
      <c r="I2264" s="113">
        <v>0</v>
      </c>
      <c r="K2264" s="113">
        <v>1.142154345</v>
      </c>
      <c r="L2264" s="113">
        <v>0</v>
      </c>
      <c r="M2264" s="113">
        <v>1.1188452840000001</v>
      </c>
      <c r="N2264" s="113">
        <v>0</v>
      </c>
      <c r="O2264" s="114" t="s">
        <v>763</v>
      </c>
    </row>
    <row r="2265" spans="1:15" x14ac:dyDescent="0.25">
      <c r="A2265" s="113" t="s">
        <v>54</v>
      </c>
      <c r="B2265" s="113" t="s">
        <v>85</v>
      </c>
      <c r="C2265" s="113">
        <v>32</v>
      </c>
      <c r="D2265" s="113">
        <v>482.1</v>
      </c>
      <c r="E2265" s="113">
        <v>0.1</v>
      </c>
      <c r="F2265" s="113" t="s">
        <v>26</v>
      </c>
      <c r="G2265" s="113" t="s">
        <v>26</v>
      </c>
      <c r="H2265" s="113">
        <v>0</v>
      </c>
      <c r="I2265" s="113">
        <v>0</v>
      </c>
      <c r="K2265" s="113">
        <v>0.99102046200000005</v>
      </c>
      <c r="L2265" s="113">
        <v>0</v>
      </c>
      <c r="M2265" s="113">
        <v>0.98329333299999999</v>
      </c>
      <c r="N2265" s="113">
        <v>0</v>
      </c>
      <c r="O2265" s="114" t="s">
        <v>744</v>
      </c>
    </row>
    <row r="2266" spans="1:15" x14ac:dyDescent="0.25">
      <c r="A2266" s="113" t="s">
        <v>54</v>
      </c>
      <c r="B2266" s="113" t="s">
        <v>85</v>
      </c>
      <c r="C2266" s="113">
        <v>32</v>
      </c>
      <c r="D2266" s="113">
        <v>482.1</v>
      </c>
      <c r="E2266" s="113">
        <v>1</v>
      </c>
      <c r="F2266" s="113" t="s">
        <v>26</v>
      </c>
      <c r="G2266" s="113" t="s">
        <v>26</v>
      </c>
      <c r="H2266" s="113">
        <v>0</v>
      </c>
      <c r="I2266" s="113">
        <v>0</v>
      </c>
      <c r="K2266" s="113">
        <v>1.165284896</v>
      </c>
      <c r="L2266" s="113">
        <v>0</v>
      </c>
      <c r="M2266" s="113">
        <v>1.1388001480000001</v>
      </c>
      <c r="N2266" s="113">
        <v>0</v>
      </c>
      <c r="O2266" s="114" t="s">
        <v>745</v>
      </c>
    </row>
    <row r="2267" spans="1:15" x14ac:dyDescent="0.25">
      <c r="A2267" s="113" t="s">
        <v>54</v>
      </c>
      <c r="B2267" s="113" t="s">
        <v>85</v>
      </c>
      <c r="C2267" s="113">
        <v>482</v>
      </c>
      <c r="D2267" s="113">
        <v>1832.1</v>
      </c>
      <c r="E2267" s="113">
        <v>0.1</v>
      </c>
      <c r="F2267" s="113" t="s">
        <v>26</v>
      </c>
      <c r="G2267" s="113" t="s">
        <v>26</v>
      </c>
      <c r="H2267" s="113">
        <v>0</v>
      </c>
      <c r="I2267" s="113">
        <v>0</v>
      </c>
      <c r="K2267" s="113">
        <v>0.76311401300000004</v>
      </c>
      <c r="L2267" s="113">
        <v>0</v>
      </c>
      <c r="M2267" s="113">
        <v>0.75443194000000002</v>
      </c>
      <c r="N2267" s="113">
        <v>0</v>
      </c>
      <c r="O2267" s="114" t="s">
        <v>746</v>
      </c>
    </row>
    <row r="2268" spans="1:15" x14ac:dyDescent="0.25">
      <c r="A2268" s="113" t="s">
        <v>54</v>
      </c>
      <c r="B2268" s="113" t="s">
        <v>85</v>
      </c>
      <c r="C2268" s="113">
        <v>482</v>
      </c>
      <c r="D2268" s="113">
        <v>1832.1</v>
      </c>
      <c r="E2268" s="113">
        <v>1</v>
      </c>
      <c r="F2268" s="113" t="s">
        <v>26</v>
      </c>
      <c r="G2268" s="113" t="s">
        <v>26</v>
      </c>
      <c r="H2268" s="113">
        <v>0</v>
      </c>
      <c r="I2268" s="113">
        <v>0</v>
      </c>
      <c r="K2268" s="113">
        <v>0.97705967599999999</v>
      </c>
      <c r="L2268" s="113">
        <v>0</v>
      </c>
      <c r="M2268" s="113">
        <v>0.94824445800000001</v>
      </c>
      <c r="N2268" s="113">
        <v>0</v>
      </c>
      <c r="O2268" s="114" t="s">
        <v>747</v>
      </c>
    </row>
    <row r="2269" spans="1:15" x14ac:dyDescent="0.25">
      <c r="A2269" s="113" t="s">
        <v>54</v>
      </c>
      <c r="B2269" s="113" t="s">
        <v>85</v>
      </c>
      <c r="C2269" s="113">
        <v>1832</v>
      </c>
      <c r="D2269" s="113">
        <v>2552.1</v>
      </c>
      <c r="E2269" s="113">
        <v>0.1</v>
      </c>
      <c r="F2269" s="113" t="s">
        <v>26</v>
      </c>
      <c r="G2269" s="113" t="s">
        <v>26</v>
      </c>
      <c r="H2269" s="113">
        <v>0</v>
      </c>
      <c r="I2269" s="113">
        <v>0</v>
      </c>
      <c r="K2269" s="113">
        <v>0.78273955799999995</v>
      </c>
      <c r="L2269" s="113">
        <v>0</v>
      </c>
      <c r="M2269" s="113">
        <v>0.77427758000000002</v>
      </c>
      <c r="N2269" s="113">
        <v>0</v>
      </c>
      <c r="O2269" s="114" t="s">
        <v>748</v>
      </c>
    </row>
    <row r="2270" spans="1:15" x14ac:dyDescent="0.25">
      <c r="A2270" s="113" t="s">
        <v>54</v>
      </c>
      <c r="B2270" s="113" t="s">
        <v>85</v>
      </c>
      <c r="C2270" s="113">
        <v>1832</v>
      </c>
      <c r="D2270" s="113">
        <v>2552.1</v>
      </c>
      <c r="E2270" s="113">
        <v>1</v>
      </c>
      <c r="F2270" s="113" t="s">
        <v>26</v>
      </c>
      <c r="G2270" s="113" t="s">
        <v>26</v>
      </c>
      <c r="H2270" s="113">
        <v>0</v>
      </c>
      <c r="I2270" s="113">
        <v>0</v>
      </c>
      <c r="K2270" s="113">
        <v>0.99106384700000005</v>
      </c>
      <c r="L2270" s="113">
        <v>0</v>
      </c>
      <c r="M2270" s="113">
        <v>0.96410879699999996</v>
      </c>
      <c r="N2270" s="113">
        <v>0</v>
      </c>
      <c r="O2270" s="114" t="s">
        <v>749</v>
      </c>
    </row>
    <row r="2271" spans="1:15" x14ac:dyDescent="0.25">
      <c r="A2271" s="113" t="s">
        <v>54</v>
      </c>
      <c r="B2271" s="113" t="s">
        <v>85</v>
      </c>
      <c r="C2271" s="113">
        <v>2552</v>
      </c>
      <c r="D2271" s="113">
        <v>3213</v>
      </c>
      <c r="E2271" s="113">
        <v>0.1</v>
      </c>
      <c r="F2271" s="113" t="s">
        <v>26</v>
      </c>
      <c r="G2271" s="113" t="s">
        <v>26</v>
      </c>
      <c r="H2271" s="113">
        <v>0</v>
      </c>
      <c r="I2271" s="113">
        <v>0</v>
      </c>
      <c r="K2271" s="113">
        <v>0.96727748899999999</v>
      </c>
      <c r="L2271" s="113">
        <v>0</v>
      </c>
      <c r="M2271" s="113">
        <v>0.96044275999999995</v>
      </c>
      <c r="N2271" s="113">
        <v>0</v>
      </c>
      <c r="O2271" s="114" t="s">
        <v>750</v>
      </c>
    </row>
    <row r="2272" spans="1:15" x14ac:dyDescent="0.25">
      <c r="A2272" s="113" t="s">
        <v>54</v>
      </c>
      <c r="B2272" s="113" t="s">
        <v>85</v>
      </c>
      <c r="C2272" s="113">
        <v>2552</v>
      </c>
      <c r="D2272" s="113">
        <v>3213</v>
      </c>
      <c r="E2272" s="113">
        <v>1</v>
      </c>
      <c r="F2272" s="113" t="s">
        <v>26</v>
      </c>
      <c r="G2272" s="113" t="s">
        <v>26</v>
      </c>
      <c r="H2272" s="113">
        <v>0</v>
      </c>
      <c r="I2272" s="113">
        <v>0</v>
      </c>
      <c r="K2272" s="113">
        <v>1.142432525</v>
      </c>
      <c r="L2272" s="113">
        <v>0</v>
      </c>
      <c r="M2272" s="113">
        <v>1.1191292580000001</v>
      </c>
      <c r="N2272" s="113">
        <v>0</v>
      </c>
      <c r="O2272" s="114" t="s">
        <v>751</v>
      </c>
    </row>
    <row r="2273" spans="1:15" x14ac:dyDescent="0.25">
      <c r="A2273" s="113" t="s">
        <v>54</v>
      </c>
      <c r="B2273" s="113" t="s">
        <v>85</v>
      </c>
      <c r="C2273" s="113">
        <v>3213</v>
      </c>
      <c r="D2273" s="113">
        <v>3213.1</v>
      </c>
      <c r="E2273" s="113">
        <v>0.1</v>
      </c>
      <c r="F2273" s="113" t="s">
        <v>26</v>
      </c>
      <c r="G2273" s="113" t="s">
        <v>26</v>
      </c>
      <c r="H2273" s="113">
        <v>0</v>
      </c>
      <c r="I2273" s="113">
        <v>0</v>
      </c>
      <c r="K2273" s="113">
        <v>0.96727748899999999</v>
      </c>
      <c r="L2273" s="113">
        <v>0</v>
      </c>
      <c r="M2273" s="113">
        <v>0.96044275999999995</v>
      </c>
      <c r="N2273" s="113">
        <v>0</v>
      </c>
      <c r="O2273" s="114" t="s">
        <v>752</v>
      </c>
    </row>
    <row r="2274" spans="1:15" x14ac:dyDescent="0.25">
      <c r="A2274" s="113" t="s">
        <v>54</v>
      </c>
      <c r="B2274" s="113" t="s">
        <v>85</v>
      </c>
      <c r="C2274" s="113">
        <v>3213</v>
      </c>
      <c r="D2274" s="113">
        <v>3213.1</v>
      </c>
      <c r="E2274" s="113">
        <v>1</v>
      </c>
      <c r="F2274" s="113" t="s">
        <v>26</v>
      </c>
      <c r="G2274" s="113" t="s">
        <v>26</v>
      </c>
      <c r="H2274" s="113">
        <v>0</v>
      </c>
      <c r="I2274" s="113">
        <v>0</v>
      </c>
      <c r="K2274" s="113">
        <v>1.142432525</v>
      </c>
      <c r="L2274" s="113">
        <v>0</v>
      </c>
      <c r="M2274" s="113">
        <v>1.1191292580000001</v>
      </c>
      <c r="N2274" s="113">
        <v>0</v>
      </c>
      <c r="O2274" s="114" t="s">
        <v>753</v>
      </c>
    </row>
    <row r="2275" spans="1:15" x14ac:dyDescent="0.25">
      <c r="A2275" s="113" t="s">
        <v>54</v>
      </c>
      <c r="B2275" s="113" t="s">
        <v>86</v>
      </c>
      <c r="C2275" s="113">
        <v>-418</v>
      </c>
      <c r="D2275" s="113">
        <v>-237.9</v>
      </c>
      <c r="E2275" s="113">
        <v>0.1</v>
      </c>
      <c r="F2275" s="113" t="s">
        <v>26</v>
      </c>
      <c r="G2275" s="113" t="s">
        <v>26</v>
      </c>
      <c r="H2275" s="113">
        <v>0</v>
      </c>
      <c r="I2275" s="113">
        <v>0</v>
      </c>
      <c r="K2275" s="113">
        <v>0.55536480200000005</v>
      </c>
      <c r="L2275" s="113">
        <v>0</v>
      </c>
      <c r="M2275" s="113">
        <v>0.55057507900000002</v>
      </c>
      <c r="N2275" s="113">
        <v>0</v>
      </c>
      <c r="O2275" s="114" t="s">
        <v>734</v>
      </c>
    </row>
    <row r="2276" spans="1:15" x14ac:dyDescent="0.25">
      <c r="A2276" s="113" t="s">
        <v>54</v>
      </c>
      <c r="B2276" s="113" t="s">
        <v>86</v>
      </c>
      <c r="C2276" s="113">
        <v>-418</v>
      </c>
      <c r="D2276" s="113">
        <v>-237.9</v>
      </c>
      <c r="E2276" s="113">
        <v>1</v>
      </c>
      <c r="F2276" s="113" t="s">
        <v>26</v>
      </c>
      <c r="G2276" s="113" t="s">
        <v>26</v>
      </c>
      <c r="H2276" s="113">
        <v>0</v>
      </c>
      <c r="I2276" s="113">
        <v>0</v>
      </c>
      <c r="K2276" s="113">
        <v>0.80890141400000004</v>
      </c>
      <c r="L2276" s="113">
        <v>0</v>
      </c>
      <c r="M2276" s="113">
        <v>0.79569649899999995</v>
      </c>
      <c r="N2276" s="113">
        <v>0</v>
      </c>
      <c r="O2276" s="114" t="s">
        <v>735</v>
      </c>
    </row>
    <row r="2277" spans="1:15" x14ac:dyDescent="0.25">
      <c r="A2277" s="113" t="s">
        <v>54</v>
      </c>
      <c r="B2277" s="113" t="s">
        <v>86</v>
      </c>
      <c r="C2277" s="113">
        <v>-238</v>
      </c>
      <c r="D2277" s="113">
        <v>32.1</v>
      </c>
      <c r="E2277" s="113">
        <v>0.1</v>
      </c>
      <c r="F2277" s="113" t="s">
        <v>26</v>
      </c>
      <c r="G2277" s="113" t="s">
        <v>26</v>
      </c>
      <c r="H2277" s="113">
        <v>0</v>
      </c>
      <c r="I2277" s="113">
        <v>0</v>
      </c>
      <c r="K2277" s="113">
        <v>0.29307530900000001</v>
      </c>
      <c r="L2277" s="113">
        <v>0</v>
      </c>
      <c r="M2277" s="113">
        <v>0.28549186100000001</v>
      </c>
      <c r="N2277" s="113">
        <v>0</v>
      </c>
      <c r="O2277" s="114" t="s">
        <v>736</v>
      </c>
    </row>
    <row r="2278" spans="1:15" x14ac:dyDescent="0.25">
      <c r="A2278" s="113" t="s">
        <v>54</v>
      </c>
      <c r="B2278" s="113" t="s">
        <v>86</v>
      </c>
      <c r="C2278" s="113">
        <v>-238</v>
      </c>
      <c r="D2278" s="113">
        <v>32.1</v>
      </c>
      <c r="E2278" s="113">
        <v>1</v>
      </c>
      <c r="F2278" s="113" t="s">
        <v>26</v>
      </c>
      <c r="G2278" s="113" t="s">
        <v>26</v>
      </c>
      <c r="H2278" s="113">
        <v>0</v>
      </c>
      <c r="I2278" s="113">
        <v>0</v>
      </c>
      <c r="K2278" s="113">
        <v>0.65502346499999997</v>
      </c>
      <c r="L2278" s="113">
        <v>0</v>
      </c>
      <c r="M2278" s="113">
        <v>0.64148702499999999</v>
      </c>
      <c r="N2278" s="113">
        <v>0</v>
      </c>
      <c r="O2278" s="114" t="s">
        <v>737</v>
      </c>
    </row>
    <row r="2279" spans="1:15" x14ac:dyDescent="0.25">
      <c r="A2279" s="113" t="s">
        <v>54</v>
      </c>
      <c r="B2279" s="113" t="s">
        <v>86</v>
      </c>
      <c r="C2279" s="113">
        <v>32</v>
      </c>
      <c r="D2279" s="113">
        <v>248.1</v>
      </c>
      <c r="E2279" s="113">
        <v>0.1</v>
      </c>
      <c r="F2279" s="113" t="s">
        <v>26</v>
      </c>
      <c r="G2279" s="113" t="s">
        <v>26</v>
      </c>
      <c r="H2279" s="113">
        <v>0</v>
      </c>
      <c r="I2279" s="113">
        <v>0</v>
      </c>
      <c r="K2279" s="113">
        <v>0.20014928100000001</v>
      </c>
      <c r="L2279" s="113">
        <v>0</v>
      </c>
      <c r="M2279" s="113">
        <v>0.19650714699999999</v>
      </c>
      <c r="N2279" s="113">
        <v>0</v>
      </c>
      <c r="O2279" s="114" t="s">
        <v>738</v>
      </c>
    </row>
    <row r="2280" spans="1:15" x14ac:dyDescent="0.25">
      <c r="A2280" s="113" t="s">
        <v>54</v>
      </c>
      <c r="B2280" s="113" t="s">
        <v>86</v>
      </c>
      <c r="C2280" s="113">
        <v>32</v>
      </c>
      <c r="D2280" s="113">
        <v>248.1</v>
      </c>
      <c r="E2280" s="113">
        <v>1</v>
      </c>
      <c r="F2280" s="113" t="s">
        <v>26</v>
      </c>
      <c r="G2280" s="113" t="s">
        <v>26</v>
      </c>
      <c r="H2280" s="113">
        <v>0</v>
      </c>
      <c r="I2280" s="113">
        <v>0</v>
      </c>
      <c r="K2280" s="113">
        <v>0.61187724499999996</v>
      </c>
      <c r="L2280" s="113">
        <v>0</v>
      </c>
      <c r="M2280" s="113">
        <v>0.60713677099999996</v>
      </c>
      <c r="N2280" s="113">
        <v>0</v>
      </c>
      <c r="O2280" s="114" t="s">
        <v>739</v>
      </c>
    </row>
    <row r="2281" spans="1:15" x14ac:dyDescent="0.25">
      <c r="A2281" s="113" t="s">
        <v>54</v>
      </c>
      <c r="B2281" s="113" t="s">
        <v>86</v>
      </c>
      <c r="C2281" s="113">
        <v>248</v>
      </c>
      <c r="D2281" s="113">
        <v>752</v>
      </c>
      <c r="E2281" s="113">
        <v>0.1</v>
      </c>
      <c r="F2281" s="113" t="s">
        <v>26</v>
      </c>
      <c r="G2281" s="113" t="s">
        <v>26</v>
      </c>
      <c r="H2281" s="113">
        <v>0</v>
      </c>
      <c r="I2281" s="113">
        <v>0</v>
      </c>
      <c r="K2281" s="113">
        <v>0.17895368</v>
      </c>
      <c r="L2281" s="113">
        <v>0</v>
      </c>
      <c r="M2281" s="113">
        <v>0.17487064799999999</v>
      </c>
      <c r="N2281" s="113">
        <v>0</v>
      </c>
      <c r="O2281" s="114" t="s">
        <v>740</v>
      </c>
    </row>
    <row r="2282" spans="1:15" x14ac:dyDescent="0.25">
      <c r="A2282" s="113" t="s">
        <v>54</v>
      </c>
      <c r="B2282" s="113" t="s">
        <v>86</v>
      </c>
      <c r="C2282" s="113">
        <v>248</v>
      </c>
      <c r="D2282" s="113">
        <v>752</v>
      </c>
      <c r="E2282" s="113">
        <v>1</v>
      </c>
      <c r="F2282" s="113" t="s">
        <v>26</v>
      </c>
      <c r="G2282" s="113" t="s">
        <v>26</v>
      </c>
      <c r="H2282" s="113">
        <v>0</v>
      </c>
      <c r="I2282" s="113">
        <v>0</v>
      </c>
      <c r="K2282" s="113">
        <v>0.60527551300000004</v>
      </c>
      <c r="L2282" s="113">
        <v>0</v>
      </c>
      <c r="M2282" s="113">
        <v>0.600482925</v>
      </c>
      <c r="N2282" s="113">
        <v>0</v>
      </c>
      <c r="O2282" s="114" t="s">
        <v>741</v>
      </c>
    </row>
    <row r="2283" spans="1:15" x14ac:dyDescent="0.25">
      <c r="A2283" s="113" t="s">
        <v>54</v>
      </c>
      <c r="B2283" s="113" t="s">
        <v>86</v>
      </c>
      <c r="C2283" s="113">
        <v>752</v>
      </c>
      <c r="D2283" s="113">
        <v>752.1</v>
      </c>
      <c r="E2283" s="113">
        <v>0.1</v>
      </c>
      <c r="F2283" s="113" t="s">
        <v>26</v>
      </c>
      <c r="G2283" s="113" t="s">
        <v>26</v>
      </c>
      <c r="H2283" s="113">
        <v>0</v>
      </c>
      <c r="I2283" s="113">
        <v>0</v>
      </c>
      <c r="K2283" s="113">
        <v>0.17895368</v>
      </c>
      <c r="L2283" s="113">
        <v>0</v>
      </c>
      <c r="M2283" s="113">
        <v>0.17487064799999999</v>
      </c>
      <c r="N2283" s="113">
        <v>0</v>
      </c>
      <c r="O2283" s="114" t="s">
        <v>742</v>
      </c>
    </row>
    <row r="2284" spans="1:15" x14ac:dyDescent="0.25">
      <c r="A2284" s="113" t="s">
        <v>54</v>
      </c>
      <c r="B2284" s="113" t="s">
        <v>86</v>
      </c>
      <c r="C2284" s="113">
        <v>752</v>
      </c>
      <c r="D2284" s="113">
        <v>752.1</v>
      </c>
      <c r="E2284" s="113">
        <v>1</v>
      </c>
      <c r="F2284" s="113" t="s">
        <v>26</v>
      </c>
      <c r="G2284" s="113" t="s">
        <v>26</v>
      </c>
      <c r="H2284" s="113">
        <v>0</v>
      </c>
      <c r="I2284" s="113">
        <v>0</v>
      </c>
      <c r="K2284" s="113">
        <v>0.60527551300000004</v>
      </c>
      <c r="L2284" s="113">
        <v>0</v>
      </c>
      <c r="M2284" s="113">
        <v>0.600482925</v>
      </c>
      <c r="N2284" s="113">
        <v>0</v>
      </c>
      <c r="O2284" s="114" t="s">
        <v>743</v>
      </c>
    </row>
    <row r="2285" spans="1:15" x14ac:dyDescent="0.25">
      <c r="A2285" s="113" t="s">
        <v>54</v>
      </c>
      <c r="B2285" s="113" t="s">
        <v>17</v>
      </c>
      <c r="C2285" s="113">
        <v>0</v>
      </c>
      <c r="D2285" s="113">
        <v>120.001</v>
      </c>
      <c r="E2285" s="113">
        <v>1E-3</v>
      </c>
      <c r="F2285" s="113" t="s">
        <v>9</v>
      </c>
      <c r="G2285" s="113" t="s">
        <v>9</v>
      </c>
      <c r="H2285" s="113">
        <v>0</v>
      </c>
      <c r="I2285" s="113">
        <v>0</v>
      </c>
      <c r="K2285" s="113">
        <v>6.0000000000000001E-3</v>
      </c>
      <c r="L2285" s="113">
        <v>1.2999999999999999E-5</v>
      </c>
      <c r="M2285" s="113">
        <v>1.2888999999999999E-3</v>
      </c>
      <c r="N2285" s="113">
        <v>2.8E-5</v>
      </c>
      <c r="O2285" s="114" t="s">
        <v>704</v>
      </c>
    </row>
    <row r="2286" spans="1:15" x14ac:dyDescent="0.25">
      <c r="A2286" s="113" t="s">
        <v>54</v>
      </c>
      <c r="B2286" s="113" t="s">
        <v>17</v>
      </c>
      <c r="C2286" s="113">
        <v>0</v>
      </c>
      <c r="D2286" s="113">
        <v>120.001</v>
      </c>
      <c r="E2286" s="113">
        <v>0.01</v>
      </c>
      <c r="F2286" s="113" t="s">
        <v>9</v>
      </c>
      <c r="G2286" s="113" t="s">
        <v>9</v>
      </c>
      <c r="H2286" s="113">
        <v>0</v>
      </c>
      <c r="I2286" s="113">
        <v>0</v>
      </c>
      <c r="K2286" s="113">
        <v>6.0575999999999998E-3</v>
      </c>
      <c r="L2286" s="113">
        <v>1.5807E-5</v>
      </c>
      <c r="M2286" s="113">
        <v>5.8809999999999999E-3</v>
      </c>
      <c r="N2286" s="113">
        <v>1.26E-5</v>
      </c>
      <c r="O2286" s="114" t="s">
        <v>705</v>
      </c>
    </row>
    <row r="2287" spans="1:15" x14ac:dyDescent="0.25">
      <c r="A2287" s="113" t="s">
        <v>54</v>
      </c>
      <c r="B2287" s="113" t="s">
        <v>17</v>
      </c>
      <c r="C2287" s="113">
        <v>0</v>
      </c>
      <c r="D2287" s="113">
        <v>120.001</v>
      </c>
      <c r="E2287" s="113">
        <v>0.1</v>
      </c>
      <c r="F2287" s="113" t="s">
        <v>9</v>
      </c>
      <c r="G2287" s="113" t="s">
        <v>9</v>
      </c>
      <c r="H2287" s="113">
        <v>0</v>
      </c>
      <c r="I2287" s="113">
        <v>0</v>
      </c>
      <c r="K2287" s="113">
        <v>5.7819000000000002E-2</v>
      </c>
      <c r="L2287" s="113">
        <v>3.3129000000000001E-6</v>
      </c>
      <c r="M2287" s="113">
        <v>5.7745999999999999E-2</v>
      </c>
      <c r="N2287" s="113">
        <v>1.4481E-6</v>
      </c>
      <c r="O2287" s="114" t="s">
        <v>706</v>
      </c>
    </row>
    <row r="2288" spans="1:15" x14ac:dyDescent="0.25">
      <c r="A2288" s="113" t="s">
        <v>54</v>
      </c>
      <c r="B2288" s="113" t="s">
        <v>17</v>
      </c>
      <c r="C2288" s="113">
        <v>0</v>
      </c>
      <c r="D2288" s="113">
        <v>120.001</v>
      </c>
      <c r="E2288" s="113">
        <v>1</v>
      </c>
      <c r="F2288" s="113" t="s">
        <v>9</v>
      </c>
      <c r="G2288" s="113" t="s">
        <v>9</v>
      </c>
      <c r="H2288" s="113">
        <v>0</v>
      </c>
      <c r="I2288" s="113">
        <v>0</v>
      </c>
      <c r="K2288" s="113">
        <v>0.57738999999999996</v>
      </c>
      <c r="L2288" s="113">
        <v>8.9635999999999996E-7</v>
      </c>
      <c r="M2288" s="113">
        <v>0.57735999999999998</v>
      </c>
      <c r="N2288" s="113">
        <v>1.4506E-7</v>
      </c>
      <c r="O2288" s="114" t="s">
        <v>707</v>
      </c>
    </row>
    <row r="2289" spans="1:15" x14ac:dyDescent="0.25">
      <c r="A2289" s="113" t="s">
        <v>54</v>
      </c>
      <c r="B2289" s="113" t="s">
        <v>17</v>
      </c>
      <c r="C2289" s="113">
        <v>0</v>
      </c>
      <c r="D2289" s="113">
        <v>120.001</v>
      </c>
      <c r="E2289" s="113">
        <v>10</v>
      </c>
      <c r="F2289" s="113" t="s">
        <v>9</v>
      </c>
      <c r="G2289" s="113" t="s">
        <v>9</v>
      </c>
      <c r="H2289" s="113">
        <v>0</v>
      </c>
      <c r="I2289" s="113">
        <v>0</v>
      </c>
      <c r="K2289" s="113">
        <v>5.7736000000000001</v>
      </c>
      <c r="L2289" s="113">
        <v>3.1507999999999999E-7</v>
      </c>
      <c r="M2289" s="113">
        <v>5.7736000000000001</v>
      </c>
      <c r="N2289" s="113">
        <v>1.4505999999999999E-8</v>
      </c>
      <c r="O2289" s="114" t="s">
        <v>708</v>
      </c>
    </row>
    <row r="2290" spans="1:15" x14ac:dyDescent="0.25">
      <c r="A2290" s="113" t="s">
        <v>54</v>
      </c>
      <c r="B2290" s="113" t="s">
        <v>17</v>
      </c>
      <c r="C2290" s="113">
        <v>0</v>
      </c>
      <c r="D2290" s="113">
        <v>120.001</v>
      </c>
      <c r="E2290" s="113">
        <v>100</v>
      </c>
      <c r="F2290" s="113" t="s">
        <v>9</v>
      </c>
      <c r="G2290" s="113" t="s">
        <v>9</v>
      </c>
      <c r="H2290" s="113">
        <v>0</v>
      </c>
      <c r="I2290" s="113">
        <v>0</v>
      </c>
      <c r="K2290" s="113">
        <v>57.735999999999997</v>
      </c>
      <c r="L2290" s="113">
        <v>1.2167999999999999E-7</v>
      </c>
      <c r="M2290" s="113">
        <v>57.735999999999997</v>
      </c>
      <c r="N2290" s="113">
        <v>1.4510000000000001E-9</v>
      </c>
      <c r="O2290" s="114" t="s">
        <v>709</v>
      </c>
    </row>
    <row r="2291" spans="1:15" x14ac:dyDescent="0.25">
      <c r="A2291" s="113" t="s">
        <v>54</v>
      </c>
      <c r="B2291" s="113" t="s">
        <v>17</v>
      </c>
      <c r="C2291" s="113">
        <v>0</v>
      </c>
      <c r="D2291" s="113">
        <v>120.001</v>
      </c>
      <c r="E2291" s="113">
        <v>1000</v>
      </c>
      <c r="F2291" s="113" t="s">
        <v>9</v>
      </c>
      <c r="G2291" s="113" t="s">
        <v>9</v>
      </c>
      <c r="H2291" s="113">
        <v>0</v>
      </c>
      <c r="I2291" s="113">
        <v>0</v>
      </c>
      <c r="K2291" s="113">
        <v>577.36</v>
      </c>
      <c r="L2291" s="113">
        <v>4.8236000000000003E-8</v>
      </c>
      <c r="M2291" s="113">
        <v>577.36</v>
      </c>
      <c r="N2291" s="113">
        <v>1.4499999999999999E-10</v>
      </c>
      <c r="O2291" s="114" t="s">
        <v>710</v>
      </c>
    </row>
    <row r="2292" spans="1:15" x14ac:dyDescent="0.25">
      <c r="A2292" s="113" t="s">
        <v>54</v>
      </c>
      <c r="B2292" s="113" t="s">
        <v>17</v>
      </c>
      <c r="C2292" s="113">
        <v>120</v>
      </c>
      <c r="D2292" s="113">
        <v>1200.01</v>
      </c>
      <c r="E2292" s="113">
        <v>0.01</v>
      </c>
      <c r="F2292" s="113" t="s">
        <v>9</v>
      </c>
      <c r="G2292" s="113" t="s">
        <v>9</v>
      </c>
      <c r="H2292" s="113">
        <v>0</v>
      </c>
      <c r="I2292" s="113">
        <v>0</v>
      </c>
      <c r="K2292" s="113">
        <v>5.8000000000000003E-2</v>
      </c>
      <c r="L2292" s="113">
        <v>9.5000000000000005E-6</v>
      </c>
      <c r="M2292" s="113">
        <v>4.1865000000000001E-3</v>
      </c>
      <c r="N2292" s="113">
        <v>2.6727E-5</v>
      </c>
      <c r="O2292" s="114" t="s">
        <v>711</v>
      </c>
    </row>
    <row r="2293" spans="1:15" x14ac:dyDescent="0.25">
      <c r="A2293" s="113" t="s">
        <v>54</v>
      </c>
      <c r="B2293" s="113" t="s">
        <v>17</v>
      </c>
      <c r="C2293" s="113">
        <v>120</v>
      </c>
      <c r="D2293" s="113">
        <v>1200.01</v>
      </c>
      <c r="E2293" s="113">
        <v>0.1</v>
      </c>
      <c r="F2293" s="113" t="s">
        <v>9</v>
      </c>
      <c r="G2293" s="113" t="s">
        <v>9</v>
      </c>
      <c r="H2293" s="113">
        <v>0</v>
      </c>
      <c r="I2293" s="113">
        <v>0</v>
      </c>
      <c r="K2293" s="113">
        <v>5.8519000000000002E-2</v>
      </c>
      <c r="L2293" s="113">
        <v>1.0244000000000001E-5</v>
      </c>
      <c r="M2293" s="113">
        <v>5.6807999999999997E-2</v>
      </c>
      <c r="N2293" s="113">
        <v>9.2701999999999998E-6</v>
      </c>
      <c r="O2293" s="114" t="s">
        <v>712</v>
      </c>
    </row>
    <row r="2294" spans="1:15" x14ac:dyDescent="0.25">
      <c r="A2294" s="113" t="s">
        <v>54</v>
      </c>
      <c r="B2294" s="113" t="s">
        <v>17</v>
      </c>
      <c r="C2294" s="113">
        <v>120</v>
      </c>
      <c r="D2294" s="113">
        <v>1200.01</v>
      </c>
      <c r="E2294" s="113">
        <v>1</v>
      </c>
      <c r="F2294" s="113" t="s">
        <v>9</v>
      </c>
      <c r="G2294" s="113" t="s">
        <v>9</v>
      </c>
      <c r="H2294" s="113">
        <v>0</v>
      </c>
      <c r="I2294" s="113">
        <v>0</v>
      </c>
      <c r="K2294" s="113">
        <v>0.57794999999999996</v>
      </c>
      <c r="L2294" s="113">
        <v>1.5972999999999999E-6</v>
      </c>
      <c r="M2294" s="113">
        <v>0.57725000000000004</v>
      </c>
      <c r="N2294" s="113">
        <v>1.0094E-6</v>
      </c>
      <c r="O2294" s="114" t="s">
        <v>713</v>
      </c>
    </row>
    <row r="2295" spans="1:15" x14ac:dyDescent="0.25">
      <c r="A2295" s="113" t="s">
        <v>54</v>
      </c>
      <c r="B2295" s="113" t="s">
        <v>17</v>
      </c>
      <c r="C2295" s="113">
        <v>120</v>
      </c>
      <c r="D2295" s="113">
        <v>1200.01</v>
      </c>
      <c r="E2295" s="113">
        <v>10</v>
      </c>
      <c r="F2295" s="113" t="s">
        <v>9</v>
      </c>
      <c r="G2295" s="113" t="s">
        <v>9</v>
      </c>
      <c r="H2295" s="113">
        <v>0</v>
      </c>
      <c r="I2295" s="113">
        <v>0</v>
      </c>
      <c r="K2295" s="113">
        <v>5.7739000000000003</v>
      </c>
      <c r="L2295" s="113">
        <v>3.3757000000000002E-7</v>
      </c>
      <c r="M2295" s="113">
        <v>5.7735000000000003</v>
      </c>
      <c r="N2295" s="113">
        <v>1.0104E-7</v>
      </c>
      <c r="O2295" s="114" t="s">
        <v>714</v>
      </c>
    </row>
    <row r="2296" spans="1:15" x14ac:dyDescent="0.25">
      <c r="A2296" s="113" t="s">
        <v>54</v>
      </c>
      <c r="B2296" s="113" t="s">
        <v>17</v>
      </c>
      <c r="C2296" s="113">
        <v>1200</v>
      </c>
      <c r="D2296" s="113">
        <v>12001</v>
      </c>
      <c r="E2296" s="113">
        <v>0.1</v>
      </c>
      <c r="F2296" s="113" t="s">
        <v>9</v>
      </c>
      <c r="G2296" s="113" t="s">
        <v>9</v>
      </c>
      <c r="H2296" s="113">
        <v>0</v>
      </c>
      <c r="I2296" s="113">
        <v>0</v>
      </c>
      <c r="K2296" s="113">
        <v>0.58496999999999999</v>
      </c>
      <c r="L2296" s="113">
        <v>9.8285999999999994E-6</v>
      </c>
      <c r="M2296" s="113">
        <v>0.56786000000000003</v>
      </c>
      <c r="N2296" s="113">
        <v>8.8367999999999998E-6</v>
      </c>
      <c r="O2296" s="114" t="s">
        <v>715</v>
      </c>
    </row>
    <row r="2297" spans="1:15" x14ac:dyDescent="0.25">
      <c r="A2297" s="113" t="s">
        <v>54</v>
      </c>
      <c r="B2297" s="113" t="s">
        <v>17</v>
      </c>
      <c r="C2297" s="113">
        <v>1200</v>
      </c>
      <c r="D2297" s="113">
        <v>12001</v>
      </c>
      <c r="E2297" s="113">
        <v>1</v>
      </c>
      <c r="F2297" s="113" t="s">
        <v>9</v>
      </c>
      <c r="G2297" s="113" t="s">
        <v>9</v>
      </c>
      <c r="H2297" s="113">
        <v>0</v>
      </c>
      <c r="I2297" s="113">
        <v>0</v>
      </c>
      <c r="K2297" s="113">
        <v>5.7794999999999996</v>
      </c>
      <c r="L2297" s="113">
        <v>1.5456000000000001E-6</v>
      </c>
      <c r="M2297" s="113">
        <v>5.7725</v>
      </c>
      <c r="N2297" s="113">
        <v>9.5753999999999998E-7</v>
      </c>
      <c r="O2297" s="114" t="s">
        <v>716</v>
      </c>
    </row>
    <row r="2298" spans="1:15" x14ac:dyDescent="0.25">
      <c r="A2298" s="113" t="s">
        <v>54</v>
      </c>
      <c r="B2298" s="113" t="s">
        <v>17</v>
      </c>
      <c r="C2298" s="113">
        <v>1200</v>
      </c>
      <c r="D2298" s="113">
        <v>12001</v>
      </c>
      <c r="E2298" s="113">
        <v>10</v>
      </c>
      <c r="F2298" s="113" t="s">
        <v>9</v>
      </c>
      <c r="G2298" s="113" t="s">
        <v>9</v>
      </c>
      <c r="H2298" s="113">
        <v>0</v>
      </c>
      <c r="I2298" s="113">
        <v>0</v>
      </c>
      <c r="K2298" s="113">
        <v>57.738999999999997</v>
      </c>
      <c r="L2298" s="113">
        <v>3.3237E-7</v>
      </c>
      <c r="M2298" s="113">
        <v>57.734999999999999</v>
      </c>
      <c r="N2298" s="113">
        <v>9.5840000000000003E-8</v>
      </c>
      <c r="O2298" s="114" t="s">
        <v>717</v>
      </c>
    </row>
    <row r="2299" spans="1:15" x14ac:dyDescent="0.25">
      <c r="A2299" s="113" t="s">
        <v>54</v>
      </c>
      <c r="B2299" s="113" t="s">
        <v>17</v>
      </c>
      <c r="C2299" s="113">
        <v>12000</v>
      </c>
      <c r="D2299" s="113">
        <v>120010</v>
      </c>
      <c r="E2299" s="113">
        <v>1</v>
      </c>
      <c r="F2299" s="113" t="s">
        <v>9</v>
      </c>
      <c r="G2299" s="113" t="s">
        <v>9</v>
      </c>
      <c r="H2299" s="113">
        <v>0</v>
      </c>
      <c r="I2299" s="113">
        <v>0</v>
      </c>
      <c r="K2299" s="113">
        <v>19</v>
      </c>
      <c r="L2299" s="113">
        <v>2.8E-5</v>
      </c>
      <c r="M2299" s="113">
        <v>17.329999999999998</v>
      </c>
      <c r="N2299" s="113">
        <v>2.8853999999999999E-5</v>
      </c>
      <c r="O2299" s="114" t="s">
        <v>718</v>
      </c>
    </row>
    <row r="2300" spans="1:15" x14ac:dyDescent="0.25">
      <c r="A2300" s="113" t="s">
        <v>54</v>
      </c>
      <c r="B2300" s="113" t="s">
        <v>17</v>
      </c>
      <c r="C2300" s="113">
        <v>12000</v>
      </c>
      <c r="D2300" s="113">
        <v>120010</v>
      </c>
      <c r="E2300" s="113">
        <v>10</v>
      </c>
      <c r="F2300" s="113" t="s">
        <v>9</v>
      </c>
      <c r="G2300" s="113" t="s">
        <v>9</v>
      </c>
      <c r="H2300" s="113">
        <v>0</v>
      </c>
      <c r="I2300" s="113">
        <v>0</v>
      </c>
      <c r="K2300" s="113">
        <v>19</v>
      </c>
      <c r="L2300" s="113">
        <v>2.8E-5</v>
      </c>
      <c r="M2300" s="113">
        <v>18.254999999999999</v>
      </c>
      <c r="N2300" s="113">
        <v>2.7640999999999998E-5</v>
      </c>
      <c r="O2300" s="114" t="s">
        <v>719</v>
      </c>
    </row>
    <row r="2301" spans="1:15" x14ac:dyDescent="0.25">
      <c r="A2301" s="113" t="s">
        <v>54</v>
      </c>
      <c r="B2301" s="113" t="s">
        <v>17</v>
      </c>
      <c r="C2301" s="113">
        <v>12000</v>
      </c>
      <c r="D2301" s="113">
        <v>120010</v>
      </c>
      <c r="E2301" s="113">
        <v>100</v>
      </c>
      <c r="F2301" s="113" t="s">
        <v>9</v>
      </c>
      <c r="G2301" s="113" t="s">
        <v>9</v>
      </c>
      <c r="H2301" s="113">
        <v>0</v>
      </c>
      <c r="I2301" s="113">
        <v>0</v>
      </c>
      <c r="K2301" s="113">
        <v>60.591999999999999</v>
      </c>
      <c r="L2301" s="113">
        <v>1.1287000000000001E-5</v>
      </c>
      <c r="M2301" s="113">
        <v>60.268999999999998</v>
      </c>
      <c r="N2301" s="113">
        <v>9.1177999999999993E-6</v>
      </c>
      <c r="O2301" s="114" t="s">
        <v>720</v>
      </c>
    </row>
    <row r="2302" spans="1:15" x14ac:dyDescent="0.25">
      <c r="A2302" s="113" t="s">
        <v>54</v>
      </c>
      <c r="B2302" s="113" t="s">
        <v>17</v>
      </c>
      <c r="C2302" s="113">
        <v>12000</v>
      </c>
      <c r="D2302" s="113">
        <v>120010</v>
      </c>
      <c r="E2302" s="113">
        <v>1000</v>
      </c>
      <c r="F2302" s="113" t="s">
        <v>9</v>
      </c>
      <c r="G2302" s="113" t="s">
        <v>9</v>
      </c>
      <c r="H2302" s="113">
        <v>0</v>
      </c>
      <c r="I2302" s="113">
        <v>0</v>
      </c>
      <c r="K2302" s="113">
        <v>577.75</v>
      </c>
      <c r="L2302" s="113">
        <v>1.9059E-6</v>
      </c>
      <c r="M2302" s="113">
        <v>577.61</v>
      </c>
      <c r="N2302" s="113">
        <v>9.6075000000000008E-7</v>
      </c>
      <c r="O2302" s="114" t="s">
        <v>721</v>
      </c>
    </row>
    <row r="2303" spans="1:15" x14ac:dyDescent="0.25">
      <c r="A2303" s="113" t="s">
        <v>54</v>
      </c>
      <c r="B2303" s="113" t="s">
        <v>17</v>
      </c>
      <c r="C2303" s="113">
        <v>120000</v>
      </c>
      <c r="D2303" s="113">
        <v>1200010</v>
      </c>
      <c r="E2303" s="113">
        <v>10</v>
      </c>
      <c r="F2303" s="113" t="s">
        <v>9</v>
      </c>
      <c r="G2303" s="113" t="s">
        <v>9</v>
      </c>
      <c r="H2303" s="113">
        <v>0</v>
      </c>
      <c r="I2303" s="113">
        <v>0</v>
      </c>
      <c r="K2303" s="113">
        <v>60</v>
      </c>
      <c r="L2303" s="113">
        <v>1.5999999999999999E-5</v>
      </c>
      <c r="M2303" s="113">
        <v>18.158999999999999</v>
      </c>
      <c r="N2303" s="113">
        <v>2.8435000000000001E-5</v>
      </c>
      <c r="O2303" s="114" t="s">
        <v>722</v>
      </c>
    </row>
    <row r="2304" spans="1:15" x14ac:dyDescent="0.25">
      <c r="A2304" s="113" t="s">
        <v>54</v>
      </c>
      <c r="B2304" s="113" t="s">
        <v>17</v>
      </c>
      <c r="C2304" s="113">
        <v>120000</v>
      </c>
      <c r="D2304" s="113">
        <v>1200010</v>
      </c>
      <c r="E2304" s="113">
        <v>100</v>
      </c>
      <c r="F2304" s="113" t="s">
        <v>9</v>
      </c>
      <c r="G2304" s="113" t="s">
        <v>9</v>
      </c>
      <c r="H2304" s="113">
        <v>0</v>
      </c>
      <c r="I2304" s="113">
        <v>0</v>
      </c>
      <c r="K2304" s="113">
        <v>60.875999999999998</v>
      </c>
      <c r="L2304" s="113">
        <v>1.8461000000000002E-5</v>
      </c>
      <c r="M2304" s="113">
        <v>59.55</v>
      </c>
      <c r="N2304" s="113">
        <v>1.5104E-5</v>
      </c>
      <c r="O2304" s="114" t="s">
        <v>723</v>
      </c>
    </row>
    <row r="2305" spans="1:15" x14ac:dyDescent="0.25">
      <c r="A2305" s="113" t="s">
        <v>54</v>
      </c>
      <c r="B2305" s="113" t="s">
        <v>17</v>
      </c>
      <c r="C2305" s="113">
        <v>120000</v>
      </c>
      <c r="D2305" s="113">
        <v>1200010</v>
      </c>
      <c r="E2305" s="113">
        <v>1000</v>
      </c>
      <c r="F2305" s="113" t="s">
        <v>9</v>
      </c>
      <c r="G2305" s="113" t="s">
        <v>9</v>
      </c>
      <c r="H2305" s="113">
        <v>0</v>
      </c>
      <c r="I2305" s="113">
        <v>0</v>
      </c>
      <c r="K2305" s="113">
        <v>578.01</v>
      </c>
      <c r="L2305" s="113">
        <v>3.8670999999999998E-6</v>
      </c>
      <c r="M2305" s="113">
        <v>577.51</v>
      </c>
      <c r="N2305" s="113">
        <v>1.8143999999999999E-6</v>
      </c>
      <c r="O2305" s="114" t="s">
        <v>724</v>
      </c>
    </row>
    <row r="2306" spans="1:15" x14ac:dyDescent="0.25">
      <c r="A2306" s="113" t="s">
        <v>54</v>
      </c>
      <c r="B2306" s="113" t="s">
        <v>17</v>
      </c>
      <c r="C2306" s="113">
        <v>120000</v>
      </c>
      <c r="D2306" s="113">
        <v>1200010</v>
      </c>
      <c r="E2306" s="113">
        <v>10000</v>
      </c>
      <c r="F2306" s="113" t="s">
        <v>9</v>
      </c>
      <c r="G2306" s="113" t="s">
        <v>9</v>
      </c>
      <c r="H2306" s="113">
        <v>0</v>
      </c>
      <c r="I2306" s="113">
        <v>0</v>
      </c>
      <c r="K2306" s="113">
        <v>5773.8</v>
      </c>
      <c r="L2306" s="113">
        <v>1.0097E-6</v>
      </c>
      <c r="M2306" s="113">
        <v>5773.6</v>
      </c>
      <c r="N2306" s="113">
        <v>1.8185999999999999E-7</v>
      </c>
      <c r="O2306" s="114" t="s">
        <v>725</v>
      </c>
    </row>
    <row r="2307" spans="1:15" x14ac:dyDescent="0.25">
      <c r="A2307" s="113" t="s">
        <v>54</v>
      </c>
      <c r="B2307" s="113" t="s">
        <v>17</v>
      </c>
      <c r="C2307" s="113">
        <v>1200000</v>
      </c>
      <c r="D2307" s="113">
        <v>2000000</v>
      </c>
      <c r="E2307" s="113">
        <v>100</v>
      </c>
      <c r="F2307" s="113" t="s">
        <v>9</v>
      </c>
      <c r="G2307" s="113" t="s">
        <v>10</v>
      </c>
      <c r="H2307" s="113">
        <v>0</v>
      </c>
      <c r="I2307" s="113">
        <v>0</v>
      </c>
      <c r="K2307" s="113">
        <v>0.43</v>
      </c>
      <c r="L2307" s="113">
        <v>1.2999999999999999E-4</v>
      </c>
      <c r="M2307" s="113">
        <v>-0.35824</v>
      </c>
      <c r="N2307" s="113">
        <v>3.6326000000000002E-4</v>
      </c>
      <c r="O2307" s="114" t="s">
        <v>726</v>
      </c>
    </row>
    <row r="2308" spans="1:15" x14ac:dyDescent="0.25">
      <c r="A2308" s="113" t="s">
        <v>54</v>
      </c>
      <c r="B2308" s="113" t="s">
        <v>17</v>
      </c>
      <c r="C2308" s="113">
        <v>1200000</v>
      </c>
      <c r="D2308" s="113">
        <v>2000000</v>
      </c>
      <c r="E2308" s="113">
        <v>1000</v>
      </c>
      <c r="F2308" s="113" t="s">
        <v>9</v>
      </c>
      <c r="G2308" s="113" t="s">
        <v>10</v>
      </c>
      <c r="H2308" s="113">
        <v>0</v>
      </c>
      <c r="I2308" s="113">
        <v>0</v>
      </c>
      <c r="K2308" s="113">
        <v>0.43</v>
      </c>
      <c r="L2308" s="113">
        <v>1.4137000000000001E-4</v>
      </c>
      <c r="M2308" s="113">
        <v>0.42565999999999998</v>
      </c>
      <c r="N2308" s="113">
        <v>1.2836E-4</v>
      </c>
      <c r="O2308" s="114" t="s">
        <v>727</v>
      </c>
    </row>
    <row r="2309" spans="1:15" x14ac:dyDescent="0.25">
      <c r="A2309" s="113" t="s">
        <v>54</v>
      </c>
      <c r="B2309" s="113" t="s">
        <v>17</v>
      </c>
      <c r="C2309" s="113">
        <v>1200000</v>
      </c>
      <c r="D2309" s="113">
        <v>2000000</v>
      </c>
      <c r="E2309" s="113">
        <v>10000</v>
      </c>
      <c r="F2309" s="113" t="s">
        <v>9</v>
      </c>
      <c r="G2309" s="113" t="s">
        <v>10</v>
      </c>
      <c r="H2309" s="113">
        <v>0</v>
      </c>
      <c r="I2309" s="113">
        <v>0</v>
      </c>
      <c r="K2309" s="113">
        <v>5.7549000000000001</v>
      </c>
      <c r="L2309" s="113">
        <v>2.1951E-5</v>
      </c>
      <c r="M2309" s="113">
        <v>5.7569999999999997</v>
      </c>
      <c r="N2309" s="113">
        <v>1.4015E-5</v>
      </c>
      <c r="O2309" s="114" t="s">
        <v>728</v>
      </c>
    </row>
    <row r="2310" spans="1:15" x14ac:dyDescent="0.25">
      <c r="A2310" s="113" t="s">
        <v>54</v>
      </c>
      <c r="B2310" s="113" t="s">
        <v>17</v>
      </c>
      <c r="C2310" s="113">
        <v>1200000</v>
      </c>
      <c r="D2310" s="113">
        <v>2000000</v>
      </c>
      <c r="E2310" s="113">
        <v>100000</v>
      </c>
      <c r="F2310" s="113" t="s">
        <v>9</v>
      </c>
      <c r="G2310" s="113" t="s">
        <v>10</v>
      </c>
      <c r="H2310" s="113">
        <v>0</v>
      </c>
      <c r="I2310" s="113">
        <v>0</v>
      </c>
      <c r="K2310" s="113">
        <v>57.732999999999997</v>
      </c>
      <c r="L2310" s="113">
        <v>4.5960999999999999E-6</v>
      </c>
      <c r="M2310" s="113">
        <v>57.734000000000002</v>
      </c>
      <c r="N2310" s="113">
        <v>1.4028999999999999E-6</v>
      </c>
      <c r="O2310" s="114" t="s">
        <v>729</v>
      </c>
    </row>
    <row r="2311" spans="1:15" x14ac:dyDescent="0.25">
      <c r="A2311" s="113" t="s">
        <v>54</v>
      </c>
      <c r="B2311" s="113" t="s">
        <v>17</v>
      </c>
      <c r="C2311" s="113">
        <v>2000000</v>
      </c>
      <c r="D2311" s="113">
        <v>2001000</v>
      </c>
      <c r="E2311" s="113">
        <v>100</v>
      </c>
      <c r="F2311" s="113" t="s">
        <v>9</v>
      </c>
      <c r="G2311" s="113" t="s">
        <v>10</v>
      </c>
      <c r="H2311" s="113">
        <v>0</v>
      </c>
      <c r="I2311" s="113">
        <v>0</v>
      </c>
      <c r="K2311" s="113">
        <v>0.43</v>
      </c>
      <c r="L2311" s="113">
        <v>1.2999999999999999E-4</v>
      </c>
      <c r="M2311" s="113">
        <v>-0.35824</v>
      </c>
      <c r="N2311" s="113">
        <v>3.6326000000000002E-4</v>
      </c>
      <c r="O2311" s="114" t="s">
        <v>730</v>
      </c>
    </row>
    <row r="2312" spans="1:15" x14ac:dyDescent="0.25">
      <c r="A2312" s="113" t="s">
        <v>54</v>
      </c>
      <c r="B2312" s="113" t="s">
        <v>17</v>
      </c>
      <c r="C2312" s="113">
        <v>2000000</v>
      </c>
      <c r="D2312" s="113">
        <v>2001000</v>
      </c>
      <c r="E2312" s="113">
        <v>1000</v>
      </c>
      <c r="F2312" s="113" t="s">
        <v>9</v>
      </c>
      <c r="G2312" s="113" t="s">
        <v>10</v>
      </c>
      <c r="H2312" s="113">
        <v>0</v>
      </c>
      <c r="I2312" s="113">
        <v>0</v>
      </c>
      <c r="K2312" s="113">
        <v>0.43</v>
      </c>
      <c r="L2312" s="113">
        <v>1.4137000000000001E-4</v>
      </c>
      <c r="M2312" s="113">
        <v>0.42565999999999998</v>
      </c>
      <c r="N2312" s="113">
        <v>1.2836E-4</v>
      </c>
      <c r="O2312" s="114" t="s">
        <v>731</v>
      </c>
    </row>
    <row r="2313" spans="1:15" x14ac:dyDescent="0.25">
      <c r="A2313" s="113" t="s">
        <v>54</v>
      </c>
      <c r="B2313" s="113" t="s">
        <v>17</v>
      </c>
      <c r="C2313" s="113">
        <v>2000000</v>
      </c>
      <c r="D2313" s="113">
        <v>2001000</v>
      </c>
      <c r="E2313" s="113">
        <v>10000</v>
      </c>
      <c r="F2313" s="113" t="s">
        <v>9</v>
      </c>
      <c r="G2313" s="113" t="s">
        <v>10</v>
      </c>
      <c r="H2313" s="113">
        <v>0</v>
      </c>
      <c r="I2313" s="113">
        <v>0</v>
      </c>
      <c r="K2313" s="113">
        <v>5.7549000000000001</v>
      </c>
      <c r="L2313" s="113">
        <v>2.1951E-5</v>
      </c>
      <c r="M2313" s="113">
        <v>5.7569999999999997</v>
      </c>
      <c r="N2313" s="113">
        <v>1.4015E-5</v>
      </c>
      <c r="O2313" s="114" t="s">
        <v>732</v>
      </c>
    </row>
    <row r="2314" spans="1:15" x14ac:dyDescent="0.25">
      <c r="A2314" s="113" t="s">
        <v>54</v>
      </c>
      <c r="B2314" s="113" t="s">
        <v>17</v>
      </c>
      <c r="C2314" s="113">
        <v>2000000</v>
      </c>
      <c r="D2314" s="113">
        <v>2001000</v>
      </c>
      <c r="E2314" s="113">
        <v>100000</v>
      </c>
      <c r="F2314" s="113" t="s">
        <v>9</v>
      </c>
      <c r="G2314" s="113" t="s">
        <v>10</v>
      </c>
      <c r="H2314" s="113">
        <v>0</v>
      </c>
      <c r="I2314" s="113">
        <v>0</v>
      </c>
      <c r="K2314" s="113">
        <v>57.732999999999997</v>
      </c>
      <c r="L2314" s="113">
        <v>4.5960999999999999E-6</v>
      </c>
      <c r="M2314" s="113">
        <v>57.734000000000002</v>
      </c>
      <c r="N2314" s="113">
        <v>1.4028999999999999E-6</v>
      </c>
      <c r="O2314" s="114" t="s">
        <v>733</v>
      </c>
    </row>
    <row r="2315" spans="1:15" x14ac:dyDescent="0.25">
      <c r="A2315" s="113" t="s">
        <v>54</v>
      </c>
      <c r="B2315" s="113" t="s">
        <v>7</v>
      </c>
      <c r="C2315" s="113">
        <v>0</v>
      </c>
      <c r="D2315" s="113">
        <v>11.000999999999999</v>
      </c>
      <c r="E2315" s="113">
        <v>1E-3</v>
      </c>
      <c r="F2315" s="113" t="s">
        <v>102</v>
      </c>
      <c r="G2315" s="113" t="s">
        <v>48</v>
      </c>
      <c r="H2315" s="113">
        <v>0</v>
      </c>
      <c r="I2315" s="113">
        <v>0</v>
      </c>
      <c r="K2315" s="113">
        <v>12</v>
      </c>
      <c r="L2315" s="113">
        <v>0.14000000000000001</v>
      </c>
      <c r="M2315" s="113">
        <v>11.576000000000001</v>
      </c>
      <c r="N2315" s="113">
        <v>0.13830000000000001</v>
      </c>
      <c r="O2315" s="114" t="s">
        <v>625</v>
      </c>
    </row>
    <row r="2316" spans="1:15" x14ac:dyDescent="0.25">
      <c r="A2316" s="113" t="s">
        <v>54</v>
      </c>
      <c r="B2316" s="113" t="s">
        <v>7</v>
      </c>
      <c r="C2316" s="113">
        <v>0</v>
      </c>
      <c r="D2316" s="113">
        <v>11.000999999999999</v>
      </c>
      <c r="E2316" s="113">
        <v>0.01</v>
      </c>
      <c r="F2316" s="113" t="s">
        <v>102</v>
      </c>
      <c r="G2316" s="113" t="s">
        <v>48</v>
      </c>
      <c r="H2316" s="113">
        <v>0</v>
      </c>
      <c r="I2316" s="113">
        <v>0</v>
      </c>
      <c r="K2316" s="113">
        <v>12.939</v>
      </c>
      <c r="L2316" s="113">
        <v>0.12581000000000001</v>
      </c>
      <c r="M2316" s="113">
        <v>12.935</v>
      </c>
      <c r="N2316" s="113">
        <v>0.12525</v>
      </c>
      <c r="O2316" s="114" t="s">
        <v>626</v>
      </c>
    </row>
    <row r="2317" spans="1:15" x14ac:dyDescent="0.25">
      <c r="A2317" s="113" t="s">
        <v>54</v>
      </c>
      <c r="B2317" s="113" t="s">
        <v>7</v>
      </c>
      <c r="C2317" s="113">
        <v>0</v>
      </c>
      <c r="D2317" s="113">
        <v>11.000999999999999</v>
      </c>
      <c r="E2317" s="113">
        <v>0.1</v>
      </c>
      <c r="F2317" s="113" t="s">
        <v>102</v>
      </c>
      <c r="G2317" s="113" t="s">
        <v>48</v>
      </c>
      <c r="H2317" s="113">
        <v>0</v>
      </c>
      <c r="I2317" s="113">
        <v>0</v>
      </c>
      <c r="K2317" s="113">
        <v>59.143999999999998</v>
      </c>
      <c r="L2317" s="113">
        <v>2.9356E-2</v>
      </c>
      <c r="M2317" s="113">
        <v>59.140999999999998</v>
      </c>
      <c r="N2317" s="113">
        <v>2.8788000000000001E-2</v>
      </c>
      <c r="O2317" s="114" t="s">
        <v>627</v>
      </c>
    </row>
    <row r="2318" spans="1:15" x14ac:dyDescent="0.25">
      <c r="A2318" s="113" t="s">
        <v>54</v>
      </c>
      <c r="B2318" s="113" t="s">
        <v>7</v>
      </c>
      <c r="C2318" s="113">
        <v>0</v>
      </c>
      <c r="D2318" s="113">
        <v>11.000999999999999</v>
      </c>
      <c r="E2318" s="113">
        <v>1</v>
      </c>
      <c r="F2318" s="113" t="s">
        <v>102</v>
      </c>
      <c r="G2318" s="113" t="s">
        <v>48</v>
      </c>
      <c r="H2318" s="113">
        <v>0</v>
      </c>
      <c r="I2318" s="113">
        <v>0</v>
      </c>
      <c r="K2318" s="113">
        <v>580.12</v>
      </c>
      <c r="L2318" s="113">
        <v>3.176E-3</v>
      </c>
      <c r="M2318" s="113">
        <v>580.12</v>
      </c>
      <c r="N2318" s="113">
        <v>2.9426999999999999E-3</v>
      </c>
      <c r="O2318" s="114" t="s">
        <v>628</v>
      </c>
    </row>
    <row r="2319" spans="1:15" x14ac:dyDescent="0.25">
      <c r="A2319" s="113" t="s">
        <v>54</v>
      </c>
      <c r="B2319" s="113" t="s">
        <v>7</v>
      </c>
      <c r="C2319" s="113">
        <v>0</v>
      </c>
      <c r="D2319" s="113">
        <v>11.000999999999999</v>
      </c>
      <c r="E2319" s="113">
        <v>10</v>
      </c>
      <c r="F2319" s="113" t="s">
        <v>102</v>
      </c>
      <c r="G2319" s="113" t="s">
        <v>48</v>
      </c>
      <c r="H2319" s="113">
        <v>0</v>
      </c>
      <c r="I2319" s="113">
        <v>0</v>
      </c>
      <c r="K2319" s="113">
        <v>5800</v>
      </c>
      <c r="L2319" s="113">
        <v>3.8767000000000001E-4</v>
      </c>
      <c r="M2319" s="113">
        <v>5800</v>
      </c>
      <c r="N2319" s="113">
        <v>2.9433999999999998E-4</v>
      </c>
      <c r="O2319" s="114" t="s">
        <v>629</v>
      </c>
    </row>
    <row r="2320" spans="1:15" x14ac:dyDescent="0.25">
      <c r="A2320" s="113" t="s">
        <v>54</v>
      </c>
      <c r="B2320" s="113" t="s">
        <v>7</v>
      </c>
      <c r="C2320" s="113">
        <v>0</v>
      </c>
      <c r="D2320" s="113">
        <v>11.000999999999999</v>
      </c>
      <c r="E2320" s="113">
        <v>100</v>
      </c>
      <c r="F2320" s="113" t="s">
        <v>102</v>
      </c>
      <c r="G2320" s="113" t="s">
        <v>48</v>
      </c>
      <c r="H2320" s="113">
        <v>0</v>
      </c>
      <c r="I2320" s="113">
        <v>0</v>
      </c>
      <c r="K2320" s="113">
        <v>58000</v>
      </c>
      <c r="L2320" s="113">
        <v>6.6765000000000002E-5</v>
      </c>
      <c r="M2320" s="113">
        <v>58000</v>
      </c>
      <c r="N2320" s="113">
        <v>2.9434E-5</v>
      </c>
      <c r="O2320" s="114" t="s">
        <v>630</v>
      </c>
    </row>
    <row r="2321" spans="1:15" x14ac:dyDescent="0.25">
      <c r="A2321" s="113" t="s">
        <v>54</v>
      </c>
      <c r="B2321" s="113" t="s">
        <v>7</v>
      </c>
      <c r="C2321" s="113">
        <v>0</v>
      </c>
      <c r="D2321" s="113">
        <v>11.000999999999999</v>
      </c>
      <c r="E2321" s="113">
        <v>1000</v>
      </c>
      <c r="F2321" s="113" t="s">
        <v>102</v>
      </c>
      <c r="G2321" s="113" t="s">
        <v>48</v>
      </c>
      <c r="H2321" s="113">
        <v>0</v>
      </c>
      <c r="I2321" s="113">
        <v>0</v>
      </c>
      <c r="K2321" s="113">
        <v>580000</v>
      </c>
      <c r="L2321" s="113">
        <v>1.7876E-5</v>
      </c>
      <c r="M2321" s="113">
        <v>580000</v>
      </c>
      <c r="N2321" s="113">
        <v>2.9434000000000001E-6</v>
      </c>
      <c r="O2321" s="114" t="s">
        <v>631</v>
      </c>
    </row>
    <row r="2322" spans="1:15" x14ac:dyDescent="0.25">
      <c r="A2322" s="113" t="s">
        <v>54</v>
      </c>
      <c r="B2322" s="113" t="s">
        <v>7</v>
      </c>
      <c r="C2322" s="113">
        <v>0</v>
      </c>
      <c r="D2322" s="113">
        <v>11.000999999999999</v>
      </c>
      <c r="E2322" s="113">
        <v>10000</v>
      </c>
      <c r="F2322" s="113" t="s">
        <v>102</v>
      </c>
      <c r="G2322" s="113" t="s">
        <v>48</v>
      </c>
      <c r="H2322" s="113">
        <v>0</v>
      </c>
      <c r="I2322" s="113">
        <v>0</v>
      </c>
      <c r="K2322" s="113">
        <v>5800000</v>
      </c>
      <c r="L2322" s="113">
        <v>6.2674000000000003E-6</v>
      </c>
      <c r="M2322" s="113">
        <v>5800000</v>
      </c>
      <c r="N2322" s="113">
        <v>2.9434999999999999E-7</v>
      </c>
      <c r="O2322" s="114" t="s">
        <v>632</v>
      </c>
    </row>
    <row r="2323" spans="1:15" x14ac:dyDescent="0.25">
      <c r="A2323" s="113" t="s">
        <v>54</v>
      </c>
      <c r="B2323" s="113" t="s">
        <v>7</v>
      </c>
      <c r="C2323" s="113">
        <v>0</v>
      </c>
      <c r="D2323" s="113">
        <v>11.000999999999999</v>
      </c>
      <c r="E2323" s="113">
        <v>100000</v>
      </c>
      <c r="F2323" s="113" t="s">
        <v>102</v>
      </c>
      <c r="G2323" s="113" t="s">
        <v>48</v>
      </c>
      <c r="H2323" s="113">
        <v>0</v>
      </c>
      <c r="I2323" s="113">
        <v>0</v>
      </c>
      <c r="K2323" s="113">
        <v>58000000</v>
      </c>
      <c r="L2323" s="113">
        <v>2.4177000000000002E-6</v>
      </c>
      <c r="M2323" s="113">
        <v>58000000</v>
      </c>
      <c r="N2323" s="113">
        <v>2.9391999999999999E-8</v>
      </c>
      <c r="O2323" s="114" t="s">
        <v>633</v>
      </c>
    </row>
    <row r="2324" spans="1:15" x14ac:dyDescent="0.25">
      <c r="A2324" s="113" t="s">
        <v>54</v>
      </c>
      <c r="B2324" s="113" t="s">
        <v>7</v>
      </c>
      <c r="C2324" s="113">
        <v>0</v>
      </c>
      <c r="D2324" s="113">
        <v>11.000999999999999</v>
      </c>
      <c r="E2324" s="113">
        <v>1000000</v>
      </c>
      <c r="F2324" s="113" t="s">
        <v>102</v>
      </c>
      <c r="G2324" s="113" t="s">
        <v>48</v>
      </c>
      <c r="H2324" s="113">
        <v>0</v>
      </c>
      <c r="I2324" s="113">
        <v>0</v>
      </c>
      <c r="K2324" s="113">
        <v>580000000</v>
      </c>
      <c r="L2324" s="113">
        <v>9.5148999999999995E-7</v>
      </c>
      <c r="M2324" s="113">
        <v>580000000</v>
      </c>
      <c r="N2324" s="113">
        <v>0</v>
      </c>
      <c r="O2324" s="114" t="s">
        <v>634</v>
      </c>
    </row>
    <row r="2325" spans="1:15" x14ac:dyDescent="0.25">
      <c r="A2325" s="113" t="s">
        <v>54</v>
      </c>
      <c r="B2325" s="113" t="s">
        <v>7</v>
      </c>
      <c r="C2325" s="113">
        <v>0</v>
      </c>
      <c r="D2325" s="113">
        <v>11.000999999999999</v>
      </c>
      <c r="E2325" s="113">
        <v>10000000</v>
      </c>
      <c r="F2325" s="113" t="s">
        <v>102</v>
      </c>
      <c r="G2325" s="113" t="s">
        <v>48</v>
      </c>
      <c r="H2325" s="113">
        <v>0</v>
      </c>
      <c r="I2325" s="113">
        <v>0</v>
      </c>
      <c r="K2325" s="113">
        <v>5800000000</v>
      </c>
      <c r="L2325" s="113">
        <v>0</v>
      </c>
      <c r="M2325" s="113">
        <v>5800000000</v>
      </c>
      <c r="N2325" s="113">
        <v>0</v>
      </c>
      <c r="O2325" s="114" t="s">
        <v>635</v>
      </c>
    </row>
    <row r="2326" spans="1:15" x14ac:dyDescent="0.25">
      <c r="A2326" s="113" t="s">
        <v>54</v>
      </c>
      <c r="B2326" s="113" t="s">
        <v>7</v>
      </c>
      <c r="C2326" s="113">
        <v>11</v>
      </c>
      <c r="D2326" s="113">
        <v>33.000999999999998</v>
      </c>
      <c r="E2326" s="113">
        <v>1E-3</v>
      </c>
      <c r="F2326" s="113" t="s">
        <v>102</v>
      </c>
      <c r="G2326" s="113" t="s">
        <v>48</v>
      </c>
      <c r="H2326" s="113">
        <v>0</v>
      </c>
      <c r="I2326" s="113">
        <v>0</v>
      </c>
      <c r="K2326" s="113">
        <v>18</v>
      </c>
      <c r="L2326" s="113">
        <v>0.14000000000000001</v>
      </c>
      <c r="M2326" s="113">
        <v>17.338999999999999</v>
      </c>
      <c r="N2326" s="113">
        <v>0.13885</v>
      </c>
      <c r="O2326" s="114" t="s">
        <v>636</v>
      </c>
    </row>
    <row r="2327" spans="1:15" x14ac:dyDescent="0.25">
      <c r="A2327" s="113" t="s">
        <v>54</v>
      </c>
      <c r="B2327" s="113" t="s">
        <v>7</v>
      </c>
      <c r="C2327" s="113">
        <v>11</v>
      </c>
      <c r="D2327" s="113">
        <v>33.000999999999998</v>
      </c>
      <c r="E2327" s="113">
        <v>0.01</v>
      </c>
      <c r="F2327" s="113" t="s">
        <v>102</v>
      </c>
      <c r="G2327" s="113" t="s">
        <v>48</v>
      </c>
      <c r="H2327" s="113">
        <v>0</v>
      </c>
      <c r="I2327" s="113">
        <v>0</v>
      </c>
      <c r="K2327" s="113">
        <v>18.263000000000002</v>
      </c>
      <c r="L2327" s="113">
        <v>0.13372000000000001</v>
      </c>
      <c r="M2327" s="113">
        <v>18.257999999999999</v>
      </c>
      <c r="N2327" s="113">
        <v>0.13356999999999999</v>
      </c>
      <c r="O2327" s="114" t="s">
        <v>637</v>
      </c>
    </row>
    <row r="2328" spans="1:15" x14ac:dyDescent="0.25">
      <c r="A2328" s="113" t="s">
        <v>54</v>
      </c>
      <c r="B2328" s="113" t="s">
        <v>7</v>
      </c>
      <c r="C2328" s="113">
        <v>11</v>
      </c>
      <c r="D2328" s="113">
        <v>33.000999999999998</v>
      </c>
      <c r="E2328" s="113">
        <v>0.1</v>
      </c>
      <c r="F2328" s="113" t="s">
        <v>102</v>
      </c>
      <c r="G2328" s="113" t="s">
        <v>48</v>
      </c>
      <c r="H2328" s="113">
        <v>0</v>
      </c>
      <c r="I2328" s="113">
        <v>0</v>
      </c>
      <c r="K2328" s="113">
        <v>60.487000000000002</v>
      </c>
      <c r="L2328" s="113">
        <v>4.6303999999999998E-2</v>
      </c>
      <c r="M2328" s="113">
        <v>60.481000000000002</v>
      </c>
      <c r="N2328" s="113">
        <v>4.6039999999999998E-2</v>
      </c>
      <c r="O2328" s="114" t="s">
        <v>638</v>
      </c>
    </row>
    <row r="2329" spans="1:15" x14ac:dyDescent="0.25">
      <c r="A2329" s="113" t="s">
        <v>54</v>
      </c>
      <c r="B2329" s="113" t="s">
        <v>7</v>
      </c>
      <c r="C2329" s="113">
        <v>11</v>
      </c>
      <c r="D2329" s="113">
        <v>33.000999999999998</v>
      </c>
      <c r="E2329" s="113">
        <v>1</v>
      </c>
      <c r="F2329" s="113" t="s">
        <v>102</v>
      </c>
      <c r="G2329" s="113" t="s">
        <v>48</v>
      </c>
      <c r="H2329" s="113">
        <v>0</v>
      </c>
      <c r="I2329" s="113">
        <v>0</v>
      </c>
      <c r="K2329" s="113">
        <v>580.26</v>
      </c>
      <c r="L2329" s="113">
        <v>4.9937999999999996E-3</v>
      </c>
      <c r="M2329" s="113">
        <v>580.25</v>
      </c>
      <c r="N2329" s="113">
        <v>4.8783000000000003E-3</v>
      </c>
      <c r="O2329" s="114" t="s">
        <v>639</v>
      </c>
    </row>
    <row r="2330" spans="1:15" x14ac:dyDescent="0.25">
      <c r="A2330" s="113" t="s">
        <v>54</v>
      </c>
      <c r="B2330" s="113" t="s">
        <v>7</v>
      </c>
      <c r="C2330" s="113">
        <v>33</v>
      </c>
      <c r="D2330" s="113">
        <v>110.01</v>
      </c>
      <c r="E2330" s="113">
        <v>1E-3</v>
      </c>
      <c r="F2330" s="113" t="s">
        <v>102</v>
      </c>
      <c r="G2330" s="113" t="s">
        <v>48</v>
      </c>
      <c r="H2330" s="113">
        <v>0</v>
      </c>
      <c r="I2330" s="113">
        <v>0</v>
      </c>
      <c r="K2330" s="113">
        <v>18</v>
      </c>
      <c r="L2330" s="113">
        <v>0.1</v>
      </c>
      <c r="M2330" s="113">
        <v>17.341999999999999</v>
      </c>
      <c r="N2330" s="113">
        <v>0.10406</v>
      </c>
      <c r="O2330" s="114" t="s">
        <v>640</v>
      </c>
    </row>
    <row r="2331" spans="1:15" x14ac:dyDescent="0.25">
      <c r="A2331" s="113" t="s">
        <v>54</v>
      </c>
      <c r="B2331" s="113" t="s">
        <v>7</v>
      </c>
      <c r="C2331" s="113">
        <v>33</v>
      </c>
      <c r="D2331" s="113">
        <v>110.01</v>
      </c>
      <c r="E2331" s="113">
        <v>0.01</v>
      </c>
      <c r="F2331" s="113" t="s">
        <v>102</v>
      </c>
      <c r="G2331" s="113" t="s">
        <v>48</v>
      </c>
      <c r="H2331" s="113">
        <v>0</v>
      </c>
      <c r="I2331" s="113">
        <v>0</v>
      </c>
      <c r="K2331" s="113">
        <v>18.224</v>
      </c>
      <c r="L2331" s="113">
        <v>0.10151</v>
      </c>
      <c r="M2331" s="113">
        <v>18.221</v>
      </c>
      <c r="N2331" s="113">
        <v>0.10128</v>
      </c>
      <c r="O2331" s="114" t="s">
        <v>641</v>
      </c>
    </row>
    <row r="2332" spans="1:15" x14ac:dyDescent="0.25">
      <c r="A2332" s="113" t="s">
        <v>54</v>
      </c>
      <c r="B2332" s="113" t="s">
        <v>7</v>
      </c>
      <c r="C2332" s="113">
        <v>33</v>
      </c>
      <c r="D2332" s="113">
        <v>110.01</v>
      </c>
      <c r="E2332" s="113">
        <v>0.1</v>
      </c>
      <c r="F2332" s="113" t="s">
        <v>102</v>
      </c>
      <c r="G2332" s="113" t="s">
        <v>48</v>
      </c>
      <c r="H2332" s="113">
        <v>0</v>
      </c>
      <c r="I2332" s="113">
        <v>0</v>
      </c>
      <c r="K2332" s="113">
        <v>60.259</v>
      </c>
      <c r="L2332" s="113">
        <v>4.1284000000000001E-2</v>
      </c>
      <c r="M2332" s="113">
        <v>60.259</v>
      </c>
      <c r="N2332" s="113">
        <v>4.0820000000000002E-2</v>
      </c>
      <c r="O2332" s="114" t="s">
        <v>642</v>
      </c>
    </row>
    <row r="2333" spans="1:15" x14ac:dyDescent="0.25">
      <c r="A2333" s="113" t="s">
        <v>54</v>
      </c>
      <c r="B2333" s="113" t="s">
        <v>7</v>
      </c>
      <c r="C2333" s="113">
        <v>33</v>
      </c>
      <c r="D2333" s="113">
        <v>110.01</v>
      </c>
      <c r="E2333" s="113">
        <v>1</v>
      </c>
      <c r="F2333" s="113" t="s">
        <v>102</v>
      </c>
      <c r="G2333" s="113" t="s">
        <v>48</v>
      </c>
      <c r="H2333" s="113">
        <v>0</v>
      </c>
      <c r="I2333" s="113">
        <v>0</v>
      </c>
      <c r="K2333" s="113">
        <v>580.23</v>
      </c>
      <c r="L2333" s="113">
        <v>4.6533E-3</v>
      </c>
      <c r="M2333" s="113">
        <v>580.23</v>
      </c>
      <c r="N2333" s="113">
        <v>4.4422000000000003E-3</v>
      </c>
      <c r="O2333" s="114" t="s">
        <v>643</v>
      </c>
    </row>
    <row r="2334" spans="1:15" x14ac:dyDescent="0.25">
      <c r="A2334" s="113" t="s">
        <v>54</v>
      </c>
      <c r="B2334" s="113" t="s">
        <v>7</v>
      </c>
      <c r="C2334" s="113">
        <v>110</v>
      </c>
      <c r="D2334" s="113">
        <v>330.01</v>
      </c>
      <c r="E2334" s="113">
        <v>1E-3</v>
      </c>
      <c r="F2334" s="113" t="s">
        <v>102</v>
      </c>
      <c r="G2334" s="113" t="s">
        <v>48</v>
      </c>
      <c r="H2334" s="113">
        <v>0</v>
      </c>
      <c r="I2334" s="113">
        <v>0</v>
      </c>
      <c r="K2334" s="113">
        <v>25</v>
      </c>
      <c r="L2334" s="113">
        <v>0.3</v>
      </c>
      <c r="M2334" s="113">
        <v>24.812000000000001</v>
      </c>
      <c r="N2334" s="113">
        <v>0.29687000000000002</v>
      </c>
      <c r="O2334" s="114" t="s">
        <v>644</v>
      </c>
    </row>
    <row r="2335" spans="1:15" x14ac:dyDescent="0.25">
      <c r="A2335" s="113" t="s">
        <v>54</v>
      </c>
      <c r="B2335" s="113" t="s">
        <v>7</v>
      </c>
      <c r="C2335" s="113">
        <v>110</v>
      </c>
      <c r="D2335" s="113">
        <v>330.01</v>
      </c>
      <c r="E2335" s="113">
        <v>0.01</v>
      </c>
      <c r="F2335" s="113" t="s">
        <v>102</v>
      </c>
      <c r="G2335" s="113" t="s">
        <v>48</v>
      </c>
      <c r="H2335" s="113">
        <v>0</v>
      </c>
      <c r="I2335" s="113">
        <v>0</v>
      </c>
      <c r="K2335" s="113">
        <v>25.358000000000001</v>
      </c>
      <c r="L2335" s="113">
        <v>0.29479</v>
      </c>
      <c r="M2335" s="113">
        <v>25.35</v>
      </c>
      <c r="N2335" s="113">
        <v>0.29441000000000001</v>
      </c>
      <c r="O2335" s="114" t="s">
        <v>645</v>
      </c>
    </row>
    <row r="2336" spans="1:15" x14ac:dyDescent="0.25">
      <c r="A2336" s="113" t="s">
        <v>54</v>
      </c>
      <c r="B2336" s="113" t="s">
        <v>7</v>
      </c>
      <c r="C2336" s="113">
        <v>110</v>
      </c>
      <c r="D2336" s="113">
        <v>330.01</v>
      </c>
      <c r="E2336" s="113">
        <v>0.1</v>
      </c>
      <c r="F2336" s="113" t="s">
        <v>102</v>
      </c>
      <c r="G2336" s="113" t="s">
        <v>48</v>
      </c>
      <c r="H2336" s="113">
        <v>0</v>
      </c>
      <c r="I2336" s="113">
        <v>0</v>
      </c>
      <c r="K2336" s="113">
        <v>61.466000000000001</v>
      </c>
      <c r="L2336" s="113">
        <v>0.18435000000000001</v>
      </c>
      <c r="M2336" s="113">
        <v>61.46</v>
      </c>
      <c r="N2336" s="113">
        <v>0.18304999999999999</v>
      </c>
      <c r="O2336" s="114" t="s">
        <v>646</v>
      </c>
    </row>
    <row r="2337" spans="1:15" x14ac:dyDescent="0.25">
      <c r="A2337" s="113" t="s">
        <v>54</v>
      </c>
      <c r="B2337" s="113" t="s">
        <v>7</v>
      </c>
      <c r="C2337" s="113">
        <v>110</v>
      </c>
      <c r="D2337" s="113">
        <v>330.01</v>
      </c>
      <c r="E2337" s="113">
        <v>1</v>
      </c>
      <c r="F2337" s="113" t="s">
        <v>102</v>
      </c>
      <c r="G2337" s="113" t="s">
        <v>48</v>
      </c>
      <c r="H2337" s="113">
        <v>0</v>
      </c>
      <c r="I2337" s="113">
        <v>0</v>
      </c>
      <c r="K2337" s="113">
        <v>580.25</v>
      </c>
      <c r="L2337" s="113">
        <v>2.4237000000000002E-2</v>
      </c>
      <c r="M2337" s="113">
        <v>580.25</v>
      </c>
      <c r="N2337" s="113">
        <v>2.3449000000000001E-2</v>
      </c>
      <c r="O2337" s="114" t="s">
        <v>647</v>
      </c>
    </row>
    <row r="2338" spans="1:15" x14ac:dyDescent="0.25">
      <c r="A2338" s="113" t="s">
        <v>54</v>
      </c>
      <c r="B2338" s="113" t="s">
        <v>7</v>
      </c>
      <c r="C2338" s="113">
        <v>330</v>
      </c>
      <c r="D2338" s="113">
        <v>1100.01</v>
      </c>
      <c r="E2338" s="113">
        <v>0.01</v>
      </c>
      <c r="F2338" s="113" t="s">
        <v>102</v>
      </c>
      <c r="G2338" s="113" t="s">
        <v>48</v>
      </c>
      <c r="H2338" s="113">
        <v>0</v>
      </c>
      <c r="I2338" s="113">
        <v>0</v>
      </c>
      <c r="K2338" s="113">
        <v>28</v>
      </c>
      <c r="L2338" s="113">
        <v>0.1</v>
      </c>
      <c r="M2338" s="113">
        <v>23.818000000000001</v>
      </c>
      <c r="N2338" s="113">
        <v>0.10366</v>
      </c>
      <c r="O2338" s="114" t="s">
        <v>648</v>
      </c>
    </row>
    <row r="2339" spans="1:15" x14ac:dyDescent="0.25">
      <c r="A2339" s="113" t="s">
        <v>54</v>
      </c>
      <c r="B2339" s="113" t="s">
        <v>7</v>
      </c>
      <c r="C2339" s="113">
        <v>330</v>
      </c>
      <c r="D2339" s="113">
        <v>1100.01</v>
      </c>
      <c r="E2339" s="113">
        <v>0.1</v>
      </c>
      <c r="F2339" s="113" t="s">
        <v>102</v>
      </c>
      <c r="G2339" s="113" t="s">
        <v>48</v>
      </c>
      <c r="H2339" s="113">
        <v>0</v>
      </c>
      <c r="I2339" s="113">
        <v>0</v>
      </c>
      <c r="K2339" s="113">
        <v>52.968000000000004</v>
      </c>
      <c r="L2339" s="113">
        <v>8.7891999999999998E-2</v>
      </c>
      <c r="M2339" s="113">
        <v>52.866999999999997</v>
      </c>
      <c r="N2339" s="113">
        <v>8.7789000000000006E-2</v>
      </c>
      <c r="O2339" s="114" t="s">
        <v>649</v>
      </c>
    </row>
    <row r="2340" spans="1:15" x14ac:dyDescent="0.25">
      <c r="A2340" s="113" t="s">
        <v>54</v>
      </c>
      <c r="B2340" s="113" t="s">
        <v>7</v>
      </c>
      <c r="C2340" s="113">
        <v>330</v>
      </c>
      <c r="D2340" s="113">
        <v>1100.01</v>
      </c>
      <c r="E2340" s="113">
        <v>1</v>
      </c>
      <c r="F2340" s="113" t="s">
        <v>102</v>
      </c>
      <c r="G2340" s="113" t="s">
        <v>48</v>
      </c>
      <c r="H2340" s="113">
        <v>0</v>
      </c>
      <c r="I2340" s="113">
        <v>0</v>
      </c>
      <c r="K2340" s="113">
        <v>577.20000000000005</v>
      </c>
      <c r="L2340" s="113">
        <v>1.7401E-2</v>
      </c>
      <c r="M2340" s="113">
        <v>577.17999999999995</v>
      </c>
      <c r="N2340" s="113">
        <v>1.7221E-2</v>
      </c>
      <c r="O2340" s="114" t="s">
        <v>650</v>
      </c>
    </row>
    <row r="2341" spans="1:15" x14ac:dyDescent="0.25">
      <c r="A2341" s="113" t="s">
        <v>54</v>
      </c>
      <c r="B2341" s="113" t="s">
        <v>7</v>
      </c>
      <c r="C2341" s="113">
        <v>330</v>
      </c>
      <c r="D2341" s="113">
        <v>1100.01</v>
      </c>
      <c r="E2341" s="113">
        <v>10</v>
      </c>
      <c r="F2341" s="113" t="s">
        <v>102</v>
      </c>
      <c r="G2341" s="113" t="s">
        <v>48</v>
      </c>
      <c r="H2341" s="113">
        <v>0</v>
      </c>
      <c r="I2341" s="113">
        <v>0</v>
      </c>
      <c r="K2341" s="113">
        <v>5799.7</v>
      </c>
      <c r="L2341" s="113">
        <v>1.8247999999999999E-3</v>
      </c>
      <c r="M2341" s="113">
        <v>5799.7</v>
      </c>
      <c r="N2341" s="113">
        <v>1.75E-3</v>
      </c>
      <c r="O2341" s="114" t="s">
        <v>651</v>
      </c>
    </row>
    <row r="2342" spans="1:15" x14ac:dyDescent="0.25">
      <c r="A2342" s="113" t="s">
        <v>54</v>
      </c>
      <c r="B2342" s="113" t="s">
        <v>7</v>
      </c>
      <c r="C2342" s="113">
        <v>1100</v>
      </c>
      <c r="D2342" s="113">
        <v>3300.1</v>
      </c>
      <c r="E2342" s="113">
        <v>0.01</v>
      </c>
      <c r="F2342" s="113" t="s">
        <v>102</v>
      </c>
      <c r="G2342" s="113" t="s">
        <v>49</v>
      </c>
      <c r="H2342" s="113">
        <v>0</v>
      </c>
      <c r="I2342" s="113">
        <v>0</v>
      </c>
      <c r="K2342" s="113">
        <v>0.25</v>
      </c>
      <c r="L2342" s="113">
        <v>1E-4</v>
      </c>
      <c r="M2342" s="113">
        <v>0.23096</v>
      </c>
      <c r="N2342" s="113">
        <v>1.0411E-4</v>
      </c>
      <c r="O2342" s="114" t="s">
        <v>652</v>
      </c>
    </row>
    <row r="2343" spans="1:15" x14ac:dyDescent="0.25">
      <c r="A2343" s="113" t="s">
        <v>54</v>
      </c>
      <c r="B2343" s="113" t="s">
        <v>7</v>
      </c>
      <c r="C2343" s="113">
        <v>1100</v>
      </c>
      <c r="D2343" s="113">
        <v>3300.1</v>
      </c>
      <c r="E2343" s="113">
        <v>0.1</v>
      </c>
      <c r="F2343" s="113" t="s">
        <v>102</v>
      </c>
      <c r="G2343" s="113" t="s">
        <v>49</v>
      </c>
      <c r="H2343" s="113">
        <v>0</v>
      </c>
      <c r="I2343" s="113">
        <v>0</v>
      </c>
      <c r="K2343" s="113">
        <v>0.25</v>
      </c>
      <c r="L2343" s="113">
        <v>1.0329E-4</v>
      </c>
      <c r="M2343" s="113">
        <v>0.23666000000000001</v>
      </c>
      <c r="N2343" s="113">
        <v>1.0325E-4</v>
      </c>
      <c r="O2343" s="114" t="s">
        <v>653</v>
      </c>
    </row>
    <row r="2344" spans="1:15" x14ac:dyDescent="0.25">
      <c r="A2344" s="113" t="s">
        <v>54</v>
      </c>
      <c r="B2344" s="113" t="s">
        <v>7</v>
      </c>
      <c r="C2344" s="113">
        <v>1100</v>
      </c>
      <c r="D2344" s="113">
        <v>3300.1</v>
      </c>
      <c r="E2344" s="113">
        <v>1</v>
      </c>
      <c r="F2344" s="113" t="s">
        <v>102</v>
      </c>
      <c r="G2344" s="113" t="s">
        <v>49</v>
      </c>
      <c r="H2344" s="113">
        <v>0</v>
      </c>
      <c r="I2344" s="113">
        <v>0</v>
      </c>
      <c r="K2344" s="113">
        <v>0.60487000000000002</v>
      </c>
      <c r="L2344" s="113">
        <v>6.4429000000000003E-5</v>
      </c>
      <c r="M2344" s="113">
        <v>0.60441</v>
      </c>
      <c r="N2344" s="113">
        <v>6.4220999999999994E-5</v>
      </c>
      <c r="O2344" s="114" t="s">
        <v>654</v>
      </c>
    </row>
    <row r="2345" spans="1:15" x14ac:dyDescent="0.25">
      <c r="A2345" s="113" t="s">
        <v>54</v>
      </c>
      <c r="B2345" s="113" t="s">
        <v>7</v>
      </c>
      <c r="C2345" s="113">
        <v>1100</v>
      </c>
      <c r="D2345" s="113">
        <v>3300.1</v>
      </c>
      <c r="E2345" s="113">
        <v>10</v>
      </c>
      <c r="F2345" s="113" t="s">
        <v>102</v>
      </c>
      <c r="G2345" s="113" t="s">
        <v>49</v>
      </c>
      <c r="H2345" s="113">
        <v>0</v>
      </c>
      <c r="I2345" s="113">
        <v>0</v>
      </c>
      <c r="K2345" s="113">
        <v>5.8014000000000001</v>
      </c>
      <c r="L2345" s="113">
        <v>8.3760999999999993E-6</v>
      </c>
      <c r="M2345" s="113">
        <v>5.8011999999999997</v>
      </c>
      <c r="N2345" s="113">
        <v>8.2293999999999995E-6</v>
      </c>
      <c r="O2345" s="114" t="s">
        <v>655</v>
      </c>
    </row>
    <row r="2346" spans="1:15" x14ac:dyDescent="0.25">
      <c r="A2346" s="113" t="s">
        <v>54</v>
      </c>
      <c r="B2346" s="113" t="s">
        <v>7</v>
      </c>
      <c r="C2346" s="113">
        <v>3300</v>
      </c>
      <c r="D2346" s="113">
        <v>11001</v>
      </c>
      <c r="E2346" s="113">
        <v>0.1</v>
      </c>
      <c r="F2346" s="113" t="s">
        <v>102</v>
      </c>
      <c r="G2346" s="113" t="s">
        <v>49</v>
      </c>
      <c r="H2346" s="113">
        <v>0</v>
      </c>
      <c r="I2346" s="113">
        <v>0</v>
      </c>
      <c r="K2346" s="113">
        <v>0.17</v>
      </c>
      <c r="L2346" s="113">
        <v>1E-4</v>
      </c>
      <c r="M2346" s="113">
        <v>0.12474</v>
      </c>
      <c r="N2346" s="113">
        <v>1.0353000000000001E-4</v>
      </c>
      <c r="O2346" s="114" t="s">
        <v>656</v>
      </c>
    </row>
    <row r="2347" spans="1:15" x14ac:dyDescent="0.25">
      <c r="A2347" s="113" t="s">
        <v>54</v>
      </c>
      <c r="B2347" s="113" t="s">
        <v>7</v>
      </c>
      <c r="C2347" s="113">
        <v>3300</v>
      </c>
      <c r="D2347" s="113">
        <v>11001</v>
      </c>
      <c r="E2347" s="113">
        <v>1</v>
      </c>
      <c r="F2347" s="113" t="s">
        <v>102</v>
      </c>
      <c r="G2347" s="113" t="s">
        <v>49</v>
      </c>
      <c r="H2347" s="113">
        <v>0</v>
      </c>
      <c r="I2347" s="113">
        <v>0</v>
      </c>
      <c r="K2347" s="113">
        <v>0.46536</v>
      </c>
      <c r="L2347" s="113">
        <v>8.4151000000000001E-5</v>
      </c>
      <c r="M2347" s="113">
        <v>0.46464</v>
      </c>
      <c r="N2347" s="113">
        <v>8.4043999999999997E-5</v>
      </c>
      <c r="O2347" s="114" t="s">
        <v>657</v>
      </c>
    </row>
    <row r="2348" spans="1:15" x14ac:dyDescent="0.25">
      <c r="A2348" s="113" t="s">
        <v>54</v>
      </c>
      <c r="B2348" s="113" t="s">
        <v>7</v>
      </c>
      <c r="C2348" s="113">
        <v>3300</v>
      </c>
      <c r="D2348" s="113">
        <v>11001</v>
      </c>
      <c r="E2348" s="113">
        <v>10</v>
      </c>
      <c r="F2348" s="113" t="s">
        <v>102</v>
      </c>
      <c r="G2348" s="113" t="s">
        <v>49</v>
      </c>
      <c r="H2348" s="113">
        <v>0</v>
      </c>
      <c r="I2348" s="113">
        <v>0</v>
      </c>
      <c r="K2348" s="113">
        <v>5.7682000000000002</v>
      </c>
      <c r="L2348" s="113">
        <v>1.5398000000000001E-5</v>
      </c>
      <c r="M2348" s="113">
        <v>5.7682000000000002</v>
      </c>
      <c r="N2348" s="113">
        <v>1.5238E-5</v>
      </c>
      <c r="O2348" s="114" t="s">
        <v>658</v>
      </c>
    </row>
    <row r="2349" spans="1:15" x14ac:dyDescent="0.25">
      <c r="A2349" s="113" t="s">
        <v>54</v>
      </c>
      <c r="B2349" s="113" t="s">
        <v>7</v>
      </c>
      <c r="C2349" s="113">
        <v>3300</v>
      </c>
      <c r="D2349" s="113">
        <v>11001</v>
      </c>
      <c r="E2349" s="113">
        <v>100</v>
      </c>
      <c r="F2349" s="113" t="s">
        <v>102</v>
      </c>
      <c r="G2349" s="113" t="s">
        <v>49</v>
      </c>
      <c r="H2349" s="113">
        <v>0</v>
      </c>
      <c r="I2349" s="113">
        <v>0</v>
      </c>
      <c r="K2349" s="113">
        <v>57.997</v>
      </c>
      <c r="L2349" s="113">
        <v>1.6098E-6</v>
      </c>
      <c r="M2349" s="113">
        <v>57.997</v>
      </c>
      <c r="N2349" s="113">
        <v>1.5437999999999999E-6</v>
      </c>
      <c r="O2349" s="114" t="s">
        <v>659</v>
      </c>
    </row>
    <row r="2350" spans="1:15" x14ac:dyDescent="0.25">
      <c r="A2350" s="113" t="s">
        <v>54</v>
      </c>
      <c r="B2350" s="113" t="s">
        <v>7</v>
      </c>
      <c r="C2350" s="113">
        <v>11000</v>
      </c>
      <c r="D2350" s="113">
        <v>33001</v>
      </c>
      <c r="E2350" s="113">
        <v>0.1</v>
      </c>
      <c r="F2350" s="113" t="s">
        <v>102</v>
      </c>
      <c r="G2350" s="113" t="s">
        <v>49</v>
      </c>
      <c r="H2350" s="113">
        <v>0</v>
      </c>
      <c r="I2350" s="113">
        <v>0</v>
      </c>
      <c r="K2350" s="113">
        <v>1.3</v>
      </c>
      <c r="L2350" s="113">
        <v>1E-4</v>
      </c>
      <c r="M2350" s="113">
        <v>1.1560999999999999</v>
      </c>
      <c r="N2350" s="113">
        <v>1.0412E-4</v>
      </c>
      <c r="O2350" s="114" t="s">
        <v>660</v>
      </c>
    </row>
    <row r="2351" spans="1:15" x14ac:dyDescent="0.25">
      <c r="A2351" s="113" t="s">
        <v>54</v>
      </c>
      <c r="B2351" s="113" t="s">
        <v>7</v>
      </c>
      <c r="C2351" s="113">
        <v>11000</v>
      </c>
      <c r="D2351" s="113">
        <v>33001</v>
      </c>
      <c r="E2351" s="113">
        <v>1</v>
      </c>
      <c r="F2351" s="113" t="s">
        <v>102</v>
      </c>
      <c r="G2351" s="113" t="s">
        <v>49</v>
      </c>
      <c r="H2351" s="113">
        <v>0</v>
      </c>
      <c r="I2351" s="113">
        <v>0</v>
      </c>
      <c r="K2351" s="113">
        <v>1.3</v>
      </c>
      <c r="L2351" s="113">
        <v>1.0253E-4</v>
      </c>
      <c r="M2351" s="113">
        <v>1.2442</v>
      </c>
      <c r="N2351" s="113">
        <v>1.0252E-4</v>
      </c>
      <c r="O2351" s="114" t="s">
        <v>661</v>
      </c>
    </row>
    <row r="2352" spans="1:15" x14ac:dyDescent="0.25">
      <c r="A2352" s="113" t="s">
        <v>54</v>
      </c>
      <c r="B2352" s="113" t="s">
        <v>7</v>
      </c>
      <c r="C2352" s="113">
        <v>11000</v>
      </c>
      <c r="D2352" s="113">
        <v>33001</v>
      </c>
      <c r="E2352" s="113">
        <v>10</v>
      </c>
      <c r="F2352" s="113" t="s">
        <v>102</v>
      </c>
      <c r="G2352" s="113" t="s">
        <v>49</v>
      </c>
      <c r="H2352" s="113">
        <v>0</v>
      </c>
      <c r="I2352" s="113">
        <v>0</v>
      </c>
      <c r="K2352" s="113">
        <v>5.6614000000000004</v>
      </c>
      <c r="L2352" s="113">
        <v>5.2695000000000003E-5</v>
      </c>
      <c r="M2352" s="113">
        <v>5.6604999999999999</v>
      </c>
      <c r="N2352" s="113">
        <v>5.2621000000000003E-5</v>
      </c>
      <c r="O2352" s="114" t="s">
        <v>662</v>
      </c>
    </row>
    <row r="2353" spans="1:15" x14ac:dyDescent="0.25">
      <c r="A2353" s="113" t="s">
        <v>54</v>
      </c>
      <c r="B2353" s="113" t="s">
        <v>7</v>
      </c>
      <c r="C2353" s="113">
        <v>11000</v>
      </c>
      <c r="D2353" s="113">
        <v>33001</v>
      </c>
      <c r="E2353" s="113">
        <v>100</v>
      </c>
      <c r="F2353" s="113" t="s">
        <v>102</v>
      </c>
      <c r="G2353" s="113" t="s">
        <v>49</v>
      </c>
      <c r="H2353" s="113">
        <v>0</v>
      </c>
      <c r="I2353" s="113">
        <v>0</v>
      </c>
      <c r="K2353" s="113">
        <v>57.978000000000002</v>
      </c>
      <c r="L2353" s="113">
        <v>6.2175000000000002E-6</v>
      </c>
      <c r="M2353" s="113">
        <v>57.978000000000002</v>
      </c>
      <c r="N2353" s="113">
        <v>6.1738000000000001E-6</v>
      </c>
      <c r="O2353" s="114" t="s">
        <v>663</v>
      </c>
    </row>
    <row r="2354" spans="1:15" x14ac:dyDescent="0.25">
      <c r="A2354" s="113" t="s">
        <v>54</v>
      </c>
      <c r="B2354" s="113" t="s">
        <v>7</v>
      </c>
      <c r="C2354" s="113">
        <v>33000</v>
      </c>
      <c r="D2354" s="113">
        <v>110010</v>
      </c>
      <c r="E2354" s="113">
        <v>1</v>
      </c>
      <c r="F2354" s="113" t="s">
        <v>102</v>
      </c>
      <c r="G2354" s="113" t="s">
        <v>49</v>
      </c>
      <c r="H2354" s="113">
        <v>0</v>
      </c>
      <c r="I2354" s="113">
        <v>0</v>
      </c>
      <c r="K2354" s="113">
        <v>1.3</v>
      </c>
      <c r="L2354" s="113">
        <v>1.2999999999999999E-4</v>
      </c>
      <c r="M2354" s="113">
        <v>1.2346999999999999</v>
      </c>
      <c r="N2354" s="113">
        <v>1.2664999999999999E-4</v>
      </c>
      <c r="O2354" s="114" t="s">
        <v>664</v>
      </c>
    </row>
    <row r="2355" spans="1:15" x14ac:dyDescent="0.25">
      <c r="A2355" s="113" t="s">
        <v>54</v>
      </c>
      <c r="B2355" s="113" t="s">
        <v>7</v>
      </c>
      <c r="C2355" s="113">
        <v>33000</v>
      </c>
      <c r="D2355" s="113">
        <v>110010</v>
      </c>
      <c r="E2355" s="113">
        <v>10</v>
      </c>
      <c r="F2355" s="113" t="s">
        <v>102</v>
      </c>
      <c r="G2355" s="113" t="s">
        <v>49</v>
      </c>
      <c r="H2355" s="113">
        <v>0</v>
      </c>
      <c r="I2355" s="113">
        <v>0</v>
      </c>
      <c r="K2355" s="113">
        <v>4.3529999999999998</v>
      </c>
      <c r="L2355" s="113">
        <v>1.0805E-4</v>
      </c>
      <c r="M2355" s="113">
        <v>4.3501000000000003</v>
      </c>
      <c r="N2355" s="113">
        <v>1.0797E-4</v>
      </c>
      <c r="O2355" s="114" t="s">
        <v>665</v>
      </c>
    </row>
    <row r="2356" spans="1:15" x14ac:dyDescent="0.25">
      <c r="A2356" s="113" t="s">
        <v>54</v>
      </c>
      <c r="B2356" s="113" t="s">
        <v>7</v>
      </c>
      <c r="C2356" s="113">
        <v>33000</v>
      </c>
      <c r="D2356" s="113">
        <v>110010</v>
      </c>
      <c r="E2356" s="113">
        <v>100</v>
      </c>
      <c r="F2356" s="113" t="s">
        <v>102</v>
      </c>
      <c r="G2356" s="113" t="s">
        <v>49</v>
      </c>
      <c r="H2356" s="113">
        <v>0</v>
      </c>
      <c r="I2356" s="113">
        <v>0</v>
      </c>
      <c r="K2356" s="113">
        <v>57.521000000000001</v>
      </c>
      <c r="L2356" s="113">
        <v>2.2172999999999999E-5</v>
      </c>
      <c r="M2356" s="113">
        <v>57.521999999999998</v>
      </c>
      <c r="N2356" s="113">
        <v>2.2050999999999999E-5</v>
      </c>
      <c r="O2356" s="114" t="s">
        <v>666</v>
      </c>
    </row>
    <row r="2357" spans="1:15" x14ac:dyDescent="0.25">
      <c r="A2357" s="113" t="s">
        <v>54</v>
      </c>
      <c r="B2357" s="113" t="s">
        <v>7</v>
      </c>
      <c r="C2357" s="113">
        <v>33000</v>
      </c>
      <c r="D2357" s="113">
        <v>110010</v>
      </c>
      <c r="E2357" s="113">
        <v>1000</v>
      </c>
      <c r="F2357" s="113" t="s">
        <v>102</v>
      </c>
      <c r="G2357" s="113" t="s">
        <v>49</v>
      </c>
      <c r="H2357" s="113">
        <v>0</v>
      </c>
      <c r="I2357" s="113">
        <v>0</v>
      </c>
      <c r="K2357" s="113">
        <v>579.95000000000005</v>
      </c>
      <c r="L2357" s="113">
        <v>2.2971E-6</v>
      </c>
      <c r="M2357" s="113">
        <v>579.95000000000005</v>
      </c>
      <c r="N2357" s="113">
        <v>2.2465E-6</v>
      </c>
      <c r="O2357" s="114" t="s">
        <v>667</v>
      </c>
    </row>
    <row r="2358" spans="1:15" x14ac:dyDescent="0.25">
      <c r="A2358" s="113" t="s">
        <v>54</v>
      </c>
      <c r="B2358" s="113" t="s">
        <v>7</v>
      </c>
      <c r="C2358" s="113">
        <v>110000</v>
      </c>
      <c r="D2358" s="113">
        <v>330010</v>
      </c>
      <c r="E2358" s="113">
        <v>1</v>
      </c>
      <c r="F2358" s="113" t="s">
        <v>102</v>
      </c>
      <c r="G2358" s="113" t="s">
        <v>49</v>
      </c>
      <c r="H2358" s="113">
        <v>0</v>
      </c>
      <c r="I2358" s="113">
        <v>0</v>
      </c>
      <c r="K2358" s="113">
        <v>12</v>
      </c>
      <c r="L2358" s="113">
        <v>1.3999999999999999E-4</v>
      </c>
      <c r="M2358" s="113">
        <v>11.565</v>
      </c>
      <c r="N2358" s="113">
        <v>1.393E-4</v>
      </c>
      <c r="O2358" s="114" t="s">
        <v>668</v>
      </c>
    </row>
    <row r="2359" spans="1:15" x14ac:dyDescent="0.25">
      <c r="A2359" s="113" t="s">
        <v>54</v>
      </c>
      <c r="B2359" s="113" t="s">
        <v>7</v>
      </c>
      <c r="C2359" s="113">
        <v>110000</v>
      </c>
      <c r="D2359" s="113">
        <v>330010</v>
      </c>
      <c r="E2359" s="113">
        <v>10</v>
      </c>
      <c r="F2359" s="113" t="s">
        <v>102</v>
      </c>
      <c r="G2359" s="113" t="s">
        <v>49</v>
      </c>
      <c r="H2359" s="113">
        <v>0</v>
      </c>
      <c r="I2359" s="113">
        <v>0</v>
      </c>
      <c r="K2359" s="113">
        <v>12.289</v>
      </c>
      <c r="L2359" s="113">
        <v>1.3783999999999999E-4</v>
      </c>
      <c r="M2359" s="113">
        <v>12.284000000000001</v>
      </c>
      <c r="N2359" s="113">
        <v>1.3782000000000001E-4</v>
      </c>
      <c r="O2359" s="114" t="s">
        <v>669</v>
      </c>
    </row>
    <row r="2360" spans="1:15" x14ac:dyDescent="0.25">
      <c r="A2360" s="113" t="s">
        <v>54</v>
      </c>
      <c r="B2360" s="113" t="s">
        <v>7</v>
      </c>
      <c r="C2360" s="113">
        <v>110000</v>
      </c>
      <c r="D2360" s="113">
        <v>330010</v>
      </c>
      <c r="E2360" s="113">
        <v>100</v>
      </c>
      <c r="F2360" s="113" t="s">
        <v>102</v>
      </c>
      <c r="G2360" s="113" t="s">
        <v>49</v>
      </c>
      <c r="H2360" s="113">
        <v>0</v>
      </c>
      <c r="I2360" s="113">
        <v>0</v>
      </c>
      <c r="K2360" s="113">
        <v>55.026000000000003</v>
      </c>
      <c r="L2360" s="113">
        <v>8.0747999999999993E-5</v>
      </c>
      <c r="M2360" s="113">
        <v>55.024000000000001</v>
      </c>
      <c r="N2360" s="113">
        <v>8.0667000000000005E-5</v>
      </c>
      <c r="O2360" s="114" t="s">
        <v>670</v>
      </c>
    </row>
    <row r="2361" spans="1:15" x14ac:dyDescent="0.25">
      <c r="A2361" s="113" t="s">
        <v>54</v>
      </c>
      <c r="B2361" s="113" t="s">
        <v>7</v>
      </c>
      <c r="C2361" s="113">
        <v>110000</v>
      </c>
      <c r="D2361" s="113">
        <v>330010</v>
      </c>
      <c r="E2361" s="113">
        <v>1000</v>
      </c>
      <c r="F2361" s="113" t="s">
        <v>102</v>
      </c>
      <c r="G2361" s="113" t="s">
        <v>49</v>
      </c>
      <c r="H2361" s="113">
        <v>0</v>
      </c>
      <c r="I2361" s="113">
        <v>0</v>
      </c>
      <c r="K2361" s="113">
        <v>579.51</v>
      </c>
      <c r="L2361" s="113">
        <v>1.0142E-5</v>
      </c>
      <c r="M2361" s="113">
        <v>579.51</v>
      </c>
      <c r="N2361" s="113">
        <v>1.0091E-5</v>
      </c>
      <c r="O2361" s="114" t="s">
        <v>671</v>
      </c>
    </row>
    <row r="2362" spans="1:15" x14ac:dyDescent="0.25">
      <c r="A2362" s="113" t="s">
        <v>54</v>
      </c>
      <c r="B2362" s="113" t="s">
        <v>7</v>
      </c>
      <c r="C2362" s="113">
        <v>330000</v>
      </c>
      <c r="D2362" s="113">
        <v>1100010</v>
      </c>
      <c r="E2362" s="113">
        <v>10</v>
      </c>
      <c r="F2362" s="113" t="s">
        <v>102</v>
      </c>
      <c r="G2362" s="113" t="s">
        <v>49</v>
      </c>
      <c r="H2362" s="113">
        <v>0</v>
      </c>
      <c r="I2362" s="113">
        <v>0</v>
      </c>
      <c r="K2362" s="113">
        <v>16</v>
      </c>
      <c r="L2362" s="113">
        <v>1.7000000000000001E-4</v>
      </c>
      <c r="M2362" s="113">
        <v>12.340999999999999</v>
      </c>
      <c r="N2362" s="113">
        <v>1.7274E-4</v>
      </c>
      <c r="O2362" s="114" t="s">
        <v>672</v>
      </c>
    </row>
    <row r="2363" spans="1:15" x14ac:dyDescent="0.25">
      <c r="A2363" s="113" t="s">
        <v>54</v>
      </c>
      <c r="B2363" s="113" t="s">
        <v>7</v>
      </c>
      <c r="C2363" s="113">
        <v>330000</v>
      </c>
      <c r="D2363" s="113">
        <v>1100010</v>
      </c>
      <c r="E2363" s="113">
        <v>100</v>
      </c>
      <c r="F2363" s="113" t="s">
        <v>102</v>
      </c>
      <c r="G2363" s="113" t="s">
        <v>49</v>
      </c>
      <c r="H2363" s="113">
        <v>0</v>
      </c>
      <c r="I2363" s="113">
        <v>0</v>
      </c>
      <c r="K2363" s="113">
        <v>38.744</v>
      </c>
      <c r="L2363" s="113">
        <v>1.5613000000000001E-4</v>
      </c>
      <c r="M2363" s="113">
        <v>38.701999999999998</v>
      </c>
      <c r="N2363" s="113">
        <v>1.5610999999999999E-4</v>
      </c>
      <c r="O2363" s="114" t="s">
        <v>673</v>
      </c>
    </row>
    <row r="2364" spans="1:15" x14ac:dyDescent="0.25">
      <c r="A2364" s="113" t="s">
        <v>54</v>
      </c>
      <c r="B2364" s="113" t="s">
        <v>7</v>
      </c>
      <c r="C2364" s="113">
        <v>330000</v>
      </c>
      <c r="D2364" s="113">
        <v>1100010</v>
      </c>
      <c r="E2364" s="113">
        <v>1000</v>
      </c>
      <c r="F2364" s="113" t="s">
        <v>102</v>
      </c>
      <c r="G2364" s="113" t="s">
        <v>49</v>
      </c>
      <c r="H2364" s="113">
        <v>0</v>
      </c>
      <c r="I2364" s="113">
        <v>0</v>
      </c>
      <c r="K2364" s="113">
        <v>571.17999999999995</v>
      </c>
      <c r="L2364" s="113">
        <v>3.9240999999999999E-5</v>
      </c>
      <c r="M2364" s="113">
        <v>571.17999999999995</v>
      </c>
      <c r="N2364" s="113">
        <v>3.9165000000000002E-5</v>
      </c>
      <c r="O2364" s="114" t="s">
        <v>674</v>
      </c>
    </row>
    <row r="2365" spans="1:15" x14ac:dyDescent="0.25">
      <c r="A2365" s="113" t="s">
        <v>54</v>
      </c>
      <c r="B2365" s="113" t="s">
        <v>7</v>
      </c>
      <c r="C2365" s="113">
        <v>330000</v>
      </c>
      <c r="D2365" s="113">
        <v>1100010</v>
      </c>
      <c r="E2365" s="113">
        <v>10000</v>
      </c>
      <c r="F2365" s="113" t="s">
        <v>102</v>
      </c>
      <c r="G2365" s="113" t="s">
        <v>49</v>
      </c>
      <c r="H2365" s="113">
        <v>0</v>
      </c>
      <c r="I2365" s="113">
        <v>0</v>
      </c>
      <c r="K2365" s="113">
        <v>5799.1</v>
      </c>
      <c r="L2365" s="113">
        <v>4.0775999999999997E-6</v>
      </c>
      <c r="M2365" s="113">
        <v>5799.1</v>
      </c>
      <c r="N2365" s="113">
        <v>4.0446000000000002E-6</v>
      </c>
      <c r="O2365" s="114" t="s">
        <v>675</v>
      </c>
    </row>
    <row r="2366" spans="1:15" x14ac:dyDescent="0.25">
      <c r="A2366" s="113" t="s">
        <v>54</v>
      </c>
      <c r="B2366" s="113" t="s">
        <v>7</v>
      </c>
      <c r="C2366" s="113">
        <v>1100000</v>
      </c>
      <c r="D2366" s="113">
        <v>3301000</v>
      </c>
      <c r="E2366" s="113">
        <v>10</v>
      </c>
      <c r="F2366" s="113" t="s">
        <v>102</v>
      </c>
      <c r="G2366" s="113" t="s">
        <v>50</v>
      </c>
      <c r="H2366" s="113">
        <v>0</v>
      </c>
      <c r="I2366" s="113">
        <v>0</v>
      </c>
      <c r="K2366" s="113">
        <v>0.19</v>
      </c>
      <c r="L2366" s="113">
        <v>1.6999999999999999E-7</v>
      </c>
      <c r="M2366" s="113">
        <v>0.17338999999999999</v>
      </c>
      <c r="N2366" s="113">
        <v>1.7317999999999999E-7</v>
      </c>
      <c r="O2366" s="114" t="s">
        <v>676</v>
      </c>
    </row>
    <row r="2367" spans="1:15" x14ac:dyDescent="0.25">
      <c r="A2367" s="113" t="s">
        <v>54</v>
      </c>
      <c r="B2367" s="113" t="s">
        <v>7</v>
      </c>
      <c r="C2367" s="113">
        <v>1100000</v>
      </c>
      <c r="D2367" s="113">
        <v>3301000</v>
      </c>
      <c r="E2367" s="113">
        <v>100</v>
      </c>
      <c r="F2367" s="113" t="s">
        <v>102</v>
      </c>
      <c r="G2367" s="113" t="s">
        <v>50</v>
      </c>
      <c r="H2367" s="113">
        <v>0</v>
      </c>
      <c r="I2367" s="113">
        <v>0</v>
      </c>
      <c r="K2367" s="113">
        <v>0.19</v>
      </c>
      <c r="L2367" s="113">
        <v>1.7214999999999999E-7</v>
      </c>
      <c r="M2367" s="113">
        <v>0.17910000000000001</v>
      </c>
      <c r="N2367" s="113">
        <v>1.7212999999999999E-7</v>
      </c>
      <c r="O2367" s="114" t="s">
        <v>677</v>
      </c>
    </row>
    <row r="2368" spans="1:15" x14ac:dyDescent="0.25">
      <c r="A2368" s="113" t="s">
        <v>54</v>
      </c>
      <c r="B2368" s="113" t="s">
        <v>7</v>
      </c>
      <c r="C2368" s="113">
        <v>1100000</v>
      </c>
      <c r="D2368" s="113">
        <v>3301000</v>
      </c>
      <c r="E2368" s="113">
        <v>1000</v>
      </c>
      <c r="F2368" s="113" t="s">
        <v>102</v>
      </c>
      <c r="G2368" s="113" t="s">
        <v>50</v>
      </c>
      <c r="H2368" s="113">
        <v>0</v>
      </c>
      <c r="I2368" s="113">
        <v>0</v>
      </c>
      <c r="K2368" s="113">
        <v>0.55515999999999999</v>
      </c>
      <c r="L2368" s="113">
        <v>1.1804E-7</v>
      </c>
      <c r="M2368" s="113">
        <v>0.55501</v>
      </c>
      <c r="N2368" s="113">
        <v>1.1789000000000001E-7</v>
      </c>
      <c r="O2368" s="114" t="s">
        <v>678</v>
      </c>
    </row>
    <row r="2369" spans="1:15" x14ac:dyDescent="0.25">
      <c r="A2369" s="113" t="s">
        <v>54</v>
      </c>
      <c r="B2369" s="113" t="s">
        <v>7</v>
      </c>
      <c r="C2369" s="113">
        <v>1100000</v>
      </c>
      <c r="D2369" s="113">
        <v>3301000</v>
      </c>
      <c r="E2369" s="113">
        <v>10000</v>
      </c>
      <c r="F2369" s="113" t="s">
        <v>102</v>
      </c>
      <c r="G2369" s="113" t="s">
        <v>50</v>
      </c>
      <c r="H2369" s="113">
        <v>0</v>
      </c>
      <c r="I2369" s="113">
        <v>0</v>
      </c>
      <c r="K2369" s="113">
        <v>5.7933000000000003</v>
      </c>
      <c r="L2369" s="113">
        <v>1.6590000000000002E-8</v>
      </c>
      <c r="M2369" s="113">
        <v>5.7933000000000003</v>
      </c>
      <c r="N2369" s="113">
        <v>1.6469E-8</v>
      </c>
      <c r="O2369" s="114" t="s">
        <v>679</v>
      </c>
    </row>
    <row r="2370" spans="1:15" x14ac:dyDescent="0.25">
      <c r="A2370" s="113" t="s">
        <v>54</v>
      </c>
      <c r="B2370" s="113" t="s">
        <v>7</v>
      </c>
      <c r="C2370" s="113">
        <v>3300000</v>
      </c>
      <c r="D2370" s="113">
        <v>11001000</v>
      </c>
      <c r="E2370" s="113">
        <v>100</v>
      </c>
      <c r="F2370" s="113" t="s">
        <v>102</v>
      </c>
      <c r="G2370" s="113" t="s">
        <v>50</v>
      </c>
      <c r="H2370" s="113">
        <v>0</v>
      </c>
      <c r="I2370" s="113">
        <v>0</v>
      </c>
      <c r="K2370" s="113">
        <v>0.33</v>
      </c>
      <c r="L2370" s="113">
        <v>6.8999999999999996E-7</v>
      </c>
      <c r="M2370" s="113">
        <v>0.29032999999999998</v>
      </c>
      <c r="N2370" s="113">
        <v>6.9271999999999997E-7</v>
      </c>
      <c r="O2370" s="114" t="s">
        <v>680</v>
      </c>
    </row>
    <row r="2371" spans="1:15" x14ac:dyDescent="0.25">
      <c r="A2371" s="113" t="s">
        <v>54</v>
      </c>
      <c r="B2371" s="113" t="s">
        <v>7</v>
      </c>
      <c r="C2371" s="113">
        <v>3300000</v>
      </c>
      <c r="D2371" s="113">
        <v>11001000</v>
      </c>
      <c r="E2371" s="113">
        <v>1000</v>
      </c>
      <c r="F2371" s="113" t="s">
        <v>102</v>
      </c>
      <c r="G2371" s="113" t="s">
        <v>50</v>
      </c>
      <c r="H2371" s="113">
        <v>0</v>
      </c>
      <c r="I2371" s="113">
        <v>0</v>
      </c>
      <c r="K2371" s="113">
        <v>0.37289</v>
      </c>
      <c r="L2371" s="113">
        <v>6.8714999999999996E-7</v>
      </c>
      <c r="M2371" s="113">
        <v>0.37252000000000002</v>
      </c>
      <c r="N2371" s="113">
        <v>6.8716000000000002E-7</v>
      </c>
      <c r="O2371" s="114" t="s">
        <v>681</v>
      </c>
    </row>
    <row r="2372" spans="1:15" x14ac:dyDescent="0.25">
      <c r="A2372" s="113" t="s">
        <v>54</v>
      </c>
      <c r="B2372" s="113" t="s">
        <v>7</v>
      </c>
      <c r="C2372" s="113">
        <v>3300000</v>
      </c>
      <c r="D2372" s="113">
        <v>11001000</v>
      </c>
      <c r="E2372" s="113">
        <v>10000</v>
      </c>
      <c r="F2372" s="113" t="s">
        <v>102</v>
      </c>
      <c r="G2372" s="113" t="s">
        <v>50</v>
      </c>
      <c r="H2372" s="113">
        <v>0</v>
      </c>
      <c r="I2372" s="113">
        <v>0</v>
      </c>
      <c r="K2372" s="113">
        <v>4.8625999999999996</v>
      </c>
      <c r="L2372" s="113">
        <v>4.4971999999999998E-7</v>
      </c>
      <c r="M2372" s="113">
        <v>4.8623000000000003</v>
      </c>
      <c r="N2372" s="113">
        <v>4.4966000000000002E-7</v>
      </c>
      <c r="O2372" s="114" t="s">
        <v>682</v>
      </c>
    </row>
    <row r="2373" spans="1:15" x14ac:dyDescent="0.25">
      <c r="A2373" s="113" t="s">
        <v>54</v>
      </c>
      <c r="B2373" s="113" t="s">
        <v>7</v>
      </c>
      <c r="C2373" s="113">
        <v>3300000</v>
      </c>
      <c r="D2373" s="113">
        <v>11001000</v>
      </c>
      <c r="E2373" s="113">
        <v>100000</v>
      </c>
      <c r="F2373" s="113" t="s">
        <v>102</v>
      </c>
      <c r="G2373" s="113" t="s">
        <v>50</v>
      </c>
      <c r="H2373" s="113">
        <v>0</v>
      </c>
      <c r="I2373" s="113">
        <v>0</v>
      </c>
      <c r="K2373" s="113">
        <v>57.851999999999997</v>
      </c>
      <c r="L2373" s="113">
        <v>6.2356000000000006E-8</v>
      </c>
      <c r="M2373" s="113">
        <v>57.851999999999997</v>
      </c>
      <c r="N2373" s="113">
        <v>6.2304E-8</v>
      </c>
      <c r="O2373" s="114" t="s">
        <v>683</v>
      </c>
    </row>
    <row r="2374" spans="1:15" x14ac:dyDescent="0.25">
      <c r="A2374" s="113" t="s">
        <v>54</v>
      </c>
      <c r="B2374" s="113" t="s">
        <v>7</v>
      </c>
      <c r="C2374" s="113">
        <v>11000000</v>
      </c>
      <c r="D2374" s="113">
        <v>33001000</v>
      </c>
      <c r="E2374" s="113">
        <v>100</v>
      </c>
      <c r="F2374" s="113" t="s">
        <v>102</v>
      </c>
      <c r="G2374" s="113" t="s">
        <v>50</v>
      </c>
      <c r="H2374" s="113">
        <v>0</v>
      </c>
      <c r="I2374" s="113">
        <v>0</v>
      </c>
      <c r="K2374" s="113">
        <v>2.9</v>
      </c>
      <c r="L2374" s="113">
        <v>1.1999999999999999E-6</v>
      </c>
      <c r="M2374" s="113">
        <v>2.8873000000000002</v>
      </c>
      <c r="N2374" s="113">
        <v>1.1547999999999999E-6</v>
      </c>
      <c r="O2374" s="114" t="s">
        <v>684</v>
      </c>
    </row>
    <row r="2375" spans="1:15" x14ac:dyDescent="0.25">
      <c r="A2375" s="113" t="s">
        <v>54</v>
      </c>
      <c r="B2375" s="113" t="s">
        <v>7</v>
      </c>
      <c r="C2375" s="113">
        <v>11000000</v>
      </c>
      <c r="D2375" s="113">
        <v>33001000</v>
      </c>
      <c r="E2375" s="113">
        <v>1000</v>
      </c>
      <c r="F2375" s="113" t="s">
        <v>102</v>
      </c>
      <c r="G2375" s="113" t="s">
        <v>50</v>
      </c>
      <c r="H2375" s="113">
        <v>0</v>
      </c>
      <c r="I2375" s="113">
        <v>0</v>
      </c>
      <c r="K2375" s="113">
        <v>2.9003999999999999</v>
      </c>
      <c r="L2375" s="113">
        <v>1.1544999999999999E-6</v>
      </c>
      <c r="M2375" s="113">
        <v>2.9</v>
      </c>
      <c r="N2375" s="113">
        <v>1.1544999999999999E-6</v>
      </c>
      <c r="O2375" s="114" t="s">
        <v>685</v>
      </c>
    </row>
    <row r="2376" spans="1:15" x14ac:dyDescent="0.25">
      <c r="A2376" s="113" t="s">
        <v>54</v>
      </c>
      <c r="B2376" s="113" t="s">
        <v>7</v>
      </c>
      <c r="C2376" s="113">
        <v>11000000</v>
      </c>
      <c r="D2376" s="113">
        <v>33001000</v>
      </c>
      <c r="E2376" s="113">
        <v>10000</v>
      </c>
      <c r="F2376" s="113" t="s">
        <v>102</v>
      </c>
      <c r="G2376" s="113" t="s">
        <v>50</v>
      </c>
      <c r="H2376" s="113">
        <v>0</v>
      </c>
      <c r="I2376" s="113">
        <v>0</v>
      </c>
      <c r="K2376" s="113">
        <v>4.2484000000000002</v>
      </c>
      <c r="L2376" s="113">
        <v>1.1259000000000001E-6</v>
      </c>
      <c r="M2376" s="113">
        <v>4.2477999999999998</v>
      </c>
      <c r="N2376" s="113">
        <v>1.1259000000000001E-6</v>
      </c>
      <c r="O2376" s="114" t="s">
        <v>686</v>
      </c>
    </row>
    <row r="2377" spans="1:15" x14ac:dyDescent="0.25">
      <c r="A2377" s="113" t="s">
        <v>54</v>
      </c>
      <c r="B2377" s="113" t="s">
        <v>7</v>
      </c>
      <c r="C2377" s="113">
        <v>11000000</v>
      </c>
      <c r="D2377" s="113">
        <v>33001000</v>
      </c>
      <c r="E2377" s="113">
        <v>100000</v>
      </c>
      <c r="F2377" s="113" t="s">
        <v>102</v>
      </c>
      <c r="G2377" s="113" t="s">
        <v>50</v>
      </c>
      <c r="H2377" s="113">
        <v>0</v>
      </c>
      <c r="I2377" s="113">
        <v>0</v>
      </c>
      <c r="K2377" s="113">
        <v>54.575000000000003</v>
      </c>
      <c r="L2377" s="113">
        <v>4.9851999999999999E-7</v>
      </c>
      <c r="M2377" s="113">
        <v>54.575000000000003</v>
      </c>
      <c r="N2377" s="113">
        <v>4.9846000000000003E-7</v>
      </c>
      <c r="O2377" s="114" t="s">
        <v>687</v>
      </c>
    </row>
    <row r="2378" spans="1:15" x14ac:dyDescent="0.25">
      <c r="A2378" s="113" t="s">
        <v>54</v>
      </c>
      <c r="B2378" s="113" t="s">
        <v>7</v>
      </c>
      <c r="C2378" s="113">
        <v>33000000</v>
      </c>
      <c r="D2378" s="113">
        <v>110010000</v>
      </c>
      <c r="E2378" s="113">
        <v>1000</v>
      </c>
      <c r="F2378" s="113" t="s">
        <v>102</v>
      </c>
      <c r="G2378" s="113" t="s">
        <v>50</v>
      </c>
      <c r="H2378" s="113">
        <v>0</v>
      </c>
      <c r="I2378" s="113">
        <v>0</v>
      </c>
      <c r="K2378" s="113">
        <v>3.5</v>
      </c>
      <c r="L2378" s="113">
        <v>5.8000000000000004E-6</v>
      </c>
      <c r="M2378" s="113">
        <v>3.4662999999999999</v>
      </c>
      <c r="N2378" s="113">
        <v>5.7734999999999999E-6</v>
      </c>
      <c r="O2378" s="114" t="s">
        <v>688</v>
      </c>
    </row>
    <row r="2379" spans="1:15" x14ac:dyDescent="0.25">
      <c r="A2379" s="113" t="s">
        <v>54</v>
      </c>
      <c r="B2379" s="113" t="s">
        <v>7</v>
      </c>
      <c r="C2379" s="113">
        <v>33000000</v>
      </c>
      <c r="D2379" s="113">
        <v>110010000</v>
      </c>
      <c r="E2379" s="113">
        <v>10000</v>
      </c>
      <c r="F2379" s="113" t="s">
        <v>102</v>
      </c>
      <c r="G2379" s="113" t="s">
        <v>50</v>
      </c>
      <c r="H2379" s="113">
        <v>0</v>
      </c>
      <c r="I2379" s="113">
        <v>0</v>
      </c>
      <c r="K2379" s="113">
        <v>3.5802999999999998</v>
      </c>
      <c r="L2379" s="113">
        <v>5.7726999999999998E-6</v>
      </c>
      <c r="M2379" s="113">
        <v>3.5792000000000002</v>
      </c>
      <c r="N2379" s="113">
        <v>5.7726999999999998E-6</v>
      </c>
      <c r="O2379" s="114" t="s">
        <v>689</v>
      </c>
    </row>
    <row r="2380" spans="1:15" x14ac:dyDescent="0.25">
      <c r="A2380" s="113" t="s">
        <v>54</v>
      </c>
      <c r="B2380" s="113" t="s">
        <v>7</v>
      </c>
      <c r="C2380" s="113">
        <v>33000000</v>
      </c>
      <c r="D2380" s="113">
        <v>110010000</v>
      </c>
      <c r="E2380" s="113">
        <v>100000</v>
      </c>
      <c r="F2380" s="113" t="s">
        <v>102</v>
      </c>
      <c r="G2380" s="113" t="s">
        <v>50</v>
      </c>
      <c r="H2380" s="113">
        <v>0</v>
      </c>
      <c r="I2380" s="113">
        <v>0</v>
      </c>
      <c r="K2380" s="113">
        <v>14.462999999999999</v>
      </c>
      <c r="L2380" s="113">
        <v>5.6975000000000001E-6</v>
      </c>
      <c r="M2380" s="113">
        <v>14.465</v>
      </c>
      <c r="N2380" s="113">
        <v>5.6973999999999999E-6</v>
      </c>
      <c r="O2380" s="114" t="s">
        <v>690</v>
      </c>
    </row>
    <row r="2381" spans="1:15" x14ac:dyDescent="0.25">
      <c r="A2381" s="113" t="s">
        <v>54</v>
      </c>
      <c r="B2381" s="113" t="s">
        <v>7</v>
      </c>
      <c r="C2381" s="113">
        <v>33000000</v>
      </c>
      <c r="D2381" s="113">
        <v>110010000</v>
      </c>
      <c r="E2381" s="113">
        <v>1000000</v>
      </c>
      <c r="F2381" s="113" t="s">
        <v>102</v>
      </c>
      <c r="G2381" s="113" t="s">
        <v>50</v>
      </c>
      <c r="H2381" s="113">
        <v>0</v>
      </c>
      <c r="I2381" s="113">
        <v>0</v>
      </c>
      <c r="K2381" s="113">
        <v>503.99</v>
      </c>
      <c r="L2381" s="113">
        <v>3.2606000000000002E-6</v>
      </c>
      <c r="M2381" s="113">
        <v>503.99</v>
      </c>
      <c r="N2381" s="113">
        <v>3.2605E-6</v>
      </c>
      <c r="O2381" s="114" t="s">
        <v>691</v>
      </c>
    </row>
    <row r="2382" spans="1:15" x14ac:dyDescent="0.25">
      <c r="A2382" s="113" t="s">
        <v>54</v>
      </c>
      <c r="B2382" s="113" t="s">
        <v>7</v>
      </c>
      <c r="C2382" s="113">
        <v>110000000</v>
      </c>
      <c r="D2382" s="113">
        <v>330010000</v>
      </c>
      <c r="E2382" s="113">
        <v>1000</v>
      </c>
      <c r="F2382" s="113" t="s">
        <v>102</v>
      </c>
      <c r="G2382" s="113" t="s">
        <v>50</v>
      </c>
      <c r="H2382" s="113">
        <v>0</v>
      </c>
      <c r="I2382" s="113">
        <v>0</v>
      </c>
      <c r="K2382" s="113">
        <v>120</v>
      </c>
      <c r="L2382" s="113">
        <v>5.8000000000000004E-6</v>
      </c>
      <c r="M2382" s="113">
        <v>115.47</v>
      </c>
      <c r="N2382" s="113">
        <v>5.7734999999999999E-6</v>
      </c>
      <c r="O2382" s="114" t="s">
        <v>692</v>
      </c>
    </row>
    <row r="2383" spans="1:15" x14ac:dyDescent="0.25">
      <c r="A2383" s="113" t="s">
        <v>54</v>
      </c>
      <c r="B2383" s="113" t="s">
        <v>7</v>
      </c>
      <c r="C2383" s="113">
        <v>110000000</v>
      </c>
      <c r="D2383" s="113">
        <v>330010000</v>
      </c>
      <c r="E2383" s="113">
        <v>10000</v>
      </c>
      <c r="F2383" s="113" t="s">
        <v>102</v>
      </c>
      <c r="G2383" s="113" t="s">
        <v>50</v>
      </c>
      <c r="H2383" s="113">
        <v>0</v>
      </c>
      <c r="I2383" s="113">
        <v>0</v>
      </c>
      <c r="K2383" s="113">
        <v>120</v>
      </c>
      <c r="L2383" s="113">
        <v>5.7733999999999996E-6</v>
      </c>
      <c r="M2383" s="113">
        <v>115.52</v>
      </c>
      <c r="N2383" s="113">
        <v>5.7733999999999996E-6</v>
      </c>
      <c r="O2383" s="114" t="s">
        <v>693</v>
      </c>
    </row>
    <row r="2384" spans="1:15" x14ac:dyDescent="0.25">
      <c r="A2384" s="113" t="s">
        <v>54</v>
      </c>
      <c r="B2384" s="113" t="s">
        <v>7</v>
      </c>
      <c r="C2384" s="113">
        <v>110000000</v>
      </c>
      <c r="D2384" s="113">
        <v>330010000</v>
      </c>
      <c r="E2384" s="113">
        <v>100000</v>
      </c>
      <c r="F2384" s="113" t="s">
        <v>102</v>
      </c>
      <c r="G2384" s="113" t="s">
        <v>50</v>
      </c>
      <c r="H2384" s="113">
        <v>0</v>
      </c>
      <c r="I2384" s="113">
        <v>0</v>
      </c>
      <c r="K2384" s="113">
        <v>120</v>
      </c>
      <c r="L2384" s="113">
        <v>5.7671000000000002E-6</v>
      </c>
      <c r="M2384" s="113">
        <v>118.42</v>
      </c>
      <c r="N2384" s="113">
        <v>5.7671000000000002E-6</v>
      </c>
      <c r="O2384" s="114" t="s">
        <v>694</v>
      </c>
    </row>
    <row r="2385" spans="1:15" x14ac:dyDescent="0.25">
      <c r="A2385" s="113" t="s">
        <v>54</v>
      </c>
      <c r="B2385" s="113" t="s">
        <v>7</v>
      </c>
      <c r="C2385" s="113">
        <v>110000000</v>
      </c>
      <c r="D2385" s="113">
        <v>330010000</v>
      </c>
      <c r="E2385" s="113">
        <v>1000000</v>
      </c>
      <c r="F2385" s="113" t="s">
        <v>102</v>
      </c>
      <c r="G2385" s="113" t="s">
        <v>50</v>
      </c>
      <c r="H2385" s="113">
        <v>0</v>
      </c>
      <c r="I2385" s="113">
        <v>0</v>
      </c>
      <c r="K2385" s="113">
        <v>371.66</v>
      </c>
      <c r="L2385" s="113">
        <v>5.2445000000000004E-6</v>
      </c>
      <c r="M2385" s="113">
        <v>371.67</v>
      </c>
      <c r="N2385" s="113">
        <v>5.2444000000000001E-6</v>
      </c>
      <c r="O2385" s="114" t="s">
        <v>695</v>
      </c>
    </row>
    <row r="2386" spans="1:15" x14ac:dyDescent="0.25">
      <c r="A2386" s="113" t="s">
        <v>54</v>
      </c>
      <c r="B2386" s="113" t="s">
        <v>7</v>
      </c>
      <c r="C2386" s="113">
        <v>330000000</v>
      </c>
      <c r="D2386" s="113">
        <v>1100010000</v>
      </c>
      <c r="E2386" s="113">
        <v>10000</v>
      </c>
      <c r="F2386" s="113" t="s">
        <v>102</v>
      </c>
      <c r="G2386" s="113" t="s">
        <v>50</v>
      </c>
      <c r="H2386" s="113">
        <v>0</v>
      </c>
      <c r="I2386" s="113">
        <v>0</v>
      </c>
      <c r="K2386" s="113">
        <v>930</v>
      </c>
      <c r="L2386" s="113">
        <v>1.7E-5</v>
      </c>
      <c r="M2386" s="113">
        <v>577.19000000000005</v>
      </c>
      <c r="N2386" s="113">
        <v>1.7320999999999999E-5</v>
      </c>
      <c r="O2386" s="114" t="s">
        <v>696</v>
      </c>
    </row>
    <row r="2387" spans="1:15" x14ac:dyDescent="0.25">
      <c r="A2387" s="113" t="s">
        <v>54</v>
      </c>
      <c r="B2387" s="113" t="s">
        <v>7</v>
      </c>
      <c r="C2387" s="113">
        <v>330000000</v>
      </c>
      <c r="D2387" s="113">
        <v>1100010000</v>
      </c>
      <c r="E2387" s="113">
        <v>100000</v>
      </c>
      <c r="F2387" s="113" t="s">
        <v>102</v>
      </c>
      <c r="G2387" s="113" t="s">
        <v>50</v>
      </c>
      <c r="H2387" s="113">
        <v>0</v>
      </c>
      <c r="I2387" s="113">
        <v>0</v>
      </c>
      <c r="K2387" s="113">
        <v>930</v>
      </c>
      <c r="L2387" s="113">
        <v>1.732E-5</v>
      </c>
      <c r="M2387" s="113">
        <v>578</v>
      </c>
      <c r="N2387" s="113">
        <v>1.732E-5</v>
      </c>
      <c r="O2387" s="114" t="s">
        <v>697</v>
      </c>
    </row>
    <row r="2388" spans="1:15" x14ac:dyDescent="0.25">
      <c r="A2388" s="113" t="s">
        <v>54</v>
      </c>
      <c r="B2388" s="113" t="s">
        <v>7</v>
      </c>
      <c r="C2388" s="113">
        <v>330000000</v>
      </c>
      <c r="D2388" s="113">
        <v>1100010000</v>
      </c>
      <c r="E2388" s="113">
        <v>1000000</v>
      </c>
      <c r="F2388" s="113" t="s">
        <v>102</v>
      </c>
      <c r="G2388" s="113" t="s">
        <v>50</v>
      </c>
      <c r="H2388" s="113">
        <v>0</v>
      </c>
      <c r="I2388" s="113">
        <v>0</v>
      </c>
      <c r="K2388" s="113">
        <v>930</v>
      </c>
      <c r="L2388" s="113">
        <v>1.7297000000000001E-5</v>
      </c>
      <c r="M2388" s="113">
        <v>611.79</v>
      </c>
      <c r="N2388" s="113">
        <v>1.7297000000000001E-5</v>
      </c>
      <c r="O2388" s="114" t="s">
        <v>698</v>
      </c>
    </row>
    <row r="2389" spans="1:15" x14ac:dyDescent="0.25">
      <c r="A2389" s="113" t="s">
        <v>54</v>
      </c>
      <c r="B2389" s="113" t="s">
        <v>7</v>
      </c>
      <c r="C2389" s="113">
        <v>330000000</v>
      </c>
      <c r="D2389" s="113">
        <v>1100010000</v>
      </c>
      <c r="E2389" s="113">
        <v>10000000</v>
      </c>
      <c r="F2389" s="113" t="s">
        <v>102</v>
      </c>
      <c r="G2389" s="113" t="s">
        <v>50</v>
      </c>
      <c r="H2389" s="113">
        <v>0</v>
      </c>
      <c r="I2389" s="113">
        <v>0</v>
      </c>
      <c r="K2389" s="113">
        <v>3454.2</v>
      </c>
      <c r="L2389" s="113">
        <v>1.5468000000000002E-5</v>
      </c>
      <c r="M2389" s="113">
        <v>3454.1</v>
      </c>
      <c r="N2389" s="113">
        <v>1.5468000000000002E-5</v>
      </c>
      <c r="O2389" s="114" t="s">
        <v>699</v>
      </c>
    </row>
    <row r="2390" spans="1:15" x14ac:dyDescent="0.25">
      <c r="A2390" s="113" t="s">
        <v>54</v>
      </c>
      <c r="B2390" s="113" t="s">
        <v>7</v>
      </c>
      <c r="C2390" s="113">
        <v>1100000000</v>
      </c>
      <c r="D2390" s="113">
        <v>1101000000</v>
      </c>
      <c r="E2390" s="113">
        <v>10000</v>
      </c>
      <c r="F2390" s="113" t="s">
        <v>102</v>
      </c>
      <c r="G2390" s="113" t="s">
        <v>50</v>
      </c>
      <c r="H2390" s="113">
        <v>0</v>
      </c>
      <c r="I2390" s="113">
        <v>0</v>
      </c>
      <c r="K2390" s="113">
        <v>930</v>
      </c>
      <c r="L2390" s="113">
        <v>1.7E-5</v>
      </c>
      <c r="M2390" s="113">
        <v>577.19000000000005</v>
      </c>
      <c r="N2390" s="113">
        <v>1.7320999999999999E-5</v>
      </c>
      <c r="O2390" s="114" t="s">
        <v>700</v>
      </c>
    </row>
    <row r="2391" spans="1:15" x14ac:dyDescent="0.25">
      <c r="A2391" s="113" t="s">
        <v>54</v>
      </c>
      <c r="B2391" s="113" t="s">
        <v>7</v>
      </c>
      <c r="C2391" s="113">
        <v>1100000000</v>
      </c>
      <c r="D2391" s="113">
        <v>1101000000</v>
      </c>
      <c r="E2391" s="113">
        <v>100000</v>
      </c>
      <c r="F2391" s="113" t="s">
        <v>102</v>
      </c>
      <c r="G2391" s="113" t="s">
        <v>50</v>
      </c>
      <c r="H2391" s="113">
        <v>0</v>
      </c>
      <c r="I2391" s="113">
        <v>0</v>
      </c>
      <c r="K2391" s="113">
        <v>930</v>
      </c>
      <c r="L2391" s="113">
        <v>1.732E-5</v>
      </c>
      <c r="M2391" s="113">
        <v>578</v>
      </c>
      <c r="N2391" s="113">
        <v>1.732E-5</v>
      </c>
      <c r="O2391" s="114" t="s">
        <v>701</v>
      </c>
    </row>
    <row r="2392" spans="1:15" x14ac:dyDescent="0.25">
      <c r="A2392" s="113" t="s">
        <v>54</v>
      </c>
      <c r="B2392" s="113" t="s">
        <v>7</v>
      </c>
      <c r="C2392" s="113">
        <v>1100000000</v>
      </c>
      <c r="D2392" s="113">
        <v>1101000000</v>
      </c>
      <c r="E2392" s="113">
        <v>1000000</v>
      </c>
      <c r="F2392" s="113" t="s">
        <v>102</v>
      </c>
      <c r="G2392" s="113" t="s">
        <v>50</v>
      </c>
      <c r="H2392" s="113">
        <v>0</v>
      </c>
      <c r="I2392" s="113">
        <v>0</v>
      </c>
      <c r="K2392" s="113">
        <v>930</v>
      </c>
      <c r="L2392" s="113">
        <v>1.7297000000000001E-5</v>
      </c>
      <c r="M2392" s="113">
        <v>611.79</v>
      </c>
      <c r="N2392" s="113">
        <v>1.7297000000000001E-5</v>
      </c>
      <c r="O2392" s="114" t="s">
        <v>702</v>
      </c>
    </row>
    <row r="2393" spans="1:15" x14ac:dyDescent="0.25">
      <c r="A2393" s="113" t="s">
        <v>54</v>
      </c>
      <c r="B2393" s="113" t="s">
        <v>7</v>
      </c>
      <c r="C2393" s="113">
        <v>1100000000</v>
      </c>
      <c r="D2393" s="113">
        <v>1101000000</v>
      </c>
      <c r="E2393" s="113">
        <v>10000000</v>
      </c>
      <c r="F2393" s="113" t="s">
        <v>102</v>
      </c>
      <c r="G2393" s="113" t="s">
        <v>50</v>
      </c>
      <c r="H2393" s="113">
        <v>0</v>
      </c>
      <c r="I2393" s="113">
        <v>0</v>
      </c>
      <c r="K2393" s="113">
        <v>3454.2</v>
      </c>
      <c r="L2393" s="113">
        <v>1.5468000000000002E-5</v>
      </c>
      <c r="M2393" s="113">
        <v>3454.1</v>
      </c>
      <c r="N2393" s="113">
        <v>1.5468000000000002E-5</v>
      </c>
      <c r="O2393" s="114" t="s">
        <v>703</v>
      </c>
    </row>
    <row r="2394" spans="1:15" x14ac:dyDescent="0.25">
      <c r="A2394" s="113" t="s">
        <v>68</v>
      </c>
      <c r="B2394" s="113" t="s">
        <v>47</v>
      </c>
      <c r="C2394" s="113">
        <v>1.0000000000000001E-5</v>
      </c>
      <c r="D2394" s="113">
        <v>1.0399999999999999E-4</v>
      </c>
      <c r="E2394" s="113">
        <v>1.0000000000000001E-9</v>
      </c>
      <c r="F2394" s="113" t="s">
        <v>13</v>
      </c>
      <c r="G2394" s="113" t="s">
        <v>11</v>
      </c>
      <c r="H2394" s="113">
        <v>0.01</v>
      </c>
      <c r="I2394" s="113">
        <v>2</v>
      </c>
      <c r="J2394" s="113" t="s">
        <v>10</v>
      </c>
      <c r="K2394" s="113">
        <v>0.47</v>
      </c>
      <c r="L2394" s="113">
        <v>1200</v>
      </c>
      <c r="M2394" s="113">
        <v>0.46304000000000001</v>
      </c>
      <c r="N2394" s="113">
        <v>1233.9000000000001</v>
      </c>
      <c r="O2394" s="114" t="s">
        <v>2517</v>
      </c>
    </row>
    <row r="2395" spans="1:15" x14ac:dyDescent="0.25">
      <c r="A2395" s="113" t="s">
        <v>68</v>
      </c>
      <c r="B2395" s="113" t="s">
        <v>47</v>
      </c>
      <c r="C2395" s="113">
        <v>1.0000000000000001E-5</v>
      </c>
      <c r="D2395" s="113">
        <v>1.0399999999999999E-4</v>
      </c>
      <c r="E2395" s="113">
        <v>1E-8</v>
      </c>
      <c r="F2395" s="113" t="s">
        <v>13</v>
      </c>
      <c r="G2395" s="113" t="s">
        <v>11</v>
      </c>
      <c r="H2395" s="113">
        <v>0.01</v>
      </c>
      <c r="I2395" s="113">
        <v>2</v>
      </c>
      <c r="J2395" s="113" t="s">
        <v>10</v>
      </c>
      <c r="K2395" s="113">
        <v>0.47</v>
      </c>
      <c r="L2395" s="113">
        <v>1234</v>
      </c>
      <c r="M2395" s="113">
        <v>0.46307999999999999</v>
      </c>
      <c r="N2395" s="113">
        <v>1233.9000000000001</v>
      </c>
      <c r="O2395" s="114" t="s">
        <v>2518</v>
      </c>
    </row>
    <row r="2396" spans="1:15" x14ac:dyDescent="0.25">
      <c r="A2396" s="113" t="s">
        <v>68</v>
      </c>
      <c r="B2396" s="113" t="s">
        <v>47</v>
      </c>
      <c r="C2396" s="113">
        <v>1.0000000000000001E-5</v>
      </c>
      <c r="D2396" s="113">
        <v>1.0399999999999999E-4</v>
      </c>
      <c r="E2396" s="113">
        <v>9.9999999999999995E-8</v>
      </c>
      <c r="F2396" s="113" t="s">
        <v>13</v>
      </c>
      <c r="G2396" s="113" t="s">
        <v>11</v>
      </c>
      <c r="H2396" s="113">
        <v>0.01</v>
      </c>
      <c r="I2396" s="113">
        <v>2</v>
      </c>
      <c r="J2396" s="113" t="s">
        <v>10</v>
      </c>
      <c r="K2396" s="113">
        <v>0.47</v>
      </c>
      <c r="L2396" s="113">
        <v>1227.5</v>
      </c>
      <c r="M2396" s="113">
        <v>0.46660000000000001</v>
      </c>
      <c r="N2396" s="113">
        <v>1227</v>
      </c>
      <c r="O2396" s="114" t="s">
        <v>2519</v>
      </c>
    </row>
    <row r="2397" spans="1:15" x14ac:dyDescent="0.25">
      <c r="A2397" s="113" t="s">
        <v>68</v>
      </c>
      <c r="B2397" s="113" t="s">
        <v>47</v>
      </c>
      <c r="C2397" s="113">
        <v>1.0000000000000001E-5</v>
      </c>
      <c r="D2397" s="113">
        <v>1.0399999999999999E-4</v>
      </c>
      <c r="E2397" s="113">
        <v>9.9999999999999995E-7</v>
      </c>
      <c r="F2397" s="113" t="s">
        <v>13</v>
      </c>
      <c r="G2397" s="113" t="s">
        <v>11</v>
      </c>
      <c r="H2397" s="113">
        <v>0.01</v>
      </c>
      <c r="I2397" s="113">
        <v>2</v>
      </c>
      <c r="J2397" s="113" t="s">
        <v>10</v>
      </c>
      <c r="K2397" s="113">
        <v>0.73980999999999997</v>
      </c>
      <c r="L2397" s="113">
        <v>857.29</v>
      </c>
      <c r="M2397" s="113">
        <v>0.73978999999999995</v>
      </c>
      <c r="N2397" s="113">
        <v>855.77</v>
      </c>
      <c r="O2397" s="114" t="s">
        <v>2520</v>
      </c>
    </row>
    <row r="2398" spans="1:15" x14ac:dyDescent="0.25">
      <c r="A2398" s="113" t="s">
        <v>68</v>
      </c>
      <c r="B2398" s="113" t="s">
        <v>47</v>
      </c>
      <c r="C2398" s="113">
        <v>1.0000000000000001E-5</v>
      </c>
      <c r="D2398" s="113">
        <v>1.0399999999999999E-4</v>
      </c>
      <c r="E2398" s="113">
        <v>1.0000000000000001E-5</v>
      </c>
      <c r="F2398" s="113" t="s">
        <v>13</v>
      </c>
      <c r="G2398" s="113" t="s">
        <v>11</v>
      </c>
      <c r="H2398" s="113">
        <v>0.01</v>
      </c>
      <c r="I2398" s="113">
        <v>2</v>
      </c>
      <c r="J2398" s="113" t="s">
        <v>10</v>
      </c>
      <c r="K2398" s="113">
        <v>5.8087999999999997</v>
      </c>
      <c r="L2398" s="113">
        <v>394.38</v>
      </c>
      <c r="M2398" s="113">
        <v>5.8087999999999997</v>
      </c>
      <c r="N2398" s="113">
        <v>393.5</v>
      </c>
      <c r="O2398" s="114" t="s">
        <v>2841</v>
      </c>
    </row>
    <row r="2399" spans="1:15" x14ac:dyDescent="0.25">
      <c r="A2399" s="113" t="s">
        <v>68</v>
      </c>
      <c r="B2399" s="113" t="s">
        <v>47</v>
      </c>
      <c r="C2399" s="113">
        <v>1E-4</v>
      </c>
      <c r="D2399" s="113">
        <v>1.0399999999999999E-3</v>
      </c>
      <c r="E2399" s="113">
        <v>1E-8</v>
      </c>
      <c r="F2399" s="113" t="s">
        <v>13</v>
      </c>
      <c r="G2399" s="113" t="s">
        <v>11</v>
      </c>
      <c r="H2399" s="113">
        <v>0.01</v>
      </c>
      <c r="I2399" s="113">
        <v>2</v>
      </c>
      <c r="J2399" s="113" t="s">
        <v>10</v>
      </c>
      <c r="K2399" s="113">
        <v>0.97</v>
      </c>
      <c r="L2399" s="113">
        <v>1200</v>
      </c>
      <c r="M2399" s="113">
        <v>0.96530000000000005</v>
      </c>
      <c r="N2399" s="113">
        <v>1192.0999999999999</v>
      </c>
      <c r="O2399" s="114" t="s">
        <v>2842</v>
      </c>
    </row>
    <row r="2400" spans="1:15" x14ac:dyDescent="0.25">
      <c r="A2400" s="113" t="s">
        <v>68</v>
      </c>
      <c r="B2400" s="113" t="s">
        <v>47</v>
      </c>
      <c r="C2400" s="113">
        <v>1E-4</v>
      </c>
      <c r="D2400" s="113">
        <v>1.0399999999999999E-3</v>
      </c>
      <c r="E2400" s="113">
        <v>9.9999999999999995E-8</v>
      </c>
      <c r="F2400" s="113" t="s">
        <v>13</v>
      </c>
      <c r="G2400" s="113" t="s">
        <v>11</v>
      </c>
      <c r="H2400" s="113">
        <v>0.01</v>
      </c>
      <c r="I2400" s="113">
        <v>2</v>
      </c>
      <c r="J2400" s="113" t="s">
        <v>10</v>
      </c>
      <c r="K2400" s="113">
        <v>0.97</v>
      </c>
      <c r="L2400" s="113">
        <v>1191.5</v>
      </c>
      <c r="M2400" s="113">
        <v>0.96691000000000005</v>
      </c>
      <c r="N2400" s="113">
        <v>1191.3</v>
      </c>
      <c r="O2400" s="114" t="s">
        <v>2521</v>
      </c>
    </row>
    <row r="2401" spans="1:15" x14ac:dyDescent="0.25">
      <c r="A2401" s="113" t="s">
        <v>68</v>
      </c>
      <c r="B2401" s="113" t="s">
        <v>47</v>
      </c>
      <c r="C2401" s="113">
        <v>1E-4</v>
      </c>
      <c r="D2401" s="113">
        <v>1.0399999999999999E-3</v>
      </c>
      <c r="E2401" s="113">
        <v>9.9999999999999995E-7</v>
      </c>
      <c r="F2401" s="113" t="s">
        <v>13</v>
      </c>
      <c r="G2401" s="113" t="s">
        <v>11</v>
      </c>
      <c r="H2401" s="113">
        <v>0.01</v>
      </c>
      <c r="I2401" s="113">
        <v>2</v>
      </c>
      <c r="J2401" s="113" t="s">
        <v>10</v>
      </c>
      <c r="K2401" s="113">
        <v>1.1172</v>
      </c>
      <c r="L2401" s="113">
        <v>1119.7</v>
      </c>
      <c r="M2401" s="113">
        <v>1.1168</v>
      </c>
      <c r="N2401" s="113">
        <v>1118.5999999999999</v>
      </c>
      <c r="O2401" s="114" t="s">
        <v>2843</v>
      </c>
    </row>
    <row r="2402" spans="1:15" x14ac:dyDescent="0.25">
      <c r="A2402" s="113" t="s">
        <v>68</v>
      </c>
      <c r="B2402" s="113" t="s">
        <v>47</v>
      </c>
      <c r="C2402" s="113">
        <v>1E-4</v>
      </c>
      <c r="D2402" s="113">
        <v>1.0399999999999999E-3</v>
      </c>
      <c r="E2402" s="113">
        <v>1.0000000000000001E-5</v>
      </c>
      <c r="F2402" s="113" t="s">
        <v>13</v>
      </c>
      <c r="G2402" s="113" t="s">
        <v>11</v>
      </c>
      <c r="H2402" s="113">
        <v>0.01</v>
      </c>
      <c r="I2402" s="113">
        <v>2</v>
      </c>
      <c r="J2402" s="113" t="s">
        <v>10</v>
      </c>
      <c r="K2402" s="113">
        <v>5.8400999999999996</v>
      </c>
      <c r="L2402" s="113">
        <v>353.65</v>
      </c>
      <c r="M2402" s="113">
        <v>5.8398000000000003</v>
      </c>
      <c r="N2402" s="113">
        <v>351.6</v>
      </c>
      <c r="O2402" s="114" t="s">
        <v>2522</v>
      </c>
    </row>
    <row r="2403" spans="1:15" x14ac:dyDescent="0.25">
      <c r="A2403" s="113" t="s">
        <v>68</v>
      </c>
      <c r="B2403" s="113" t="s">
        <v>47</v>
      </c>
      <c r="C2403" s="113">
        <v>1E-4</v>
      </c>
      <c r="D2403" s="113">
        <v>1.0399999999999999E-3</v>
      </c>
      <c r="E2403" s="113">
        <v>1E-4</v>
      </c>
      <c r="F2403" s="113" t="s">
        <v>13</v>
      </c>
      <c r="G2403" s="113" t="s">
        <v>11</v>
      </c>
      <c r="H2403" s="113">
        <v>0.01</v>
      </c>
      <c r="I2403" s="113">
        <v>2</v>
      </c>
      <c r="J2403" s="113" t="s">
        <v>10</v>
      </c>
      <c r="K2403" s="113">
        <v>57.911999999999999</v>
      </c>
      <c r="L2403" s="113">
        <v>316.08</v>
      </c>
      <c r="M2403" s="113">
        <v>57.911999999999999</v>
      </c>
      <c r="N2403" s="113">
        <v>315.2</v>
      </c>
      <c r="O2403" s="114" t="s">
        <v>2523</v>
      </c>
    </row>
    <row r="2404" spans="1:15" x14ac:dyDescent="0.25">
      <c r="A2404" s="113" t="s">
        <v>68</v>
      </c>
      <c r="B2404" s="113" t="s">
        <v>47</v>
      </c>
      <c r="C2404" s="113">
        <v>1E-3</v>
      </c>
      <c r="D2404" s="113">
        <v>1.04E-2</v>
      </c>
      <c r="E2404" s="113">
        <v>9.9999999999999995E-8</v>
      </c>
      <c r="F2404" s="113" t="s">
        <v>13</v>
      </c>
      <c r="G2404" s="113" t="s">
        <v>11</v>
      </c>
      <c r="H2404" s="113">
        <v>0.01</v>
      </c>
      <c r="I2404" s="113">
        <v>2</v>
      </c>
      <c r="J2404" s="113" t="s">
        <v>10</v>
      </c>
      <c r="K2404" s="113">
        <v>9.6999999999999993</v>
      </c>
      <c r="L2404" s="113">
        <v>1200</v>
      </c>
      <c r="M2404" s="113">
        <v>9.6530000000000005</v>
      </c>
      <c r="N2404" s="113">
        <v>1192.0999999999999</v>
      </c>
      <c r="O2404" s="114" t="s">
        <v>2524</v>
      </c>
    </row>
    <row r="2405" spans="1:15" x14ac:dyDescent="0.25">
      <c r="A2405" s="113" t="s">
        <v>68</v>
      </c>
      <c r="B2405" s="113" t="s">
        <v>47</v>
      </c>
      <c r="C2405" s="113">
        <v>1E-3</v>
      </c>
      <c r="D2405" s="113">
        <v>1.04E-2</v>
      </c>
      <c r="E2405" s="113">
        <v>9.9999999999999995E-7</v>
      </c>
      <c r="F2405" s="113" t="s">
        <v>13</v>
      </c>
      <c r="G2405" s="113" t="s">
        <v>11</v>
      </c>
      <c r="H2405" s="113">
        <v>0.01</v>
      </c>
      <c r="I2405" s="113">
        <v>2</v>
      </c>
      <c r="J2405" s="113" t="s">
        <v>10</v>
      </c>
      <c r="K2405" s="113">
        <v>9.6999999999999993</v>
      </c>
      <c r="L2405" s="113">
        <v>1191.5</v>
      </c>
      <c r="M2405" s="113">
        <v>9.6691000000000003</v>
      </c>
      <c r="N2405" s="113">
        <v>1191.3</v>
      </c>
      <c r="O2405" s="114" t="s">
        <v>2525</v>
      </c>
    </row>
    <row r="2406" spans="1:15" x14ac:dyDescent="0.25">
      <c r="A2406" s="113" t="s">
        <v>68</v>
      </c>
      <c r="B2406" s="113" t="s">
        <v>47</v>
      </c>
      <c r="C2406" s="113">
        <v>1E-3</v>
      </c>
      <c r="D2406" s="113">
        <v>1.04E-2</v>
      </c>
      <c r="E2406" s="113">
        <v>1.0000000000000001E-5</v>
      </c>
      <c r="F2406" s="113" t="s">
        <v>13</v>
      </c>
      <c r="G2406" s="113" t="s">
        <v>11</v>
      </c>
      <c r="H2406" s="113">
        <v>0.01</v>
      </c>
      <c r="I2406" s="113">
        <v>2</v>
      </c>
      <c r="J2406" s="113" t="s">
        <v>10</v>
      </c>
      <c r="K2406" s="113">
        <v>11.172000000000001</v>
      </c>
      <c r="L2406" s="113">
        <v>1119.7</v>
      </c>
      <c r="M2406" s="113">
        <v>11.167999999999999</v>
      </c>
      <c r="N2406" s="113">
        <v>1118.5999999999999</v>
      </c>
      <c r="O2406" s="114" t="s">
        <v>2844</v>
      </c>
    </row>
    <row r="2407" spans="1:15" x14ac:dyDescent="0.25">
      <c r="A2407" s="113" t="s">
        <v>68</v>
      </c>
      <c r="B2407" s="113" t="s">
        <v>47</v>
      </c>
      <c r="C2407" s="113">
        <v>1E-3</v>
      </c>
      <c r="D2407" s="113">
        <v>1.04E-2</v>
      </c>
      <c r="E2407" s="113">
        <v>1E-4</v>
      </c>
      <c r="F2407" s="113" t="s">
        <v>13</v>
      </c>
      <c r="G2407" s="113" t="s">
        <v>11</v>
      </c>
      <c r="H2407" s="113">
        <v>0.01</v>
      </c>
      <c r="I2407" s="113">
        <v>2</v>
      </c>
      <c r="J2407" s="113" t="s">
        <v>10</v>
      </c>
      <c r="K2407" s="113">
        <v>58.401000000000003</v>
      </c>
      <c r="L2407" s="113">
        <v>353.65</v>
      </c>
      <c r="M2407" s="113">
        <v>58.398000000000003</v>
      </c>
      <c r="N2407" s="113">
        <v>351.6</v>
      </c>
      <c r="O2407" s="114" t="s">
        <v>2526</v>
      </c>
    </row>
    <row r="2408" spans="1:15" x14ac:dyDescent="0.25">
      <c r="A2408" s="113" t="s">
        <v>68</v>
      </c>
      <c r="B2408" s="113" t="s">
        <v>47</v>
      </c>
      <c r="C2408" s="113">
        <v>1E-3</v>
      </c>
      <c r="D2408" s="113">
        <v>1.04E-2</v>
      </c>
      <c r="E2408" s="113">
        <v>1E-3</v>
      </c>
      <c r="F2408" s="113" t="s">
        <v>13</v>
      </c>
      <c r="G2408" s="113" t="s">
        <v>11</v>
      </c>
      <c r="H2408" s="113">
        <v>0.01</v>
      </c>
      <c r="I2408" s="113">
        <v>2</v>
      </c>
      <c r="J2408" s="113" t="s">
        <v>10</v>
      </c>
      <c r="K2408" s="113">
        <v>579.12</v>
      </c>
      <c r="L2408" s="113">
        <v>316.08</v>
      </c>
      <c r="M2408" s="113">
        <v>579.12</v>
      </c>
      <c r="N2408" s="113">
        <v>315.2</v>
      </c>
      <c r="O2408" s="114" t="s">
        <v>2845</v>
      </c>
    </row>
    <row r="2409" spans="1:15" x14ac:dyDescent="0.25">
      <c r="A2409" s="113" t="s">
        <v>68</v>
      </c>
      <c r="B2409" s="113" t="s">
        <v>47</v>
      </c>
      <c r="C2409" s="113">
        <v>0.01</v>
      </c>
      <c r="D2409" s="113">
        <v>0.104</v>
      </c>
      <c r="E2409" s="113">
        <v>9.9999999999999995E-7</v>
      </c>
      <c r="F2409" s="113" t="s">
        <v>13</v>
      </c>
      <c r="G2409" s="113" t="s">
        <v>11</v>
      </c>
      <c r="H2409" s="113">
        <v>0.01</v>
      </c>
      <c r="I2409" s="113">
        <v>2</v>
      </c>
      <c r="J2409" s="113" t="s">
        <v>10</v>
      </c>
      <c r="K2409" s="113">
        <v>97</v>
      </c>
      <c r="L2409" s="113">
        <v>1200</v>
      </c>
      <c r="M2409" s="113">
        <v>96.53</v>
      </c>
      <c r="N2409" s="113">
        <v>1192.0999999999999</v>
      </c>
      <c r="O2409" s="114" t="s">
        <v>2846</v>
      </c>
    </row>
    <row r="2410" spans="1:15" x14ac:dyDescent="0.25">
      <c r="A2410" s="113" t="s">
        <v>68</v>
      </c>
      <c r="B2410" s="113" t="s">
        <v>47</v>
      </c>
      <c r="C2410" s="113">
        <v>0.01</v>
      </c>
      <c r="D2410" s="113">
        <v>0.104</v>
      </c>
      <c r="E2410" s="113">
        <v>1.0000000000000001E-5</v>
      </c>
      <c r="F2410" s="113" t="s">
        <v>13</v>
      </c>
      <c r="G2410" s="113" t="s">
        <v>11</v>
      </c>
      <c r="H2410" s="113">
        <v>0.01</v>
      </c>
      <c r="I2410" s="113">
        <v>2</v>
      </c>
      <c r="J2410" s="113" t="s">
        <v>10</v>
      </c>
      <c r="K2410" s="113">
        <v>97</v>
      </c>
      <c r="L2410" s="113">
        <v>1191.5</v>
      </c>
      <c r="M2410" s="113">
        <v>96.691000000000003</v>
      </c>
      <c r="N2410" s="113">
        <v>1191.3</v>
      </c>
      <c r="O2410" s="114" t="s">
        <v>2847</v>
      </c>
    </row>
    <row r="2411" spans="1:15" x14ac:dyDescent="0.25">
      <c r="A2411" s="113" t="s">
        <v>68</v>
      </c>
      <c r="B2411" s="113" t="s">
        <v>47</v>
      </c>
      <c r="C2411" s="113">
        <v>0.01</v>
      </c>
      <c r="D2411" s="113">
        <v>0.104</v>
      </c>
      <c r="E2411" s="113">
        <v>1E-4</v>
      </c>
      <c r="F2411" s="113" t="s">
        <v>13</v>
      </c>
      <c r="G2411" s="113" t="s">
        <v>11</v>
      </c>
      <c r="H2411" s="113">
        <v>0.01</v>
      </c>
      <c r="I2411" s="113">
        <v>2</v>
      </c>
      <c r="J2411" s="113" t="s">
        <v>10</v>
      </c>
      <c r="K2411" s="113">
        <v>111.72</v>
      </c>
      <c r="L2411" s="113">
        <v>1119.7</v>
      </c>
      <c r="M2411" s="113">
        <v>111.68</v>
      </c>
      <c r="N2411" s="113">
        <v>1118.5999999999999</v>
      </c>
      <c r="O2411" s="114" t="s">
        <v>2527</v>
      </c>
    </row>
    <row r="2412" spans="1:15" x14ac:dyDescent="0.25">
      <c r="A2412" s="113" t="s">
        <v>68</v>
      </c>
      <c r="B2412" s="113" t="s">
        <v>47</v>
      </c>
      <c r="C2412" s="113">
        <v>0.01</v>
      </c>
      <c r="D2412" s="113">
        <v>0.104</v>
      </c>
      <c r="E2412" s="113">
        <v>1E-3</v>
      </c>
      <c r="F2412" s="113" t="s">
        <v>13</v>
      </c>
      <c r="G2412" s="113" t="s">
        <v>11</v>
      </c>
      <c r="H2412" s="113">
        <v>0.01</v>
      </c>
      <c r="I2412" s="113">
        <v>2</v>
      </c>
      <c r="J2412" s="113" t="s">
        <v>10</v>
      </c>
      <c r="K2412" s="113">
        <v>583.96</v>
      </c>
      <c r="L2412" s="113">
        <v>353.65</v>
      </c>
      <c r="M2412" s="113">
        <v>583.98</v>
      </c>
      <c r="N2412" s="113">
        <v>351.6</v>
      </c>
      <c r="O2412" s="114" t="s">
        <v>2528</v>
      </c>
    </row>
    <row r="2413" spans="1:15" x14ac:dyDescent="0.25">
      <c r="A2413" s="113" t="s">
        <v>68</v>
      </c>
      <c r="B2413" s="113" t="s">
        <v>47</v>
      </c>
      <c r="C2413" s="113">
        <v>0.01</v>
      </c>
      <c r="D2413" s="113">
        <v>0.104</v>
      </c>
      <c r="E2413" s="113">
        <v>0.01</v>
      </c>
      <c r="F2413" s="113" t="s">
        <v>13</v>
      </c>
      <c r="G2413" s="113" t="s">
        <v>11</v>
      </c>
      <c r="H2413" s="113">
        <v>0.01</v>
      </c>
      <c r="I2413" s="113">
        <v>2</v>
      </c>
      <c r="J2413" s="113" t="s">
        <v>10</v>
      </c>
      <c r="K2413" s="113">
        <v>5791.2</v>
      </c>
      <c r="L2413" s="113">
        <v>316.08</v>
      </c>
      <c r="M2413" s="113">
        <v>5791.2</v>
      </c>
      <c r="N2413" s="113">
        <v>315.2</v>
      </c>
      <c r="O2413" s="114" t="s">
        <v>2848</v>
      </c>
    </row>
    <row r="2414" spans="1:15" x14ac:dyDescent="0.25">
      <c r="A2414" s="113" t="s">
        <v>68</v>
      </c>
      <c r="B2414" s="113" t="s">
        <v>47</v>
      </c>
      <c r="C2414" s="113">
        <v>0.1</v>
      </c>
      <c r="D2414" s="113">
        <v>1.04</v>
      </c>
      <c r="E2414" s="113">
        <v>1.0000000000000001E-5</v>
      </c>
      <c r="F2414" s="113" t="s">
        <v>13</v>
      </c>
      <c r="G2414" s="113" t="s">
        <v>12</v>
      </c>
      <c r="H2414" s="113">
        <v>0.01</v>
      </c>
      <c r="I2414" s="113">
        <v>2</v>
      </c>
      <c r="J2414" s="113" t="s">
        <v>10</v>
      </c>
      <c r="K2414" s="113">
        <v>1</v>
      </c>
      <c r="L2414" s="113">
        <v>1.5</v>
      </c>
      <c r="M2414" s="113">
        <v>0.99589000000000005</v>
      </c>
      <c r="N2414" s="113">
        <v>1.4890000000000001</v>
      </c>
      <c r="O2414" s="114" t="s">
        <v>2529</v>
      </c>
    </row>
    <row r="2415" spans="1:15" x14ac:dyDescent="0.25">
      <c r="A2415" s="113" t="s">
        <v>68</v>
      </c>
      <c r="B2415" s="113" t="s">
        <v>47</v>
      </c>
      <c r="C2415" s="113">
        <v>0.1</v>
      </c>
      <c r="D2415" s="113">
        <v>1.04</v>
      </c>
      <c r="E2415" s="113">
        <v>1E-4</v>
      </c>
      <c r="F2415" s="113" t="s">
        <v>13</v>
      </c>
      <c r="G2415" s="113" t="s">
        <v>12</v>
      </c>
      <c r="H2415" s="113">
        <v>0.01</v>
      </c>
      <c r="I2415" s="113">
        <v>2</v>
      </c>
      <c r="J2415" s="113" t="s">
        <v>10</v>
      </c>
      <c r="K2415" s="113">
        <v>1</v>
      </c>
      <c r="L2415" s="113">
        <v>1.4883999999999999</v>
      </c>
      <c r="M2415" s="113">
        <v>0.99738000000000004</v>
      </c>
      <c r="N2415" s="113">
        <v>1.4882</v>
      </c>
      <c r="O2415" s="114" t="s">
        <v>2530</v>
      </c>
    </row>
    <row r="2416" spans="1:15" x14ac:dyDescent="0.25">
      <c r="A2416" s="113" t="s">
        <v>68</v>
      </c>
      <c r="B2416" s="113" t="s">
        <v>47</v>
      </c>
      <c r="C2416" s="113">
        <v>0.1</v>
      </c>
      <c r="D2416" s="113">
        <v>1.04</v>
      </c>
      <c r="E2416" s="113">
        <v>1E-3</v>
      </c>
      <c r="F2416" s="113" t="s">
        <v>13</v>
      </c>
      <c r="G2416" s="113" t="s">
        <v>12</v>
      </c>
      <c r="H2416" s="113">
        <v>0.01</v>
      </c>
      <c r="I2416" s="113">
        <v>2</v>
      </c>
      <c r="J2416" s="113" t="s">
        <v>10</v>
      </c>
      <c r="K2416" s="113">
        <v>1.1829000000000001</v>
      </c>
      <c r="L2416" s="113">
        <v>1.4133</v>
      </c>
      <c r="M2416" s="113">
        <v>1.1409</v>
      </c>
      <c r="N2416" s="113">
        <v>1.4124000000000001</v>
      </c>
      <c r="O2416" s="114" t="s">
        <v>2531</v>
      </c>
    </row>
    <row r="2417" spans="1:15" x14ac:dyDescent="0.25">
      <c r="A2417" s="113" t="s">
        <v>68</v>
      </c>
      <c r="B2417" s="113" t="s">
        <v>47</v>
      </c>
      <c r="C2417" s="113">
        <v>0.1</v>
      </c>
      <c r="D2417" s="113">
        <v>1.04</v>
      </c>
      <c r="E2417" s="113">
        <v>0.01</v>
      </c>
      <c r="F2417" s="113" t="s">
        <v>13</v>
      </c>
      <c r="G2417" s="113" t="s">
        <v>12</v>
      </c>
      <c r="H2417" s="113">
        <v>0.01</v>
      </c>
      <c r="I2417" s="113">
        <v>2</v>
      </c>
      <c r="J2417" s="113" t="s">
        <v>10</v>
      </c>
      <c r="K2417" s="113">
        <v>5.9116</v>
      </c>
      <c r="L2417" s="113">
        <v>0.47821000000000002</v>
      </c>
      <c r="M2417" s="113">
        <v>5.8383000000000003</v>
      </c>
      <c r="N2417" s="113">
        <v>0.47621000000000002</v>
      </c>
      <c r="O2417" s="114" t="s">
        <v>2532</v>
      </c>
    </row>
    <row r="2418" spans="1:15" x14ac:dyDescent="0.25">
      <c r="A2418" s="113" t="s">
        <v>68</v>
      </c>
      <c r="B2418" s="113" t="s">
        <v>47</v>
      </c>
      <c r="C2418" s="113">
        <v>0.1</v>
      </c>
      <c r="D2418" s="113">
        <v>1.04</v>
      </c>
      <c r="E2418" s="113">
        <v>0.1</v>
      </c>
      <c r="F2418" s="113" t="s">
        <v>13</v>
      </c>
      <c r="G2418" s="113" t="s">
        <v>12</v>
      </c>
      <c r="H2418" s="113">
        <v>0.01</v>
      </c>
      <c r="I2418" s="113">
        <v>2</v>
      </c>
      <c r="J2418" s="113" t="s">
        <v>10</v>
      </c>
      <c r="K2418" s="113">
        <v>57.947000000000003</v>
      </c>
      <c r="L2418" s="113">
        <v>0.32961000000000001</v>
      </c>
      <c r="M2418" s="113">
        <v>57.91</v>
      </c>
      <c r="N2418" s="113">
        <v>0.32873000000000002</v>
      </c>
      <c r="O2418" s="114" t="s">
        <v>2533</v>
      </c>
    </row>
    <row r="2419" spans="1:15" x14ac:dyDescent="0.25">
      <c r="A2419" s="113" t="s">
        <v>68</v>
      </c>
      <c r="B2419" s="113" t="s">
        <v>47</v>
      </c>
      <c r="C2419" s="113">
        <v>1</v>
      </c>
      <c r="D2419" s="113">
        <v>10.4</v>
      </c>
      <c r="E2419" s="113">
        <v>1E-4</v>
      </c>
      <c r="F2419" s="113" t="s">
        <v>13</v>
      </c>
      <c r="G2419" s="113" t="s">
        <v>12</v>
      </c>
      <c r="H2419" s="113">
        <v>0.01</v>
      </c>
      <c r="I2419" s="113">
        <v>2</v>
      </c>
      <c r="J2419" s="113" t="s">
        <v>10</v>
      </c>
      <c r="K2419" s="113">
        <v>18</v>
      </c>
      <c r="L2419" s="113">
        <v>1.4</v>
      </c>
      <c r="M2419" s="113">
        <v>17.128</v>
      </c>
      <c r="N2419" s="113">
        <v>1.4000999999999999</v>
      </c>
      <c r="O2419" s="114" t="s">
        <v>2534</v>
      </c>
    </row>
    <row r="2420" spans="1:15" x14ac:dyDescent="0.25">
      <c r="A2420" s="113" t="s">
        <v>68</v>
      </c>
      <c r="B2420" s="113" t="s">
        <v>47</v>
      </c>
      <c r="C2420" s="113">
        <v>1</v>
      </c>
      <c r="D2420" s="113">
        <v>10.4</v>
      </c>
      <c r="E2420" s="113">
        <v>1E-3</v>
      </c>
      <c r="F2420" s="113" t="s">
        <v>13</v>
      </c>
      <c r="G2420" s="113" t="s">
        <v>12</v>
      </c>
      <c r="H2420" s="113">
        <v>0.01</v>
      </c>
      <c r="I2420" s="113">
        <v>2</v>
      </c>
      <c r="J2420" s="113" t="s">
        <v>10</v>
      </c>
      <c r="K2420" s="113">
        <v>18</v>
      </c>
      <c r="L2420" s="113">
        <v>1.3998999999999999</v>
      </c>
      <c r="M2420" s="113">
        <v>17.138000000000002</v>
      </c>
      <c r="N2420" s="113">
        <v>1.3996999999999999</v>
      </c>
      <c r="O2420" s="114" t="s">
        <v>2535</v>
      </c>
    </row>
    <row r="2421" spans="1:15" x14ac:dyDescent="0.25">
      <c r="A2421" s="113" t="s">
        <v>68</v>
      </c>
      <c r="B2421" s="113" t="s">
        <v>47</v>
      </c>
      <c r="C2421" s="113">
        <v>1</v>
      </c>
      <c r="D2421" s="113">
        <v>10.4</v>
      </c>
      <c r="E2421" s="113">
        <v>0.01</v>
      </c>
      <c r="F2421" s="113" t="s">
        <v>13</v>
      </c>
      <c r="G2421" s="113" t="s">
        <v>12</v>
      </c>
      <c r="H2421" s="113">
        <v>0.01</v>
      </c>
      <c r="I2421" s="113">
        <v>2</v>
      </c>
      <c r="J2421" s="113" t="s">
        <v>10</v>
      </c>
      <c r="K2421" s="113">
        <v>18.047000000000001</v>
      </c>
      <c r="L2421" s="113">
        <v>1.3634999999999999</v>
      </c>
      <c r="M2421" s="113">
        <v>18.045000000000002</v>
      </c>
      <c r="N2421" s="113">
        <v>1.3626</v>
      </c>
      <c r="O2421" s="114" t="s">
        <v>2849</v>
      </c>
    </row>
    <row r="2422" spans="1:15" x14ac:dyDescent="0.25">
      <c r="A2422" s="113" t="s">
        <v>68</v>
      </c>
      <c r="B2422" s="113" t="s">
        <v>47</v>
      </c>
      <c r="C2422" s="113">
        <v>1</v>
      </c>
      <c r="D2422" s="113">
        <v>10.4</v>
      </c>
      <c r="E2422" s="113">
        <v>0.1</v>
      </c>
      <c r="F2422" s="113" t="s">
        <v>13</v>
      </c>
      <c r="G2422" s="113" t="s">
        <v>12</v>
      </c>
      <c r="H2422" s="113">
        <v>0.01</v>
      </c>
      <c r="I2422" s="113">
        <v>2</v>
      </c>
      <c r="J2422" s="113" t="s">
        <v>10</v>
      </c>
      <c r="K2422" s="113">
        <v>60.057000000000002</v>
      </c>
      <c r="L2422" s="113">
        <v>0.58243</v>
      </c>
      <c r="M2422" s="113">
        <v>60.055</v>
      </c>
      <c r="N2422" s="113">
        <v>0.58052000000000004</v>
      </c>
      <c r="O2422" s="114" t="s">
        <v>2536</v>
      </c>
    </row>
    <row r="2423" spans="1:15" x14ac:dyDescent="0.25">
      <c r="A2423" s="113" t="s">
        <v>68</v>
      </c>
      <c r="B2423" s="113" t="s">
        <v>47</v>
      </c>
      <c r="C2423" s="113">
        <v>1</v>
      </c>
      <c r="D2423" s="113">
        <v>10.4</v>
      </c>
      <c r="E2423" s="113">
        <v>1</v>
      </c>
      <c r="F2423" s="113" t="s">
        <v>13</v>
      </c>
      <c r="G2423" s="113" t="s">
        <v>12</v>
      </c>
      <c r="H2423" s="113">
        <v>0.01</v>
      </c>
      <c r="I2423" s="113">
        <v>2</v>
      </c>
      <c r="J2423" s="113" t="s">
        <v>10</v>
      </c>
      <c r="K2423" s="113">
        <v>579.27</v>
      </c>
      <c r="L2423" s="113">
        <v>0.34275</v>
      </c>
      <c r="M2423" s="113">
        <v>579.27</v>
      </c>
      <c r="N2423" s="113">
        <v>0.34186</v>
      </c>
      <c r="O2423" s="114" t="s">
        <v>2850</v>
      </c>
    </row>
    <row r="2424" spans="1:15" x14ac:dyDescent="0.25">
      <c r="A2424" s="113" t="s">
        <v>68</v>
      </c>
      <c r="B2424" s="113" t="s">
        <v>8</v>
      </c>
      <c r="C2424" s="113">
        <v>0</v>
      </c>
      <c r="D2424" s="113">
        <v>0.1</v>
      </c>
      <c r="E2424" s="113">
        <v>9.9999999999999995E-7</v>
      </c>
      <c r="F2424" s="113" t="s">
        <v>6</v>
      </c>
      <c r="G2424" s="113" t="s">
        <v>5</v>
      </c>
      <c r="H2424" s="113">
        <v>2</v>
      </c>
      <c r="I2424" s="113">
        <v>20</v>
      </c>
      <c r="J2424" s="113" t="s">
        <v>10</v>
      </c>
      <c r="K2424" s="113">
        <v>36</v>
      </c>
      <c r="L2424" s="113">
        <v>930</v>
      </c>
      <c r="M2424" s="113">
        <v>35.470999999999997</v>
      </c>
      <c r="N2424" s="113">
        <v>926.49</v>
      </c>
      <c r="O2424" s="114" t="s">
        <v>2831</v>
      </c>
    </row>
    <row r="2425" spans="1:15" x14ac:dyDescent="0.25">
      <c r="A2425" s="113" t="s">
        <v>68</v>
      </c>
      <c r="B2425" s="113" t="s">
        <v>8</v>
      </c>
      <c r="C2425" s="113">
        <v>0</v>
      </c>
      <c r="D2425" s="113">
        <v>0.1</v>
      </c>
      <c r="E2425" s="113">
        <v>9.9999999999999995E-7</v>
      </c>
      <c r="F2425" s="113" t="s">
        <v>6</v>
      </c>
      <c r="G2425" s="113" t="s">
        <v>5</v>
      </c>
      <c r="H2425" s="113">
        <v>0.01</v>
      </c>
      <c r="I2425" s="113">
        <v>2</v>
      </c>
      <c r="J2425" s="113" t="s">
        <v>10</v>
      </c>
      <c r="K2425" s="113">
        <v>35</v>
      </c>
      <c r="L2425" s="113">
        <v>940</v>
      </c>
      <c r="M2425" s="113">
        <v>34.74</v>
      </c>
      <c r="N2425" s="113">
        <v>937.4</v>
      </c>
      <c r="O2425" s="114" t="s">
        <v>2487</v>
      </c>
    </row>
    <row r="2426" spans="1:15" x14ac:dyDescent="0.25">
      <c r="A2426" s="113" t="s">
        <v>68</v>
      </c>
      <c r="B2426" s="113" t="s">
        <v>8</v>
      </c>
      <c r="C2426" s="113">
        <v>0</v>
      </c>
      <c r="D2426" s="113">
        <v>0.1</v>
      </c>
      <c r="E2426" s="113">
        <v>1.0000000000000001E-5</v>
      </c>
      <c r="F2426" s="113" t="s">
        <v>6</v>
      </c>
      <c r="G2426" s="113" t="s">
        <v>5</v>
      </c>
      <c r="H2426" s="113">
        <v>0.01</v>
      </c>
      <c r="I2426" s="113">
        <v>2</v>
      </c>
      <c r="J2426" s="113" t="s">
        <v>10</v>
      </c>
      <c r="K2426" s="113">
        <v>35.161999999999999</v>
      </c>
      <c r="L2426" s="113">
        <v>934.08</v>
      </c>
      <c r="M2426" s="113">
        <v>35.156999999999996</v>
      </c>
      <c r="N2426" s="113">
        <v>934.05</v>
      </c>
      <c r="O2426" s="114" t="s">
        <v>2832</v>
      </c>
    </row>
    <row r="2427" spans="1:15" x14ac:dyDescent="0.25">
      <c r="A2427" s="113" t="s">
        <v>68</v>
      </c>
      <c r="B2427" s="113" t="s">
        <v>8</v>
      </c>
      <c r="C2427" s="113">
        <v>0</v>
      </c>
      <c r="D2427" s="113">
        <v>0.1</v>
      </c>
      <c r="E2427" s="113">
        <v>1.0000000000000001E-5</v>
      </c>
      <c r="F2427" s="113" t="s">
        <v>6</v>
      </c>
      <c r="G2427" s="113" t="s">
        <v>5</v>
      </c>
      <c r="H2427" s="113">
        <v>2</v>
      </c>
      <c r="I2427" s="113">
        <v>20</v>
      </c>
      <c r="J2427" s="113" t="s">
        <v>10</v>
      </c>
      <c r="K2427" s="113">
        <v>36</v>
      </c>
      <c r="L2427" s="113">
        <v>923.18</v>
      </c>
      <c r="M2427" s="113">
        <v>35.865000000000002</v>
      </c>
      <c r="N2427" s="113">
        <v>923.15</v>
      </c>
      <c r="O2427" s="114" t="s">
        <v>2833</v>
      </c>
    </row>
    <row r="2428" spans="1:15" x14ac:dyDescent="0.25">
      <c r="A2428" s="113" t="s">
        <v>68</v>
      </c>
      <c r="B2428" s="113" t="s">
        <v>8</v>
      </c>
      <c r="C2428" s="113">
        <v>0</v>
      </c>
      <c r="D2428" s="113">
        <v>0.1</v>
      </c>
      <c r="E2428" s="113">
        <v>1E-4</v>
      </c>
      <c r="F2428" s="113" t="s">
        <v>6</v>
      </c>
      <c r="G2428" s="113" t="s">
        <v>5</v>
      </c>
      <c r="H2428" s="113">
        <v>0.01</v>
      </c>
      <c r="I2428" s="113">
        <v>2</v>
      </c>
      <c r="J2428" s="113" t="s">
        <v>10</v>
      </c>
      <c r="K2428" s="113">
        <v>67.116</v>
      </c>
      <c r="L2428" s="113">
        <v>737.26</v>
      </c>
      <c r="M2428" s="113">
        <v>67.105000000000004</v>
      </c>
      <c r="N2428" s="113">
        <v>737.07</v>
      </c>
      <c r="O2428" s="114" t="s">
        <v>2489</v>
      </c>
    </row>
    <row r="2429" spans="1:15" x14ac:dyDescent="0.25">
      <c r="A2429" s="113" t="s">
        <v>68</v>
      </c>
      <c r="B2429" s="113" t="s">
        <v>8</v>
      </c>
      <c r="C2429" s="113">
        <v>0</v>
      </c>
      <c r="D2429" s="113">
        <v>0.1</v>
      </c>
      <c r="E2429" s="113">
        <v>1E-4</v>
      </c>
      <c r="F2429" s="113" t="s">
        <v>6</v>
      </c>
      <c r="G2429" s="113" t="s">
        <v>5</v>
      </c>
      <c r="H2429" s="113">
        <v>2</v>
      </c>
      <c r="I2429" s="113">
        <v>20</v>
      </c>
      <c r="J2429" s="113" t="s">
        <v>10</v>
      </c>
      <c r="K2429" s="113">
        <v>67.126000000000005</v>
      </c>
      <c r="L2429" s="113">
        <v>727.32</v>
      </c>
      <c r="M2429" s="113">
        <v>67.116</v>
      </c>
      <c r="N2429" s="113">
        <v>727.12</v>
      </c>
      <c r="O2429" s="114" t="s">
        <v>2488</v>
      </c>
    </row>
    <row r="2430" spans="1:15" x14ac:dyDescent="0.25">
      <c r="A2430" s="113" t="s">
        <v>68</v>
      </c>
      <c r="B2430" s="113" t="s">
        <v>8</v>
      </c>
      <c r="C2430" s="113">
        <v>0</v>
      </c>
      <c r="D2430" s="113">
        <v>0.1</v>
      </c>
      <c r="E2430" s="113">
        <v>1E-3</v>
      </c>
      <c r="F2430" s="113" t="s">
        <v>6</v>
      </c>
      <c r="G2430" s="113" t="s">
        <v>5</v>
      </c>
      <c r="H2430" s="113">
        <v>0.01</v>
      </c>
      <c r="I2430" s="113">
        <v>2</v>
      </c>
      <c r="J2430" s="113" t="s">
        <v>10</v>
      </c>
      <c r="K2430" s="113">
        <v>578.33000000000004</v>
      </c>
      <c r="L2430" s="113">
        <v>131.69</v>
      </c>
      <c r="M2430" s="113">
        <v>578.32000000000005</v>
      </c>
      <c r="N2430" s="113">
        <v>131.46</v>
      </c>
      <c r="O2430" s="114" t="s">
        <v>2491</v>
      </c>
    </row>
    <row r="2431" spans="1:15" x14ac:dyDescent="0.25">
      <c r="A2431" s="113" t="s">
        <v>68</v>
      </c>
      <c r="B2431" s="113" t="s">
        <v>8</v>
      </c>
      <c r="C2431" s="113">
        <v>0</v>
      </c>
      <c r="D2431" s="113">
        <v>0.1</v>
      </c>
      <c r="E2431" s="113">
        <v>1E-3</v>
      </c>
      <c r="F2431" s="113" t="s">
        <v>6</v>
      </c>
      <c r="G2431" s="113" t="s">
        <v>5</v>
      </c>
      <c r="H2431" s="113">
        <v>2</v>
      </c>
      <c r="I2431" s="113">
        <v>20</v>
      </c>
      <c r="J2431" s="113" t="s">
        <v>10</v>
      </c>
      <c r="K2431" s="113">
        <v>578.33000000000004</v>
      </c>
      <c r="L2431" s="113">
        <v>129.33000000000001</v>
      </c>
      <c r="M2431" s="113">
        <v>578.32000000000005</v>
      </c>
      <c r="N2431" s="113">
        <v>129.1</v>
      </c>
      <c r="O2431" s="114" t="s">
        <v>2490</v>
      </c>
    </row>
    <row r="2432" spans="1:15" x14ac:dyDescent="0.25">
      <c r="A2432" s="113" t="s">
        <v>68</v>
      </c>
      <c r="B2432" s="113" t="s">
        <v>8</v>
      </c>
      <c r="C2432" s="113">
        <v>0</v>
      </c>
      <c r="D2432" s="113">
        <v>0.1</v>
      </c>
      <c r="E2432" s="113">
        <v>0.01</v>
      </c>
      <c r="F2432" s="113" t="s">
        <v>6</v>
      </c>
      <c r="G2432" s="113" t="s">
        <v>5</v>
      </c>
      <c r="H2432" s="113">
        <v>2</v>
      </c>
      <c r="I2432" s="113">
        <v>20</v>
      </c>
      <c r="J2432" s="113" t="s">
        <v>10</v>
      </c>
      <c r="K2432" s="113">
        <v>5773.7</v>
      </c>
      <c r="L2432" s="113">
        <v>13.173</v>
      </c>
      <c r="M2432" s="113">
        <v>5773.6</v>
      </c>
      <c r="N2432" s="113">
        <v>13.074999999999999</v>
      </c>
      <c r="O2432" s="114" t="s">
        <v>2492</v>
      </c>
    </row>
    <row r="2433" spans="1:15" x14ac:dyDescent="0.25">
      <c r="A2433" s="113" t="s">
        <v>68</v>
      </c>
      <c r="B2433" s="113" t="s">
        <v>8</v>
      </c>
      <c r="C2433" s="113">
        <v>0</v>
      </c>
      <c r="D2433" s="113">
        <v>0.1</v>
      </c>
      <c r="E2433" s="113">
        <v>0.01</v>
      </c>
      <c r="F2433" s="113" t="s">
        <v>6</v>
      </c>
      <c r="G2433" s="113" t="s">
        <v>5</v>
      </c>
      <c r="H2433" s="113">
        <v>0.01</v>
      </c>
      <c r="I2433" s="113">
        <v>2</v>
      </c>
      <c r="J2433" s="113" t="s">
        <v>10</v>
      </c>
      <c r="K2433" s="113">
        <v>5773.7</v>
      </c>
      <c r="L2433" s="113">
        <v>13.414999999999999</v>
      </c>
      <c r="M2433" s="113">
        <v>5773.6</v>
      </c>
      <c r="N2433" s="113">
        <v>13.317</v>
      </c>
      <c r="O2433" s="114" t="s">
        <v>2493</v>
      </c>
    </row>
    <row r="2434" spans="1:15" x14ac:dyDescent="0.25">
      <c r="A2434" s="113" t="s">
        <v>68</v>
      </c>
      <c r="B2434" s="113" t="s">
        <v>8</v>
      </c>
      <c r="C2434" s="113">
        <v>0.1</v>
      </c>
      <c r="D2434" s="113">
        <v>1</v>
      </c>
      <c r="E2434" s="113">
        <v>1.0000000000000001E-5</v>
      </c>
      <c r="F2434" s="113" t="s">
        <v>6</v>
      </c>
      <c r="G2434" s="113" t="s">
        <v>5</v>
      </c>
      <c r="H2434" s="113">
        <v>2</v>
      </c>
      <c r="I2434" s="113">
        <v>20</v>
      </c>
      <c r="J2434" s="113" t="s">
        <v>10</v>
      </c>
      <c r="K2434" s="113">
        <v>850</v>
      </c>
      <c r="L2434" s="113">
        <v>1700</v>
      </c>
      <c r="M2434" s="113">
        <v>808.55</v>
      </c>
      <c r="N2434" s="113">
        <v>1738.9</v>
      </c>
      <c r="O2434" s="114" t="s">
        <v>2495</v>
      </c>
    </row>
    <row r="2435" spans="1:15" x14ac:dyDescent="0.25">
      <c r="A2435" s="113" t="s">
        <v>68</v>
      </c>
      <c r="B2435" s="113" t="s">
        <v>8</v>
      </c>
      <c r="C2435" s="113">
        <v>0.1</v>
      </c>
      <c r="D2435" s="113">
        <v>1</v>
      </c>
      <c r="E2435" s="113">
        <v>1.0000000000000001E-5</v>
      </c>
      <c r="F2435" s="113" t="s">
        <v>6</v>
      </c>
      <c r="G2435" s="113" t="s">
        <v>5</v>
      </c>
      <c r="H2435" s="113">
        <v>0.01</v>
      </c>
      <c r="I2435" s="113">
        <v>2</v>
      </c>
      <c r="J2435" s="113" t="s">
        <v>10</v>
      </c>
      <c r="K2435" s="113">
        <v>350</v>
      </c>
      <c r="L2435" s="113">
        <v>940</v>
      </c>
      <c r="M2435" s="113">
        <v>347.15</v>
      </c>
      <c r="N2435" s="113">
        <v>937.18</v>
      </c>
      <c r="O2435" s="114" t="s">
        <v>2494</v>
      </c>
    </row>
    <row r="2436" spans="1:15" x14ac:dyDescent="0.25">
      <c r="A2436" s="113" t="s">
        <v>68</v>
      </c>
      <c r="B2436" s="113" t="s">
        <v>8</v>
      </c>
      <c r="C2436" s="113">
        <v>0.1</v>
      </c>
      <c r="D2436" s="113">
        <v>1</v>
      </c>
      <c r="E2436" s="113">
        <v>1E-4</v>
      </c>
      <c r="F2436" s="113" t="s">
        <v>6</v>
      </c>
      <c r="G2436" s="113" t="s">
        <v>5</v>
      </c>
      <c r="H2436" s="113">
        <v>2</v>
      </c>
      <c r="I2436" s="113">
        <v>20</v>
      </c>
      <c r="J2436" s="113" t="s">
        <v>10</v>
      </c>
      <c r="K2436" s="113">
        <v>850</v>
      </c>
      <c r="L2436" s="113">
        <v>1737.8</v>
      </c>
      <c r="M2436" s="113">
        <v>810.33</v>
      </c>
      <c r="N2436" s="113">
        <v>1737.8</v>
      </c>
      <c r="O2436" s="114" t="s">
        <v>2496</v>
      </c>
    </row>
    <row r="2437" spans="1:15" x14ac:dyDescent="0.25">
      <c r="A2437" s="113" t="s">
        <v>68</v>
      </c>
      <c r="B2437" s="113" t="s">
        <v>8</v>
      </c>
      <c r="C2437" s="113">
        <v>0.1</v>
      </c>
      <c r="D2437" s="113">
        <v>1</v>
      </c>
      <c r="E2437" s="113">
        <v>1E-4</v>
      </c>
      <c r="F2437" s="113" t="s">
        <v>6</v>
      </c>
      <c r="G2437" s="113" t="s">
        <v>5</v>
      </c>
      <c r="H2437" s="113">
        <v>0.01</v>
      </c>
      <c r="I2437" s="113">
        <v>2</v>
      </c>
      <c r="J2437" s="113" t="s">
        <v>10</v>
      </c>
      <c r="K2437" s="113">
        <v>351.19</v>
      </c>
      <c r="L2437" s="113">
        <v>934.51</v>
      </c>
      <c r="M2437" s="113">
        <v>351.16</v>
      </c>
      <c r="N2437" s="113">
        <v>934.46</v>
      </c>
      <c r="O2437" s="114" t="s">
        <v>2834</v>
      </c>
    </row>
    <row r="2438" spans="1:15" x14ac:dyDescent="0.25">
      <c r="A2438" s="113" t="s">
        <v>68</v>
      </c>
      <c r="B2438" s="113" t="s">
        <v>8</v>
      </c>
      <c r="C2438" s="113">
        <v>0.1</v>
      </c>
      <c r="D2438" s="113">
        <v>1</v>
      </c>
      <c r="E2438" s="113">
        <v>1E-3</v>
      </c>
      <c r="F2438" s="113" t="s">
        <v>6</v>
      </c>
      <c r="G2438" s="113" t="s">
        <v>5</v>
      </c>
      <c r="H2438" s="113">
        <v>2</v>
      </c>
      <c r="I2438" s="113">
        <v>20</v>
      </c>
      <c r="J2438" s="113" t="s">
        <v>10</v>
      </c>
      <c r="K2438" s="113">
        <v>976.25</v>
      </c>
      <c r="L2438" s="113">
        <v>1636.3</v>
      </c>
      <c r="M2438" s="113">
        <v>975.89</v>
      </c>
      <c r="N2438" s="113">
        <v>1636.2</v>
      </c>
      <c r="O2438" s="114" t="s">
        <v>2498</v>
      </c>
    </row>
    <row r="2439" spans="1:15" x14ac:dyDescent="0.25">
      <c r="A2439" s="113" t="s">
        <v>68</v>
      </c>
      <c r="B2439" s="113" t="s">
        <v>8</v>
      </c>
      <c r="C2439" s="113">
        <v>0.1</v>
      </c>
      <c r="D2439" s="113">
        <v>1</v>
      </c>
      <c r="E2439" s="113">
        <v>1E-3</v>
      </c>
      <c r="F2439" s="113" t="s">
        <v>6</v>
      </c>
      <c r="G2439" s="113" t="s">
        <v>5</v>
      </c>
      <c r="H2439" s="113">
        <v>0.01</v>
      </c>
      <c r="I2439" s="113">
        <v>2</v>
      </c>
      <c r="J2439" s="113" t="s">
        <v>10</v>
      </c>
      <c r="K2439" s="113">
        <v>650.74</v>
      </c>
      <c r="L2439" s="113">
        <v>757.68</v>
      </c>
      <c r="M2439" s="113">
        <v>650.66</v>
      </c>
      <c r="N2439" s="113">
        <v>757.46</v>
      </c>
      <c r="O2439" s="114" t="s">
        <v>2497</v>
      </c>
    </row>
    <row r="2440" spans="1:15" x14ac:dyDescent="0.25">
      <c r="A2440" s="113" t="s">
        <v>68</v>
      </c>
      <c r="B2440" s="113" t="s">
        <v>8</v>
      </c>
      <c r="C2440" s="113">
        <v>0.1</v>
      </c>
      <c r="D2440" s="113">
        <v>1</v>
      </c>
      <c r="E2440" s="113">
        <v>0.01</v>
      </c>
      <c r="F2440" s="113" t="s">
        <v>6</v>
      </c>
      <c r="G2440" s="113" t="s">
        <v>5</v>
      </c>
      <c r="H2440" s="113">
        <v>2</v>
      </c>
      <c r="I2440" s="113">
        <v>20</v>
      </c>
      <c r="J2440" s="113" t="s">
        <v>10</v>
      </c>
      <c r="K2440" s="113">
        <v>5806.3</v>
      </c>
      <c r="L2440" s="113">
        <v>505.05</v>
      </c>
      <c r="M2440" s="113">
        <v>5806.1</v>
      </c>
      <c r="N2440" s="113">
        <v>504.49</v>
      </c>
      <c r="O2440" s="114" t="s">
        <v>2835</v>
      </c>
    </row>
    <row r="2441" spans="1:15" x14ac:dyDescent="0.25">
      <c r="A2441" s="113" t="s">
        <v>68</v>
      </c>
      <c r="B2441" s="113" t="s">
        <v>8</v>
      </c>
      <c r="C2441" s="113">
        <v>0.1</v>
      </c>
      <c r="D2441" s="113">
        <v>1</v>
      </c>
      <c r="E2441" s="113">
        <v>0.01</v>
      </c>
      <c r="F2441" s="113" t="s">
        <v>6</v>
      </c>
      <c r="G2441" s="113" t="s">
        <v>5</v>
      </c>
      <c r="H2441" s="113">
        <v>0.01</v>
      </c>
      <c r="I2441" s="113">
        <v>2</v>
      </c>
      <c r="J2441" s="113" t="s">
        <v>10</v>
      </c>
      <c r="K2441" s="113">
        <v>5776.6</v>
      </c>
      <c r="L2441" s="113">
        <v>138.38999999999999</v>
      </c>
      <c r="M2441" s="113">
        <v>5776.5</v>
      </c>
      <c r="N2441" s="113">
        <v>138.13</v>
      </c>
      <c r="O2441" s="114" t="s">
        <v>2499</v>
      </c>
    </row>
    <row r="2442" spans="1:15" x14ac:dyDescent="0.25">
      <c r="A2442" s="113" t="s">
        <v>68</v>
      </c>
      <c r="B2442" s="113" t="s">
        <v>8</v>
      </c>
      <c r="C2442" s="113">
        <v>0.1</v>
      </c>
      <c r="D2442" s="113">
        <v>1</v>
      </c>
      <c r="E2442" s="113">
        <v>0.1</v>
      </c>
      <c r="F2442" s="113" t="s">
        <v>6</v>
      </c>
      <c r="G2442" s="113" t="s">
        <v>5</v>
      </c>
      <c r="H2442" s="113">
        <v>0.01</v>
      </c>
      <c r="I2442" s="113">
        <v>2</v>
      </c>
      <c r="J2442" s="113" t="s">
        <v>10</v>
      </c>
      <c r="K2442" s="113">
        <v>57736</v>
      </c>
      <c r="L2442" s="113">
        <v>14.108000000000001</v>
      </c>
      <c r="M2442" s="113">
        <v>57736</v>
      </c>
      <c r="N2442" s="113">
        <v>14</v>
      </c>
      <c r="O2442" s="114" t="s">
        <v>2836</v>
      </c>
    </row>
    <row r="2443" spans="1:15" x14ac:dyDescent="0.25">
      <c r="A2443" s="113" t="s">
        <v>68</v>
      </c>
      <c r="B2443" s="113" t="s">
        <v>8</v>
      </c>
      <c r="C2443" s="113">
        <v>0.1</v>
      </c>
      <c r="D2443" s="113">
        <v>1</v>
      </c>
      <c r="E2443" s="113">
        <v>0.1</v>
      </c>
      <c r="F2443" s="113" t="s">
        <v>6</v>
      </c>
      <c r="G2443" s="113" t="s">
        <v>5</v>
      </c>
      <c r="H2443" s="113">
        <v>2</v>
      </c>
      <c r="I2443" s="113">
        <v>20</v>
      </c>
      <c r="J2443" s="113" t="s">
        <v>10</v>
      </c>
      <c r="K2443" s="113">
        <v>57739</v>
      </c>
      <c r="L2443" s="113">
        <v>53.381</v>
      </c>
      <c r="M2443" s="113">
        <v>57739</v>
      </c>
      <c r="N2443" s="113">
        <v>53.128</v>
      </c>
      <c r="O2443" s="114" t="s">
        <v>2500</v>
      </c>
    </row>
    <row r="2444" spans="1:15" x14ac:dyDescent="0.25">
      <c r="A2444" s="113" t="s">
        <v>68</v>
      </c>
      <c r="B2444" s="113" t="s">
        <v>8</v>
      </c>
      <c r="C2444" s="113">
        <v>1</v>
      </c>
      <c r="D2444" s="113">
        <v>10</v>
      </c>
      <c r="E2444" s="113">
        <v>1E-4</v>
      </c>
      <c r="F2444" s="113" t="s">
        <v>6</v>
      </c>
      <c r="G2444" s="113" t="s">
        <v>4</v>
      </c>
      <c r="H2444" s="113">
        <v>0.01</v>
      </c>
      <c r="I2444" s="113">
        <v>2</v>
      </c>
      <c r="J2444" s="113" t="s">
        <v>10</v>
      </c>
      <c r="K2444" s="113">
        <v>3.5</v>
      </c>
      <c r="L2444" s="113">
        <v>0.94</v>
      </c>
      <c r="M2444" s="113">
        <v>3.4754999999999998</v>
      </c>
      <c r="N2444" s="113">
        <v>0.93718000000000001</v>
      </c>
      <c r="O2444" s="114" t="s">
        <v>2501</v>
      </c>
    </row>
    <row r="2445" spans="1:15" x14ac:dyDescent="0.25">
      <c r="A2445" s="113" t="s">
        <v>68</v>
      </c>
      <c r="B2445" s="113" t="s">
        <v>8</v>
      </c>
      <c r="C2445" s="113">
        <v>1</v>
      </c>
      <c r="D2445" s="113">
        <v>10</v>
      </c>
      <c r="E2445" s="113">
        <v>1E-4</v>
      </c>
      <c r="F2445" s="113" t="s">
        <v>6</v>
      </c>
      <c r="G2445" s="113" t="s">
        <v>4</v>
      </c>
      <c r="H2445" s="113">
        <v>2</v>
      </c>
      <c r="I2445" s="113">
        <v>20</v>
      </c>
      <c r="J2445" s="113" t="s">
        <v>10</v>
      </c>
      <c r="K2445" s="113">
        <v>8.1999999999999993</v>
      </c>
      <c r="L2445" s="113">
        <v>1.8</v>
      </c>
      <c r="M2445" s="113">
        <v>8.1347000000000005</v>
      </c>
      <c r="N2445" s="113">
        <v>1.7537</v>
      </c>
      <c r="O2445" s="114" t="s">
        <v>2502</v>
      </c>
    </row>
    <row r="2446" spans="1:15" x14ac:dyDescent="0.25">
      <c r="A2446" s="113" t="s">
        <v>68</v>
      </c>
      <c r="B2446" s="113" t="s">
        <v>8</v>
      </c>
      <c r="C2446" s="113">
        <v>1</v>
      </c>
      <c r="D2446" s="113">
        <v>10</v>
      </c>
      <c r="E2446" s="113">
        <v>1E-3</v>
      </c>
      <c r="F2446" s="113" t="s">
        <v>6</v>
      </c>
      <c r="G2446" s="113" t="s">
        <v>4</v>
      </c>
      <c r="H2446" s="113">
        <v>2</v>
      </c>
      <c r="I2446" s="113">
        <v>20</v>
      </c>
      <c r="J2446" s="113" t="s">
        <v>10</v>
      </c>
      <c r="K2446" s="113">
        <v>8.1999999999999993</v>
      </c>
      <c r="L2446" s="113">
        <v>1.7524999999999999</v>
      </c>
      <c r="M2446" s="113">
        <v>8.1524999999999999</v>
      </c>
      <c r="N2446" s="113">
        <v>1.7525999999999999</v>
      </c>
      <c r="O2446" s="114" t="s">
        <v>2837</v>
      </c>
    </row>
    <row r="2447" spans="1:15" x14ac:dyDescent="0.25">
      <c r="A2447" s="113" t="s">
        <v>68</v>
      </c>
      <c r="B2447" s="113" t="s">
        <v>8</v>
      </c>
      <c r="C2447" s="113">
        <v>1</v>
      </c>
      <c r="D2447" s="113">
        <v>10</v>
      </c>
      <c r="E2447" s="113">
        <v>1E-3</v>
      </c>
      <c r="F2447" s="113" t="s">
        <v>6</v>
      </c>
      <c r="G2447" s="113" t="s">
        <v>4</v>
      </c>
      <c r="H2447" s="113">
        <v>0.01</v>
      </c>
      <c r="I2447" s="113">
        <v>2</v>
      </c>
      <c r="J2447" s="113" t="s">
        <v>10</v>
      </c>
      <c r="K2447" s="113">
        <v>3.5127000000000002</v>
      </c>
      <c r="L2447" s="113">
        <v>0.93464999999999998</v>
      </c>
      <c r="M2447" s="113">
        <v>3.5116000000000001</v>
      </c>
      <c r="N2447" s="113">
        <v>0.93445999999999996</v>
      </c>
      <c r="O2447" s="114" t="s">
        <v>2503</v>
      </c>
    </row>
    <row r="2448" spans="1:15" x14ac:dyDescent="0.25">
      <c r="A2448" s="113" t="s">
        <v>68</v>
      </c>
      <c r="B2448" s="113" t="s">
        <v>8</v>
      </c>
      <c r="C2448" s="113">
        <v>1</v>
      </c>
      <c r="D2448" s="113">
        <v>10</v>
      </c>
      <c r="E2448" s="113">
        <v>0.01</v>
      </c>
      <c r="F2448" s="113" t="s">
        <v>6</v>
      </c>
      <c r="G2448" s="113" t="s">
        <v>4</v>
      </c>
      <c r="H2448" s="113">
        <v>2</v>
      </c>
      <c r="I2448" s="113">
        <v>20</v>
      </c>
      <c r="J2448" s="113" t="s">
        <v>10</v>
      </c>
      <c r="K2448" s="113">
        <v>9.8125999999999998</v>
      </c>
      <c r="L2448" s="113">
        <v>1.6513</v>
      </c>
      <c r="M2448" s="113">
        <v>9.7989999999999995</v>
      </c>
      <c r="N2448" s="113">
        <v>1.6514</v>
      </c>
      <c r="O2448" s="114" t="s">
        <v>2504</v>
      </c>
    </row>
    <row r="2449" spans="1:15" x14ac:dyDescent="0.25">
      <c r="A2449" s="113" t="s">
        <v>68</v>
      </c>
      <c r="B2449" s="113" t="s">
        <v>8</v>
      </c>
      <c r="C2449" s="113">
        <v>1</v>
      </c>
      <c r="D2449" s="113">
        <v>10</v>
      </c>
      <c r="E2449" s="113">
        <v>0.01</v>
      </c>
      <c r="F2449" s="113" t="s">
        <v>6</v>
      </c>
      <c r="G2449" s="113" t="s">
        <v>4</v>
      </c>
      <c r="H2449" s="113">
        <v>0.01</v>
      </c>
      <c r="I2449" s="113">
        <v>2</v>
      </c>
      <c r="J2449" s="113" t="s">
        <v>10</v>
      </c>
      <c r="K2449" s="113">
        <v>6.5091000000000001</v>
      </c>
      <c r="L2449" s="113">
        <v>0.75829999999999997</v>
      </c>
      <c r="M2449" s="113">
        <v>6.5065999999999997</v>
      </c>
      <c r="N2449" s="113">
        <v>0.75746000000000002</v>
      </c>
      <c r="O2449" s="114" t="s">
        <v>2505</v>
      </c>
    </row>
    <row r="2450" spans="1:15" x14ac:dyDescent="0.25">
      <c r="A2450" s="113" t="s">
        <v>68</v>
      </c>
      <c r="B2450" s="113" t="s">
        <v>8</v>
      </c>
      <c r="C2450" s="113">
        <v>1</v>
      </c>
      <c r="D2450" s="113">
        <v>10</v>
      </c>
      <c r="E2450" s="113">
        <v>0.1</v>
      </c>
      <c r="F2450" s="113" t="s">
        <v>6</v>
      </c>
      <c r="G2450" s="113" t="s">
        <v>4</v>
      </c>
      <c r="H2450" s="113">
        <v>2</v>
      </c>
      <c r="I2450" s="113">
        <v>20</v>
      </c>
      <c r="J2450" s="113" t="s">
        <v>10</v>
      </c>
      <c r="K2450" s="113">
        <v>58.073</v>
      </c>
      <c r="L2450" s="113">
        <v>0.51336999999999999</v>
      </c>
      <c r="M2450" s="113">
        <v>58.064</v>
      </c>
      <c r="N2450" s="113">
        <v>0.51215999999999995</v>
      </c>
      <c r="O2450" s="114" t="s">
        <v>2506</v>
      </c>
    </row>
    <row r="2451" spans="1:15" x14ac:dyDescent="0.25">
      <c r="A2451" s="113" t="s">
        <v>68</v>
      </c>
      <c r="B2451" s="113" t="s">
        <v>8</v>
      </c>
      <c r="C2451" s="113">
        <v>1</v>
      </c>
      <c r="D2451" s="113">
        <v>10</v>
      </c>
      <c r="E2451" s="113">
        <v>0.1</v>
      </c>
      <c r="F2451" s="113" t="s">
        <v>6</v>
      </c>
      <c r="G2451" s="113" t="s">
        <v>4</v>
      </c>
      <c r="H2451" s="113">
        <v>0.01</v>
      </c>
      <c r="I2451" s="113">
        <v>2</v>
      </c>
      <c r="J2451" s="113" t="s">
        <v>10</v>
      </c>
      <c r="K2451" s="113">
        <v>57.765999999999998</v>
      </c>
      <c r="L2451" s="113">
        <v>0.1391</v>
      </c>
      <c r="M2451" s="113">
        <v>57.765000000000001</v>
      </c>
      <c r="N2451" s="113">
        <v>0.13813</v>
      </c>
      <c r="O2451" s="114" t="s">
        <v>2838</v>
      </c>
    </row>
    <row r="2452" spans="1:15" x14ac:dyDescent="0.25">
      <c r="A2452" s="113" t="s">
        <v>68</v>
      </c>
      <c r="B2452" s="113" t="s">
        <v>8</v>
      </c>
      <c r="C2452" s="113">
        <v>1</v>
      </c>
      <c r="D2452" s="113">
        <v>10</v>
      </c>
      <c r="E2452" s="113">
        <v>1</v>
      </c>
      <c r="F2452" s="113" t="s">
        <v>6</v>
      </c>
      <c r="G2452" s="113" t="s">
        <v>4</v>
      </c>
      <c r="H2452" s="113">
        <v>0.01</v>
      </c>
      <c r="I2452" s="113">
        <v>2</v>
      </c>
      <c r="J2452" s="113" t="s">
        <v>10</v>
      </c>
      <c r="K2452" s="113">
        <v>577.36</v>
      </c>
      <c r="L2452" s="113">
        <v>1.4397E-2</v>
      </c>
      <c r="M2452" s="113">
        <v>577.36</v>
      </c>
      <c r="N2452" s="113">
        <v>1.4E-2</v>
      </c>
      <c r="O2452" s="114" t="s">
        <v>2508</v>
      </c>
    </row>
    <row r="2453" spans="1:15" x14ac:dyDescent="0.25">
      <c r="A2453" s="113" t="s">
        <v>68</v>
      </c>
      <c r="B2453" s="113" t="s">
        <v>8</v>
      </c>
      <c r="C2453" s="113">
        <v>1</v>
      </c>
      <c r="D2453" s="113">
        <v>10</v>
      </c>
      <c r="E2453" s="113">
        <v>1</v>
      </c>
      <c r="F2453" s="113" t="s">
        <v>6</v>
      </c>
      <c r="G2453" s="113" t="s">
        <v>4</v>
      </c>
      <c r="H2453" s="113">
        <v>2</v>
      </c>
      <c r="I2453" s="113">
        <v>20</v>
      </c>
      <c r="J2453" s="113" t="s">
        <v>10</v>
      </c>
      <c r="K2453" s="113">
        <v>577.39</v>
      </c>
      <c r="L2453" s="113">
        <v>5.4542E-2</v>
      </c>
      <c r="M2453" s="113">
        <v>577.39</v>
      </c>
      <c r="N2453" s="113">
        <v>5.3976000000000003E-2</v>
      </c>
      <c r="O2453" s="114" t="s">
        <v>2507</v>
      </c>
    </row>
    <row r="2454" spans="1:15" x14ac:dyDescent="0.25">
      <c r="A2454" s="113" t="s">
        <v>68</v>
      </c>
      <c r="B2454" s="113" t="s">
        <v>8</v>
      </c>
      <c r="C2454" s="113">
        <v>10</v>
      </c>
      <c r="D2454" s="113">
        <v>100</v>
      </c>
      <c r="E2454" s="113">
        <v>1E-3</v>
      </c>
      <c r="F2454" s="113" t="s">
        <v>6</v>
      </c>
      <c r="G2454" s="113" t="s">
        <v>4</v>
      </c>
      <c r="H2454" s="113">
        <v>0.04</v>
      </c>
      <c r="I2454" s="113">
        <v>1</v>
      </c>
      <c r="J2454" s="113" t="s">
        <v>10</v>
      </c>
      <c r="K2454" s="113">
        <v>35</v>
      </c>
      <c r="L2454" s="113">
        <v>0.95</v>
      </c>
      <c r="M2454" s="113">
        <v>34.942999999999998</v>
      </c>
      <c r="N2454" s="113">
        <v>0.94799</v>
      </c>
      <c r="O2454" s="114" t="s">
        <v>2509</v>
      </c>
    </row>
    <row r="2455" spans="1:15" x14ac:dyDescent="0.25">
      <c r="A2455" s="113" t="s">
        <v>68</v>
      </c>
      <c r="B2455" s="113" t="s">
        <v>8</v>
      </c>
      <c r="C2455" s="113">
        <v>10</v>
      </c>
      <c r="D2455" s="113">
        <v>100</v>
      </c>
      <c r="E2455" s="113">
        <v>0.01</v>
      </c>
      <c r="F2455" s="113" t="s">
        <v>6</v>
      </c>
      <c r="G2455" s="113" t="s">
        <v>4</v>
      </c>
      <c r="H2455" s="113">
        <v>0.04</v>
      </c>
      <c r="I2455" s="113">
        <v>1</v>
      </c>
      <c r="J2455" s="113" t="s">
        <v>10</v>
      </c>
      <c r="K2455" s="113">
        <v>35.348999999999997</v>
      </c>
      <c r="L2455" s="113">
        <v>0.94557000000000002</v>
      </c>
      <c r="M2455" s="113">
        <v>35.281999999999996</v>
      </c>
      <c r="N2455" s="113">
        <v>0.94527000000000005</v>
      </c>
      <c r="O2455" s="114" t="s">
        <v>2839</v>
      </c>
    </row>
    <row r="2456" spans="1:15" x14ac:dyDescent="0.25">
      <c r="A2456" s="113" t="s">
        <v>68</v>
      </c>
      <c r="B2456" s="113" t="s">
        <v>8</v>
      </c>
      <c r="C2456" s="113">
        <v>10</v>
      </c>
      <c r="D2456" s="113">
        <v>100</v>
      </c>
      <c r="E2456" s="113">
        <v>0.1</v>
      </c>
      <c r="F2456" s="113" t="s">
        <v>6</v>
      </c>
      <c r="G2456" s="113" t="s">
        <v>4</v>
      </c>
      <c r="H2456" s="113">
        <v>0.04</v>
      </c>
      <c r="I2456" s="113">
        <v>1</v>
      </c>
      <c r="J2456" s="113" t="s">
        <v>10</v>
      </c>
      <c r="K2456" s="113">
        <v>65.075999999999993</v>
      </c>
      <c r="L2456" s="113">
        <v>0.76909000000000005</v>
      </c>
      <c r="M2456" s="113">
        <v>64.997</v>
      </c>
      <c r="N2456" s="113">
        <v>0.76749999999999996</v>
      </c>
      <c r="O2456" s="114" t="s">
        <v>2510</v>
      </c>
    </row>
    <row r="2457" spans="1:15" x14ac:dyDescent="0.25">
      <c r="A2457" s="113" t="s">
        <v>68</v>
      </c>
      <c r="B2457" s="113" t="s">
        <v>8</v>
      </c>
      <c r="C2457" s="113">
        <v>10</v>
      </c>
      <c r="D2457" s="113">
        <v>100</v>
      </c>
      <c r="E2457" s="113">
        <v>1</v>
      </c>
      <c r="F2457" s="113" t="s">
        <v>6</v>
      </c>
      <c r="G2457" s="113" t="s">
        <v>4</v>
      </c>
      <c r="H2457" s="113">
        <v>0.04</v>
      </c>
      <c r="I2457" s="113">
        <v>1</v>
      </c>
      <c r="J2457" s="113" t="s">
        <v>10</v>
      </c>
      <c r="K2457" s="113">
        <v>577.66</v>
      </c>
      <c r="L2457" s="113">
        <v>0.14257</v>
      </c>
      <c r="M2457" s="113">
        <v>577.63</v>
      </c>
      <c r="N2457" s="113">
        <v>0.14057</v>
      </c>
      <c r="O2457" s="114" t="s">
        <v>2511</v>
      </c>
    </row>
    <row r="2458" spans="1:15" x14ac:dyDescent="0.25">
      <c r="A2458" s="113" t="s">
        <v>68</v>
      </c>
      <c r="B2458" s="113" t="s">
        <v>8</v>
      </c>
      <c r="C2458" s="113">
        <v>10</v>
      </c>
      <c r="D2458" s="113">
        <v>100</v>
      </c>
      <c r="E2458" s="113">
        <v>10</v>
      </c>
      <c r="F2458" s="113" t="s">
        <v>6</v>
      </c>
      <c r="G2458" s="113" t="s">
        <v>4</v>
      </c>
      <c r="H2458" s="113">
        <v>0.04</v>
      </c>
      <c r="I2458" s="113">
        <v>1</v>
      </c>
      <c r="J2458" s="113" t="s">
        <v>10</v>
      </c>
      <c r="K2458" s="113">
        <v>5773.6</v>
      </c>
      <c r="L2458" s="113">
        <v>1.5076000000000001E-2</v>
      </c>
      <c r="M2458" s="113">
        <v>5773.6</v>
      </c>
      <c r="N2458" s="113">
        <v>1.4250000000000001E-2</v>
      </c>
      <c r="O2458" s="114" t="s">
        <v>2512</v>
      </c>
    </row>
    <row r="2459" spans="1:15" x14ac:dyDescent="0.25">
      <c r="A2459" s="113" t="s">
        <v>68</v>
      </c>
      <c r="B2459" s="113" t="s">
        <v>8</v>
      </c>
      <c r="C2459" s="113">
        <v>100</v>
      </c>
      <c r="D2459" s="113">
        <v>1020</v>
      </c>
      <c r="E2459" s="113">
        <v>0.01</v>
      </c>
      <c r="F2459" s="113" t="s">
        <v>6</v>
      </c>
      <c r="G2459" s="113" t="s">
        <v>4</v>
      </c>
      <c r="H2459" s="113">
        <v>0.04</v>
      </c>
      <c r="I2459" s="113">
        <v>1</v>
      </c>
      <c r="J2459" s="113" t="s">
        <v>10</v>
      </c>
      <c r="K2459" s="113">
        <v>360</v>
      </c>
      <c r="L2459" s="113">
        <v>1.1000000000000001</v>
      </c>
      <c r="M2459" s="113">
        <v>337.15</v>
      </c>
      <c r="N2459" s="113">
        <v>1.1167</v>
      </c>
      <c r="O2459" s="114" t="s">
        <v>2513</v>
      </c>
    </row>
    <row r="2460" spans="1:15" x14ac:dyDescent="0.25">
      <c r="A2460" s="113" t="s">
        <v>68</v>
      </c>
      <c r="B2460" s="113" t="s">
        <v>8</v>
      </c>
      <c r="C2460" s="113">
        <v>100</v>
      </c>
      <c r="D2460" s="113">
        <v>1020</v>
      </c>
      <c r="E2460" s="113">
        <v>0.1</v>
      </c>
      <c r="F2460" s="113" t="s">
        <v>6</v>
      </c>
      <c r="G2460" s="113" t="s">
        <v>4</v>
      </c>
      <c r="H2460" s="113">
        <v>0.04</v>
      </c>
      <c r="I2460" s="113">
        <v>1</v>
      </c>
      <c r="J2460" s="113" t="s">
        <v>10</v>
      </c>
      <c r="K2460" s="113">
        <v>360</v>
      </c>
      <c r="L2460" s="113">
        <v>1.1141000000000001</v>
      </c>
      <c r="M2460" s="113">
        <v>341.11</v>
      </c>
      <c r="N2460" s="113">
        <v>1.1138999999999999</v>
      </c>
      <c r="O2460" s="114" t="s">
        <v>2514</v>
      </c>
    </row>
    <row r="2461" spans="1:15" x14ac:dyDescent="0.25">
      <c r="A2461" s="113" t="s">
        <v>68</v>
      </c>
      <c r="B2461" s="113" t="s">
        <v>8</v>
      </c>
      <c r="C2461" s="113">
        <v>100</v>
      </c>
      <c r="D2461" s="113">
        <v>1020</v>
      </c>
      <c r="E2461" s="113">
        <v>1</v>
      </c>
      <c r="F2461" s="113" t="s">
        <v>6</v>
      </c>
      <c r="G2461" s="113" t="s">
        <v>4</v>
      </c>
      <c r="H2461" s="113">
        <v>0.04</v>
      </c>
      <c r="I2461" s="113">
        <v>1</v>
      </c>
      <c r="J2461" s="113" t="s">
        <v>10</v>
      </c>
      <c r="K2461" s="113">
        <v>639.27</v>
      </c>
      <c r="L2461" s="113">
        <v>0.92932000000000003</v>
      </c>
      <c r="M2461" s="113">
        <v>638.46</v>
      </c>
      <c r="N2461" s="113">
        <v>0.92803000000000002</v>
      </c>
      <c r="O2461" s="114" t="s">
        <v>2840</v>
      </c>
    </row>
    <row r="2462" spans="1:15" x14ac:dyDescent="0.25">
      <c r="A2462" s="113" t="s">
        <v>68</v>
      </c>
      <c r="B2462" s="113" t="s">
        <v>8</v>
      </c>
      <c r="C2462" s="113">
        <v>100</v>
      </c>
      <c r="D2462" s="113">
        <v>1020</v>
      </c>
      <c r="E2462" s="113">
        <v>10</v>
      </c>
      <c r="F2462" s="113" t="s">
        <v>6</v>
      </c>
      <c r="G2462" s="113" t="s">
        <v>4</v>
      </c>
      <c r="H2462" s="113">
        <v>0.04</v>
      </c>
      <c r="I2462" s="113">
        <v>1</v>
      </c>
      <c r="J2462" s="113" t="s">
        <v>10</v>
      </c>
      <c r="K2462" s="113">
        <v>5773</v>
      </c>
      <c r="L2462" s="113">
        <v>0.18489</v>
      </c>
      <c r="M2462" s="113">
        <v>5772.7</v>
      </c>
      <c r="N2462" s="113">
        <v>0.18293999999999999</v>
      </c>
      <c r="O2462" s="114" t="s">
        <v>2515</v>
      </c>
    </row>
    <row r="2463" spans="1:15" x14ac:dyDescent="0.25">
      <c r="A2463" s="113" t="s">
        <v>68</v>
      </c>
      <c r="B2463" s="113" t="s">
        <v>8</v>
      </c>
      <c r="C2463" s="113">
        <v>100</v>
      </c>
      <c r="D2463" s="113">
        <v>1020</v>
      </c>
      <c r="E2463" s="113">
        <v>100</v>
      </c>
      <c r="F2463" s="113" t="s">
        <v>6</v>
      </c>
      <c r="G2463" s="113" t="s">
        <v>4</v>
      </c>
      <c r="H2463" s="113">
        <v>0.04</v>
      </c>
      <c r="I2463" s="113">
        <v>1</v>
      </c>
      <c r="J2463" s="113" t="s">
        <v>10</v>
      </c>
      <c r="K2463" s="113">
        <v>57736</v>
      </c>
      <c r="L2463" s="113">
        <v>1.9421000000000001E-2</v>
      </c>
      <c r="M2463" s="113">
        <v>57735</v>
      </c>
      <c r="N2463" s="113">
        <v>1.8613000000000001E-2</v>
      </c>
      <c r="O2463" s="114" t="s">
        <v>2516</v>
      </c>
    </row>
    <row r="2464" spans="1:15" x14ac:dyDescent="0.25">
      <c r="A2464" s="113" t="s">
        <v>68</v>
      </c>
      <c r="B2464" s="113" t="s">
        <v>14</v>
      </c>
      <c r="C2464" s="113">
        <v>1.0000000000000001E-9</v>
      </c>
      <c r="D2464" s="113">
        <v>1E-8</v>
      </c>
      <c r="E2464" s="113">
        <v>9.9999999999999998E-13</v>
      </c>
      <c r="F2464" s="113" t="s">
        <v>140</v>
      </c>
      <c r="G2464" s="113" t="s">
        <v>15</v>
      </c>
      <c r="H2464" s="113">
        <v>0</v>
      </c>
      <c r="I2464" s="113">
        <v>0</v>
      </c>
      <c r="K2464" s="113">
        <v>3.5999999999999997E-2</v>
      </c>
      <c r="L2464" s="113">
        <v>6600000</v>
      </c>
      <c r="M2464" s="113">
        <v>3.5476000000000001E-2</v>
      </c>
      <c r="N2464" s="113">
        <v>6559300</v>
      </c>
      <c r="O2464" s="114" t="s">
        <v>1474</v>
      </c>
    </row>
    <row r="2465" spans="1:15" x14ac:dyDescent="0.25">
      <c r="A2465" s="113" t="s">
        <v>68</v>
      </c>
      <c r="B2465" s="113" t="s">
        <v>14</v>
      </c>
      <c r="C2465" s="113">
        <v>1.0000000000000001E-9</v>
      </c>
      <c r="D2465" s="113">
        <v>1E-8</v>
      </c>
      <c r="E2465" s="113">
        <v>9.9999999999999994E-12</v>
      </c>
      <c r="F2465" s="113" t="s">
        <v>140</v>
      </c>
      <c r="G2465" s="113" t="s">
        <v>15</v>
      </c>
      <c r="H2465" s="113">
        <v>0</v>
      </c>
      <c r="I2465" s="113">
        <v>0</v>
      </c>
      <c r="K2465" s="113">
        <v>3.5999999999999997E-2</v>
      </c>
      <c r="L2465" s="113">
        <v>6536700</v>
      </c>
      <c r="M2465" s="113">
        <v>3.5893000000000001E-2</v>
      </c>
      <c r="N2465" s="113">
        <v>6534200</v>
      </c>
      <c r="O2465" s="114" t="s">
        <v>1475</v>
      </c>
    </row>
    <row r="2466" spans="1:15" x14ac:dyDescent="0.25">
      <c r="A2466" s="113" t="s">
        <v>68</v>
      </c>
      <c r="B2466" s="113" t="s">
        <v>14</v>
      </c>
      <c r="C2466" s="113">
        <v>1.0000000000000001E-9</v>
      </c>
      <c r="D2466" s="113">
        <v>1E-8</v>
      </c>
      <c r="E2466" s="113">
        <v>1E-10</v>
      </c>
      <c r="F2466" s="113" t="s">
        <v>140</v>
      </c>
      <c r="G2466" s="113" t="s">
        <v>15</v>
      </c>
      <c r="H2466" s="113">
        <v>0</v>
      </c>
      <c r="I2466" s="113">
        <v>0</v>
      </c>
      <c r="K2466" s="113">
        <v>6.6424999999999998E-2</v>
      </c>
      <c r="L2466" s="113">
        <v>5023200</v>
      </c>
      <c r="M2466" s="113">
        <v>6.6402000000000003E-2</v>
      </c>
      <c r="N2466" s="113">
        <v>5012600</v>
      </c>
      <c r="O2466" s="114" t="s">
        <v>1476</v>
      </c>
    </row>
    <row r="2467" spans="1:15" x14ac:dyDescent="0.25">
      <c r="A2467" s="113" t="s">
        <v>68</v>
      </c>
      <c r="B2467" s="113" t="s">
        <v>14</v>
      </c>
      <c r="C2467" s="113">
        <v>1.0000000000000001E-9</v>
      </c>
      <c r="D2467" s="113">
        <v>1E-8</v>
      </c>
      <c r="E2467" s="113">
        <v>1.0000000000000001E-9</v>
      </c>
      <c r="F2467" s="113" t="s">
        <v>140</v>
      </c>
      <c r="G2467" s="113" t="s">
        <v>15</v>
      </c>
      <c r="H2467" s="113">
        <v>0</v>
      </c>
      <c r="I2467" s="113">
        <v>0</v>
      </c>
      <c r="K2467" s="113">
        <v>0.57862999999999998</v>
      </c>
      <c r="L2467" s="113">
        <v>1104800</v>
      </c>
      <c r="M2467" s="113">
        <v>0.57862999999999998</v>
      </c>
      <c r="N2467" s="113">
        <v>1095300</v>
      </c>
      <c r="O2467" s="114" t="s">
        <v>1477</v>
      </c>
    </row>
    <row r="2468" spans="1:15" x14ac:dyDescent="0.25">
      <c r="A2468" s="113" t="s">
        <v>68</v>
      </c>
      <c r="B2468" s="113" t="s">
        <v>14</v>
      </c>
      <c r="C2468" s="113">
        <v>1.0000000000000001E-9</v>
      </c>
      <c r="D2468" s="113">
        <v>1E-8</v>
      </c>
      <c r="E2468" s="113">
        <v>1E-8</v>
      </c>
      <c r="F2468" s="113" t="s">
        <v>140</v>
      </c>
      <c r="G2468" s="113" t="s">
        <v>15</v>
      </c>
      <c r="H2468" s="113">
        <v>0</v>
      </c>
      <c r="I2468" s="113">
        <v>0</v>
      </c>
      <c r="K2468" s="113">
        <v>5.7903000000000002</v>
      </c>
      <c r="L2468" s="113">
        <v>3024400</v>
      </c>
      <c r="M2468" s="113">
        <v>5.7903000000000002</v>
      </c>
      <c r="N2468" s="113">
        <v>3020500</v>
      </c>
      <c r="O2468" s="114" t="s">
        <v>1478</v>
      </c>
    </row>
    <row r="2469" spans="1:15" x14ac:dyDescent="0.25">
      <c r="A2469" s="113" t="s">
        <v>68</v>
      </c>
      <c r="B2469" s="113" t="s">
        <v>14</v>
      </c>
      <c r="C2469" s="113">
        <v>1E-8</v>
      </c>
      <c r="D2469" s="113">
        <v>9.9999999999999995E-8</v>
      </c>
      <c r="E2469" s="113">
        <v>9.9999999999999994E-12</v>
      </c>
      <c r="F2469" s="113" t="s">
        <v>140</v>
      </c>
      <c r="G2469" s="113" t="s">
        <v>15</v>
      </c>
      <c r="H2469" s="113">
        <v>0</v>
      </c>
      <c r="I2469" s="113">
        <v>0</v>
      </c>
      <c r="K2469" s="113">
        <v>0.5</v>
      </c>
      <c r="L2469" s="113">
        <v>5800000</v>
      </c>
      <c r="M2469" s="113">
        <v>0.48988999999999999</v>
      </c>
      <c r="N2469" s="113">
        <v>5801600</v>
      </c>
      <c r="O2469" s="114" t="s">
        <v>1479</v>
      </c>
    </row>
    <row r="2470" spans="1:15" x14ac:dyDescent="0.25">
      <c r="A2470" s="113" t="s">
        <v>68</v>
      </c>
      <c r="B2470" s="113" t="s">
        <v>14</v>
      </c>
      <c r="C2470" s="113">
        <v>1E-8</v>
      </c>
      <c r="D2470" s="113">
        <v>9.9999999999999995E-8</v>
      </c>
      <c r="E2470" s="113">
        <v>1E-10</v>
      </c>
      <c r="F2470" s="113" t="s">
        <v>140</v>
      </c>
      <c r="G2470" s="113" t="s">
        <v>15</v>
      </c>
      <c r="H2470" s="113">
        <v>0</v>
      </c>
      <c r="I2470" s="113">
        <v>0</v>
      </c>
      <c r="K2470" s="113">
        <v>0.5</v>
      </c>
      <c r="L2470" s="113">
        <v>5788200</v>
      </c>
      <c r="M2470" s="113">
        <v>0.49306</v>
      </c>
      <c r="N2470" s="113">
        <v>5785500</v>
      </c>
      <c r="O2470" s="114" t="s">
        <v>1480</v>
      </c>
    </row>
    <row r="2471" spans="1:15" x14ac:dyDescent="0.25">
      <c r="A2471" s="113" t="s">
        <v>68</v>
      </c>
      <c r="B2471" s="113" t="s">
        <v>14</v>
      </c>
      <c r="C2471" s="113">
        <v>1E-8</v>
      </c>
      <c r="D2471" s="113">
        <v>9.9999999999999995E-8</v>
      </c>
      <c r="E2471" s="113">
        <v>1.0000000000000001E-9</v>
      </c>
      <c r="F2471" s="113" t="s">
        <v>140</v>
      </c>
      <c r="G2471" s="113" t="s">
        <v>15</v>
      </c>
      <c r="H2471" s="113">
        <v>0</v>
      </c>
      <c r="I2471" s="113">
        <v>0</v>
      </c>
      <c r="K2471" s="113">
        <v>0.74933000000000005</v>
      </c>
      <c r="L2471" s="113">
        <v>4690300</v>
      </c>
      <c r="M2471" s="113">
        <v>0.74914000000000003</v>
      </c>
      <c r="N2471" s="113">
        <v>4679800</v>
      </c>
      <c r="O2471" s="114" t="s">
        <v>1481</v>
      </c>
    </row>
    <row r="2472" spans="1:15" x14ac:dyDescent="0.25">
      <c r="A2472" s="113" t="s">
        <v>68</v>
      </c>
      <c r="B2472" s="113" t="s">
        <v>14</v>
      </c>
      <c r="C2472" s="113">
        <v>1E-8</v>
      </c>
      <c r="D2472" s="113">
        <v>9.9999999999999995E-8</v>
      </c>
      <c r="E2472" s="113">
        <v>1E-8</v>
      </c>
      <c r="F2472" s="113" t="s">
        <v>140</v>
      </c>
      <c r="G2472" s="113" t="s">
        <v>15</v>
      </c>
      <c r="H2472" s="113">
        <v>0</v>
      </c>
      <c r="I2472" s="113">
        <v>0</v>
      </c>
      <c r="K2472" s="113">
        <v>5.7969999999999997</v>
      </c>
      <c r="L2472" s="113">
        <v>1102800</v>
      </c>
      <c r="M2472" s="113">
        <v>5.7969999999999997</v>
      </c>
      <c r="N2472" s="113">
        <v>1093300</v>
      </c>
      <c r="O2472" s="114" t="s">
        <v>1482</v>
      </c>
    </row>
    <row r="2473" spans="1:15" x14ac:dyDescent="0.25">
      <c r="A2473" s="113" t="s">
        <v>68</v>
      </c>
      <c r="B2473" s="113" t="s">
        <v>14</v>
      </c>
      <c r="C2473" s="113">
        <v>1E-8</v>
      </c>
      <c r="D2473" s="113">
        <v>9.9999999999999995E-8</v>
      </c>
      <c r="E2473" s="113">
        <v>9.9999999999999995E-8</v>
      </c>
      <c r="F2473" s="113" t="s">
        <v>140</v>
      </c>
      <c r="G2473" s="113" t="s">
        <v>15</v>
      </c>
      <c r="H2473" s="113">
        <v>0</v>
      </c>
      <c r="I2473" s="113">
        <v>0</v>
      </c>
      <c r="K2473" s="113">
        <v>57.904000000000003</v>
      </c>
      <c r="L2473" s="113">
        <v>3024300</v>
      </c>
      <c r="M2473" s="113">
        <v>57.904000000000003</v>
      </c>
      <c r="N2473" s="113">
        <v>3020400</v>
      </c>
      <c r="O2473" s="114" t="s">
        <v>1483</v>
      </c>
    </row>
    <row r="2474" spans="1:15" x14ac:dyDescent="0.25">
      <c r="A2474" s="113" t="s">
        <v>68</v>
      </c>
      <c r="B2474" s="113" t="s">
        <v>14</v>
      </c>
      <c r="C2474" s="113">
        <v>9.9999999999999995E-8</v>
      </c>
      <c r="D2474" s="113">
        <v>9.9999999999999995E-7</v>
      </c>
      <c r="E2474" s="113">
        <v>1E-10</v>
      </c>
      <c r="F2474" s="113" t="s">
        <v>140</v>
      </c>
      <c r="G2474" s="113" t="s">
        <v>15</v>
      </c>
      <c r="H2474" s="113">
        <v>0</v>
      </c>
      <c r="I2474" s="113">
        <v>0</v>
      </c>
      <c r="K2474" s="113">
        <v>6.2</v>
      </c>
      <c r="L2474" s="113">
        <v>5200000</v>
      </c>
      <c r="M2474" s="113">
        <v>6.1439000000000004</v>
      </c>
      <c r="N2474" s="113">
        <v>5209500</v>
      </c>
      <c r="O2474" s="114" t="s">
        <v>1484</v>
      </c>
    </row>
    <row r="2475" spans="1:15" x14ac:dyDescent="0.25">
      <c r="A2475" s="113" t="s">
        <v>68</v>
      </c>
      <c r="B2475" s="113" t="s">
        <v>14</v>
      </c>
      <c r="C2475" s="113">
        <v>9.9999999999999995E-8</v>
      </c>
      <c r="D2475" s="113">
        <v>9.9999999999999995E-7</v>
      </c>
      <c r="E2475" s="113">
        <v>1.0000000000000001E-9</v>
      </c>
      <c r="F2475" s="113" t="s">
        <v>140</v>
      </c>
      <c r="G2475" s="113" t="s">
        <v>15</v>
      </c>
      <c r="H2475" s="113">
        <v>0</v>
      </c>
      <c r="I2475" s="113">
        <v>0</v>
      </c>
      <c r="K2475" s="113">
        <v>6.2</v>
      </c>
      <c r="L2475" s="113">
        <v>5201100</v>
      </c>
      <c r="M2475" s="113">
        <v>6.1698000000000004</v>
      </c>
      <c r="N2475" s="113">
        <v>5198400</v>
      </c>
      <c r="O2475" s="114" t="s">
        <v>1485</v>
      </c>
    </row>
    <row r="2476" spans="1:15" x14ac:dyDescent="0.25">
      <c r="A2476" s="113" t="s">
        <v>68</v>
      </c>
      <c r="B2476" s="113" t="s">
        <v>14</v>
      </c>
      <c r="C2476" s="113">
        <v>9.9999999999999995E-8</v>
      </c>
      <c r="D2476" s="113">
        <v>9.9999999999999995E-7</v>
      </c>
      <c r="E2476" s="113">
        <v>1E-8</v>
      </c>
      <c r="F2476" s="113" t="s">
        <v>140</v>
      </c>
      <c r="G2476" s="113" t="s">
        <v>15</v>
      </c>
      <c r="H2476" s="113">
        <v>0</v>
      </c>
      <c r="I2476" s="113">
        <v>0</v>
      </c>
      <c r="K2476" s="113">
        <v>8.3825000000000003</v>
      </c>
      <c r="L2476" s="113">
        <v>4378300</v>
      </c>
      <c r="M2476" s="113">
        <v>8.3808000000000007</v>
      </c>
      <c r="N2476" s="113">
        <v>4368200</v>
      </c>
      <c r="O2476" s="114" t="s">
        <v>1486</v>
      </c>
    </row>
    <row r="2477" spans="1:15" x14ac:dyDescent="0.25">
      <c r="A2477" s="113" t="s">
        <v>68</v>
      </c>
      <c r="B2477" s="113" t="s">
        <v>14</v>
      </c>
      <c r="C2477" s="113">
        <v>9.9999999999999995E-8</v>
      </c>
      <c r="D2477" s="113">
        <v>9.9999999999999995E-7</v>
      </c>
      <c r="E2477" s="113">
        <v>9.9999999999999995E-8</v>
      </c>
      <c r="F2477" s="113" t="s">
        <v>140</v>
      </c>
      <c r="G2477" s="113" t="s">
        <v>15</v>
      </c>
      <c r="H2477" s="113">
        <v>0</v>
      </c>
      <c r="I2477" s="113">
        <v>0</v>
      </c>
      <c r="K2477" s="113">
        <v>58.094000000000001</v>
      </c>
      <c r="L2477" s="113">
        <v>1100500</v>
      </c>
      <c r="M2477" s="113">
        <v>58.094000000000001</v>
      </c>
      <c r="N2477" s="113">
        <v>1091000</v>
      </c>
      <c r="O2477" s="114" t="s">
        <v>1487</v>
      </c>
    </row>
    <row r="2478" spans="1:15" x14ac:dyDescent="0.25">
      <c r="A2478" s="113" t="s">
        <v>68</v>
      </c>
      <c r="B2478" s="113" t="s">
        <v>14</v>
      </c>
      <c r="C2478" s="113">
        <v>9.9999999999999995E-8</v>
      </c>
      <c r="D2478" s="113">
        <v>9.9999999999999995E-7</v>
      </c>
      <c r="E2478" s="113">
        <v>9.9999999999999995E-7</v>
      </c>
      <c r="F2478" s="113" t="s">
        <v>140</v>
      </c>
      <c r="G2478" s="113" t="s">
        <v>15</v>
      </c>
      <c r="H2478" s="113">
        <v>0</v>
      </c>
      <c r="I2478" s="113">
        <v>0</v>
      </c>
      <c r="K2478" s="113">
        <v>579.04999999999995</v>
      </c>
      <c r="L2478" s="113">
        <v>3024200</v>
      </c>
      <c r="M2478" s="113">
        <v>579.04999999999995</v>
      </c>
      <c r="N2478" s="113">
        <v>3020300</v>
      </c>
      <c r="O2478" s="114" t="s">
        <v>1488</v>
      </c>
    </row>
    <row r="2479" spans="1:15" x14ac:dyDescent="0.25">
      <c r="A2479" s="113" t="s">
        <v>68</v>
      </c>
      <c r="B2479" s="113" t="s">
        <v>46</v>
      </c>
      <c r="C2479" s="113">
        <v>0</v>
      </c>
      <c r="D2479" s="113">
        <v>1E-4</v>
      </c>
      <c r="E2479" s="113">
        <v>1.0000000000000001E-9</v>
      </c>
      <c r="F2479" s="113" t="s">
        <v>13</v>
      </c>
      <c r="G2479" s="113" t="s">
        <v>70</v>
      </c>
      <c r="H2479" s="113">
        <v>0</v>
      </c>
      <c r="I2479" s="113">
        <v>0</v>
      </c>
      <c r="K2479" s="113">
        <v>35</v>
      </c>
      <c r="L2479" s="113">
        <v>350000</v>
      </c>
      <c r="M2479" s="113">
        <v>34.933</v>
      </c>
      <c r="N2479" s="113">
        <v>349170</v>
      </c>
      <c r="O2479" s="114" t="s">
        <v>1444</v>
      </c>
    </row>
    <row r="2480" spans="1:15" x14ac:dyDescent="0.25">
      <c r="A2480" s="113" t="s">
        <v>68</v>
      </c>
      <c r="B2480" s="113" t="s">
        <v>46</v>
      </c>
      <c r="C2480" s="113">
        <v>0</v>
      </c>
      <c r="D2480" s="113">
        <v>1E-4</v>
      </c>
      <c r="E2480" s="113">
        <v>1E-8</v>
      </c>
      <c r="F2480" s="113" t="s">
        <v>13</v>
      </c>
      <c r="G2480" s="113" t="s">
        <v>70</v>
      </c>
      <c r="H2480" s="113">
        <v>0</v>
      </c>
      <c r="I2480" s="113">
        <v>0</v>
      </c>
      <c r="K2480" s="113">
        <v>35.368000000000002</v>
      </c>
      <c r="L2480" s="113">
        <v>346810</v>
      </c>
      <c r="M2480" s="113">
        <v>35.366</v>
      </c>
      <c r="N2480" s="113">
        <v>346810</v>
      </c>
      <c r="O2480" s="114" t="s">
        <v>1445</v>
      </c>
    </row>
    <row r="2481" spans="1:15" x14ac:dyDescent="0.25">
      <c r="A2481" s="113" t="s">
        <v>68</v>
      </c>
      <c r="B2481" s="113" t="s">
        <v>46</v>
      </c>
      <c r="C2481" s="113">
        <v>0</v>
      </c>
      <c r="D2481" s="113">
        <v>1E-4</v>
      </c>
      <c r="E2481" s="113">
        <v>9.9999999999999995E-8</v>
      </c>
      <c r="F2481" s="113" t="s">
        <v>13</v>
      </c>
      <c r="G2481" s="113" t="s">
        <v>70</v>
      </c>
      <c r="H2481" s="113">
        <v>0</v>
      </c>
      <c r="I2481" s="113">
        <v>0</v>
      </c>
      <c r="K2481" s="113">
        <v>67.34</v>
      </c>
      <c r="L2481" s="113">
        <v>230750</v>
      </c>
      <c r="M2481" s="113">
        <v>67.335999999999999</v>
      </c>
      <c r="N2481" s="113">
        <v>230720</v>
      </c>
      <c r="O2481" s="114" t="s">
        <v>1446</v>
      </c>
    </row>
    <row r="2482" spans="1:15" x14ac:dyDescent="0.25">
      <c r="A2482" s="113" t="s">
        <v>68</v>
      </c>
      <c r="B2482" s="113" t="s">
        <v>46</v>
      </c>
      <c r="C2482" s="113">
        <v>0</v>
      </c>
      <c r="D2482" s="113">
        <v>1E-4</v>
      </c>
      <c r="E2482" s="113">
        <v>9.9999999999999995E-7</v>
      </c>
      <c r="F2482" s="113" t="s">
        <v>13</v>
      </c>
      <c r="G2482" s="113" t="s">
        <v>70</v>
      </c>
      <c r="H2482" s="113">
        <v>0</v>
      </c>
      <c r="I2482" s="113">
        <v>0</v>
      </c>
      <c r="K2482" s="113">
        <v>578.4</v>
      </c>
      <c r="L2482" s="113">
        <v>31405</v>
      </c>
      <c r="M2482" s="113">
        <v>578.39</v>
      </c>
      <c r="N2482" s="113">
        <v>31376</v>
      </c>
      <c r="O2482" s="114" t="s">
        <v>1447</v>
      </c>
    </row>
    <row r="2483" spans="1:15" x14ac:dyDescent="0.25">
      <c r="A2483" s="113" t="s">
        <v>68</v>
      </c>
      <c r="B2483" s="113" t="s">
        <v>46</v>
      </c>
      <c r="C2483" s="113">
        <v>0</v>
      </c>
      <c r="D2483" s="113">
        <v>1E-4</v>
      </c>
      <c r="E2483" s="113">
        <v>1.0000000000000001E-5</v>
      </c>
      <c r="F2483" s="113" t="s">
        <v>13</v>
      </c>
      <c r="G2483" s="113" t="s">
        <v>70</v>
      </c>
      <c r="H2483" s="113">
        <v>0</v>
      </c>
      <c r="I2483" s="113">
        <v>0</v>
      </c>
      <c r="K2483" s="113">
        <v>5773.7</v>
      </c>
      <c r="L2483" s="113">
        <v>3163.2</v>
      </c>
      <c r="M2483" s="113">
        <v>5773.7</v>
      </c>
      <c r="N2483" s="113">
        <v>3151.6</v>
      </c>
      <c r="O2483" s="114" t="s">
        <v>1448</v>
      </c>
    </row>
    <row r="2484" spans="1:15" x14ac:dyDescent="0.25">
      <c r="A2484" s="113" t="s">
        <v>68</v>
      </c>
      <c r="B2484" s="113" t="s">
        <v>46</v>
      </c>
      <c r="C2484" s="113">
        <v>1E-4</v>
      </c>
      <c r="D2484" s="113">
        <v>1E-3</v>
      </c>
      <c r="E2484" s="113">
        <v>1E-8</v>
      </c>
      <c r="F2484" s="113" t="s">
        <v>13</v>
      </c>
      <c r="G2484" s="113" t="s">
        <v>70</v>
      </c>
      <c r="H2484" s="113">
        <v>0</v>
      </c>
      <c r="I2484" s="113">
        <v>0</v>
      </c>
      <c r="K2484" s="113">
        <v>120</v>
      </c>
      <c r="L2484" s="113">
        <v>350000</v>
      </c>
      <c r="M2484" s="113">
        <v>115.86</v>
      </c>
      <c r="N2484" s="113">
        <v>347000</v>
      </c>
      <c r="O2484" s="114" t="s">
        <v>1449</v>
      </c>
    </row>
    <row r="2485" spans="1:15" x14ac:dyDescent="0.25">
      <c r="A2485" s="113" t="s">
        <v>68</v>
      </c>
      <c r="B2485" s="113" t="s">
        <v>46</v>
      </c>
      <c r="C2485" s="113">
        <v>1E-4</v>
      </c>
      <c r="D2485" s="113">
        <v>1E-3</v>
      </c>
      <c r="E2485" s="113">
        <v>9.9999999999999995E-8</v>
      </c>
      <c r="F2485" s="113" t="s">
        <v>13</v>
      </c>
      <c r="G2485" s="113" t="s">
        <v>70</v>
      </c>
      <c r="H2485" s="113">
        <v>0</v>
      </c>
      <c r="I2485" s="113">
        <v>0</v>
      </c>
      <c r="K2485" s="113">
        <v>127.29</v>
      </c>
      <c r="L2485" s="113">
        <v>339170</v>
      </c>
      <c r="M2485" s="113">
        <v>127.24</v>
      </c>
      <c r="N2485" s="113">
        <v>339180</v>
      </c>
      <c r="O2485" s="114" t="s">
        <v>1450</v>
      </c>
    </row>
    <row r="2486" spans="1:15" x14ac:dyDescent="0.25">
      <c r="A2486" s="113" t="s">
        <v>68</v>
      </c>
      <c r="B2486" s="113" t="s">
        <v>46</v>
      </c>
      <c r="C2486" s="113">
        <v>1E-4</v>
      </c>
      <c r="D2486" s="113">
        <v>1E-3</v>
      </c>
      <c r="E2486" s="113">
        <v>9.9999999999999995E-7</v>
      </c>
      <c r="F2486" s="113" t="s">
        <v>13</v>
      </c>
      <c r="G2486" s="113" t="s">
        <v>70</v>
      </c>
      <c r="H2486" s="113">
        <v>0</v>
      </c>
      <c r="I2486" s="113">
        <v>0</v>
      </c>
      <c r="K2486" s="113">
        <v>580.76</v>
      </c>
      <c r="L2486" s="113">
        <v>159300</v>
      </c>
      <c r="M2486" s="113">
        <v>580.72</v>
      </c>
      <c r="N2486" s="113">
        <v>159250</v>
      </c>
      <c r="O2486" s="114" t="s">
        <v>1451</v>
      </c>
    </row>
    <row r="2487" spans="1:15" x14ac:dyDescent="0.25">
      <c r="A2487" s="113" t="s">
        <v>68</v>
      </c>
      <c r="B2487" s="113" t="s">
        <v>46</v>
      </c>
      <c r="C2487" s="113">
        <v>1E-4</v>
      </c>
      <c r="D2487" s="113">
        <v>1E-3</v>
      </c>
      <c r="E2487" s="113">
        <v>1.0000000000000001E-5</v>
      </c>
      <c r="F2487" s="113" t="s">
        <v>13</v>
      </c>
      <c r="G2487" s="113" t="s">
        <v>70</v>
      </c>
      <c r="H2487" s="113">
        <v>0</v>
      </c>
      <c r="I2487" s="113">
        <v>0</v>
      </c>
      <c r="K2487" s="113">
        <v>5773.7</v>
      </c>
      <c r="L2487" s="113">
        <v>18430</v>
      </c>
      <c r="M2487" s="113">
        <v>5773.7</v>
      </c>
      <c r="N2487" s="113">
        <v>18401</v>
      </c>
      <c r="O2487" s="114" t="s">
        <v>1452</v>
      </c>
    </row>
    <row r="2488" spans="1:15" x14ac:dyDescent="0.25">
      <c r="A2488" s="113" t="s">
        <v>68</v>
      </c>
      <c r="B2488" s="113" t="s">
        <v>46</v>
      </c>
      <c r="C2488" s="113">
        <v>1E-4</v>
      </c>
      <c r="D2488" s="113">
        <v>1E-3</v>
      </c>
      <c r="E2488" s="113">
        <v>1E-4</v>
      </c>
      <c r="F2488" s="113" t="s">
        <v>13</v>
      </c>
      <c r="G2488" s="113" t="s">
        <v>70</v>
      </c>
      <c r="H2488" s="113">
        <v>0</v>
      </c>
      <c r="I2488" s="113">
        <v>0</v>
      </c>
      <c r="K2488" s="113">
        <v>57736</v>
      </c>
      <c r="L2488" s="113">
        <v>1854.7</v>
      </c>
      <c r="M2488" s="113">
        <v>57736</v>
      </c>
      <c r="N2488" s="113">
        <v>1843.4</v>
      </c>
      <c r="O2488" s="114" t="s">
        <v>1453</v>
      </c>
    </row>
    <row r="2489" spans="1:15" x14ac:dyDescent="0.25">
      <c r="A2489" s="113" t="s">
        <v>68</v>
      </c>
      <c r="B2489" s="113" t="s">
        <v>46</v>
      </c>
      <c r="C2489" s="113">
        <v>1E-3</v>
      </c>
      <c r="D2489" s="113">
        <v>0.01</v>
      </c>
      <c r="E2489" s="113">
        <v>9.9999999999999995E-8</v>
      </c>
      <c r="F2489" s="113" t="s">
        <v>13</v>
      </c>
      <c r="G2489" s="113" t="s">
        <v>11</v>
      </c>
      <c r="H2489" s="113">
        <v>0</v>
      </c>
      <c r="I2489" s="113">
        <v>0</v>
      </c>
      <c r="K2489" s="113">
        <v>1.2</v>
      </c>
      <c r="L2489" s="113">
        <v>350</v>
      </c>
      <c r="M2489" s="113">
        <v>1.1597</v>
      </c>
      <c r="N2489" s="113">
        <v>346.89</v>
      </c>
      <c r="O2489" s="114" t="s">
        <v>1454</v>
      </c>
    </row>
    <row r="2490" spans="1:15" x14ac:dyDescent="0.25">
      <c r="A2490" s="113" t="s">
        <v>68</v>
      </c>
      <c r="B2490" s="113" t="s">
        <v>46</v>
      </c>
      <c r="C2490" s="113">
        <v>1E-3</v>
      </c>
      <c r="D2490" s="113">
        <v>0.01</v>
      </c>
      <c r="E2490" s="113">
        <v>9.9999999999999995E-7</v>
      </c>
      <c r="F2490" s="113" t="s">
        <v>13</v>
      </c>
      <c r="G2490" s="113" t="s">
        <v>11</v>
      </c>
      <c r="H2490" s="113">
        <v>0</v>
      </c>
      <c r="I2490" s="113">
        <v>0</v>
      </c>
      <c r="K2490" s="113">
        <v>1.2739</v>
      </c>
      <c r="L2490" s="113">
        <v>339.07</v>
      </c>
      <c r="M2490" s="113">
        <v>1.2734000000000001</v>
      </c>
      <c r="N2490" s="113">
        <v>339.08</v>
      </c>
      <c r="O2490" s="114" t="s">
        <v>1455</v>
      </c>
    </row>
    <row r="2491" spans="1:15" x14ac:dyDescent="0.25">
      <c r="A2491" s="113" t="s">
        <v>68</v>
      </c>
      <c r="B2491" s="113" t="s">
        <v>46</v>
      </c>
      <c r="C2491" s="113">
        <v>1E-3</v>
      </c>
      <c r="D2491" s="113">
        <v>0.01</v>
      </c>
      <c r="E2491" s="113">
        <v>1.0000000000000001E-5</v>
      </c>
      <c r="F2491" s="113" t="s">
        <v>13</v>
      </c>
      <c r="G2491" s="113" t="s">
        <v>11</v>
      </c>
      <c r="H2491" s="113">
        <v>0</v>
      </c>
      <c r="I2491" s="113">
        <v>0</v>
      </c>
      <c r="K2491" s="113">
        <v>5.8079000000000001</v>
      </c>
      <c r="L2491" s="113">
        <v>159.28</v>
      </c>
      <c r="M2491" s="113">
        <v>5.8074000000000003</v>
      </c>
      <c r="N2491" s="113">
        <v>159.22999999999999</v>
      </c>
      <c r="O2491" s="114" t="s">
        <v>1456</v>
      </c>
    </row>
    <row r="2492" spans="1:15" x14ac:dyDescent="0.25">
      <c r="A2492" s="113" t="s">
        <v>68</v>
      </c>
      <c r="B2492" s="113" t="s">
        <v>46</v>
      </c>
      <c r="C2492" s="113">
        <v>1E-3</v>
      </c>
      <c r="D2492" s="113">
        <v>0.01</v>
      </c>
      <c r="E2492" s="113">
        <v>1E-4</v>
      </c>
      <c r="F2492" s="113" t="s">
        <v>13</v>
      </c>
      <c r="G2492" s="113" t="s">
        <v>11</v>
      </c>
      <c r="H2492" s="113">
        <v>0</v>
      </c>
      <c r="I2492" s="113">
        <v>0</v>
      </c>
      <c r="K2492" s="113">
        <v>57.737000000000002</v>
      </c>
      <c r="L2492" s="113">
        <v>18.431000000000001</v>
      </c>
      <c r="M2492" s="113">
        <v>57.737000000000002</v>
      </c>
      <c r="N2492" s="113">
        <v>18.399000000000001</v>
      </c>
      <c r="O2492" s="114" t="s">
        <v>1457</v>
      </c>
    </row>
    <row r="2493" spans="1:15" x14ac:dyDescent="0.25">
      <c r="A2493" s="113" t="s">
        <v>68</v>
      </c>
      <c r="B2493" s="113" t="s">
        <v>46</v>
      </c>
      <c r="C2493" s="113">
        <v>1E-3</v>
      </c>
      <c r="D2493" s="113">
        <v>0.01</v>
      </c>
      <c r="E2493" s="113">
        <v>1E-3</v>
      </c>
      <c r="F2493" s="113" t="s">
        <v>13</v>
      </c>
      <c r="G2493" s="113" t="s">
        <v>11</v>
      </c>
      <c r="H2493" s="113">
        <v>0</v>
      </c>
      <c r="I2493" s="113">
        <v>0</v>
      </c>
      <c r="K2493" s="113">
        <v>577.36</v>
      </c>
      <c r="L2493" s="113">
        <v>1.8560000000000001</v>
      </c>
      <c r="M2493" s="113">
        <v>577.36</v>
      </c>
      <c r="N2493" s="113">
        <v>1.8431</v>
      </c>
      <c r="O2493" s="114" t="s">
        <v>1458</v>
      </c>
    </row>
    <row r="2494" spans="1:15" x14ac:dyDescent="0.25">
      <c r="A2494" s="113" t="s">
        <v>68</v>
      </c>
      <c r="B2494" s="113" t="s">
        <v>46</v>
      </c>
      <c r="C2494" s="113">
        <v>0.01</v>
      </c>
      <c r="D2494" s="113">
        <v>0.1</v>
      </c>
      <c r="E2494" s="113">
        <v>9.9999999999999995E-7</v>
      </c>
      <c r="F2494" s="113" t="s">
        <v>13</v>
      </c>
      <c r="G2494" s="113" t="s">
        <v>11</v>
      </c>
      <c r="H2494" s="113">
        <v>0</v>
      </c>
      <c r="I2494" s="113">
        <v>0</v>
      </c>
      <c r="K2494" s="113">
        <v>12</v>
      </c>
      <c r="L2494" s="113">
        <v>350</v>
      </c>
      <c r="M2494" s="113">
        <v>11.589</v>
      </c>
      <c r="N2494" s="113">
        <v>348.45</v>
      </c>
      <c r="O2494" s="114" t="s">
        <v>1459</v>
      </c>
    </row>
    <row r="2495" spans="1:15" x14ac:dyDescent="0.25">
      <c r="A2495" s="113" t="s">
        <v>68</v>
      </c>
      <c r="B2495" s="113" t="s">
        <v>46</v>
      </c>
      <c r="C2495" s="113">
        <v>0.01</v>
      </c>
      <c r="D2495" s="113">
        <v>0.1</v>
      </c>
      <c r="E2495" s="113">
        <v>1.0000000000000001E-5</v>
      </c>
      <c r="F2495" s="113" t="s">
        <v>13</v>
      </c>
      <c r="G2495" s="113" t="s">
        <v>11</v>
      </c>
      <c r="H2495" s="113">
        <v>0</v>
      </c>
      <c r="I2495" s="113">
        <v>0</v>
      </c>
      <c r="K2495" s="113">
        <v>12.73</v>
      </c>
      <c r="L2495" s="113">
        <v>340.62</v>
      </c>
      <c r="M2495" s="113">
        <v>12.725</v>
      </c>
      <c r="N2495" s="113">
        <v>340.63</v>
      </c>
      <c r="O2495" s="114" t="s">
        <v>1460</v>
      </c>
    </row>
    <row r="2496" spans="1:15" x14ac:dyDescent="0.25">
      <c r="A2496" s="113" t="s">
        <v>68</v>
      </c>
      <c r="B2496" s="113" t="s">
        <v>46</v>
      </c>
      <c r="C2496" s="113">
        <v>0.01</v>
      </c>
      <c r="D2496" s="113">
        <v>0.1</v>
      </c>
      <c r="E2496" s="113">
        <v>1E-4</v>
      </c>
      <c r="F2496" s="113" t="s">
        <v>13</v>
      </c>
      <c r="G2496" s="113" t="s">
        <v>11</v>
      </c>
      <c r="H2496" s="113">
        <v>0</v>
      </c>
      <c r="I2496" s="113">
        <v>0</v>
      </c>
      <c r="K2496" s="113">
        <v>58.070999999999998</v>
      </c>
      <c r="L2496" s="113">
        <v>160.28</v>
      </c>
      <c r="M2496" s="113">
        <v>58.066000000000003</v>
      </c>
      <c r="N2496" s="113">
        <v>160.22999999999999</v>
      </c>
      <c r="O2496" s="114" t="s">
        <v>1461</v>
      </c>
    </row>
    <row r="2497" spans="1:15" x14ac:dyDescent="0.25">
      <c r="A2497" s="113" t="s">
        <v>68</v>
      </c>
      <c r="B2497" s="113" t="s">
        <v>46</v>
      </c>
      <c r="C2497" s="113">
        <v>0.01</v>
      </c>
      <c r="D2497" s="113">
        <v>0.1</v>
      </c>
      <c r="E2497" s="113">
        <v>1E-3</v>
      </c>
      <c r="F2497" s="113" t="s">
        <v>13</v>
      </c>
      <c r="G2497" s="113" t="s">
        <v>11</v>
      </c>
      <c r="H2497" s="113">
        <v>0</v>
      </c>
      <c r="I2497" s="113">
        <v>0</v>
      </c>
      <c r="K2497" s="113">
        <v>577.37</v>
      </c>
      <c r="L2497" s="113">
        <v>18.559999999999999</v>
      </c>
      <c r="M2497" s="113">
        <v>577.37</v>
      </c>
      <c r="N2497" s="113">
        <v>18.527999999999999</v>
      </c>
      <c r="O2497" s="114" t="s">
        <v>1462</v>
      </c>
    </row>
    <row r="2498" spans="1:15" x14ac:dyDescent="0.25">
      <c r="A2498" s="113" t="s">
        <v>68</v>
      </c>
      <c r="B2498" s="113" t="s">
        <v>46</v>
      </c>
      <c r="C2498" s="113">
        <v>0.01</v>
      </c>
      <c r="D2498" s="113">
        <v>0.1</v>
      </c>
      <c r="E2498" s="113">
        <v>0.01</v>
      </c>
      <c r="F2498" s="113" t="s">
        <v>13</v>
      </c>
      <c r="G2498" s="113" t="s">
        <v>11</v>
      </c>
      <c r="H2498" s="113">
        <v>0</v>
      </c>
      <c r="I2498" s="113">
        <v>0</v>
      </c>
      <c r="K2498" s="113">
        <v>5773.6</v>
      </c>
      <c r="L2498" s="113">
        <v>1.8689</v>
      </c>
      <c r="M2498" s="113">
        <v>5773.6</v>
      </c>
      <c r="N2498" s="113">
        <v>1.8560000000000001</v>
      </c>
      <c r="O2498" s="114" t="s">
        <v>1463</v>
      </c>
    </row>
    <row r="2499" spans="1:15" x14ac:dyDescent="0.25">
      <c r="A2499" s="113" t="s">
        <v>68</v>
      </c>
      <c r="B2499" s="113" t="s">
        <v>46</v>
      </c>
      <c r="C2499" s="113">
        <v>0.1</v>
      </c>
      <c r="D2499" s="113">
        <v>1</v>
      </c>
      <c r="E2499" s="113">
        <v>1.0000000000000001E-5</v>
      </c>
      <c r="F2499" s="113" t="s">
        <v>13</v>
      </c>
      <c r="G2499" s="113" t="s">
        <v>11</v>
      </c>
      <c r="H2499" s="113">
        <v>0</v>
      </c>
      <c r="I2499" s="113">
        <v>0</v>
      </c>
      <c r="K2499" s="113">
        <v>180</v>
      </c>
      <c r="L2499" s="113">
        <v>370</v>
      </c>
      <c r="M2499" s="113">
        <v>172.98</v>
      </c>
      <c r="N2499" s="113">
        <v>365.23</v>
      </c>
      <c r="O2499" s="114" t="s">
        <v>1464</v>
      </c>
    </row>
    <row r="2500" spans="1:15" x14ac:dyDescent="0.25">
      <c r="A2500" s="113" t="s">
        <v>68</v>
      </c>
      <c r="B2500" s="113" t="s">
        <v>46</v>
      </c>
      <c r="C2500" s="113">
        <v>0.1</v>
      </c>
      <c r="D2500" s="113">
        <v>1</v>
      </c>
      <c r="E2500" s="113">
        <v>1E-4</v>
      </c>
      <c r="F2500" s="113" t="s">
        <v>13</v>
      </c>
      <c r="G2500" s="113" t="s">
        <v>11</v>
      </c>
      <c r="H2500" s="113">
        <v>0</v>
      </c>
      <c r="I2500" s="113">
        <v>0</v>
      </c>
      <c r="K2500" s="113">
        <v>181.28</v>
      </c>
      <c r="L2500" s="113">
        <v>360.03</v>
      </c>
      <c r="M2500" s="113">
        <v>181.24</v>
      </c>
      <c r="N2500" s="113">
        <v>360.03</v>
      </c>
      <c r="O2500" s="114" t="s">
        <v>1465</v>
      </c>
    </row>
    <row r="2501" spans="1:15" x14ac:dyDescent="0.25">
      <c r="A2501" s="113" t="s">
        <v>68</v>
      </c>
      <c r="B2501" s="113" t="s">
        <v>46</v>
      </c>
      <c r="C2501" s="113">
        <v>0.1</v>
      </c>
      <c r="D2501" s="113">
        <v>1</v>
      </c>
      <c r="E2501" s="113">
        <v>1E-3</v>
      </c>
      <c r="F2501" s="113" t="s">
        <v>13</v>
      </c>
      <c r="G2501" s="113" t="s">
        <v>11</v>
      </c>
      <c r="H2501" s="113">
        <v>0</v>
      </c>
      <c r="I2501" s="113">
        <v>0</v>
      </c>
      <c r="K2501" s="113">
        <v>594.75</v>
      </c>
      <c r="L2501" s="113">
        <v>194.63</v>
      </c>
      <c r="M2501" s="113">
        <v>594.71</v>
      </c>
      <c r="N2501" s="113">
        <v>194.58</v>
      </c>
      <c r="O2501" s="114" t="s">
        <v>1466</v>
      </c>
    </row>
    <row r="2502" spans="1:15" x14ac:dyDescent="0.25">
      <c r="A2502" s="113" t="s">
        <v>68</v>
      </c>
      <c r="B2502" s="113" t="s">
        <v>46</v>
      </c>
      <c r="C2502" s="113">
        <v>0.1</v>
      </c>
      <c r="D2502" s="113">
        <v>1</v>
      </c>
      <c r="E2502" s="113">
        <v>0.01</v>
      </c>
      <c r="F2502" s="113" t="s">
        <v>13</v>
      </c>
      <c r="G2502" s="113" t="s">
        <v>11</v>
      </c>
      <c r="H2502" s="113">
        <v>0</v>
      </c>
      <c r="I2502" s="113">
        <v>0</v>
      </c>
      <c r="K2502" s="113">
        <v>5775</v>
      </c>
      <c r="L2502" s="113">
        <v>23.623000000000001</v>
      </c>
      <c r="M2502" s="113">
        <v>5775</v>
      </c>
      <c r="N2502" s="113">
        <v>23.591000000000001</v>
      </c>
      <c r="O2502" s="114" t="s">
        <v>1467</v>
      </c>
    </row>
    <row r="2503" spans="1:15" x14ac:dyDescent="0.25">
      <c r="A2503" s="113" t="s">
        <v>68</v>
      </c>
      <c r="B2503" s="113" t="s">
        <v>46</v>
      </c>
      <c r="C2503" s="113">
        <v>0.1</v>
      </c>
      <c r="D2503" s="113">
        <v>1</v>
      </c>
      <c r="E2503" s="113">
        <v>0.1</v>
      </c>
      <c r="F2503" s="113" t="s">
        <v>13</v>
      </c>
      <c r="G2503" s="113" t="s">
        <v>11</v>
      </c>
      <c r="H2503" s="113">
        <v>0</v>
      </c>
      <c r="I2503" s="113">
        <v>0</v>
      </c>
      <c r="K2503" s="113">
        <v>57736</v>
      </c>
      <c r="L2503" s="113">
        <v>2.3778000000000001</v>
      </c>
      <c r="M2503" s="113">
        <v>57736</v>
      </c>
      <c r="N2503" s="113">
        <v>2.3649</v>
      </c>
      <c r="O2503" s="114" t="s">
        <v>1468</v>
      </c>
    </row>
    <row r="2504" spans="1:15" x14ac:dyDescent="0.25">
      <c r="A2504" s="113" t="s">
        <v>68</v>
      </c>
      <c r="B2504" s="113" t="s">
        <v>46</v>
      </c>
      <c r="C2504" s="113">
        <v>1</v>
      </c>
      <c r="D2504" s="113">
        <v>10.199999999999999</v>
      </c>
      <c r="E2504" s="113">
        <v>1E-4</v>
      </c>
      <c r="F2504" s="113" t="s">
        <v>13</v>
      </c>
      <c r="G2504" s="113" t="s">
        <v>11</v>
      </c>
      <c r="H2504" s="113">
        <v>0</v>
      </c>
      <c r="I2504" s="113">
        <v>0</v>
      </c>
      <c r="K2504" s="113">
        <v>2.4</v>
      </c>
      <c r="L2504" s="113">
        <v>0.59</v>
      </c>
      <c r="M2504" s="113">
        <v>2.3094999999999999</v>
      </c>
      <c r="N2504" s="113">
        <v>0.57974999999999999</v>
      </c>
      <c r="O2504" s="114" t="s">
        <v>1469</v>
      </c>
    </row>
    <row r="2505" spans="1:15" x14ac:dyDescent="0.25">
      <c r="A2505" s="113" t="s">
        <v>68</v>
      </c>
      <c r="B2505" s="113" t="s">
        <v>46</v>
      </c>
      <c r="C2505" s="113">
        <v>1</v>
      </c>
      <c r="D2505" s="113">
        <v>10.199999999999999</v>
      </c>
      <c r="E2505" s="113">
        <v>1E-3</v>
      </c>
      <c r="F2505" s="113" t="s">
        <v>13</v>
      </c>
      <c r="G2505" s="113" t="s">
        <v>11</v>
      </c>
      <c r="H2505" s="113">
        <v>0</v>
      </c>
      <c r="I2505" s="113">
        <v>0</v>
      </c>
      <c r="K2505" s="113">
        <v>2.4</v>
      </c>
      <c r="L2505" s="113">
        <v>0.63080999999999998</v>
      </c>
      <c r="M2505" s="113">
        <v>2.3700999999999999</v>
      </c>
      <c r="N2505" s="113">
        <v>0.57577999999999996</v>
      </c>
      <c r="O2505" s="114" t="s">
        <v>1470</v>
      </c>
    </row>
    <row r="2506" spans="1:15" x14ac:dyDescent="0.25">
      <c r="A2506" s="113" t="s">
        <v>68</v>
      </c>
      <c r="B2506" s="113" t="s">
        <v>46</v>
      </c>
      <c r="C2506" s="113">
        <v>1</v>
      </c>
      <c r="D2506" s="113">
        <v>10.199999999999999</v>
      </c>
      <c r="E2506" s="113">
        <v>0.01</v>
      </c>
      <c r="F2506" s="113" t="s">
        <v>13</v>
      </c>
      <c r="G2506" s="113" t="s">
        <v>11</v>
      </c>
      <c r="H2506" s="113">
        <v>0</v>
      </c>
      <c r="I2506" s="113">
        <v>0</v>
      </c>
      <c r="K2506" s="113">
        <v>5.8935000000000004</v>
      </c>
      <c r="L2506" s="113">
        <v>0.56293000000000004</v>
      </c>
      <c r="M2506" s="113">
        <v>6.0655000000000001</v>
      </c>
      <c r="N2506" s="113">
        <v>0.39036999999999999</v>
      </c>
      <c r="O2506" s="114" t="s">
        <v>1471</v>
      </c>
    </row>
    <row r="2507" spans="1:15" x14ac:dyDescent="0.25">
      <c r="A2507" s="113" t="s">
        <v>68</v>
      </c>
      <c r="B2507" s="113" t="s">
        <v>46</v>
      </c>
      <c r="C2507" s="113">
        <v>1</v>
      </c>
      <c r="D2507" s="113">
        <v>10.199999999999999</v>
      </c>
      <c r="E2507" s="113">
        <v>0.1</v>
      </c>
      <c r="F2507" s="113" t="s">
        <v>13</v>
      </c>
      <c r="G2507" s="113" t="s">
        <v>11</v>
      </c>
      <c r="H2507" s="113">
        <v>0</v>
      </c>
      <c r="I2507" s="113">
        <v>0</v>
      </c>
      <c r="K2507" s="113">
        <v>57.625</v>
      </c>
      <c r="L2507" s="113">
        <v>0.18253</v>
      </c>
      <c r="M2507" s="113">
        <v>57.752000000000002</v>
      </c>
      <c r="N2507" s="113">
        <v>5.5476999999999999E-2</v>
      </c>
      <c r="O2507" s="114" t="s">
        <v>1472</v>
      </c>
    </row>
    <row r="2508" spans="1:15" x14ac:dyDescent="0.25">
      <c r="A2508" s="113" t="s">
        <v>68</v>
      </c>
      <c r="B2508" s="113" t="s">
        <v>46</v>
      </c>
      <c r="C2508" s="113">
        <v>1</v>
      </c>
      <c r="D2508" s="113">
        <v>10.199999999999999</v>
      </c>
      <c r="E2508" s="113">
        <v>1</v>
      </c>
      <c r="F2508" s="113" t="s">
        <v>13</v>
      </c>
      <c r="G2508" s="113" t="s">
        <v>11</v>
      </c>
      <c r="H2508" s="113">
        <v>0</v>
      </c>
      <c r="I2508" s="113">
        <v>0</v>
      </c>
      <c r="K2508" s="113">
        <v>577.30999999999995</v>
      </c>
      <c r="L2508" s="113">
        <v>5.7402000000000002E-2</v>
      </c>
      <c r="M2508" s="113">
        <v>577.36</v>
      </c>
      <c r="N2508" s="113">
        <v>5.5789000000000004E-3</v>
      </c>
      <c r="O2508" s="114" t="s">
        <v>1473</v>
      </c>
    </row>
    <row r="2509" spans="1:15" x14ac:dyDescent="0.25">
      <c r="A2509" s="113" t="s">
        <v>68</v>
      </c>
      <c r="B2509" s="113" t="s">
        <v>58</v>
      </c>
      <c r="C2509" s="113">
        <v>10</v>
      </c>
      <c r="D2509" s="113">
        <v>102</v>
      </c>
      <c r="E2509" s="113">
        <v>1E-4</v>
      </c>
      <c r="F2509" s="113" t="s">
        <v>13</v>
      </c>
      <c r="G2509" s="113" t="s">
        <v>12</v>
      </c>
      <c r="H2509" s="113">
        <v>0</v>
      </c>
      <c r="I2509" s="113">
        <v>0</v>
      </c>
      <c r="K2509" s="113">
        <v>16</v>
      </c>
      <c r="L2509" s="113">
        <v>2</v>
      </c>
      <c r="M2509" s="113">
        <v>15.052</v>
      </c>
      <c r="N2509" s="113">
        <v>2.0087999999999999</v>
      </c>
      <c r="O2509" s="114" t="s">
        <v>1438</v>
      </c>
    </row>
    <row r="2510" spans="1:15" x14ac:dyDescent="0.25">
      <c r="A2510" s="113" t="s">
        <v>68</v>
      </c>
      <c r="B2510" s="113" t="s">
        <v>58</v>
      </c>
      <c r="C2510" s="113">
        <v>10</v>
      </c>
      <c r="D2510" s="113">
        <v>102</v>
      </c>
      <c r="E2510" s="113">
        <v>1E-3</v>
      </c>
      <c r="F2510" s="113" t="s">
        <v>13</v>
      </c>
      <c r="G2510" s="113" t="s">
        <v>12</v>
      </c>
      <c r="H2510" s="113">
        <v>0</v>
      </c>
      <c r="I2510" s="113">
        <v>0</v>
      </c>
      <c r="K2510" s="113">
        <v>16</v>
      </c>
      <c r="L2510" s="113">
        <v>2.0045000000000002</v>
      </c>
      <c r="M2510" s="113">
        <v>15.566000000000001</v>
      </c>
      <c r="N2510" s="113">
        <v>2.0045000000000002</v>
      </c>
      <c r="O2510" s="114" t="s">
        <v>1439</v>
      </c>
    </row>
    <row r="2511" spans="1:15" x14ac:dyDescent="0.25">
      <c r="A2511" s="113" t="s">
        <v>68</v>
      </c>
      <c r="B2511" s="113" t="s">
        <v>58</v>
      </c>
      <c r="C2511" s="113">
        <v>10</v>
      </c>
      <c r="D2511" s="113">
        <v>102</v>
      </c>
      <c r="E2511" s="113">
        <v>0.01</v>
      </c>
      <c r="F2511" s="113" t="s">
        <v>13</v>
      </c>
      <c r="G2511" s="113" t="s">
        <v>12</v>
      </c>
      <c r="H2511" s="113">
        <v>0</v>
      </c>
      <c r="I2511" s="113">
        <v>0</v>
      </c>
      <c r="K2511" s="113">
        <v>50.243000000000002</v>
      </c>
      <c r="L2511" s="113">
        <v>1.7371000000000001</v>
      </c>
      <c r="M2511" s="113">
        <v>50.216000000000001</v>
      </c>
      <c r="N2511" s="113">
        <v>1.7371000000000001</v>
      </c>
      <c r="O2511" s="114" t="s">
        <v>1440</v>
      </c>
    </row>
    <row r="2512" spans="1:15" x14ac:dyDescent="0.25">
      <c r="A2512" s="113" t="s">
        <v>68</v>
      </c>
      <c r="B2512" s="113" t="s">
        <v>58</v>
      </c>
      <c r="C2512" s="113">
        <v>10</v>
      </c>
      <c r="D2512" s="113">
        <v>102</v>
      </c>
      <c r="E2512" s="113">
        <v>0.1</v>
      </c>
      <c r="F2512" s="113" t="s">
        <v>13</v>
      </c>
      <c r="G2512" s="113" t="s">
        <v>12</v>
      </c>
      <c r="H2512" s="113">
        <v>0</v>
      </c>
      <c r="I2512" s="113">
        <v>0</v>
      </c>
      <c r="K2512" s="113">
        <v>574.15</v>
      </c>
      <c r="L2512" s="113">
        <v>0.42863000000000001</v>
      </c>
      <c r="M2512" s="113">
        <v>574.14</v>
      </c>
      <c r="N2512" s="113">
        <v>0.42836000000000002</v>
      </c>
      <c r="O2512" s="114" t="s">
        <v>1441</v>
      </c>
    </row>
    <row r="2513" spans="1:15" x14ac:dyDescent="0.25">
      <c r="A2513" s="113" t="s">
        <v>68</v>
      </c>
      <c r="B2513" s="113" t="s">
        <v>58</v>
      </c>
      <c r="C2513" s="113">
        <v>10</v>
      </c>
      <c r="D2513" s="113">
        <v>102</v>
      </c>
      <c r="E2513" s="113">
        <v>1</v>
      </c>
      <c r="F2513" s="113" t="s">
        <v>13</v>
      </c>
      <c r="G2513" s="113" t="s">
        <v>12</v>
      </c>
      <c r="H2513" s="113">
        <v>0</v>
      </c>
      <c r="I2513" s="113">
        <v>0</v>
      </c>
      <c r="K2513" s="113">
        <v>5773.2</v>
      </c>
      <c r="L2513" s="113">
        <v>4.4478999999999998E-2</v>
      </c>
      <c r="M2513" s="113">
        <v>5773.2</v>
      </c>
      <c r="N2513" s="113">
        <v>4.4360999999999998E-2</v>
      </c>
      <c r="O2513" s="114" t="s">
        <v>1442</v>
      </c>
    </row>
    <row r="2514" spans="1:15" x14ac:dyDescent="0.25">
      <c r="A2514" s="113" t="s">
        <v>68</v>
      </c>
      <c r="B2514" s="113" t="s">
        <v>58</v>
      </c>
      <c r="C2514" s="113">
        <v>10</v>
      </c>
      <c r="D2514" s="113">
        <v>102</v>
      </c>
      <c r="E2514" s="113">
        <v>10</v>
      </c>
      <c r="F2514" s="113" t="s">
        <v>13</v>
      </c>
      <c r="G2514" s="113" t="s">
        <v>12</v>
      </c>
      <c r="H2514" s="113">
        <v>0</v>
      </c>
      <c r="I2514" s="113">
        <v>0</v>
      </c>
      <c r="K2514" s="113">
        <v>57735</v>
      </c>
      <c r="L2514" s="113">
        <v>4.4850999999999997E-3</v>
      </c>
      <c r="M2514" s="113">
        <v>57735</v>
      </c>
      <c r="N2514" s="113">
        <v>4.4377000000000002E-3</v>
      </c>
      <c r="O2514" s="114" t="s">
        <v>1443</v>
      </c>
    </row>
    <row r="2515" spans="1:15" x14ac:dyDescent="0.25">
      <c r="A2515" s="113" t="s">
        <v>68</v>
      </c>
      <c r="B2515" s="113" t="s">
        <v>59</v>
      </c>
      <c r="C2515" s="113">
        <v>20</v>
      </c>
      <c r="D2515" s="113">
        <v>204</v>
      </c>
      <c r="E2515" s="113">
        <v>1E-3</v>
      </c>
      <c r="F2515" s="113" t="s">
        <v>13</v>
      </c>
      <c r="G2515" s="113" t="s">
        <v>12</v>
      </c>
      <c r="H2515" s="113">
        <v>0</v>
      </c>
      <c r="I2515" s="113">
        <v>0</v>
      </c>
      <c r="K2515" s="113">
        <v>32</v>
      </c>
      <c r="L2515" s="113">
        <v>2</v>
      </c>
      <c r="M2515" s="113">
        <v>30.087</v>
      </c>
      <c r="N2515" s="113">
        <v>2.0089000000000001</v>
      </c>
      <c r="O2515" s="114" t="s">
        <v>1433</v>
      </c>
    </row>
    <row r="2516" spans="1:15" x14ac:dyDescent="0.25">
      <c r="A2516" s="113" t="s">
        <v>68</v>
      </c>
      <c r="B2516" s="113" t="s">
        <v>59</v>
      </c>
      <c r="C2516" s="113">
        <v>20</v>
      </c>
      <c r="D2516" s="113">
        <v>204</v>
      </c>
      <c r="E2516" s="113">
        <v>0.01</v>
      </c>
      <c r="F2516" s="113" t="s">
        <v>13</v>
      </c>
      <c r="G2516" s="113" t="s">
        <v>12</v>
      </c>
      <c r="H2516" s="113">
        <v>0</v>
      </c>
      <c r="I2516" s="113">
        <v>0</v>
      </c>
      <c r="K2516" s="113">
        <v>32</v>
      </c>
      <c r="L2516" s="113">
        <v>2.0076999999999998</v>
      </c>
      <c r="M2516" s="113">
        <v>30.344000000000001</v>
      </c>
      <c r="N2516" s="113">
        <v>2.0078</v>
      </c>
      <c r="O2516" s="114" t="s">
        <v>1434</v>
      </c>
    </row>
    <row r="2517" spans="1:15" x14ac:dyDescent="0.25">
      <c r="A2517" s="113" t="s">
        <v>68</v>
      </c>
      <c r="B2517" s="113" t="s">
        <v>59</v>
      </c>
      <c r="C2517" s="113">
        <v>20</v>
      </c>
      <c r="D2517" s="113">
        <v>204</v>
      </c>
      <c r="E2517" s="113">
        <v>0.1</v>
      </c>
      <c r="F2517" s="113" t="s">
        <v>13</v>
      </c>
      <c r="G2517" s="113" t="s">
        <v>12</v>
      </c>
      <c r="H2517" s="113">
        <v>0</v>
      </c>
      <c r="I2517" s="113">
        <v>0</v>
      </c>
      <c r="K2517" s="113">
        <v>52.695</v>
      </c>
      <c r="L2517" s="113">
        <v>1.9168000000000001</v>
      </c>
      <c r="M2517" s="113">
        <v>52.600999999999999</v>
      </c>
      <c r="N2517" s="113">
        <v>1.917</v>
      </c>
      <c r="O2517" s="114" t="s">
        <v>1435</v>
      </c>
    </row>
    <row r="2518" spans="1:15" x14ac:dyDescent="0.25">
      <c r="A2518" s="113" t="s">
        <v>68</v>
      </c>
      <c r="B2518" s="113" t="s">
        <v>59</v>
      </c>
      <c r="C2518" s="113">
        <v>20</v>
      </c>
      <c r="D2518" s="113">
        <v>204</v>
      </c>
      <c r="E2518" s="113">
        <v>1</v>
      </c>
      <c r="F2518" s="113" t="s">
        <v>13</v>
      </c>
      <c r="G2518" s="113" t="s">
        <v>12</v>
      </c>
      <c r="H2518" s="113">
        <v>0</v>
      </c>
      <c r="I2518" s="113">
        <v>0</v>
      </c>
      <c r="K2518" s="113">
        <v>565.98</v>
      </c>
      <c r="L2518" s="113">
        <v>0.78427000000000002</v>
      </c>
      <c r="M2518" s="113">
        <v>565.94000000000005</v>
      </c>
      <c r="N2518" s="113">
        <v>0.78385000000000005</v>
      </c>
      <c r="O2518" s="114" t="s">
        <v>1436</v>
      </c>
    </row>
    <row r="2519" spans="1:15" x14ac:dyDescent="0.25">
      <c r="A2519" s="113" t="s">
        <v>68</v>
      </c>
      <c r="B2519" s="113" t="s">
        <v>59</v>
      </c>
      <c r="C2519" s="113">
        <v>20</v>
      </c>
      <c r="D2519" s="113">
        <v>204</v>
      </c>
      <c r="E2519" s="113">
        <v>10</v>
      </c>
      <c r="F2519" s="113" t="s">
        <v>13</v>
      </c>
      <c r="G2519" s="113" t="s">
        <v>12</v>
      </c>
      <c r="H2519" s="113">
        <v>0</v>
      </c>
      <c r="I2519" s="113">
        <v>0</v>
      </c>
      <c r="K2519" s="113">
        <v>5772.2</v>
      </c>
      <c r="L2519" s="113">
        <v>8.8858000000000006E-2</v>
      </c>
      <c r="M2519" s="113">
        <v>5772.2</v>
      </c>
      <c r="N2519" s="113">
        <v>8.8622999999999993E-2</v>
      </c>
      <c r="O2519" s="114" t="s">
        <v>1437</v>
      </c>
    </row>
    <row r="2520" spans="1:15" x14ac:dyDescent="0.25">
      <c r="A2520" s="113" t="s">
        <v>68</v>
      </c>
      <c r="B2520" s="113" t="s">
        <v>60</v>
      </c>
      <c r="C2520" s="113">
        <v>5</v>
      </c>
      <c r="D2520" s="113">
        <v>51</v>
      </c>
      <c r="E2520" s="113">
        <v>1E-3</v>
      </c>
      <c r="F2520" s="113" t="s">
        <v>13</v>
      </c>
      <c r="G2520" s="113" t="s">
        <v>12</v>
      </c>
      <c r="H2520" s="113">
        <v>0</v>
      </c>
      <c r="I2520" s="113">
        <v>0</v>
      </c>
      <c r="K2520" s="113">
        <v>4.7</v>
      </c>
      <c r="L2520" s="113">
        <v>2</v>
      </c>
      <c r="M2520" s="113">
        <v>4.5993000000000004</v>
      </c>
      <c r="N2520" s="113">
        <v>1.98</v>
      </c>
      <c r="O2520" s="114" t="s">
        <v>1423</v>
      </c>
    </row>
    <row r="2521" spans="1:15" x14ac:dyDescent="0.25">
      <c r="A2521" s="113" t="s">
        <v>68</v>
      </c>
      <c r="B2521" s="113" t="s">
        <v>60</v>
      </c>
      <c r="C2521" s="113">
        <v>5</v>
      </c>
      <c r="D2521" s="113">
        <v>51</v>
      </c>
      <c r="E2521" s="113">
        <v>0.01</v>
      </c>
      <c r="F2521" s="113" t="s">
        <v>13</v>
      </c>
      <c r="G2521" s="113" t="s">
        <v>12</v>
      </c>
      <c r="H2521" s="113">
        <v>0</v>
      </c>
      <c r="I2521" s="113">
        <v>0</v>
      </c>
      <c r="K2521" s="113">
        <v>5.9279000000000002</v>
      </c>
      <c r="L2521" s="113">
        <v>1.9581</v>
      </c>
      <c r="M2521" s="113">
        <v>5.8000999999999996</v>
      </c>
      <c r="N2521" s="113">
        <v>1.9595</v>
      </c>
      <c r="O2521" s="114" t="s">
        <v>1424</v>
      </c>
    </row>
    <row r="2522" spans="1:15" x14ac:dyDescent="0.25">
      <c r="A2522" s="113" t="s">
        <v>68</v>
      </c>
      <c r="B2522" s="113" t="s">
        <v>60</v>
      </c>
      <c r="C2522" s="113">
        <v>5</v>
      </c>
      <c r="D2522" s="113">
        <v>51</v>
      </c>
      <c r="E2522" s="113">
        <v>0.1</v>
      </c>
      <c r="F2522" s="113" t="s">
        <v>13</v>
      </c>
      <c r="G2522" s="113" t="s">
        <v>12</v>
      </c>
      <c r="H2522" s="113">
        <v>0</v>
      </c>
      <c r="I2522" s="113">
        <v>0</v>
      </c>
      <c r="K2522" s="113">
        <v>53.039000000000001</v>
      </c>
      <c r="L2522" s="113">
        <v>1.3232999999999999</v>
      </c>
      <c r="M2522" s="113">
        <v>52.915999999999997</v>
      </c>
      <c r="N2522" s="113">
        <v>1.3219000000000001</v>
      </c>
      <c r="O2522" s="114" t="s">
        <v>1425</v>
      </c>
    </row>
    <row r="2523" spans="1:15" x14ac:dyDescent="0.25">
      <c r="A2523" s="113" t="s">
        <v>68</v>
      </c>
      <c r="B2523" s="113" t="s">
        <v>60</v>
      </c>
      <c r="C2523" s="113">
        <v>5</v>
      </c>
      <c r="D2523" s="113">
        <v>51</v>
      </c>
      <c r="E2523" s="113">
        <v>1</v>
      </c>
      <c r="F2523" s="113" t="s">
        <v>13</v>
      </c>
      <c r="G2523" s="113" t="s">
        <v>12</v>
      </c>
      <c r="H2523" s="113">
        <v>0</v>
      </c>
      <c r="I2523" s="113">
        <v>0</v>
      </c>
      <c r="K2523" s="113">
        <v>576.55999999999995</v>
      </c>
      <c r="L2523" s="113">
        <v>0.20649000000000001</v>
      </c>
      <c r="M2523" s="113">
        <v>576.52</v>
      </c>
      <c r="N2523" s="113">
        <v>0.20416999999999999</v>
      </c>
      <c r="O2523" s="114" t="s">
        <v>1426</v>
      </c>
    </row>
    <row r="2524" spans="1:15" x14ac:dyDescent="0.25">
      <c r="A2524" s="113" t="s">
        <v>68</v>
      </c>
      <c r="B2524" s="113" t="s">
        <v>60</v>
      </c>
      <c r="C2524" s="113">
        <v>5</v>
      </c>
      <c r="D2524" s="113">
        <v>51</v>
      </c>
      <c r="E2524" s="113">
        <v>10</v>
      </c>
      <c r="F2524" s="113" t="s">
        <v>13</v>
      </c>
      <c r="G2524" s="113" t="s">
        <v>12</v>
      </c>
      <c r="H2524" s="113">
        <v>0</v>
      </c>
      <c r="I2524" s="113">
        <v>0</v>
      </c>
      <c r="K2524" s="113">
        <v>5773.5</v>
      </c>
      <c r="L2524" s="113">
        <v>2.1536E-2</v>
      </c>
      <c r="M2524" s="113">
        <v>5773.5</v>
      </c>
      <c r="N2524" s="113">
        <v>2.0587999999999999E-2</v>
      </c>
      <c r="O2524" s="114" t="s">
        <v>1427</v>
      </c>
    </row>
    <row r="2525" spans="1:15" x14ac:dyDescent="0.25">
      <c r="A2525" s="113" t="s">
        <v>68</v>
      </c>
      <c r="B2525" s="113" t="s">
        <v>60</v>
      </c>
      <c r="C2525" s="113">
        <v>50</v>
      </c>
      <c r="D2525" s="113">
        <v>510</v>
      </c>
      <c r="E2525" s="113">
        <v>1E-3</v>
      </c>
      <c r="F2525" s="113" t="s">
        <v>13</v>
      </c>
      <c r="G2525" s="113" t="s">
        <v>12</v>
      </c>
      <c r="H2525" s="113">
        <v>0</v>
      </c>
      <c r="I2525" s="113">
        <v>0</v>
      </c>
      <c r="K2525" s="113">
        <v>80</v>
      </c>
      <c r="L2525" s="113">
        <v>2</v>
      </c>
      <c r="M2525" s="113">
        <v>75.207999999999998</v>
      </c>
      <c r="N2525" s="113">
        <v>2.0089000000000001</v>
      </c>
      <c r="O2525" s="114" t="s">
        <v>1428</v>
      </c>
    </row>
    <row r="2526" spans="1:15" x14ac:dyDescent="0.25">
      <c r="A2526" s="113" t="s">
        <v>68</v>
      </c>
      <c r="B2526" s="113" t="s">
        <v>60</v>
      </c>
      <c r="C2526" s="113">
        <v>50</v>
      </c>
      <c r="D2526" s="113">
        <v>510</v>
      </c>
      <c r="E2526" s="113">
        <v>0.01</v>
      </c>
      <c r="F2526" s="113" t="s">
        <v>13</v>
      </c>
      <c r="G2526" s="113" t="s">
        <v>12</v>
      </c>
      <c r="H2526" s="113">
        <v>0</v>
      </c>
      <c r="I2526" s="113">
        <v>0</v>
      </c>
      <c r="K2526" s="113">
        <v>80</v>
      </c>
      <c r="L2526" s="113">
        <v>2.0085999999999999</v>
      </c>
      <c r="M2526" s="113">
        <v>75.317999999999998</v>
      </c>
      <c r="N2526" s="113">
        <v>2.0087000000000002</v>
      </c>
      <c r="O2526" s="114" t="s">
        <v>1429</v>
      </c>
    </row>
    <row r="2527" spans="1:15" x14ac:dyDescent="0.25">
      <c r="A2527" s="113" t="s">
        <v>68</v>
      </c>
      <c r="B2527" s="113" t="s">
        <v>60</v>
      </c>
      <c r="C2527" s="113">
        <v>50</v>
      </c>
      <c r="D2527" s="113">
        <v>510</v>
      </c>
      <c r="E2527" s="113">
        <v>0.1</v>
      </c>
      <c r="F2527" s="113" t="s">
        <v>13</v>
      </c>
      <c r="G2527" s="113" t="s">
        <v>12</v>
      </c>
      <c r="H2527" s="113">
        <v>0</v>
      </c>
      <c r="I2527" s="113">
        <v>0</v>
      </c>
      <c r="K2527" s="113">
        <v>85.569000000000003</v>
      </c>
      <c r="L2527" s="113">
        <v>1.9918</v>
      </c>
      <c r="M2527" s="113">
        <v>85.292000000000002</v>
      </c>
      <c r="N2527" s="113">
        <v>1.9921</v>
      </c>
      <c r="O2527" s="114" t="s">
        <v>1430</v>
      </c>
    </row>
    <row r="2528" spans="1:15" x14ac:dyDescent="0.25">
      <c r="A2528" s="113" t="s">
        <v>68</v>
      </c>
      <c r="B2528" s="113" t="s">
        <v>60</v>
      </c>
      <c r="C2528" s="113">
        <v>50</v>
      </c>
      <c r="D2528" s="113">
        <v>510</v>
      </c>
      <c r="E2528" s="113">
        <v>1</v>
      </c>
      <c r="F2528" s="113" t="s">
        <v>13</v>
      </c>
      <c r="G2528" s="113" t="s">
        <v>12</v>
      </c>
      <c r="H2528" s="113">
        <v>0</v>
      </c>
      <c r="I2528" s="113">
        <v>0</v>
      </c>
      <c r="K2528" s="113">
        <v>534.37</v>
      </c>
      <c r="L2528" s="113">
        <v>1.3886000000000001</v>
      </c>
      <c r="M2528" s="113">
        <v>534.07000000000005</v>
      </c>
      <c r="N2528" s="113">
        <v>1.3883000000000001</v>
      </c>
      <c r="O2528" s="114" t="s">
        <v>1431</v>
      </c>
    </row>
    <row r="2529" spans="1:15" x14ac:dyDescent="0.25">
      <c r="A2529" s="113" t="s">
        <v>68</v>
      </c>
      <c r="B2529" s="113" t="s">
        <v>60</v>
      </c>
      <c r="C2529" s="113">
        <v>50</v>
      </c>
      <c r="D2529" s="113">
        <v>510</v>
      </c>
      <c r="E2529" s="113">
        <v>10</v>
      </c>
      <c r="F2529" s="113" t="s">
        <v>13</v>
      </c>
      <c r="G2529" s="113" t="s">
        <v>12</v>
      </c>
      <c r="H2529" s="113">
        <v>0</v>
      </c>
      <c r="I2529" s="113">
        <v>0</v>
      </c>
      <c r="K2529" s="113">
        <v>5765.3</v>
      </c>
      <c r="L2529" s="113">
        <v>0.22044</v>
      </c>
      <c r="M2529" s="113">
        <v>5765.2</v>
      </c>
      <c r="N2529" s="113">
        <v>0.21986</v>
      </c>
      <c r="O2529" s="114" t="s">
        <v>1432</v>
      </c>
    </row>
    <row r="2530" spans="1:15" x14ac:dyDescent="0.25">
      <c r="A2530" s="113" t="s">
        <v>68</v>
      </c>
      <c r="B2530" s="113" t="s">
        <v>3</v>
      </c>
      <c r="C2530" s="113">
        <v>0</v>
      </c>
      <c r="D2530" s="113">
        <v>0.1</v>
      </c>
      <c r="E2530" s="113">
        <v>9.9999999999999995E-7</v>
      </c>
      <c r="F2530" s="113" t="s">
        <v>6</v>
      </c>
      <c r="G2530" s="113" t="s">
        <v>5</v>
      </c>
      <c r="H2530" s="113">
        <v>0</v>
      </c>
      <c r="I2530" s="113">
        <v>0</v>
      </c>
      <c r="K2530" s="113">
        <v>12</v>
      </c>
      <c r="L2530" s="113">
        <v>92</v>
      </c>
      <c r="M2530" s="113">
        <v>11.624000000000001</v>
      </c>
      <c r="N2530" s="113">
        <v>92.067999999999998</v>
      </c>
      <c r="O2530" s="114" t="s">
        <v>1398</v>
      </c>
    </row>
    <row r="2531" spans="1:15" x14ac:dyDescent="0.25">
      <c r="A2531" s="113" t="s">
        <v>68</v>
      </c>
      <c r="B2531" s="113" t="s">
        <v>3</v>
      </c>
      <c r="C2531" s="113">
        <v>0</v>
      </c>
      <c r="D2531" s="113">
        <v>0.1</v>
      </c>
      <c r="E2531" s="113">
        <v>1.0000000000000001E-5</v>
      </c>
      <c r="F2531" s="113" t="s">
        <v>6</v>
      </c>
      <c r="G2531" s="113" t="s">
        <v>5</v>
      </c>
      <c r="H2531" s="113">
        <v>0</v>
      </c>
      <c r="I2531" s="113">
        <v>0</v>
      </c>
      <c r="K2531" s="113">
        <v>12.962999999999999</v>
      </c>
      <c r="L2531" s="113">
        <v>86.429000000000002</v>
      </c>
      <c r="M2531" s="113">
        <v>12.956</v>
      </c>
      <c r="N2531" s="113">
        <v>86.457999999999998</v>
      </c>
      <c r="O2531" s="114" t="s">
        <v>1399</v>
      </c>
    </row>
    <row r="2532" spans="1:15" x14ac:dyDescent="0.25">
      <c r="A2532" s="113" t="s">
        <v>68</v>
      </c>
      <c r="B2532" s="113" t="s">
        <v>3</v>
      </c>
      <c r="C2532" s="113">
        <v>0</v>
      </c>
      <c r="D2532" s="113">
        <v>0.1</v>
      </c>
      <c r="E2532" s="113">
        <v>1E-4</v>
      </c>
      <c r="F2532" s="113" t="s">
        <v>6</v>
      </c>
      <c r="G2532" s="113" t="s">
        <v>5</v>
      </c>
      <c r="H2532" s="113">
        <v>0</v>
      </c>
      <c r="I2532" s="113">
        <v>0</v>
      </c>
      <c r="K2532" s="113">
        <v>58.889000000000003</v>
      </c>
      <c r="L2532" s="113">
        <v>24.899000000000001</v>
      </c>
      <c r="M2532" s="113">
        <v>58.883000000000003</v>
      </c>
      <c r="N2532" s="113">
        <v>24.902000000000001</v>
      </c>
      <c r="O2532" s="114" t="s">
        <v>1400</v>
      </c>
    </row>
    <row r="2533" spans="1:15" x14ac:dyDescent="0.25">
      <c r="A2533" s="113" t="s">
        <v>68</v>
      </c>
      <c r="B2533" s="113" t="s">
        <v>3</v>
      </c>
      <c r="C2533" s="113">
        <v>0</v>
      </c>
      <c r="D2533" s="113">
        <v>0.1</v>
      </c>
      <c r="E2533" s="113">
        <v>1E-3</v>
      </c>
      <c r="F2533" s="113" t="s">
        <v>6</v>
      </c>
      <c r="G2533" s="113" t="s">
        <v>5</v>
      </c>
      <c r="H2533" s="113">
        <v>0</v>
      </c>
      <c r="I2533" s="113">
        <v>0</v>
      </c>
      <c r="K2533" s="113">
        <v>577.47</v>
      </c>
      <c r="L2533" s="113">
        <v>2.5928</v>
      </c>
      <c r="M2533" s="113">
        <v>577.47</v>
      </c>
      <c r="N2533" s="113">
        <v>2.5928</v>
      </c>
      <c r="O2533" s="114" t="s">
        <v>1401</v>
      </c>
    </row>
    <row r="2534" spans="1:15" x14ac:dyDescent="0.25">
      <c r="A2534" s="113" t="s">
        <v>68</v>
      </c>
      <c r="B2534" s="113" t="s">
        <v>3</v>
      </c>
      <c r="C2534" s="113">
        <v>0</v>
      </c>
      <c r="D2534" s="113">
        <v>0.1</v>
      </c>
      <c r="E2534" s="113">
        <v>0.01</v>
      </c>
      <c r="F2534" s="113" t="s">
        <v>6</v>
      </c>
      <c r="G2534" s="113" t="s">
        <v>5</v>
      </c>
      <c r="H2534" s="113">
        <v>0</v>
      </c>
      <c r="I2534" s="113">
        <v>0</v>
      </c>
      <c r="K2534" s="113">
        <v>5773.6</v>
      </c>
      <c r="L2534" s="113">
        <v>0.25939000000000001</v>
      </c>
      <c r="M2534" s="113">
        <v>5773.6</v>
      </c>
      <c r="N2534" s="113">
        <v>0.25939000000000001</v>
      </c>
      <c r="O2534" s="114" t="s">
        <v>1402</v>
      </c>
    </row>
    <row r="2535" spans="1:15" x14ac:dyDescent="0.25">
      <c r="A2535" s="113" t="s">
        <v>68</v>
      </c>
      <c r="B2535" s="113" t="s">
        <v>3</v>
      </c>
      <c r="C2535" s="113">
        <v>0.1</v>
      </c>
      <c r="D2535" s="113">
        <v>1</v>
      </c>
      <c r="E2535" s="113">
        <v>1.0000000000000001E-5</v>
      </c>
      <c r="F2535" s="113" t="s">
        <v>6</v>
      </c>
      <c r="G2535" s="113" t="s">
        <v>5</v>
      </c>
      <c r="H2535" s="113">
        <v>0</v>
      </c>
      <c r="I2535" s="113">
        <v>0</v>
      </c>
      <c r="K2535" s="113">
        <v>36</v>
      </c>
      <c r="L2535" s="113">
        <v>92</v>
      </c>
      <c r="M2535" s="113">
        <v>35.884999999999998</v>
      </c>
      <c r="N2535" s="113">
        <v>91.647999999999996</v>
      </c>
      <c r="O2535" s="114" t="s">
        <v>1403</v>
      </c>
    </row>
    <row r="2536" spans="1:15" x14ac:dyDescent="0.25">
      <c r="A2536" s="113" t="s">
        <v>68</v>
      </c>
      <c r="B2536" s="113" t="s">
        <v>3</v>
      </c>
      <c r="C2536" s="113">
        <v>0.1</v>
      </c>
      <c r="D2536" s="113">
        <v>1</v>
      </c>
      <c r="E2536" s="113">
        <v>1E-4</v>
      </c>
      <c r="F2536" s="113" t="s">
        <v>6</v>
      </c>
      <c r="G2536" s="113" t="s">
        <v>5</v>
      </c>
      <c r="H2536" s="113">
        <v>0</v>
      </c>
      <c r="I2536" s="113">
        <v>0</v>
      </c>
      <c r="K2536" s="113">
        <v>65.685000000000002</v>
      </c>
      <c r="L2536" s="113">
        <v>74.286000000000001</v>
      </c>
      <c r="M2536" s="113">
        <v>65.573999999999998</v>
      </c>
      <c r="N2536" s="113">
        <v>74.301000000000002</v>
      </c>
      <c r="O2536" s="114" t="s">
        <v>1404</v>
      </c>
    </row>
    <row r="2537" spans="1:15" x14ac:dyDescent="0.25">
      <c r="A2537" s="113" t="s">
        <v>68</v>
      </c>
      <c r="B2537" s="113" t="s">
        <v>3</v>
      </c>
      <c r="C2537" s="113">
        <v>0.1</v>
      </c>
      <c r="D2537" s="113">
        <v>1</v>
      </c>
      <c r="E2537" s="113">
        <v>1E-3</v>
      </c>
      <c r="F2537" s="113" t="s">
        <v>6</v>
      </c>
      <c r="G2537" s="113" t="s">
        <v>5</v>
      </c>
      <c r="H2537" s="113">
        <v>0</v>
      </c>
      <c r="I2537" s="113">
        <v>0</v>
      </c>
      <c r="K2537" s="113">
        <v>577.78</v>
      </c>
      <c r="L2537" s="113">
        <v>13.555</v>
      </c>
      <c r="M2537" s="113">
        <v>577.73</v>
      </c>
      <c r="N2537" s="113">
        <v>13.515000000000001</v>
      </c>
      <c r="O2537" s="114" t="s">
        <v>1405</v>
      </c>
    </row>
    <row r="2538" spans="1:15" x14ac:dyDescent="0.25">
      <c r="A2538" s="113" t="s">
        <v>68</v>
      </c>
      <c r="B2538" s="113" t="s">
        <v>3</v>
      </c>
      <c r="C2538" s="113">
        <v>0.1</v>
      </c>
      <c r="D2538" s="113">
        <v>1</v>
      </c>
      <c r="E2538" s="113">
        <v>0.01</v>
      </c>
      <c r="F2538" s="113" t="s">
        <v>6</v>
      </c>
      <c r="G2538" s="113" t="s">
        <v>5</v>
      </c>
      <c r="H2538" s="113">
        <v>0</v>
      </c>
      <c r="I2538" s="113">
        <v>0</v>
      </c>
      <c r="K2538" s="113">
        <v>5773.6</v>
      </c>
      <c r="L2538" s="113">
        <v>1.3866000000000001</v>
      </c>
      <c r="M2538" s="113">
        <v>5773.6</v>
      </c>
      <c r="N2538" s="113">
        <v>1.3695999999999999</v>
      </c>
      <c r="O2538" s="114" t="s">
        <v>1406</v>
      </c>
    </row>
    <row r="2539" spans="1:15" x14ac:dyDescent="0.25">
      <c r="A2539" s="113" t="s">
        <v>68</v>
      </c>
      <c r="B2539" s="113" t="s">
        <v>3</v>
      </c>
      <c r="C2539" s="113">
        <v>0.1</v>
      </c>
      <c r="D2539" s="113">
        <v>1</v>
      </c>
      <c r="E2539" s="113">
        <v>0.1</v>
      </c>
      <c r="F2539" s="113" t="s">
        <v>6</v>
      </c>
      <c r="G2539" s="113" t="s">
        <v>5</v>
      </c>
      <c r="H2539" s="113">
        <v>0</v>
      </c>
      <c r="I2539" s="113">
        <v>0</v>
      </c>
      <c r="K2539" s="113">
        <v>57736</v>
      </c>
      <c r="L2539" s="113">
        <v>0.14379</v>
      </c>
      <c r="M2539" s="113">
        <v>57736</v>
      </c>
      <c r="N2539" s="113">
        <v>0.13697999999999999</v>
      </c>
      <c r="O2539" s="114" t="s">
        <v>1407</v>
      </c>
    </row>
    <row r="2540" spans="1:15" x14ac:dyDescent="0.25">
      <c r="A2540" s="113" t="s">
        <v>68</v>
      </c>
      <c r="B2540" s="113" t="s">
        <v>3</v>
      </c>
      <c r="C2540" s="113">
        <v>1</v>
      </c>
      <c r="D2540" s="113">
        <v>10</v>
      </c>
      <c r="E2540" s="113">
        <v>1E-4</v>
      </c>
      <c r="F2540" s="113" t="s">
        <v>6</v>
      </c>
      <c r="G2540" s="113" t="s">
        <v>5</v>
      </c>
      <c r="H2540" s="113">
        <v>0</v>
      </c>
      <c r="I2540" s="113">
        <v>0</v>
      </c>
      <c r="K2540" s="113">
        <v>360</v>
      </c>
      <c r="L2540" s="113">
        <v>92</v>
      </c>
      <c r="M2540" s="113">
        <v>354.54</v>
      </c>
      <c r="N2540" s="113">
        <v>91.828999999999994</v>
      </c>
      <c r="O2540" s="114" t="s">
        <v>1408</v>
      </c>
    </row>
    <row r="2541" spans="1:15" x14ac:dyDescent="0.25">
      <c r="A2541" s="113" t="s">
        <v>68</v>
      </c>
      <c r="B2541" s="113" t="s">
        <v>3</v>
      </c>
      <c r="C2541" s="113">
        <v>1</v>
      </c>
      <c r="D2541" s="113">
        <v>10</v>
      </c>
      <c r="E2541" s="113">
        <v>1E-3</v>
      </c>
      <c r="F2541" s="113" t="s">
        <v>6</v>
      </c>
      <c r="G2541" s="113" t="s">
        <v>5</v>
      </c>
      <c r="H2541" s="113">
        <v>0</v>
      </c>
      <c r="I2541" s="113">
        <v>0</v>
      </c>
      <c r="K2541" s="113">
        <v>653.72</v>
      </c>
      <c r="L2541" s="113">
        <v>74.370999999999995</v>
      </c>
      <c r="M2541" s="113">
        <v>653.16999999999996</v>
      </c>
      <c r="N2541" s="113">
        <v>74.328999999999994</v>
      </c>
      <c r="O2541" s="114" t="s">
        <v>1409</v>
      </c>
    </row>
    <row r="2542" spans="1:15" x14ac:dyDescent="0.25">
      <c r="A2542" s="113" t="s">
        <v>68</v>
      </c>
      <c r="B2542" s="113" t="s">
        <v>3</v>
      </c>
      <c r="C2542" s="113">
        <v>1</v>
      </c>
      <c r="D2542" s="113">
        <v>10</v>
      </c>
      <c r="E2542" s="113">
        <v>0.01</v>
      </c>
      <c r="F2542" s="113" t="s">
        <v>6</v>
      </c>
      <c r="G2542" s="113" t="s">
        <v>5</v>
      </c>
      <c r="H2542" s="113">
        <v>0</v>
      </c>
      <c r="I2542" s="113">
        <v>0</v>
      </c>
      <c r="K2542" s="113">
        <v>5777.2</v>
      </c>
      <c r="L2542" s="113">
        <v>13.558999999999999</v>
      </c>
      <c r="M2542" s="113">
        <v>5777</v>
      </c>
      <c r="N2542" s="113">
        <v>13.491</v>
      </c>
      <c r="O2542" s="114" t="s">
        <v>1410</v>
      </c>
    </row>
    <row r="2543" spans="1:15" x14ac:dyDescent="0.25">
      <c r="A2543" s="113" t="s">
        <v>68</v>
      </c>
      <c r="B2543" s="113" t="s">
        <v>3</v>
      </c>
      <c r="C2543" s="113">
        <v>1</v>
      </c>
      <c r="D2543" s="113">
        <v>10</v>
      </c>
      <c r="E2543" s="113">
        <v>0.1</v>
      </c>
      <c r="F2543" s="113" t="s">
        <v>6</v>
      </c>
      <c r="G2543" s="113" t="s">
        <v>5</v>
      </c>
      <c r="H2543" s="113">
        <v>0</v>
      </c>
      <c r="I2543" s="113">
        <v>0</v>
      </c>
      <c r="K2543" s="113">
        <v>57736</v>
      </c>
      <c r="L2543" s="113">
        <v>1.3954</v>
      </c>
      <c r="M2543" s="113">
        <v>57736</v>
      </c>
      <c r="N2543" s="113">
        <v>13.496</v>
      </c>
      <c r="O2543" s="114" t="s">
        <v>1411</v>
      </c>
    </row>
    <row r="2544" spans="1:15" x14ac:dyDescent="0.25">
      <c r="A2544" s="113" t="s">
        <v>68</v>
      </c>
      <c r="B2544" s="113" t="s">
        <v>3</v>
      </c>
      <c r="C2544" s="113">
        <v>1</v>
      </c>
      <c r="D2544" s="113">
        <v>10</v>
      </c>
      <c r="E2544" s="113">
        <v>1</v>
      </c>
      <c r="F2544" s="113" t="s">
        <v>6</v>
      </c>
      <c r="G2544" s="113" t="s">
        <v>5</v>
      </c>
      <c r="H2544" s="113">
        <v>0</v>
      </c>
      <c r="I2544" s="113">
        <v>0</v>
      </c>
      <c r="K2544" s="113">
        <v>577360</v>
      </c>
      <c r="L2544" s="113">
        <v>0.14807999999999999</v>
      </c>
      <c r="M2544" s="113">
        <v>577360</v>
      </c>
      <c r="N2544" s="113">
        <v>13.497</v>
      </c>
      <c r="O2544" s="114" t="s">
        <v>1412</v>
      </c>
    </row>
    <row r="2545" spans="1:15" x14ac:dyDescent="0.25">
      <c r="A2545" s="113" t="s">
        <v>68</v>
      </c>
      <c r="B2545" s="113" t="s">
        <v>3</v>
      </c>
      <c r="C2545" s="113">
        <v>10</v>
      </c>
      <c r="D2545" s="113">
        <v>100</v>
      </c>
      <c r="E2545" s="113">
        <v>1E-3</v>
      </c>
      <c r="F2545" s="113" t="s">
        <v>6</v>
      </c>
      <c r="G2545" s="113" t="s">
        <v>4</v>
      </c>
      <c r="H2545" s="113">
        <v>0</v>
      </c>
      <c r="I2545" s="113">
        <v>0</v>
      </c>
      <c r="K2545" s="113">
        <v>6.8</v>
      </c>
      <c r="L2545" s="113">
        <v>8.2000000000000003E-2</v>
      </c>
      <c r="M2545" s="113">
        <v>6.7337999999999996</v>
      </c>
      <c r="N2545" s="113">
        <v>8.2464999999999997E-2</v>
      </c>
      <c r="O2545" s="114" t="s">
        <v>1413</v>
      </c>
    </row>
    <row r="2546" spans="1:15" x14ac:dyDescent="0.25">
      <c r="A2546" s="113" t="s">
        <v>68</v>
      </c>
      <c r="B2546" s="113" t="s">
        <v>3</v>
      </c>
      <c r="C2546" s="113">
        <v>10</v>
      </c>
      <c r="D2546" s="113">
        <v>100</v>
      </c>
      <c r="E2546" s="113">
        <v>0.01</v>
      </c>
      <c r="F2546" s="113" t="s">
        <v>6</v>
      </c>
      <c r="G2546" s="113" t="s">
        <v>4</v>
      </c>
      <c r="H2546" s="113">
        <v>0</v>
      </c>
      <c r="I2546" s="113">
        <v>0</v>
      </c>
      <c r="K2546" s="113">
        <v>8.7739999999999991</v>
      </c>
      <c r="L2546" s="113">
        <v>7.2816000000000006E-2</v>
      </c>
      <c r="M2546" s="113">
        <v>8.766</v>
      </c>
      <c r="N2546" s="113">
        <v>7.2780999999999998E-2</v>
      </c>
      <c r="O2546" s="114" t="s">
        <v>1414</v>
      </c>
    </row>
    <row r="2547" spans="1:15" x14ac:dyDescent="0.25">
      <c r="A2547" s="113" t="s">
        <v>68</v>
      </c>
      <c r="B2547" s="113" t="s">
        <v>3</v>
      </c>
      <c r="C2547" s="113">
        <v>10</v>
      </c>
      <c r="D2547" s="113">
        <v>100</v>
      </c>
      <c r="E2547" s="113">
        <v>0.1</v>
      </c>
      <c r="F2547" s="113" t="s">
        <v>6</v>
      </c>
      <c r="G2547" s="113" t="s">
        <v>4</v>
      </c>
      <c r="H2547" s="113">
        <v>0</v>
      </c>
      <c r="I2547" s="113">
        <v>0</v>
      </c>
      <c r="K2547" s="113">
        <v>58.072000000000003</v>
      </c>
      <c r="L2547" s="113">
        <v>1.5845000000000001E-2</v>
      </c>
      <c r="M2547" s="113">
        <v>58.067999999999998</v>
      </c>
      <c r="N2547" s="113">
        <v>1.5768999999999998E-2</v>
      </c>
      <c r="O2547" s="114" t="s">
        <v>1415</v>
      </c>
    </row>
    <row r="2548" spans="1:15" x14ac:dyDescent="0.25">
      <c r="A2548" s="113" t="s">
        <v>68</v>
      </c>
      <c r="B2548" s="113" t="s">
        <v>3</v>
      </c>
      <c r="C2548" s="113">
        <v>10</v>
      </c>
      <c r="D2548" s="113">
        <v>100</v>
      </c>
      <c r="E2548" s="113">
        <v>1</v>
      </c>
      <c r="F2548" s="113" t="s">
        <v>6</v>
      </c>
      <c r="G2548" s="113" t="s">
        <v>4</v>
      </c>
      <c r="H2548" s="113">
        <v>0</v>
      </c>
      <c r="I2548" s="113">
        <v>0</v>
      </c>
      <c r="K2548" s="113">
        <v>577.39</v>
      </c>
      <c r="L2548" s="113">
        <v>1.6414999999999999E-3</v>
      </c>
      <c r="M2548" s="113">
        <v>577.39</v>
      </c>
      <c r="N2548" s="113">
        <v>1.6092999999999999E-3</v>
      </c>
      <c r="O2548" s="114" t="s">
        <v>1416</v>
      </c>
    </row>
    <row r="2549" spans="1:15" x14ac:dyDescent="0.25">
      <c r="A2549" s="113" t="s">
        <v>68</v>
      </c>
      <c r="B2549" s="113" t="s">
        <v>3</v>
      </c>
      <c r="C2549" s="113">
        <v>10</v>
      </c>
      <c r="D2549" s="113">
        <v>100</v>
      </c>
      <c r="E2549" s="113">
        <v>10</v>
      </c>
      <c r="F2549" s="113" t="s">
        <v>6</v>
      </c>
      <c r="G2549" s="113" t="s">
        <v>4</v>
      </c>
      <c r="H2549" s="113">
        <v>0</v>
      </c>
      <c r="I2549" s="113">
        <v>0</v>
      </c>
      <c r="K2549" s="113">
        <v>5773.6</v>
      </c>
      <c r="L2549" s="113">
        <v>1.7383000000000001E-4</v>
      </c>
      <c r="M2549" s="113">
        <v>5773.6</v>
      </c>
      <c r="N2549" s="113">
        <v>1.6097E-4</v>
      </c>
      <c r="O2549" s="114" t="s">
        <v>1417</v>
      </c>
    </row>
    <row r="2550" spans="1:15" x14ac:dyDescent="0.25">
      <c r="A2550" s="113" t="s">
        <v>68</v>
      </c>
      <c r="B2550" s="113" t="s">
        <v>3</v>
      </c>
      <c r="C2550" s="113">
        <v>100</v>
      </c>
      <c r="D2550" s="113">
        <v>1020</v>
      </c>
      <c r="E2550" s="113">
        <v>0.01</v>
      </c>
      <c r="F2550" s="113" t="s">
        <v>6</v>
      </c>
      <c r="G2550" s="113" t="s">
        <v>4</v>
      </c>
      <c r="H2550" s="113">
        <v>0</v>
      </c>
      <c r="I2550" s="113">
        <v>0</v>
      </c>
      <c r="K2550" s="113">
        <v>36</v>
      </c>
      <c r="L2550" s="113">
        <v>9.1999999999999998E-2</v>
      </c>
      <c r="M2550" s="113">
        <v>35.843000000000004</v>
      </c>
      <c r="N2550" s="113">
        <v>9.1772000000000006E-2</v>
      </c>
      <c r="O2550" s="114" t="s">
        <v>1418</v>
      </c>
    </row>
    <row r="2551" spans="1:15" x14ac:dyDescent="0.25">
      <c r="A2551" s="113" t="s">
        <v>68</v>
      </c>
      <c r="B2551" s="113" t="s">
        <v>3</v>
      </c>
      <c r="C2551" s="113">
        <v>100</v>
      </c>
      <c r="D2551" s="113">
        <v>1020</v>
      </c>
      <c r="E2551" s="113">
        <v>0.1</v>
      </c>
      <c r="F2551" s="113" t="s">
        <v>6</v>
      </c>
      <c r="G2551" s="113" t="s">
        <v>4</v>
      </c>
      <c r="H2551" s="113">
        <v>0</v>
      </c>
      <c r="I2551" s="113">
        <v>0</v>
      </c>
      <c r="K2551" s="113">
        <v>65.632000000000005</v>
      </c>
      <c r="L2551" s="113">
        <v>7.4630000000000002E-2</v>
      </c>
      <c r="M2551" s="113">
        <v>65.525000000000006</v>
      </c>
      <c r="N2551" s="113">
        <v>7.4607999999999994E-2</v>
      </c>
      <c r="O2551" s="114" t="s">
        <v>1419</v>
      </c>
    </row>
    <row r="2552" spans="1:15" x14ac:dyDescent="0.25">
      <c r="A2552" s="113" t="s">
        <v>68</v>
      </c>
      <c r="B2552" s="113" t="s">
        <v>3</v>
      </c>
      <c r="C2552" s="113">
        <v>100</v>
      </c>
      <c r="D2552" s="113">
        <v>1020</v>
      </c>
      <c r="E2552" s="113">
        <v>1</v>
      </c>
      <c r="F2552" s="113" t="s">
        <v>6</v>
      </c>
      <c r="G2552" s="113" t="s">
        <v>4</v>
      </c>
      <c r="H2552" s="113">
        <v>0</v>
      </c>
      <c r="I2552" s="113">
        <v>0</v>
      </c>
      <c r="K2552" s="113">
        <v>577.76</v>
      </c>
      <c r="L2552" s="113">
        <v>1.3752E-2</v>
      </c>
      <c r="M2552" s="113">
        <v>577.71</v>
      </c>
      <c r="N2552" s="113">
        <v>1.3677E-2</v>
      </c>
      <c r="O2552" s="114" t="s">
        <v>1420</v>
      </c>
    </row>
    <row r="2553" spans="1:15" x14ac:dyDescent="0.25">
      <c r="A2553" s="113" t="s">
        <v>68</v>
      </c>
      <c r="B2553" s="113" t="s">
        <v>3</v>
      </c>
      <c r="C2553" s="113">
        <v>100</v>
      </c>
      <c r="D2553" s="113">
        <v>1020</v>
      </c>
      <c r="E2553" s="113">
        <v>10</v>
      </c>
      <c r="F2553" s="113" t="s">
        <v>6</v>
      </c>
      <c r="G2553" s="113" t="s">
        <v>4</v>
      </c>
      <c r="H2553" s="113">
        <v>0</v>
      </c>
      <c r="I2553" s="113">
        <v>0</v>
      </c>
      <c r="K2553" s="113">
        <v>5773.6</v>
      </c>
      <c r="L2553" s="113">
        <v>1.4178999999999999E-3</v>
      </c>
      <c r="M2553" s="113">
        <v>5773.6</v>
      </c>
      <c r="N2553" s="113">
        <v>1.3864000000000001E-3</v>
      </c>
      <c r="O2553" s="114" t="s">
        <v>1421</v>
      </c>
    </row>
    <row r="2554" spans="1:15" x14ac:dyDescent="0.25">
      <c r="A2554" s="113" t="s">
        <v>68</v>
      </c>
      <c r="B2554" s="113" t="s">
        <v>3</v>
      </c>
      <c r="C2554" s="113">
        <v>100</v>
      </c>
      <c r="D2554" s="113">
        <v>1020</v>
      </c>
      <c r="E2554" s="113">
        <v>100</v>
      </c>
      <c r="F2554" s="113" t="s">
        <v>6</v>
      </c>
      <c r="G2554" s="113" t="s">
        <v>4</v>
      </c>
      <c r="H2554" s="113">
        <v>0</v>
      </c>
      <c r="I2554" s="113">
        <v>0</v>
      </c>
      <c r="K2554" s="113">
        <v>57736</v>
      </c>
      <c r="L2554" s="113">
        <v>1.5124999999999999E-4</v>
      </c>
      <c r="M2554" s="113">
        <v>57736</v>
      </c>
      <c r="N2554" s="113">
        <v>1.3866E-4</v>
      </c>
      <c r="O2554" s="114" t="s">
        <v>1422</v>
      </c>
    </row>
    <row r="2555" spans="1:15" x14ac:dyDescent="0.25">
      <c r="A2555" s="113" t="s">
        <v>68</v>
      </c>
      <c r="B2555" s="113" t="s">
        <v>17</v>
      </c>
      <c r="C2555" s="113">
        <v>1</v>
      </c>
      <c r="D2555" s="113">
        <v>100000</v>
      </c>
      <c r="E2555" s="113">
        <v>1</v>
      </c>
      <c r="F2555" s="113" t="s">
        <v>9</v>
      </c>
      <c r="G2555" s="113" t="s">
        <v>9</v>
      </c>
      <c r="H2555" s="113">
        <v>0</v>
      </c>
      <c r="I2555" s="113">
        <v>0</v>
      </c>
      <c r="K2555" s="113">
        <v>0.87</v>
      </c>
      <c r="L2555" s="113">
        <v>1.5999999999999999E-5</v>
      </c>
      <c r="M2555" s="113">
        <v>0.81637999999999999</v>
      </c>
      <c r="N2555" s="113">
        <v>1.6364000000000001E-5</v>
      </c>
      <c r="O2555" s="114" t="s">
        <v>1393</v>
      </c>
    </row>
    <row r="2556" spans="1:15" x14ac:dyDescent="0.25">
      <c r="A2556" s="113" t="s">
        <v>68</v>
      </c>
      <c r="B2556" s="113" t="s">
        <v>17</v>
      </c>
      <c r="C2556" s="113">
        <v>1</v>
      </c>
      <c r="D2556" s="113">
        <v>100000</v>
      </c>
      <c r="E2556" s="113">
        <v>10</v>
      </c>
      <c r="F2556" s="113" t="s">
        <v>9</v>
      </c>
      <c r="G2556" s="113" t="s">
        <v>9</v>
      </c>
      <c r="H2556" s="113">
        <v>0</v>
      </c>
      <c r="I2556" s="113">
        <v>0</v>
      </c>
      <c r="K2556" s="113">
        <v>5.8379000000000003</v>
      </c>
      <c r="L2556" s="113">
        <v>4.8237000000000001E-6</v>
      </c>
      <c r="M2556" s="113">
        <v>5.8243</v>
      </c>
      <c r="N2556" s="113">
        <v>4.6825999999999999E-6</v>
      </c>
      <c r="O2556" s="114" t="s">
        <v>1394</v>
      </c>
    </row>
    <row r="2557" spans="1:15" x14ac:dyDescent="0.25">
      <c r="A2557" s="113" t="s">
        <v>68</v>
      </c>
      <c r="B2557" s="113" t="s">
        <v>17</v>
      </c>
      <c r="C2557" s="113">
        <v>1</v>
      </c>
      <c r="D2557" s="113">
        <v>100000</v>
      </c>
      <c r="E2557" s="113">
        <v>100</v>
      </c>
      <c r="F2557" s="113" t="s">
        <v>9</v>
      </c>
      <c r="G2557" s="113" t="s">
        <v>9</v>
      </c>
      <c r="H2557" s="113">
        <v>0</v>
      </c>
      <c r="I2557" s="113">
        <v>0</v>
      </c>
      <c r="K2557" s="113">
        <v>58.005000000000003</v>
      </c>
      <c r="L2557" s="113">
        <v>3.1698999999999999E-6</v>
      </c>
      <c r="M2557" s="113">
        <v>58</v>
      </c>
      <c r="N2557" s="113">
        <v>3.1064999999999998E-6</v>
      </c>
      <c r="O2557" s="114" t="s">
        <v>1395</v>
      </c>
    </row>
    <row r="2558" spans="1:15" x14ac:dyDescent="0.25">
      <c r="A2558" s="113" t="s">
        <v>68</v>
      </c>
      <c r="B2558" s="113" t="s">
        <v>17</v>
      </c>
      <c r="C2558" s="113">
        <v>1</v>
      </c>
      <c r="D2558" s="113">
        <v>100000</v>
      </c>
      <c r="E2558" s="113">
        <v>1000</v>
      </c>
      <c r="F2558" s="113" t="s">
        <v>9</v>
      </c>
      <c r="G2558" s="113" t="s">
        <v>9</v>
      </c>
      <c r="H2558" s="113">
        <v>0</v>
      </c>
      <c r="I2558" s="113">
        <v>0</v>
      </c>
      <c r="K2558" s="113">
        <v>579.98</v>
      </c>
      <c r="L2558" s="113">
        <v>2.6531000000000001E-5</v>
      </c>
      <c r="M2558" s="113">
        <v>579.97</v>
      </c>
      <c r="N2558" s="113">
        <v>2.6505000000000001E-5</v>
      </c>
      <c r="O2558" s="114" t="s">
        <v>1396</v>
      </c>
    </row>
    <row r="2559" spans="1:15" x14ac:dyDescent="0.25">
      <c r="A2559" s="113" t="s">
        <v>68</v>
      </c>
      <c r="B2559" s="113" t="s">
        <v>17</v>
      </c>
      <c r="C2559" s="113">
        <v>1</v>
      </c>
      <c r="D2559" s="113">
        <v>100000</v>
      </c>
      <c r="E2559" s="113">
        <v>10000</v>
      </c>
      <c r="F2559" s="113" t="s">
        <v>9</v>
      </c>
      <c r="G2559" s="113" t="s">
        <v>9</v>
      </c>
      <c r="H2559" s="113">
        <v>0</v>
      </c>
      <c r="I2559" s="113">
        <v>0</v>
      </c>
      <c r="K2559" s="113">
        <v>5799.7</v>
      </c>
      <c r="L2559" s="113">
        <v>2.6460999999999998E-4</v>
      </c>
      <c r="M2559" s="113">
        <v>5799.7</v>
      </c>
      <c r="N2559" s="113">
        <v>2.6459999999999998E-4</v>
      </c>
      <c r="O2559" s="114" t="s">
        <v>1397</v>
      </c>
    </row>
    <row r="2560" spans="1:15" x14ac:dyDescent="0.25">
      <c r="A2560" s="113" t="s">
        <v>68</v>
      </c>
      <c r="B2560" s="113" t="s">
        <v>72</v>
      </c>
      <c r="C2560" s="113">
        <v>1</v>
      </c>
      <c r="D2560" s="113">
        <v>100</v>
      </c>
      <c r="E2560" s="113">
        <v>1</v>
      </c>
      <c r="F2560" s="113" t="s">
        <v>6</v>
      </c>
      <c r="G2560" s="113" t="s">
        <v>6</v>
      </c>
      <c r="H2560" s="113">
        <v>0</v>
      </c>
      <c r="I2560" s="113">
        <v>0</v>
      </c>
      <c r="K2560" s="113">
        <v>1.5</v>
      </c>
      <c r="L2560" s="113">
        <v>1.0999999999999999E-2</v>
      </c>
      <c r="M2560" s="113">
        <v>1.4054</v>
      </c>
      <c r="N2560" s="113">
        <v>1.0453E-2</v>
      </c>
      <c r="O2560" s="114" t="s">
        <v>1381</v>
      </c>
    </row>
    <row r="2561" spans="1:15" x14ac:dyDescent="0.25">
      <c r="A2561" s="113" t="s">
        <v>68</v>
      </c>
      <c r="B2561" s="113" t="s">
        <v>72</v>
      </c>
      <c r="C2561" s="113">
        <v>1</v>
      </c>
      <c r="D2561" s="113">
        <v>100</v>
      </c>
      <c r="E2561" s="113">
        <v>10</v>
      </c>
      <c r="F2561" s="113" t="s">
        <v>6</v>
      </c>
      <c r="G2561" s="113" t="s">
        <v>6</v>
      </c>
      <c r="H2561" s="113">
        <v>0</v>
      </c>
      <c r="I2561" s="113">
        <v>0</v>
      </c>
      <c r="K2561" s="113">
        <v>5.9149000000000003</v>
      </c>
      <c r="L2561" s="113">
        <v>3.8256000000000002E-3</v>
      </c>
      <c r="M2561" s="113">
        <v>5.9069000000000003</v>
      </c>
      <c r="N2561" s="113">
        <v>3.6668E-3</v>
      </c>
      <c r="O2561" s="114" t="s">
        <v>1382</v>
      </c>
    </row>
    <row r="2562" spans="1:15" x14ac:dyDescent="0.25">
      <c r="A2562" s="113" t="s">
        <v>68</v>
      </c>
      <c r="B2562" s="113" t="s">
        <v>72</v>
      </c>
      <c r="C2562" s="113">
        <v>1</v>
      </c>
      <c r="D2562" s="113">
        <v>100</v>
      </c>
      <c r="E2562" s="113">
        <v>100</v>
      </c>
      <c r="F2562" s="113" t="s">
        <v>6</v>
      </c>
      <c r="G2562" s="113" t="s">
        <v>6</v>
      </c>
      <c r="H2562" s="113">
        <v>0</v>
      </c>
      <c r="I2562" s="113">
        <v>0</v>
      </c>
      <c r="K2562" s="113">
        <v>57.917999999999999</v>
      </c>
      <c r="L2562" s="113">
        <v>3.3655999999999998E-3</v>
      </c>
      <c r="M2562" s="113">
        <v>57.914999999999999</v>
      </c>
      <c r="N2562" s="113">
        <v>3.2951999999999999E-3</v>
      </c>
      <c r="O2562" s="114" t="s">
        <v>1383</v>
      </c>
    </row>
    <row r="2563" spans="1:15" x14ac:dyDescent="0.25">
      <c r="A2563" s="113" t="s">
        <v>68</v>
      </c>
      <c r="B2563" s="113" t="s">
        <v>72</v>
      </c>
      <c r="C2563" s="113">
        <v>100</v>
      </c>
      <c r="D2563" s="113">
        <v>250</v>
      </c>
      <c r="E2563" s="113">
        <v>1</v>
      </c>
      <c r="F2563" s="113" t="s">
        <v>6</v>
      </c>
      <c r="G2563" s="113" t="s">
        <v>6</v>
      </c>
      <c r="H2563" s="113">
        <v>0</v>
      </c>
      <c r="I2563" s="113">
        <v>0</v>
      </c>
      <c r="K2563" s="113">
        <v>1.4</v>
      </c>
      <c r="L2563" s="113">
        <v>1.0999999999999999E-2</v>
      </c>
      <c r="M2563" s="113">
        <v>1.3332999999999999</v>
      </c>
      <c r="N2563" s="113">
        <v>1.1162E-2</v>
      </c>
      <c r="O2563" s="114" t="s">
        <v>1384</v>
      </c>
    </row>
    <row r="2564" spans="1:15" x14ac:dyDescent="0.25">
      <c r="A2564" s="113" t="s">
        <v>68</v>
      </c>
      <c r="B2564" s="113" t="s">
        <v>72</v>
      </c>
      <c r="C2564" s="113">
        <v>100</v>
      </c>
      <c r="D2564" s="113">
        <v>250</v>
      </c>
      <c r="E2564" s="113">
        <v>10</v>
      </c>
      <c r="F2564" s="113" t="s">
        <v>6</v>
      </c>
      <c r="G2564" s="113" t="s">
        <v>6</v>
      </c>
      <c r="H2564" s="113">
        <v>0</v>
      </c>
      <c r="I2564" s="113">
        <v>0</v>
      </c>
      <c r="K2564" s="113">
        <v>5.6898999999999997</v>
      </c>
      <c r="L2564" s="113">
        <v>5.7678E-3</v>
      </c>
      <c r="M2564" s="113">
        <v>5.6798000000000002</v>
      </c>
      <c r="N2564" s="113">
        <v>5.6527000000000001E-3</v>
      </c>
      <c r="O2564" s="114" t="s">
        <v>1385</v>
      </c>
    </row>
    <row r="2565" spans="1:15" x14ac:dyDescent="0.25">
      <c r="A2565" s="113" t="s">
        <v>68</v>
      </c>
      <c r="B2565" s="113" t="s">
        <v>72</v>
      </c>
      <c r="C2565" s="113">
        <v>100</v>
      </c>
      <c r="D2565" s="113">
        <v>250</v>
      </c>
      <c r="E2565" s="113">
        <v>100</v>
      </c>
      <c r="F2565" s="113" t="s">
        <v>6</v>
      </c>
      <c r="G2565" s="113" t="s">
        <v>6</v>
      </c>
      <c r="H2565" s="113">
        <v>0</v>
      </c>
      <c r="I2565" s="113">
        <v>0</v>
      </c>
      <c r="K2565" s="113">
        <v>57.719000000000001</v>
      </c>
      <c r="L2565" s="113">
        <v>2.4580000000000001E-3</v>
      </c>
      <c r="M2565" s="113">
        <v>57.716000000000001</v>
      </c>
      <c r="N2565" s="113">
        <v>2.3936000000000001E-3</v>
      </c>
      <c r="O2565" s="114" t="s">
        <v>1386</v>
      </c>
    </row>
    <row r="2566" spans="1:15" x14ac:dyDescent="0.25">
      <c r="A2566" s="113" t="s">
        <v>68</v>
      </c>
      <c r="B2566" s="113" t="s">
        <v>72</v>
      </c>
      <c r="C2566" s="113">
        <v>250</v>
      </c>
      <c r="D2566" s="113">
        <v>500</v>
      </c>
      <c r="E2566" s="113">
        <v>1</v>
      </c>
      <c r="F2566" s="113" t="s">
        <v>6</v>
      </c>
      <c r="G2566" s="113" t="s">
        <v>6</v>
      </c>
      <c r="H2566" s="113">
        <v>0</v>
      </c>
      <c r="I2566" s="113">
        <v>0</v>
      </c>
      <c r="K2566" s="113">
        <v>1.5</v>
      </c>
      <c r="L2566" s="113">
        <v>1.0999999999999999E-2</v>
      </c>
      <c r="M2566" s="113">
        <v>1.2696000000000001</v>
      </c>
      <c r="N2566" s="113">
        <v>1.1414000000000001E-2</v>
      </c>
      <c r="O2566" s="114" t="s">
        <v>1387</v>
      </c>
    </row>
    <row r="2567" spans="1:15" x14ac:dyDescent="0.25">
      <c r="A2567" s="113" t="s">
        <v>68</v>
      </c>
      <c r="B2567" s="113" t="s">
        <v>72</v>
      </c>
      <c r="C2567" s="113">
        <v>250</v>
      </c>
      <c r="D2567" s="113">
        <v>500</v>
      </c>
      <c r="E2567" s="113">
        <v>10</v>
      </c>
      <c r="F2567" s="113" t="s">
        <v>6</v>
      </c>
      <c r="G2567" s="113" t="s">
        <v>6</v>
      </c>
      <c r="H2567" s="113">
        <v>0</v>
      </c>
      <c r="I2567" s="113">
        <v>0</v>
      </c>
      <c r="K2567" s="113">
        <v>5.1032000000000002</v>
      </c>
      <c r="L2567" s="113">
        <v>8.0275999999999993E-3</v>
      </c>
      <c r="M2567" s="113">
        <v>5.0880999999999998</v>
      </c>
      <c r="N2567" s="113">
        <v>7.9319999999999998E-3</v>
      </c>
      <c r="O2567" s="114" t="s">
        <v>1388</v>
      </c>
    </row>
    <row r="2568" spans="1:15" x14ac:dyDescent="0.25">
      <c r="A2568" s="113" t="s">
        <v>68</v>
      </c>
      <c r="B2568" s="113" t="s">
        <v>72</v>
      </c>
      <c r="C2568" s="113">
        <v>250</v>
      </c>
      <c r="D2568" s="113">
        <v>500</v>
      </c>
      <c r="E2568" s="113">
        <v>100</v>
      </c>
      <c r="F2568" s="113" t="s">
        <v>6</v>
      </c>
      <c r="G2568" s="113" t="s">
        <v>6</v>
      </c>
      <c r="H2568" s="113">
        <v>0</v>
      </c>
      <c r="I2568" s="113">
        <v>0</v>
      </c>
      <c r="K2568" s="113">
        <v>57.497</v>
      </c>
      <c r="L2568" s="113">
        <v>2.2225000000000001E-3</v>
      </c>
      <c r="M2568" s="113">
        <v>57.502000000000002</v>
      </c>
      <c r="N2568" s="113">
        <v>2.1424999999999999E-3</v>
      </c>
      <c r="O2568" s="114" t="s">
        <v>1389</v>
      </c>
    </row>
    <row r="2569" spans="1:15" x14ac:dyDescent="0.25">
      <c r="A2569" s="113" t="s">
        <v>68</v>
      </c>
      <c r="B2569" s="113" t="s">
        <v>72</v>
      </c>
      <c r="C2569" s="113">
        <v>500</v>
      </c>
      <c r="D2569" s="113">
        <v>1000</v>
      </c>
      <c r="E2569" s="113">
        <v>1</v>
      </c>
      <c r="F2569" s="113" t="s">
        <v>6</v>
      </c>
      <c r="G2569" s="113" t="s">
        <v>6</v>
      </c>
      <c r="H2569" s="113">
        <v>0</v>
      </c>
      <c r="I2569" s="113">
        <v>0</v>
      </c>
      <c r="K2569" s="113">
        <v>1.8</v>
      </c>
      <c r="L2569" s="113">
        <v>1.0999999999999999E-2</v>
      </c>
      <c r="M2569" s="113">
        <v>1.2242</v>
      </c>
      <c r="N2569" s="113">
        <v>1.1504E-2</v>
      </c>
      <c r="O2569" s="114" t="s">
        <v>1390</v>
      </c>
    </row>
    <row r="2570" spans="1:15" x14ac:dyDescent="0.25">
      <c r="A2570" s="113" t="s">
        <v>68</v>
      </c>
      <c r="B2570" s="113" t="s">
        <v>72</v>
      </c>
      <c r="C2570" s="113">
        <v>500</v>
      </c>
      <c r="D2570" s="113">
        <v>1000</v>
      </c>
      <c r="E2570" s="113">
        <v>10</v>
      </c>
      <c r="F2570" s="113" t="s">
        <v>6</v>
      </c>
      <c r="G2570" s="113" t="s">
        <v>6</v>
      </c>
      <c r="H2570" s="113">
        <v>0</v>
      </c>
      <c r="I2570" s="113">
        <v>0</v>
      </c>
      <c r="K2570" s="113">
        <v>4.1692999999999998</v>
      </c>
      <c r="L2570" s="113">
        <v>9.8749000000000007E-3</v>
      </c>
      <c r="M2570" s="113">
        <v>4.0987</v>
      </c>
      <c r="N2570" s="113">
        <v>9.8767000000000004E-3</v>
      </c>
      <c r="O2570" s="114" t="s">
        <v>1391</v>
      </c>
    </row>
    <row r="2571" spans="1:15" x14ac:dyDescent="0.25">
      <c r="A2571" s="113" t="s">
        <v>68</v>
      </c>
      <c r="B2571" s="113" t="s">
        <v>72</v>
      </c>
      <c r="C2571" s="113">
        <v>500</v>
      </c>
      <c r="D2571" s="113">
        <v>1000</v>
      </c>
      <c r="E2571" s="113">
        <v>100</v>
      </c>
      <c r="F2571" s="113" t="s">
        <v>6</v>
      </c>
      <c r="G2571" s="113" t="s">
        <v>6</v>
      </c>
      <c r="H2571" s="113">
        <v>0</v>
      </c>
      <c r="I2571" s="113">
        <v>0</v>
      </c>
      <c r="K2571" s="113">
        <v>57.066000000000003</v>
      </c>
      <c r="L2571" s="113">
        <v>2.4926000000000002E-3</v>
      </c>
      <c r="M2571" s="113">
        <v>57.040999999999997</v>
      </c>
      <c r="N2571" s="113">
        <v>2.4497E-3</v>
      </c>
      <c r="O2571" s="114" t="s">
        <v>1392</v>
      </c>
    </row>
    <row r="2572" spans="1:15" x14ac:dyDescent="0.25">
      <c r="A2572" s="113" t="s">
        <v>68</v>
      </c>
      <c r="B2572" s="113" t="s">
        <v>73</v>
      </c>
      <c r="C2572" s="113">
        <v>250000</v>
      </c>
      <c r="D2572" s="113">
        <v>100000000</v>
      </c>
      <c r="E2572" s="113">
        <v>10000</v>
      </c>
      <c r="F2572" s="113" t="s">
        <v>102</v>
      </c>
      <c r="G2572" s="113" t="s">
        <v>50</v>
      </c>
      <c r="H2572" s="113">
        <v>0</v>
      </c>
      <c r="I2572" s="113">
        <v>0</v>
      </c>
      <c r="K2572" s="113">
        <v>18</v>
      </c>
      <c r="L2572" s="113">
        <v>9.2E-6</v>
      </c>
      <c r="M2572" s="113">
        <v>13.773</v>
      </c>
      <c r="N2572" s="113">
        <v>9.2419000000000004E-6</v>
      </c>
      <c r="O2572" s="114" t="s">
        <v>1363</v>
      </c>
    </row>
    <row r="2573" spans="1:15" x14ac:dyDescent="0.25">
      <c r="A2573" s="113" t="s">
        <v>68</v>
      </c>
      <c r="B2573" s="113" t="s">
        <v>73</v>
      </c>
      <c r="C2573" s="113">
        <v>250000</v>
      </c>
      <c r="D2573" s="113">
        <v>100000000</v>
      </c>
      <c r="E2573" s="113">
        <v>100000</v>
      </c>
      <c r="F2573" s="113" t="s">
        <v>102</v>
      </c>
      <c r="G2573" s="113" t="s">
        <v>50</v>
      </c>
      <c r="H2573" s="113">
        <v>0</v>
      </c>
      <c r="I2573" s="113">
        <v>0</v>
      </c>
      <c r="K2573" s="113">
        <v>57.523000000000003</v>
      </c>
      <c r="L2573" s="113">
        <v>8.8223000000000002E-6</v>
      </c>
      <c r="M2573" s="113">
        <v>57.453000000000003</v>
      </c>
      <c r="N2573" s="113">
        <v>8.8227999999999996E-6</v>
      </c>
      <c r="O2573" s="114" t="s">
        <v>1364</v>
      </c>
    </row>
    <row r="2574" spans="1:15" x14ac:dyDescent="0.25">
      <c r="A2574" s="113" t="s">
        <v>68</v>
      </c>
      <c r="B2574" s="113" t="s">
        <v>73</v>
      </c>
      <c r="C2574" s="113">
        <v>250000</v>
      </c>
      <c r="D2574" s="113">
        <v>100000000</v>
      </c>
      <c r="E2574" s="113">
        <v>1000000</v>
      </c>
      <c r="F2574" s="113" t="s">
        <v>102</v>
      </c>
      <c r="G2574" s="113" t="s">
        <v>50</v>
      </c>
      <c r="H2574" s="113">
        <v>0</v>
      </c>
      <c r="I2574" s="113">
        <v>0</v>
      </c>
      <c r="K2574" s="113">
        <v>576.26</v>
      </c>
      <c r="L2574" s="113">
        <v>5.2658999999999998E-6</v>
      </c>
      <c r="M2574" s="113">
        <v>576.24</v>
      </c>
      <c r="N2574" s="113">
        <v>5.2654999999999998E-6</v>
      </c>
      <c r="O2574" s="114" t="s">
        <v>1365</v>
      </c>
    </row>
    <row r="2575" spans="1:15" x14ac:dyDescent="0.25">
      <c r="A2575" s="113" t="s">
        <v>68</v>
      </c>
      <c r="B2575" s="113" t="s">
        <v>73</v>
      </c>
      <c r="C2575" s="113">
        <v>250000</v>
      </c>
      <c r="D2575" s="113">
        <v>100000000</v>
      </c>
      <c r="E2575" s="113">
        <v>10000000</v>
      </c>
      <c r="F2575" s="113" t="s">
        <v>102</v>
      </c>
      <c r="G2575" s="113" t="s">
        <v>50</v>
      </c>
      <c r="H2575" s="113">
        <v>0</v>
      </c>
      <c r="I2575" s="113">
        <v>0</v>
      </c>
      <c r="K2575" s="113">
        <v>5775</v>
      </c>
      <c r="L2575" s="113">
        <v>1.0208E-6</v>
      </c>
      <c r="M2575" s="113">
        <v>5775</v>
      </c>
      <c r="N2575" s="113">
        <v>1.0204E-6</v>
      </c>
      <c r="O2575" s="114" t="s">
        <v>1366</v>
      </c>
    </row>
    <row r="2576" spans="1:15" x14ac:dyDescent="0.25">
      <c r="A2576" s="113" t="s">
        <v>68</v>
      </c>
      <c r="B2576" s="113" t="s">
        <v>73</v>
      </c>
      <c r="C2576" s="113">
        <v>100000000</v>
      </c>
      <c r="D2576" s="113">
        <v>250000000</v>
      </c>
      <c r="E2576" s="113">
        <v>10000</v>
      </c>
      <c r="F2576" s="113" t="s">
        <v>102</v>
      </c>
      <c r="G2576" s="113" t="s">
        <v>50</v>
      </c>
      <c r="H2576" s="113">
        <v>0</v>
      </c>
      <c r="I2576" s="113">
        <v>0</v>
      </c>
      <c r="K2576" s="113">
        <v>14</v>
      </c>
      <c r="L2576" s="113">
        <v>1.1E-5</v>
      </c>
      <c r="M2576" s="113">
        <v>13.510999999999999</v>
      </c>
      <c r="N2576" s="113">
        <v>1.0788000000000001E-5</v>
      </c>
      <c r="O2576" s="114" t="s">
        <v>1367</v>
      </c>
    </row>
    <row r="2577" spans="1:15" x14ac:dyDescent="0.25">
      <c r="A2577" s="113" t="s">
        <v>68</v>
      </c>
      <c r="B2577" s="113" t="s">
        <v>73</v>
      </c>
      <c r="C2577" s="113">
        <v>100000000</v>
      </c>
      <c r="D2577" s="113">
        <v>250000000</v>
      </c>
      <c r="E2577" s="113">
        <v>100000</v>
      </c>
      <c r="F2577" s="113" t="s">
        <v>102</v>
      </c>
      <c r="G2577" s="113" t="s">
        <v>50</v>
      </c>
      <c r="H2577" s="113">
        <v>0</v>
      </c>
      <c r="I2577" s="113">
        <v>0</v>
      </c>
      <c r="K2577" s="113">
        <v>57.137999999999998</v>
      </c>
      <c r="L2577" s="113">
        <v>1.0616E-5</v>
      </c>
      <c r="M2577" s="113">
        <v>57.125</v>
      </c>
      <c r="N2577" s="113">
        <v>1.0616E-5</v>
      </c>
      <c r="O2577" s="114" t="s">
        <v>1368</v>
      </c>
    </row>
    <row r="2578" spans="1:15" x14ac:dyDescent="0.25">
      <c r="A2578" s="113" t="s">
        <v>68</v>
      </c>
      <c r="B2578" s="113" t="s">
        <v>73</v>
      </c>
      <c r="C2578" s="113">
        <v>100000000</v>
      </c>
      <c r="D2578" s="113">
        <v>250000000</v>
      </c>
      <c r="E2578" s="113">
        <v>1000000</v>
      </c>
      <c r="F2578" s="113" t="s">
        <v>102</v>
      </c>
      <c r="G2578" s="113" t="s">
        <v>50</v>
      </c>
      <c r="H2578" s="113">
        <v>0</v>
      </c>
      <c r="I2578" s="113">
        <v>0</v>
      </c>
      <c r="K2578" s="113">
        <v>575.4</v>
      </c>
      <c r="L2578" s="113">
        <v>8.7861000000000005E-6</v>
      </c>
      <c r="M2578" s="113">
        <v>575.35</v>
      </c>
      <c r="N2578" s="113">
        <v>8.7861000000000005E-6</v>
      </c>
      <c r="O2578" s="114" t="s">
        <v>1369</v>
      </c>
    </row>
    <row r="2579" spans="1:15" x14ac:dyDescent="0.25">
      <c r="A2579" s="113" t="s">
        <v>68</v>
      </c>
      <c r="B2579" s="113" t="s">
        <v>73</v>
      </c>
      <c r="C2579" s="113">
        <v>100000000</v>
      </c>
      <c r="D2579" s="113">
        <v>250000000</v>
      </c>
      <c r="E2579" s="113">
        <v>10000000</v>
      </c>
      <c r="F2579" s="113" t="s">
        <v>102</v>
      </c>
      <c r="G2579" s="113" t="s">
        <v>50</v>
      </c>
      <c r="H2579" s="113">
        <v>0</v>
      </c>
      <c r="I2579" s="113">
        <v>0</v>
      </c>
      <c r="K2579" s="113">
        <v>5773</v>
      </c>
      <c r="L2579" s="113">
        <v>2.5170000000000002E-6</v>
      </c>
      <c r="M2579" s="113">
        <v>5772.9</v>
      </c>
      <c r="N2579" s="113">
        <v>2.5167E-6</v>
      </c>
      <c r="O2579" s="114" t="s">
        <v>1370</v>
      </c>
    </row>
    <row r="2580" spans="1:15" x14ac:dyDescent="0.25">
      <c r="A2580" s="113" t="s">
        <v>68</v>
      </c>
      <c r="B2580" s="113" t="s">
        <v>73</v>
      </c>
      <c r="C2580" s="113">
        <v>100000000</v>
      </c>
      <c r="D2580" s="113">
        <v>250000000</v>
      </c>
      <c r="E2580" s="113">
        <v>100000000</v>
      </c>
      <c r="F2580" s="113" t="s">
        <v>102</v>
      </c>
      <c r="G2580" s="113" t="s">
        <v>50</v>
      </c>
      <c r="H2580" s="113">
        <v>0</v>
      </c>
      <c r="I2580" s="113">
        <v>0</v>
      </c>
      <c r="K2580" s="113">
        <v>57896</v>
      </c>
      <c r="L2580" s="113">
        <v>1.3129E-6</v>
      </c>
      <c r="M2580" s="113">
        <v>57896</v>
      </c>
      <c r="N2580" s="113">
        <v>1.3127999999999999E-6</v>
      </c>
      <c r="O2580" s="114" t="s">
        <v>1371</v>
      </c>
    </row>
    <row r="2581" spans="1:15" x14ac:dyDescent="0.25">
      <c r="A2581" s="113" t="s">
        <v>68</v>
      </c>
      <c r="B2581" s="113" t="s">
        <v>73</v>
      </c>
      <c r="C2581" s="113">
        <v>250000000</v>
      </c>
      <c r="D2581" s="113">
        <v>500000000</v>
      </c>
      <c r="E2581" s="113">
        <v>10000</v>
      </c>
      <c r="F2581" s="113" t="s">
        <v>102</v>
      </c>
      <c r="G2581" s="113" t="s">
        <v>50</v>
      </c>
      <c r="H2581" s="113">
        <v>0</v>
      </c>
      <c r="I2581" s="113">
        <v>0</v>
      </c>
      <c r="K2581" s="113">
        <v>18</v>
      </c>
      <c r="L2581" s="113">
        <v>1.1E-5</v>
      </c>
      <c r="M2581" s="113">
        <v>12.763999999999999</v>
      </c>
      <c r="N2581" s="113">
        <v>1.1009000000000001E-5</v>
      </c>
      <c r="O2581" s="114" t="s">
        <v>1372</v>
      </c>
    </row>
    <row r="2582" spans="1:15" x14ac:dyDescent="0.25">
      <c r="A2582" s="113" t="s">
        <v>68</v>
      </c>
      <c r="B2582" s="113" t="s">
        <v>73</v>
      </c>
      <c r="C2582" s="113">
        <v>250000000</v>
      </c>
      <c r="D2582" s="113">
        <v>500000000</v>
      </c>
      <c r="E2582" s="113">
        <v>100000</v>
      </c>
      <c r="F2582" s="113" t="s">
        <v>102</v>
      </c>
      <c r="G2582" s="113" t="s">
        <v>50</v>
      </c>
      <c r="H2582" s="113">
        <v>0</v>
      </c>
      <c r="I2582" s="113">
        <v>0</v>
      </c>
      <c r="K2582" s="113">
        <v>55.079000000000001</v>
      </c>
      <c r="L2582" s="113">
        <v>1.0925E-5</v>
      </c>
      <c r="M2582" s="113">
        <v>54.77</v>
      </c>
      <c r="N2582" s="113">
        <v>1.0926E-5</v>
      </c>
      <c r="O2582" s="114" t="s">
        <v>1373</v>
      </c>
    </row>
    <row r="2583" spans="1:15" x14ac:dyDescent="0.25">
      <c r="A2583" s="113" t="s">
        <v>68</v>
      </c>
      <c r="B2583" s="113" t="s">
        <v>73</v>
      </c>
      <c r="C2583" s="113">
        <v>250000000</v>
      </c>
      <c r="D2583" s="113">
        <v>500000000</v>
      </c>
      <c r="E2583" s="113">
        <v>1000000</v>
      </c>
      <c r="F2583" s="113" t="s">
        <v>102</v>
      </c>
      <c r="G2583" s="113" t="s">
        <v>50</v>
      </c>
      <c r="H2583" s="113">
        <v>0</v>
      </c>
      <c r="I2583" s="113">
        <v>0</v>
      </c>
      <c r="K2583" s="113">
        <v>572.66999999999996</v>
      </c>
      <c r="L2583" s="113">
        <v>9.9500999999999998E-6</v>
      </c>
      <c r="M2583" s="113">
        <v>572.64</v>
      </c>
      <c r="N2583" s="113">
        <v>9.9500999999999998E-6</v>
      </c>
      <c r="O2583" s="114" t="s">
        <v>1374</v>
      </c>
    </row>
    <row r="2584" spans="1:15" x14ac:dyDescent="0.25">
      <c r="A2584" s="113" t="s">
        <v>68</v>
      </c>
      <c r="B2584" s="113" t="s">
        <v>73</v>
      </c>
      <c r="C2584" s="113">
        <v>250000000</v>
      </c>
      <c r="D2584" s="113">
        <v>500000000</v>
      </c>
      <c r="E2584" s="113">
        <v>10000000</v>
      </c>
      <c r="F2584" s="113" t="s">
        <v>102</v>
      </c>
      <c r="G2584" s="113" t="s">
        <v>50</v>
      </c>
      <c r="H2584" s="113">
        <v>0</v>
      </c>
      <c r="I2584" s="113">
        <v>0</v>
      </c>
      <c r="K2584" s="113">
        <v>5771.4</v>
      </c>
      <c r="L2584" s="113">
        <v>4.4676000000000002E-6</v>
      </c>
      <c r="M2584" s="113">
        <v>5771.3</v>
      </c>
      <c r="N2584" s="113">
        <v>4.4673999999999998E-6</v>
      </c>
      <c r="O2584" s="114" t="s">
        <v>1375</v>
      </c>
    </row>
    <row r="2585" spans="1:15" x14ac:dyDescent="0.25">
      <c r="A2585" s="113" t="s">
        <v>68</v>
      </c>
      <c r="B2585" s="113" t="s">
        <v>73</v>
      </c>
      <c r="C2585" s="113">
        <v>500000000</v>
      </c>
      <c r="D2585" s="113">
        <v>1000000000</v>
      </c>
      <c r="E2585" s="113">
        <v>10000</v>
      </c>
      <c r="F2585" s="113" t="s">
        <v>102</v>
      </c>
      <c r="G2585" s="113" t="s">
        <v>50</v>
      </c>
      <c r="H2585" s="113">
        <v>0</v>
      </c>
      <c r="I2585" s="113">
        <v>0</v>
      </c>
      <c r="K2585" s="113">
        <v>25</v>
      </c>
      <c r="L2585" s="113">
        <v>1.1E-5</v>
      </c>
      <c r="M2585" s="113">
        <v>-76.510000000000005</v>
      </c>
      <c r="N2585" s="113">
        <v>1.1211E-5</v>
      </c>
      <c r="O2585" s="114" t="s">
        <v>1376</v>
      </c>
    </row>
    <row r="2586" spans="1:15" x14ac:dyDescent="0.25">
      <c r="A2586" s="113" t="s">
        <v>68</v>
      </c>
      <c r="B2586" s="113" t="s">
        <v>73</v>
      </c>
      <c r="C2586" s="113">
        <v>500000000</v>
      </c>
      <c r="D2586" s="113">
        <v>1000000000</v>
      </c>
      <c r="E2586" s="113">
        <v>100000</v>
      </c>
      <c r="F2586" s="113" t="s">
        <v>102</v>
      </c>
      <c r="G2586" s="113" t="s">
        <v>50</v>
      </c>
      <c r="H2586" s="113">
        <v>0</v>
      </c>
      <c r="I2586" s="113">
        <v>0</v>
      </c>
      <c r="K2586" s="113">
        <v>25</v>
      </c>
      <c r="L2586" s="113">
        <v>1.1209000000000001E-5</v>
      </c>
      <c r="M2586" s="113">
        <v>-75.391000000000005</v>
      </c>
      <c r="N2586" s="113">
        <v>1.1209000000000001E-5</v>
      </c>
      <c r="O2586" s="114" t="s">
        <v>1377</v>
      </c>
    </row>
    <row r="2587" spans="1:15" x14ac:dyDescent="0.25">
      <c r="A2587" s="113" t="s">
        <v>68</v>
      </c>
      <c r="B2587" s="113" t="s">
        <v>73</v>
      </c>
      <c r="C2587" s="113">
        <v>500000000</v>
      </c>
      <c r="D2587" s="113">
        <v>1000000000</v>
      </c>
      <c r="E2587" s="113">
        <v>1000000</v>
      </c>
      <c r="F2587" s="113" t="s">
        <v>102</v>
      </c>
      <c r="G2587" s="113" t="s">
        <v>50</v>
      </c>
      <c r="H2587" s="113">
        <v>0</v>
      </c>
      <c r="I2587" s="113">
        <v>0</v>
      </c>
      <c r="K2587" s="113">
        <v>25</v>
      </c>
      <c r="L2587" s="113">
        <v>1.1045E-5</v>
      </c>
      <c r="M2587" s="113">
        <v>24.396000000000001</v>
      </c>
      <c r="N2587" s="113">
        <v>1.1045E-5</v>
      </c>
      <c r="O2587" s="114" t="s">
        <v>1378</v>
      </c>
    </row>
    <row r="2588" spans="1:15" x14ac:dyDescent="0.25">
      <c r="A2588" s="113" t="s">
        <v>68</v>
      </c>
      <c r="B2588" s="113" t="s">
        <v>73</v>
      </c>
      <c r="C2588" s="113">
        <v>500000000</v>
      </c>
      <c r="D2588" s="113">
        <v>1000000000</v>
      </c>
      <c r="E2588" s="113">
        <v>10000000</v>
      </c>
      <c r="F2588" s="113" t="s">
        <v>102</v>
      </c>
      <c r="G2588" s="113" t="s">
        <v>50</v>
      </c>
      <c r="H2588" s="113">
        <v>0</v>
      </c>
      <c r="I2588" s="113">
        <v>0</v>
      </c>
      <c r="K2588" s="113">
        <v>5114.5</v>
      </c>
      <c r="L2588" s="113">
        <v>7.3429999999999998E-6</v>
      </c>
      <c r="M2588" s="113">
        <v>5114.5</v>
      </c>
      <c r="N2588" s="113">
        <v>7.3428999999999996E-6</v>
      </c>
      <c r="O2588" s="114" t="s">
        <v>1379</v>
      </c>
    </row>
    <row r="2589" spans="1:15" x14ac:dyDescent="0.25">
      <c r="A2589" s="113" t="s">
        <v>68</v>
      </c>
      <c r="B2589" s="113" t="s">
        <v>73</v>
      </c>
      <c r="C2589" s="113">
        <v>500000000</v>
      </c>
      <c r="D2589" s="113">
        <v>1000000000</v>
      </c>
      <c r="E2589" s="113">
        <v>100000000</v>
      </c>
      <c r="F2589" s="113" t="s">
        <v>102</v>
      </c>
      <c r="G2589" s="113" t="s">
        <v>50</v>
      </c>
      <c r="H2589" s="113">
        <v>0</v>
      </c>
      <c r="I2589" s="113">
        <v>0</v>
      </c>
      <c r="K2589" s="113">
        <v>57638</v>
      </c>
      <c r="L2589" s="113">
        <v>1.4394999999999999E-6</v>
      </c>
      <c r="M2589" s="113">
        <v>57638</v>
      </c>
      <c r="N2589" s="113">
        <v>1.4394999999999999E-6</v>
      </c>
      <c r="O2589" s="114" t="s">
        <v>1380</v>
      </c>
    </row>
    <row r="2590" spans="1:15" x14ac:dyDescent="0.25">
      <c r="A2590" s="113" t="s">
        <v>68</v>
      </c>
      <c r="B2590" s="113" t="s">
        <v>74</v>
      </c>
      <c r="C2590" s="113">
        <v>-346</v>
      </c>
      <c r="D2590" s="113">
        <v>-148</v>
      </c>
      <c r="E2590" s="113">
        <v>0.1</v>
      </c>
      <c r="F2590" s="113" t="s">
        <v>26</v>
      </c>
      <c r="G2590" s="113" t="s">
        <v>26</v>
      </c>
      <c r="H2590" s="113">
        <v>0</v>
      </c>
      <c r="I2590" s="113">
        <v>0</v>
      </c>
      <c r="K2590" s="113">
        <v>2.416772044</v>
      </c>
      <c r="L2590" s="113">
        <v>0</v>
      </c>
      <c r="M2590" s="113">
        <v>2.4144755120000001</v>
      </c>
      <c r="N2590" s="113">
        <v>0</v>
      </c>
      <c r="O2590" s="114" t="s">
        <v>1347</v>
      </c>
    </row>
    <row r="2591" spans="1:15" x14ac:dyDescent="0.25">
      <c r="A2591" s="113" t="s">
        <v>68</v>
      </c>
      <c r="B2591" s="113" t="s">
        <v>74</v>
      </c>
      <c r="C2591" s="113">
        <v>-346</v>
      </c>
      <c r="D2591" s="113">
        <v>-148</v>
      </c>
      <c r="E2591" s="113">
        <v>1</v>
      </c>
      <c r="F2591" s="113" t="s">
        <v>26</v>
      </c>
      <c r="G2591" s="113" t="s">
        <v>26</v>
      </c>
      <c r="H2591" s="113">
        <v>0</v>
      </c>
      <c r="I2591" s="113">
        <v>0</v>
      </c>
      <c r="K2591" s="113">
        <v>2.4907975520000001</v>
      </c>
      <c r="L2591" s="113">
        <v>0</v>
      </c>
      <c r="M2591" s="113">
        <v>2.4818726799999999</v>
      </c>
      <c r="N2591" s="113">
        <v>0</v>
      </c>
      <c r="O2591" s="114" t="s">
        <v>1348</v>
      </c>
    </row>
    <row r="2592" spans="1:15" x14ac:dyDescent="0.25">
      <c r="A2592" s="113" t="s">
        <v>68</v>
      </c>
      <c r="B2592" s="113" t="s">
        <v>74</v>
      </c>
      <c r="C2592" s="113">
        <v>-210</v>
      </c>
      <c r="D2592" s="113">
        <v>-100</v>
      </c>
      <c r="E2592" s="113">
        <v>0.1</v>
      </c>
      <c r="F2592" s="113" t="s">
        <v>23</v>
      </c>
      <c r="G2592" s="113" t="s">
        <v>23</v>
      </c>
      <c r="H2592" s="113">
        <v>0</v>
      </c>
      <c r="I2592" s="113">
        <v>0</v>
      </c>
      <c r="K2592" s="113">
        <v>1.3460795590000001</v>
      </c>
      <c r="L2592" s="113">
        <v>0</v>
      </c>
      <c r="M2592" s="113">
        <v>1.344806961</v>
      </c>
      <c r="N2592" s="113">
        <v>0</v>
      </c>
      <c r="O2592" s="114" t="s">
        <v>1349</v>
      </c>
    </row>
    <row r="2593" spans="1:15" x14ac:dyDescent="0.25">
      <c r="A2593" s="113" t="s">
        <v>68</v>
      </c>
      <c r="B2593" s="113" t="s">
        <v>74</v>
      </c>
      <c r="C2593" s="113">
        <v>-210</v>
      </c>
      <c r="D2593" s="113">
        <v>-100</v>
      </c>
      <c r="E2593" s="113">
        <v>1</v>
      </c>
      <c r="F2593" s="113" t="s">
        <v>23</v>
      </c>
      <c r="G2593" s="113" t="s">
        <v>23</v>
      </c>
      <c r="H2593" s="113">
        <v>0</v>
      </c>
      <c r="I2593" s="113">
        <v>0</v>
      </c>
      <c r="K2593" s="113">
        <v>1.4670390010000001</v>
      </c>
      <c r="L2593" s="113">
        <v>0</v>
      </c>
      <c r="M2593" s="113">
        <v>1.462363074</v>
      </c>
      <c r="N2593" s="113">
        <v>0</v>
      </c>
      <c r="O2593" s="114" t="s">
        <v>1350</v>
      </c>
    </row>
    <row r="2594" spans="1:15" x14ac:dyDescent="0.25">
      <c r="A2594" s="113" t="s">
        <v>68</v>
      </c>
      <c r="B2594" s="113" t="s">
        <v>74</v>
      </c>
      <c r="C2594" s="113">
        <v>-148</v>
      </c>
      <c r="D2594" s="113">
        <v>302</v>
      </c>
      <c r="E2594" s="113">
        <v>0.1</v>
      </c>
      <c r="F2594" s="113" t="s">
        <v>26</v>
      </c>
      <c r="G2594" s="113" t="s">
        <v>26</v>
      </c>
      <c r="H2594" s="113">
        <v>0</v>
      </c>
      <c r="I2594" s="113">
        <v>0</v>
      </c>
      <c r="K2594" s="113">
        <v>1.9165327860000001</v>
      </c>
      <c r="L2594" s="113">
        <v>0</v>
      </c>
      <c r="M2594" s="113">
        <v>1.9144511769999999</v>
      </c>
      <c r="N2594" s="113">
        <v>0</v>
      </c>
      <c r="O2594" s="114" t="s">
        <v>1351</v>
      </c>
    </row>
    <row r="2595" spans="1:15" x14ac:dyDescent="0.25">
      <c r="A2595" s="113" t="s">
        <v>68</v>
      </c>
      <c r="B2595" s="113" t="s">
        <v>74</v>
      </c>
      <c r="C2595" s="113">
        <v>-148</v>
      </c>
      <c r="D2595" s="113">
        <v>302</v>
      </c>
      <c r="E2595" s="113">
        <v>1</v>
      </c>
      <c r="F2595" s="113" t="s">
        <v>26</v>
      </c>
      <c r="G2595" s="113" t="s">
        <v>26</v>
      </c>
      <c r="H2595" s="113">
        <v>0</v>
      </c>
      <c r="I2595" s="113">
        <v>0</v>
      </c>
      <c r="K2595" s="113">
        <v>2.0067440680000002</v>
      </c>
      <c r="L2595" s="113">
        <v>0</v>
      </c>
      <c r="M2595" s="113">
        <v>1.9987804549999999</v>
      </c>
      <c r="N2595" s="113">
        <v>0</v>
      </c>
      <c r="O2595" s="114" t="s">
        <v>1352</v>
      </c>
    </row>
    <row r="2596" spans="1:15" x14ac:dyDescent="0.25">
      <c r="A2596" s="113" t="s">
        <v>68</v>
      </c>
      <c r="B2596" s="113" t="s">
        <v>74</v>
      </c>
      <c r="C2596" s="113">
        <v>-100</v>
      </c>
      <c r="D2596" s="113">
        <v>150</v>
      </c>
      <c r="E2596" s="113">
        <v>0.1</v>
      </c>
      <c r="F2596" s="113" t="s">
        <v>23</v>
      </c>
      <c r="G2596" s="113" t="s">
        <v>23</v>
      </c>
      <c r="H2596" s="113">
        <v>0</v>
      </c>
      <c r="I2596" s="113">
        <v>0</v>
      </c>
      <c r="K2596" s="113">
        <v>1.06646255</v>
      </c>
      <c r="L2596" s="113">
        <v>0</v>
      </c>
      <c r="M2596" s="113">
        <v>1.0653079700000001</v>
      </c>
      <c r="N2596" s="113">
        <v>0</v>
      </c>
      <c r="O2596" s="114" t="s">
        <v>1353</v>
      </c>
    </row>
    <row r="2597" spans="1:15" x14ac:dyDescent="0.25">
      <c r="A2597" s="113" t="s">
        <v>68</v>
      </c>
      <c r="B2597" s="113" t="s">
        <v>74</v>
      </c>
      <c r="C2597" s="113">
        <v>-100</v>
      </c>
      <c r="D2597" s="113">
        <v>150</v>
      </c>
      <c r="E2597" s="113">
        <v>1</v>
      </c>
      <c r="F2597" s="113" t="s">
        <v>23</v>
      </c>
      <c r="G2597" s="113" t="s">
        <v>23</v>
      </c>
      <c r="H2597" s="113">
        <v>0</v>
      </c>
      <c r="I2597" s="113">
        <v>0</v>
      </c>
      <c r="K2597" s="113">
        <v>1.2143830819999999</v>
      </c>
      <c r="L2597" s="113">
        <v>0</v>
      </c>
      <c r="M2597" s="113">
        <v>1.210322713</v>
      </c>
      <c r="N2597" s="113">
        <v>0</v>
      </c>
      <c r="O2597" s="114" t="s">
        <v>1354</v>
      </c>
    </row>
    <row r="2598" spans="1:15" x14ac:dyDescent="0.25">
      <c r="A2598" s="113" t="s">
        <v>68</v>
      </c>
      <c r="B2598" s="113" t="s">
        <v>74</v>
      </c>
      <c r="C2598" s="113">
        <v>150</v>
      </c>
      <c r="D2598" s="113">
        <v>760</v>
      </c>
      <c r="E2598" s="113">
        <v>0.1</v>
      </c>
      <c r="F2598" s="113" t="s">
        <v>23</v>
      </c>
      <c r="G2598" s="113" t="s">
        <v>23</v>
      </c>
      <c r="H2598" s="113">
        <v>0</v>
      </c>
      <c r="I2598" s="113">
        <v>0</v>
      </c>
      <c r="K2598" s="113">
        <v>1.134193475</v>
      </c>
      <c r="L2598" s="113">
        <v>0</v>
      </c>
      <c r="M2598" s="113">
        <v>1.1338867909999999</v>
      </c>
      <c r="N2598" s="113">
        <v>0</v>
      </c>
      <c r="O2598" s="114" t="s">
        <v>1355</v>
      </c>
    </row>
    <row r="2599" spans="1:15" x14ac:dyDescent="0.25">
      <c r="A2599" s="113" t="s">
        <v>68</v>
      </c>
      <c r="B2599" s="113" t="s">
        <v>74</v>
      </c>
      <c r="C2599" s="113">
        <v>150</v>
      </c>
      <c r="D2599" s="113">
        <v>760</v>
      </c>
      <c r="E2599" s="113">
        <v>1</v>
      </c>
      <c r="F2599" s="113" t="s">
        <v>23</v>
      </c>
      <c r="G2599" s="113" t="s">
        <v>23</v>
      </c>
      <c r="H2599" s="113">
        <v>0</v>
      </c>
      <c r="I2599" s="113">
        <v>0</v>
      </c>
      <c r="K2599" s="113">
        <v>1.27219558</v>
      </c>
      <c r="L2599" s="113">
        <v>0</v>
      </c>
      <c r="M2599" s="113">
        <v>1.2711015910000001</v>
      </c>
      <c r="N2599" s="113">
        <v>0</v>
      </c>
      <c r="O2599" s="114" t="s">
        <v>1356</v>
      </c>
    </row>
    <row r="2600" spans="1:15" x14ac:dyDescent="0.25">
      <c r="A2600" s="113" t="s">
        <v>68</v>
      </c>
      <c r="B2600" s="113" t="s">
        <v>74</v>
      </c>
      <c r="C2600" s="113">
        <v>302</v>
      </c>
      <c r="D2600" s="113">
        <v>1400</v>
      </c>
      <c r="E2600" s="113">
        <v>0.1</v>
      </c>
      <c r="F2600" s="113" t="s">
        <v>26</v>
      </c>
      <c r="G2600" s="113" t="s">
        <v>26</v>
      </c>
      <c r="H2600" s="113">
        <v>0</v>
      </c>
      <c r="I2600" s="113">
        <v>0</v>
      </c>
      <c r="K2600" s="113">
        <v>2.039283008</v>
      </c>
      <c r="L2600" s="113">
        <v>0</v>
      </c>
      <c r="M2600" s="113">
        <v>2.038730363</v>
      </c>
      <c r="N2600" s="113">
        <v>0</v>
      </c>
      <c r="O2600" s="114" t="s">
        <v>1357</v>
      </c>
    </row>
    <row r="2601" spans="1:15" x14ac:dyDescent="0.25">
      <c r="A2601" s="113" t="s">
        <v>68</v>
      </c>
      <c r="B2601" s="113" t="s">
        <v>74</v>
      </c>
      <c r="C2601" s="113">
        <v>302</v>
      </c>
      <c r="D2601" s="113">
        <v>1400</v>
      </c>
      <c r="E2601" s="113">
        <v>1</v>
      </c>
      <c r="F2601" s="113" t="s">
        <v>26</v>
      </c>
      <c r="G2601" s="113" t="s">
        <v>26</v>
      </c>
      <c r="H2601" s="113">
        <v>0</v>
      </c>
      <c r="I2601" s="113">
        <v>0</v>
      </c>
      <c r="K2601" s="113">
        <v>2.1202443889999998</v>
      </c>
      <c r="L2601" s="113">
        <v>0</v>
      </c>
      <c r="M2601" s="113">
        <v>2.1181174409999999</v>
      </c>
      <c r="N2601" s="113">
        <v>0</v>
      </c>
      <c r="O2601" s="114" t="s">
        <v>1358</v>
      </c>
    </row>
    <row r="2602" spans="1:15" x14ac:dyDescent="0.25">
      <c r="A2602" s="113" t="s">
        <v>68</v>
      </c>
      <c r="B2602" s="113" t="s">
        <v>74</v>
      </c>
      <c r="C2602" s="113">
        <v>760</v>
      </c>
      <c r="D2602" s="113">
        <v>1200</v>
      </c>
      <c r="E2602" s="113">
        <v>0.1</v>
      </c>
      <c r="F2602" s="113" t="s">
        <v>23</v>
      </c>
      <c r="G2602" s="113" t="s">
        <v>23</v>
      </c>
      <c r="H2602" s="113">
        <v>0</v>
      </c>
      <c r="I2602" s="113">
        <v>0</v>
      </c>
      <c r="K2602" s="113">
        <v>1.249497729</v>
      </c>
      <c r="L2602" s="113">
        <v>0</v>
      </c>
      <c r="M2602" s="113">
        <v>1.2492193519999999</v>
      </c>
      <c r="N2602" s="113">
        <v>0</v>
      </c>
      <c r="O2602" s="114" t="s">
        <v>1359</v>
      </c>
    </row>
    <row r="2603" spans="1:15" x14ac:dyDescent="0.25">
      <c r="A2603" s="113" t="s">
        <v>68</v>
      </c>
      <c r="B2603" s="113" t="s">
        <v>74</v>
      </c>
      <c r="C2603" s="113">
        <v>760</v>
      </c>
      <c r="D2603" s="113">
        <v>1200</v>
      </c>
      <c r="E2603" s="113">
        <v>1</v>
      </c>
      <c r="F2603" s="113" t="s">
        <v>23</v>
      </c>
      <c r="G2603" s="113" t="s">
        <v>23</v>
      </c>
      <c r="H2603" s="113">
        <v>0</v>
      </c>
      <c r="I2603" s="113">
        <v>0</v>
      </c>
      <c r="K2603" s="113">
        <v>1.375983768</v>
      </c>
      <c r="L2603" s="113">
        <v>0</v>
      </c>
      <c r="M2603" s="113">
        <v>1.3749723599999999</v>
      </c>
      <c r="N2603" s="113">
        <v>0</v>
      </c>
      <c r="O2603" s="114" t="s">
        <v>1360</v>
      </c>
    </row>
    <row r="2604" spans="1:15" x14ac:dyDescent="0.25">
      <c r="A2604" s="113" t="s">
        <v>68</v>
      </c>
      <c r="B2604" s="113" t="s">
        <v>74</v>
      </c>
      <c r="C2604" s="113">
        <v>1400</v>
      </c>
      <c r="D2604" s="113">
        <v>2192</v>
      </c>
      <c r="E2604" s="113">
        <v>0.1</v>
      </c>
      <c r="F2604" s="113" t="s">
        <v>26</v>
      </c>
      <c r="G2604" s="113" t="s">
        <v>26</v>
      </c>
      <c r="H2604" s="113">
        <v>0</v>
      </c>
      <c r="I2604" s="113">
        <v>0</v>
      </c>
      <c r="K2604" s="113">
        <v>2.2469486550000002</v>
      </c>
      <c r="L2604" s="113">
        <v>0</v>
      </c>
      <c r="M2604" s="113">
        <v>2.246447098</v>
      </c>
      <c r="N2604" s="113">
        <v>0</v>
      </c>
      <c r="O2604" s="114" t="s">
        <v>1361</v>
      </c>
    </row>
    <row r="2605" spans="1:15" x14ac:dyDescent="0.25">
      <c r="A2605" s="113" t="s">
        <v>68</v>
      </c>
      <c r="B2605" s="113" t="s">
        <v>74</v>
      </c>
      <c r="C2605" s="113">
        <v>1400</v>
      </c>
      <c r="D2605" s="113">
        <v>2192</v>
      </c>
      <c r="E2605" s="113">
        <v>1</v>
      </c>
      <c r="F2605" s="113" t="s">
        <v>26</v>
      </c>
      <c r="G2605" s="113" t="s">
        <v>26</v>
      </c>
      <c r="H2605" s="113">
        <v>0</v>
      </c>
      <c r="I2605" s="113">
        <v>0</v>
      </c>
      <c r="K2605" s="113">
        <v>2.3206764830000002</v>
      </c>
      <c r="L2605" s="113">
        <v>0</v>
      </c>
      <c r="M2605" s="113">
        <v>2.3187333959999998</v>
      </c>
      <c r="N2605" s="113">
        <v>0</v>
      </c>
      <c r="O2605" s="114" t="s">
        <v>1362</v>
      </c>
    </row>
    <row r="2606" spans="1:15" x14ac:dyDescent="0.25">
      <c r="A2606" s="113" t="s">
        <v>68</v>
      </c>
      <c r="B2606" s="113" t="s">
        <v>75</v>
      </c>
      <c r="C2606" s="113">
        <v>-328</v>
      </c>
      <c r="D2606" s="113">
        <v>-148</v>
      </c>
      <c r="E2606" s="113">
        <v>0.1</v>
      </c>
      <c r="F2606" s="113" t="s">
        <v>26</v>
      </c>
      <c r="G2606" s="113" t="s">
        <v>26</v>
      </c>
      <c r="H2606" s="113">
        <v>0</v>
      </c>
      <c r="I2606" s="113">
        <v>0</v>
      </c>
      <c r="K2606" s="113">
        <v>2.584126259</v>
      </c>
      <c r="L2606" s="113">
        <v>0</v>
      </c>
      <c r="M2606" s="113">
        <v>2.5812734900000001</v>
      </c>
      <c r="N2606" s="113">
        <v>0</v>
      </c>
      <c r="O2606" s="114" t="s">
        <v>1335</v>
      </c>
    </row>
    <row r="2607" spans="1:15" x14ac:dyDescent="0.25">
      <c r="A2607" s="113" t="s">
        <v>68</v>
      </c>
      <c r="B2607" s="113" t="s">
        <v>75</v>
      </c>
      <c r="C2607" s="113">
        <v>-328</v>
      </c>
      <c r="D2607" s="113">
        <v>-148</v>
      </c>
      <c r="E2607" s="113">
        <v>1</v>
      </c>
      <c r="F2607" s="113" t="s">
        <v>26</v>
      </c>
      <c r="G2607" s="113" t="s">
        <v>26</v>
      </c>
      <c r="H2607" s="113">
        <v>0</v>
      </c>
      <c r="I2607" s="113">
        <v>0</v>
      </c>
      <c r="K2607" s="113">
        <v>2.6555443150000002</v>
      </c>
      <c r="L2607" s="113">
        <v>0</v>
      </c>
      <c r="M2607" s="113">
        <v>2.6444229670000001</v>
      </c>
      <c r="N2607" s="113">
        <v>0</v>
      </c>
      <c r="O2607" s="114" t="s">
        <v>1336</v>
      </c>
    </row>
    <row r="2608" spans="1:15" x14ac:dyDescent="0.25">
      <c r="A2608" s="113" t="s">
        <v>68</v>
      </c>
      <c r="B2608" s="113" t="s">
        <v>75</v>
      </c>
      <c r="C2608" s="113">
        <v>-200</v>
      </c>
      <c r="D2608" s="113">
        <v>-100</v>
      </c>
      <c r="E2608" s="113">
        <v>0.1</v>
      </c>
      <c r="F2608" s="113" t="s">
        <v>23</v>
      </c>
      <c r="G2608" s="113" t="s">
        <v>23</v>
      </c>
      <c r="H2608" s="113">
        <v>0</v>
      </c>
      <c r="I2608" s="113">
        <v>0</v>
      </c>
      <c r="K2608" s="113">
        <v>1.4397550640000001</v>
      </c>
      <c r="L2608" s="113">
        <v>0</v>
      </c>
      <c r="M2608" s="113">
        <v>1.438174743</v>
      </c>
      <c r="N2608" s="113">
        <v>0</v>
      </c>
      <c r="O2608" s="114" t="s">
        <v>1337</v>
      </c>
    </row>
    <row r="2609" spans="1:15" x14ac:dyDescent="0.25">
      <c r="A2609" s="113" t="s">
        <v>68</v>
      </c>
      <c r="B2609" s="113" t="s">
        <v>75</v>
      </c>
      <c r="C2609" s="113">
        <v>-200</v>
      </c>
      <c r="D2609" s="113">
        <v>-100</v>
      </c>
      <c r="E2609" s="113">
        <v>1</v>
      </c>
      <c r="F2609" s="113" t="s">
        <v>23</v>
      </c>
      <c r="G2609" s="113" t="s">
        <v>23</v>
      </c>
      <c r="H2609" s="113">
        <v>0</v>
      </c>
      <c r="I2609" s="113">
        <v>0</v>
      </c>
      <c r="K2609" s="113">
        <v>1.554522051</v>
      </c>
      <c r="L2609" s="113">
        <v>0</v>
      </c>
      <c r="M2609" s="113">
        <v>1.5486596109999999</v>
      </c>
      <c r="N2609" s="113">
        <v>0</v>
      </c>
      <c r="O2609" s="114" t="s">
        <v>1338</v>
      </c>
    </row>
    <row r="2610" spans="1:15" x14ac:dyDescent="0.25">
      <c r="A2610" s="113" t="s">
        <v>68</v>
      </c>
      <c r="B2610" s="113" t="s">
        <v>75</v>
      </c>
      <c r="C2610" s="113">
        <v>-148</v>
      </c>
      <c r="D2610" s="113">
        <v>248</v>
      </c>
      <c r="E2610" s="113">
        <v>0.1</v>
      </c>
      <c r="F2610" s="113" t="s">
        <v>26</v>
      </c>
      <c r="G2610" s="113" t="s">
        <v>26</v>
      </c>
      <c r="H2610" s="113">
        <v>0</v>
      </c>
      <c r="I2610" s="113">
        <v>0</v>
      </c>
      <c r="K2610" s="113">
        <v>2.0844413880000001</v>
      </c>
      <c r="L2610" s="113">
        <v>0</v>
      </c>
      <c r="M2610" s="113">
        <v>2.0809036999999999</v>
      </c>
      <c r="N2610" s="113">
        <v>0</v>
      </c>
      <c r="O2610" s="114" t="s">
        <v>1339</v>
      </c>
    </row>
    <row r="2611" spans="1:15" x14ac:dyDescent="0.25">
      <c r="A2611" s="113" t="s">
        <v>68</v>
      </c>
      <c r="B2611" s="113" t="s">
        <v>75</v>
      </c>
      <c r="C2611" s="113">
        <v>-148</v>
      </c>
      <c r="D2611" s="113">
        <v>248</v>
      </c>
      <c r="E2611" s="113">
        <v>1</v>
      </c>
      <c r="F2611" s="113" t="s">
        <v>26</v>
      </c>
      <c r="G2611" s="113" t="s">
        <v>26</v>
      </c>
      <c r="H2611" s="113">
        <v>0</v>
      </c>
      <c r="I2611" s="113">
        <v>0</v>
      </c>
      <c r="K2611" s="113">
        <v>2.1723496459999998</v>
      </c>
      <c r="L2611" s="113">
        <v>0</v>
      </c>
      <c r="M2611" s="113">
        <v>2.1587404220000002</v>
      </c>
      <c r="N2611" s="113">
        <v>0</v>
      </c>
      <c r="O2611" s="114" t="s">
        <v>1340</v>
      </c>
    </row>
    <row r="2612" spans="1:15" x14ac:dyDescent="0.25">
      <c r="A2612" s="113" t="s">
        <v>68</v>
      </c>
      <c r="B2612" s="113" t="s">
        <v>75</v>
      </c>
      <c r="C2612" s="113">
        <v>-100</v>
      </c>
      <c r="D2612" s="113">
        <v>120</v>
      </c>
      <c r="E2612" s="113">
        <v>0.1</v>
      </c>
      <c r="F2612" s="113" t="s">
        <v>23</v>
      </c>
      <c r="G2612" s="113" t="s">
        <v>23</v>
      </c>
      <c r="H2612" s="113">
        <v>0</v>
      </c>
      <c r="I2612" s="113">
        <v>0</v>
      </c>
      <c r="K2612" s="113">
        <v>1.1600491470000001</v>
      </c>
      <c r="L2612" s="113">
        <v>0</v>
      </c>
      <c r="M2612" s="113">
        <v>1.158087203</v>
      </c>
      <c r="N2612" s="113">
        <v>0</v>
      </c>
      <c r="O2612" s="114" t="s">
        <v>1341</v>
      </c>
    </row>
    <row r="2613" spans="1:15" x14ac:dyDescent="0.25">
      <c r="A2613" s="113" t="s">
        <v>68</v>
      </c>
      <c r="B2613" s="113" t="s">
        <v>75</v>
      </c>
      <c r="C2613" s="113">
        <v>-100</v>
      </c>
      <c r="D2613" s="113">
        <v>120</v>
      </c>
      <c r="E2613" s="113">
        <v>1</v>
      </c>
      <c r="F2613" s="113" t="s">
        <v>23</v>
      </c>
      <c r="G2613" s="113" t="s">
        <v>23</v>
      </c>
      <c r="H2613" s="113">
        <v>0</v>
      </c>
      <c r="I2613" s="113">
        <v>0</v>
      </c>
      <c r="K2613" s="113">
        <v>1.299753124</v>
      </c>
      <c r="L2613" s="113">
        <v>0</v>
      </c>
      <c r="M2613" s="113">
        <v>1.2927358470000001</v>
      </c>
      <c r="N2613" s="113">
        <v>0</v>
      </c>
      <c r="O2613" s="114" t="s">
        <v>1342</v>
      </c>
    </row>
    <row r="2614" spans="1:15" x14ac:dyDescent="0.25">
      <c r="A2614" s="113" t="s">
        <v>68</v>
      </c>
      <c r="B2614" s="113" t="s">
        <v>75</v>
      </c>
      <c r="C2614" s="113">
        <v>120</v>
      </c>
      <c r="D2614" s="113">
        <v>1370</v>
      </c>
      <c r="E2614" s="113">
        <v>0.1</v>
      </c>
      <c r="F2614" s="113" t="s">
        <v>23</v>
      </c>
      <c r="G2614" s="113" t="s">
        <v>23</v>
      </c>
      <c r="H2614" s="113">
        <v>0</v>
      </c>
      <c r="I2614" s="113">
        <v>0</v>
      </c>
      <c r="K2614" s="113">
        <v>1.412082372</v>
      </c>
      <c r="L2614" s="113">
        <v>0</v>
      </c>
      <c r="M2614" s="113">
        <v>1.4112674599999999</v>
      </c>
      <c r="N2614" s="113">
        <v>0</v>
      </c>
      <c r="O2614" s="114" t="s">
        <v>1343</v>
      </c>
    </row>
    <row r="2615" spans="1:15" x14ac:dyDescent="0.25">
      <c r="A2615" s="113" t="s">
        <v>68</v>
      </c>
      <c r="B2615" s="113" t="s">
        <v>75</v>
      </c>
      <c r="C2615" s="113">
        <v>120</v>
      </c>
      <c r="D2615" s="113">
        <v>1370</v>
      </c>
      <c r="E2615" s="113">
        <v>1</v>
      </c>
      <c r="F2615" s="113" t="s">
        <v>23</v>
      </c>
      <c r="G2615" s="113" t="s">
        <v>23</v>
      </c>
      <c r="H2615" s="113">
        <v>0</v>
      </c>
      <c r="I2615" s="113">
        <v>0</v>
      </c>
      <c r="K2615" s="113">
        <v>1.5267216400000001</v>
      </c>
      <c r="L2615" s="113">
        <v>0</v>
      </c>
      <c r="M2615" s="113">
        <v>1.523704645</v>
      </c>
      <c r="N2615" s="113">
        <v>0</v>
      </c>
      <c r="O2615" s="114" t="s">
        <v>1344</v>
      </c>
    </row>
    <row r="2616" spans="1:15" x14ac:dyDescent="0.25">
      <c r="A2616" s="113" t="s">
        <v>68</v>
      </c>
      <c r="B2616" s="113" t="s">
        <v>75</v>
      </c>
      <c r="C2616" s="113">
        <v>248</v>
      </c>
      <c r="D2616" s="113">
        <v>2500</v>
      </c>
      <c r="E2616" s="113">
        <v>0.1</v>
      </c>
      <c r="F2616" s="113" t="s">
        <v>26</v>
      </c>
      <c r="G2616" s="113" t="s">
        <v>26</v>
      </c>
      <c r="H2616" s="113">
        <v>0</v>
      </c>
      <c r="I2616" s="113">
        <v>0</v>
      </c>
      <c r="K2616" s="113">
        <v>2.5390574259999998</v>
      </c>
      <c r="L2616" s="113">
        <v>0</v>
      </c>
      <c r="M2616" s="113">
        <v>2.5375890299999999</v>
      </c>
      <c r="N2616" s="113">
        <v>0</v>
      </c>
      <c r="O2616" s="114" t="s">
        <v>1345</v>
      </c>
    </row>
    <row r="2617" spans="1:15" x14ac:dyDescent="0.25">
      <c r="A2617" s="113" t="s">
        <v>68</v>
      </c>
      <c r="B2617" s="113" t="s">
        <v>75</v>
      </c>
      <c r="C2617" s="113">
        <v>248</v>
      </c>
      <c r="D2617" s="113">
        <v>2500</v>
      </c>
      <c r="E2617" s="113">
        <v>1</v>
      </c>
      <c r="F2617" s="113" t="s">
        <v>26</v>
      </c>
      <c r="G2617" s="113" t="s">
        <v>26</v>
      </c>
      <c r="H2617" s="113">
        <v>0</v>
      </c>
      <c r="I2617" s="113">
        <v>0</v>
      </c>
      <c r="K2617" s="113">
        <v>2.607523</v>
      </c>
      <c r="L2617" s="113">
        <v>0</v>
      </c>
      <c r="M2617" s="113">
        <v>2.6017990090000001</v>
      </c>
      <c r="N2617" s="113">
        <v>0</v>
      </c>
      <c r="O2617" s="114" t="s">
        <v>1346</v>
      </c>
    </row>
    <row r="2618" spans="1:15" x14ac:dyDescent="0.25">
      <c r="A2618" s="113" t="s">
        <v>68</v>
      </c>
      <c r="B2618" s="113" t="s">
        <v>76</v>
      </c>
      <c r="C2618" s="113">
        <v>-328</v>
      </c>
      <c r="D2618" s="113">
        <v>-148</v>
      </c>
      <c r="E2618" s="113">
        <v>0.1</v>
      </c>
      <c r="F2618" s="113" t="s">
        <v>26</v>
      </c>
      <c r="G2618" s="113" t="s">
        <v>26</v>
      </c>
      <c r="H2618" s="113">
        <v>0</v>
      </c>
      <c r="I2618" s="113">
        <v>0</v>
      </c>
      <c r="K2618" s="113">
        <v>3.2049883289999999</v>
      </c>
      <c r="L2618" s="113">
        <v>0</v>
      </c>
      <c r="M2618" s="113">
        <v>3.2025262419999998</v>
      </c>
      <c r="N2618" s="113">
        <v>0</v>
      </c>
      <c r="O2618" s="114" t="s">
        <v>1323</v>
      </c>
    </row>
    <row r="2619" spans="1:15" x14ac:dyDescent="0.25">
      <c r="A2619" s="113" t="s">
        <v>68</v>
      </c>
      <c r="B2619" s="113" t="s">
        <v>76</v>
      </c>
      <c r="C2619" s="113">
        <v>-328</v>
      </c>
      <c r="D2619" s="113">
        <v>-148</v>
      </c>
      <c r="E2619" s="113">
        <v>1</v>
      </c>
      <c r="F2619" s="113" t="s">
        <v>26</v>
      </c>
      <c r="G2619" s="113" t="s">
        <v>26</v>
      </c>
      <c r="H2619" s="113">
        <v>0</v>
      </c>
      <c r="I2619" s="113">
        <v>0</v>
      </c>
      <c r="K2619" s="113">
        <v>3.2633231180000002</v>
      </c>
      <c r="L2619" s="113">
        <v>0</v>
      </c>
      <c r="M2619" s="113">
        <v>3.2536401659999998</v>
      </c>
      <c r="N2619" s="113">
        <v>0</v>
      </c>
      <c r="O2619" s="114" t="s">
        <v>1324</v>
      </c>
    </row>
    <row r="2620" spans="1:15" x14ac:dyDescent="0.25">
      <c r="A2620" s="113" t="s">
        <v>68</v>
      </c>
      <c r="B2620" s="113" t="s">
        <v>76</v>
      </c>
      <c r="C2620" s="113">
        <v>-200</v>
      </c>
      <c r="D2620" s="113">
        <v>-100</v>
      </c>
      <c r="E2620" s="113">
        <v>0.1</v>
      </c>
      <c r="F2620" s="113" t="s">
        <v>23</v>
      </c>
      <c r="G2620" s="113" t="s">
        <v>23</v>
      </c>
      <c r="H2620" s="113">
        <v>0</v>
      </c>
      <c r="I2620" s="113">
        <v>0</v>
      </c>
      <c r="K2620" s="113">
        <v>1.7820037</v>
      </c>
      <c r="L2620" s="113">
        <v>0</v>
      </c>
      <c r="M2620" s="113">
        <v>1.7806369909999999</v>
      </c>
      <c r="N2620" s="113">
        <v>0</v>
      </c>
      <c r="O2620" s="114" t="s">
        <v>1325</v>
      </c>
    </row>
    <row r="2621" spans="1:15" x14ac:dyDescent="0.25">
      <c r="A2621" s="113" t="s">
        <v>68</v>
      </c>
      <c r="B2621" s="113" t="s">
        <v>76</v>
      </c>
      <c r="C2621" s="113">
        <v>-200</v>
      </c>
      <c r="D2621" s="113">
        <v>-100</v>
      </c>
      <c r="E2621" s="113">
        <v>1</v>
      </c>
      <c r="F2621" s="113" t="s">
        <v>23</v>
      </c>
      <c r="G2621" s="113" t="s">
        <v>23</v>
      </c>
      <c r="H2621" s="113">
        <v>0</v>
      </c>
      <c r="I2621" s="113">
        <v>0</v>
      </c>
      <c r="K2621" s="113">
        <v>1.876204803</v>
      </c>
      <c r="L2621" s="113">
        <v>0</v>
      </c>
      <c r="M2621" s="113">
        <v>1.87100724</v>
      </c>
      <c r="N2621" s="113">
        <v>0</v>
      </c>
      <c r="O2621" s="114" t="s">
        <v>1326</v>
      </c>
    </row>
    <row r="2622" spans="1:15" x14ac:dyDescent="0.25">
      <c r="A2622" s="113" t="s">
        <v>68</v>
      </c>
      <c r="B2622" s="113" t="s">
        <v>76</v>
      </c>
      <c r="C2622" s="113">
        <v>-148</v>
      </c>
      <c r="D2622" s="113">
        <v>770</v>
      </c>
      <c r="E2622" s="113">
        <v>0.1</v>
      </c>
      <c r="F2622" s="113" t="s">
        <v>26</v>
      </c>
      <c r="G2622" s="113" t="s">
        <v>26</v>
      </c>
      <c r="H2622" s="113">
        <v>0</v>
      </c>
      <c r="I2622" s="113">
        <v>0</v>
      </c>
      <c r="K2622" s="113">
        <v>2.2918456639999998</v>
      </c>
      <c r="L2622" s="113">
        <v>0</v>
      </c>
      <c r="M2622" s="113">
        <v>2.2894238219999998</v>
      </c>
      <c r="N2622" s="113">
        <v>0</v>
      </c>
      <c r="O2622" s="114" t="s">
        <v>1327</v>
      </c>
    </row>
    <row r="2623" spans="1:15" x14ac:dyDescent="0.25">
      <c r="A2623" s="113" t="s">
        <v>68</v>
      </c>
      <c r="B2623" s="113" t="s">
        <v>76</v>
      </c>
      <c r="C2623" s="113">
        <v>-148</v>
      </c>
      <c r="D2623" s="113">
        <v>770</v>
      </c>
      <c r="E2623" s="113">
        <v>1</v>
      </c>
      <c r="F2623" s="113" t="s">
        <v>26</v>
      </c>
      <c r="G2623" s="113" t="s">
        <v>26</v>
      </c>
      <c r="H2623" s="113">
        <v>0</v>
      </c>
      <c r="I2623" s="113">
        <v>0</v>
      </c>
      <c r="K2623" s="113">
        <v>2.369776758</v>
      </c>
      <c r="L2623" s="113">
        <v>0</v>
      </c>
      <c r="M2623" s="113">
        <v>2.360394339</v>
      </c>
      <c r="N2623" s="113">
        <v>0</v>
      </c>
      <c r="O2623" s="114" t="s">
        <v>1328</v>
      </c>
    </row>
    <row r="2624" spans="1:15" x14ac:dyDescent="0.25">
      <c r="A2624" s="113" t="s">
        <v>68</v>
      </c>
      <c r="B2624" s="113" t="s">
        <v>76</v>
      </c>
      <c r="C2624" s="113">
        <v>-100</v>
      </c>
      <c r="D2624" s="113">
        <v>410</v>
      </c>
      <c r="E2624" s="113">
        <v>0.1</v>
      </c>
      <c r="F2624" s="113" t="s">
        <v>23</v>
      </c>
      <c r="G2624" s="113" t="s">
        <v>23</v>
      </c>
      <c r="H2624" s="113">
        <v>0</v>
      </c>
      <c r="I2624" s="113">
        <v>0</v>
      </c>
      <c r="K2624" s="113">
        <v>1.2762020279999999</v>
      </c>
      <c r="L2624" s="113">
        <v>0</v>
      </c>
      <c r="M2624" s="113">
        <v>1.2748596780000001</v>
      </c>
      <c r="N2624" s="113">
        <v>0</v>
      </c>
      <c r="O2624" s="114" t="s">
        <v>1329</v>
      </c>
    </row>
    <row r="2625" spans="1:15" x14ac:dyDescent="0.25">
      <c r="A2625" s="113" t="s">
        <v>68</v>
      </c>
      <c r="B2625" s="113" t="s">
        <v>76</v>
      </c>
      <c r="C2625" s="113">
        <v>-100</v>
      </c>
      <c r="D2625" s="113">
        <v>410</v>
      </c>
      <c r="E2625" s="113">
        <v>1</v>
      </c>
      <c r="F2625" s="113" t="s">
        <v>23</v>
      </c>
      <c r="G2625" s="113" t="s">
        <v>23</v>
      </c>
      <c r="H2625" s="113">
        <v>0</v>
      </c>
      <c r="I2625" s="113">
        <v>0</v>
      </c>
      <c r="K2625" s="113">
        <v>1.4031980850000001</v>
      </c>
      <c r="L2625" s="113">
        <v>0</v>
      </c>
      <c r="M2625" s="113">
        <v>1.3983086920000001</v>
      </c>
      <c r="N2625" s="113">
        <v>0</v>
      </c>
      <c r="O2625" s="114" t="s">
        <v>1330</v>
      </c>
    </row>
    <row r="2626" spans="1:15" x14ac:dyDescent="0.25">
      <c r="A2626" s="113" t="s">
        <v>68</v>
      </c>
      <c r="B2626" s="113" t="s">
        <v>76</v>
      </c>
      <c r="C2626" s="113">
        <v>410</v>
      </c>
      <c r="D2626" s="113">
        <v>1300</v>
      </c>
      <c r="E2626" s="113">
        <v>0.1</v>
      </c>
      <c r="F2626" s="113" t="s">
        <v>23</v>
      </c>
      <c r="G2626" s="113" t="s">
        <v>23</v>
      </c>
      <c r="H2626" s="113">
        <v>0</v>
      </c>
      <c r="I2626" s="113">
        <v>0</v>
      </c>
      <c r="K2626" s="113">
        <v>1.365791164</v>
      </c>
      <c r="L2626" s="113">
        <v>0</v>
      </c>
      <c r="M2626" s="113">
        <v>1.365066211</v>
      </c>
      <c r="N2626" s="113">
        <v>0</v>
      </c>
      <c r="O2626" s="114" t="s">
        <v>1331</v>
      </c>
    </row>
    <row r="2627" spans="1:15" x14ac:dyDescent="0.25">
      <c r="A2627" s="113" t="s">
        <v>68</v>
      </c>
      <c r="B2627" s="113" t="s">
        <v>76</v>
      </c>
      <c r="C2627" s="113">
        <v>410</v>
      </c>
      <c r="D2627" s="113">
        <v>1300</v>
      </c>
      <c r="E2627" s="113">
        <v>1</v>
      </c>
      <c r="F2627" s="113" t="s">
        <v>23</v>
      </c>
      <c r="G2627" s="113" t="s">
        <v>23</v>
      </c>
      <c r="H2627" s="113">
        <v>0</v>
      </c>
      <c r="I2627" s="113">
        <v>0</v>
      </c>
      <c r="K2627" s="113">
        <v>1.483686195</v>
      </c>
      <c r="L2627" s="113">
        <v>0</v>
      </c>
      <c r="M2627" s="113">
        <v>1.4810151119999999</v>
      </c>
      <c r="N2627" s="113">
        <v>0</v>
      </c>
      <c r="O2627" s="114" t="s">
        <v>1332</v>
      </c>
    </row>
    <row r="2628" spans="1:15" x14ac:dyDescent="0.25">
      <c r="A2628" s="113" t="s">
        <v>68</v>
      </c>
      <c r="B2628" s="113" t="s">
        <v>76</v>
      </c>
      <c r="C2628" s="113">
        <v>770</v>
      </c>
      <c r="D2628" s="113">
        <v>2372</v>
      </c>
      <c r="E2628" s="113">
        <v>0.1</v>
      </c>
      <c r="F2628" s="113" t="s">
        <v>26</v>
      </c>
      <c r="G2628" s="113" t="s">
        <v>26</v>
      </c>
      <c r="H2628" s="113">
        <v>0</v>
      </c>
      <c r="I2628" s="113">
        <v>0</v>
      </c>
      <c r="K2628" s="113">
        <v>2.4557651269999998</v>
      </c>
      <c r="L2628" s="113">
        <v>0</v>
      </c>
      <c r="M2628" s="113">
        <v>2.4544587999999998</v>
      </c>
      <c r="N2628" s="113">
        <v>0</v>
      </c>
      <c r="O2628" s="114" t="s">
        <v>1333</v>
      </c>
    </row>
    <row r="2629" spans="1:15" x14ac:dyDescent="0.25">
      <c r="A2629" s="113" t="s">
        <v>68</v>
      </c>
      <c r="B2629" s="113" t="s">
        <v>76</v>
      </c>
      <c r="C2629" s="113">
        <v>770</v>
      </c>
      <c r="D2629" s="113">
        <v>2372</v>
      </c>
      <c r="E2629" s="113">
        <v>1</v>
      </c>
      <c r="F2629" s="113" t="s">
        <v>26</v>
      </c>
      <c r="G2629" s="113" t="s">
        <v>26</v>
      </c>
      <c r="H2629" s="113">
        <v>0</v>
      </c>
      <c r="I2629" s="113">
        <v>0</v>
      </c>
      <c r="K2629" s="113">
        <v>2.5258712249999999</v>
      </c>
      <c r="L2629" s="113">
        <v>0</v>
      </c>
      <c r="M2629" s="113">
        <v>2.520787179</v>
      </c>
      <c r="N2629" s="113">
        <v>0</v>
      </c>
      <c r="O2629" s="114" t="s">
        <v>1334</v>
      </c>
    </row>
    <row r="2630" spans="1:15" x14ac:dyDescent="0.25">
      <c r="A2630" s="113" t="s">
        <v>68</v>
      </c>
      <c r="B2630" s="113" t="s">
        <v>77</v>
      </c>
      <c r="C2630" s="113">
        <v>0</v>
      </c>
      <c r="D2630" s="113">
        <v>250</v>
      </c>
      <c r="E2630" s="113">
        <v>0.1</v>
      </c>
      <c r="F2630" s="113" t="s">
        <v>23</v>
      </c>
      <c r="G2630" s="113" t="s">
        <v>23</v>
      </c>
      <c r="H2630" s="113">
        <v>0</v>
      </c>
      <c r="I2630" s="113">
        <v>0</v>
      </c>
      <c r="K2630" s="113">
        <v>2.6783637649999998</v>
      </c>
      <c r="L2630" s="113">
        <v>0</v>
      </c>
      <c r="M2630" s="113">
        <v>2.6774646350000002</v>
      </c>
      <c r="N2630" s="113">
        <v>0</v>
      </c>
      <c r="O2630" s="114" t="s">
        <v>1315</v>
      </c>
    </row>
    <row r="2631" spans="1:15" x14ac:dyDescent="0.25">
      <c r="A2631" s="113" t="s">
        <v>68</v>
      </c>
      <c r="B2631" s="113" t="s">
        <v>77</v>
      </c>
      <c r="C2631" s="113">
        <v>0</v>
      </c>
      <c r="D2631" s="113">
        <v>250</v>
      </c>
      <c r="E2631" s="113">
        <v>1</v>
      </c>
      <c r="F2631" s="113" t="s">
        <v>23</v>
      </c>
      <c r="G2631" s="113" t="s">
        <v>23</v>
      </c>
      <c r="H2631" s="113">
        <v>0</v>
      </c>
      <c r="I2631" s="113">
        <v>0</v>
      </c>
      <c r="K2631" s="113">
        <v>2.7419115989999998</v>
      </c>
      <c r="L2631" s="113">
        <v>0</v>
      </c>
      <c r="M2631" s="113">
        <v>2.73839677</v>
      </c>
      <c r="N2631" s="113">
        <v>0</v>
      </c>
      <c r="O2631" s="114" t="s">
        <v>1316</v>
      </c>
    </row>
    <row r="2632" spans="1:15" x14ac:dyDescent="0.25">
      <c r="A2632" s="113" t="s">
        <v>68</v>
      </c>
      <c r="B2632" s="113" t="s">
        <v>77</v>
      </c>
      <c r="C2632" s="113">
        <v>32</v>
      </c>
      <c r="D2632" s="113">
        <v>482</v>
      </c>
      <c r="E2632" s="113">
        <v>0.1</v>
      </c>
      <c r="F2632" s="113" t="s">
        <v>26</v>
      </c>
      <c r="G2632" s="113" t="s">
        <v>26</v>
      </c>
      <c r="H2632" s="113">
        <v>0</v>
      </c>
      <c r="I2632" s="113">
        <v>0</v>
      </c>
      <c r="K2632" s="113">
        <v>4.7943939770000004</v>
      </c>
      <c r="L2632" s="113">
        <v>0</v>
      </c>
      <c r="M2632" s="113">
        <v>4.7927665399999997</v>
      </c>
      <c r="N2632" s="113">
        <v>0</v>
      </c>
      <c r="O2632" s="114" t="s">
        <v>1317</v>
      </c>
    </row>
    <row r="2633" spans="1:15" x14ac:dyDescent="0.25">
      <c r="A2633" s="113" t="s">
        <v>68</v>
      </c>
      <c r="B2633" s="113" t="s">
        <v>77</v>
      </c>
      <c r="C2633" s="113">
        <v>32</v>
      </c>
      <c r="D2633" s="113">
        <v>482</v>
      </c>
      <c r="E2633" s="113">
        <v>1</v>
      </c>
      <c r="F2633" s="113" t="s">
        <v>26</v>
      </c>
      <c r="G2633" s="113" t="s">
        <v>26</v>
      </c>
      <c r="H2633" s="113">
        <v>0</v>
      </c>
      <c r="I2633" s="113">
        <v>0</v>
      </c>
      <c r="K2633" s="113">
        <v>4.833530916</v>
      </c>
      <c r="L2633" s="113">
        <v>0</v>
      </c>
      <c r="M2633" s="113">
        <v>4.827070655</v>
      </c>
      <c r="N2633" s="113">
        <v>0</v>
      </c>
      <c r="O2633" s="114" t="s">
        <v>1318</v>
      </c>
    </row>
    <row r="2634" spans="1:15" x14ac:dyDescent="0.25">
      <c r="A2634" s="113" t="s">
        <v>68</v>
      </c>
      <c r="B2634" s="113" t="s">
        <v>77</v>
      </c>
      <c r="C2634" s="113">
        <v>250</v>
      </c>
      <c r="D2634" s="113">
        <v>1760</v>
      </c>
      <c r="E2634" s="113">
        <v>0.1</v>
      </c>
      <c r="F2634" s="113" t="s">
        <v>23</v>
      </c>
      <c r="G2634" s="113" t="s">
        <v>23</v>
      </c>
      <c r="H2634" s="113">
        <v>0</v>
      </c>
      <c r="I2634" s="113">
        <v>0</v>
      </c>
      <c r="K2634" s="113">
        <v>1.996504472</v>
      </c>
      <c r="L2634" s="113">
        <v>0</v>
      </c>
      <c r="M2634" s="113">
        <v>1.9954858090000001</v>
      </c>
      <c r="N2634" s="113">
        <v>0</v>
      </c>
      <c r="O2634" s="114" t="s">
        <v>1319</v>
      </c>
    </row>
    <row r="2635" spans="1:15" x14ac:dyDescent="0.25">
      <c r="A2635" s="113" t="s">
        <v>68</v>
      </c>
      <c r="B2635" s="113" t="s">
        <v>77</v>
      </c>
      <c r="C2635" s="113">
        <v>250</v>
      </c>
      <c r="D2635" s="113">
        <v>1760</v>
      </c>
      <c r="E2635" s="113">
        <v>1</v>
      </c>
      <c r="F2635" s="113" t="s">
        <v>23</v>
      </c>
      <c r="G2635" s="113" t="s">
        <v>23</v>
      </c>
      <c r="H2635" s="113">
        <v>0</v>
      </c>
      <c r="I2635" s="113">
        <v>0</v>
      </c>
      <c r="K2635" s="113">
        <v>2.08043976</v>
      </c>
      <c r="L2635" s="113">
        <v>0</v>
      </c>
      <c r="M2635" s="113">
        <v>2.0765268149999998</v>
      </c>
      <c r="N2635" s="113">
        <v>0</v>
      </c>
      <c r="O2635" s="114" t="s">
        <v>1320</v>
      </c>
    </row>
    <row r="2636" spans="1:15" x14ac:dyDescent="0.25">
      <c r="A2636" s="113" t="s">
        <v>68</v>
      </c>
      <c r="B2636" s="113" t="s">
        <v>77</v>
      </c>
      <c r="C2636" s="113">
        <v>482</v>
      </c>
      <c r="D2636" s="113">
        <v>3200</v>
      </c>
      <c r="E2636" s="113">
        <v>0.1</v>
      </c>
      <c r="F2636" s="113" t="s">
        <v>26</v>
      </c>
      <c r="G2636" s="113" t="s">
        <v>26</v>
      </c>
      <c r="H2636" s="113">
        <v>0</v>
      </c>
      <c r="I2636" s="113">
        <v>0</v>
      </c>
      <c r="K2636" s="113">
        <v>3.582348573</v>
      </c>
      <c r="L2636" s="113">
        <v>0</v>
      </c>
      <c r="M2636" s="113">
        <v>3.5805091610000002</v>
      </c>
      <c r="N2636" s="113">
        <v>0</v>
      </c>
      <c r="O2636" s="114" t="s">
        <v>1321</v>
      </c>
    </row>
    <row r="2637" spans="1:15" x14ac:dyDescent="0.25">
      <c r="A2637" s="113" t="s">
        <v>68</v>
      </c>
      <c r="B2637" s="113" t="s">
        <v>77</v>
      </c>
      <c r="C2637" s="113">
        <v>482</v>
      </c>
      <c r="D2637" s="113">
        <v>3200</v>
      </c>
      <c r="E2637" s="113">
        <v>1</v>
      </c>
      <c r="F2637" s="113" t="s">
        <v>26</v>
      </c>
      <c r="G2637" s="113" t="s">
        <v>26</v>
      </c>
      <c r="H2637" s="113">
        <v>0</v>
      </c>
      <c r="I2637" s="113">
        <v>0</v>
      </c>
      <c r="K2637" s="113">
        <v>3.6335585350000001</v>
      </c>
      <c r="L2637" s="113">
        <v>0</v>
      </c>
      <c r="M2637" s="113">
        <v>3.6262991950000001</v>
      </c>
      <c r="N2637" s="113">
        <v>0</v>
      </c>
      <c r="O2637" s="114" t="s">
        <v>1322</v>
      </c>
    </row>
    <row r="2638" spans="1:15" x14ac:dyDescent="0.25">
      <c r="A2638" s="113" t="s">
        <v>68</v>
      </c>
      <c r="B2638" s="113" t="s">
        <v>78</v>
      </c>
      <c r="C2638" s="113">
        <v>0</v>
      </c>
      <c r="D2638" s="113">
        <v>250</v>
      </c>
      <c r="E2638" s="113">
        <v>0.1</v>
      </c>
      <c r="F2638" s="113" t="s">
        <v>23</v>
      </c>
      <c r="G2638" s="113" t="s">
        <v>23</v>
      </c>
      <c r="H2638" s="113">
        <v>0</v>
      </c>
      <c r="I2638" s="113">
        <v>0</v>
      </c>
      <c r="K2638" s="113">
        <v>2.6783437879999998</v>
      </c>
      <c r="L2638" s="113">
        <v>0</v>
      </c>
      <c r="M2638" s="113">
        <v>2.6774646350000002</v>
      </c>
      <c r="N2638" s="113">
        <v>0</v>
      </c>
      <c r="O2638" s="114" t="s">
        <v>1307</v>
      </c>
    </row>
    <row r="2639" spans="1:15" x14ac:dyDescent="0.25">
      <c r="A2639" s="113" t="s">
        <v>68</v>
      </c>
      <c r="B2639" s="113" t="s">
        <v>78</v>
      </c>
      <c r="C2639" s="113">
        <v>0</v>
      </c>
      <c r="D2639" s="113">
        <v>250</v>
      </c>
      <c r="E2639" s="113">
        <v>1</v>
      </c>
      <c r="F2639" s="113" t="s">
        <v>23</v>
      </c>
      <c r="G2639" s="113" t="s">
        <v>23</v>
      </c>
      <c r="H2639" s="113">
        <v>0</v>
      </c>
      <c r="I2639" s="113">
        <v>0</v>
      </c>
      <c r="K2639" s="113">
        <v>2.7418335410000001</v>
      </c>
      <c r="L2639" s="113">
        <v>0</v>
      </c>
      <c r="M2639" s="113">
        <v>2.73839677</v>
      </c>
      <c r="N2639" s="113">
        <v>0</v>
      </c>
      <c r="O2639" s="114" t="s">
        <v>1308</v>
      </c>
    </row>
    <row r="2640" spans="1:15" x14ac:dyDescent="0.25">
      <c r="A2640" s="113" t="s">
        <v>68</v>
      </c>
      <c r="B2640" s="113" t="s">
        <v>78</v>
      </c>
      <c r="C2640" s="113">
        <v>32</v>
      </c>
      <c r="D2640" s="113">
        <v>482</v>
      </c>
      <c r="E2640" s="113">
        <v>0.1</v>
      </c>
      <c r="F2640" s="113" t="s">
        <v>26</v>
      </c>
      <c r="G2640" s="113" t="s">
        <v>26</v>
      </c>
      <c r="H2640" s="113">
        <v>0</v>
      </c>
      <c r="I2640" s="113">
        <v>0</v>
      </c>
      <c r="K2640" s="113">
        <v>4.7943578179999999</v>
      </c>
      <c r="L2640" s="113">
        <v>0</v>
      </c>
      <c r="M2640" s="113">
        <v>4.7927665399999997</v>
      </c>
      <c r="N2640" s="113">
        <v>0</v>
      </c>
      <c r="O2640" s="114" t="s">
        <v>1309</v>
      </c>
    </row>
    <row r="2641" spans="1:15" x14ac:dyDescent="0.25">
      <c r="A2641" s="113" t="s">
        <v>68</v>
      </c>
      <c r="B2641" s="113" t="s">
        <v>78</v>
      </c>
      <c r="C2641" s="113">
        <v>32</v>
      </c>
      <c r="D2641" s="113">
        <v>482</v>
      </c>
      <c r="E2641" s="113">
        <v>1</v>
      </c>
      <c r="F2641" s="113" t="s">
        <v>26</v>
      </c>
      <c r="G2641" s="113" t="s">
        <v>26</v>
      </c>
      <c r="H2641" s="113">
        <v>0</v>
      </c>
      <c r="I2641" s="113">
        <v>0</v>
      </c>
      <c r="K2641" s="113">
        <v>4.8333874479999999</v>
      </c>
      <c r="L2641" s="113">
        <v>0</v>
      </c>
      <c r="M2641" s="113">
        <v>4.827070655</v>
      </c>
      <c r="N2641" s="113">
        <v>0</v>
      </c>
      <c r="O2641" s="114" t="s">
        <v>1310</v>
      </c>
    </row>
    <row r="2642" spans="1:15" x14ac:dyDescent="0.25">
      <c r="A2642" s="113" t="s">
        <v>68</v>
      </c>
      <c r="B2642" s="113" t="s">
        <v>78</v>
      </c>
      <c r="C2642" s="113">
        <v>250</v>
      </c>
      <c r="D2642" s="113">
        <v>1760</v>
      </c>
      <c r="E2642" s="113">
        <v>0.1</v>
      </c>
      <c r="F2642" s="113" t="s">
        <v>23</v>
      </c>
      <c r="G2642" s="113" t="s">
        <v>23</v>
      </c>
      <c r="H2642" s="113">
        <v>0</v>
      </c>
      <c r="I2642" s="113">
        <v>0</v>
      </c>
      <c r="K2642" s="113">
        <v>2.0005886570000002</v>
      </c>
      <c r="L2642" s="113">
        <v>0</v>
      </c>
      <c r="M2642" s="113">
        <v>1.999572074</v>
      </c>
      <c r="N2642" s="113">
        <v>0</v>
      </c>
      <c r="O2642" s="114" t="s">
        <v>1311</v>
      </c>
    </row>
    <row r="2643" spans="1:15" x14ac:dyDescent="0.25">
      <c r="A2643" s="113" t="s">
        <v>68</v>
      </c>
      <c r="B2643" s="113" t="s">
        <v>78</v>
      </c>
      <c r="C2643" s="113">
        <v>250</v>
      </c>
      <c r="D2643" s="113">
        <v>1760</v>
      </c>
      <c r="E2643" s="113">
        <v>1</v>
      </c>
      <c r="F2643" s="113" t="s">
        <v>23</v>
      </c>
      <c r="G2643" s="113" t="s">
        <v>23</v>
      </c>
      <c r="H2643" s="113">
        <v>0</v>
      </c>
      <c r="I2643" s="113">
        <v>0</v>
      </c>
      <c r="K2643" s="113">
        <v>2.0843594840000002</v>
      </c>
      <c r="L2643" s="113">
        <v>0</v>
      </c>
      <c r="M2643" s="113">
        <v>2.0804539110000002</v>
      </c>
      <c r="N2643" s="113">
        <v>0</v>
      </c>
      <c r="O2643" s="114" t="s">
        <v>1312</v>
      </c>
    </row>
    <row r="2644" spans="1:15" x14ac:dyDescent="0.25">
      <c r="A2644" s="113" t="s">
        <v>68</v>
      </c>
      <c r="B2644" s="113" t="s">
        <v>78</v>
      </c>
      <c r="C2644" s="113">
        <v>482</v>
      </c>
      <c r="D2644" s="113">
        <v>3200</v>
      </c>
      <c r="E2644" s="113">
        <v>0.1</v>
      </c>
      <c r="F2644" s="113" t="s">
        <v>26</v>
      </c>
      <c r="G2644" s="113" t="s">
        <v>26</v>
      </c>
      <c r="H2644" s="113">
        <v>0</v>
      </c>
      <c r="I2644" s="113">
        <v>0</v>
      </c>
      <c r="K2644" s="113">
        <v>3.5846263629999999</v>
      </c>
      <c r="L2644" s="113">
        <v>0</v>
      </c>
      <c r="M2644" s="113">
        <v>3.58278812</v>
      </c>
      <c r="N2644" s="113">
        <v>0</v>
      </c>
      <c r="O2644" s="114" t="s">
        <v>1313</v>
      </c>
    </row>
    <row r="2645" spans="1:15" x14ac:dyDescent="0.25">
      <c r="A2645" s="113" t="s">
        <v>68</v>
      </c>
      <c r="B2645" s="113" t="s">
        <v>78</v>
      </c>
      <c r="C2645" s="113">
        <v>482</v>
      </c>
      <c r="D2645" s="113">
        <v>3200</v>
      </c>
      <c r="E2645" s="113">
        <v>1</v>
      </c>
      <c r="F2645" s="113" t="s">
        <v>26</v>
      </c>
      <c r="G2645" s="113" t="s">
        <v>26</v>
      </c>
      <c r="H2645" s="113">
        <v>0</v>
      </c>
      <c r="I2645" s="113">
        <v>0</v>
      </c>
      <c r="K2645" s="113">
        <v>3.6358042429999999</v>
      </c>
      <c r="L2645" s="113">
        <v>0</v>
      </c>
      <c r="M2645" s="113">
        <v>3.6285493959999999</v>
      </c>
      <c r="N2645" s="113">
        <v>0</v>
      </c>
      <c r="O2645" s="114" t="s">
        <v>1314</v>
      </c>
    </row>
    <row r="2646" spans="1:15" x14ac:dyDescent="0.25">
      <c r="A2646" s="113" t="s">
        <v>68</v>
      </c>
      <c r="B2646" s="113" t="s">
        <v>79</v>
      </c>
      <c r="C2646" s="113">
        <v>-418</v>
      </c>
      <c r="D2646" s="113">
        <v>-238</v>
      </c>
      <c r="E2646" s="113">
        <v>0.1</v>
      </c>
      <c r="F2646" s="113" t="s">
        <v>26</v>
      </c>
      <c r="G2646" s="113" t="s">
        <v>26</v>
      </c>
      <c r="H2646" s="113">
        <v>0</v>
      </c>
      <c r="I2646" s="113">
        <v>0</v>
      </c>
      <c r="K2646" s="113">
        <v>3.9624103019999999</v>
      </c>
      <c r="L2646" s="113">
        <v>0</v>
      </c>
      <c r="M2646" s="113">
        <v>3.9602440140000001</v>
      </c>
      <c r="N2646" s="113">
        <v>0</v>
      </c>
      <c r="O2646" s="114" t="s">
        <v>1299</v>
      </c>
    </row>
    <row r="2647" spans="1:15" x14ac:dyDescent="0.25">
      <c r="A2647" s="113" t="s">
        <v>68</v>
      </c>
      <c r="B2647" s="113" t="s">
        <v>79</v>
      </c>
      <c r="C2647" s="113">
        <v>-418</v>
      </c>
      <c r="D2647" s="113">
        <v>-238</v>
      </c>
      <c r="E2647" s="113">
        <v>1</v>
      </c>
      <c r="F2647" s="113" t="s">
        <v>26</v>
      </c>
      <c r="G2647" s="113" t="s">
        <v>26</v>
      </c>
      <c r="H2647" s="113">
        <v>0</v>
      </c>
      <c r="I2647" s="113">
        <v>0</v>
      </c>
      <c r="K2647" s="113">
        <v>4.010259799</v>
      </c>
      <c r="L2647" s="113">
        <v>0</v>
      </c>
      <c r="M2647" s="113">
        <v>4.001691224</v>
      </c>
      <c r="N2647" s="113">
        <v>0</v>
      </c>
      <c r="O2647" s="114" t="s">
        <v>1300</v>
      </c>
    </row>
    <row r="2648" spans="1:15" x14ac:dyDescent="0.25">
      <c r="A2648" s="113" t="s">
        <v>68</v>
      </c>
      <c r="B2648" s="113" t="s">
        <v>79</v>
      </c>
      <c r="C2648" s="113">
        <v>-250</v>
      </c>
      <c r="D2648" s="113">
        <v>-150</v>
      </c>
      <c r="E2648" s="113">
        <v>0.1</v>
      </c>
      <c r="F2648" s="113" t="s">
        <v>23</v>
      </c>
      <c r="G2648" s="113" t="s">
        <v>23</v>
      </c>
      <c r="H2648" s="113">
        <v>0</v>
      </c>
      <c r="I2648" s="113">
        <v>0</v>
      </c>
      <c r="K2648" s="113">
        <v>2.2146411810000002</v>
      </c>
      <c r="L2648" s="113">
        <v>0</v>
      </c>
      <c r="M2648" s="113">
        <v>2.2134449200000001</v>
      </c>
      <c r="N2648" s="113">
        <v>0</v>
      </c>
      <c r="O2648" s="114" t="s">
        <v>1301</v>
      </c>
    </row>
    <row r="2649" spans="1:15" x14ac:dyDescent="0.25">
      <c r="A2649" s="113" t="s">
        <v>68</v>
      </c>
      <c r="B2649" s="113" t="s">
        <v>79</v>
      </c>
      <c r="C2649" s="113">
        <v>-250</v>
      </c>
      <c r="D2649" s="113">
        <v>-150</v>
      </c>
      <c r="E2649" s="113">
        <v>1</v>
      </c>
      <c r="F2649" s="113" t="s">
        <v>23</v>
      </c>
      <c r="G2649" s="113" t="s">
        <v>23</v>
      </c>
      <c r="H2649" s="113">
        <v>0</v>
      </c>
      <c r="I2649" s="113">
        <v>0</v>
      </c>
      <c r="K2649" s="113">
        <v>2.2914028439999998</v>
      </c>
      <c r="L2649" s="113">
        <v>0</v>
      </c>
      <c r="M2649" s="113">
        <v>2.2867746750000002</v>
      </c>
      <c r="N2649" s="113">
        <v>0</v>
      </c>
      <c r="O2649" s="114" t="s">
        <v>1302</v>
      </c>
    </row>
    <row r="2650" spans="1:15" x14ac:dyDescent="0.25">
      <c r="A2650" s="113" t="s">
        <v>68</v>
      </c>
      <c r="B2650" s="113" t="s">
        <v>79</v>
      </c>
      <c r="C2650" s="113">
        <v>-238</v>
      </c>
      <c r="D2650" s="113">
        <v>752</v>
      </c>
      <c r="E2650" s="113">
        <v>0.1</v>
      </c>
      <c r="F2650" s="113" t="s">
        <v>26</v>
      </c>
      <c r="G2650" s="113" t="s">
        <v>26</v>
      </c>
      <c r="H2650" s="113">
        <v>0</v>
      </c>
      <c r="I2650" s="113">
        <v>0</v>
      </c>
      <c r="K2650" s="113">
        <v>1.9193133179999999</v>
      </c>
      <c r="L2650" s="113">
        <v>0</v>
      </c>
      <c r="M2650" s="113">
        <v>1.9156064310000001</v>
      </c>
      <c r="N2650" s="113">
        <v>0</v>
      </c>
      <c r="O2650" s="114" t="s">
        <v>1303</v>
      </c>
    </row>
    <row r="2651" spans="1:15" x14ac:dyDescent="0.25">
      <c r="A2651" s="113" t="s">
        <v>68</v>
      </c>
      <c r="B2651" s="113" t="s">
        <v>79</v>
      </c>
      <c r="C2651" s="113">
        <v>-238</v>
      </c>
      <c r="D2651" s="113">
        <v>752</v>
      </c>
      <c r="E2651" s="113">
        <v>1</v>
      </c>
      <c r="F2651" s="113" t="s">
        <v>26</v>
      </c>
      <c r="G2651" s="113" t="s">
        <v>26</v>
      </c>
      <c r="H2651" s="113">
        <v>0</v>
      </c>
      <c r="I2651" s="113">
        <v>0</v>
      </c>
      <c r="K2651" s="113">
        <v>2.0140532379999998</v>
      </c>
      <c r="L2651" s="113">
        <v>0</v>
      </c>
      <c r="M2651" s="113">
        <v>1.9998869969999999</v>
      </c>
      <c r="N2651" s="113">
        <v>0</v>
      </c>
      <c r="O2651" s="114" t="s">
        <v>1304</v>
      </c>
    </row>
    <row r="2652" spans="1:15" x14ac:dyDescent="0.25">
      <c r="A2652" s="113" t="s">
        <v>68</v>
      </c>
      <c r="B2652" s="113" t="s">
        <v>79</v>
      </c>
      <c r="C2652" s="113">
        <v>-150</v>
      </c>
      <c r="D2652" s="113">
        <v>400</v>
      </c>
      <c r="E2652" s="113">
        <v>0.1</v>
      </c>
      <c r="F2652" s="113" t="s">
        <v>23</v>
      </c>
      <c r="G2652" s="113" t="s">
        <v>23</v>
      </c>
      <c r="H2652" s="113">
        <v>0</v>
      </c>
      <c r="I2652" s="113">
        <v>0</v>
      </c>
      <c r="K2652" s="113">
        <v>1.0694359710000001</v>
      </c>
      <c r="L2652" s="113">
        <v>0</v>
      </c>
      <c r="M2652" s="113">
        <v>1.0673826689999999</v>
      </c>
      <c r="N2652" s="113">
        <v>0</v>
      </c>
      <c r="O2652" s="114" t="s">
        <v>1305</v>
      </c>
    </row>
    <row r="2653" spans="1:15" x14ac:dyDescent="0.25">
      <c r="A2653" s="113" t="s">
        <v>68</v>
      </c>
      <c r="B2653" s="113" t="s">
        <v>79</v>
      </c>
      <c r="C2653" s="113">
        <v>-150</v>
      </c>
      <c r="D2653" s="113">
        <v>400</v>
      </c>
      <c r="E2653" s="113">
        <v>1</v>
      </c>
      <c r="F2653" s="113" t="s">
        <v>23</v>
      </c>
      <c r="G2653" s="113" t="s">
        <v>23</v>
      </c>
      <c r="H2653" s="113">
        <v>0</v>
      </c>
      <c r="I2653" s="113">
        <v>0</v>
      </c>
      <c r="K2653" s="113">
        <v>1.219367007</v>
      </c>
      <c r="L2653" s="113">
        <v>0</v>
      </c>
      <c r="M2653" s="113">
        <v>1.212149232</v>
      </c>
      <c r="N2653" s="113">
        <v>0</v>
      </c>
      <c r="O2653" s="114" t="s">
        <v>1306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dataValidations count="6">
    <dataValidation type="custom" allowBlank="1" showInputMessage="1" showErrorMessage="1" sqref="E2:E2653" xr:uid="{33BCCB26-41D2-4727-AFD6-73D8332A9373}">
      <formula1>10^INT(LOG10(E2))=E2</formula1>
    </dataValidation>
    <dataValidation type="decimal" operator="greaterThanOrEqual" allowBlank="1" showInputMessage="1" showErrorMessage="1" sqref="L2:N2653 K3:K2653" xr:uid="{050A0945-52D2-4883-8468-97FD5725F2BE}">
      <formula1>-9999999999999990000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F2:G2653 J2:J2653" xr:uid="{4C11C343-A5DD-4521-AE85-6BE0BDF8AF04}">
      <formula1>8</formula1>
    </dataValidation>
    <dataValidation type="decimal" operator="greaterThanOrEqual" allowBlank="1" showInputMessage="1" showErrorMessage="1" sqref="I2:I2653 D2:D2653" xr:uid="{99CF44DF-0F28-4692-8C57-97FCC17BE2FB}">
      <formula1>C2</formula1>
    </dataValidation>
    <dataValidation type="decimal" operator="lessThanOrEqual" allowBlank="1" showInputMessage="1" showErrorMessage="1" sqref="H2:H2653 C2:C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2023-08-22T22:16:09Z</dcterms:modified>
</cp:coreProperties>
</file>