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refreshAllConnections="1" defaultThemeVersion="124226"/>
  <mc:AlternateContent xmlns:mc="http://schemas.openxmlformats.org/markup-compatibility/2006">
    <mc:Choice Requires="x15">
      <x15ac:absPath xmlns:x15ac="http://schemas.microsoft.com/office/spreadsheetml/2010/11/ac" url="C:\Users\JGI\git\Electrical-Workbook\"/>
    </mc:Choice>
  </mc:AlternateContent>
  <xr:revisionPtr revIDLastSave="0" documentId="13_ncr:1_{091C03A6-C1E2-40FA-8810-B6935330035E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Print" sheetId="29" r:id="rId1"/>
    <sheet name="Worksheet" sheetId="3" r:id="rId2"/>
    <sheet name="Unc. Lookup" sheetId="31" r:id="rId3"/>
    <sheet name="Items" sheetId="35" r:id="rId4"/>
  </sheets>
  <functionGroups builtInGroupCount="19"/>
  <definedNames>
    <definedName name="_xleta.UNIQUE" hidden="1" xlm="1">#NAME?</definedName>
    <definedName name="ExternalData_1" localSheetId="2" hidden="1">'Unc. Lookup'!$A$1:$O$2959</definedName>
    <definedName name="ExternalData_2" localSheetId="3" hidden="1">Items!$A$1:$B$43</definedName>
    <definedName name="_xlnm.Print_Area" localSheetId="0">Print!$A:$G</definedName>
    <definedName name="_xlnm.Print_Area" localSheetId="1">Worksheet!$B$1:$H$46</definedName>
    <definedName name="_xlnm.Print_Titles" localSheetId="0">Print!$1:$3</definedName>
  </definedNames>
  <calcPr calcId="191029"/>
  <pivotCaches>
    <pivotCache cacheId="2" r:id="rId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6" i="3" l="1" a="1"/>
  <c r="H22" i="3" a="1"/>
  <c r="H23" i="3" a="1"/>
  <c r="H12" i="3" a="1"/>
  <c r="H30" i="3" a="1"/>
  <c r="H26" i="3" a="1"/>
  <c r="H27" i="3" a="1"/>
  <c r="H28" i="3" a="1"/>
  <c r="H18" i="3" a="1"/>
  <c r="H25" i="3" a="1"/>
  <c r="H9" i="3" a="1"/>
  <c r="H11" i="3" a="1"/>
  <c r="H29" i="3" a="1"/>
  <c r="H24" i="3" a="1"/>
  <c r="H21" i="3" a="1"/>
  <c r="H13" i="3" a="1"/>
  <c r="H20" i="3" a="1"/>
  <c r="H19" i="3" a="1"/>
  <c r="H7" i="3" a="1"/>
  <c r="H10" i="3" a="1"/>
  <c r="H17" i="3" a="1"/>
  <c r="H14" i="3" a="1"/>
  <c r="H15" i="3" a="1"/>
  <c r="C16" i="3" a="1"/>
  <c r="C22" i="3" a="1"/>
  <c r="C28" i="3" a="1"/>
  <c r="C34" i="3" a="1"/>
  <c r="C40" i="3" a="1"/>
  <c r="C46" i="3" a="1"/>
  <c r="C52" i="3" a="1"/>
  <c r="C58" i="3" a="1"/>
  <c r="C64" i="3" a="1"/>
  <c r="C70" i="3" a="1"/>
  <c r="C76" i="3" a="1"/>
  <c r="C82" i="3" a="1"/>
  <c r="C88" i="3" a="1"/>
  <c r="C94" i="3" a="1"/>
  <c r="C100" i="3" a="1"/>
  <c r="C106" i="3" a="1"/>
  <c r="C78" i="3" a="1"/>
  <c r="C108" i="3" a="1"/>
  <c r="C97" i="3" a="1"/>
  <c r="C56" i="3" a="1"/>
  <c r="C98" i="3" a="1"/>
  <c r="C39" i="3" a="1"/>
  <c r="C93" i="3" a="1"/>
  <c r="C83" i="3" a="1"/>
  <c r="C66" i="3" a="1"/>
  <c r="C90" i="3" a="1"/>
  <c r="C91" i="3" a="1"/>
  <c r="C62" i="3" a="1"/>
  <c r="C110" i="3" a="1"/>
  <c r="C69" i="3" a="1"/>
  <c r="C99" i="3" a="1"/>
  <c r="C11" i="3" a="1"/>
  <c r="C17" i="3" a="1"/>
  <c r="C23" i="3" a="1"/>
  <c r="C29" i="3" a="1"/>
  <c r="C35" i="3" a="1"/>
  <c r="C41" i="3" a="1"/>
  <c r="C47" i="3" a="1"/>
  <c r="C53" i="3" a="1"/>
  <c r="C59" i="3" a="1"/>
  <c r="C65" i="3" a="1"/>
  <c r="C71" i="3" a="1"/>
  <c r="C77" i="3" a="1"/>
  <c r="C89" i="3" a="1"/>
  <c r="C95" i="3" a="1"/>
  <c r="C101" i="3" a="1"/>
  <c r="C107" i="3" a="1"/>
  <c r="C54" i="3" a="1"/>
  <c r="C84" i="3" a="1"/>
  <c r="C85" i="3" a="1"/>
  <c r="C32" i="3" a="1"/>
  <c r="C104" i="3" a="1"/>
  <c r="C63" i="3" a="1"/>
  <c r="C105" i="3" a="1"/>
  <c r="C18" i="3" a="1"/>
  <c r="C60" i="3" a="1"/>
  <c r="C96" i="3" a="1"/>
  <c r="C109" i="3" a="1"/>
  <c r="C68" i="3" a="1"/>
  <c r="C21" i="3" a="1"/>
  <c r="C87" i="3" a="1"/>
  <c r="C12" i="3" a="1"/>
  <c r="C24" i="3" a="1"/>
  <c r="C30" i="3" a="1"/>
  <c r="C36" i="3" a="1"/>
  <c r="C42" i="3" a="1"/>
  <c r="C48" i="3" a="1"/>
  <c r="C72" i="3" a="1"/>
  <c r="C102" i="3" a="1"/>
  <c r="C44" i="3" a="1"/>
  <c r="C92" i="3" a="1"/>
  <c r="C51" i="3" a="1"/>
  <c r="C61" i="3" a="1"/>
  <c r="C86" i="3" a="1"/>
  <c r="C33" i="3" a="1"/>
  <c r="C13" i="3" a="1"/>
  <c r="C19" i="3" a="1"/>
  <c r="C25" i="3" a="1"/>
  <c r="C31" i="3" a="1"/>
  <c r="C37" i="3" a="1"/>
  <c r="C43" i="3" a="1"/>
  <c r="C49" i="3" a="1"/>
  <c r="C55" i="3" a="1"/>
  <c r="C67" i="3" a="1"/>
  <c r="C73" i="3" a="1"/>
  <c r="C79" i="3" a="1"/>
  <c r="C103" i="3" a="1"/>
  <c r="C74" i="3" a="1"/>
  <c r="C27" i="3" a="1"/>
  <c r="C20" i="3" a="1"/>
  <c r="C26" i="3" a="1"/>
  <c r="C50" i="3" a="1"/>
  <c r="C80" i="3" a="1"/>
  <c r="C45" i="3" a="1"/>
  <c r="C38" i="3" a="1"/>
  <c r="C57" i="3" a="1"/>
  <c r="C75" i="3" a="1"/>
  <c r="C15" i="3" a="1"/>
  <c r="C81" i="3" a="1"/>
  <c r="C8" i="3" a="1"/>
  <c r="C9" i="3" a="1"/>
  <c r="C81" i="3" l="1"/>
  <c r="C15" i="3"/>
  <c r="C75" i="3"/>
  <c r="C57" i="3"/>
  <c r="C38" i="3"/>
  <c r="C45" i="3"/>
  <c r="C80" i="3"/>
  <c r="C50" i="3"/>
  <c r="C26" i="3"/>
  <c r="C20" i="3"/>
  <c r="C27" i="3"/>
  <c r="C74" i="3"/>
  <c r="C103" i="3"/>
  <c r="C79" i="3"/>
  <c r="C73" i="3"/>
  <c r="C67" i="3"/>
  <c r="C55" i="3"/>
  <c r="C49" i="3"/>
  <c r="C43" i="3"/>
  <c r="C37" i="3"/>
  <c r="C31" i="3"/>
  <c r="C25" i="3"/>
  <c r="C19" i="3"/>
  <c r="C13" i="3"/>
  <c r="C33" i="3"/>
  <c r="C86" i="3"/>
  <c r="C61" i="3"/>
  <c r="C51" i="3"/>
  <c r="C92" i="3"/>
  <c r="C44" i="3"/>
  <c r="C102" i="3"/>
  <c r="C72" i="3"/>
  <c r="C48" i="3"/>
  <c r="C42" i="3"/>
  <c r="C36" i="3"/>
  <c r="C30" i="3"/>
  <c r="C24" i="3"/>
  <c r="C12" i="3"/>
  <c r="C87" i="3"/>
  <c r="C21" i="3"/>
  <c r="C68" i="3"/>
  <c r="C109" i="3"/>
  <c r="C96" i="3"/>
  <c r="C60" i="3"/>
  <c r="C18" i="3"/>
  <c r="C105" i="3"/>
  <c r="C63" i="3"/>
  <c r="C104" i="3"/>
  <c r="C32" i="3"/>
  <c r="C85" i="3"/>
  <c r="C84" i="3"/>
  <c r="C54" i="3"/>
  <c r="C107" i="3"/>
  <c r="C101" i="3"/>
  <c r="C95" i="3"/>
  <c r="C89" i="3"/>
  <c r="C77" i="3"/>
  <c r="C71" i="3"/>
  <c r="C65" i="3"/>
  <c r="C59" i="3"/>
  <c r="C53" i="3"/>
  <c r="C47" i="3"/>
  <c r="C41" i="3"/>
  <c r="C35" i="3"/>
  <c r="C29" i="3"/>
  <c r="C23" i="3"/>
  <c r="C17" i="3"/>
  <c r="C11" i="3"/>
  <c r="C99" i="3"/>
  <c r="C69" i="3"/>
  <c r="C110" i="3"/>
  <c r="C62" i="3"/>
  <c r="C91" i="3"/>
  <c r="C90" i="3"/>
  <c r="C66" i="3"/>
  <c r="C83" i="3"/>
  <c r="C93" i="3"/>
  <c r="C39" i="3"/>
  <c r="C98" i="3"/>
  <c r="C56" i="3"/>
  <c r="C97" i="3"/>
  <c r="C108" i="3"/>
  <c r="C78" i="3"/>
  <c r="C106" i="3"/>
  <c r="C100" i="3"/>
  <c r="C94" i="3"/>
  <c r="C88" i="3"/>
  <c r="C82" i="3"/>
  <c r="C76" i="3"/>
  <c r="C70" i="3"/>
  <c r="C64" i="3"/>
  <c r="C58" i="3"/>
  <c r="C52" i="3"/>
  <c r="C46" i="3"/>
  <c r="C40" i="3"/>
  <c r="C34" i="3"/>
  <c r="C28" i="3"/>
  <c r="C22" i="3"/>
  <c r="C16" i="3"/>
  <c r="C8" i="3"/>
  <c r="C9" i="3"/>
  <c r="H15" i="3"/>
  <c r="H19" i="3"/>
  <c r="H20" i="3"/>
  <c r="H13" i="3"/>
  <c r="H21" i="3"/>
  <c r="H14" i="3"/>
  <c r="H24" i="3"/>
  <c r="H29" i="3"/>
  <c r="H17" i="3"/>
  <c r="H11" i="3"/>
  <c r="H9" i="3"/>
  <c r="H25" i="3"/>
  <c r="H18" i="3"/>
  <c r="H28" i="3"/>
  <c r="H10" i="3"/>
  <c r="H27" i="3"/>
  <c r="H26" i="3"/>
  <c r="H30" i="3"/>
  <c r="H12" i="3"/>
  <c r="H23" i="3"/>
  <c r="H22" i="3"/>
  <c r="H16" i="3"/>
  <c r="H7" i="3"/>
  <c r="H8" i="3" a="1"/>
  <c r="H8" i="3"/>
  <c r="H6" i="3" a="1"/>
  <c r="H6" i="3" l="1"/>
  <c r="AB6" i="3" l="1"/>
  <c r="AC6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AB7" i="3" l="1"/>
  <c r="AC7" i="3"/>
  <c r="AB8" i="3"/>
  <c r="AC8" i="3"/>
  <c r="AB9" i="3"/>
  <c r="AC9" i="3"/>
  <c r="AB10" i="3"/>
  <c r="AC10" i="3"/>
  <c r="AB11" i="3"/>
  <c r="AC11" i="3"/>
  <c r="AB12" i="3"/>
  <c r="AC12" i="3"/>
  <c r="AB13" i="3"/>
  <c r="AC13" i="3"/>
  <c r="AB14" i="3"/>
  <c r="AC14" i="3"/>
  <c r="AB15" i="3"/>
  <c r="AC15" i="3"/>
  <c r="AB16" i="3"/>
  <c r="AC16" i="3"/>
  <c r="AB17" i="3"/>
  <c r="AC17" i="3"/>
  <c r="AB18" i="3"/>
  <c r="AC18" i="3"/>
  <c r="AB19" i="3"/>
  <c r="AC19" i="3"/>
  <c r="AB20" i="3"/>
  <c r="AC20" i="3"/>
  <c r="AB21" i="3"/>
  <c r="AC21" i="3"/>
  <c r="AB22" i="3"/>
  <c r="AC22" i="3"/>
  <c r="AB23" i="3"/>
  <c r="AC23" i="3"/>
  <c r="AB24" i="3"/>
  <c r="AC24" i="3"/>
  <c r="AB25" i="3"/>
  <c r="AC25" i="3"/>
  <c r="AB26" i="3"/>
  <c r="AC26" i="3"/>
  <c r="AB27" i="3"/>
  <c r="AC27" i="3"/>
  <c r="AB28" i="3"/>
  <c r="AC28" i="3"/>
  <c r="AB29" i="3"/>
  <c r="AC29" i="3"/>
  <c r="AB30" i="3"/>
  <c r="AC30" i="3"/>
  <c r="AB31" i="3"/>
  <c r="AC31" i="3"/>
  <c r="AB32" i="3"/>
  <c r="AC32" i="3"/>
  <c r="AB33" i="3"/>
  <c r="AC33" i="3"/>
  <c r="AB34" i="3"/>
  <c r="AC34" i="3"/>
  <c r="AB35" i="3"/>
  <c r="AC35" i="3"/>
  <c r="AB36" i="3"/>
  <c r="AC36" i="3"/>
  <c r="AB37" i="3"/>
  <c r="AC37" i="3"/>
  <c r="AB38" i="3"/>
  <c r="AC38" i="3"/>
  <c r="AB39" i="3"/>
  <c r="AC39" i="3"/>
  <c r="AB40" i="3"/>
  <c r="AC40" i="3"/>
  <c r="AB41" i="3"/>
  <c r="AC41" i="3"/>
  <c r="AB42" i="3"/>
  <c r="AC42" i="3"/>
  <c r="AB43" i="3"/>
  <c r="AC43" i="3"/>
  <c r="AB44" i="3"/>
  <c r="AC44" i="3"/>
  <c r="AB45" i="3"/>
  <c r="AC45" i="3"/>
  <c r="AB46" i="3"/>
  <c r="AC46" i="3"/>
  <c r="G46" i="3" s="1"/>
  <c r="AB47" i="3"/>
  <c r="AC47" i="3"/>
  <c r="AB48" i="3"/>
  <c r="AC48" i="3"/>
  <c r="G48" i="3" s="1"/>
  <c r="AB49" i="3"/>
  <c r="AC49" i="3"/>
  <c r="AB50" i="3"/>
  <c r="AC50" i="3"/>
  <c r="G50" i="3" s="1"/>
  <c r="AB51" i="3"/>
  <c r="AC51" i="3"/>
  <c r="AB52" i="3"/>
  <c r="AC52" i="3"/>
  <c r="G52" i="3" s="1"/>
  <c r="AB53" i="3"/>
  <c r="AC53" i="3"/>
  <c r="AB54" i="3"/>
  <c r="AC54" i="3"/>
  <c r="G54" i="3" s="1"/>
  <c r="AB55" i="3"/>
  <c r="AC55" i="3"/>
  <c r="AB56" i="3"/>
  <c r="AC56" i="3"/>
  <c r="G56" i="3" s="1"/>
  <c r="AB57" i="3"/>
  <c r="AC57" i="3"/>
  <c r="AB58" i="3"/>
  <c r="AC58" i="3"/>
  <c r="G58" i="3" s="1"/>
  <c r="AB59" i="3"/>
  <c r="AC59" i="3"/>
  <c r="AB60" i="3"/>
  <c r="AC60" i="3"/>
  <c r="G60" i="3" s="1"/>
  <c r="AB61" i="3"/>
  <c r="AC61" i="3"/>
  <c r="AB62" i="3"/>
  <c r="AC62" i="3"/>
  <c r="G62" i="3" s="1"/>
  <c r="AB63" i="3"/>
  <c r="AC63" i="3"/>
  <c r="AB64" i="3"/>
  <c r="AC64" i="3"/>
  <c r="G64" i="3" s="1"/>
  <c r="AB65" i="3"/>
  <c r="AC65" i="3"/>
  <c r="AB66" i="3"/>
  <c r="AC66" i="3"/>
  <c r="G66" i="3" s="1"/>
  <c r="AB67" i="3"/>
  <c r="AC67" i="3"/>
  <c r="AB68" i="3"/>
  <c r="AC68" i="3"/>
  <c r="G68" i="3" s="1"/>
  <c r="AB69" i="3"/>
  <c r="AC69" i="3"/>
  <c r="AB70" i="3"/>
  <c r="AC70" i="3"/>
  <c r="G70" i="3" s="1"/>
  <c r="AB71" i="3"/>
  <c r="AC71" i="3"/>
  <c r="AB72" i="3"/>
  <c r="AC72" i="3"/>
  <c r="G72" i="3" s="1"/>
  <c r="AB73" i="3"/>
  <c r="AC73" i="3"/>
  <c r="AB74" i="3"/>
  <c r="AC74" i="3"/>
  <c r="G74" i="3" s="1"/>
  <c r="AB75" i="3"/>
  <c r="AC75" i="3"/>
  <c r="AB76" i="3"/>
  <c r="AC76" i="3"/>
  <c r="G76" i="3" s="1"/>
  <c r="AB77" i="3"/>
  <c r="AC77" i="3"/>
  <c r="AB78" i="3"/>
  <c r="AC78" i="3"/>
  <c r="G78" i="3" s="1"/>
  <c r="AB79" i="3"/>
  <c r="AC79" i="3"/>
  <c r="AB80" i="3"/>
  <c r="AC80" i="3"/>
  <c r="G80" i="3" s="1"/>
  <c r="AB81" i="3"/>
  <c r="AC81" i="3"/>
  <c r="AB82" i="3"/>
  <c r="AC82" i="3"/>
  <c r="G82" i="3" s="1"/>
  <c r="AB83" i="3"/>
  <c r="AC83" i="3"/>
  <c r="AB84" i="3"/>
  <c r="AC84" i="3"/>
  <c r="G84" i="3" s="1"/>
  <c r="AB85" i="3"/>
  <c r="AC85" i="3"/>
  <c r="AB86" i="3"/>
  <c r="AC86" i="3"/>
  <c r="G86" i="3" s="1"/>
  <c r="AB87" i="3"/>
  <c r="AC87" i="3"/>
  <c r="AB88" i="3"/>
  <c r="AC88" i="3"/>
  <c r="G88" i="3" s="1"/>
  <c r="AB89" i="3"/>
  <c r="AC89" i="3"/>
  <c r="AB90" i="3"/>
  <c r="AC90" i="3"/>
  <c r="G90" i="3" s="1"/>
  <c r="AB91" i="3"/>
  <c r="AC91" i="3"/>
  <c r="AB92" i="3"/>
  <c r="AC92" i="3"/>
  <c r="G92" i="3" s="1"/>
  <c r="AB93" i="3"/>
  <c r="AC93" i="3"/>
  <c r="AB94" i="3"/>
  <c r="AC94" i="3"/>
  <c r="G94" i="3" s="1"/>
  <c r="AB95" i="3"/>
  <c r="AC95" i="3"/>
  <c r="AB96" i="3"/>
  <c r="AC96" i="3"/>
  <c r="G96" i="3" s="1"/>
  <c r="AB97" i="3"/>
  <c r="AC97" i="3"/>
  <c r="AB98" i="3"/>
  <c r="AC98" i="3"/>
  <c r="AB99" i="3"/>
  <c r="AC99" i="3"/>
  <c r="AB100" i="3"/>
  <c r="AC100" i="3"/>
  <c r="G100" i="3" s="1"/>
  <c r="AB101" i="3"/>
  <c r="AC101" i="3"/>
  <c r="AB102" i="3"/>
  <c r="AC102" i="3"/>
  <c r="G102" i="3" s="1"/>
  <c r="AB103" i="3"/>
  <c r="AC103" i="3"/>
  <c r="AB104" i="3"/>
  <c r="AC104" i="3"/>
  <c r="G104" i="3" s="1"/>
  <c r="AB105" i="3"/>
  <c r="AC105" i="3"/>
  <c r="AB106" i="3"/>
  <c r="AC106" i="3"/>
  <c r="AB107" i="3"/>
  <c r="AC107" i="3"/>
  <c r="AB108" i="3"/>
  <c r="AC108" i="3"/>
  <c r="G108" i="3" s="1"/>
  <c r="AB109" i="3"/>
  <c r="AC109" i="3"/>
  <c r="AB110" i="3"/>
  <c r="AC110" i="3"/>
  <c r="G110" i="3" s="1"/>
  <c r="G45" i="3"/>
  <c r="G47" i="3"/>
  <c r="G49" i="3"/>
  <c r="G51" i="3"/>
  <c r="G53" i="3"/>
  <c r="G55" i="3"/>
  <c r="G57" i="3"/>
  <c r="G59" i="3"/>
  <c r="G61" i="3"/>
  <c r="G63" i="3"/>
  <c r="G65" i="3"/>
  <c r="G67" i="3"/>
  <c r="G69" i="3"/>
  <c r="G71" i="3"/>
  <c r="G73" i="3"/>
  <c r="G75" i="3"/>
  <c r="G77" i="3"/>
  <c r="G79" i="3"/>
  <c r="G81" i="3"/>
  <c r="G83" i="3"/>
  <c r="G85" i="3"/>
  <c r="G87" i="3"/>
  <c r="G89" i="3"/>
  <c r="G91" i="3"/>
  <c r="G98" i="3"/>
  <c r="G106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G93" i="3"/>
  <c r="F94" i="3"/>
  <c r="F95" i="3"/>
  <c r="G95" i="3"/>
  <c r="F96" i="3"/>
  <c r="F97" i="3"/>
  <c r="G97" i="3"/>
  <c r="F98" i="3"/>
  <c r="F99" i="3"/>
  <c r="G99" i="3"/>
  <c r="F100" i="3"/>
  <c r="F101" i="3"/>
  <c r="G101" i="3"/>
  <c r="F102" i="3"/>
  <c r="F103" i="3"/>
  <c r="G103" i="3"/>
  <c r="F104" i="3"/>
  <c r="F105" i="3"/>
  <c r="G105" i="3"/>
  <c r="F106" i="3"/>
  <c r="F107" i="3"/>
  <c r="G107" i="3"/>
  <c r="F108" i="3"/>
  <c r="F109" i="3"/>
  <c r="G109" i="3"/>
  <c r="F110" i="3"/>
  <c r="AF6" i="3" l="1"/>
  <c r="Y49" i="3" a="1"/>
  <c r="Y57" i="3" a="1"/>
  <c r="Y65" i="3" a="1"/>
  <c r="Y73" i="3" a="1"/>
  <c r="Y81" i="3" a="1"/>
  <c r="Y89" i="3" a="1"/>
  <c r="Y97" i="3" a="1"/>
  <c r="Y105" i="3" a="1"/>
  <c r="Y108" i="3" a="1"/>
  <c r="Y46" i="3" a="1"/>
  <c r="Y54" i="3" a="1"/>
  <c r="Y62" i="3" a="1"/>
  <c r="Y70" i="3" a="1"/>
  <c r="Y78" i="3" a="1"/>
  <c r="Y86" i="3" a="1"/>
  <c r="Y96" i="3" a="1"/>
  <c r="Y104" i="3" a="1"/>
  <c r="AG86" i="3" a="1"/>
  <c r="AG59" i="3" a="1"/>
  <c r="AG48" i="3" a="1"/>
  <c r="AG56" i="3" a="1"/>
  <c r="AG64" i="3" a="1"/>
  <c r="AG72" i="3" a="1"/>
  <c r="AG80" i="3" a="1"/>
  <c r="AG90" i="3" a="1"/>
  <c r="AG98" i="3" a="1"/>
  <c r="AG106" i="3" a="1"/>
  <c r="AG55" i="3" a="1"/>
  <c r="AG69" i="3" a="1"/>
  <c r="AG83" i="3" a="1"/>
  <c r="AG85" i="3" a="1"/>
  <c r="AG75" i="3" a="1"/>
  <c r="AG81" i="3" a="1"/>
  <c r="H46" i="3" a="1"/>
  <c r="H54" i="3" a="1"/>
  <c r="H62" i="3" a="1"/>
  <c r="H70" i="3" a="1"/>
  <c r="H78" i="3" a="1"/>
  <c r="H86" i="3" a="1"/>
  <c r="H94" i="3" a="1"/>
  <c r="H102" i="3" a="1"/>
  <c r="H110" i="3" a="1"/>
  <c r="H81" i="3" a="1"/>
  <c r="H97" i="3" a="1"/>
  <c r="Y51" i="3" a="1"/>
  <c r="Y59" i="3" a="1"/>
  <c r="Y67" i="3" a="1"/>
  <c r="Y75" i="3" a="1"/>
  <c r="Y83" i="3" a="1"/>
  <c r="Y91" i="3" a="1"/>
  <c r="Y99" i="3" a="1"/>
  <c r="Y107" i="3" a="1"/>
  <c r="Y48" i="3" a="1"/>
  <c r="Y56" i="3" a="1"/>
  <c r="Y64" i="3" a="1"/>
  <c r="Y72" i="3" a="1"/>
  <c r="Y80" i="3" a="1"/>
  <c r="Y88" i="3" a="1"/>
  <c r="Y98" i="3" a="1"/>
  <c r="Y106" i="3" a="1"/>
  <c r="AG45" i="3" a="1"/>
  <c r="AG63" i="3" a="1"/>
  <c r="AG50" i="3" a="1"/>
  <c r="AG58" i="3" a="1"/>
  <c r="AG66" i="3" a="1"/>
  <c r="AG74" i="3" a="1"/>
  <c r="AG82" i="3" a="1"/>
  <c r="AG92" i="3" a="1"/>
  <c r="AG100" i="3" a="1"/>
  <c r="AG108" i="3" a="1"/>
  <c r="AG57" i="3" a="1"/>
  <c r="AG73" i="3" a="1"/>
  <c r="AG91" i="3" a="1"/>
  <c r="AG93" i="3" a="1"/>
  <c r="AG87" i="3" a="1"/>
  <c r="AG89" i="3" a="1"/>
  <c r="H48" i="3" a="1"/>
  <c r="H56" i="3" a="1"/>
  <c r="H64" i="3" a="1"/>
  <c r="H72" i="3" a="1"/>
  <c r="H80" i="3" a="1"/>
  <c r="H88" i="3" a="1"/>
  <c r="H96" i="3" a="1"/>
  <c r="H104" i="3" a="1"/>
  <c r="H85" i="3" a="1"/>
  <c r="H101" i="3" a="1"/>
  <c r="H51" i="3" a="1"/>
  <c r="H59" i="3" a="1"/>
  <c r="H67" i="3" a="1"/>
  <c r="H79" i="3" a="1"/>
  <c r="H95" i="3" a="1"/>
  <c r="Y45" i="3" a="1"/>
  <c r="Y58" i="3" a="1"/>
  <c r="Y74" i="3" a="1"/>
  <c r="Y82" i="3" a="1"/>
  <c r="Y100" i="3" a="1"/>
  <c r="AG49" i="3" a="1"/>
  <c r="AG52" i="3" a="1"/>
  <c r="AG68" i="3" a="1"/>
  <c r="AG84" i="3" a="1"/>
  <c r="Y53" i="3" a="1"/>
  <c r="Y61" i="3" a="1"/>
  <c r="Y69" i="3" a="1"/>
  <c r="Y77" i="3" a="1"/>
  <c r="Y85" i="3" a="1"/>
  <c r="Y93" i="3" a="1"/>
  <c r="Y101" i="3" a="1"/>
  <c r="Y109" i="3" a="1"/>
  <c r="Y50" i="3" a="1"/>
  <c r="Y66" i="3" a="1"/>
  <c r="Y90" i="3" a="1"/>
  <c r="Y110" i="3" a="1"/>
  <c r="AG67" i="3" a="1"/>
  <c r="AG60" i="3" a="1"/>
  <c r="AG76" i="3" a="1"/>
  <c r="AG94" i="3" a="1"/>
  <c r="AG110" i="3" a="1"/>
  <c r="Y55" i="3" a="1"/>
  <c r="Y87" i="3" a="1"/>
  <c r="Y76" i="3" a="1"/>
  <c r="AG71" i="3" a="1"/>
  <c r="AG70" i="3" a="1"/>
  <c r="AG102" i="3" a="1"/>
  <c r="AG51" i="3" a="1"/>
  <c r="AG79" i="3" a="1"/>
  <c r="AG109" i="3" a="1"/>
  <c r="AG105" i="3" a="1"/>
  <c r="H52" i="3" a="1"/>
  <c r="H68" i="3" a="1"/>
  <c r="H84" i="3" a="1"/>
  <c r="H100" i="3" a="1"/>
  <c r="H77" i="3" a="1"/>
  <c r="H109" i="3" a="1"/>
  <c r="H53" i="3" a="1"/>
  <c r="H63" i="3" a="1"/>
  <c r="H75" i="3" a="1"/>
  <c r="H99" i="3" a="1"/>
  <c r="H93" i="3" a="1"/>
  <c r="H47" i="3" a="1"/>
  <c r="H87" i="3" a="1"/>
  <c r="Y92" i="3" a="1"/>
  <c r="AG47" i="3" a="1"/>
  <c r="AG97" i="3" a="1"/>
  <c r="H50" i="3" a="1"/>
  <c r="H98" i="3" a="1"/>
  <c r="H49" i="3" a="1"/>
  <c r="H91" i="3" a="1"/>
  <c r="Y63" i="3" a="1"/>
  <c r="Y95" i="3" a="1"/>
  <c r="Y52" i="3" a="1"/>
  <c r="Y84" i="3" a="1"/>
  <c r="AG46" i="3" a="1"/>
  <c r="AG78" i="3" a="1"/>
  <c r="AG104" i="3" a="1"/>
  <c r="AG61" i="3" a="1"/>
  <c r="AG99" i="3" a="1"/>
  <c r="AG95" i="3" a="1"/>
  <c r="H58" i="3" a="1"/>
  <c r="H74" i="3" a="1"/>
  <c r="H90" i="3" a="1"/>
  <c r="H106" i="3" a="1"/>
  <c r="H89" i="3" a="1"/>
  <c r="H45" i="3" a="1"/>
  <c r="H55" i="3" a="1"/>
  <c r="H65" i="3" a="1"/>
  <c r="H83" i="3" a="1"/>
  <c r="H103" i="3" a="1"/>
  <c r="H60" i="3" a="1"/>
  <c r="H92" i="3" a="1"/>
  <c r="H69" i="3" a="1"/>
  <c r="H107" i="3" a="1"/>
  <c r="Y47" i="3" a="1"/>
  <c r="Y102" i="3" a="1"/>
  <c r="AG62" i="3" a="1"/>
  <c r="AG101" i="3" a="1"/>
  <c r="H66" i="3" a="1"/>
  <c r="H73" i="3" a="1"/>
  <c r="H61" i="3" a="1"/>
  <c r="Y71" i="3" a="1"/>
  <c r="Y103" i="3" a="1"/>
  <c r="Y60" i="3" a="1"/>
  <c r="Y94" i="3" a="1"/>
  <c r="AG54" i="3" a="1"/>
  <c r="AG88" i="3" a="1"/>
  <c r="AG65" i="3" a="1"/>
  <c r="AG107" i="3" a="1"/>
  <c r="AG103" i="3" a="1"/>
  <c r="H76" i="3" a="1"/>
  <c r="H108" i="3" a="1"/>
  <c r="H57" i="3" a="1"/>
  <c r="Y79" i="3" a="1"/>
  <c r="Y68" i="3" a="1"/>
  <c r="AG53" i="3" a="1"/>
  <c r="AG96" i="3" a="1"/>
  <c r="AG77" i="3" a="1"/>
  <c r="H82" i="3" a="1"/>
  <c r="H105" i="3" a="1"/>
  <c r="H71" i="3" a="1"/>
  <c r="F1" i="29" a="1"/>
  <c r="H43" i="3" a="1"/>
  <c r="H34" i="3" a="1"/>
  <c r="H31" i="3" a="1"/>
  <c r="H44" i="3" a="1"/>
  <c r="H41" i="3" a="1"/>
  <c r="H37" i="3" a="1"/>
  <c r="H39" i="3" a="1"/>
  <c r="H36" i="3" a="1"/>
  <c r="H33" i="3" a="1"/>
  <c r="H32" i="3" a="1"/>
  <c r="H40" i="3" a="1"/>
  <c r="H42" i="3" a="1"/>
  <c r="H38" i="3" a="1"/>
  <c r="H35" i="3" a="1"/>
  <c r="AG34" i="3" a="1"/>
  <c r="AG42" i="3" a="1"/>
  <c r="AG32" i="3" a="1"/>
  <c r="AG31" i="3" a="1"/>
  <c r="AG9" i="3" a="1"/>
  <c r="AG19" i="3" a="1"/>
  <c r="AG41" i="3" a="1"/>
  <c r="AG17" i="3" a="1"/>
  <c r="AG8" i="3" a="1"/>
  <c r="AG39" i="3" a="1"/>
  <c r="AG18" i="3" a="1"/>
  <c r="AG20" i="3" a="1"/>
  <c r="AG30" i="3" a="1"/>
  <c r="AG44" i="3" a="1"/>
  <c r="AG7" i="3" a="1"/>
  <c r="AG29" i="3" a="1"/>
  <c r="AG13" i="3" a="1"/>
  <c r="AG16" i="3" a="1"/>
  <c r="AG27" i="3" a="1"/>
  <c r="AG21" i="3" a="1"/>
  <c r="AG36" i="3" a="1"/>
  <c r="AG26" i="3" a="1"/>
  <c r="AG38" i="3" a="1"/>
  <c r="AG24" i="3" a="1"/>
  <c r="AG15" i="3" a="1"/>
  <c r="AG14" i="3" a="1"/>
  <c r="AG40" i="3" a="1"/>
  <c r="AG11" i="3" a="1"/>
  <c r="AG37" i="3" a="1"/>
  <c r="AG28" i="3" a="1"/>
  <c r="AG23" i="3" a="1"/>
  <c r="AG43" i="3" a="1"/>
  <c r="AG10" i="3" a="1"/>
  <c r="AG25" i="3" a="1"/>
  <c r="AG12" i="3" a="1"/>
  <c r="AG22" i="3" a="1"/>
  <c r="AG35" i="3" a="1"/>
  <c r="AG33" i="3" a="1"/>
  <c r="AG6" i="3" a="1"/>
  <c r="B39" i="3" l="1"/>
  <c r="B18" i="3"/>
  <c r="B25" i="3"/>
  <c r="B44" i="3"/>
  <c r="B12" i="3"/>
  <c r="B29" i="3"/>
  <c r="B34" i="3"/>
  <c r="B37" i="3"/>
  <c r="B15" i="3"/>
  <c r="B28" i="3"/>
  <c r="B33" i="3"/>
  <c r="B23" i="3"/>
  <c r="B13" i="3"/>
  <c r="B42" i="3"/>
  <c r="B26" i="3"/>
  <c r="B10" i="3"/>
  <c r="B17" i="3"/>
  <c r="B41" i="3"/>
  <c r="B31" i="3"/>
  <c r="B21" i="3"/>
  <c r="B36" i="3"/>
  <c r="B20" i="3"/>
  <c r="B7" i="3"/>
  <c r="B43" i="3"/>
  <c r="B35" i="3"/>
  <c r="B27" i="3"/>
  <c r="B19" i="3"/>
  <c r="B11" i="3"/>
  <c r="B40" i="3"/>
  <c r="B32" i="3"/>
  <c r="B24" i="3"/>
  <c r="B16" i="3"/>
  <c r="B8" i="3"/>
  <c r="B9" i="3"/>
  <c r="B38" i="3"/>
  <c r="B30" i="3"/>
  <c r="B22" i="3"/>
  <c r="B14" i="3"/>
  <c r="B6" i="3"/>
  <c r="Y110" i="3"/>
  <c r="Y106" i="3"/>
  <c r="Y104" i="3"/>
  <c r="Y102" i="3"/>
  <c r="Y100" i="3"/>
  <c r="Y98" i="3"/>
  <c r="Y96" i="3"/>
  <c r="Y94" i="3"/>
  <c r="Y90" i="3"/>
  <c r="Y88" i="3"/>
  <c r="Y86" i="3"/>
  <c r="Y84" i="3"/>
  <c r="Y82" i="3"/>
  <c r="Y80" i="3"/>
  <c r="Y78" i="3"/>
  <c r="Y76" i="3"/>
  <c r="Y74" i="3"/>
  <c r="Y72" i="3"/>
  <c r="Y70" i="3"/>
  <c r="Y68" i="3"/>
  <c r="Y66" i="3"/>
  <c r="Y64" i="3"/>
  <c r="Y62" i="3"/>
  <c r="Y60" i="3"/>
  <c r="Y58" i="3"/>
  <c r="Y56" i="3"/>
  <c r="Y54" i="3"/>
  <c r="Y52" i="3"/>
  <c r="Y50" i="3"/>
  <c r="Y48" i="3"/>
  <c r="Y46" i="3"/>
  <c r="Y108" i="3"/>
  <c r="Y92" i="3"/>
  <c r="Y109" i="3"/>
  <c r="Y107" i="3"/>
  <c r="Y105" i="3"/>
  <c r="Y103" i="3"/>
  <c r="Y101" i="3"/>
  <c r="Y99" i="3"/>
  <c r="Y97" i="3"/>
  <c r="Y95" i="3"/>
  <c r="Y93" i="3"/>
  <c r="Y91" i="3"/>
  <c r="Y89" i="3"/>
  <c r="Y87" i="3"/>
  <c r="Y85" i="3"/>
  <c r="Y83" i="3"/>
  <c r="Y81" i="3"/>
  <c r="Y79" i="3"/>
  <c r="Y77" i="3"/>
  <c r="Y75" i="3"/>
  <c r="Y73" i="3"/>
  <c r="Y71" i="3"/>
  <c r="Y69" i="3"/>
  <c r="Y67" i="3"/>
  <c r="Y65" i="3"/>
  <c r="Y63" i="3"/>
  <c r="Y61" i="3"/>
  <c r="Y59" i="3"/>
  <c r="Y57" i="3"/>
  <c r="Y55" i="3"/>
  <c r="Y53" i="3"/>
  <c r="Y51" i="3"/>
  <c r="Y49" i="3"/>
  <c r="Y47" i="3"/>
  <c r="Y45" i="3"/>
  <c r="AG105" i="3"/>
  <c r="AG97" i="3"/>
  <c r="AG89" i="3"/>
  <c r="AG81" i="3"/>
  <c r="AG103" i="3"/>
  <c r="AG95" i="3"/>
  <c r="AG87" i="3"/>
  <c r="AG75" i="3"/>
  <c r="AG109" i="3"/>
  <c r="AG101" i="3"/>
  <c r="AG93" i="3"/>
  <c r="AG85" i="3"/>
  <c r="AG107" i="3"/>
  <c r="AG99" i="3"/>
  <c r="AG91" i="3"/>
  <c r="AG83" i="3"/>
  <c r="AG79" i="3"/>
  <c r="AG77" i="3"/>
  <c r="AG73" i="3"/>
  <c r="AG69" i="3"/>
  <c r="AG65" i="3"/>
  <c r="AG61" i="3"/>
  <c r="AG57" i="3"/>
  <c r="AG55" i="3"/>
  <c r="AG51" i="3"/>
  <c r="AG47" i="3"/>
  <c r="AG43" i="3"/>
  <c r="AG39" i="3"/>
  <c r="AG35" i="3"/>
  <c r="AG31" i="3"/>
  <c r="AG27" i="3"/>
  <c r="AG23" i="3"/>
  <c r="AG21" i="3"/>
  <c r="AG17" i="3"/>
  <c r="AG13" i="3"/>
  <c r="AG11" i="3"/>
  <c r="AG9" i="3"/>
  <c r="AG110" i="3"/>
  <c r="AG108" i="3"/>
  <c r="AG106" i="3"/>
  <c r="AG104" i="3"/>
  <c r="AG102" i="3"/>
  <c r="AG100" i="3"/>
  <c r="AG98" i="3"/>
  <c r="AG96" i="3"/>
  <c r="AG94" i="3"/>
  <c r="AG92" i="3"/>
  <c r="AG90" i="3"/>
  <c r="AG88" i="3"/>
  <c r="AG84" i="3"/>
  <c r="AG82" i="3"/>
  <c r="AG80" i="3"/>
  <c r="AG78" i="3"/>
  <c r="AG76" i="3"/>
  <c r="AG74" i="3"/>
  <c r="AG72" i="3"/>
  <c r="AG70" i="3"/>
  <c r="AG68" i="3"/>
  <c r="AG66" i="3"/>
  <c r="AG64" i="3"/>
  <c r="AG62" i="3"/>
  <c r="AG60" i="3"/>
  <c r="AG58" i="3"/>
  <c r="AG56" i="3"/>
  <c r="AG54" i="3"/>
  <c r="AG52" i="3"/>
  <c r="AG50" i="3"/>
  <c r="AG48" i="3"/>
  <c r="AG46" i="3"/>
  <c r="AG44" i="3"/>
  <c r="AG42" i="3"/>
  <c r="AG40" i="3"/>
  <c r="AG38" i="3"/>
  <c r="AG36" i="3"/>
  <c r="AG34" i="3"/>
  <c r="AG32" i="3"/>
  <c r="AG30" i="3"/>
  <c r="AG28" i="3"/>
  <c r="AG26" i="3"/>
  <c r="AG24" i="3"/>
  <c r="AG22" i="3"/>
  <c r="AG20" i="3"/>
  <c r="AG18" i="3"/>
  <c r="AG16" i="3"/>
  <c r="AG14" i="3"/>
  <c r="AG12" i="3"/>
  <c r="AG10" i="3"/>
  <c r="AG8" i="3"/>
  <c r="AG71" i="3"/>
  <c r="AG67" i="3"/>
  <c r="AG63" i="3"/>
  <c r="AG59" i="3"/>
  <c r="AG53" i="3"/>
  <c r="AG49" i="3"/>
  <c r="AG45" i="3"/>
  <c r="AG41" i="3"/>
  <c r="AG37" i="3"/>
  <c r="AG33" i="3"/>
  <c r="AG29" i="3"/>
  <c r="AG25" i="3"/>
  <c r="AG19" i="3"/>
  <c r="AG15" i="3"/>
  <c r="AG7" i="3"/>
  <c r="AG86" i="3"/>
  <c r="AG6" i="3"/>
  <c r="H107" i="3"/>
  <c r="H103" i="3"/>
  <c r="H99" i="3"/>
  <c r="H95" i="3"/>
  <c r="H91" i="3"/>
  <c r="H87" i="3"/>
  <c r="H83" i="3"/>
  <c r="H79" i="3"/>
  <c r="H75" i="3"/>
  <c r="H71" i="3"/>
  <c r="H69" i="3"/>
  <c r="H67" i="3"/>
  <c r="H65" i="3"/>
  <c r="H63" i="3"/>
  <c r="H61" i="3"/>
  <c r="H59" i="3"/>
  <c r="H57" i="3"/>
  <c r="H55" i="3"/>
  <c r="H53" i="3"/>
  <c r="H51" i="3"/>
  <c r="H49" i="3"/>
  <c r="H47" i="3"/>
  <c r="H45" i="3"/>
  <c r="H43" i="3"/>
  <c r="H41" i="3"/>
  <c r="H39" i="3"/>
  <c r="H37" i="3"/>
  <c r="H35" i="3"/>
  <c r="H33" i="3"/>
  <c r="H31" i="3"/>
  <c r="H109" i="3"/>
  <c r="H105" i="3"/>
  <c r="H101" i="3"/>
  <c r="H97" i="3"/>
  <c r="H93" i="3"/>
  <c r="H89" i="3"/>
  <c r="H85" i="3"/>
  <c r="H81" i="3"/>
  <c r="H77" i="3"/>
  <c r="H73" i="3"/>
  <c r="H110" i="3"/>
  <c r="H108" i="3"/>
  <c r="H106" i="3"/>
  <c r="H104" i="3"/>
  <c r="H102" i="3"/>
  <c r="H100" i="3"/>
  <c r="H98" i="3"/>
  <c r="H96" i="3"/>
  <c r="H94" i="3"/>
  <c r="H92" i="3"/>
  <c r="H90" i="3"/>
  <c r="H88" i="3"/>
  <c r="H86" i="3"/>
  <c r="H84" i="3"/>
  <c r="H82" i="3"/>
  <c r="H80" i="3"/>
  <c r="H78" i="3"/>
  <c r="H76" i="3"/>
  <c r="H74" i="3"/>
  <c r="H72" i="3"/>
  <c r="H70" i="3"/>
  <c r="H68" i="3"/>
  <c r="H66" i="3"/>
  <c r="H64" i="3"/>
  <c r="H62" i="3"/>
  <c r="H60" i="3"/>
  <c r="H58" i="3"/>
  <c r="H56" i="3"/>
  <c r="H54" i="3"/>
  <c r="H52" i="3"/>
  <c r="H50" i="3"/>
  <c r="H48" i="3"/>
  <c r="H46" i="3"/>
  <c r="H44" i="3"/>
  <c r="H42" i="3"/>
  <c r="H40" i="3"/>
  <c r="H38" i="3"/>
  <c r="H36" i="3"/>
  <c r="H34" i="3"/>
  <c r="H32" i="3"/>
  <c r="F1" i="29"/>
  <c r="C7" i="3" a="1"/>
  <c r="C10" i="3" a="1"/>
  <c r="C14" i="3" a="1"/>
  <c r="C6" i="3" a="1"/>
  <c r="C7" i="3" l="1"/>
  <c r="C10" i="3"/>
  <c r="C14" i="3"/>
  <c r="C6" i="3"/>
  <c r="AH6" i="3"/>
  <c r="D6" i="3"/>
  <c r="G1" i="29"/>
  <c r="G6" i="3" l="1"/>
  <c r="E6" i="3"/>
  <c r="F6" i="3"/>
  <c r="AF110" i="3"/>
  <c r="AF109" i="3"/>
  <c r="AF108" i="3"/>
  <c r="AF107" i="3"/>
  <c r="AF106" i="3"/>
  <c r="AF105" i="3"/>
  <c r="AF104" i="3"/>
  <c r="AF103" i="3"/>
  <c r="AF102" i="3"/>
  <c r="AF101" i="3"/>
  <c r="AF100" i="3"/>
  <c r="AF99" i="3"/>
  <c r="AF98" i="3"/>
  <c r="AF97" i="3"/>
  <c r="AF96" i="3"/>
  <c r="AF95" i="3"/>
  <c r="AF94" i="3"/>
  <c r="AF93" i="3"/>
  <c r="AF92" i="3"/>
  <c r="AF91" i="3"/>
  <c r="AF90" i="3"/>
  <c r="AF89" i="3"/>
  <c r="AF88" i="3"/>
  <c r="AF87" i="3"/>
  <c r="AF86" i="3"/>
  <c r="AF85" i="3"/>
  <c r="AF84" i="3"/>
  <c r="AF83" i="3"/>
  <c r="AF82" i="3"/>
  <c r="AF81" i="3"/>
  <c r="AF80" i="3"/>
  <c r="AF79" i="3"/>
  <c r="AF78" i="3"/>
  <c r="AF77" i="3"/>
  <c r="AF76" i="3"/>
  <c r="AF75" i="3"/>
  <c r="AF74" i="3"/>
  <c r="AF73" i="3"/>
  <c r="AF72" i="3"/>
  <c r="AF71" i="3"/>
  <c r="AF70" i="3"/>
  <c r="AF69" i="3"/>
  <c r="AF68" i="3"/>
  <c r="AF67" i="3"/>
  <c r="AF66" i="3"/>
  <c r="AF65" i="3"/>
  <c r="AF64" i="3"/>
  <c r="AF63" i="3"/>
  <c r="AF62" i="3"/>
  <c r="AF61" i="3"/>
  <c r="AF60" i="3"/>
  <c r="AF59" i="3"/>
  <c r="AF58" i="3"/>
  <c r="AF57" i="3"/>
  <c r="AF56" i="3"/>
  <c r="AF55" i="3"/>
  <c r="AF54" i="3"/>
  <c r="AF53" i="3"/>
  <c r="AF52" i="3"/>
  <c r="AF51" i="3"/>
  <c r="AF50" i="3"/>
  <c r="AF49" i="3"/>
  <c r="AF48" i="3"/>
  <c r="AF47" i="3"/>
  <c r="AF46" i="3"/>
  <c r="AF45" i="3"/>
  <c r="AF44" i="3"/>
  <c r="AF43" i="3"/>
  <c r="AF42" i="3"/>
  <c r="AF41" i="3"/>
  <c r="AF40" i="3"/>
  <c r="AF39" i="3"/>
  <c r="AF38" i="3"/>
  <c r="AF37" i="3"/>
  <c r="AF36" i="3"/>
  <c r="AF35" i="3"/>
  <c r="AF34" i="3"/>
  <c r="AF33" i="3"/>
  <c r="AF32" i="3"/>
  <c r="AF31" i="3"/>
  <c r="AF30" i="3"/>
  <c r="AF29" i="3"/>
  <c r="AF28" i="3"/>
  <c r="AF27" i="3"/>
  <c r="AF26" i="3"/>
  <c r="AF25" i="3"/>
  <c r="AF24" i="3"/>
  <c r="AF23" i="3"/>
  <c r="AF22" i="3"/>
  <c r="AF21" i="3"/>
  <c r="AF20" i="3"/>
  <c r="AF19" i="3"/>
  <c r="AF18" i="3"/>
  <c r="AF17" i="3"/>
  <c r="AF16" i="3"/>
  <c r="AF15" i="3"/>
  <c r="AF14" i="3"/>
  <c r="AF13" i="3"/>
  <c r="AF12" i="3"/>
  <c r="AF11" i="3"/>
  <c r="AF10" i="3"/>
  <c r="AF9" i="3"/>
  <c r="AF8" i="3"/>
  <c r="AF7" i="3"/>
  <c r="A6" i="3" a="1"/>
  <c r="A6" i="3" l="1"/>
  <c r="AH63" i="3"/>
  <c r="AH13" i="3"/>
  <c r="D13" i="3" s="1"/>
  <c r="AH31" i="3"/>
  <c r="D31" i="3" s="1"/>
  <c r="AH52" i="3"/>
  <c r="AH12" i="3"/>
  <c r="D12" i="3" s="1"/>
  <c r="AH36" i="3"/>
  <c r="D36" i="3" s="1"/>
  <c r="AH110" i="3"/>
  <c r="AH56" i="3"/>
  <c r="AH53" i="3"/>
  <c r="AH22" i="3"/>
  <c r="AH25" i="3"/>
  <c r="D25" i="3" s="1"/>
  <c r="AH43" i="3"/>
  <c r="D43" i="3" s="1"/>
  <c r="AH40" i="3"/>
  <c r="D40" i="3" s="1"/>
  <c r="AH69" i="3"/>
  <c r="AH70" i="3"/>
  <c r="AH61" i="3"/>
  <c r="AH35" i="3"/>
  <c r="D35" i="3" s="1"/>
  <c r="AH90" i="3"/>
  <c r="AH83" i="3"/>
  <c r="AH80" i="3"/>
  <c r="AH47" i="3"/>
  <c r="AH73" i="3"/>
  <c r="AH66" i="3"/>
  <c r="AH11" i="3"/>
  <c r="D11" i="3" s="1"/>
  <c r="AH95" i="3"/>
  <c r="AH42" i="3"/>
  <c r="D42" i="3" s="1"/>
  <c r="AH89" i="3"/>
  <c r="AH106" i="3"/>
  <c r="AH75" i="3"/>
  <c r="AH58" i="3"/>
  <c r="AH85" i="3"/>
  <c r="AH37" i="3"/>
  <c r="D37" i="3" s="1"/>
  <c r="AH38" i="3"/>
  <c r="D38" i="3" s="1"/>
  <c r="AH62" i="3"/>
  <c r="AH16" i="3"/>
  <c r="AH78" i="3"/>
  <c r="AH14" i="3"/>
  <c r="D14" i="3" s="1"/>
  <c r="AH54" i="3"/>
  <c r="AH65" i="3"/>
  <c r="AH17" i="3"/>
  <c r="D17" i="3" s="1"/>
  <c r="AH23" i="3"/>
  <c r="D23" i="3" s="1"/>
  <c r="AH18" i="3"/>
  <c r="D18" i="3" s="1"/>
  <c r="AH86" i="3"/>
  <c r="AH46" i="3"/>
  <c r="AH76" i="3"/>
  <c r="AH87" i="3"/>
  <c r="AH8" i="3"/>
  <c r="D8" i="3" s="1"/>
  <c r="AH48" i="3"/>
  <c r="AH88" i="3"/>
  <c r="AH64" i="3"/>
  <c r="AH26" i="3"/>
  <c r="D26" i="3" s="1"/>
  <c r="AH29" i="3"/>
  <c r="AH99" i="3"/>
  <c r="AH9" i="3"/>
  <c r="D9" i="3" s="1"/>
  <c r="AH34" i="3"/>
  <c r="D34" i="3" s="1"/>
  <c r="AH77" i="3"/>
  <c r="AH27" i="3"/>
  <c r="D27" i="3" s="1"/>
  <c r="AH71" i="3"/>
  <c r="AH28" i="3"/>
  <c r="D28" i="3" s="1"/>
  <c r="AH59" i="3"/>
  <c r="AH33" i="3"/>
  <c r="D33" i="3" s="1"/>
  <c r="AH107" i="3"/>
  <c r="AH79" i="3"/>
  <c r="AH39" i="3"/>
  <c r="D39" i="3" s="1"/>
  <c r="AH101" i="3"/>
  <c r="AH49" i="3"/>
  <c r="AH50" i="3"/>
  <c r="AH20" i="3"/>
  <c r="D20" i="3" s="1"/>
  <c r="AH24" i="3"/>
  <c r="D24" i="3" s="1"/>
  <c r="AH7" i="3"/>
  <c r="D7" i="3" s="1"/>
  <c r="AH109" i="3"/>
  <c r="AH81" i="3"/>
  <c r="AH105" i="3"/>
  <c r="AH60" i="3"/>
  <c r="AH30" i="3"/>
  <c r="AH57" i="3"/>
  <c r="AH21" i="3"/>
  <c r="AH67" i="3"/>
  <c r="AH15" i="3"/>
  <c r="AH97" i="3"/>
  <c r="AH82" i="3"/>
  <c r="AH72" i="3"/>
  <c r="AH44" i="3"/>
  <c r="D44" i="3" s="1"/>
  <c r="AH93" i="3"/>
  <c r="AH104" i="3"/>
  <c r="AH32" i="3"/>
  <c r="D32" i="3" s="1"/>
  <c r="AH102" i="3"/>
  <c r="AH96" i="3"/>
  <c r="AH92" i="3"/>
  <c r="AH103" i="3"/>
  <c r="AH10" i="3"/>
  <c r="D10" i="3" s="1"/>
  <c r="AH91" i="3"/>
  <c r="AH51" i="3"/>
  <c r="AH55" i="3"/>
  <c r="AH94" i="3"/>
  <c r="AH68" i="3"/>
  <c r="AH98" i="3"/>
  <c r="AH74" i="3"/>
  <c r="AH45" i="3"/>
  <c r="AH108" i="3"/>
  <c r="AH19" i="3"/>
  <c r="D19" i="3" s="1"/>
  <c r="AH100" i="3"/>
  <c r="AH84" i="3"/>
  <c r="G22" i="3" l="1"/>
  <c r="F22" i="3"/>
  <c r="G21" i="3"/>
  <c r="F21" i="3"/>
  <c r="F29" i="3"/>
  <c r="G29" i="3"/>
  <c r="G15" i="3"/>
  <c r="F15" i="3"/>
  <c r="F16" i="3"/>
  <c r="G16" i="3"/>
  <c r="F30" i="3"/>
  <c r="G30" i="3"/>
  <c r="E30" i="3"/>
  <c r="D30" i="3"/>
  <c r="E109" i="3"/>
  <c r="D109" i="3"/>
  <c r="E50" i="3"/>
  <c r="D50" i="3"/>
  <c r="E79" i="3"/>
  <c r="D79" i="3"/>
  <c r="E16" i="3"/>
  <c r="D16" i="3"/>
  <c r="E89" i="3"/>
  <c r="D89" i="3"/>
  <c r="E83" i="3"/>
  <c r="D83" i="3"/>
  <c r="E100" i="3"/>
  <c r="D100" i="3"/>
  <c r="E74" i="3"/>
  <c r="D74" i="3"/>
  <c r="E55" i="3"/>
  <c r="D55" i="3"/>
  <c r="E103" i="3"/>
  <c r="D103" i="3"/>
  <c r="E72" i="3"/>
  <c r="D72" i="3"/>
  <c r="E67" i="3"/>
  <c r="D67" i="3"/>
  <c r="E60" i="3"/>
  <c r="D60" i="3"/>
  <c r="E49" i="3"/>
  <c r="D49" i="3"/>
  <c r="E107" i="3"/>
  <c r="D107" i="3"/>
  <c r="E71" i="3"/>
  <c r="D71" i="3"/>
  <c r="E64" i="3"/>
  <c r="D64" i="3"/>
  <c r="E87" i="3"/>
  <c r="D87" i="3"/>
  <c r="E54" i="3"/>
  <c r="D54" i="3"/>
  <c r="E62" i="3"/>
  <c r="D62" i="3"/>
  <c r="E58" i="3"/>
  <c r="D58" i="3"/>
  <c r="E73" i="3"/>
  <c r="D73" i="3"/>
  <c r="E90" i="3"/>
  <c r="D90" i="3"/>
  <c r="E69" i="3"/>
  <c r="D69" i="3"/>
  <c r="E22" i="3"/>
  <c r="D22" i="3"/>
  <c r="E84" i="3"/>
  <c r="D84" i="3"/>
  <c r="E45" i="3"/>
  <c r="D45" i="3"/>
  <c r="E94" i="3"/>
  <c r="D94" i="3"/>
  <c r="E102" i="3"/>
  <c r="D102" i="3"/>
  <c r="E15" i="3"/>
  <c r="D15" i="3"/>
  <c r="E86" i="3"/>
  <c r="D86" i="3"/>
  <c r="E85" i="3"/>
  <c r="D85" i="3"/>
  <c r="E66" i="3"/>
  <c r="D66" i="3"/>
  <c r="E70" i="3"/>
  <c r="D70" i="3"/>
  <c r="E92" i="3"/>
  <c r="D92" i="3"/>
  <c r="E99" i="3"/>
  <c r="D99" i="3"/>
  <c r="E88" i="3"/>
  <c r="D88" i="3"/>
  <c r="E76" i="3"/>
  <c r="D76" i="3"/>
  <c r="E75" i="3"/>
  <c r="D75" i="3"/>
  <c r="E95" i="3"/>
  <c r="D95" i="3"/>
  <c r="E47" i="3"/>
  <c r="D47" i="3"/>
  <c r="E53" i="3"/>
  <c r="D53" i="3"/>
  <c r="E63" i="3"/>
  <c r="D63" i="3"/>
  <c r="E65" i="3"/>
  <c r="D65" i="3"/>
  <c r="E110" i="3"/>
  <c r="D110" i="3"/>
  <c r="E98" i="3"/>
  <c r="D98" i="3"/>
  <c r="E51" i="3"/>
  <c r="D51" i="3"/>
  <c r="E104" i="3"/>
  <c r="D104" i="3"/>
  <c r="E82" i="3"/>
  <c r="D82" i="3"/>
  <c r="E21" i="3"/>
  <c r="D21" i="3"/>
  <c r="E105" i="3"/>
  <c r="D105" i="3"/>
  <c r="E101" i="3"/>
  <c r="D101" i="3"/>
  <c r="E108" i="3"/>
  <c r="D108" i="3"/>
  <c r="E68" i="3"/>
  <c r="D68" i="3"/>
  <c r="E91" i="3"/>
  <c r="D91" i="3"/>
  <c r="E96" i="3"/>
  <c r="D96" i="3"/>
  <c r="E93" i="3"/>
  <c r="D93" i="3"/>
  <c r="E97" i="3"/>
  <c r="D97" i="3"/>
  <c r="E57" i="3"/>
  <c r="D57" i="3"/>
  <c r="E81" i="3"/>
  <c r="D81" i="3"/>
  <c r="E59" i="3"/>
  <c r="D59" i="3"/>
  <c r="E77" i="3"/>
  <c r="D77" i="3"/>
  <c r="E29" i="3"/>
  <c r="D29" i="3"/>
  <c r="E48" i="3"/>
  <c r="D48" i="3"/>
  <c r="E46" i="3"/>
  <c r="D46" i="3"/>
  <c r="E78" i="3"/>
  <c r="D78" i="3"/>
  <c r="E106" i="3"/>
  <c r="D106" i="3"/>
  <c r="E80" i="3"/>
  <c r="D80" i="3"/>
  <c r="E61" i="3"/>
  <c r="D61" i="3"/>
  <c r="E56" i="3"/>
  <c r="D56" i="3"/>
  <c r="E52" i="3"/>
  <c r="D52" i="3"/>
  <c r="G19" i="3"/>
  <c r="E19" i="3"/>
  <c r="F19" i="3"/>
  <c r="F10" i="3"/>
  <c r="E10" i="3"/>
  <c r="G10" i="3"/>
  <c r="E32" i="3"/>
  <c r="F32" i="3"/>
  <c r="G32" i="3"/>
  <c r="E44" i="3"/>
  <c r="F44" i="3"/>
  <c r="G44" i="3"/>
  <c r="G7" i="3"/>
  <c r="F7" i="3"/>
  <c r="E7" i="3"/>
  <c r="E24" i="3"/>
  <c r="F24" i="3"/>
  <c r="G24" i="3"/>
  <c r="E20" i="3"/>
  <c r="F20" i="3"/>
  <c r="G20" i="3"/>
  <c r="G39" i="3"/>
  <c r="E39" i="3"/>
  <c r="F39" i="3"/>
  <c r="E33" i="3"/>
  <c r="G33" i="3"/>
  <c r="F33" i="3"/>
  <c r="E28" i="3"/>
  <c r="F28" i="3"/>
  <c r="G28" i="3"/>
  <c r="G27" i="3"/>
  <c r="E27" i="3"/>
  <c r="F27" i="3"/>
  <c r="F34" i="3"/>
  <c r="E34" i="3"/>
  <c r="G34" i="3"/>
  <c r="E9" i="3"/>
  <c r="G9" i="3"/>
  <c r="F9" i="3"/>
  <c r="F26" i="3"/>
  <c r="E26" i="3"/>
  <c r="G26" i="3"/>
  <c r="E8" i="3"/>
  <c r="F8" i="3"/>
  <c r="G8" i="3"/>
  <c r="F18" i="3"/>
  <c r="E18" i="3"/>
  <c r="G18" i="3"/>
  <c r="G23" i="3"/>
  <c r="E23" i="3"/>
  <c r="F23" i="3"/>
  <c r="E17" i="3"/>
  <c r="G17" i="3"/>
  <c r="F17" i="3"/>
  <c r="F14" i="3"/>
  <c r="E14" i="3"/>
  <c r="G14" i="3"/>
  <c r="F38" i="3"/>
  <c r="E38" i="3"/>
  <c r="G38" i="3"/>
  <c r="E37" i="3"/>
  <c r="F37" i="3"/>
  <c r="G37" i="3"/>
  <c r="F42" i="3"/>
  <c r="E42" i="3"/>
  <c r="G42" i="3"/>
  <c r="G11" i="3"/>
  <c r="E11" i="3"/>
  <c r="F11" i="3"/>
  <c r="G35" i="3"/>
  <c r="E35" i="3"/>
  <c r="F35" i="3"/>
  <c r="E40" i="3"/>
  <c r="F40" i="3"/>
  <c r="G40" i="3"/>
  <c r="G43" i="3"/>
  <c r="E43" i="3"/>
  <c r="F43" i="3"/>
  <c r="E25" i="3"/>
  <c r="G25" i="3"/>
  <c r="F25" i="3"/>
  <c r="E36" i="3"/>
  <c r="F36" i="3"/>
  <c r="G36" i="3"/>
  <c r="E12" i="3"/>
  <c r="F12" i="3"/>
  <c r="G12" i="3"/>
  <c r="G31" i="3"/>
  <c r="E31" i="3"/>
  <c r="F31" i="3"/>
  <c r="E13" i="3"/>
  <c r="F13" i="3"/>
  <c r="G13" i="3"/>
  <c r="AH41" i="3"/>
  <c r="D41" i="3" s="1"/>
  <c r="A74" i="3" a="1"/>
  <c r="A70" i="3" a="1"/>
  <c r="A81" i="3" a="1"/>
  <c r="A110" i="3" a="1"/>
  <c r="A107" i="3" a="1"/>
  <c r="A105" i="3" a="1"/>
  <c r="A104" i="3" a="1"/>
  <c r="A85" i="3" a="1"/>
  <c r="A103" i="3" a="1"/>
  <c r="A99" i="3" a="1"/>
  <c r="A77" i="3" a="1"/>
  <c r="A108" i="3" a="1"/>
  <c r="A64" i="3" a="1"/>
  <c r="A91" i="3" a="1"/>
  <c r="A55" i="3" a="1"/>
  <c r="A67" i="3" a="1"/>
  <c r="A76" i="3" a="1"/>
  <c r="A48" i="3" a="1"/>
  <c r="A57" i="3" a="1"/>
  <c r="A54" i="3" a="1"/>
  <c r="A59" i="3" a="1"/>
  <c r="A63" i="3" a="1"/>
  <c r="A83" i="3" a="1"/>
  <c r="A49" i="3" a="1"/>
  <c r="A95" i="3" a="1"/>
  <c r="A78" i="3" a="1"/>
  <c r="A46" i="3" a="1"/>
  <c r="A58" i="3" a="1"/>
  <c r="A106" i="3" a="1"/>
  <c r="A89" i="3" a="1"/>
  <c r="A51" i="3" a="1"/>
  <c r="A71" i="3" a="1"/>
  <c r="A53" i="3" a="1"/>
  <c r="A80" i="3" a="1"/>
  <c r="A52" i="3" a="1"/>
  <c r="A90" i="3" a="1"/>
  <c r="A79" i="3" a="1"/>
  <c r="A92" i="3" a="1"/>
  <c r="A75" i="3" a="1"/>
  <c r="A87" i="3" a="1"/>
  <c r="A65" i="3" a="1"/>
  <c r="A56" i="3" a="1"/>
  <c r="A109" i="3" a="1"/>
  <c r="A45" i="3" a="1"/>
  <c r="A102" i="3" a="1"/>
  <c r="A68" i="3" a="1"/>
  <c r="A97" i="3" a="1"/>
  <c r="A62" i="3" a="1"/>
  <c r="A98" i="3" a="1"/>
  <c r="A66" i="3" a="1"/>
  <c r="A73" i="3" a="1"/>
  <c r="A60" i="3" a="1"/>
  <c r="A69" i="3" a="1"/>
  <c r="A101" i="3" a="1"/>
  <c r="A82" i="3" a="1"/>
  <c r="A100" i="3" a="1"/>
  <c r="A88" i="3" a="1"/>
  <c r="A84" i="3" a="1"/>
  <c r="A93" i="3" a="1"/>
  <c r="A50" i="3" a="1"/>
  <c r="A94" i="3" a="1"/>
  <c r="A96" i="3" a="1"/>
  <c r="A61" i="3" a="1"/>
  <c r="A72" i="3" a="1"/>
  <c r="A47" i="3" a="1"/>
  <c r="A86" i="3" a="1"/>
  <c r="A36" i="3" a="1"/>
  <c r="A24" i="3" a="1"/>
  <c r="A19" i="3" a="1"/>
  <c r="A26" i="3" a="1"/>
  <c r="A33" i="3" a="1"/>
  <c r="A43" i="3" a="1"/>
  <c r="A28" i="3" a="1"/>
  <c r="A17" i="3" a="1"/>
  <c r="A10" i="3" a="1"/>
  <c r="A31" i="3" a="1"/>
  <c r="A29" i="3" a="1"/>
  <c r="A30" i="3" a="1"/>
  <c r="A23" i="3" a="1"/>
  <c r="A21" i="3" a="1"/>
  <c r="A40" i="3" a="1"/>
  <c r="A42" i="3" a="1"/>
  <c r="A25" i="3" a="1"/>
  <c r="A22" i="3" a="1"/>
  <c r="A32" i="3" a="1"/>
  <c r="A34" i="3" a="1"/>
  <c r="A16" i="3" a="1"/>
  <c r="A15" i="3" a="1"/>
  <c r="A8" i="3" a="1"/>
  <c r="A7" i="3" a="1"/>
  <c r="A18" i="3" a="1"/>
  <c r="A27" i="3" a="1"/>
  <c r="A35" i="3" a="1"/>
  <c r="A20" i="3" a="1"/>
  <c r="A44" i="3" a="1"/>
  <c r="A9" i="3" a="1"/>
  <c r="A13" i="3" a="1"/>
  <c r="A38" i="3" a="1"/>
  <c r="A14" i="3" a="1"/>
  <c r="A12" i="3" a="1"/>
  <c r="A11" i="3" a="1"/>
  <c r="A37" i="3" a="1"/>
  <c r="A39" i="3" a="1"/>
  <c r="A43" i="3" l="1"/>
  <c r="A10" i="3"/>
  <c r="A106" i="3"/>
  <c r="A59" i="3"/>
  <c r="A91" i="3"/>
  <c r="A105" i="3"/>
  <c r="A51" i="3"/>
  <c r="A47" i="3"/>
  <c r="A75" i="3"/>
  <c r="A88" i="3"/>
  <c r="A92" i="3"/>
  <c r="A102" i="3"/>
  <c r="A45" i="3"/>
  <c r="A22" i="3"/>
  <c r="A90" i="3"/>
  <c r="A58" i="3"/>
  <c r="A54" i="3"/>
  <c r="A64" i="3"/>
  <c r="A107" i="3"/>
  <c r="A60" i="3"/>
  <c r="A72" i="3"/>
  <c r="A55" i="3"/>
  <c r="A100" i="3"/>
  <c r="A89" i="3"/>
  <c r="A79" i="3"/>
  <c r="A109" i="3"/>
  <c r="A12" i="3"/>
  <c r="A40" i="3"/>
  <c r="A37" i="3"/>
  <c r="A26" i="3"/>
  <c r="A52" i="3"/>
  <c r="A46" i="3"/>
  <c r="A57" i="3"/>
  <c r="A108" i="3"/>
  <c r="A110" i="3"/>
  <c r="A86" i="3"/>
  <c r="A31" i="3"/>
  <c r="A42" i="3"/>
  <c r="A9" i="3"/>
  <c r="A33" i="3"/>
  <c r="A61" i="3"/>
  <c r="A29" i="3"/>
  <c r="A93" i="3"/>
  <c r="A82" i="3"/>
  <c r="A63" i="3"/>
  <c r="A66" i="3"/>
  <c r="A13" i="3"/>
  <c r="A25" i="3"/>
  <c r="A35" i="3"/>
  <c r="A38" i="3"/>
  <c r="A36" i="3"/>
  <c r="A11" i="3"/>
  <c r="A14" i="3"/>
  <c r="A17" i="3"/>
  <c r="A27" i="3"/>
  <c r="A28" i="3"/>
  <c r="A24" i="3"/>
  <c r="A18" i="3"/>
  <c r="A8" i="3"/>
  <c r="A34" i="3"/>
  <c r="A39" i="3"/>
  <c r="A20" i="3"/>
  <c r="A7" i="3"/>
  <c r="A32" i="3"/>
  <c r="A56" i="3"/>
  <c r="A80" i="3"/>
  <c r="A78" i="3"/>
  <c r="A48" i="3"/>
  <c r="A77" i="3"/>
  <c r="A81" i="3"/>
  <c r="A97" i="3"/>
  <c r="A96" i="3"/>
  <c r="A68" i="3"/>
  <c r="A101" i="3"/>
  <c r="A21" i="3"/>
  <c r="A104" i="3"/>
  <c r="A98" i="3"/>
  <c r="A65" i="3"/>
  <c r="A53" i="3"/>
  <c r="A95" i="3"/>
  <c r="A76" i="3"/>
  <c r="A99" i="3"/>
  <c r="A70" i="3"/>
  <c r="A85" i="3"/>
  <c r="A15" i="3"/>
  <c r="A94" i="3"/>
  <c r="A84" i="3"/>
  <c r="A69" i="3"/>
  <c r="A73" i="3"/>
  <c r="A62" i="3"/>
  <c r="A87" i="3"/>
  <c r="A71" i="3"/>
  <c r="A49" i="3"/>
  <c r="A67" i="3"/>
  <c r="A103" i="3"/>
  <c r="A74" i="3"/>
  <c r="A83" i="3"/>
  <c r="A16" i="3"/>
  <c r="A50" i="3"/>
  <c r="A30" i="3"/>
  <c r="A23" i="3"/>
  <c r="A44" i="3"/>
  <c r="A19" i="3"/>
  <c r="E41" i="3"/>
  <c r="G41" i="3"/>
  <c r="F41" i="3"/>
  <c r="A41" i="3" a="1"/>
  <c r="A41" i="3" l="1"/>
  <c r="H45" i="29" s="1"/>
  <c r="C12" i="29"/>
  <c r="E20" i="29"/>
  <c r="C6" i="29" l="1"/>
  <c r="E19" i="29"/>
  <c r="E6" i="29"/>
  <c r="D43" i="29"/>
  <c r="G36" i="29"/>
  <c r="B14" i="29"/>
  <c r="F38" i="29"/>
  <c r="G19" i="29"/>
  <c r="F9" i="29"/>
  <c r="H14" i="29"/>
  <c r="B19" i="29"/>
  <c r="D41" i="29"/>
  <c r="F32" i="29"/>
  <c r="G29" i="29"/>
  <c r="H20" i="29"/>
  <c r="C37" i="29"/>
  <c r="B20" i="29"/>
  <c r="F40" i="29"/>
  <c r="G18" i="29"/>
  <c r="H29" i="29"/>
  <c r="D32" i="29"/>
  <c r="E36" i="29"/>
  <c r="B15" i="29"/>
  <c r="E24" i="29"/>
  <c r="H34" i="29"/>
  <c r="E14" i="29"/>
  <c r="D19" i="29"/>
  <c r="E41" i="29"/>
  <c r="B24" i="29"/>
  <c r="E43" i="29"/>
  <c r="D27" i="29"/>
  <c r="F7" i="29"/>
  <c r="C36" i="29"/>
  <c r="G22" i="29"/>
  <c r="H6" i="29"/>
  <c r="G28" i="29"/>
  <c r="H37" i="29"/>
  <c r="E7" i="29"/>
  <c r="F18" i="29"/>
  <c r="G25" i="29"/>
  <c r="D10" i="29"/>
  <c r="E25" i="29"/>
  <c r="F22" i="29"/>
  <c r="E10" i="29"/>
  <c r="D8" i="29"/>
  <c r="E18" i="29"/>
  <c r="F29" i="29"/>
  <c r="H43" i="29"/>
  <c r="C18" i="29"/>
  <c r="F19" i="29"/>
  <c r="G32" i="29"/>
  <c r="F8" i="29"/>
  <c r="C15" i="29"/>
  <c r="D25" i="29"/>
  <c r="F13" i="29"/>
  <c r="H7" i="29"/>
  <c r="H33" i="29"/>
  <c r="C9" i="29"/>
  <c r="H18" i="29"/>
  <c r="E45" i="29"/>
  <c r="G14" i="29"/>
  <c r="H27" i="29"/>
  <c r="H36" i="29"/>
  <c r="B38" i="29"/>
  <c r="D30" i="29"/>
  <c r="G8" i="29"/>
  <c r="C22" i="29"/>
  <c r="G41" i="29"/>
  <c r="E13" i="29"/>
  <c r="B39" i="29"/>
  <c r="H25" i="29"/>
  <c r="D24" i="29"/>
  <c r="C27" i="29"/>
  <c r="H15" i="29"/>
  <c r="C7" i="29"/>
  <c r="G24" i="29"/>
  <c r="E42" i="29"/>
  <c r="C34" i="29"/>
  <c r="F36" i="29"/>
  <c r="D28" i="29"/>
  <c r="B18" i="29"/>
  <c r="F28" i="29"/>
  <c r="F25" i="29"/>
  <c r="B16" i="29"/>
  <c r="G9" i="29"/>
  <c r="F27" i="29"/>
  <c r="D16" i="29"/>
  <c r="B8" i="29"/>
  <c r="B28" i="29"/>
  <c r="H42" i="29"/>
  <c r="F34" i="29"/>
  <c r="E37" i="29"/>
  <c r="H38" i="29"/>
  <c r="F30" i="29"/>
  <c r="D20" i="29"/>
  <c r="C10" i="29"/>
  <c r="E28" i="29"/>
  <c r="G13" i="29"/>
  <c r="E15" i="29"/>
  <c r="B40" i="29"/>
  <c r="G31" i="29"/>
  <c r="E22" i="29"/>
  <c r="G12" i="29"/>
  <c r="E40" i="29"/>
  <c r="F12" i="29"/>
  <c r="G39" i="29"/>
  <c r="B31" i="29"/>
  <c r="G20" i="29"/>
  <c r="E12" i="29"/>
  <c r="B45" i="29"/>
  <c r="G45" i="29"/>
  <c r="D42" i="29"/>
  <c r="H8" i="29"/>
  <c r="G6" i="29"/>
  <c r="C40" i="29"/>
  <c r="B42" i="29"/>
  <c r="D33" i="29"/>
  <c r="B33" i="29"/>
  <c r="G42" i="29"/>
  <c r="F31" i="29"/>
  <c r="B34" i="29"/>
  <c r="H31" i="29"/>
  <c r="F10" i="29"/>
  <c r="B25" i="29"/>
  <c r="C28" i="29"/>
  <c r="B10" i="29"/>
  <c r="B6" i="29"/>
  <c r="B37" i="29"/>
  <c r="B13" i="29"/>
  <c r="C32" i="29"/>
  <c r="D38" i="29"/>
  <c r="H12" i="29"/>
  <c r="E33" i="29"/>
  <c r="F41" i="29"/>
  <c r="G30" i="29"/>
  <c r="C43" i="29"/>
  <c r="E34" i="29"/>
  <c r="D37" i="29"/>
  <c r="B29" i="29"/>
  <c r="D18" i="29"/>
  <c r="B9" i="29"/>
  <c r="H30" i="29"/>
  <c r="F37" i="29"/>
  <c r="D9" i="29"/>
  <c r="E38" i="29"/>
  <c r="C30" i="29"/>
  <c r="F43" i="29"/>
  <c r="D15" i="29"/>
  <c r="H40" i="29"/>
  <c r="B7" i="29"/>
  <c r="G37" i="29"/>
  <c r="E29" i="29"/>
  <c r="C19" i="29"/>
  <c r="E9" i="29"/>
  <c r="B32" i="29"/>
  <c r="C38" i="29"/>
  <c r="B12" i="29"/>
  <c r="F16" i="29"/>
  <c r="G40" i="29"/>
  <c r="E32" i="29"/>
  <c r="G33" i="29"/>
  <c r="B27" i="29"/>
  <c r="E39" i="29"/>
  <c r="F6" i="29"/>
  <c r="B22" i="29"/>
  <c r="H41" i="29"/>
  <c r="F33" i="29"/>
  <c r="H24" i="29"/>
  <c r="F14" i="29"/>
  <c r="D6" i="29"/>
  <c r="H19" i="29"/>
  <c r="C41" i="29"/>
  <c r="H32" i="29"/>
  <c r="F24" i="29"/>
  <c r="D45" i="29"/>
  <c r="C45" i="29"/>
  <c r="D22" i="29"/>
  <c r="H16" i="29"/>
  <c r="D34" i="29"/>
  <c r="H22" i="29"/>
  <c r="H28" i="29"/>
  <c r="C8" i="29"/>
  <c r="G10" i="29"/>
  <c r="B30" i="29"/>
  <c r="H39" i="29"/>
  <c r="C25" i="29"/>
  <c r="D39" i="29"/>
  <c r="C16" i="29"/>
  <c r="C33" i="29"/>
  <c r="G38" i="29"/>
  <c r="H9" i="29"/>
  <c r="C39" i="29"/>
  <c r="E30" i="29"/>
  <c r="C20" i="29"/>
  <c r="H10" i="29"/>
  <c r="D13" i="29"/>
  <c r="C42" i="29"/>
  <c r="D14" i="29"/>
  <c r="D40" i="29"/>
  <c r="D36" i="29"/>
  <c r="H13" i="29"/>
  <c r="D29" i="29"/>
  <c r="B41" i="29"/>
  <c r="C13" i="29"/>
  <c r="F39" i="29"/>
  <c r="D31" i="29"/>
  <c r="F20" i="29"/>
  <c r="D12" i="29"/>
  <c r="C14" i="29"/>
  <c r="F15" i="29"/>
  <c r="D7" i="29"/>
  <c r="C24" i="29"/>
  <c r="F42" i="29"/>
  <c r="E31" i="29"/>
  <c r="G15" i="29"/>
  <c r="C31" i="29"/>
  <c r="G16" i="29"/>
  <c r="E8" i="29"/>
  <c r="C29" i="29"/>
  <c r="G43" i="29"/>
  <c r="B36" i="29"/>
  <c r="G27" i="29"/>
  <c r="E16" i="29"/>
  <c r="G7" i="29"/>
  <c r="E27" i="29"/>
  <c r="B43" i="29"/>
  <c r="G34" i="29"/>
  <c r="F45" i="2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tc={00754DF0-FAD2-4F94-BA8E-1FEBD8A8FBB6}</author>
  </authors>
  <commentList>
    <comment ref="N5" authorId="0" shapeId="0" xr:uid="{00754DF0-FAD2-4F94-BA8E-1FEBD8A8FBB6}">
      <text>
        <t>[Threaded comment]
Your version of Excel allows you to read this threaded comment; however, any edits to it will get removed if the file is opened in a newer version of Excel. Learn more: https://go.microsoft.com/fwlink/?linkid=870924
Comment:
    For one reading, use this column.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42771A6-8EA9-48FD-A9ED-12823FE06E90}" odcFile="C:\Users\JGI\git\Electrical-Workbook\Query - Items.odc" keepAlive="1" name="Query - Items" description="Connection to the 'Items' query in the workbook." type="5" refreshedVersion="8" background="1" saveData="1">
    <dbPr connection="Provider=Microsoft.Mashup.OleDb.1;Data Source=$Workbook$;Location=Items;Extended Properties=&quot;&quot;" command="SELECT * FROM [Items]"/>
  </connection>
  <connection id="2" xr16:uid="{292D06F4-68B1-4E6F-9A79-EAE393DD4ED4}" odcFile="C:\Users\JGI\git\Electrical-Workbook\Query - Lookup.odc" keepAlive="1" name="Query - Lookup" description="Connection to the 'Lookup' query in the workbook." type="5" refreshedVersion="8" background="1" saveData="1">
    <dbPr connection="Provider=Microsoft.Mashup.OleDb.1;Data Source=$Workbook$;Location=Lookup;Extended Properties=&quot;&quot;" command="SELECT * FROM [Lookup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<sst xmlns="http://schemas.openxmlformats.org/spreadsheetml/2006/main" count="59" uniqueCount="51">
  <si>
    <t>Item</t>
  </si>
  <si>
    <t>µV</t>
  </si>
  <si>
    <t>Resistance</t>
  </si>
  <si>
    <t>µA</t>
  </si>
  <si>
    <t>Capacitance</t>
  </si>
  <si>
    <t>µF</t>
  </si>
  <si>
    <t>Frequency</t>
  </si>
  <si>
    <t>Range</t>
  </si>
  <si>
    <t>Johnson Gage and Inspection, Inc.</t>
  </si>
  <si>
    <t>INSPECTOR NOTE: PRINT PAGE 1 ONLY</t>
  </si>
  <si>
    <t>µΩ</t>
  </si>
  <si>
    <t>°C</t>
  </si>
  <si>
    <t>This section is for Creation of Datasheet Only</t>
  </si>
  <si>
    <t xml:space="preserve">@ </t>
  </si>
  <si>
    <t>°F</t>
  </si>
  <si>
    <t>Secondary Unit for Range field</t>
  </si>
  <si>
    <t>Resolution</t>
  </si>
  <si>
    <t>Function</t>
  </si>
  <si>
    <t>Signal Applied</t>
  </si>
  <si>
    <t>Result</t>
  </si>
  <si>
    <t>Min</t>
  </si>
  <si>
    <t>Max</t>
  </si>
  <si>
    <t>Uncertainty @k=2</t>
  </si>
  <si>
    <t>Notes:</t>
  </si>
  <si>
    <t>Primary Unit</t>
  </si>
  <si>
    <t>DC/AC</t>
  </si>
  <si>
    <t>Nominal</t>
  </si>
  <si>
    <t>tolerance</t>
  </si>
  <si>
    <t>max</t>
  </si>
  <si>
    <t>min</t>
  </si>
  <si>
    <t>Secondary Unit</t>
  </si>
  <si>
    <t>Coil Used</t>
  </si>
  <si>
    <t>Meter Used</t>
  </si>
  <si>
    <t>Special Character Filter</t>
  </si>
  <si>
    <t>of "°C", and "DGF" instead of "°F" if you want to.</t>
  </si>
  <si>
    <t>Page 2 of 2</t>
  </si>
  <si>
    <t>Supplementary Data Sheet to Report #</t>
  </si>
  <si>
    <t>Hi Unc</t>
  </si>
  <si>
    <t>Volts AC</t>
  </si>
  <si>
    <t>Volts DC</t>
  </si>
  <si>
    <t>Amps AC</t>
  </si>
  <si>
    <t>Amps DC</t>
  </si>
  <si>
    <t>Temperature</t>
  </si>
  <si>
    <t>Special</t>
  </si>
  <si>
    <t>Wire Type</t>
  </si>
  <si>
    <t>Insulation</t>
  </si>
  <si>
    <t>Note: You can use "O" instead of Ω, "DGC" instead</t>
  </si>
  <si>
    <t>Readings</t>
  </si>
  <si>
    <t>Row Labels</t>
  </si>
  <si>
    <t>Key</t>
  </si>
  <si>
    <t>Suffix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</si>
</sst>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000000"/>
  </numFmts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name val="Arial"/>
      <family val="2"/>
    </font>
    <font>
      <b/>
      <sz val="11"/>
      <name val="Arial"/>
      <family val="2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sz val="11"/>
      <name val="Calibri"/>
      <family val="2"/>
      <scheme val="minor"/>
    </font>
    <font>
      <b/>
      <sz val="10"/>
      <color indexed="55"/>
      <name val="Arial"/>
      <family val="2"/>
    </font>
    <font>
      <b/>
      <u/>
      <sz val="12"/>
      <name val="Calibri"/>
      <family val="2"/>
      <scheme val="minor"/>
    </font>
    <font>
      <b/>
      <sz val="10"/>
      <name val="Arial"/>
      <family val="2"/>
    </font>
    <font>
      <sz val="14"/>
      <color theme="1"/>
      <name val="Calibri"/>
      <family val="2"/>
      <scheme val="minor"/>
    </font>
    <font>
      <sz val="11"/>
      <name val="Arial"/>
      <family val="2"/>
    </font>
    <font>
      <b/>
      <sz val="11"/>
      <color theme="1"/>
      <name val="Arial"/>
      <family val="2"/>
    </font>
    <font>
      <sz val="10"/>
      <color indexed="9"/>
      <name val="Arial"/>
      <family val="2"/>
    </font>
    <font>
      <b/>
      <sz val="8"/>
      <name val="Arial"/>
      <family val="2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1"/>
      <color rgb="FFF2F2F2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8"/>
      <name val="Arial"/>
      <family val="2"/>
    </font>
    <font>
      <b/>
      <sz val="16"/>
      <color theme="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BFBFBF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9" fontId="19" fillId="0" borderId="0" applyFont="0" applyFill="0" applyBorder="0" applyAlignment="0" applyProtection="0"/>
  </cellStyleXfs>
  <cellXfs count="142">
    <xf numFmtId="0" fontId="0" fillId="0" borderId="0" xfId="0"/>
    <xf numFmtId="0" fontId="0" fillId="0" borderId="0" xfId="0" applyAlignment="1">
      <alignment horizontal="left"/>
    </xf>
    <xf numFmtId="0" fontId="2" fillId="2" borderId="0" xfId="0" applyFont="1" applyFill="1"/>
    <xf numFmtId="0" fontId="3" fillId="2" borderId="0" xfId="0" applyFont="1" applyFill="1"/>
    <xf numFmtId="0" fontId="4" fillId="3" borderId="0" xfId="0" applyFont="1" applyFill="1"/>
    <xf numFmtId="0" fontId="0" fillId="3" borderId="0" xfId="0" applyFill="1" applyAlignment="1">
      <alignment horizontal="center"/>
    </xf>
    <xf numFmtId="0" fontId="0" fillId="4" borderId="4" xfId="0" applyFill="1" applyBorder="1"/>
    <xf numFmtId="0" fontId="0" fillId="4" borderId="0" xfId="0" applyFill="1"/>
    <xf numFmtId="0" fontId="1" fillId="4" borderId="0" xfId="0" applyFont="1" applyFill="1" applyAlignment="1">
      <alignment horizontal="right"/>
    </xf>
    <xf numFmtId="0" fontId="5" fillId="4" borderId="0" xfId="0" applyFont="1" applyFill="1"/>
    <xf numFmtId="0" fontId="0" fillId="2" borderId="0" xfId="0" applyFill="1" applyAlignment="1">
      <alignment horizontal="left"/>
    </xf>
    <xf numFmtId="0" fontId="8" fillId="2" borderId="0" xfId="0" applyFont="1" applyFill="1"/>
    <xf numFmtId="0" fontId="9" fillId="3" borderId="0" xfId="0" applyFont="1" applyFill="1"/>
    <xf numFmtId="0" fontId="10" fillId="2" borderId="0" xfId="0" applyFont="1" applyFill="1"/>
    <xf numFmtId="0" fontId="0" fillId="2" borderId="0" xfId="0" applyFill="1"/>
    <xf numFmtId="164" fontId="5" fillId="2" borderId="0" xfId="0" applyNumberFormat="1" applyFont="1" applyFill="1"/>
    <xf numFmtId="0" fontId="11" fillId="3" borderId="6" xfId="0" applyFont="1" applyFill="1" applyBorder="1" applyAlignment="1">
      <alignment horizontal="left"/>
    </xf>
    <xf numFmtId="0" fontId="12" fillId="4" borderId="0" xfId="0" applyFont="1" applyFill="1" applyAlignment="1">
      <alignment wrapText="1"/>
    </xf>
    <xf numFmtId="0" fontId="13" fillId="3" borderId="1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12" fillId="4" borderId="1" xfId="0" applyFont="1" applyFill="1" applyBorder="1" applyAlignment="1">
      <alignment horizontal="center"/>
    </xf>
    <xf numFmtId="0" fontId="16" fillId="6" borderId="6" xfId="0" applyFont="1" applyFill="1" applyBorder="1"/>
    <xf numFmtId="0" fontId="0" fillId="5" borderId="12" xfId="0" applyFill="1" applyBorder="1" applyProtection="1">
      <protection locked="0"/>
    </xf>
    <xf numFmtId="0" fontId="2" fillId="8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0" fillId="0" borderId="0" xfId="0" applyAlignment="1">
      <alignment wrapText="1"/>
    </xf>
    <xf numFmtId="0" fontId="0" fillId="4" borderId="0" xfId="0" applyFill="1" applyAlignment="1">
      <alignment wrapText="1"/>
    </xf>
    <xf numFmtId="49" fontId="0" fillId="4" borderId="0" xfId="0" applyNumberFormat="1" applyFill="1"/>
    <xf numFmtId="0" fontId="0" fillId="9" borderId="6" xfId="0" applyFill="1" applyBorder="1"/>
    <xf numFmtId="0" fontId="0" fillId="9" borderId="4" xfId="0" applyFill="1" applyBorder="1"/>
    <xf numFmtId="0" fontId="2" fillId="7" borderId="4" xfId="0" applyFont="1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12" fillId="7" borderId="5" xfId="0" applyFont="1" applyFill="1" applyBorder="1" applyAlignment="1">
      <alignment horizontal="center" wrapText="1"/>
    </xf>
    <xf numFmtId="0" fontId="12" fillId="7" borderId="1" xfId="0" applyFont="1" applyFill="1" applyBorder="1" applyAlignment="1">
      <alignment horizontal="center" wrapText="1"/>
    </xf>
    <xf numFmtId="0" fontId="0" fillId="2" borderId="0" xfId="0" applyFill="1" applyAlignment="1">
      <alignment horizontal="right"/>
    </xf>
    <xf numFmtId="0" fontId="0" fillId="8" borderId="0" xfId="0" quotePrefix="1" applyFill="1" applyAlignment="1">
      <alignment horizontal="center"/>
    </xf>
    <xf numFmtId="0" fontId="0" fillId="7" borderId="0" xfId="0" applyFill="1" applyAlignment="1">
      <alignment horizontal="right"/>
    </xf>
    <xf numFmtId="0" fontId="14" fillId="7" borderId="0" xfId="0" applyFont="1" applyFill="1" applyAlignment="1">
      <alignment horizontal="center"/>
    </xf>
    <xf numFmtId="0" fontId="0" fillId="7" borderId="0" xfId="0" quotePrefix="1" applyFill="1" applyAlignment="1">
      <alignment horizontal="center"/>
    </xf>
    <xf numFmtId="0" fontId="0" fillId="7" borderId="0" xfId="0" applyFill="1" applyAlignment="1">
      <alignment horizontal="left"/>
    </xf>
    <xf numFmtId="0" fontId="1" fillId="0" borderId="0" xfId="0" applyFont="1"/>
    <xf numFmtId="0" fontId="0" fillId="2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14" fillId="2" borderId="0" xfId="0" quotePrefix="1" applyFont="1" applyFill="1" applyAlignment="1">
      <alignment horizontal="center"/>
    </xf>
    <xf numFmtId="0" fontId="2" fillId="7" borderId="0" xfId="0" applyFont="1" applyFill="1" applyAlignment="1">
      <alignment horizontal="center"/>
    </xf>
    <xf numFmtId="165" fontId="2" fillId="8" borderId="9" xfId="0" applyNumberFormat="1" applyFont="1" applyFill="1" applyBorder="1" applyAlignment="1" applyProtection="1">
      <alignment horizontal="left"/>
      <protection locked="0"/>
    </xf>
    <xf numFmtId="0" fontId="0" fillId="0" borderId="0" xfId="0" quotePrefix="1" applyAlignment="1">
      <alignment wrapText="1"/>
    </xf>
    <xf numFmtId="9" fontId="2" fillId="7" borderId="0" xfId="1" applyFont="1" applyFill="1" applyAlignment="1">
      <alignment horizontal="center"/>
    </xf>
    <xf numFmtId="9" fontId="0" fillId="7" borderId="0" xfId="1" applyFont="1" applyFill="1" applyAlignment="1">
      <alignment horizontal="center"/>
    </xf>
    <xf numFmtId="9" fontId="17" fillId="7" borderId="1" xfId="1" applyFont="1" applyFill="1" applyBorder="1" applyAlignment="1">
      <alignment horizontal="center" wrapText="1"/>
    </xf>
    <xf numFmtId="9" fontId="18" fillId="7" borderId="0" xfId="1" quotePrefix="1" applyFont="1" applyFill="1" applyAlignment="1">
      <alignment horizontal="center"/>
    </xf>
    <xf numFmtId="22" fontId="11" fillId="3" borderId="6" xfId="0" applyNumberFormat="1" applyFont="1" applyFill="1" applyBorder="1" applyAlignment="1">
      <alignment horizontal="center"/>
    </xf>
    <xf numFmtId="0" fontId="0" fillId="5" borderId="13" xfId="0" applyFill="1" applyBorder="1" applyAlignment="1" applyProtection="1">
      <alignment horizontal="center"/>
      <protection locked="0"/>
    </xf>
    <xf numFmtId="0" fontId="0" fillId="5" borderId="14" xfId="0" applyFill="1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7" borderId="4" xfId="0" quotePrefix="1" applyFill="1" applyBorder="1" applyAlignment="1" applyProtection="1">
      <alignment horizontal="center"/>
      <protection locked="0"/>
    </xf>
    <xf numFmtId="0" fontId="0" fillId="7" borderId="6" xfId="0" quotePrefix="1" applyFill="1" applyBorder="1" applyAlignment="1" applyProtection="1">
      <alignment horizontal="center"/>
      <protection locked="0"/>
    </xf>
    <xf numFmtId="0" fontId="15" fillId="2" borderId="0" xfId="0" applyFont="1" applyFill="1" applyAlignment="1">
      <alignment horizontal="center"/>
    </xf>
    <xf numFmtId="0" fontId="15" fillId="7" borderId="0" xfId="0" applyFont="1" applyFill="1" applyAlignment="1">
      <alignment horizontal="center"/>
    </xf>
    <xf numFmtId="0" fontId="0" fillId="4" borderId="4" xfId="0" applyFill="1" applyBorder="1" applyProtection="1">
      <protection locked="0"/>
    </xf>
    <xf numFmtId="0" fontId="5" fillId="4" borderId="6" xfId="0" applyFont="1" applyFill="1" applyBorder="1" applyProtection="1">
      <protection locked="0"/>
    </xf>
    <xf numFmtId="0" fontId="12" fillId="4" borderId="4" xfId="0" applyFont="1" applyFill="1" applyBorder="1" applyProtection="1">
      <protection locked="0"/>
    </xf>
    <xf numFmtId="0" fontId="12" fillId="4" borderId="2" xfId="0" applyFont="1" applyFill="1" applyBorder="1" applyProtection="1">
      <protection locked="0"/>
    </xf>
    <xf numFmtId="0" fontId="12" fillId="4" borderId="0" xfId="0" applyFont="1" applyFill="1" applyProtection="1">
      <protection locked="0"/>
    </xf>
    <xf numFmtId="0" fontId="5" fillId="4" borderId="4" xfId="0" applyFont="1" applyFill="1" applyBorder="1" applyProtection="1">
      <protection locked="0"/>
    </xf>
    <xf numFmtId="0" fontId="12" fillId="4" borderId="4" xfId="0" applyFont="1" applyFill="1" applyBorder="1" applyAlignment="1" applyProtection="1">
      <alignment horizontal="right"/>
      <protection locked="0"/>
    </xf>
    <xf numFmtId="0" fontId="12" fillId="4" borderId="2" xfId="0" applyFont="1" applyFill="1" applyBorder="1" applyAlignment="1" applyProtection="1">
      <alignment horizontal="right"/>
      <protection locked="0"/>
    </xf>
    <xf numFmtId="0" fontId="12" fillId="4" borderId="4" xfId="0" applyFont="1" applyFill="1" applyBorder="1" applyAlignment="1" applyProtection="1">
      <alignment horizontal="left"/>
      <protection locked="0"/>
    </xf>
    <xf numFmtId="164" fontId="5" fillId="2" borderId="10" xfId="0" applyNumberFormat="1" applyFont="1" applyFill="1" applyBorder="1" applyAlignment="1" applyProtection="1">
      <alignment horizontal="center"/>
      <protection locked="0"/>
    </xf>
    <xf numFmtId="0" fontId="0" fillId="5" borderId="15" xfId="0" applyFill="1" applyBorder="1" applyProtection="1">
      <protection locked="0"/>
    </xf>
    <xf numFmtId="0" fontId="0" fillId="5" borderId="16" xfId="0" applyFill="1" applyBorder="1" applyAlignment="1" applyProtection="1">
      <alignment horizontal="center"/>
      <protection locked="0"/>
    </xf>
    <xf numFmtId="0" fontId="0" fillId="5" borderId="17" xfId="0" applyFill="1" applyBorder="1" applyAlignment="1" applyProtection="1">
      <alignment horizontal="center"/>
      <protection locked="0"/>
    </xf>
    <xf numFmtId="9" fontId="0" fillId="0" borderId="0" xfId="1" applyFont="1" applyFill="1" applyBorder="1"/>
    <xf numFmtId="0" fontId="16" fillId="6" borderId="0" xfId="0" applyFont="1" applyFill="1"/>
    <xf numFmtId="0" fontId="0" fillId="9" borderId="0" xfId="0" applyFill="1"/>
    <xf numFmtId="0" fontId="0" fillId="9" borderId="0" xfId="0" applyFill="1" applyAlignment="1">
      <alignment horizontal="center" wrapText="1"/>
    </xf>
    <xf numFmtId="0" fontId="9" fillId="10" borderId="0" xfId="0" applyFont="1" applyFill="1"/>
    <xf numFmtId="0" fontId="9" fillId="11" borderId="0" xfId="0" applyFont="1" applyFill="1" applyAlignment="1">
      <alignment horizontal="right"/>
    </xf>
    <xf numFmtId="0" fontId="9" fillId="10" borderId="0" xfId="0" applyFont="1" applyFill="1" applyAlignment="1">
      <alignment horizontal="right"/>
    </xf>
    <xf numFmtId="0" fontId="24" fillId="3" borderId="0" xfId="0" applyFont="1" applyFill="1" applyAlignment="1">
      <alignment horizontal="left"/>
    </xf>
    <xf numFmtId="0" fontId="0" fillId="10" borderId="0" xfId="0" applyFill="1"/>
    <xf numFmtId="0" fontId="0" fillId="10" borderId="0" xfId="0" applyFill="1" applyAlignment="1">
      <alignment horizontal="center"/>
    </xf>
    <xf numFmtId="0" fontId="26" fillId="12" borderId="0" xfId="0" applyFont="1" applyFill="1" applyAlignment="1">
      <alignment horizontal="center" vertical="center" wrapText="1"/>
    </xf>
    <xf numFmtId="0" fontId="27" fillId="12" borderId="0" xfId="0" applyFont="1" applyFill="1" applyAlignment="1">
      <alignment horizontal="center" vertical="center" wrapText="1"/>
    </xf>
    <xf numFmtId="0" fontId="9" fillId="13" borderId="0" xfId="0" applyFont="1" applyFill="1" applyAlignment="1">
      <alignment horizontal="right"/>
    </xf>
    <xf numFmtId="9" fontId="9" fillId="7" borderId="0" xfId="1" applyFont="1" applyFill="1" applyAlignment="1">
      <alignment horizontal="center"/>
    </xf>
    <xf numFmtId="9" fontId="9" fillId="0" borderId="0" xfId="1" applyFont="1" applyFill="1" applyBorder="1"/>
    <xf numFmtId="9" fontId="6" fillId="7" borderId="0" xfId="1" applyFont="1" applyFill="1" applyAlignment="1">
      <alignment horizontal="center"/>
    </xf>
    <xf numFmtId="9" fontId="28" fillId="7" borderId="1" xfId="1" applyFont="1" applyFill="1" applyBorder="1" applyAlignment="1">
      <alignment horizontal="center" wrapText="1"/>
    </xf>
    <xf numFmtId="9" fontId="9" fillId="7" borderId="0" xfId="1" quotePrefix="1" applyFont="1" applyFill="1" applyAlignment="1">
      <alignment horizontal="center"/>
    </xf>
    <xf numFmtId="0" fontId="25" fillId="12" borderId="0" xfId="0" applyFont="1" applyFill="1" applyAlignment="1">
      <alignment vertical="center"/>
    </xf>
    <xf numFmtId="0" fontId="2" fillId="8" borderId="9" xfId="0" applyFont="1" applyFill="1" applyBorder="1" applyAlignment="1">
      <alignment horizontal="right"/>
    </xf>
    <xf numFmtId="0" fontId="0" fillId="8" borderId="0" xfId="0" applyFill="1"/>
    <xf numFmtId="14" fontId="5" fillId="2" borderId="0" xfId="0" applyNumberFormat="1" applyFont="1" applyFill="1" applyAlignment="1">
      <alignment horizontal="center"/>
    </xf>
    <xf numFmtId="0" fontId="29" fillId="12" borderId="0" xfId="0" applyFont="1" applyFill="1" applyAlignment="1">
      <alignment horizontal="center" vertical="center" wrapText="1"/>
    </xf>
    <xf numFmtId="22" fontId="0" fillId="7" borderId="0" xfId="0" applyNumberFormat="1" applyFill="1" applyAlignment="1">
      <alignment horizontal="center"/>
    </xf>
    <xf numFmtId="14" fontId="6" fillId="2" borderId="0" xfId="0" applyNumberFormat="1" applyFont="1" applyFill="1" applyAlignment="1">
      <alignment horizontal="right"/>
    </xf>
    <xf numFmtId="0" fontId="12" fillId="4" borderId="1" xfId="0" applyFont="1" applyFill="1" applyBorder="1" applyAlignment="1">
      <alignment horizontal="center" wrapText="1"/>
    </xf>
    <xf numFmtId="0" fontId="0" fillId="5" borderId="18" xfId="0" applyFill="1" applyBorder="1" applyAlignment="1" applyProtection="1">
      <alignment horizontal="center"/>
      <protection locked="0"/>
    </xf>
    <xf numFmtId="0" fontId="0" fillId="5" borderId="19" xfId="0" applyFill="1" applyBorder="1" applyAlignment="1" applyProtection="1">
      <alignment horizontal="center"/>
      <protection locked="0"/>
    </xf>
    <xf numFmtId="0" fontId="0" fillId="4" borderId="2" xfId="0" applyFill="1" applyBorder="1"/>
    <xf numFmtId="0" fontId="0" fillId="4" borderId="2" xfId="0" applyFill="1" applyBorder="1" applyProtection="1">
      <protection locked="0"/>
    </xf>
    <xf numFmtId="0" fontId="0" fillId="0" borderId="2" xfId="0" applyBorder="1" applyProtection="1">
      <protection locked="0"/>
    </xf>
    <xf numFmtId="0" fontId="1" fillId="4" borderId="0" xfId="0" applyFont="1" applyFill="1"/>
    <xf numFmtId="0" fontId="5" fillId="4" borderId="0" xfId="0" applyFont="1" applyFill="1" applyAlignment="1">
      <alignment wrapText="1"/>
    </xf>
    <xf numFmtId="0" fontId="1" fillId="4" borderId="0" xfId="0" applyFont="1" applyFill="1" applyAlignment="1">
      <alignment horizontal="center" wrapText="1"/>
    </xf>
    <xf numFmtId="0" fontId="1" fillId="4" borderId="3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 wrapText="1"/>
    </xf>
    <xf numFmtId="0" fontId="1" fillId="4" borderId="2" xfId="0" applyFont="1" applyFill="1" applyBorder="1" applyAlignment="1">
      <alignment horizontal="center"/>
    </xf>
    <xf numFmtId="0" fontId="1" fillId="4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17" fillId="4" borderId="1" xfId="0" applyFont="1" applyFill="1" applyBorder="1" applyAlignment="1">
      <alignment horizontal="center" wrapText="1"/>
    </xf>
    <xf numFmtId="0" fontId="0" fillId="4" borderId="20" xfId="0" applyFill="1" applyBorder="1" applyProtection="1">
      <protection locked="0"/>
    </xf>
    <xf numFmtId="0" fontId="0" fillId="4" borderId="6" xfId="0" applyFill="1" applyBorder="1" applyProtection="1">
      <protection locked="0"/>
    </xf>
    <xf numFmtId="0" fontId="1" fillId="4" borderId="0" xfId="0" applyFont="1" applyFill="1" applyAlignment="1" applyProtection="1">
      <alignment horizontal="left"/>
      <protection locked="0"/>
    </xf>
    <xf numFmtId="0" fontId="12" fillId="4" borderId="6" xfId="0" applyFont="1" applyFill="1" applyBorder="1" applyAlignment="1" applyProtection="1">
      <alignment horizontal="left"/>
      <protection locked="0"/>
    </xf>
    <xf numFmtId="0" fontId="12" fillId="4" borderId="5" xfId="0" applyFont="1" applyFill="1" applyBorder="1" applyAlignment="1">
      <alignment wrapText="1"/>
    </xf>
    <xf numFmtId="0" fontId="6" fillId="7" borderId="0" xfId="1" applyNumberFormat="1" applyFont="1" applyFill="1" applyAlignment="1">
      <alignment horizontal="center"/>
    </xf>
    <xf numFmtId="0" fontId="9" fillId="7" borderId="0" xfId="1" applyNumberFormat="1" applyFont="1" applyFill="1" applyAlignment="1">
      <alignment horizontal="center"/>
    </xf>
    <xf numFmtId="0" fontId="28" fillId="7" borderId="1" xfId="1" applyNumberFormat="1" applyFont="1" applyFill="1" applyBorder="1" applyAlignment="1">
      <alignment horizontal="center" wrapText="1"/>
    </xf>
    <xf numFmtId="0" fontId="9" fillId="7" borderId="0" xfId="1" quotePrefix="1" applyNumberFormat="1" applyFont="1" applyFill="1" applyAlignment="1">
      <alignment horizontal="center"/>
    </xf>
    <xf numFmtId="0" fontId="9" fillId="0" borderId="0" xfId="1" applyNumberFormat="1" applyFont="1" applyFill="1" applyBorder="1"/>
    <xf numFmtId="0" fontId="0" fillId="0" borderId="0" xfId="0" pivotButton="1"/>
    <xf numFmtId="0" fontId="23" fillId="13" borderId="0" xfId="0" applyFont="1" applyFill="1"/>
    <xf numFmtId="0" fontId="21" fillId="11" borderId="0" xfId="0" applyFont="1" applyFill="1"/>
    <xf numFmtId="0" fontId="22" fillId="10" borderId="0" xfId="0" applyFont="1" applyFill="1"/>
    <xf numFmtId="0" fontId="9" fillId="0" borderId="0" xfId="0" applyFont="1" applyAlignment="1">
      <alignment horizontal="right"/>
    </xf>
    <xf numFmtId="0" fontId="12" fillId="2" borderId="1" xfId="0" applyFont="1" applyFill="1" applyBorder="1" applyAlignment="1">
      <alignment horizontal="left"/>
    </xf>
    <xf numFmtId="0" fontId="12" fillId="2" borderId="1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12" fillId="8" borderId="1" xfId="0" applyFont="1" applyFill="1" applyBorder="1" applyAlignment="1">
      <alignment horizontal="center" wrapText="1"/>
    </xf>
    <xf numFmtId="0" fontId="12" fillId="4" borderId="6" xfId="0" applyFont="1" applyFill="1" applyBorder="1" applyAlignment="1" applyProtection="1">
      <alignment horizontal="center"/>
      <protection locked="0"/>
    </xf>
    <xf numFmtId="0" fontId="8" fillId="2" borderId="7" xfId="0" applyFont="1" applyFill="1" applyBorder="1" applyAlignment="1">
      <alignment horizontal="center"/>
    </xf>
    <xf numFmtId="0" fontId="8" fillId="2" borderId="8" xfId="0" applyFont="1" applyFill="1" applyBorder="1" applyAlignment="1">
      <alignment horizontal="center"/>
    </xf>
    <xf numFmtId="0" fontId="0" fillId="9" borderId="4" xfId="0" applyFill="1" applyBorder="1" applyAlignment="1">
      <alignment horizontal="center" wrapText="1"/>
    </xf>
    <xf numFmtId="0" fontId="0" fillId="9" borderId="5" xfId="0" applyFill="1" applyBorder="1" applyAlignment="1">
      <alignment horizontal="center" wrapText="1"/>
    </xf>
    <xf numFmtId="0" fontId="7" fillId="2" borderId="7" xfId="0" applyFont="1" applyFill="1" applyBorder="1" applyAlignment="1">
      <alignment horizontal="right"/>
    </xf>
    <xf numFmtId="0" fontId="7" fillId="2" borderId="8" xfId="0" applyFont="1" applyFill="1" applyBorder="1" applyAlignment="1">
      <alignment horizontal="right"/>
    </xf>
    <xf numFmtId="0" fontId="20" fillId="3" borderId="6" xfId="0" applyFont="1" applyFill="1" applyBorder="1" applyAlignment="1">
      <alignment horizontal="center" wrapText="1"/>
    </xf>
    <xf numFmtId="0" fontId="1" fillId="4" borderId="0" xfId="0" applyFont="1" applyFill="1" applyAlignment="1">
      <alignment horizontal="center" wrapText="1"/>
    </xf>
    <xf numFmtId="0" fontId="1" fillId="4" borderId="1" xfId="0" applyFont="1" applyFill="1" applyBorder="1" applyAlignment="1">
      <alignment horizontal="center" wrapText="1"/>
    </xf>
  </cellXfs>
  <cellStyles count="2">
    <cellStyle name="Normal" xfId="0" builtinId="0"/>
    <cellStyle name="Percent" xfId="1" builtinId="5"/>
  </cellStyles>
  <dxfs count="467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FF0000"/>
      </font>
    </dxf>
    <dxf>
      <font>
        <color rgb="FFF2F2F2"/>
      </font>
    </dxf>
    <dxf>
      <fill>
        <patternFill>
          <bgColor rgb="FFF2F2F2"/>
        </patternFill>
      </fill>
    </dxf>
    <dxf>
      <font>
        <color rgb="FF000000"/>
      </font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000000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ont>
        <color rgb="FFF2F2F2"/>
      </font>
    </dxf>
    <dxf>
      <fill>
        <patternFill>
          <bgColor rgb="FFF2F2F2"/>
        </patternFill>
      </fill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0000"/>
      </font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ont>
        <color rgb="FFF2F2F2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2F2F2"/>
      </font>
    </dxf>
    <dxf>
      <font>
        <color rgb="FFFFFFFF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ont>
        <color rgb="FFF2F2F2"/>
      </font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2F2F2"/>
      </font>
    </dxf>
    <dxf>
      <font>
        <color rgb="FF000000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000000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font>
        <color rgb="FFF2F2F2"/>
      </font>
    </dxf>
    <dxf>
      <font>
        <color rgb="FFFFFFFF"/>
      </font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000000"/>
      </font>
    </dxf>
    <dxf>
      <font>
        <color rgb="FFF2F2F2"/>
      </font>
    </dxf>
    <dxf>
      <font>
        <color rgb="FF000000"/>
      </font>
    </dxf>
    <dxf>
      <font>
        <color rgb="FFF2F2F2"/>
      </font>
    </dxf>
    <dxf>
      <font>
        <color rgb="FF000000"/>
      </font>
    </dxf>
    <dxf>
      <font>
        <color rgb="FFFFFFFF"/>
      </font>
    </dxf>
    <dxf>
      <font>
        <color rgb="FF000000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000000"/>
      </font>
    </dxf>
    <dxf>
      <font>
        <color rgb="FFFFFFFF"/>
      </font>
    </dxf>
    <dxf>
      <font>
        <color rgb="FF000000"/>
      </font>
    </dxf>
    <dxf>
      <fill>
        <patternFill>
          <bgColor rgb="FFF2F2F2"/>
        </patternFill>
      </fill>
    </dxf>
    <dxf>
      <font>
        <color rgb="FFF2F2F2"/>
      </font>
    </dxf>
    <dxf>
      <fill>
        <patternFill>
          <bgColor rgb="FFBFBFBF"/>
        </patternFill>
      </fill>
    </dxf>
    <dxf>
      <font>
        <color rgb="FF000000"/>
      </font>
    </dxf>
    <dxf>
      <font>
        <color rgb="FFF2F2F2"/>
      </font>
    </dxf>
    <dxf>
      <font>
        <color rgb="FF000000"/>
      </font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ill>
        <patternFill patternType="solid">
          <bgColor rgb="FFFFFFFF"/>
        </patternFill>
      </fill>
    </dxf>
    <dxf>
      <fill>
        <patternFill patternType="solid"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17/10/relationships/person" Target="persons/person.xml"/><Relationship Id="rId5" Type="http://schemas.openxmlformats.org/officeDocument/2006/relationships/pivotCacheDefinition" Target="pivotCache/pivotCacheDefinition1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104775</xdr:colOff>
      <xdr:row>0</xdr:row>
      <xdr:rowOff>190500</xdr:rowOff>
    </xdr:from>
    <xdr:to>
      <xdr:col>25</xdr:col>
      <xdr:colOff>333375</xdr:colOff>
      <xdr:row>1</xdr:row>
      <xdr:rowOff>0</xdr:rowOff>
    </xdr:to>
    <xdr:grpSp>
      <xdr:nvGrpSpPr>
        <xdr:cNvPr id="2" name="Group 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>
          <a:grpSpLocks/>
        </xdr:cNvGrpSpPr>
      </xdr:nvGrpSpPr>
      <xdr:grpSpPr bwMode="auto">
        <a:xfrm>
          <a:off x="16449675" y="190500"/>
          <a:ext cx="228600" cy="47625"/>
          <a:chOff x="708" y="11"/>
          <a:chExt cx="24" cy="5"/>
        </a:xfrm>
      </xdr:grpSpPr>
      <xdr:sp macro="" textlink="">
        <xdr:nvSpPr>
          <xdr:cNvPr id="3" name="Line 3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1"/>
            <a:ext cx="24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" name="Line 4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" name="Line 5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>
            <a:spLocks noChangeShapeType="1"/>
          </xdr:cNvSpPr>
        </xdr:nvSpPr>
        <xdr:spPr bwMode="auto">
          <a:xfrm>
            <a:off x="717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" name="Line 6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>
            <a:spLocks noChangeShapeType="1"/>
          </xdr:cNvSpPr>
        </xdr:nvSpPr>
        <xdr:spPr bwMode="auto">
          <a:xfrm>
            <a:off x="726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28</xdr:col>
      <xdr:colOff>304800</xdr:colOff>
      <xdr:row>0</xdr:row>
      <xdr:rowOff>209550</xdr:rowOff>
    </xdr:from>
    <xdr:to>
      <xdr:col>28</xdr:col>
      <xdr:colOff>533400</xdr:colOff>
      <xdr:row>0</xdr:row>
      <xdr:rowOff>209550</xdr:rowOff>
    </xdr:to>
    <xdr:sp macro="" textlink="">
      <xdr:nvSpPr>
        <xdr:cNvPr id="7" name="Line 10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>
          <a:spLocks noChangeShapeType="1"/>
        </xdr:cNvSpPr>
      </xdr:nvSpPr>
      <xdr:spPr bwMode="auto">
        <a:xfrm>
          <a:off x="18888075" y="209550"/>
          <a:ext cx="228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28</xdr:col>
      <xdr:colOff>304800</xdr:colOff>
      <xdr:row>0</xdr:row>
      <xdr:rowOff>104775</xdr:rowOff>
    </xdr:from>
    <xdr:to>
      <xdr:col>28</xdr:col>
      <xdr:colOff>533400</xdr:colOff>
      <xdr:row>0</xdr:row>
      <xdr:rowOff>152400</xdr:rowOff>
    </xdr:to>
    <xdr:grpSp>
      <xdr:nvGrpSpPr>
        <xdr:cNvPr id="9" name="Group 7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>
          <a:grpSpLocks/>
        </xdr:cNvGrpSpPr>
      </xdr:nvGrpSpPr>
      <xdr:grpSpPr bwMode="auto">
        <a:xfrm>
          <a:off x="18669000" y="104775"/>
          <a:ext cx="228600" cy="47625"/>
          <a:chOff x="708" y="11"/>
          <a:chExt cx="24" cy="5"/>
        </a:xfrm>
      </xdr:grpSpPr>
      <xdr:sp macro="" textlink="">
        <xdr:nvSpPr>
          <xdr:cNvPr id="10" name="Line 3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1"/>
            <a:ext cx="24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1" name="Lin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2" name="Line 5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>
            <a:spLocks noChangeShapeType="1"/>
          </xdr:cNvSpPr>
        </xdr:nvSpPr>
        <xdr:spPr bwMode="auto">
          <a:xfrm>
            <a:off x="717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3" name="Line 6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>
            <a:spLocks noChangeShapeType="1"/>
          </xdr:cNvSpPr>
        </xdr:nvSpPr>
        <xdr:spPr bwMode="auto">
          <a:xfrm>
            <a:off x="726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25</xdr:col>
      <xdr:colOff>95250</xdr:colOff>
      <xdr:row>1</xdr:row>
      <xdr:rowOff>57150</xdr:rowOff>
    </xdr:from>
    <xdr:to>
      <xdr:col>25</xdr:col>
      <xdr:colOff>323850</xdr:colOff>
      <xdr:row>1</xdr:row>
      <xdr:rowOff>57150</xdr:rowOff>
    </xdr:to>
    <xdr:sp macro="" textlink="">
      <xdr:nvSpPr>
        <xdr:cNvPr id="14" name="Line 10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>
          <a:spLocks noChangeShapeType="1"/>
        </xdr:cNvSpPr>
      </xdr:nvSpPr>
      <xdr:spPr bwMode="auto">
        <a:xfrm>
          <a:off x="17030700" y="295275"/>
          <a:ext cx="228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Jeff Hall" id="{7BB70C22-A3E9-4ACB-97F0-4EB56A4A47AE}" userId="S::jhall@jgiquality.com::8f6f53ad-669f-42be-b81a-199fcb46f20a" providerId="AD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GI" refreshedDate="45183.446624305558" createdVersion="8" refreshedVersion="8" minRefreshableVersion="3" recordCount="39" xr:uid="{93115BCF-7067-41A9-A1A9-FA17397464E0}">
  <cacheSource type="worksheet">
    <worksheetSource ref="A5:B44" sheet="Worksheet"/>
  </cacheSource>
  <cacheFields count="2">
    <cacheField name="Key" numFmtId="0">
      <sharedItems containsMixedTypes="1" containsNumber="1" containsInteger="1" minValue="-533201877" maxValue="526822794" count="108">
        <n v="-231948203"/>
        <n v="-30303541"/>
        <n v="-236979795"/>
        <n v="-118925506"/>
        <n v="-365743965"/>
        <n v="286695292"/>
        <n v="-55344214"/>
        <n v="486644484"/>
        <n v="496180124"/>
        <s v=""/>
        <n v="276562491"/>
        <n v="-306398606"/>
        <n v="-110541820"/>
        <n v="184256789"/>
        <n v="410564501"/>
        <n v="269398838"/>
        <n v="77639596"/>
        <n v="226361642"/>
        <n v="120236181"/>
        <n v="-57753614"/>
        <n v="126680872"/>
        <n v="21873872"/>
        <n v="143224241"/>
        <n v="-360402523"/>
        <n v="-306201852"/>
        <n v="86489172"/>
        <n v="424483030"/>
        <n v="-459222896"/>
        <n v="-86683844"/>
        <n v="308163671"/>
        <n v="135938866"/>
        <n v="36563959"/>
        <n v="-66073833"/>
        <n v="465457095"/>
        <n v="174384610" u="1"/>
        <n v="496692070" u="1"/>
        <n v="236682244" u="1"/>
        <n v="262234357" u="1"/>
        <n v="-172668313" u="1"/>
        <n v="382924314" u="1"/>
        <n v="410868578" u="1"/>
        <n v="-55482732" u="1"/>
        <n v="-417944664" u="1"/>
        <n v="-21486868" u="1"/>
        <n v="-6474445" u="1"/>
        <n v="251385326" u="1"/>
        <n v="-146082280" u="1"/>
        <n v="267957746" u="1"/>
        <n v="-103933429" u="1"/>
        <n v="341390981" u="1"/>
        <n v="-465464144" u="1"/>
        <n v="-83086660" u="1"/>
        <n v="280793810" u="1"/>
        <n v="-139962380" u="1"/>
        <n v="-421364563" u="1"/>
        <n v="-175935206" u="1"/>
        <n v="-181566174" u="1"/>
        <n v="-182569286" u="1"/>
        <n v="330404380" u="1"/>
        <n v="407318084" u="1"/>
        <n v="82324729" u="1"/>
        <n v="-500436185" u="1"/>
        <n v="-480914817" u="1"/>
        <n v="-451075182" u="1"/>
        <n v="349634441" u="1"/>
        <n v="22839348" u="1"/>
        <n v="505942544" u="1"/>
        <n v="-514705909" u="1"/>
        <n v="341193017" u="1"/>
        <n v="-79395897" u="1"/>
        <n v="-7470797" u="1"/>
        <n v="365253862" u="1"/>
        <n v="-203194944" u="1"/>
        <n v="-150401807" u="1"/>
        <n v="440718739" u="1"/>
        <n v="-130603686" u="1"/>
        <n v="-48660987" u="1"/>
        <n v="94988977" u="1"/>
        <n v="-497140906" u="1"/>
        <n v="412275362" u="1"/>
        <n v="174149630" u="1"/>
        <n v="480766842" u="1"/>
        <n v="30288501" u="1"/>
        <n v="486747132" u="1"/>
        <n v="-241015169" u="1"/>
        <n v="258501677" u="1"/>
        <n v="-140695640" u="1"/>
        <n v="-200944627" u="1"/>
        <n v="495477226" u="1"/>
        <n v="-314991830" u="1"/>
        <n v="351166055" u="1"/>
        <n v="-533201877" u="1"/>
        <n v="-246462777" u="1"/>
        <n v="192705586" u="1"/>
        <n v="-367133330" u="1"/>
        <n v="-427630886" u="1"/>
        <n v="-457617973" u="1"/>
        <n v="427068135" u="1"/>
        <n v="270387093" u="1"/>
        <n v="-160627480" u="1"/>
        <n v="32522917" u="1"/>
        <n v="195570049" u="1"/>
        <n v="526822794" u="1"/>
        <n v="261165363" u="1"/>
        <n v="-88135951" u="1"/>
        <n v="-156211742" u="1"/>
        <n v="-396379885" u="1"/>
        <n v="318803657" u="1"/>
      </sharedItems>
    </cacheField>
    <cacheField name="Function" numFmtId="0">
      <sharedItems containsBlank="1" count="13">
        <s v="Insulation"/>
        <s v="Volts AC"/>
        <s v=""/>
        <s v="Volts DC"/>
        <s v="Resistance"/>
        <s v="Capacitance"/>
        <s v="Amps AC"/>
        <s v="Amps DC"/>
        <s v="Temperature"/>
        <m u="1"/>
        <s v="Millivolts DC" u="1"/>
        <s v="Milivolts DC" u="1"/>
        <s v="Diode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9">
  <r>
    <x v="0"/>
    <x v="0"/>
  </r>
  <r>
    <x v="1"/>
    <x v="1"/>
  </r>
  <r>
    <x v="2"/>
    <x v="1"/>
  </r>
  <r>
    <x v="3"/>
    <x v="1"/>
  </r>
  <r>
    <x v="4"/>
    <x v="1"/>
  </r>
  <r>
    <x v="5"/>
    <x v="1"/>
  </r>
  <r>
    <x v="6"/>
    <x v="1"/>
  </r>
  <r>
    <x v="7"/>
    <x v="1"/>
  </r>
  <r>
    <x v="8"/>
    <x v="1"/>
  </r>
  <r>
    <x v="9"/>
    <x v="2"/>
  </r>
  <r>
    <x v="9"/>
    <x v="2"/>
  </r>
  <r>
    <x v="10"/>
    <x v="3"/>
  </r>
  <r>
    <x v="11"/>
    <x v="3"/>
  </r>
  <r>
    <x v="12"/>
    <x v="3"/>
  </r>
  <r>
    <x v="13"/>
    <x v="3"/>
  </r>
  <r>
    <x v="9"/>
    <x v="2"/>
  </r>
  <r>
    <x v="9"/>
    <x v="2"/>
  </r>
  <r>
    <x v="14"/>
    <x v="3"/>
  </r>
  <r>
    <x v="15"/>
    <x v="3"/>
  </r>
  <r>
    <x v="16"/>
    <x v="3"/>
  </r>
  <r>
    <x v="17"/>
    <x v="4"/>
  </r>
  <r>
    <x v="18"/>
    <x v="4"/>
  </r>
  <r>
    <x v="19"/>
    <x v="5"/>
  </r>
  <r>
    <x v="9"/>
    <x v="2"/>
  </r>
  <r>
    <x v="9"/>
    <x v="2"/>
  </r>
  <r>
    <x v="20"/>
    <x v="3"/>
  </r>
  <r>
    <x v="21"/>
    <x v="6"/>
  </r>
  <r>
    <x v="22"/>
    <x v="6"/>
  </r>
  <r>
    <x v="23"/>
    <x v="6"/>
  </r>
  <r>
    <x v="24"/>
    <x v="6"/>
  </r>
  <r>
    <x v="25"/>
    <x v="6"/>
  </r>
  <r>
    <x v="26"/>
    <x v="7"/>
  </r>
  <r>
    <x v="27"/>
    <x v="7"/>
  </r>
  <r>
    <x v="28"/>
    <x v="7"/>
  </r>
  <r>
    <x v="29"/>
    <x v="7"/>
  </r>
  <r>
    <x v="30"/>
    <x v="7"/>
  </r>
  <r>
    <x v="31"/>
    <x v="8"/>
  </r>
  <r>
    <x v="32"/>
    <x v="8"/>
  </r>
  <r>
    <x v="33"/>
    <x v="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5C6AB6-B4EE-4490-A3B1-3E9568A0833B}" name="PivotTable1" cacheId="2" applyNumberFormats="0" applyBorderFormats="0" applyFontFormats="0" applyPatternFormats="0" applyAlignmentFormats="0" applyWidthHeightFormats="1" dataCaption="Values" updatedVersion="8" minRefreshableVersion="3" showDrill="0" showDataTips="0" useAutoFormatting="1" rowGrandTotals="0" colGrandTotals="0" itemPrintTitles="1" createdVersion="8" indent="0" outline="1" outlineData="1" multipleFieldFilters="0">
  <location ref="A4:A45" firstHeaderRow="1" firstDataRow="1" firstDataCol="1"/>
  <pivotFields count="2">
    <pivotField axis="axisRow" multipleItemSelectionAllowed="1" showAll="0" includeNewItemsInFilter="1">
      <items count="109">
        <item m="1" x="67"/>
        <item m="1" x="61"/>
        <item m="1" x="78"/>
        <item m="1" x="62"/>
        <item m="1" x="96"/>
        <item m="1" x="63"/>
        <item m="1" x="95"/>
        <item m="1" x="94"/>
        <item m="1" x="89"/>
        <item m="1" x="72"/>
        <item m="1" x="87"/>
        <item m="1" x="99"/>
        <item m="1" x="73"/>
        <item m="1" x="76"/>
        <item m="1" x="70"/>
        <item m="1" x="65"/>
        <item m="1" x="82"/>
        <item m="1" x="80"/>
        <item m="1" x="93"/>
        <item m="1" x="101"/>
        <item m="1" x="85"/>
        <item m="1" x="98"/>
        <item m="1" x="107"/>
        <item m="1" x="68"/>
        <item m="1" x="64"/>
        <item m="1" x="71"/>
        <item m="1" x="79"/>
        <item m="1" x="74"/>
        <item m="1" x="81"/>
        <item m="1" x="83"/>
        <item m="1" x="88"/>
        <item m="1" x="66"/>
        <item m="1" x="102"/>
        <item m="1" x="84"/>
        <item m="1" x="77"/>
        <item m="1" x="97"/>
        <item m="1" x="103"/>
        <item m="1" x="69"/>
        <item m="1" x="104"/>
        <item m="1" x="106"/>
        <item m="1" x="75"/>
        <item m="1" x="90"/>
        <item m="1" x="43"/>
        <item m="1" x="44"/>
        <item m="1" x="45"/>
        <item m="1" x="46"/>
        <item m="1" x="47"/>
        <item m="1" x="48"/>
        <item m="1" x="49"/>
        <item m="1" x="92"/>
        <item m="1" x="86"/>
        <item x="19"/>
        <item m="1" x="50"/>
        <item m="1" x="51"/>
        <item m="1" x="91"/>
        <item m="1" x="53"/>
        <item m="1" x="54"/>
        <item m="1" x="55"/>
        <item m="1" x="56"/>
        <item m="1" x="59"/>
        <item m="1" x="58"/>
        <item m="1" x="57"/>
        <item m="1" x="60"/>
        <item x="31"/>
        <item x="32"/>
        <item x="33"/>
        <item m="1" x="100"/>
        <item h="1" x="9"/>
        <item m="1" x="105"/>
        <item x="17"/>
        <item x="18"/>
        <item m="1" x="52"/>
        <item m="1" x="34"/>
        <item m="1" x="35"/>
        <item m="1" x="36"/>
        <item m="1" x="37"/>
        <item m="1" x="38"/>
        <item m="1" x="39"/>
        <item m="1" x="40"/>
        <item m="1" x="41"/>
        <item m="1" x="42"/>
        <item x="0"/>
        <item x="1"/>
        <item x="2"/>
        <item x="3"/>
        <item x="4"/>
        <item x="5"/>
        <item x="6"/>
        <item x="7"/>
        <item x="8"/>
        <item x="10"/>
        <item x="11"/>
        <item x="12"/>
        <item x="13"/>
        <item x="14"/>
        <item x="15"/>
        <item x="16"/>
        <item x="20"/>
        <item x="21"/>
        <item x="22"/>
        <item x="23"/>
        <item x="24"/>
        <item x="25"/>
        <item x="26"/>
        <item x="27"/>
        <item x="28"/>
        <item x="29"/>
        <item x="30"/>
        <item t="default"/>
      </items>
    </pivotField>
    <pivotField axis="axisRow" showAll="0">
      <items count="14">
        <item x="7"/>
        <item x="6"/>
        <item x="8"/>
        <item x="5"/>
        <item m="1" x="12"/>
        <item m="1" x="10"/>
        <item x="4"/>
        <item x="1"/>
        <item x="3"/>
        <item m="1" x="9"/>
        <item m="1" x="11"/>
        <item x="2"/>
        <item x="0"/>
        <item t="default"/>
      </items>
    </pivotField>
  </pivotFields>
  <rowFields count="2">
    <field x="1"/>
    <field x="0"/>
  </rowFields>
  <rowItems count="41">
    <i>
      <x/>
    </i>
    <i r="1">
      <x v="103"/>
    </i>
    <i r="1">
      <x v="104"/>
    </i>
    <i r="1">
      <x v="105"/>
    </i>
    <i r="1">
      <x v="106"/>
    </i>
    <i r="1">
      <x v="107"/>
    </i>
    <i>
      <x v="1"/>
    </i>
    <i r="1">
      <x v="98"/>
    </i>
    <i r="1">
      <x v="99"/>
    </i>
    <i r="1">
      <x v="100"/>
    </i>
    <i r="1">
      <x v="101"/>
    </i>
    <i r="1">
      <x v="102"/>
    </i>
    <i>
      <x v="2"/>
    </i>
    <i r="1">
      <x v="63"/>
    </i>
    <i r="1">
      <x v="64"/>
    </i>
    <i r="1">
      <x v="65"/>
    </i>
    <i>
      <x v="3"/>
    </i>
    <i r="1">
      <x v="51"/>
    </i>
    <i>
      <x v="6"/>
    </i>
    <i r="1">
      <x v="69"/>
    </i>
    <i r="1">
      <x v="70"/>
    </i>
    <i>
      <x v="7"/>
    </i>
    <i r="1">
      <x v="82"/>
    </i>
    <i r="1">
      <x v="83"/>
    </i>
    <i r="1">
      <x v="84"/>
    </i>
    <i r="1">
      <x v="85"/>
    </i>
    <i r="1">
      <x v="86"/>
    </i>
    <i r="1">
      <x v="87"/>
    </i>
    <i r="1">
      <x v="88"/>
    </i>
    <i r="1">
      <x v="89"/>
    </i>
    <i>
      <x v="8"/>
    </i>
    <i r="1">
      <x v="90"/>
    </i>
    <i r="1">
      <x v="91"/>
    </i>
    <i r="1">
      <x v="92"/>
    </i>
    <i r="1">
      <x v="93"/>
    </i>
    <i r="1">
      <x v="94"/>
    </i>
    <i r="1">
      <x v="95"/>
    </i>
    <i r="1">
      <x v="96"/>
    </i>
    <i r="1">
      <x v="97"/>
    </i>
    <i>
      <x v="12"/>
    </i>
    <i r="1">
      <x v="81"/>
    </i>
  </rowItems>
  <colItems count="1">
    <i/>
  </colItems>
  <formats count="458">
    <format dxfId="466">
      <pivotArea dataOnly="0" labelOnly="1" fieldPosition="0">
        <references count="1">
          <reference field="1" count="1">
            <x v="0"/>
          </reference>
        </references>
      </pivotArea>
    </format>
    <format dxfId="465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464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463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462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461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460">
      <pivotArea dataOnly="0" labelOnly="1" fieldPosition="0">
        <references count="1">
          <reference field="1" count="1">
            <x v="1"/>
          </reference>
        </references>
      </pivotArea>
    </format>
    <format dxfId="459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458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457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456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455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454">
      <pivotArea dataOnly="0" labelOnly="1" fieldPosition="0">
        <references count="1">
          <reference field="1" count="1">
            <x v="3"/>
          </reference>
        </references>
      </pivotArea>
    </format>
    <format dxfId="453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452">
      <pivotArea dataOnly="0" labelOnly="1" fieldPosition="0">
        <references count="1">
          <reference field="1" count="1">
            <x v="4"/>
          </reference>
        </references>
      </pivotArea>
    </format>
    <format dxfId="451">
      <pivotArea dataOnly="0" labelOnly="1" fieldPosition="0">
        <references count="2">
          <reference field="0" count="1">
            <x v="52"/>
          </reference>
          <reference field="1" count="1" selected="0">
            <x v="4"/>
          </reference>
        </references>
      </pivotArea>
    </format>
    <format dxfId="450">
      <pivotArea dataOnly="0" labelOnly="1" fieldPosition="0">
        <references count="1">
          <reference field="1" count="1">
            <x v="6"/>
          </reference>
        </references>
      </pivotArea>
    </format>
    <format dxfId="449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448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447">
      <pivotArea dataOnly="0" labelOnly="1" fieldPosition="0">
        <references count="1">
          <reference field="1" count="1">
            <x v="2"/>
          </reference>
        </references>
      </pivotArea>
    </format>
    <format dxfId="446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445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444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443">
      <pivotArea dataOnly="0" labelOnly="1" fieldPosition="0">
        <references count="1">
          <reference field="1" count="1">
            <x v="7"/>
          </reference>
        </references>
      </pivotArea>
    </format>
    <format dxfId="442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441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440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439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438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437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436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435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434">
      <pivotArea dataOnly="0" labelOnly="1" fieldPosition="0">
        <references count="1">
          <reference field="1" count="1">
            <x v="8"/>
          </reference>
        </references>
      </pivotArea>
    </format>
    <format dxfId="433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432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431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430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429">
      <pivotArea dataOnly="0" labelOnly="1" fieldPosition="0">
        <references count="1">
          <reference field="1" count="1">
            <x v="9"/>
          </reference>
        </references>
      </pivotArea>
    </format>
    <format dxfId="428">
      <pivotArea dataOnly="0" labelOnly="1" fieldPosition="0">
        <references count="2">
          <reference field="0" count="1">
            <x v="66"/>
          </reference>
          <reference field="1" count="1" selected="0">
            <x v="9"/>
          </reference>
        </references>
      </pivotArea>
    </format>
    <format dxfId="427">
      <pivotArea dataOnly="0" labelOnly="1" fieldPosition="0">
        <references count="2">
          <reference field="0" count="1">
            <x v="67"/>
          </reference>
          <reference field="1" count="1" selected="0">
            <x v="9"/>
          </reference>
        </references>
      </pivotArea>
    </format>
    <format dxfId="426">
      <pivotArea dataOnly="0" labelOnly="1" fieldPosition="0">
        <references count="1">
          <reference field="1" count="1">
            <x v="10"/>
          </reference>
        </references>
      </pivotArea>
    </format>
    <format dxfId="425">
      <pivotArea dataOnly="0" labelOnly="1" fieldPosition="0">
        <references count="2">
          <reference field="0" count="1">
            <x v="46"/>
          </reference>
          <reference field="1" count="1" selected="0">
            <x v="10"/>
          </reference>
        </references>
      </pivotArea>
    </format>
    <format dxfId="424">
      <pivotArea dataOnly="0" labelOnly="1" fieldPosition="0">
        <references count="2">
          <reference field="0" count="1">
            <x v="47"/>
          </reference>
          <reference field="1" count="1" selected="0">
            <x v="10"/>
          </reference>
        </references>
      </pivotArea>
    </format>
    <format dxfId="423">
      <pivotArea dataOnly="0" labelOnly="1" fieldPosition="0">
        <references count="2">
          <reference field="0" count="1">
            <x v="48"/>
          </reference>
          <reference field="1" count="1" selected="0">
            <x v="10"/>
          </reference>
        </references>
      </pivotArea>
    </format>
    <format dxfId="422">
      <pivotArea dataOnly="0" labelOnly="1" fieldPosition="0">
        <references count="2">
          <reference field="0" count="1">
            <x v="67"/>
          </reference>
          <reference field="1" count="1" selected="0">
            <x v="9"/>
          </reference>
        </references>
      </pivotArea>
    </format>
    <format dxfId="421">
      <pivotArea dataOnly="0" labelOnly="1" fieldPosition="0">
        <references count="1">
          <reference field="1" count="1">
            <x v="10"/>
          </reference>
        </references>
      </pivotArea>
    </format>
    <format dxfId="420">
      <pivotArea dataOnly="0" labelOnly="1" fieldPosition="0">
        <references count="2">
          <reference field="0" count="1">
            <x v="46"/>
          </reference>
          <reference field="1" count="1" selected="0">
            <x v="10"/>
          </reference>
        </references>
      </pivotArea>
    </format>
    <format dxfId="419">
      <pivotArea dataOnly="0" labelOnly="1" fieldPosition="0">
        <references count="2">
          <reference field="0" count="1">
            <x v="47"/>
          </reference>
          <reference field="1" count="1" selected="0">
            <x v="10"/>
          </reference>
        </references>
      </pivotArea>
    </format>
    <format dxfId="418">
      <pivotArea dataOnly="0" labelOnly="1" fieldPosition="0">
        <references count="2">
          <reference field="0" count="1">
            <x v="48"/>
          </reference>
          <reference field="1" count="1" selected="0">
            <x v="10"/>
          </reference>
        </references>
      </pivotArea>
    </format>
    <format dxfId="417">
      <pivotArea dataOnly="0" labelOnly="1" fieldPosition="0">
        <references count="1">
          <reference field="1" count="1">
            <x v="10"/>
          </reference>
        </references>
      </pivotArea>
    </format>
    <format dxfId="416">
      <pivotArea dataOnly="0" labelOnly="1" fieldPosition="0">
        <references count="2">
          <reference field="0" count="1">
            <x v="46"/>
          </reference>
          <reference field="1" count="1" selected="0">
            <x v="10"/>
          </reference>
        </references>
      </pivotArea>
    </format>
    <format dxfId="415">
      <pivotArea dataOnly="0" labelOnly="1" fieldPosition="0">
        <references count="2">
          <reference field="0" count="1">
            <x v="47"/>
          </reference>
          <reference field="1" count="1" selected="0">
            <x v="10"/>
          </reference>
        </references>
      </pivotArea>
    </format>
    <format dxfId="414">
      <pivotArea dataOnly="0" labelOnly="1" fieldPosition="0">
        <references count="2">
          <reference field="0" count="1">
            <x v="48"/>
          </reference>
          <reference field="1" count="1" selected="0">
            <x v="10"/>
          </reference>
        </references>
      </pivotArea>
    </format>
    <format dxfId="413">
      <pivotArea dataOnly="0" labelOnly="1" fieldPosition="0">
        <references count="1">
          <reference field="1" count="1">
            <x v="0"/>
          </reference>
        </references>
      </pivotArea>
    </format>
    <format dxfId="412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411">
      <pivotArea dataOnly="0" labelOnly="1" fieldPosition="0">
        <references count="1">
          <reference field="1" count="1">
            <x v="3"/>
          </reference>
        </references>
      </pivotArea>
    </format>
    <format dxfId="410">
      <pivotArea dataOnly="0" labelOnly="1" fieldPosition="0">
        <references count="1">
          <reference field="1" count="1">
            <x v="0"/>
          </reference>
        </references>
      </pivotArea>
    </format>
    <format dxfId="409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408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407">
      <pivotArea dataOnly="0" labelOnly="1" fieldPosition="0">
        <references count="1">
          <reference field="1" count="1">
            <x v="4"/>
          </reference>
        </references>
      </pivotArea>
    </format>
    <format dxfId="406">
      <pivotArea dataOnly="0" labelOnly="1" fieldPosition="0">
        <references count="2">
          <reference field="0" count="1">
            <x v="52"/>
          </reference>
          <reference field="1" count="1" selected="0">
            <x v="4"/>
          </reference>
        </references>
      </pivotArea>
    </format>
    <format dxfId="405">
      <pivotArea dataOnly="0" labelOnly="1" fieldPosition="0">
        <references count="1">
          <reference field="1" count="1">
            <x v="6"/>
          </reference>
        </references>
      </pivotArea>
    </format>
    <format dxfId="404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403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402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401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400">
      <pivotArea dataOnly="0" labelOnly="1" fieldPosition="0">
        <references count="1">
          <reference field="1" count="1">
            <x v="3"/>
          </reference>
        </references>
      </pivotArea>
    </format>
    <format dxfId="399">
      <pivotArea dataOnly="0" labelOnly="1" fieldPosition="0">
        <references count="1">
          <reference field="1" count="1">
            <x v="3"/>
          </reference>
        </references>
      </pivotArea>
    </format>
    <format dxfId="398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397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396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395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394">
      <pivotArea dataOnly="0" labelOnly="1" fieldPosition="0">
        <references count="1">
          <reference field="1" count="1">
            <x v="4"/>
          </reference>
        </references>
      </pivotArea>
    </format>
    <format dxfId="393">
      <pivotArea dataOnly="0" labelOnly="1" fieldPosition="0">
        <references count="2">
          <reference field="0" count="1">
            <x v="52"/>
          </reference>
          <reference field="1" count="1" selected="0">
            <x v="4"/>
          </reference>
        </references>
      </pivotArea>
    </format>
    <format dxfId="392">
      <pivotArea dataOnly="0" labelOnly="1" fieldPosition="0">
        <references count="1">
          <reference field="1" count="1">
            <x v="6"/>
          </reference>
        </references>
      </pivotArea>
    </format>
    <format dxfId="391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390">
      <pivotArea dataOnly="0" labelOnly="1" fieldPosition="0">
        <references count="1">
          <reference field="1" count="1">
            <x v="3"/>
          </reference>
        </references>
      </pivotArea>
    </format>
    <format dxfId="389">
      <pivotArea dataOnly="0" labelOnly="1" fieldPosition="0">
        <references count="1">
          <reference field="1" count="1">
            <x v="4"/>
          </reference>
        </references>
      </pivotArea>
    </format>
    <format dxfId="388">
      <pivotArea dataOnly="0" labelOnly="1" fieldPosition="0">
        <references count="2">
          <reference field="0" count="1">
            <x v="52"/>
          </reference>
          <reference field="1" count="1" selected="0">
            <x v="4"/>
          </reference>
        </references>
      </pivotArea>
    </format>
    <format dxfId="387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386">
      <pivotArea dataOnly="0" labelOnly="1" fieldPosition="0">
        <references count="1">
          <reference field="1" count="1">
            <x v="7"/>
          </reference>
        </references>
      </pivotArea>
    </format>
    <format dxfId="385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384">
      <pivotArea dataOnly="0" labelOnly="1" fieldPosition="0">
        <references count="1">
          <reference field="1" count="1">
            <x v="8"/>
          </reference>
        </references>
      </pivotArea>
    </format>
    <format dxfId="383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382">
      <pivotArea dataOnly="0" labelOnly="1" fieldPosition="0">
        <references count="1">
          <reference field="1" count="1">
            <x v="9"/>
          </reference>
        </references>
      </pivotArea>
    </format>
    <format dxfId="381">
      <pivotArea dataOnly="0" labelOnly="1" fieldPosition="0">
        <references count="2">
          <reference field="0" count="1">
            <x v="66"/>
          </reference>
          <reference field="1" count="1" selected="0">
            <x v="9"/>
          </reference>
        </references>
      </pivotArea>
    </format>
    <format dxfId="380">
      <pivotArea dataOnly="0" labelOnly="1" fieldPosition="0">
        <references count="1">
          <reference field="1" count="1">
            <x v="10"/>
          </reference>
        </references>
      </pivotArea>
    </format>
    <format dxfId="379">
      <pivotArea dataOnly="0" labelOnly="1" fieldPosition="0">
        <references count="2">
          <reference field="0" count="1">
            <x v="46"/>
          </reference>
          <reference field="1" count="1" selected="0">
            <x v="10"/>
          </reference>
        </references>
      </pivotArea>
    </format>
    <format dxfId="378">
      <pivotArea dataOnly="0" labelOnly="1" fieldPosition="0">
        <references count="2">
          <reference field="0" count="1">
            <x v="47"/>
          </reference>
          <reference field="1" count="1" selected="0">
            <x v="10"/>
          </reference>
        </references>
      </pivotArea>
    </format>
    <format dxfId="377">
      <pivotArea dataOnly="0" labelOnly="1" fieldPosition="0">
        <references count="2">
          <reference field="0" count="1">
            <x v="48"/>
          </reference>
          <reference field="1" count="1" selected="0">
            <x v="10"/>
          </reference>
        </references>
      </pivotArea>
    </format>
    <format dxfId="376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375">
      <pivotArea dataOnly="0" labelOnly="1" fieldPosition="0">
        <references count="1">
          <reference field="1" count="1">
            <x v="7"/>
          </reference>
        </references>
      </pivotArea>
    </format>
    <format dxfId="374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373">
      <pivotArea dataOnly="0" labelOnly="1" fieldPosition="0">
        <references count="1">
          <reference field="1" count="1">
            <x v="8"/>
          </reference>
        </references>
      </pivotArea>
    </format>
    <format dxfId="372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371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370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369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368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367">
      <pivotArea dataOnly="0" labelOnly="1" fieldPosition="0">
        <references count="1">
          <reference field="1" count="1">
            <x v="11"/>
          </reference>
        </references>
      </pivotArea>
    </format>
    <format dxfId="366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365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364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363">
      <pivotArea type="all" dataOnly="0" outline="0" fieldPosition="0"/>
    </format>
    <format dxfId="362">
      <pivotArea field="1" type="button" dataOnly="0" labelOnly="1" outline="0" axis="axisRow" fieldPosition="0"/>
    </format>
    <format dxfId="361">
      <pivotArea dataOnly="0" labelOnly="1" fieldPosition="0">
        <references count="1">
          <reference field="1" count="0"/>
        </references>
      </pivotArea>
    </format>
    <format dxfId="360">
      <pivotArea dataOnly="0" labelOnly="1" fieldPosition="0">
        <references count="2">
          <reference field="0" count="5">
            <x v="58"/>
            <x v="59"/>
            <x v="60"/>
            <x v="61"/>
            <x v="62"/>
          </reference>
          <reference field="1" count="1" selected="0">
            <x v="0"/>
          </reference>
        </references>
      </pivotArea>
    </format>
    <format dxfId="359">
      <pivotArea dataOnly="0" labelOnly="1" fieldPosition="0">
        <references count="2">
          <reference field="0" count="5">
            <x v="53"/>
            <x v="54"/>
            <x v="55"/>
            <x v="56"/>
            <x v="57"/>
          </reference>
          <reference field="1" count="1" selected="0">
            <x v="1"/>
          </reference>
        </references>
      </pivotArea>
    </format>
    <format dxfId="358">
      <pivotArea dataOnly="0" labelOnly="1" fieldPosition="0">
        <references count="2">
          <reference field="0" count="3">
            <x v="63"/>
            <x v="64"/>
            <x v="65"/>
          </reference>
          <reference field="1" count="1" selected="0">
            <x v="2"/>
          </reference>
        </references>
      </pivotArea>
    </format>
    <format dxfId="357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356">
      <pivotArea dataOnly="0" labelOnly="1" fieldPosition="0">
        <references count="2">
          <reference field="0" count="2">
            <x v="49"/>
            <x v="50"/>
          </reference>
          <reference field="1" count="1" selected="0">
            <x v="6"/>
          </reference>
        </references>
      </pivotArea>
    </format>
    <format dxfId="355">
      <pivotArea dataOnly="0" labelOnly="1" fieldPosition="0">
        <references count="2">
          <reference field="0" count="8">
            <x v="34"/>
            <x v="35"/>
            <x v="36"/>
            <x v="37"/>
            <x v="38"/>
            <x v="39"/>
            <x v="40"/>
            <x v="41"/>
          </reference>
          <reference field="1" count="1" selected="0">
            <x v="7"/>
          </reference>
        </references>
      </pivotArea>
    </format>
    <format dxfId="354">
      <pivotArea dataOnly="0" labelOnly="1" fieldPosition="0">
        <references count="2">
          <reference field="0" count="8">
            <x v="42"/>
            <x v="43"/>
            <x v="44"/>
            <x v="45"/>
            <x v="46"/>
            <x v="47"/>
            <x v="48"/>
            <x v="52"/>
          </reference>
          <reference field="1" count="1" selected="0">
            <x v="8"/>
          </reference>
        </references>
      </pivotArea>
    </format>
    <format dxfId="353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352">
      <pivotArea type="all" dataOnly="0" outline="0" fieldPosition="0"/>
    </format>
    <format dxfId="351">
      <pivotArea field="1" type="button" dataOnly="0" labelOnly="1" outline="0" axis="axisRow" fieldPosition="0"/>
    </format>
    <format dxfId="350">
      <pivotArea dataOnly="0" labelOnly="1" fieldPosition="0">
        <references count="1">
          <reference field="1" count="0"/>
        </references>
      </pivotArea>
    </format>
    <format dxfId="349">
      <pivotArea dataOnly="0" labelOnly="1" fieldPosition="0">
        <references count="2">
          <reference field="0" count="5">
            <x v="58"/>
            <x v="59"/>
            <x v="60"/>
            <x v="61"/>
            <x v="62"/>
          </reference>
          <reference field="1" count="1" selected="0">
            <x v="0"/>
          </reference>
        </references>
      </pivotArea>
    </format>
    <format dxfId="348">
      <pivotArea dataOnly="0" labelOnly="1" fieldPosition="0">
        <references count="2">
          <reference field="0" count="5">
            <x v="53"/>
            <x v="54"/>
            <x v="55"/>
            <x v="56"/>
            <x v="57"/>
          </reference>
          <reference field="1" count="1" selected="0">
            <x v="1"/>
          </reference>
        </references>
      </pivotArea>
    </format>
    <format dxfId="347">
      <pivotArea dataOnly="0" labelOnly="1" fieldPosition="0">
        <references count="2">
          <reference field="0" count="3">
            <x v="63"/>
            <x v="64"/>
            <x v="65"/>
          </reference>
          <reference field="1" count="1" selected="0">
            <x v="2"/>
          </reference>
        </references>
      </pivotArea>
    </format>
    <format dxfId="346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345">
      <pivotArea dataOnly="0" labelOnly="1" fieldPosition="0">
        <references count="2">
          <reference field="0" count="2">
            <x v="49"/>
            <x v="50"/>
          </reference>
          <reference field="1" count="1" selected="0">
            <x v="6"/>
          </reference>
        </references>
      </pivotArea>
    </format>
    <format dxfId="344">
      <pivotArea dataOnly="0" labelOnly="1" fieldPosition="0">
        <references count="2">
          <reference field="0" count="8">
            <x v="34"/>
            <x v="35"/>
            <x v="36"/>
            <x v="37"/>
            <x v="38"/>
            <x v="39"/>
            <x v="40"/>
            <x v="41"/>
          </reference>
          <reference field="1" count="1" selected="0">
            <x v="7"/>
          </reference>
        </references>
      </pivotArea>
    </format>
    <format dxfId="343">
      <pivotArea dataOnly="0" labelOnly="1" fieldPosition="0">
        <references count="2">
          <reference field="0" count="8">
            <x v="42"/>
            <x v="43"/>
            <x v="44"/>
            <x v="45"/>
            <x v="46"/>
            <x v="47"/>
            <x v="48"/>
            <x v="52"/>
          </reference>
          <reference field="1" count="1" selected="0">
            <x v="8"/>
          </reference>
        </references>
      </pivotArea>
    </format>
    <format dxfId="342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341">
      <pivotArea type="all" dataOnly="0" outline="0" fieldPosition="0"/>
    </format>
    <format dxfId="340">
      <pivotArea field="1" type="button" dataOnly="0" labelOnly="1" outline="0" axis="axisRow" fieldPosition="0"/>
    </format>
    <format dxfId="339">
      <pivotArea dataOnly="0" labelOnly="1" fieldPosition="0">
        <references count="1">
          <reference field="1" count="0"/>
        </references>
      </pivotArea>
    </format>
    <format dxfId="338">
      <pivotArea dataOnly="0" labelOnly="1" fieldPosition="0">
        <references count="2">
          <reference field="0" count="5">
            <x v="58"/>
            <x v="59"/>
            <x v="60"/>
            <x v="61"/>
            <x v="62"/>
          </reference>
          <reference field="1" count="1" selected="0">
            <x v="0"/>
          </reference>
        </references>
      </pivotArea>
    </format>
    <format dxfId="337">
      <pivotArea dataOnly="0" labelOnly="1" fieldPosition="0">
        <references count="2">
          <reference field="0" count="5">
            <x v="53"/>
            <x v="54"/>
            <x v="55"/>
            <x v="56"/>
            <x v="57"/>
          </reference>
          <reference field="1" count="1" selected="0">
            <x v="1"/>
          </reference>
        </references>
      </pivotArea>
    </format>
    <format dxfId="336">
      <pivotArea dataOnly="0" labelOnly="1" fieldPosition="0">
        <references count="2">
          <reference field="0" count="3">
            <x v="63"/>
            <x v="64"/>
            <x v="65"/>
          </reference>
          <reference field="1" count="1" selected="0">
            <x v="2"/>
          </reference>
        </references>
      </pivotArea>
    </format>
    <format dxfId="335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334">
      <pivotArea dataOnly="0" labelOnly="1" fieldPosition="0">
        <references count="2">
          <reference field="0" count="2">
            <x v="49"/>
            <x v="50"/>
          </reference>
          <reference field="1" count="1" selected="0">
            <x v="6"/>
          </reference>
        </references>
      </pivotArea>
    </format>
    <format dxfId="333">
      <pivotArea dataOnly="0" labelOnly="1" fieldPosition="0">
        <references count="2">
          <reference field="0" count="8">
            <x v="34"/>
            <x v="35"/>
            <x v="36"/>
            <x v="37"/>
            <x v="38"/>
            <x v="39"/>
            <x v="40"/>
            <x v="41"/>
          </reference>
          <reference field="1" count="1" selected="0">
            <x v="7"/>
          </reference>
        </references>
      </pivotArea>
    </format>
    <format dxfId="332">
      <pivotArea dataOnly="0" labelOnly="1" fieldPosition="0">
        <references count="2">
          <reference field="0" count="8">
            <x v="42"/>
            <x v="43"/>
            <x v="44"/>
            <x v="45"/>
            <x v="46"/>
            <x v="47"/>
            <x v="48"/>
            <x v="52"/>
          </reference>
          <reference field="1" count="1" selected="0">
            <x v="8"/>
          </reference>
        </references>
      </pivotArea>
    </format>
    <format dxfId="331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330">
      <pivotArea dataOnly="0" labelOnly="1" fieldPosition="0">
        <references count="1">
          <reference field="1" count="1">
            <x v="0"/>
          </reference>
        </references>
      </pivotArea>
    </format>
    <format dxfId="329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328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327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326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325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324">
      <pivotArea dataOnly="0" labelOnly="1" fieldPosition="0">
        <references count="1">
          <reference field="1" count="1">
            <x v="1"/>
          </reference>
        </references>
      </pivotArea>
    </format>
    <format dxfId="323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322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321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320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319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318">
      <pivotArea dataOnly="0" labelOnly="1" fieldPosition="0">
        <references count="1">
          <reference field="1" count="1">
            <x v="2"/>
          </reference>
        </references>
      </pivotArea>
    </format>
    <format dxfId="317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316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315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314">
      <pivotArea dataOnly="0" labelOnly="1" fieldPosition="0">
        <references count="1">
          <reference field="1" count="1">
            <x v="3"/>
          </reference>
        </references>
      </pivotArea>
    </format>
    <format dxfId="313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312">
      <pivotArea dataOnly="0" labelOnly="1" fieldPosition="0">
        <references count="1">
          <reference field="1" count="1">
            <x v="6"/>
          </reference>
        </references>
      </pivotArea>
    </format>
    <format dxfId="311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310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309">
      <pivotArea dataOnly="0" labelOnly="1" fieldPosition="0">
        <references count="1">
          <reference field="1" count="1">
            <x v="7"/>
          </reference>
        </references>
      </pivotArea>
    </format>
    <format dxfId="308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307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306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305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304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303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302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301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300">
      <pivotArea dataOnly="0" labelOnly="1" fieldPosition="0">
        <references count="1">
          <reference field="1" count="1">
            <x v="8"/>
          </reference>
        </references>
      </pivotArea>
    </format>
    <format dxfId="299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298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297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296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295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294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293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292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291">
      <pivotArea dataOnly="0" labelOnly="1" fieldPosition="0">
        <references count="1">
          <reference field="1" count="1">
            <x v="11"/>
          </reference>
        </references>
      </pivotArea>
    </format>
    <format dxfId="290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289">
      <pivotArea dataOnly="0" labelOnly="1" fieldPosition="0">
        <references count="1">
          <reference field="1" count="1">
            <x v="0"/>
          </reference>
        </references>
      </pivotArea>
    </format>
    <format dxfId="288">
      <pivotArea dataOnly="0" labelOnly="1" fieldPosition="0">
        <references count="1">
          <reference field="1" count="1">
            <x v="0"/>
          </reference>
        </references>
      </pivotArea>
    </format>
    <format dxfId="287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286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285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284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283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282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281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280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279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278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277">
      <pivotArea dataOnly="0" labelOnly="1" fieldPosition="0">
        <references count="1">
          <reference field="1" count="1">
            <x v="1"/>
          </reference>
        </references>
      </pivotArea>
    </format>
    <format dxfId="276">
      <pivotArea dataOnly="0" labelOnly="1" fieldPosition="0">
        <references count="1">
          <reference field="1" count="1">
            <x v="1"/>
          </reference>
        </references>
      </pivotArea>
    </format>
    <format dxfId="275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274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273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272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271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270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269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268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267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266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265">
      <pivotArea dataOnly="0" labelOnly="1" fieldPosition="0">
        <references count="1">
          <reference field="1" count="1">
            <x v="2"/>
          </reference>
        </references>
      </pivotArea>
    </format>
    <format dxfId="264">
      <pivotArea dataOnly="0" labelOnly="1" fieldPosition="0">
        <references count="1">
          <reference field="1" count="1">
            <x v="2"/>
          </reference>
        </references>
      </pivotArea>
    </format>
    <format dxfId="263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262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261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260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259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258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257">
      <pivotArea dataOnly="0" labelOnly="1" fieldPosition="0">
        <references count="1">
          <reference field="1" count="1">
            <x v="3"/>
          </reference>
        </references>
      </pivotArea>
    </format>
    <format dxfId="256">
      <pivotArea dataOnly="0" labelOnly="1" fieldPosition="0">
        <references count="1">
          <reference field="1" count="1">
            <x v="3"/>
          </reference>
        </references>
      </pivotArea>
    </format>
    <format dxfId="255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254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253">
      <pivotArea dataOnly="0" labelOnly="1" fieldPosition="0">
        <references count="1">
          <reference field="1" count="1">
            <x v="6"/>
          </reference>
        </references>
      </pivotArea>
    </format>
    <format dxfId="252">
      <pivotArea dataOnly="0" labelOnly="1" fieldPosition="0">
        <references count="1">
          <reference field="1" count="1">
            <x v="6"/>
          </reference>
        </references>
      </pivotArea>
    </format>
    <format dxfId="251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250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249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248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247">
      <pivotArea dataOnly="0" labelOnly="1" fieldPosition="0">
        <references count="1">
          <reference field="1" count="1">
            <x v="7"/>
          </reference>
        </references>
      </pivotArea>
    </format>
    <format dxfId="246">
      <pivotArea dataOnly="0" labelOnly="1" fieldPosition="0">
        <references count="1">
          <reference field="1" count="1">
            <x v="7"/>
          </reference>
        </references>
      </pivotArea>
    </format>
    <format dxfId="245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244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243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242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241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240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239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238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237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236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235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234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233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232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231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230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229">
      <pivotArea dataOnly="0" labelOnly="1" fieldPosition="0">
        <references count="1">
          <reference field="1" count="1">
            <x v="8"/>
          </reference>
        </references>
      </pivotArea>
    </format>
    <format dxfId="228">
      <pivotArea dataOnly="0" labelOnly="1" fieldPosition="0">
        <references count="1">
          <reference field="1" count="1">
            <x v="8"/>
          </reference>
        </references>
      </pivotArea>
    </format>
    <format dxfId="227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226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225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224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223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222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221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220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219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218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217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216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215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214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213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212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211">
      <pivotArea dataOnly="0" labelOnly="1" fieldPosition="0">
        <references count="1">
          <reference field="1" count="1">
            <x v="11"/>
          </reference>
        </references>
      </pivotArea>
    </format>
    <format dxfId="210">
      <pivotArea dataOnly="0" labelOnly="1" fieldPosition="0">
        <references count="1">
          <reference field="1" count="1">
            <x v="11"/>
          </reference>
        </references>
      </pivotArea>
    </format>
    <format dxfId="209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208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207">
      <pivotArea dataOnly="0" labelOnly="1" fieldPosition="0">
        <references count="1">
          <reference field="1" count="1">
            <x v="0"/>
          </reference>
        </references>
      </pivotArea>
    </format>
    <format dxfId="206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205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204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203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202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201">
      <pivotArea dataOnly="0" labelOnly="1" fieldPosition="0">
        <references count="1">
          <reference field="1" count="1">
            <x v="1"/>
          </reference>
        </references>
      </pivotArea>
    </format>
    <format dxfId="200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199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198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197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196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195">
      <pivotArea dataOnly="0" labelOnly="1" fieldPosition="0">
        <references count="1">
          <reference field="1" count="1">
            <x v="2"/>
          </reference>
        </references>
      </pivotArea>
    </format>
    <format dxfId="194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193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192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191">
      <pivotArea dataOnly="0" labelOnly="1" fieldPosition="0">
        <references count="1">
          <reference field="1" count="1">
            <x v="3"/>
          </reference>
        </references>
      </pivotArea>
    </format>
    <format dxfId="190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189">
      <pivotArea dataOnly="0" labelOnly="1" fieldPosition="0">
        <references count="1">
          <reference field="1" count="1">
            <x v="6"/>
          </reference>
        </references>
      </pivotArea>
    </format>
    <format dxfId="188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187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186">
      <pivotArea dataOnly="0" labelOnly="1" fieldPosition="0">
        <references count="1">
          <reference field="1" count="1">
            <x v="7"/>
          </reference>
        </references>
      </pivotArea>
    </format>
    <format dxfId="185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184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183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182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181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180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179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178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177">
      <pivotArea dataOnly="0" labelOnly="1" fieldPosition="0">
        <references count="1">
          <reference field="1" count="1">
            <x v="8"/>
          </reference>
        </references>
      </pivotArea>
    </format>
    <format dxfId="176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175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174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173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172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171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170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169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168">
      <pivotArea dataOnly="0" labelOnly="1" fieldPosition="0">
        <references count="1">
          <reference field="1" count="1">
            <x v="11"/>
          </reference>
        </references>
      </pivotArea>
    </format>
    <format dxfId="167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166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65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64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63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62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61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60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59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58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57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56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55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54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53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52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51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50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149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148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147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146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145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144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143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142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141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140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139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138">
      <pivotArea dataOnly="0" labelOnly="1" fieldPosition="0">
        <references count="1">
          <reference field="1" count="1">
            <x v="11"/>
          </reference>
        </references>
      </pivotArea>
    </format>
    <format dxfId="137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136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135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134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133">
      <pivotArea dataOnly="0" labelOnly="1" fieldPosition="0">
        <references count="2">
          <reference field="0" count="1">
            <x v="71"/>
          </reference>
          <reference field="1" count="1" selected="0">
            <x v="1"/>
          </reference>
        </references>
      </pivotArea>
    </format>
    <format dxfId="132">
      <pivotArea dataOnly="0" labelOnly="1" fieldPosition="0">
        <references count="2">
          <reference field="0" count="1">
            <x v="69"/>
          </reference>
          <reference field="1" count="1" selected="0">
            <x v="6"/>
          </reference>
        </references>
      </pivotArea>
    </format>
    <format dxfId="131">
      <pivotArea dataOnly="0" labelOnly="1" fieldPosition="0">
        <references count="2">
          <reference field="0" count="1">
            <x v="70"/>
          </reference>
          <reference field="1" count="1" selected="0">
            <x v="6"/>
          </reference>
        </references>
      </pivotArea>
    </format>
    <format dxfId="130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129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128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127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126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125">
      <pivotArea dataOnly="0" labelOnly="1" fieldPosition="0">
        <references count="2">
          <reference field="0" count="1">
            <x v="68"/>
          </reference>
          <reference field="1" count="1" selected="0">
            <x v="7"/>
          </reference>
        </references>
      </pivotArea>
    </format>
    <format dxfId="124">
      <pivotArea dataOnly="0" labelOnly="1" fieldPosition="0">
        <references count="1">
          <reference field="1" count="1">
            <x v="12"/>
          </reference>
        </references>
      </pivotArea>
    </format>
    <format dxfId="123">
      <pivotArea dataOnly="0" labelOnly="1" fieldPosition="0">
        <references count="2">
          <reference field="0" count="1">
            <x v="66"/>
          </reference>
          <reference field="1" count="1" selected="0">
            <x v="12"/>
          </reference>
        </references>
      </pivotArea>
    </format>
    <format dxfId="122">
      <pivotArea dataOnly="0" labelOnly="1" fieldPosition="0">
        <references count="2">
          <reference field="0" count="8">
            <x v="34"/>
            <x v="35"/>
            <x v="37"/>
            <x v="38"/>
            <x v="39"/>
            <x v="40"/>
            <x v="41"/>
            <x v="68"/>
          </reference>
          <reference field="1" count="1" selected="0">
            <x v="7"/>
          </reference>
        </references>
      </pivotArea>
    </format>
    <format dxfId="121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120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119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118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117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116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115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114">
      <pivotArea dataOnly="0" labelOnly="1" fieldPosition="0">
        <references count="2">
          <reference field="0" count="1">
            <x v="68"/>
          </reference>
          <reference field="1" count="1" selected="0">
            <x v="7"/>
          </reference>
        </references>
      </pivotArea>
    </format>
    <format dxfId="113">
      <pivotArea dataOnly="0" labelOnly="1" fieldPosition="0">
        <references count="2">
          <reference field="0" count="1">
            <x v="66"/>
          </reference>
          <reference field="1" count="1" selected="0">
            <x v="12"/>
          </reference>
        </references>
      </pivotArea>
    </format>
    <format dxfId="112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111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110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09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08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107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106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105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104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103">
      <pivotArea dataOnly="0" labelOnly="1" fieldPosition="0">
        <references count="2">
          <reference field="0" count="1">
            <x v="71"/>
          </reference>
          <reference field="1" count="1" selected="0">
            <x v="1"/>
          </reference>
        </references>
      </pivotArea>
    </format>
    <format dxfId="102">
      <pivotArea dataOnly="0" labelOnly="1" fieldPosition="0">
        <references count="2">
          <reference field="0" count="1">
            <x v="73"/>
          </reference>
          <reference field="1" count="1" selected="0">
            <x v="7"/>
          </reference>
        </references>
      </pivotArea>
    </format>
    <format dxfId="101">
      <pivotArea dataOnly="0" labelOnly="1" fieldPosition="0">
        <references count="2">
          <reference field="0" count="1">
            <x v="73"/>
          </reference>
          <reference field="1" count="1" selected="0">
            <x v="7"/>
          </reference>
        </references>
      </pivotArea>
    </format>
    <format dxfId="100">
      <pivotArea dataOnly="0" labelOnly="1" fieldPosition="0">
        <references count="2">
          <reference field="0" count="1">
            <x v="74"/>
          </reference>
          <reference field="1" count="1" selected="0">
            <x v="7"/>
          </reference>
        </references>
      </pivotArea>
    </format>
    <format dxfId="99">
      <pivotArea dataOnly="0" labelOnly="1" fieldPosition="0">
        <references count="2">
          <reference field="0" count="1">
            <x v="74"/>
          </reference>
          <reference field="1" count="1" selected="0">
            <x v="7"/>
          </reference>
        </references>
      </pivotArea>
    </format>
    <format dxfId="98">
      <pivotArea dataOnly="0" labelOnly="1" fieldPosition="0">
        <references count="2">
          <reference field="0" count="1">
            <x v="75"/>
          </reference>
          <reference field="1" count="1" selected="0">
            <x v="7"/>
          </reference>
        </references>
      </pivotArea>
    </format>
    <format dxfId="97">
      <pivotArea dataOnly="0" labelOnly="1" fieldPosition="0">
        <references count="2">
          <reference field="0" count="1">
            <x v="75"/>
          </reference>
          <reference field="1" count="1" selected="0">
            <x v="7"/>
          </reference>
        </references>
      </pivotArea>
    </format>
    <format dxfId="96">
      <pivotArea dataOnly="0" labelOnly="1" fieldPosition="0">
        <references count="2">
          <reference field="0" count="1">
            <x v="76"/>
          </reference>
          <reference field="1" count="1" selected="0">
            <x v="7"/>
          </reference>
        </references>
      </pivotArea>
    </format>
    <format dxfId="95">
      <pivotArea dataOnly="0" labelOnly="1" fieldPosition="0">
        <references count="2">
          <reference field="0" count="1">
            <x v="76"/>
          </reference>
          <reference field="1" count="1" selected="0">
            <x v="7"/>
          </reference>
        </references>
      </pivotArea>
    </format>
    <format dxfId="94">
      <pivotArea dataOnly="0" labelOnly="1" fieldPosition="0">
        <references count="2">
          <reference field="0" count="1">
            <x v="77"/>
          </reference>
          <reference field="1" count="1" selected="0">
            <x v="7"/>
          </reference>
        </references>
      </pivotArea>
    </format>
    <format dxfId="93">
      <pivotArea dataOnly="0" labelOnly="1" fieldPosition="0">
        <references count="2">
          <reference field="0" count="1">
            <x v="77"/>
          </reference>
          <reference field="1" count="1" selected="0">
            <x v="7"/>
          </reference>
        </references>
      </pivotArea>
    </format>
    <format dxfId="92">
      <pivotArea dataOnly="0" labelOnly="1" fieldPosition="0">
        <references count="2">
          <reference field="0" count="1">
            <x v="78"/>
          </reference>
          <reference field="1" count="1" selected="0">
            <x v="7"/>
          </reference>
        </references>
      </pivotArea>
    </format>
    <format dxfId="91">
      <pivotArea dataOnly="0" labelOnly="1" fieldPosition="0">
        <references count="2">
          <reference field="0" count="1">
            <x v="78"/>
          </reference>
          <reference field="1" count="1" selected="0">
            <x v="7"/>
          </reference>
        </references>
      </pivotArea>
    </format>
    <format dxfId="90">
      <pivotArea dataOnly="0" labelOnly="1" fieldPosition="0">
        <references count="2">
          <reference field="0" count="1">
            <x v="79"/>
          </reference>
          <reference field="1" count="1" selected="0">
            <x v="7"/>
          </reference>
        </references>
      </pivotArea>
    </format>
    <format dxfId="89">
      <pivotArea dataOnly="0" labelOnly="1" fieldPosition="0">
        <references count="2">
          <reference field="0" count="1">
            <x v="79"/>
          </reference>
          <reference field="1" count="1" selected="0">
            <x v="7"/>
          </reference>
        </references>
      </pivotArea>
    </format>
    <format dxfId="88">
      <pivotArea dataOnly="0" labelOnly="1" fieldPosition="0">
        <references count="2">
          <reference field="0" count="1">
            <x v="80"/>
          </reference>
          <reference field="1" count="1" selected="0">
            <x v="7"/>
          </reference>
        </references>
      </pivotArea>
    </format>
    <format dxfId="87">
      <pivotArea dataOnly="0" labelOnly="1" fieldPosition="0">
        <references count="2">
          <reference field="0" count="1">
            <x v="80"/>
          </reference>
          <reference field="1" count="1" selected="0">
            <x v="7"/>
          </reference>
        </references>
      </pivotArea>
    </format>
    <format dxfId="86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85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84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83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82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81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80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79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78">
      <pivotArea dataOnly="0" labelOnly="1" fieldPosition="0">
        <references count="2">
          <reference field="0" count="1">
            <x v="72"/>
          </reference>
          <reference field="1" count="1" selected="0">
            <x v="12"/>
          </reference>
        </references>
      </pivotArea>
    </format>
    <format dxfId="77">
      <pivotArea dataOnly="0" labelOnly="1" fieldPosition="0">
        <references count="2">
          <reference field="0" count="1">
            <x v="72"/>
          </reference>
          <reference field="1" count="1" selected="0">
            <x v="12"/>
          </reference>
        </references>
      </pivotArea>
    </format>
    <format dxfId="76">
      <pivotArea dataOnly="0" labelOnly="1" fieldPosition="0">
        <references count="1">
          <reference field="1" count="1">
            <x v="0"/>
          </reference>
        </references>
      </pivotArea>
    </format>
    <format dxfId="75">
      <pivotArea dataOnly="0" labelOnly="1" fieldPosition="0">
        <references count="2">
          <reference field="0" count="1">
            <x v="103"/>
          </reference>
          <reference field="1" count="1" selected="0">
            <x v="0"/>
          </reference>
        </references>
      </pivotArea>
    </format>
    <format dxfId="74">
      <pivotArea dataOnly="0" labelOnly="1" fieldPosition="0">
        <references count="2">
          <reference field="0" count="1">
            <x v="103"/>
          </reference>
          <reference field="1" count="1" selected="0">
            <x v="0"/>
          </reference>
        </references>
      </pivotArea>
    </format>
    <format dxfId="73">
      <pivotArea dataOnly="0" labelOnly="1" fieldPosition="0">
        <references count="2">
          <reference field="0" count="1">
            <x v="104"/>
          </reference>
          <reference field="1" count="1" selected="0">
            <x v="0"/>
          </reference>
        </references>
      </pivotArea>
    </format>
    <format dxfId="72">
      <pivotArea dataOnly="0" labelOnly="1" fieldPosition="0">
        <references count="2">
          <reference field="0" count="1">
            <x v="104"/>
          </reference>
          <reference field="1" count="1" selected="0">
            <x v="0"/>
          </reference>
        </references>
      </pivotArea>
    </format>
    <format dxfId="71">
      <pivotArea dataOnly="0" labelOnly="1" fieldPosition="0">
        <references count="2">
          <reference field="0" count="1">
            <x v="105"/>
          </reference>
          <reference field="1" count="1" selected="0">
            <x v="0"/>
          </reference>
        </references>
      </pivotArea>
    </format>
    <format dxfId="70">
      <pivotArea dataOnly="0" labelOnly="1" fieldPosition="0">
        <references count="2">
          <reference field="0" count="1">
            <x v="105"/>
          </reference>
          <reference field="1" count="1" selected="0">
            <x v="0"/>
          </reference>
        </references>
      </pivotArea>
    </format>
    <format dxfId="69">
      <pivotArea dataOnly="0" labelOnly="1" fieldPosition="0">
        <references count="2">
          <reference field="0" count="1">
            <x v="106"/>
          </reference>
          <reference field="1" count="1" selected="0">
            <x v="0"/>
          </reference>
        </references>
      </pivotArea>
    </format>
    <format dxfId="68">
      <pivotArea dataOnly="0" labelOnly="1" fieldPosition="0">
        <references count="2">
          <reference field="0" count="1">
            <x v="106"/>
          </reference>
          <reference field="1" count="1" selected="0">
            <x v="0"/>
          </reference>
        </references>
      </pivotArea>
    </format>
    <format dxfId="67">
      <pivotArea dataOnly="0" labelOnly="1" fieldPosition="0">
        <references count="2">
          <reference field="0" count="1">
            <x v="107"/>
          </reference>
          <reference field="1" count="1" selected="0">
            <x v="0"/>
          </reference>
        </references>
      </pivotArea>
    </format>
    <format dxfId="66">
      <pivotArea dataOnly="0" labelOnly="1" fieldPosition="0">
        <references count="2">
          <reference field="0" count="1">
            <x v="107"/>
          </reference>
          <reference field="1" count="1" selected="0">
            <x v="0"/>
          </reference>
        </references>
      </pivotArea>
    </format>
    <format dxfId="65">
      <pivotArea dataOnly="0" labelOnly="1" fieldPosition="0">
        <references count="1">
          <reference field="1" count="1">
            <x v="1"/>
          </reference>
        </references>
      </pivotArea>
    </format>
    <format dxfId="64">
      <pivotArea dataOnly="0" labelOnly="1" fieldPosition="0">
        <references count="2">
          <reference field="0" count="1">
            <x v="98"/>
          </reference>
          <reference field="1" count="1" selected="0">
            <x v="1"/>
          </reference>
        </references>
      </pivotArea>
    </format>
    <format dxfId="63">
      <pivotArea dataOnly="0" labelOnly="1" fieldPosition="0">
        <references count="2">
          <reference field="0" count="1">
            <x v="98"/>
          </reference>
          <reference field="1" count="1" selected="0">
            <x v="1"/>
          </reference>
        </references>
      </pivotArea>
    </format>
    <format dxfId="62">
      <pivotArea dataOnly="0" labelOnly="1" fieldPosition="0">
        <references count="2">
          <reference field="0" count="1">
            <x v="99"/>
          </reference>
          <reference field="1" count="1" selected="0">
            <x v="1"/>
          </reference>
        </references>
      </pivotArea>
    </format>
    <format dxfId="61">
      <pivotArea dataOnly="0" labelOnly="1" fieldPosition="0">
        <references count="2">
          <reference field="0" count="1">
            <x v="99"/>
          </reference>
          <reference field="1" count="1" selected="0">
            <x v="1"/>
          </reference>
        </references>
      </pivotArea>
    </format>
    <format dxfId="60">
      <pivotArea dataOnly="0" labelOnly="1" fieldPosition="0">
        <references count="2">
          <reference field="0" count="1">
            <x v="100"/>
          </reference>
          <reference field="1" count="1" selected="0">
            <x v="1"/>
          </reference>
        </references>
      </pivotArea>
    </format>
    <format dxfId="59">
      <pivotArea dataOnly="0" labelOnly="1" fieldPosition="0">
        <references count="2">
          <reference field="0" count="1">
            <x v="100"/>
          </reference>
          <reference field="1" count="1" selected="0">
            <x v="1"/>
          </reference>
        </references>
      </pivotArea>
    </format>
    <format dxfId="58">
      <pivotArea dataOnly="0" labelOnly="1" fieldPosition="0">
        <references count="2">
          <reference field="0" count="1">
            <x v="101"/>
          </reference>
          <reference field="1" count="1" selected="0">
            <x v="1"/>
          </reference>
        </references>
      </pivotArea>
    </format>
    <format dxfId="57">
      <pivotArea dataOnly="0" labelOnly="1" fieldPosition="0">
        <references count="2">
          <reference field="0" count="1">
            <x v="101"/>
          </reference>
          <reference field="1" count="1" selected="0">
            <x v="1"/>
          </reference>
        </references>
      </pivotArea>
    </format>
    <format dxfId="56">
      <pivotArea dataOnly="0" labelOnly="1" fieldPosition="0">
        <references count="2">
          <reference field="0" count="1">
            <x v="102"/>
          </reference>
          <reference field="1" count="1" selected="0">
            <x v="1"/>
          </reference>
        </references>
      </pivotArea>
    </format>
    <format dxfId="55">
      <pivotArea dataOnly="0" labelOnly="1" fieldPosition="0">
        <references count="2">
          <reference field="0" count="1">
            <x v="102"/>
          </reference>
          <reference field="1" count="1" selected="0">
            <x v="1"/>
          </reference>
        </references>
      </pivotArea>
    </format>
    <format dxfId="54">
      <pivotArea dataOnly="0" labelOnly="1" fieldPosition="0">
        <references count="1">
          <reference field="1" count="1">
            <x v="2"/>
          </reference>
        </references>
      </pivotArea>
    </format>
    <format dxfId="53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52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51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50">
      <pivotArea dataOnly="0" labelOnly="1" fieldPosition="0">
        <references count="1">
          <reference field="1" count="1">
            <x v="3"/>
          </reference>
        </references>
      </pivotArea>
    </format>
    <format dxfId="49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48">
      <pivotArea dataOnly="0" labelOnly="1" fieldPosition="0">
        <references count="1">
          <reference field="1" count="1">
            <x v="6"/>
          </reference>
        </references>
      </pivotArea>
    </format>
    <format dxfId="47">
      <pivotArea dataOnly="0" labelOnly="1" fieldPosition="0">
        <references count="2">
          <reference field="0" count="1">
            <x v="69"/>
          </reference>
          <reference field="1" count="1" selected="0">
            <x v="6"/>
          </reference>
        </references>
      </pivotArea>
    </format>
    <format dxfId="46">
      <pivotArea dataOnly="0" labelOnly="1" fieldPosition="0">
        <references count="2">
          <reference field="0" count="1">
            <x v="70"/>
          </reference>
          <reference field="1" count="1" selected="0">
            <x v="6"/>
          </reference>
        </references>
      </pivotArea>
    </format>
    <format dxfId="45">
      <pivotArea dataOnly="0" labelOnly="1" fieldPosition="0">
        <references count="1">
          <reference field="1" count="1">
            <x v="7"/>
          </reference>
        </references>
      </pivotArea>
    </format>
    <format dxfId="44">
      <pivotArea dataOnly="0" labelOnly="1" fieldPosition="0">
        <references count="2">
          <reference field="0" count="1">
            <x v="82"/>
          </reference>
          <reference field="1" count="1" selected="0">
            <x v="7"/>
          </reference>
        </references>
      </pivotArea>
    </format>
    <format dxfId="43">
      <pivotArea dataOnly="0" labelOnly="1" fieldPosition="0">
        <references count="2">
          <reference field="0" count="1">
            <x v="82"/>
          </reference>
          <reference field="1" count="1" selected="0">
            <x v="7"/>
          </reference>
        </references>
      </pivotArea>
    </format>
    <format dxfId="42">
      <pivotArea dataOnly="0" labelOnly="1" fieldPosition="0">
        <references count="2">
          <reference field="0" count="1">
            <x v="83"/>
          </reference>
          <reference field="1" count="1" selected="0">
            <x v="7"/>
          </reference>
        </references>
      </pivotArea>
    </format>
    <format dxfId="41">
      <pivotArea dataOnly="0" labelOnly="1" fieldPosition="0">
        <references count="2">
          <reference field="0" count="1">
            <x v="83"/>
          </reference>
          <reference field="1" count="1" selected="0">
            <x v="7"/>
          </reference>
        </references>
      </pivotArea>
    </format>
    <format dxfId="40">
      <pivotArea dataOnly="0" labelOnly="1" fieldPosition="0">
        <references count="2">
          <reference field="0" count="1">
            <x v="84"/>
          </reference>
          <reference field="1" count="1" selected="0">
            <x v="7"/>
          </reference>
        </references>
      </pivotArea>
    </format>
    <format dxfId="39">
      <pivotArea dataOnly="0" labelOnly="1" fieldPosition="0">
        <references count="2">
          <reference field="0" count="1">
            <x v="84"/>
          </reference>
          <reference field="1" count="1" selected="0">
            <x v="7"/>
          </reference>
        </references>
      </pivotArea>
    </format>
    <format dxfId="38">
      <pivotArea dataOnly="0" labelOnly="1" fieldPosition="0">
        <references count="2">
          <reference field="0" count="1">
            <x v="85"/>
          </reference>
          <reference field="1" count="1" selected="0">
            <x v="7"/>
          </reference>
        </references>
      </pivotArea>
    </format>
    <format dxfId="37">
      <pivotArea dataOnly="0" labelOnly="1" fieldPosition="0">
        <references count="2">
          <reference field="0" count="1">
            <x v="85"/>
          </reference>
          <reference field="1" count="1" selected="0">
            <x v="7"/>
          </reference>
        </references>
      </pivotArea>
    </format>
    <format dxfId="36">
      <pivotArea dataOnly="0" labelOnly="1" fieldPosition="0">
        <references count="2">
          <reference field="0" count="1">
            <x v="86"/>
          </reference>
          <reference field="1" count="1" selected="0">
            <x v="7"/>
          </reference>
        </references>
      </pivotArea>
    </format>
    <format dxfId="35">
      <pivotArea dataOnly="0" labelOnly="1" fieldPosition="0">
        <references count="2">
          <reference field="0" count="1">
            <x v="86"/>
          </reference>
          <reference field="1" count="1" selected="0">
            <x v="7"/>
          </reference>
        </references>
      </pivotArea>
    </format>
    <format dxfId="34">
      <pivotArea dataOnly="0" labelOnly="1" fieldPosition="0">
        <references count="2">
          <reference field="0" count="1">
            <x v="87"/>
          </reference>
          <reference field="1" count="1" selected="0">
            <x v="7"/>
          </reference>
        </references>
      </pivotArea>
    </format>
    <format dxfId="33">
      <pivotArea dataOnly="0" labelOnly="1" fieldPosition="0">
        <references count="2">
          <reference field="0" count="1">
            <x v="87"/>
          </reference>
          <reference field="1" count="1" selected="0">
            <x v="7"/>
          </reference>
        </references>
      </pivotArea>
    </format>
    <format dxfId="32">
      <pivotArea dataOnly="0" labelOnly="1" fieldPosition="0">
        <references count="2">
          <reference field="0" count="1">
            <x v="88"/>
          </reference>
          <reference field="1" count="1" selected="0">
            <x v="7"/>
          </reference>
        </references>
      </pivotArea>
    </format>
    <format dxfId="31">
      <pivotArea dataOnly="0" labelOnly="1" fieldPosition="0">
        <references count="2">
          <reference field="0" count="1">
            <x v="88"/>
          </reference>
          <reference field="1" count="1" selected="0">
            <x v="7"/>
          </reference>
        </references>
      </pivotArea>
    </format>
    <format dxfId="30">
      <pivotArea dataOnly="0" labelOnly="1" fieldPosition="0">
        <references count="2">
          <reference field="0" count="1">
            <x v="89"/>
          </reference>
          <reference field="1" count="1" selected="0">
            <x v="7"/>
          </reference>
        </references>
      </pivotArea>
    </format>
    <format dxfId="29">
      <pivotArea dataOnly="0" labelOnly="1" fieldPosition="0">
        <references count="2">
          <reference field="0" count="1">
            <x v="89"/>
          </reference>
          <reference field="1" count="1" selected="0">
            <x v="7"/>
          </reference>
        </references>
      </pivotArea>
    </format>
    <format dxfId="28">
      <pivotArea dataOnly="0" labelOnly="1" fieldPosition="0">
        <references count="1">
          <reference field="1" count="1">
            <x v="8"/>
          </reference>
        </references>
      </pivotArea>
    </format>
    <format dxfId="27">
      <pivotArea dataOnly="0" labelOnly="1" fieldPosition="0">
        <references count="2">
          <reference field="0" count="1">
            <x v="90"/>
          </reference>
          <reference field="1" count="1" selected="0">
            <x v="8"/>
          </reference>
        </references>
      </pivotArea>
    </format>
    <format dxfId="26">
      <pivotArea dataOnly="0" labelOnly="1" fieldPosition="0">
        <references count="2">
          <reference field="0" count="1">
            <x v="90"/>
          </reference>
          <reference field="1" count="1" selected="0">
            <x v="8"/>
          </reference>
        </references>
      </pivotArea>
    </format>
    <format dxfId="25">
      <pivotArea dataOnly="0" labelOnly="1" fieldPosition="0">
        <references count="2">
          <reference field="0" count="1">
            <x v="91"/>
          </reference>
          <reference field="1" count="1" selected="0">
            <x v="8"/>
          </reference>
        </references>
      </pivotArea>
    </format>
    <format dxfId="24">
      <pivotArea dataOnly="0" labelOnly="1" fieldPosition="0">
        <references count="2">
          <reference field="0" count="1">
            <x v="91"/>
          </reference>
          <reference field="1" count="1" selected="0">
            <x v="8"/>
          </reference>
        </references>
      </pivotArea>
    </format>
    <format dxfId="23">
      <pivotArea dataOnly="0" labelOnly="1" fieldPosition="0">
        <references count="2">
          <reference field="0" count="1">
            <x v="92"/>
          </reference>
          <reference field="1" count="1" selected="0">
            <x v="8"/>
          </reference>
        </references>
      </pivotArea>
    </format>
    <format dxfId="22">
      <pivotArea dataOnly="0" labelOnly="1" fieldPosition="0">
        <references count="2">
          <reference field="0" count="1">
            <x v="92"/>
          </reference>
          <reference field="1" count="1" selected="0">
            <x v="8"/>
          </reference>
        </references>
      </pivotArea>
    </format>
    <format dxfId="21">
      <pivotArea dataOnly="0" labelOnly="1" fieldPosition="0">
        <references count="2">
          <reference field="0" count="1">
            <x v="93"/>
          </reference>
          <reference field="1" count="1" selected="0">
            <x v="8"/>
          </reference>
        </references>
      </pivotArea>
    </format>
    <format dxfId="20">
      <pivotArea dataOnly="0" labelOnly="1" fieldPosition="0">
        <references count="2">
          <reference field="0" count="1">
            <x v="93"/>
          </reference>
          <reference field="1" count="1" selected="0">
            <x v="8"/>
          </reference>
        </references>
      </pivotArea>
    </format>
    <format dxfId="19">
      <pivotArea dataOnly="0" labelOnly="1" fieldPosition="0">
        <references count="2">
          <reference field="0" count="1">
            <x v="94"/>
          </reference>
          <reference field="1" count="1" selected="0">
            <x v="8"/>
          </reference>
        </references>
      </pivotArea>
    </format>
    <format dxfId="18">
      <pivotArea dataOnly="0" labelOnly="1" fieldPosition="0">
        <references count="2">
          <reference field="0" count="1">
            <x v="94"/>
          </reference>
          <reference field="1" count="1" selected="0">
            <x v="8"/>
          </reference>
        </references>
      </pivotArea>
    </format>
    <format dxfId="17">
      <pivotArea dataOnly="0" labelOnly="1" fieldPosition="0">
        <references count="2">
          <reference field="0" count="1">
            <x v="95"/>
          </reference>
          <reference field="1" count="1" selected="0">
            <x v="8"/>
          </reference>
        </references>
      </pivotArea>
    </format>
    <format dxfId="16">
      <pivotArea dataOnly="0" labelOnly="1" fieldPosition="0">
        <references count="2">
          <reference field="0" count="1">
            <x v="95"/>
          </reference>
          <reference field="1" count="1" selected="0">
            <x v="8"/>
          </reference>
        </references>
      </pivotArea>
    </format>
    <format dxfId="15">
      <pivotArea dataOnly="0" labelOnly="1" fieldPosition="0">
        <references count="2">
          <reference field="0" count="1">
            <x v="96"/>
          </reference>
          <reference field="1" count="1" selected="0">
            <x v="8"/>
          </reference>
        </references>
      </pivotArea>
    </format>
    <format dxfId="14">
      <pivotArea dataOnly="0" labelOnly="1" fieldPosition="0">
        <references count="2">
          <reference field="0" count="1">
            <x v="96"/>
          </reference>
          <reference field="1" count="1" selected="0">
            <x v="8"/>
          </reference>
        </references>
      </pivotArea>
    </format>
    <format dxfId="13">
      <pivotArea dataOnly="0" labelOnly="1" fieldPosition="0">
        <references count="2">
          <reference field="0" count="1">
            <x v="97"/>
          </reference>
          <reference field="1" count="1" selected="0">
            <x v="8"/>
          </reference>
        </references>
      </pivotArea>
    </format>
    <format dxfId="12">
      <pivotArea dataOnly="0" labelOnly="1" fieldPosition="0">
        <references count="2">
          <reference field="0" count="1">
            <x v="97"/>
          </reference>
          <reference field="1" count="1" selected="0">
            <x v="8"/>
          </reference>
        </references>
      </pivotArea>
    </format>
    <format dxfId="11">
      <pivotArea dataOnly="0" labelOnly="1" fieldPosition="0">
        <references count="1">
          <reference field="1" count="1">
            <x v="12"/>
          </reference>
        </references>
      </pivotArea>
    </format>
    <format dxfId="10">
      <pivotArea dataOnly="0" labelOnly="1" fieldPosition="0">
        <references count="2">
          <reference field="0" count="1">
            <x v="81"/>
          </reference>
          <reference field="1" count="1" selected="0">
            <x v="12"/>
          </reference>
        </references>
      </pivotArea>
    </format>
    <format dxfId="9">
      <pivotArea dataOnly="0" labelOnly="1" fieldPosition="0">
        <references count="2">
          <reference field="0" count="1">
            <x v="81"/>
          </reference>
          <reference field="1" count="1" selected="0">
            <x v="12"/>
          </reference>
        </references>
      </pivotArea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0F92087C-EC13-4C3F-8AB0-3E99CA6BE70D}" autoFormatId="16" applyNumberFormats="0" applyBorderFormats="0" applyFontFormats="0" applyPatternFormats="0" applyAlignmentFormats="0" applyWidthHeightFormats="0">
  <queryTableRefresh nextId="16">
    <queryTableFields count="15">
      <queryTableField id="1" name="ID" tableColumnId="1"/>
      <queryTableField id="2" name="Standard" tableColumnId="2"/>
      <queryTableField id="3" name="Item" tableColumnId="3"/>
      <queryTableField id="4" name="Range1_Low" tableColumnId="4"/>
      <queryTableField id="5" name="Range1_High" tableColumnId="5"/>
      <queryTableField id="6" name="Res" tableColumnId="6"/>
      <queryTableField id="7" name="Meas_Units" tableColumnId="7"/>
      <queryTableField id="8" name="Uncert_Units" tableColumnId="8"/>
      <queryTableField id="9" name="Range2_Low" tableColumnId="9"/>
      <queryTableField id="10" name="Range2_High" tableColumnId="10"/>
      <queryTableField id="11" name="Range2_Units" tableColumnId="11"/>
      <queryTableField id="12" name="Base" tableColumnId="12"/>
      <queryTableField id="13" name="Mult" tableColumnId="13"/>
      <queryTableField id="14" name="Base2" tableColumnId="14"/>
      <queryTableField id="15" name="Mult2" tableColumnId="1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42E72D2A-B4F9-400D-86E5-4A68AB3ABA52}" autoFormatId="16" applyNumberFormats="0" applyBorderFormats="0" applyFontFormats="0" applyPatternFormats="0" applyAlignmentFormats="0" applyWidthHeightFormats="0">
  <queryTableRefresh nextId="9">
    <queryTableFields count="2">
      <queryTableField id="1" name="Item" tableColumnId="1"/>
      <queryTableField id="8" name="Function" tableColumnId="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D5E1711-DF64-4180-915E-AEB60DD34AC9}" name="Lookup" displayName="Lookup" ref="A1:O2959" tableType="queryTable" totalsRowShown="0">
  <autoFilter ref="A1:O2959" xr:uid="{FD5E1711-DF64-4180-915E-AEB60DD34AC9}"/>
  <tableColumns count="15">
    <tableColumn id="1" xr3:uid="{68282080-1E84-4A35-8104-70A7836B3C16}" uniqueName="1" name="ID" queryTableFieldId="1" dataDxfId="7"/>
    <tableColumn id="2" xr3:uid="{4C008F17-C160-43C0-8DC7-F63ED2B2735E}" uniqueName="2" name="Standard" queryTableFieldId="2" dataDxfId="6"/>
    <tableColumn id="3" xr3:uid="{82E825C6-6B9A-4A2D-BA51-08B97502A174}" uniqueName="3" name="Item" queryTableFieldId="3" dataDxfId="5"/>
    <tableColumn id="4" xr3:uid="{A0024D60-CE78-4283-AF5E-85D5DA388239}" uniqueName="4" name="Range1_Low" queryTableFieldId="4"/>
    <tableColumn id="5" xr3:uid="{31DEA064-E0F9-489D-A7F7-7E91571BF34F}" uniqueName="5" name="Range1_High" queryTableFieldId="5"/>
    <tableColumn id="6" xr3:uid="{AA8FC3E9-5F0D-4462-8B6A-E48F547E1491}" uniqueName="6" name="Res" queryTableFieldId="6"/>
    <tableColumn id="7" xr3:uid="{9ED4681D-846C-4B44-B53F-70585F2D0768}" uniqueName="7" name="Meas_Units" queryTableFieldId="7" dataDxfId="4"/>
    <tableColumn id="8" xr3:uid="{F80A92A4-F76E-4375-A587-E73A2C954D1A}" uniqueName="8" name="Uncert_Units" queryTableFieldId="8" dataDxfId="3"/>
    <tableColumn id="9" xr3:uid="{75F0CB7B-73DB-4372-BC07-2EC57952B577}" uniqueName="9" name="Range2_Low" queryTableFieldId="9"/>
    <tableColumn id="10" xr3:uid="{333324F4-9848-42B9-88F9-9EF5383E7CB3}" uniqueName="10" name="Range2_High" queryTableFieldId="10"/>
    <tableColumn id="11" xr3:uid="{EB327983-C3D1-4699-A733-95AD934678DC}" uniqueName="11" name="Range2_Units" queryTableFieldId="11" dataDxfId="2"/>
    <tableColumn id="12" xr3:uid="{BC16B20D-DAB9-48B0-A65B-12A2A6AD51EA}" uniqueName="12" name="Base" queryTableFieldId="12"/>
    <tableColumn id="13" xr3:uid="{DEEDD019-FD2E-49CE-A89D-927A8FF7CC2F}" uniqueName="13" name="Mult" queryTableFieldId="13"/>
    <tableColumn id="14" xr3:uid="{F67282B4-9D16-49A8-9A7A-72415807D7DF}" uniqueName="14" name="Base2" queryTableFieldId="14"/>
    <tableColumn id="15" xr3:uid="{4B46288E-A561-479A-B548-AAC3B8C70F88}" uniqueName="15" name="Mult2" queryTableFieldId="15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ADA44CE-8080-47D8-A47E-102ED7E7949A}" name="Items" displayName="Items" ref="A1:B43" tableType="queryTable" totalsRowShown="0">
  <autoFilter ref="A1:B43" xr:uid="{5ADA44CE-8080-47D8-A47E-102ED7E7949A}"/>
  <tableColumns count="2">
    <tableColumn id="1" xr3:uid="{A0353C0B-3662-4DE9-A570-BF8D916DFB58}" uniqueName="1" name="Item" queryTableFieldId="1" dataDxfId="1"/>
    <tableColumn id="8" xr3:uid="{79D3BD41-68F3-4F3E-8A17-F9729233655A}" uniqueName="8" name="Function" queryTableFieldId="8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N5" dT="2023-08-28T17:18:56.45" personId="{7BB70C22-A3E9-4ACB-97F0-4EB56A4A47AE}" id="{00754DF0-FAD2-4F94-BA8E-1FEBD8A8FBB6}">
    <text>For one reading, use this column.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.bin"/><Relationship Id="rId7" Type="http://schemas.microsoft.com/office/2017/10/relationships/threadedComment" Target="../threadedComments/threadedComment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864A46-7AD2-4589-898F-16E092244E63}">
  <sheetPr codeName="Sheet2">
    <pageSetUpPr fitToPage="1"/>
  </sheetPr>
  <dimension ref="A1:H48"/>
  <sheetViews>
    <sheetView view="pageLayout" zoomScaleNormal="100" workbookViewId="0">
      <selection activeCell="D10" sqref="D10"/>
    </sheetView>
  </sheetViews>
  <sheetFormatPr defaultRowHeight="15" x14ac:dyDescent="0.25"/>
  <cols>
    <col min="1" max="1" width="13.140625" bestFit="1" customWidth="1"/>
    <col min="2" max="2" width="8.28515625" bestFit="1" customWidth="1"/>
    <col min="3" max="3" width="17.85546875" customWidth="1"/>
    <col min="4" max="4" width="18.5703125" customWidth="1"/>
    <col min="5" max="5" width="16.28515625" customWidth="1"/>
    <col min="6" max="6" width="15" bestFit="1" customWidth="1"/>
    <col min="7" max="7" width="11.42578125" bestFit="1" customWidth="1"/>
  </cols>
  <sheetData>
    <row r="1" spans="1:8" ht="18" x14ac:dyDescent="0.25">
      <c r="A1" s="92"/>
      <c r="B1" s="92"/>
      <c r="C1" s="133" t="s">
        <v>36</v>
      </c>
      <c r="D1" s="134"/>
      <c r="E1" s="134"/>
      <c r="F1" s="91" t="str" cm="1">
        <f t="array" ref="F1">IfZero(Worksheet!F2)</f>
        <v/>
      </c>
      <c r="G1" s="93">
        <f>Worksheet!F3</f>
        <v>0</v>
      </c>
    </row>
    <row r="2" spans="1:8" x14ac:dyDescent="0.25">
      <c r="A2" s="92"/>
      <c r="B2" s="92"/>
      <c r="C2" s="80"/>
      <c r="D2" s="80"/>
      <c r="E2" s="80"/>
      <c r="F2" s="80"/>
      <c r="G2" s="81"/>
    </row>
    <row r="3" spans="1:8" ht="25.5" x14ac:dyDescent="0.25">
      <c r="A3" s="90"/>
      <c r="B3" s="82" t="s">
        <v>7</v>
      </c>
      <c r="C3" s="82" t="s">
        <v>18</v>
      </c>
      <c r="D3" s="94" t="s">
        <v>19</v>
      </c>
      <c r="E3" s="82" t="s">
        <v>20</v>
      </c>
      <c r="F3" s="82" t="s">
        <v>21</v>
      </c>
      <c r="G3" s="83" t="s">
        <v>22</v>
      </c>
    </row>
    <row r="4" spans="1:8" hidden="1" x14ac:dyDescent="0.25">
      <c r="A4" s="123" t="s">
        <v>48</v>
      </c>
      <c r="B4" s="76">
        <v>3</v>
      </c>
      <c r="C4" s="76">
        <v>4</v>
      </c>
      <c r="D4" s="76">
        <v>5</v>
      </c>
      <c r="E4" s="76">
        <v>6</v>
      </c>
      <c r="F4" s="76">
        <v>7</v>
      </c>
      <c r="G4" s="76">
        <v>8</v>
      </c>
    </row>
    <row r="5" spans="1:8" x14ac:dyDescent="0.25">
      <c r="A5" s="124" t="s">
        <v>41</v>
      </c>
      <c r="B5" s="84"/>
      <c r="C5" s="84"/>
      <c r="D5" s="84"/>
      <c r="E5" s="84"/>
      <c r="F5" s="84"/>
      <c r="G5" s="84"/>
    </row>
    <row r="6" spans="1:8" x14ac:dyDescent="0.25">
      <c r="A6" s="126">
        <v>424483030</v>
      </c>
      <c r="B6" s="78" t="str">
        <f>IFERROR(VLOOKUP($A6,Worksheet!$A$5:$I$110,B$4,FALSE),"")</f>
        <v/>
      </c>
      <c r="C6" s="78" t="str">
        <f>IFERROR(VLOOKUP($A6,Worksheet!$A$5:$I$110,C$4,FALSE),"")</f>
        <v/>
      </c>
      <c r="D6" s="78" t="str">
        <f>IFERROR(VLOOKUP($A6,Worksheet!$A$5:$I$110,D$4,FALSE),"")</f>
        <v/>
      </c>
      <c r="E6" s="78" t="str">
        <f>IFERROR(VLOOKUP($A6,Worksheet!$A$5:$I$110,E$4,FALSE),"")</f>
        <v/>
      </c>
      <c r="F6" s="78" t="str">
        <f>IFERROR(VLOOKUP($A6,Worksheet!$A$5:$I$110,F$4,FALSE),"")</f>
        <v/>
      </c>
      <c r="G6" s="78" t="str">
        <f>IFERROR(VLOOKUP($A6,Worksheet!$A$5:$I$110,G$4,FALSE),"")</f>
        <v/>
      </c>
      <c r="H6" t="str">
        <f>IFERROR(VLOOKUP($A6,Worksheet!$A$5:$I$110,H$4,FALSE),"")</f>
        <v/>
      </c>
    </row>
    <row r="7" spans="1:8" x14ac:dyDescent="0.25">
      <c r="A7" s="125">
        <v>-459222896</v>
      </c>
      <c r="B7" s="77" t="str">
        <f>IFERROR(VLOOKUP($A7,Worksheet!$A$5:$I$110,B$4,FALSE),"")</f>
        <v/>
      </c>
      <c r="C7" s="77" t="str">
        <f>IFERROR(VLOOKUP($A7,Worksheet!$A$5:$I$110,C$4,FALSE),"")</f>
        <v/>
      </c>
      <c r="D7" s="77" t="str">
        <f>IFERROR(VLOOKUP($A7,Worksheet!$A$5:$I$110,D$4,FALSE),"")</f>
        <v/>
      </c>
      <c r="E7" s="77" t="str">
        <f>IFERROR(VLOOKUP($A7,Worksheet!$A$5:$I$110,E$4,FALSE),"")</f>
        <v/>
      </c>
      <c r="F7" s="77" t="str">
        <f>IFERROR(VLOOKUP($A7,Worksheet!$A$5:$I$110,F$4,FALSE),"")</f>
        <v/>
      </c>
      <c r="G7" s="77" t="str">
        <f>IFERROR(VLOOKUP($A7,Worksheet!$A$5:$I$110,G$4,FALSE),"")</f>
        <v/>
      </c>
      <c r="H7" t="str">
        <f>IFERROR(VLOOKUP($A7,Worksheet!$A$5:$I$110,H$4,FALSE),"")</f>
        <v/>
      </c>
    </row>
    <row r="8" spans="1:8" x14ac:dyDescent="0.25">
      <c r="A8" s="126">
        <v>-86683844</v>
      </c>
      <c r="B8" s="78" t="str">
        <f>IFERROR(VLOOKUP($A8,Worksheet!$A$5:$I$110,B$4,FALSE),"")</f>
        <v/>
      </c>
      <c r="C8" s="78" t="str">
        <f>IFERROR(VLOOKUP($A8,Worksheet!$A$5:$I$110,C$4,FALSE),"")</f>
        <v/>
      </c>
      <c r="D8" s="78" t="str">
        <f>IFERROR(VLOOKUP($A8,Worksheet!$A$5:$I$110,D$4,FALSE),"")</f>
        <v/>
      </c>
      <c r="E8" s="78" t="str">
        <f>IFERROR(VLOOKUP($A8,Worksheet!$A$5:$I$110,E$4,FALSE),"")</f>
        <v/>
      </c>
      <c r="F8" s="78" t="str">
        <f>IFERROR(VLOOKUP($A8,Worksheet!$A$5:$I$110,F$4,FALSE),"")</f>
        <v/>
      </c>
      <c r="G8" s="78" t="str">
        <f>IFERROR(VLOOKUP($A8,Worksheet!$A$5:$I$110,G$4,FALSE),"")</f>
        <v/>
      </c>
      <c r="H8" t="str">
        <f>IFERROR(VLOOKUP($A8,Worksheet!$A$5:$I$110,H$4,FALSE),"")</f>
        <v/>
      </c>
    </row>
    <row r="9" spans="1:8" x14ac:dyDescent="0.25">
      <c r="A9" s="125">
        <v>308163671</v>
      </c>
      <c r="B9" s="77" t="str">
        <f>IFERROR(VLOOKUP($A9,Worksheet!$A$5:$I$110,B$4,FALSE),"")</f>
        <v/>
      </c>
      <c r="C9" s="77" t="str">
        <f>IFERROR(VLOOKUP($A9,Worksheet!$A$5:$I$110,C$4,FALSE),"")</f>
        <v/>
      </c>
      <c r="D9" s="77" t="str">
        <f>IFERROR(VLOOKUP($A9,Worksheet!$A$5:$I$110,D$4,FALSE),"")</f>
        <v/>
      </c>
      <c r="E9" s="77" t="str">
        <f>IFERROR(VLOOKUP($A9,Worksheet!$A$5:$I$110,E$4,FALSE),"")</f>
        <v/>
      </c>
      <c r="F9" s="77" t="str">
        <f>IFERROR(VLOOKUP($A9,Worksheet!$A$5:$I$110,F$4,FALSE),"")</f>
        <v/>
      </c>
      <c r="G9" s="77" t="str">
        <f>IFERROR(VLOOKUP($A9,Worksheet!$A$5:$I$110,G$4,FALSE),"")</f>
        <v/>
      </c>
      <c r="H9" t="str">
        <f>IFERROR(VLOOKUP($A9,Worksheet!$A$5:$I$110,H$4,FALSE),"")</f>
        <v/>
      </c>
    </row>
    <row r="10" spans="1:8" x14ac:dyDescent="0.25">
      <c r="A10" s="126">
        <v>135938866</v>
      </c>
      <c r="B10" s="78" t="str">
        <f>IFERROR(VLOOKUP($A10,Worksheet!$A$5:$I$110,B$4,FALSE),"")</f>
        <v/>
      </c>
      <c r="C10" s="78" t="str">
        <f>IFERROR(VLOOKUP($A10,Worksheet!$A$5:$I$110,C$4,FALSE),"")</f>
        <v/>
      </c>
      <c r="D10" s="78" t="str">
        <f>IFERROR(VLOOKUP($A10,Worksheet!$A$5:$I$110,D$4,FALSE),"")</f>
        <v/>
      </c>
      <c r="E10" s="78" t="str">
        <f>IFERROR(VLOOKUP($A10,Worksheet!$A$5:$I$110,E$4,FALSE),"")</f>
        <v/>
      </c>
      <c r="F10" s="78" t="str">
        <f>IFERROR(VLOOKUP($A10,Worksheet!$A$5:$I$110,F$4,FALSE),"")</f>
        <v/>
      </c>
      <c r="G10" s="78" t="str">
        <f>IFERROR(VLOOKUP($A10,Worksheet!$A$5:$I$110,G$4,FALSE),"")</f>
        <v/>
      </c>
      <c r="H10" t="str">
        <f>IFERROR(VLOOKUP($A10,Worksheet!$A$5:$I$110,H$4,FALSE),"")</f>
        <v/>
      </c>
    </row>
    <row r="11" spans="1:8" x14ac:dyDescent="0.25">
      <c r="A11" s="124" t="s">
        <v>40</v>
      </c>
      <c r="B11" s="84"/>
      <c r="C11" s="84"/>
      <c r="D11" s="84"/>
      <c r="E11" s="84"/>
      <c r="F11" s="84"/>
      <c r="G11" s="84"/>
    </row>
    <row r="12" spans="1:8" x14ac:dyDescent="0.25">
      <c r="A12" s="126">
        <v>21873872</v>
      </c>
      <c r="B12" s="78" t="str">
        <f>IFERROR(VLOOKUP($A12,Worksheet!$A$5:$I$110,B$4,FALSE),"")</f>
        <v/>
      </c>
      <c r="C12" s="78" t="str">
        <f>IFERROR(VLOOKUP($A12,Worksheet!$A$5:$I$110,C$4,FALSE),"")</f>
        <v/>
      </c>
      <c r="D12" s="78" t="str">
        <f>IFERROR(VLOOKUP($A12,Worksheet!$A$5:$I$110,D$4,FALSE),"")</f>
        <v/>
      </c>
      <c r="E12" s="78" t="str">
        <f>IFERROR(VLOOKUP($A12,Worksheet!$A$5:$I$110,E$4,FALSE),"")</f>
        <v/>
      </c>
      <c r="F12" s="78" t="str">
        <f>IFERROR(VLOOKUP($A12,Worksheet!$A$5:$I$110,F$4,FALSE),"")</f>
        <v/>
      </c>
      <c r="G12" s="78" t="str">
        <f>IFERROR(VLOOKUP($A12,Worksheet!$A$5:$I$110,G$4,FALSE),"")</f>
        <v/>
      </c>
      <c r="H12" t="str">
        <f>IFERROR(VLOOKUP($A12,Worksheet!$A$5:$I$110,H$4,FALSE),"")</f>
        <v/>
      </c>
    </row>
    <row r="13" spans="1:8" x14ac:dyDescent="0.25">
      <c r="A13" s="125">
        <v>143224241</v>
      </c>
      <c r="B13" s="77" t="str">
        <f>IFERROR(VLOOKUP($A13,Worksheet!$A$5:$I$110,B$4,FALSE),"")</f>
        <v/>
      </c>
      <c r="C13" s="77" t="str">
        <f>IFERROR(VLOOKUP($A13,Worksheet!$A$5:$I$110,C$4,FALSE),"")</f>
        <v/>
      </c>
      <c r="D13" s="77" t="str">
        <f>IFERROR(VLOOKUP($A13,Worksheet!$A$5:$I$110,D$4,FALSE),"")</f>
        <v/>
      </c>
      <c r="E13" s="77" t="str">
        <f>IFERROR(VLOOKUP($A13,Worksheet!$A$5:$I$110,E$4,FALSE),"")</f>
        <v/>
      </c>
      <c r="F13" s="77" t="str">
        <f>IFERROR(VLOOKUP($A13,Worksheet!$A$5:$I$110,F$4,FALSE),"")</f>
        <v/>
      </c>
      <c r="G13" s="77" t="str">
        <f>IFERROR(VLOOKUP($A13,Worksheet!$A$5:$I$110,G$4,FALSE),"")</f>
        <v/>
      </c>
      <c r="H13" t="str">
        <f>IFERROR(VLOOKUP($A13,Worksheet!$A$5:$I$110,H$4,FALSE),"")</f>
        <v/>
      </c>
    </row>
    <row r="14" spans="1:8" x14ac:dyDescent="0.25">
      <c r="A14" s="126">
        <v>-360402523</v>
      </c>
      <c r="B14" s="78" t="str">
        <f>IFERROR(VLOOKUP($A14,Worksheet!$A$5:$I$110,B$4,FALSE),"")</f>
        <v/>
      </c>
      <c r="C14" s="78" t="str">
        <f>IFERROR(VLOOKUP($A14,Worksheet!$A$5:$I$110,C$4,FALSE),"")</f>
        <v/>
      </c>
      <c r="D14" s="78" t="str">
        <f>IFERROR(VLOOKUP($A14,Worksheet!$A$5:$I$110,D$4,FALSE),"")</f>
        <v/>
      </c>
      <c r="E14" s="78" t="str">
        <f>IFERROR(VLOOKUP($A14,Worksheet!$A$5:$I$110,E$4,FALSE),"")</f>
        <v/>
      </c>
      <c r="F14" s="78" t="str">
        <f>IFERROR(VLOOKUP($A14,Worksheet!$A$5:$I$110,F$4,FALSE),"")</f>
        <v/>
      </c>
      <c r="G14" s="78" t="str">
        <f>IFERROR(VLOOKUP($A14,Worksheet!$A$5:$I$110,G$4,FALSE),"")</f>
        <v/>
      </c>
      <c r="H14" t="str">
        <f>IFERROR(VLOOKUP($A14,Worksheet!$A$5:$I$110,H$4,FALSE),"")</f>
        <v/>
      </c>
    </row>
    <row r="15" spans="1:8" x14ac:dyDescent="0.25">
      <c r="A15" s="125">
        <v>-306201852</v>
      </c>
      <c r="B15" s="77" t="str">
        <f>IFERROR(VLOOKUP($A15,Worksheet!$A$5:$I$110,B$4,FALSE),"")</f>
        <v/>
      </c>
      <c r="C15" s="77" t="str">
        <f>IFERROR(VLOOKUP($A15,Worksheet!$A$5:$I$110,C$4,FALSE),"")</f>
        <v/>
      </c>
      <c r="D15" s="77" t="str">
        <f>IFERROR(VLOOKUP($A15,Worksheet!$A$5:$I$110,D$4,FALSE),"")</f>
        <v/>
      </c>
      <c r="E15" s="77" t="str">
        <f>IFERROR(VLOOKUP($A15,Worksheet!$A$5:$I$110,E$4,FALSE),"")</f>
        <v/>
      </c>
      <c r="F15" s="77" t="str">
        <f>IFERROR(VLOOKUP($A15,Worksheet!$A$5:$I$110,F$4,FALSE),"")</f>
        <v/>
      </c>
      <c r="G15" s="77" t="str">
        <f>IFERROR(VLOOKUP($A15,Worksheet!$A$5:$I$110,G$4,FALSE),"")</f>
        <v/>
      </c>
      <c r="H15" t="str">
        <f>IFERROR(VLOOKUP($A15,Worksheet!$A$5:$I$110,H$4,FALSE),"")</f>
        <v/>
      </c>
    </row>
    <row r="16" spans="1:8" x14ac:dyDescent="0.25">
      <c r="A16" s="126">
        <v>86489172</v>
      </c>
      <c r="B16" s="78" t="str">
        <f>IFERROR(VLOOKUP($A16,Worksheet!$A$5:$I$110,B$4,FALSE),"")</f>
        <v/>
      </c>
      <c r="C16" s="78" t="str">
        <f>IFERROR(VLOOKUP($A16,Worksheet!$A$5:$I$110,C$4,FALSE),"")</f>
        <v/>
      </c>
      <c r="D16" s="78" t="str">
        <f>IFERROR(VLOOKUP($A16,Worksheet!$A$5:$I$110,D$4,FALSE),"")</f>
        <v/>
      </c>
      <c r="E16" s="78" t="str">
        <f>IFERROR(VLOOKUP($A16,Worksheet!$A$5:$I$110,E$4,FALSE),"")</f>
        <v/>
      </c>
      <c r="F16" s="78" t="str">
        <f>IFERROR(VLOOKUP($A16,Worksheet!$A$5:$I$110,F$4,FALSE),"")</f>
        <v/>
      </c>
      <c r="G16" s="78" t="str">
        <f>IFERROR(VLOOKUP($A16,Worksheet!$A$5:$I$110,G$4,FALSE),"")</f>
        <v/>
      </c>
      <c r="H16" t="str">
        <f>IFERROR(VLOOKUP($A16,Worksheet!$A$5:$I$110,H$4,FALSE),"")</f>
        <v/>
      </c>
    </row>
    <row r="17" spans="1:8" x14ac:dyDescent="0.25">
      <c r="A17" s="124" t="s">
        <v>42</v>
      </c>
      <c r="B17" s="84"/>
      <c r="C17" s="84"/>
      <c r="D17" s="84"/>
      <c r="E17" s="84"/>
      <c r="F17" s="84"/>
      <c r="G17" s="84"/>
    </row>
    <row r="18" spans="1:8" x14ac:dyDescent="0.25">
      <c r="A18" s="126">
        <v>36563959</v>
      </c>
      <c r="B18" s="78" t="str">
        <f>IFERROR(VLOOKUP($A18,Worksheet!$A$5:$I$110,B$4,FALSE),"")</f>
        <v/>
      </c>
      <c r="C18" s="78" t="str">
        <f>IFERROR(VLOOKUP($A18,Worksheet!$A$5:$I$110,C$4,FALSE),"")</f>
        <v/>
      </c>
      <c r="D18" s="78" t="str">
        <f>IFERROR(VLOOKUP($A18,Worksheet!$A$5:$I$110,D$4,FALSE),"")</f>
        <v/>
      </c>
      <c r="E18" s="78" t="str">
        <f>IFERROR(VLOOKUP($A18,Worksheet!$A$5:$I$110,E$4,FALSE),"")</f>
        <v/>
      </c>
      <c r="F18" s="78" t="str">
        <f>IFERROR(VLOOKUP($A18,Worksheet!$A$5:$I$110,F$4,FALSE),"")</f>
        <v/>
      </c>
      <c r="G18" s="78" t="str">
        <f>IFERROR(VLOOKUP($A18,Worksheet!$A$5:$I$110,G$4,FALSE),"")</f>
        <v/>
      </c>
      <c r="H18" t="str">
        <f>IFERROR(VLOOKUP($A18,Worksheet!$A$5:$I$110,H$4,FALSE),"")</f>
        <v/>
      </c>
    </row>
    <row r="19" spans="1:8" x14ac:dyDescent="0.25">
      <c r="A19" s="125">
        <v>-66073833</v>
      </c>
      <c r="B19" s="77" t="str">
        <f>IFERROR(VLOOKUP($A19,Worksheet!$A$5:$I$110,B$4,FALSE),"")</f>
        <v/>
      </c>
      <c r="C19" s="77" t="str">
        <f>IFERROR(VLOOKUP($A19,Worksheet!$A$5:$I$110,C$4,FALSE),"")</f>
        <v/>
      </c>
      <c r="D19" s="77" t="str">
        <f>IFERROR(VLOOKUP($A19,Worksheet!$A$5:$I$110,D$4,FALSE),"")</f>
        <v/>
      </c>
      <c r="E19" s="77" t="str">
        <f>IFERROR(VLOOKUP($A19,Worksheet!$A$5:$I$110,E$4,FALSE),"")</f>
        <v/>
      </c>
      <c r="F19" s="77" t="str">
        <f>IFERROR(VLOOKUP($A19,Worksheet!$A$5:$I$110,F$4,FALSE),"")</f>
        <v/>
      </c>
      <c r="G19" s="77" t="str">
        <f>IFERROR(VLOOKUP($A19,Worksheet!$A$5:$I$110,G$4,FALSE),"")</f>
        <v/>
      </c>
      <c r="H19" t="str">
        <f>IFERROR(VLOOKUP($A19,Worksheet!$A$5:$I$110,H$4,FALSE),"")</f>
        <v/>
      </c>
    </row>
    <row r="20" spans="1:8" x14ac:dyDescent="0.25">
      <c r="A20" s="126">
        <v>465457095</v>
      </c>
      <c r="B20" s="78" t="str">
        <f>IFERROR(VLOOKUP($A20,Worksheet!$A$5:$I$110,B$4,FALSE),"")</f>
        <v/>
      </c>
      <c r="C20" s="78" t="str">
        <f>IFERROR(VLOOKUP($A20,Worksheet!$A$5:$I$110,C$4,FALSE),"")</f>
        <v/>
      </c>
      <c r="D20" s="78" t="str">
        <f>IFERROR(VLOOKUP($A20,Worksheet!$A$5:$I$110,D$4,FALSE),"")</f>
        <v/>
      </c>
      <c r="E20" s="78" t="str">
        <f>IFERROR(VLOOKUP($A20,Worksheet!$A$5:$I$110,E$4,FALSE),"")</f>
        <v/>
      </c>
      <c r="F20" s="78" t="str">
        <f>IFERROR(VLOOKUP($A20,Worksheet!$A$5:$I$110,F$4,FALSE),"")</f>
        <v/>
      </c>
      <c r="G20" s="78" t="str">
        <f>IFERROR(VLOOKUP($A20,Worksheet!$A$5:$I$110,G$4,FALSE),"")</f>
        <v/>
      </c>
      <c r="H20" t="str">
        <f>IFERROR(VLOOKUP($A20,Worksheet!$A$5:$I$110,H$4,FALSE),"")</f>
        <v/>
      </c>
    </row>
    <row r="21" spans="1:8" x14ac:dyDescent="0.25">
      <c r="A21" s="124" t="s">
        <v>4</v>
      </c>
      <c r="B21" s="84"/>
      <c r="C21" s="84"/>
      <c r="D21" s="84"/>
      <c r="E21" s="84"/>
      <c r="F21" s="84"/>
      <c r="G21" s="84"/>
    </row>
    <row r="22" spans="1:8" x14ac:dyDescent="0.25">
      <c r="A22" s="126">
        <v>-57753614</v>
      </c>
      <c r="B22" s="78" t="str">
        <f>IFERROR(VLOOKUP($A22,Worksheet!$A$5:$I$110,B$4,FALSE),"")</f>
        <v/>
      </c>
      <c r="C22" s="78" t="str">
        <f>IFERROR(VLOOKUP($A22,Worksheet!$A$5:$I$110,C$4,FALSE),"")</f>
        <v/>
      </c>
      <c r="D22" s="78" t="str">
        <f>IFERROR(VLOOKUP($A22,Worksheet!$A$5:$I$110,D$4,FALSE),"")</f>
        <v/>
      </c>
      <c r="E22" s="78" t="str">
        <f>IFERROR(VLOOKUP($A22,Worksheet!$A$5:$I$110,E$4,FALSE),"")</f>
        <v/>
      </c>
      <c r="F22" s="78" t="str">
        <f>IFERROR(VLOOKUP($A22,Worksheet!$A$5:$I$110,F$4,FALSE),"")</f>
        <v/>
      </c>
      <c r="G22" s="78" t="str">
        <f>IFERROR(VLOOKUP($A22,Worksheet!$A$5:$I$110,G$4,FALSE),"")</f>
        <v/>
      </c>
      <c r="H22" t="str">
        <f>IFERROR(VLOOKUP($A22,Worksheet!$A$5:$I$110,H$4,FALSE),"")</f>
        <v/>
      </c>
    </row>
    <row r="23" spans="1:8" x14ac:dyDescent="0.25">
      <c r="A23" s="124" t="s">
        <v>2</v>
      </c>
      <c r="B23" s="84"/>
      <c r="C23" s="84"/>
      <c r="D23" s="84"/>
      <c r="E23" s="84"/>
      <c r="F23" s="84"/>
      <c r="G23" s="84"/>
    </row>
    <row r="24" spans="1:8" x14ac:dyDescent="0.25">
      <c r="A24" s="126">
        <v>226361642</v>
      </c>
      <c r="B24" s="78" t="str">
        <f>IFERROR(VLOOKUP($A24,Worksheet!$A$5:$I$110,B$4,FALSE),"")</f>
        <v/>
      </c>
      <c r="C24" s="78" t="str">
        <f>IFERROR(VLOOKUP($A24,Worksheet!$A$5:$I$110,C$4,FALSE),"")</f>
        <v/>
      </c>
      <c r="D24" s="78" t="str">
        <f>IFERROR(VLOOKUP($A24,Worksheet!$A$5:$I$110,D$4,FALSE),"")</f>
        <v/>
      </c>
      <c r="E24" s="78" t="str">
        <f>IFERROR(VLOOKUP($A24,Worksheet!$A$5:$I$110,E$4,FALSE),"")</f>
        <v/>
      </c>
      <c r="F24" s="78" t="str">
        <f>IFERROR(VLOOKUP($A24,Worksheet!$A$5:$I$110,F$4,FALSE),"")</f>
        <v/>
      </c>
      <c r="G24" s="78" t="str">
        <f>IFERROR(VLOOKUP($A24,Worksheet!$A$5:$I$110,G$4,FALSE),"")</f>
        <v/>
      </c>
      <c r="H24" t="str">
        <f>IFERROR(VLOOKUP($A24,Worksheet!$A$5:$I$110,H$4,FALSE),"")</f>
        <v/>
      </c>
    </row>
    <row r="25" spans="1:8" x14ac:dyDescent="0.25">
      <c r="A25" s="125">
        <v>120236181</v>
      </c>
      <c r="B25" s="77" t="str">
        <f>IFERROR(VLOOKUP($A25,Worksheet!$A$5:$I$110,B$4,FALSE),"")</f>
        <v/>
      </c>
      <c r="C25" s="77" t="str">
        <f>IFERROR(VLOOKUP($A25,Worksheet!$A$5:$I$110,C$4,FALSE),"")</f>
        <v/>
      </c>
      <c r="D25" s="77" t="str">
        <f>IFERROR(VLOOKUP($A25,Worksheet!$A$5:$I$110,D$4,FALSE),"")</f>
        <v/>
      </c>
      <c r="E25" s="77" t="str">
        <f>IFERROR(VLOOKUP($A25,Worksheet!$A$5:$I$110,E$4,FALSE),"")</f>
        <v/>
      </c>
      <c r="F25" s="77" t="str">
        <f>IFERROR(VLOOKUP($A25,Worksheet!$A$5:$I$110,F$4,FALSE),"")</f>
        <v/>
      </c>
      <c r="G25" s="77" t="str">
        <f>IFERROR(VLOOKUP($A25,Worksheet!$A$5:$I$110,G$4,FALSE),"")</f>
        <v/>
      </c>
      <c r="H25" t="str">
        <f>IFERROR(VLOOKUP($A25,Worksheet!$A$5:$I$110,H$4,FALSE),"")</f>
        <v/>
      </c>
    </row>
    <row r="26" spans="1:8" x14ac:dyDescent="0.25">
      <c r="A26" s="124" t="s">
        <v>38</v>
      </c>
      <c r="B26" s="84"/>
      <c r="C26" s="84"/>
      <c r="D26" s="84"/>
      <c r="E26" s="84"/>
      <c r="F26" s="84"/>
      <c r="G26" s="84"/>
    </row>
    <row r="27" spans="1:8" x14ac:dyDescent="0.25">
      <c r="A27" s="125">
        <v>-30303541</v>
      </c>
      <c r="B27" s="77" t="str">
        <f>IFERROR(VLOOKUP($A27,Worksheet!$A$5:$I$110,B$4,FALSE),"")</f>
        <v/>
      </c>
      <c r="C27" s="77" t="str">
        <f>IFERROR(VLOOKUP($A27,Worksheet!$A$5:$I$110,C$4,FALSE),"")</f>
        <v/>
      </c>
      <c r="D27" s="77" t="str">
        <f>IFERROR(VLOOKUP($A27,Worksheet!$A$5:$I$110,D$4,FALSE),"")</f>
        <v/>
      </c>
      <c r="E27" s="77" t="str">
        <f>IFERROR(VLOOKUP($A27,Worksheet!$A$5:$I$110,E$4,FALSE),"")</f>
        <v/>
      </c>
      <c r="F27" s="77" t="str">
        <f>IFERROR(VLOOKUP($A27,Worksheet!$A$5:$I$110,F$4,FALSE),"")</f>
        <v/>
      </c>
      <c r="G27" s="77" t="str">
        <f>IFERROR(VLOOKUP($A27,Worksheet!$A$5:$I$110,G$4,FALSE),"")</f>
        <v/>
      </c>
      <c r="H27" t="str">
        <f>IFERROR(VLOOKUP($A27,Worksheet!$A$5:$I$110,H$4,FALSE),"")</f>
        <v/>
      </c>
    </row>
    <row r="28" spans="1:8" x14ac:dyDescent="0.25">
      <c r="A28" s="126">
        <v>-236979795</v>
      </c>
      <c r="B28" s="78" t="str">
        <f>IFERROR(VLOOKUP($A28,Worksheet!$A$5:$I$110,B$4,FALSE),"")</f>
        <v/>
      </c>
      <c r="C28" s="78" t="str">
        <f>IFERROR(VLOOKUP($A28,Worksheet!$A$5:$I$110,C$4,FALSE),"")</f>
        <v/>
      </c>
      <c r="D28" s="78" t="str">
        <f>IFERROR(VLOOKUP($A28,Worksheet!$A$5:$I$110,D$4,FALSE),"")</f>
        <v/>
      </c>
      <c r="E28" s="78" t="str">
        <f>IFERROR(VLOOKUP($A28,Worksheet!$A$5:$I$110,E$4,FALSE),"")</f>
        <v/>
      </c>
      <c r="F28" s="78" t="str">
        <f>IFERROR(VLOOKUP($A28,Worksheet!$A$5:$I$110,F$4,FALSE),"")</f>
        <v/>
      </c>
      <c r="G28" s="78" t="str">
        <f>IFERROR(VLOOKUP($A28,Worksheet!$A$5:$I$110,G$4,FALSE),"")</f>
        <v/>
      </c>
      <c r="H28" t="str">
        <f>IFERROR(VLOOKUP($A28,Worksheet!$A$5:$I$110,H$4,FALSE),"")</f>
        <v/>
      </c>
    </row>
    <row r="29" spans="1:8" x14ac:dyDescent="0.25">
      <c r="A29" s="125">
        <v>-118925506</v>
      </c>
      <c r="B29" s="77" t="str">
        <f>IFERROR(VLOOKUP($A29,Worksheet!$A$5:$I$110,B$4,FALSE),"")</f>
        <v/>
      </c>
      <c r="C29" s="77" t="str">
        <f>IFERROR(VLOOKUP($A29,Worksheet!$A$5:$I$110,C$4,FALSE),"")</f>
        <v/>
      </c>
      <c r="D29" s="77" t="str">
        <f>IFERROR(VLOOKUP($A29,Worksheet!$A$5:$I$110,D$4,FALSE),"")</f>
        <v/>
      </c>
      <c r="E29" s="77" t="str">
        <f>IFERROR(VLOOKUP($A29,Worksheet!$A$5:$I$110,E$4,FALSE),"")</f>
        <v/>
      </c>
      <c r="F29" s="77" t="str">
        <f>IFERROR(VLOOKUP($A29,Worksheet!$A$5:$I$110,F$4,FALSE),"")</f>
        <v/>
      </c>
      <c r="G29" s="77" t="str">
        <f>IFERROR(VLOOKUP($A29,Worksheet!$A$5:$I$110,G$4,FALSE),"")</f>
        <v/>
      </c>
      <c r="H29" t="str">
        <f>IFERROR(VLOOKUP($A29,Worksheet!$A$5:$I$110,H$4,FALSE),"")</f>
        <v/>
      </c>
    </row>
    <row r="30" spans="1:8" x14ac:dyDescent="0.25">
      <c r="A30" s="126">
        <v>-365743965</v>
      </c>
      <c r="B30" s="78" t="str">
        <f>IFERROR(VLOOKUP($A30,Worksheet!$A$5:$I$110,B$4,FALSE),"")</f>
        <v/>
      </c>
      <c r="C30" s="78" t="str">
        <f>IFERROR(VLOOKUP($A30,Worksheet!$A$5:$I$110,C$4,FALSE),"")</f>
        <v/>
      </c>
      <c r="D30" s="78" t="str">
        <f>IFERROR(VLOOKUP($A30,Worksheet!$A$5:$I$110,D$4,FALSE),"")</f>
        <v/>
      </c>
      <c r="E30" s="78" t="str">
        <f>IFERROR(VLOOKUP($A30,Worksheet!$A$5:$I$110,E$4,FALSE),"")</f>
        <v/>
      </c>
      <c r="F30" s="78" t="str">
        <f>IFERROR(VLOOKUP($A30,Worksheet!$A$5:$I$110,F$4,FALSE),"")</f>
        <v/>
      </c>
      <c r="G30" s="78" t="str">
        <f>IFERROR(VLOOKUP($A30,Worksheet!$A$5:$I$110,G$4,FALSE),"")</f>
        <v/>
      </c>
      <c r="H30" t="str">
        <f>IFERROR(VLOOKUP($A30,Worksheet!$A$5:$I$110,H$4,FALSE),"")</f>
        <v/>
      </c>
    </row>
    <row r="31" spans="1:8" x14ac:dyDescent="0.25">
      <c r="A31" s="125">
        <v>286695292</v>
      </c>
      <c r="B31" s="77" t="str">
        <f>IFERROR(VLOOKUP($A31,Worksheet!$A$5:$I$110,B$4,FALSE),"")</f>
        <v/>
      </c>
      <c r="C31" s="77" t="str">
        <f>IFERROR(VLOOKUP($A31,Worksheet!$A$5:$I$110,C$4,FALSE),"")</f>
        <v/>
      </c>
      <c r="D31" s="77" t="str">
        <f>IFERROR(VLOOKUP($A31,Worksheet!$A$5:$I$110,D$4,FALSE),"")</f>
        <v/>
      </c>
      <c r="E31" s="77" t="str">
        <f>IFERROR(VLOOKUP($A31,Worksheet!$A$5:$I$110,E$4,FALSE),"")</f>
        <v/>
      </c>
      <c r="F31" s="77" t="str">
        <f>IFERROR(VLOOKUP($A31,Worksheet!$A$5:$I$110,F$4,FALSE),"")</f>
        <v/>
      </c>
      <c r="G31" s="77" t="str">
        <f>IFERROR(VLOOKUP($A31,Worksheet!$A$5:$I$110,G$4,FALSE),"")</f>
        <v/>
      </c>
      <c r="H31" t="str">
        <f>IFERROR(VLOOKUP($A31,Worksheet!$A$5:$I$110,H$4,FALSE),"")</f>
        <v/>
      </c>
    </row>
    <row r="32" spans="1:8" x14ac:dyDescent="0.25">
      <c r="A32" s="126">
        <v>-55344214</v>
      </c>
      <c r="B32" s="78" t="str">
        <f>IFERROR(VLOOKUP($A32,Worksheet!$A$5:$I$110,B$4,FALSE),"")</f>
        <v/>
      </c>
      <c r="C32" s="78" t="str">
        <f>IFERROR(VLOOKUP($A32,Worksheet!$A$5:$I$110,C$4,FALSE),"")</f>
        <v/>
      </c>
      <c r="D32" s="78" t="str">
        <f>IFERROR(VLOOKUP($A32,Worksheet!$A$5:$I$110,D$4,FALSE),"")</f>
        <v/>
      </c>
      <c r="E32" s="78" t="str">
        <f>IFERROR(VLOOKUP($A32,Worksheet!$A$5:$I$110,E$4,FALSE),"")</f>
        <v/>
      </c>
      <c r="F32" s="78" t="str">
        <f>IFERROR(VLOOKUP($A32,Worksheet!$A$5:$I$110,F$4,FALSE),"")</f>
        <v/>
      </c>
      <c r="G32" s="78" t="str">
        <f>IFERROR(VLOOKUP($A32,Worksheet!$A$5:$I$110,G$4,FALSE),"")</f>
        <v/>
      </c>
      <c r="H32" t="str">
        <f>IFERROR(VLOOKUP($A32,Worksheet!$A$5:$I$110,H$4,FALSE),"")</f>
        <v/>
      </c>
    </row>
    <row r="33" spans="1:8" x14ac:dyDescent="0.25">
      <c r="A33" s="125">
        <v>486644484</v>
      </c>
      <c r="B33" s="77" t="str">
        <f>IFERROR(VLOOKUP($A33,Worksheet!$A$5:$I$110,B$4,FALSE),"")</f>
        <v/>
      </c>
      <c r="C33" s="77" t="str">
        <f>IFERROR(VLOOKUP($A33,Worksheet!$A$5:$I$110,C$4,FALSE),"")</f>
        <v/>
      </c>
      <c r="D33" s="77" t="str">
        <f>IFERROR(VLOOKUP($A33,Worksheet!$A$5:$I$110,D$4,FALSE),"")</f>
        <v/>
      </c>
      <c r="E33" s="77" t="str">
        <f>IFERROR(VLOOKUP($A33,Worksheet!$A$5:$I$110,E$4,FALSE),"")</f>
        <v/>
      </c>
      <c r="F33" s="77" t="str">
        <f>IFERROR(VLOOKUP($A33,Worksheet!$A$5:$I$110,F$4,FALSE),"")</f>
        <v/>
      </c>
      <c r="G33" s="77" t="str">
        <f>IFERROR(VLOOKUP($A33,Worksheet!$A$5:$I$110,G$4,FALSE),"")</f>
        <v/>
      </c>
      <c r="H33" t="str">
        <f>IFERROR(VLOOKUP($A33,Worksheet!$A$5:$I$110,H$4,FALSE),"")</f>
        <v/>
      </c>
    </row>
    <row r="34" spans="1:8" x14ac:dyDescent="0.25">
      <c r="A34" s="126">
        <v>496180124</v>
      </c>
      <c r="B34" s="78" t="str">
        <f>IFERROR(VLOOKUP($A34,Worksheet!$A$5:$I$110,B$4,FALSE),"")</f>
        <v/>
      </c>
      <c r="C34" s="78" t="str">
        <f>IFERROR(VLOOKUP($A34,Worksheet!$A$5:$I$110,C$4,FALSE),"")</f>
        <v/>
      </c>
      <c r="D34" s="78" t="str">
        <f>IFERROR(VLOOKUP($A34,Worksheet!$A$5:$I$110,D$4,FALSE),"")</f>
        <v/>
      </c>
      <c r="E34" s="78" t="str">
        <f>IFERROR(VLOOKUP($A34,Worksheet!$A$5:$I$110,E$4,FALSE),"")</f>
        <v/>
      </c>
      <c r="F34" s="78" t="str">
        <f>IFERROR(VLOOKUP($A34,Worksheet!$A$5:$I$110,F$4,FALSE),"")</f>
        <v/>
      </c>
      <c r="G34" s="78" t="str">
        <f>IFERROR(VLOOKUP($A34,Worksheet!$A$5:$I$110,G$4,FALSE),"")</f>
        <v/>
      </c>
      <c r="H34" t="str">
        <f>IFERROR(VLOOKUP($A34,Worksheet!$A$5:$I$110,H$4,FALSE),"")</f>
        <v/>
      </c>
    </row>
    <row r="35" spans="1:8" x14ac:dyDescent="0.25">
      <c r="A35" s="124" t="s">
        <v>39</v>
      </c>
      <c r="B35" s="84"/>
      <c r="C35" s="84"/>
      <c r="D35" s="84"/>
      <c r="E35" s="84"/>
      <c r="F35" s="84"/>
      <c r="G35" s="84"/>
    </row>
    <row r="36" spans="1:8" x14ac:dyDescent="0.25">
      <c r="A36" s="126">
        <v>276562491</v>
      </c>
      <c r="B36" s="78" t="str">
        <f>IFERROR(VLOOKUP($A36,Worksheet!$A$5:$I$110,B$4,FALSE),"")</f>
        <v/>
      </c>
      <c r="C36" s="78" t="str">
        <f>IFERROR(VLOOKUP($A36,Worksheet!$A$5:$I$110,C$4,FALSE),"")</f>
        <v/>
      </c>
      <c r="D36" s="78" t="str">
        <f>IFERROR(VLOOKUP($A36,Worksheet!$A$5:$I$110,D$4,FALSE),"")</f>
        <v/>
      </c>
      <c r="E36" s="78" t="str">
        <f>IFERROR(VLOOKUP($A36,Worksheet!$A$5:$I$110,E$4,FALSE),"")</f>
        <v/>
      </c>
      <c r="F36" s="78" t="str">
        <f>IFERROR(VLOOKUP($A36,Worksheet!$A$5:$I$110,F$4,FALSE),"")</f>
        <v/>
      </c>
      <c r="G36" s="78" t="str">
        <f>IFERROR(VLOOKUP($A36,Worksheet!$A$5:$I$110,G$4,FALSE),"")</f>
        <v/>
      </c>
      <c r="H36" t="str">
        <f>IFERROR(VLOOKUP($A36,Worksheet!$A$5:$I$110,H$4,FALSE),"")</f>
        <v/>
      </c>
    </row>
    <row r="37" spans="1:8" x14ac:dyDescent="0.25">
      <c r="A37" s="125">
        <v>-306398606</v>
      </c>
      <c r="B37" s="77" t="str">
        <f>IFERROR(VLOOKUP($A37,Worksheet!$A$5:$I$110,B$4,FALSE),"")</f>
        <v/>
      </c>
      <c r="C37" s="77" t="str">
        <f>IFERROR(VLOOKUP($A37,Worksheet!$A$5:$I$110,C$4,FALSE),"")</f>
        <v/>
      </c>
      <c r="D37" s="77" t="str">
        <f>IFERROR(VLOOKUP($A37,Worksheet!$A$5:$I$110,D$4,FALSE),"")</f>
        <v/>
      </c>
      <c r="E37" s="77" t="str">
        <f>IFERROR(VLOOKUP($A37,Worksheet!$A$5:$I$110,E$4,FALSE),"")</f>
        <v/>
      </c>
      <c r="F37" s="77" t="str">
        <f>IFERROR(VLOOKUP($A37,Worksheet!$A$5:$I$110,F$4,FALSE),"")</f>
        <v/>
      </c>
      <c r="G37" s="77" t="str">
        <f>IFERROR(VLOOKUP($A37,Worksheet!$A$5:$I$110,G$4,FALSE),"")</f>
        <v/>
      </c>
      <c r="H37" t="str">
        <f>IFERROR(VLOOKUP($A37,Worksheet!$A$5:$I$110,H$4,FALSE),"")</f>
        <v/>
      </c>
    </row>
    <row r="38" spans="1:8" x14ac:dyDescent="0.25">
      <c r="A38" s="126">
        <v>-110541820</v>
      </c>
      <c r="B38" s="78" t="str">
        <f>IFERROR(VLOOKUP($A38,Worksheet!$A$5:$I$110,B$4,FALSE),"")</f>
        <v/>
      </c>
      <c r="C38" s="78" t="str">
        <f>IFERROR(VLOOKUP($A38,Worksheet!$A$5:$I$110,C$4,FALSE),"")</f>
        <v/>
      </c>
      <c r="D38" s="78" t="str">
        <f>IFERROR(VLOOKUP($A38,Worksheet!$A$5:$I$110,D$4,FALSE),"")</f>
        <v/>
      </c>
      <c r="E38" s="78" t="str">
        <f>IFERROR(VLOOKUP($A38,Worksheet!$A$5:$I$110,E$4,FALSE),"")</f>
        <v/>
      </c>
      <c r="F38" s="78" t="str">
        <f>IFERROR(VLOOKUP($A38,Worksheet!$A$5:$I$110,F$4,FALSE),"")</f>
        <v/>
      </c>
      <c r="G38" s="78" t="str">
        <f>IFERROR(VLOOKUP($A38,Worksheet!$A$5:$I$110,G$4,FALSE),"")</f>
        <v/>
      </c>
      <c r="H38" t="str">
        <f>IFERROR(VLOOKUP($A38,Worksheet!$A$5:$I$110,H$4,FALSE),"")</f>
        <v/>
      </c>
    </row>
    <row r="39" spans="1:8" x14ac:dyDescent="0.25">
      <c r="A39" s="125">
        <v>184256789</v>
      </c>
      <c r="B39" s="77" t="str">
        <f>IFERROR(VLOOKUP($A39,Worksheet!$A$5:$I$110,B$4,FALSE),"")</f>
        <v/>
      </c>
      <c r="C39" s="77" t="str">
        <f>IFERROR(VLOOKUP($A39,Worksheet!$A$5:$I$110,C$4,FALSE),"")</f>
        <v/>
      </c>
      <c r="D39" s="77" t="str">
        <f>IFERROR(VLOOKUP($A39,Worksheet!$A$5:$I$110,D$4,FALSE),"")</f>
        <v/>
      </c>
      <c r="E39" s="77" t="str">
        <f>IFERROR(VLOOKUP($A39,Worksheet!$A$5:$I$110,E$4,FALSE),"")</f>
        <v/>
      </c>
      <c r="F39" s="77" t="str">
        <f>IFERROR(VLOOKUP($A39,Worksheet!$A$5:$I$110,F$4,FALSE),"")</f>
        <v/>
      </c>
      <c r="G39" s="77" t="str">
        <f>IFERROR(VLOOKUP($A39,Worksheet!$A$5:$I$110,G$4,FALSE),"")</f>
        <v/>
      </c>
      <c r="H39" t="str">
        <f>IFERROR(VLOOKUP($A39,Worksheet!$A$5:$I$110,H$4,FALSE),"")</f>
        <v/>
      </c>
    </row>
    <row r="40" spans="1:8" x14ac:dyDescent="0.25">
      <c r="A40" s="126">
        <v>410564501</v>
      </c>
      <c r="B40" s="78" t="str">
        <f>IFERROR(VLOOKUP($A40,Worksheet!$A$5:$I$110,B$4,FALSE),"")</f>
        <v/>
      </c>
      <c r="C40" s="78" t="str">
        <f>IFERROR(VLOOKUP($A40,Worksheet!$A$5:$I$110,C$4,FALSE),"")</f>
        <v/>
      </c>
      <c r="D40" s="78" t="str">
        <f>IFERROR(VLOOKUP($A40,Worksheet!$A$5:$I$110,D$4,FALSE),"")</f>
        <v/>
      </c>
      <c r="E40" s="78" t="str">
        <f>IFERROR(VLOOKUP($A40,Worksheet!$A$5:$I$110,E$4,FALSE),"")</f>
        <v/>
      </c>
      <c r="F40" s="78" t="str">
        <f>IFERROR(VLOOKUP($A40,Worksheet!$A$5:$I$110,F$4,FALSE),"")</f>
        <v/>
      </c>
      <c r="G40" s="78" t="str">
        <f>IFERROR(VLOOKUP($A40,Worksheet!$A$5:$I$110,G$4,FALSE),"")</f>
        <v/>
      </c>
      <c r="H40" t="str">
        <f>IFERROR(VLOOKUP($A40,Worksheet!$A$5:$I$110,H$4,FALSE),"")</f>
        <v/>
      </c>
    </row>
    <row r="41" spans="1:8" x14ac:dyDescent="0.25">
      <c r="A41" s="125">
        <v>269398838</v>
      </c>
      <c r="B41" s="77" t="str">
        <f>IFERROR(VLOOKUP($A41,Worksheet!$A$5:$I$110,B$4,FALSE),"")</f>
        <v/>
      </c>
      <c r="C41" s="77" t="str">
        <f>IFERROR(VLOOKUP($A41,Worksheet!$A$5:$I$110,C$4,FALSE),"")</f>
        <v/>
      </c>
      <c r="D41" s="77" t="str">
        <f>IFERROR(VLOOKUP($A41,Worksheet!$A$5:$I$110,D$4,FALSE),"")</f>
        <v/>
      </c>
      <c r="E41" s="77" t="str">
        <f>IFERROR(VLOOKUP($A41,Worksheet!$A$5:$I$110,E$4,FALSE),"")</f>
        <v/>
      </c>
      <c r="F41" s="77" t="str">
        <f>IFERROR(VLOOKUP($A41,Worksheet!$A$5:$I$110,F$4,FALSE),"")</f>
        <v/>
      </c>
      <c r="G41" s="77" t="str">
        <f>IFERROR(VLOOKUP($A41,Worksheet!$A$5:$I$110,G$4,FALSE),"")</f>
        <v/>
      </c>
      <c r="H41" t="str">
        <f>IFERROR(VLOOKUP($A41,Worksheet!$A$5:$I$110,H$4,FALSE),"")</f>
        <v/>
      </c>
    </row>
    <row r="42" spans="1:8" x14ac:dyDescent="0.25">
      <c r="A42" s="126">
        <v>77639596</v>
      </c>
      <c r="B42" s="78" t="str">
        <f>IFERROR(VLOOKUP($A42,Worksheet!$A$5:$I$110,B$4,FALSE),"")</f>
        <v/>
      </c>
      <c r="C42" s="78" t="str">
        <f>IFERROR(VLOOKUP($A42,Worksheet!$A$5:$I$110,C$4,FALSE),"")</f>
        <v/>
      </c>
      <c r="D42" s="78" t="str">
        <f>IFERROR(VLOOKUP($A42,Worksheet!$A$5:$I$110,D$4,FALSE),"")</f>
        <v/>
      </c>
      <c r="E42" s="78" t="str">
        <f>IFERROR(VLOOKUP($A42,Worksheet!$A$5:$I$110,E$4,FALSE),"")</f>
        <v/>
      </c>
      <c r="F42" s="78" t="str">
        <f>IFERROR(VLOOKUP($A42,Worksheet!$A$5:$I$110,F$4,FALSE),"")</f>
        <v/>
      </c>
      <c r="G42" s="78" t="str">
        <f>IFERROR(VLOOKUP($A42,Worksheet!$A$5:$I$110,G$4,FALSE),"")</f>
        <v/>
      </c>
      <c r="H42" t="str">
        <f>IFERROR(VLOOKUP($A42,Worksheet!$A$5:$I$110,H$4,FALSE),"")</f>
        <v/>
      </c>
    </row>
    <row r="43" spans="1:8" x14ac:dyDescent="0.25">
      <c r="A43" s="125">
        <v>126680872</v>
      </c>
      <c r="B43" s="77" t="str">
        <f>IFERROR(VLOOKUP($A43,Worksheet!$A$5:$I$110,B$4,FALSE),"")</f>
        <v/>
      </c>
      <c r="C43" s="77" t="str">
        <f>IFERROR(VLOOKUP($A43,Worksheet!$A$5:$I$110,C$4,FALSE),"")</f>
        <v/>
      </c>
      <c r="D43" s="77" t="str">
        <f>IFERROR(VLOOKUP($A43,Worksheet!$A$5:$I$110,D$4,FALSE),"")</f>
        <v/>
      </c>
      <c r="E43" s="77" t="str">
        <f>IFERROR(VLOOKUP($A43,Worksheet!$A$5:$I$110,E$4,FALSE),"")</f>
        <v/>
      </c>
      <c r="F43" s="77" t="str">
        <f>IFERROR(VLOOKUP($A43,Worksheet!$A$5:$I$110,F$4,FALSE),"")</f>
        <v/>
      </c>
      <c r="G43" s="77" t="str">
        <f>IFERROR(VLOOKUP($A43,Worksheet!$A$5:$I$110,G$4,FALSE),"")</f>
        <v/>
      </c>
      <c r="H43" t="str">
        <f>IFERROR(VLOOKUP($A43,Worksheet!$A$5:$I$110,H$4,FALSE),"")</f>
        <v/>
      </c>
    </row>
    <row r="44" spans="1:8" x14ac:dyDescent="0.25">
      <c r="A44" s="124" t="s">
        <v>45</v>
      </c>
      <c r="B44" s="84"/>
      <c r="C44" s="84"/>
      <c r="D44" s="84"/>
      <c r="E44" s="84"/>
      <c r="F44" s="84"/>
      <c r="G44" s="84"/>
    </row>
    <row r="45" spans="1:8" x14ac:dyDescent="0.25">
      <c r="A45" s="125">
        <v>-231948203</v>
      </c>
      <c r="B45" s="77" t="str">
        <f>IFERROR(VLOOKUP($A45,Worksheet!$A$5:$I$110,B$4,FALSE),"")</f>
        <v/>
      </c>
      <c r="C45" s="77" t="str">
        <f>IFERROR(VLOOKUP($A45,Worksheet!$A$5:$I$110,C$4,FALSE),"")</f>
        <v/>
      </c>
      <c r="D45" s="77" t="str">
        <f>IFERROR(VLOOKUP($A45,Worksheet!$A$5:$I$110,D$4,FALSE),"")</f>
        <v/>
      </c>
      <c r="E45" s="77" t="str">
        <f>IFERROR(VLOOKUP($A45,Worksheet!$A$5:$I$110,E$4,FALSE),"")</f>
        <v/>
      </c>
      <c r="F45" s="77" t="str">
        <f>IFERROR(VLOOKUP($A45,Worksheet!$A$5:$I$110,F$4,FALSE),"")</f>
        <v/>
      </c>
      <c r="G45" s="77" t="str">
        <f>IFERROR(VLOOKUP($A45,Worksheet!$A$5:$I$110,G$4,FALSE),"")</f>
        <v/>
      </c>
      <c r="H45" t="str">
        <f>IFERROR(VLOOKUP($A45,Worksheet!$A$5:$I$110,H$4,FALSE),"")</f>
        <v/>
      </c>
    </row>
    <row r="46" spans="1:8" x14ac:dyDescent="0.25">
      <c r="B46" s="127"/>
      <c r="C46" s="127"/>
      <c r="D46" s="127"/>
      <c r="E46" s="127"/>
      <c r="F46" s="127"/>
      <c r="G46" s="127"/>
    </row>
    <row r="47" spans="1:8" x14ac:dyDescent="0.25">
      <c r="B47" s="127"/>
      <c r="C47" s="127"/>
      <c r="D47" s="127"/>
      <c r="E47" s="127"/>
      <c r="F47" s="127"/>
      <c r="G47" s="127"/>
    </row>
    <row r="48" spans="1:8" x14ac:dyDescent="0.25">
      <c r="B48" s="127"/>
      <c r="C48" s="127"/>
      <c r="D48" s="127"/>
      <c r="E48" s="127"/>
      <c r="F48" s="127"/>
      <c r="G48" s="127"/>
    </row>
  </sheetData>
  <mergeCells count="1">
    <mergeCell ref="C1:E1"/>
  </mergeCells>
  <pageMargins left="0.7" right="0.7" top="0.75" bottom="0.75" header="0.3" footer="0.3"/>
  <pageSetup scale="90" firstPageNumber="2" fitToHeight="0" orientation="portrait" useFirstPageNumber="1" errors="blank" horizontalDpi="180" verticalDpi="180" r:id="rId2"/>
  <headerFooter>
    <oddHeader>&amp;LJohnson Gage and Inspection Inc.&amp;RPage 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110"/>
  <sheetViews>
    <sheetView tabSelected="1" topLeftCell="I1" zoomScaleNormal="100" workbookViewId="0">
      <selection activeCell="N6" sqref="N6"/>
    </sheetView>
  </sheetViews>
  <sheetFormatPr defaultColWidth="9.28515625" defaultRowHeight="15" x14ac:dyDescent="0.25"/>
  <cols>
    <col min="1" max="1" width="10.7109375" style="122" hidden="1" customWidth="1"/>
    <col min="2" max="2" width="17.28515625" customWidth="1"/>
    <col min="3" max="3" width="10" customWidth="1"/>
    <col min="4" max="4" width="26.7109375" customWidth="1"/>
    <col min="5" max="5" width="19" customWidth="1"/>
    <col min="6" max="6" width="18" customWidth="1"/>
    <col min="7" max="7" width="15.28515625" customWidth="1"/>
    <col min="8" max="8" width="18.28515625" customWidth="1"/>
    <col min="9" max="9" width="8.5703125" style="72" customWidth="1"/>
    <col min="10" max="10" width="8.5703125" style="86" hidden="1" customWidth="1"/>
    <col min="11" max="11" width="6" style="54" customWidth="1"/>
    <col min="12" max="12" width="7.5703125" style="54" customWidth="1"/>
    <col min="13" max="13" width="25.7109375" customWidth="1"/>
    <col min="14" max="14" width="7.7109375" customWidth="1"/>
    <col min="15" max="15" width="7.7109375" hidden="1" customWidth="1"/>
    <col min="16" max="16" width="7.5703125" hidden="1" customWidth="1"/>
    <col min="17" max="18" width="2" hidden="1" customWidth="1"/>
    <col min="19" max="19" width="9.85546875" style="102" bestFit="1" customWidth="1"/>
    <col min="20" max="20" width="5.28515625" style="54" bestFit="1" customWidth="1"/>
    <col min="21" max="21" width="12.7109375" style="54" customWidth="1"/>
    <col min="22" max="22" width="10.5703125" style="54" bestFit="1" customWidth="1"/>
    <col min="23" max="23" width="8" style="54" customWidth="1"/>
    <col min="24" max="25" width="9.28515625" style="54"/>
    <col min="26" max="26" width="9.28515625" style="54" bestFit="1" customWidth="1"/>
    <col min="27" max="27" width="10.28515625" style="54" bestFit="1" customWidth="1"/>
    <col min="28" max="28" width="10.7109375" customWidth="1"/>
    <col min="29" max="29" width="11.28515625" customWidth="1"/>
    <col min="30" max="30" width="9.28515625" style="54" bestFit="1" customWidth="1"/>
    <col min="31" max="31" width="10.7109375" style="54" bestFit="1" customWidth="1"/>
    <col min="32" max="32" width="10.28515625" customWidth="1"/>
    <col min="33" max="34" width="21.7109375" hidden="1" customWidth="1"/>
    <col min="35" max="35" width="9.140625" bestFit="1" customWidth="1"/>
    <col min="36" max="38" width="12" customWidth="1"/>
  </cols>
  <sheetData>
    <row r="1" spans="1:38" ht="18.75" x14ac:dyDescent="0.3">
      <c r="A1" s="118"/>
      <c r="B1" s="1"/>
      <c r="C1" s="2"/>
      <c r="D1" s="3" t="s">
        <v>8</v>
      </c>
      <c r="E1" s="2"/>
      <c r="F1" s="2" t="s">
        <v>35</v>
      </c>
      <c r="G1" s="2"/>
      <c r="H1" s="23"/>
      <c r="I1" s="47"/>
      <c r="J1" s="87"/>
      <c r="K1" s="44"/>
      <c r="L1" s="30"/>
      <c r="M1" s="139"/>
      <c r="N1" s="4"/>
      <c r="O1" s="5"/>
      <c r="P1" s="5"/>
      <c r="Q1" s="5"/>
      <c r="R1" s="5"/>
      <c r="S1" s="100"/>
      <c r="T1" s="7"/>
      <c r="U1" s="7"/>
      <c r="V1" s="6"/>
      <c r="W1" s="7"/>
      <c r="X1" s="8" t="s">
        <v>9</v>
      </c>
      <c r="Y1" s="7"/>
      <c r="Z1" s="7"/>
      <c r="AA1" s="7" t="s">
        <v>11</v>
      </c>
      <c r="AB1" s="7"/>
      <c r="AC1" s="7"/>
      <c r="AD1" s="9" t="s">
        <v>5</v>
      </c>
      <c r="AE1" s="9" t="s">
        <v>10</v>
      </c>
      <c r="AF1" s="6"/>
      <c r="AG1" s="29"/>
      <c r="AH1" s="74"/>
    </row>
    <row r="2" spans="1:38" ht="18" x14ac:dyDescent="0.25">
      <c r="A2" s="119"/>
      <c r="B2" s="10"/>
      <c r="C2" s="137" t="s">
        <v>36</v>
      </c>
      <c r="D2" s="138"/>
      <c r="E2" s="138"/>
      <c r="F2" s="45"/>
      <c r="G2" s="11"/>
      <c r="H2" s="24"/>
      <c r="I2" s="48"/>
      <c r="J2" s="85"/>
      <c r="K2" s="42"/>
      <c r="L2" s="31"/>
      <c r="M2" s="139"/>
      <c r="N2" s="12"/>
      <c r="O2" s="5"/>
      <c r="P2" s="5"/>
      <c r="Q2" s="5"/>
      <c r="R2" s="5"/>
      <c r="S2" s="100"/>
      <c r="T2" s="7"/>
      <c r="U2" s="103" t="s">
        <v>12</v>
      </c>
      <c r="V2" s="7"/>
      <c r="W2" s="7"/>
      <c r="X2" s="8"/>
      <c r="Y2" s="7"/>
      <c r="Z2" s="7"/>
      <c r="AA2" s="9" t="s">
        <v>14</v>
      </c>
      <c r="AB2" s="7"/>
      <c r="AC2" s="7"/>
      <c r="AD2" s="7" t="s">
        <v>1</v>
      </c>
      <c r="AE2" s="27" t="s">
        <v>13</v>
      </c>
      <c r="AF2" s="6"/>
      <c r="AG2" s="29"/>
      <c r="AH2" s="74"/>
    </row>
    <row r="3" spans="1:38" ht="16.5" customHeight="1" thickBot="1" x14ac:dyDescent="0.3">
      <c r="A3" s="119"/>
      <c r="B3" s="10"/>
      <c r="C3" s="13"/>
      <c r="D3" s="14"/>
      <c r="E3" s="96"/>
      <c r="F3" s="68"/>
      <c r="G3" s="15"/>
      <c r="H3" s="24"/>
      <c r="I3" s="48"/>
      <c r="J3" s="85"/>
      <c r="K3" s="95"/>
      <c r="L3" s="31"/>
      <c r="M3" s="51"/>
      <c r="N3" s="5"/>
      <c r="O3" s="5"/>
      <c r="P3" s="5"/>
      <c r="Q3" s="5"/>
      <c r="R3" s="5"/>
      <c r="S3" s="100"/>
      <c r="T3" s="7"/>
      <c r="U3" s="104"/>
      <c r="V3" s="26"/>
      <c r="W3" s="7"/>
      <c r="X3" s="8"/>
      <c r="Y3" s="7"/>
      <c r="Z3" s="7" t="s">
        <v>46</v>
      </c>
      <c r="AA3" s="7"/>
      <c r="AB3" s="7"/>
      <c r="AC3" s="7"/>
      <c r="AD3" s="7" t="s">
        <v>3</v>
      </c>
      <c r="AE3" s="7"/>
      <c r="AF3" s="6"/>
      <c r="AG3" s="135" t="s">
        <v>33</v>
      </c>
      <c r="AH3" s="75"/>
    </row>
    <row r="4" spans="1:38" ht="15.75" x14ac:dyDescent="0.25">
      <c r="A4" s="119"/>
      <c r="B4" s="1"/>
      <c r="C4" s="14"/>
      <c r="E4" s="14"/>
      <c r="F4" s="14"/>
      <c r="G4" s="14"/>
      <c r="H4" s="24"/>
      <c r="I4" s="48"/>
      <c r="J4" s="85"/>
      <c r="K4" s="42"/>
      <c r="L4" s="31"/>
      <c r="M4" s="16"/>
      <c r="N4" s="79" t="s">
        <v>47</v>
      </c>
      <c r="O4" s="5"/>
      <c r="P4" s="5"/>
      <c r="Q4" s="5"/>
      <c r="R4" s="5"/>
      <c r="S4" s="108"/>
      <c r="T4" s="109"/>
      <c r="U4" s="140" t="s">
        <v>15</v>
      </c>
      <c r="V4" s="105"/>
      <c r="W4" s="109"/>
      <c r="X4" s="109"/>
      <c r="Y4" s="110"/>
      <c r="Z4" s="7" t="s">
        <v>34</v>
      </c>
      <c r="AA4" s="7"/>
      <c r="AB4" s="7"/>
      <c r="AC4" s="7"/>
      <c r="AD4" s="17"/>
      <c r="AE4" s="17"/>
      <c r="AF4" s="6"/>
      <c r="AG4" s="135"/>
      <c r="AH4" s="75"/>
    </row>
    <row r="5" spans="1:38" ht="39" customHeight="1" x14ac:dyDescent="0.25">
      <c r="A5" s="120" t="s">
        <v>49</v>
      </c>
      <c r="B5" s="128" t="s">
        <v>17</v>
      </c>
      <c r="C5" s="129" t="s">
        <v>7</v>
      </c>
      <c r="D5" s="130" t="s">
        <v>18</v>
      </c>
      <c r="E5" s="129" t="s">
        <v>19</v>
      </c>
      <c r="F5" s="129" t="s">
        <v>20</v>
      </c>
      <c r="G5" s="129" t="s">
        <v>21</v>
      </c>
      <c r="H5" s="131" t="s">
        <v>22</v>
      </c>
      <c r="I5" s="49" t="s">
        <v>37</v>
      </c>
      <c r="J5" s="88" t="s">
        <v>0</v>
      </c>
      <c r="K5" s="33" t="s">
        <v>31</v>
      </c>
      <c r="L5" s="32" t="s">
        <v>32</v>
      </c>
      <c r="M5" s="18" t="s">
        <v>23</v>
      </c>
      <c r="N5" s="19">
        <v>1</v>
      </c>
      <c r="O5" s="19">
        <v>2</v>
      </c>
      <c r="P5" s="19">
        <v>3</v>
      </c>
      <c r="Q5" s="19">
        <v>4</v>
      </c>
      <c r="R5" s="19">
        <v>5</v>
      </c>
      <c r="S5" s="106" t="s">
        <v>43</v>
      </c>
      <c r="T5" s="107" t="s">
        <v>44</v>
      </c>
      <c r="U5" s="141"/>
      <c r="V5" s="97" t="s">
        <v>16</v>
      </c>
      <c r="W5" s="111" t="s">
        <v>7</v>
      </c>
      <c r="X5" s="107" t="s">
        <v>24</v>
      </c>
      <c r="Y5" s="20" t="s">
        <v>25</v>
      </c>
      <c r="Z5" s="20" t="s">
        <v>26</v>
      </c>
      <c r="AA5" s="20" t="s">
        <v>27</v>
      </c>
      <c r="AB5" s="20" t="s">
        <v>29</v>
      </c>
      <c r="AC5" s="20" t="s">
        <v>28</v>
      </c>
      <c r="AD5" s="112" t="s">
        <v>6</v>
      </c>
      <c r="AE5" s="97" t="s">
        <v>30</v>
      </c>
      <c r="AF5" s="117"/>
      <c r="AG5" s="136"/>
      <c r="AH5" s="75" t="s">
        <v>50</v>
      </c>
      <c r="AI5" s="25"/>
      <c r="AJ5" s="46"/>
      <c r="AK5" s="25"/>
      <c r="AL5" s="25"/>
    </row>
    <row r="6" spans="1:38" x14ac:dyDescent="0.25">
      <c r="A6" s="121" t="str" cm="1">
        <f t="array" ref="A6">IfEmpty(TRIM(_xlfn.CONCAT(C6:H6)),"",CRC32HASH(_xlfn.CONCAT(C6:H6)))</f>
        <v/>
      </c>
      <c r="B6" s="10" t="str">
        <f>IFERROR(VLOOKUP(J6,Items[],2,FALSE),"")</f>
        <v/>
      </c>
      <c r="C6" s="34" t="str" cm="1">
        <f t="array" ref="C6">W6 &amp; " " &amp; IfEmpty(U6, AG6)</f>
        <v xml:space="preserve"> </v>
      </c>
      <c r="D6" s="43" t="str">
        <f>IF(OR(AG6="°C", AG6="°F"), Z6 &amp; " " &amp; AG6, IF(RIGHT(AG6,2)="Hz", AF6 &amp; " @ " &amp; Z6 &amp; " " &amp; AG6, Z6 &amp; AH6 &amp; " " &amp; AF6))</f>
        <v xml:space="preserve">  </v>
      </c>
      <c r="E6" s="57" t="str">
        <f>IFERROR(ROUND(AVERAGE(N6:R6),-LOG10(V6)) &amp; AH6,"")</f>
        <v/>
      </c>
      <c r="F6" s="41" t="str">
        <f>IF(AB6="","",AB6 &amp; $AH6)</f>
        <v/>
      </c>
      <c r="G6" s="41" t="str">
        <f>IF(AC6="","",AC6 &amp; $AH6)</f>
        <v/>
      </c>
      <c r="H6" s="35" t="str" cm="1">
        <f t="array" ref="H6:J6">IFERROR(CalcUnc(K6,L6,S6,T6,V6,X6,AD6,AE6,N6:R6,Z6,AA6),"")</f>
        <v/>
      </c>
      <c r="I6" s="50" t="str">
        <v/>
      </c>
      <c r="J6" s="89" t="str">
        <v/>
      </c>
      <c r="K6" s="55"/>
      <c r="L6" s="56"/>
      <c r="M6" s="22"/>
      <c r="N6" s="52"/>
      <c r="O6" s="53"/>
      <c r="P6" s="53"/>
      <c r="Q6" s="98"/>
      <c r="R6" s="98"/>
      <c r="S6" s="101"/>
      <c r="T6" s="113"/>
      <c r="U6" s="59"/>
      <c r="V6" s="60"/>
      <c r="W6" s="61"/>
      <c r="X6" s="115"/>
      <c r="Y6" s="132"/>
      <c r="Z6" s="62"/>
      <c r="AA6" s="63"/>
      <c r="AB6" s="73" t="str">
        <f t="shared" ref="AB6" si="0">IF(V6&lt;&gt;"",ROUND(Z6-AA6,-LOG10(V6)),"")</f>
        <v/>
      </c>
      <c r="AC6" s="73" t="str">
        <f t="shared" ref="AC6" si="1">IF(V6&lt;&gt;"",ROUND(Z6+AA6,-LOG10(V6)),"")</f>
        <v/>
      </c>
      <c r="AD6" s="66"/>
      <c r="AE6" s="67"/>
      <c r="AF6" s="21" t="str">
        <f>IF(RIGHT(AE6,2)="Hz","@ ","")&amp;AD6&amp;AE6</f>
        <v/>
      </c>
      <c r="AG6" s="28" t="str" cm="1">
        <f t="array" ref="AG6">FilterSpecialCharacters(X6)</f>
        <v/>
      </c>
      <c r="AH6" s="74" t="str">
        <f>" "&amp;AG6&amp;IF($Y6="",""," ("&amp;$Y6&amp;")")</f>
        <v xml:space="preserve"> </v>
      </c>
    </row>
    <row r="7" spans="1:38" x14ac:dyDescent="0.25">
      <c r="A7" s="121" t="str" cm="1">
        <f t="array" ref="A7">IfEmpty(TRIM(_xlfn.CONCAT(C7:H7)),"",CRC32HASH(_xlfn.CONCAT(C7:H7)))</f>
        <v/>
      </c>
      <c r="B7" s="39" t="str">
        <f>IFERROR(VLOOKUP(J7,Items[],2,FALSE),"")</f>
        <v/>
      </c>
      <c r="C7" s="36" t="str" cm="1">
        <f t="array" ref="C7">W7 &amp; " " &amp; IfEmpty(U7, AG7)</f>
        <v xml:space="preserve"> </v>
      </c>
      <c r="D7" s="37" t="str">
        <f>IF(OR(AG7="°C", AG7="°F"), Z7 &amp; " " &amp; AG7, IF(RIGHT(AG7,2)="Hz", AF7 &amp; " @ " &amp; Z7 &amp; " " &amp; AG7, Z7 &amp; AH7 &amp; " " &amp; AF7))</f>
        <v xml:space="preserve">  </v>
      </c>
      <c r="E7" s="58" t="str">
        <f>IFERROR(ROUND(AVERAGE(N7:R7),-LOG10(V7)) &amp; AH7,"")</f>
        <v/>
      </c>
      <c r="F7" s="42" t="str">
        <f>IF(AB7="","",AB7 &amp; $AH7)</f>
        <v/>
      </c>
      <c r="G7" s="42" t="str">
        <f>IF(AC7="","",AC7 &amp; $AH7)</f>
        <v/>
      </c>
      <c r="H7" s="38" t="str" cm="1">
        <f t="array" ref="H7:J7">IFERROR(CalcUnc(K7,L7,S7,T7,V7,X7,AD7,AE7,N7:R7,Z7,AA7),"")</f>
        <v/>
      </c>
      <c r="I7" s="50" t="str">
        <v/>
      </c>
      <c r="J7" s="89" t="str">
        <v/>
      </c>
      <c r="K7" s="55"/>
      <c r="L7" s="56"/>
      <c r="M7" s="22"/>
      <c r="N7" s="52"/>
      <c r="O7" s="53"/>
      <c r="P7" s="53"/>
      <c r="Q7" s="98"/>
      <c r="R7" s="98"/>
      <c r="S7" s="101"/>
      <c r="T7" s="114"/>
      <c r="U7" s="59"/>
      <c r="V7" s="60"/>
      <c r="W7" s="61"/>
      <c r="X7" s="116"/>
      <c r="Y7" s="132"/>
      <c r="Z7" s="62"/>
      <c r="AA7" s="63"/>
      <c r="AB7" s="73" t="str">
        <f t="shared" ref="AB7:AB37" si="2">IF(V7&lt;&gt;"",ROUND(Z7-AA7,-LOG10(V7)),"")</f>
        <v/>
      </c>
      <c r="AC7" s="73" t="str">
        <f t="shared" ref="AC7:AC37" si="3">IF(V7&lt;&gt;"",ROUND(Z7+AA7,-LOG10(V7)),"")</f>
        <v/>
      </c>
      <c r="AD7" s="66"/>
      <c r="AE7" s="67"/>
      <c r="AF7" s="21" t="str">
        <f t="shared" ref="AF7:AF70" si="4">IF(RIGHT(AE7,2)="Hz","@ ","")&amp;AD7&amp;AE7</f>
        <v/>
      </c>
      <c r="AG7" s="28" t="str" cm="1">
        <f t="array" ref="AG7">FilterSpecialCharacters(X7)</f>
        <v/>
      </c>
      <c r="AH7" s="74" t="str">
        <f t="shared" ref="AH7:AH70" si="5">" "&amp;AG7&amp;IF($Y7="",""," ("&amp;$Y7&amp;")")</f>
        <v xml:space="preserve"> </v>
      </c>
    </row>
    <row r="8" spans="1:38" x14ac:dyDescent="0.25">
      <c r="A8" s="121" t="str" cm="1">
        <f t="array" ref="A8">IfEmpty(TRIM(_xlfn.CONCAT(C8:H8)),"",CRC32HASH(_xlfn.CONCAT(C8:H8)))</f>
        <v/>
      </c>
      <c r="B8" s="10" t="str">
        <f>IFERROR(VLOOKUP(J8,Items[],2,FALSE),"")</f>
        <v/>
      </c>
      <c r="C8" s="34" t="str" cm="1">
        <f t="array" ref="C8">W8 &amp; " " &amp; IfEmpty(U8, AG8)</f>
        <v xml:space="preserve"> </v>
      </c>
      <c r="D8" s="43" t="str">
        <f t="shared" ref="D8:D71" si="6">IF(OR(AG8="°C", AG8="°F"), Z8 &amp; " " &amp; AG8, IF(RIGHT(AG8,2)="Hz", AF8 &amp; " @ " &amp; Z8 &amp; " " &amp; AG8, Z8 &amp; AH8 &amp; " " &amp; AF8))</f>
        <v xml:space="preserve">  </v>
      </c>
      <c r="E8" s="57" t="str">
        <f t="shared" ref="E8:E71" si="7">IFERROR(ROUND(AVERAGE(N8:R8),-LOG10(V8)) &amp; AH8,"")</f>
        <v/>
      </c>
      <c r="F8" s="41" t="str">
        <f t="shared" ref="F8:F71" si="8">IF(AB8="","",AB8 &amp; $AH8)</f>
        <v/>
      </c>
      <c r="G8" s="41" t="str">
        <f t="shared" ref="G8:G71" si="9">IF(AC8="","",AC8 &amp; $AH8)</f>
        <v/>
      </c>
      <c r="H8" s="35" t="str" cm="1">
        <f t="array" ref="H8:J8">IFERROR(CalcUnc(K8,L8,S8,T8,V8,X8,AD8,AE8,N8:R8,Z8,AA8),"")</f>
        <v/>
      </c>
      <c r="I8" s="50" t="str">
        <v/>
      </c>
      <c r="J8" s="89" t="str">
        <v/>
      </c>
      <c r="K8" s="55"/>
      <c r="L8" s="56"/>
      <c r="M8" s="22"/>
      <c r="N8" s="52"/>
      <c r="O8" s="53"/>
      <c r="P8" s="53"/>
      <c r="Q8" s="98"/>
      <c r="R8" s="98"/>
      <c r="S8" s="101"/>
      <c r="T8" s="114"/>
      <c r="U8" s="59"/>
      <c r="V8" s="60"/>
      <c r="W8" s="61"/>
      <c r="X8" s="116"/>
      <c r="Y8" s="132"/>
      <c r="Z8" s="62"/>
      <c r="AA8" s="63"/>
      <c r="AB8" s="73" t="str">
        <f t="shared" si="2"/>
        <v/>
      </c>
      <c r="AC8" s="73" t="str">
        <f t="shared" si="3"/>
        <v/>
      </c>
      <c r="AD8" s="66"/>
      <c r="AE8" s="67"/>
      <c r="AF8" s="21" t="str">
        <f t="shared" si="4"/>
        <v/>
      </c>
      <c r="AG8" s="28" t="str" cm="1">
        <f t="array" ref="AG8">FilterSpecialCharacters(X8)</f>
        <v/>
      </c>
      <c r="AH8" s="74" t="str">
        <f t="shared" si="5"/>
        <v xml:space="preserve"> </v>
      </c>
    </row>
    <row r="9" spans="1:38" x14ac:dyDescent="0.25">
      <c r="A9" s="121" t="str" cm="1">
        <f t="array" ref="A9">IfEmpty(TRIM(_xlfn.CONCAT(C9:H9)),"",CRC32HASH(_xlfn.CONCAT(C9:H9)))</f>
        <v/>
      </c>
      <c r="B9" s="39" t="str">
        <f>IFERROR(VLOOKUP(J9,Items[],2,FALSE),"")</f>
        <v/>
      </c>
      <c r="C9" s="36" t="str" cm="1">
        <f t="array" ref="C9">W9 &amp; " " &amp; IfEmpty(U9, FilterSpecialCharacters(X9))</f>
        <v xml:space="preserve"> </v>
      </c>
      <c r="D9" s="37" t="str">
        <f t="shared" si="6"/>
        <v xml:space="preserve">  </v>
      </c>
      <c r="E9" s="58" t="str">
        <f t="shared" si="7"/>
        <v/>
      </c>
      <c r="F9" s="42" t="str">
        <f t="shared" si="8"/>
        <v/>
      </c>
      <c r="G9" s="42" t="str">
        <f t="shared" si="9"/>
        <v/>
      </c>
      <c r="H9" s="38" t="str" cm="1">
        <f t="array" ref="H9:J9">IFERROR(CalcUnc(K9,L9,S9,T9,V9,X9,AD9,AE9,N9:R9,Z9,AA9),"")</f>
        <v/>
      </c>
      <c r="I9" s="50" t="str">
        <v/>
      </c>
      <c r="J9" s="89" t="str">
        <v/>
      </c>
      <c r="K9" s="55"/>
      <c r="L9" s="56"/>
      <c r="M9" s="22"/>
      <c r="N9" s="52"/>
      <c r="O9" s="53"/>
      <c r="P9" s="53"/>
      <c r="Q9" s="98"/>
      <c r="R9" s="98"/>
      <c r="S9" s="101"/>
      <c r="T9" s="114"/>
      <c r="U9" s="59"/>
      <c r="V9" s="60"/>
      <c r="W9" s="61"/>
      <c r="X9" s="116"/>
      <c r="Y9" s="132"/>
      <c r="Z9" s="62"/>
      <c r="AA9" s="63"/>
      <c r="AB9" s="73" t="str">
        <f t="shared" si="2"/>
        <v/>
      </c>
      <c r="AC9" s="73" t="str">
        <f t="shared" si="3"/>
        <v/>
      </c>
      <c r="AD9" s="66"/>
      <c r="AE9" s="67"/>
      <c r="AF9" s="21" t="str">
        <f t="shared" si="4"/>
        <v/>
      </c>
      <c r="AG9" s="28" t="str" cm="1">
        <f t="array" ref="AG9">FilterSpecialCharacters(X9)</f>
        <v/>
      </c>
      <c r="AH9" s="74" t="str">
        <f t="shared" si="5"/>
        <v xml:space="preserve"> </v>
      </c>
    </row>
    <row r="10" spans="1:38" x14ac:dyDescent="0.25">
      <c r="A10" s="121" t="str" cm="1">
        <f t="array" ref="A10">IfEmpty(TRIM(_xlfn.CONCAT(C10:H10)),"",CRC32HASH(_xlfn.CONCAT(C10:H10)))</f>
        <v/>
      </c>
      <c r="B10" s="10" t="str">
        <f>IFERROR(VLOOKUP(J10,Items[],2,FALSE),"")</f>
        <v/>
      </c>
      <c r="C10" s="34" t="str" cm="1">
        <f t="array" ref="C10">W10 &amp; " " &amp; IfEmpty(U10, AG10)</f>
        <v xml:space="preserve"> </v>
      </c>
      <c r="D10" s="43" t="str">
        <f t="shared" si="6"/>
        <v xml:space="preserve">  </v>
      </c>
      <c r="E10" s="57" t="str">
        <f t="shared" si="7"/>
        <v/>
      </c>
      <c r="F10" s="41" t="str">
        <f t="shared" si="8"/>
        <v/>
      </c>
      <c r="G10" s="41" t="str">
        <f t="shared" si="9"/>
        <v/>
      </c>
      <c r="H10" s="35" t="str" cm="1">
        <f t="array" ref="H10:J10">IFERROR(CalcUnc(K10,L10,S10,T10,V10,X10,AD10,AE10,N10:R10,Z10,AA10),"")</f>
        <v/>
      </c>
      <c r="I10" s="50" t="str">
        <v/>
      </c>
      <c r="J10" s="89" t="str">
        <v/>
      </c>
      <c r="K10" s="55"/>
      <c r="L10" s="56"/>
      <c r="M10" s="22"/>
      <c r="N10" s="52"/>
      <c r="O10" s="53"/>
      <c r="P10" s="53"/>
      <c r="Q10" s="98"/>
      <c r="R10" s="98"/>
      <c r="S10" s="101"/>
      <c r="T10" s="114"/>
      <c r="U10" s="59"/>
      <c r="V10" s="60"/>
      <c r="W10" s="61"/>
      <c r="X10" s="116"/>
      <c r="Y10" s="132"/>
      <c r="Z10" s="62"/>
      <c r="AA10" s="63"/>
      <c r="AB10" s="73" t="str">
        <f t="shared" si="2"/>
        <v/>
      </c>
      <c r="AC10" s="73" t="str">
        <f t="shared" si="3"/>
        <v/>
      </c>
      <c r="AD10" s="66"/>
      <c r="AE10" s="67"/>
      <c r="AF10" s="21" t="str">
        <f t="shared" si="4"/>
        <v/>
      </c>
      <c r="AG10" s="28" t="str" cm="1">
        <f t="array" ref="AG10">FilterSpecialCharacters(X10)</f>
        <v/>
      </c>
      <c r="AH10" s="74" t="str">
        <f t="shared" si="5"/>
        <v xml:space="preserve"> </v>
      </c>
    </row>
    <row r="11" spans="1:38" x14ac:dyDescent="0.25">
      <c r="A11" s="121" t="str" cm="1">
        <f t="array" ref="A11">IfEmpty(TRIM(_xlfn.CONCAT(C11:H11)),"",CRC32HASH(_xlfn.CONCAT(C11:H11)))</f>
        <v/>
      </c>
      <c r="B11" s="39" t="str">
        <f>IFERROR(VLOOKUP(J11,Items[],2,FALSE),"")</f>
        <v/>
      </c>
      <c r="C11" s="36" t="str" cm="1">
        <f t="array" ref="C11">W11 &amp; " " &amp; IfEmpty(U11, FilterSpecialCharacters(X11))</f>
        <v xml:space="preserve"> </v>
      </c>
      <c r="D11" s="37" t="str">
        <f t="shared" si="6"/>
        <v xml:space="preserve">  </v>
      </c>
      <c r="E11" s="58" t="str">
        <f t="shared" si="7"/>
        <v/>
      </c>
      <c r="F11" s="42" t="str">
        <f t="shared" si="8"/>
        <v/>
      </c>
      <c r="G11" s="42" t="str">
        <f t="shared" si="9"/>
        <v/>
      </c>
      <c r="H11" s="38" t="str" cm="1">
        <f t="array" ref="H11:J11">IFERROR(CalcUnc(K11,L11,S11,T11,V11,X11,AD11,AE11,N11:R11,Z11,AA11),"")</f>
        <v/>
      </c>
      <c r="I11" s="50" t="str">
        <v/>
      </c>
      <c r="J11" s="89" t="str">
        <v/>
      </c>
      <c r="K11" s="55"/>
      <c r="L11" s="56"/>
      <c r="M11" s="22"/>
      <c r="N11" s="52"/>
      <c r="O11" s="53"/>
      <c r="P11" s="53"/>
      <c r="Q11" s="98"/>
      <c r="R11" s="98"/>
      <c r="S11" s="101"/>
      <c r="T11" s="114"/>
      <c r="U11" s="59"/>
      <c r="V11" s="60"/>
      <c r="W11" s="61"/>
      <c r="X11" s="116"/>
      <c r="Y11" s="132"/>
      <c r="Z11" s="62"/>
      <c r="AA11" s="63"/>
      <c r="AB11" s="73" t="str">
        <f t="shared" si="2"/>
        <v/>
      </c>
      <c r="AC11" s="73" t="str">
        <f t="shared" si="3"/>
        <v/>
      </c>
      <c r="AD11" s="66"/>
      <c r="AE11" s="67"/>
      <c r="AF11" s="21" t="str">
        <f t="shared" si="4"/>
        <v/>
      </c>
      <c r="AG11" s="28" t="str" cm="1">
        <f t="array" ref="AG11">FilterSpecialCharacters(X11)</f>
        <v/>
      </c>
      <c r="AH11" s="74" t="str">
        <f t="shared" si="5"/>
        <v xml:space="preserve"> </v>
      </c>
    </row>
    <row r="12" spans="1:38" x14ac:dyDescent="0.25">
      <c r="A12" s="121" t="str" cm="1">
        <f t="array" ref="A12">IfEmpty(TRIM(_xlfn.CONCAT(C12:H12)),"",CRC32HASH(_xlfn.CONCAT(C12:H12)))</f>
        <v/>
      </c>
      <c r="B12" s="10" t="str">
        <f>IFERROR(VLOOKUP(J12,Items[],2,FALSE),"")</f>
        <v/>
      </c>
      <c r="C12" s="34" t="str" cm="1">
        <f t="array" ref="C12">W12 &amp; " " &amp; IfEmpty(U12, AG12)</f>
        <v xml:space="preserve"> </v>
      </c>
      <c r="D12" s="43" t="str">
        <f t="shared" si="6"/>
        <v xml:space="preserve">  </v>
      </c>
      <c r="E12" s="57" t="str">
        <f t="shared" si="7"/>
        <v/>
      </c>
      <c r="F12" s="41" t="str">
        <f t="shared" si="8"/>
        <v/>
      </c>
      <c r="G12" s="41" t="str">
        <f t="shared" si="9"/>
        <v/>
      </c>
      <c r="H12" s="35" t="str" cm="1">
        <f t="array" ref="H12:J12">IFERROR(CalcUnc(K12,L12,S12,T12,V12,X12,AD12,AE12,N12:R12,Z12,AA12),"")</f>
        <v/>
      </c>
      <c r="I12" s="50" t="str">
        <v/>
      </c>
      <c r="J12" s="89" t="str">
        <v/>
      </c>
      <c r="K12" s="55"/>
      <c r="L12" s="56"/>
      <c r="M12" s="22"/>
      <c r="N12" s="52"/>
      <c r="O12" s="52"/>
      <c r="P12" s="53"/>
      <c r="Q12" s="98"/>
      <c r="R12" s="98"/>
      <c r="S12" s="101"/>
      <c r="T12" s="114"/>
      <c r="U12" s="59"/>
      <c r="V12" s="60"/>
      <c r="W12" s="61"/>
      <c r="X12" s="116"/>
      <c r="Y12" s="132"/>
      <c r="Z12" s="62"/>
      <c r="AA12" s="63"/>
      <c r="AB12" s="73" t="str">
        <f t="shared" si="2"/>
        <v/>
      </c>
      <c r="AC12" s="73" t="str">
        <f t="shared" si="3"/>
        <v/>
      </c>
      <c r="AD12" s="66"/>
      <c r="AE12" s="67"/>
      <c r="AF12" s="21" t="str">
        <f t="shared" si="4"/>
        <v/>
      </c>
      <c r="AG12" s="28" t="str" cm="1">
        <f t="array" ref="AG12">FilterSpecialCharacters(X12)</f>
        <v/>
      </c>
      <c r="AH12" s="74" t="str">
        <f t="shared" si="5"/>
        <v xml:space="preserve"> </v>
      </c>
    </row>
    <row r="13" spans="1:38" x14ac:dyDescent="0.25">
      <c r="A13" s="121" t="str" cm="1">
        <f t="array" ref="A13">IfEmpty(TRIM(_xlfn.CONCAT(C13:H13)),"",CRC32HASH(_xlfn.CONCAT(C13:H13)))</f>
        <v/>
      </c>
      <c r="B13" s="39" t="str">
        <f>IFERROR(VLOOKUP(J13,Items[],2,FALSE),"")</f>
        <v/>
      </c>
      <c r="C13" s="36" t="str" cm="1">
        <f t="array" ref="C13">W13 &amp; " " &amp; IfEmpty(U13, FilterSpecialCharacters(X13))</f>
        <v xml:space="preserve"> </v>
      </c>
      <c r="D13" s="37" t="str">
        <f t="shared" si="6"/>
        <v xml:space="preserve">  </v>
      </c>
      <c r="E13" s="58" t="str">
        <f t="shared" si="7"/>
        <v/>
      </c>
      <c r="F13" s="42" t="str">
        <f t="shared" si="8"/>
        <v/>
      </c>
      <c r="G13" s="42" t="str">
        <f t="shared" si="9"/>
        <v/>
      </c>
      <c r="H13" s="38" t="str" cm="1">
        <f t="array" ref="H13:J13">IFERROR(CalcUnc(K13,L13,S13,T13,V13,X13,AD13,AE13,N13:R13,Z13,AA13),"")</f>
        <v/>
      </c>
      <c r="I13" s="50" t="str">
        <v/>
      </c>
      <c r="J13" s="89" t="str">
        <v/>
      </c>
      <c r="K13" s="55"/>
      <c r="L13" s="56"/>
      <c r="M13" s="22"/>
      <c r="N13" s="52"/>
      <c r="O13" s="53"/>
      <c r="P13" s="53"/>
      <c r="Q13" s="98"/>
      <c r="R13" s="98"/>
      <c r="S13" s="101"/>
      <c r="T13" s="114"/>
      <c r="U13" s="59"/>
      <c r="V13" s="60"/>
      <c r="W13" s="61"/>
      <c r="X13" s="116"/>
      <c r="Y13" s="132"/>
      <c r="Z13" s="62"/>
      <c r="AA13" s="61"/>
      <c r="AB13" s="73" t="str">
        <f t="shared" si="2"/>
        <v/>
      </c>
      <c r="AC13" s="73" t="str">
        <f t="shared" si="3"/>
        <v/>
      </c>
      <c r="AD13" s="62"/>
      <c r="AE13" s="61"/>
      <c r="AF13" s="21" t="str">
        <f t="shared" si="4"/>
        <v/>
      </c>
      <c r="AG13" s="28" t="str" cm="1">
        <f t="array" ref="AG13">FilterSpecialCharacters(X13)</f>
        <v/>
      </c>
      <c r="AH13" s="74" t="str">
        <f t="shared" si="5"/>
        <v xml:space="preserve"> </v>
      </c>
    </row>
    <row r="14" spans="1:38" x14ac:dyDescent="0.25">
      <c r="A14" s="121" t="str" cm="1">
        <f t="array" ref="A14">IfEmpty(TRIM(_xlfn.CONCAT(C14:H14)),"",CRC32HASH(_xlfn.CONCAT(C14:H14)))</f>
        <v/>
      </c>
      <c r="B14" s="10" t="str">
        <f>IFERROR(VLOOKUP(J14,Items[],2,FALSE),"")</f>
        <v/>
      </c>
      <c r="C14" s="34" t="str" cm="1">
        <f t="array" ref="C14">W14 &amp; " " &amp; IfEmpty(U14, AG14)</f>
        <v xml:space="preserve"> </v>
      </c>
      <c r="D14" s="43" t="str">
        <f t="shared" si="6"/>
        <v xml:space="preserve">  </v>
      </c>
      <c r="E14" s="57" t="str">
        <f t="shared" si="7"/>
        <v/>
      </c>
      <c r="F14" s="41" t="str">
        <f t="shared" si="8"/>
        <v/>
      </c>
      <c r="G14" s="41" t="str">
        <f t="shared" si="9"/>
        <v/>
      </c>
      <c r="H14" s="35" t="str" cm="1">
        <f t="array" ref="H14:J14">IFERROR(CalcUnc(K14,L14,S14,T14,V14,X14,AD14,AE14,N14:R14,Z14,AA14),"")</f>
        <v/>
      </c>
      <c r="I14" s="50" t="str">
        <v/>
      </c>
      <c r="J14" s="89" t="str">
        <v/>
      </c>
      <c r="K14" s="55"/>
      <c r="L14" s="56"/>
      <c r="M14" s="22"/>
      <c r="N14" s="52"/>
      <c r="O14" s="53"/>
      <c r="P14" s="53"/>
      <c r="Q14" s="98"/>
      <c r="R14" s="98"/>
      <c r="S14" s="101"/>
      <c r="T14" s="114"/>
      <c r="U14" s="59"/>
      <c r="V14" s="60"/>
      <c r="W14" s="61"/>
      <c r="X14" s="116"/>
      <c r="Y14" s="132"/>
      <c r="Z14" s="62"/>
      <c r="AA14" s="61"/>
      <c r="AB14" s="73" t="str">
        <f t="shared" si="2"/>
        <v/>
      </c>
      <c r="AC14" s="73" t="str">
        <f t="shared" si="3"/>
        <v/>
      </c>
      <c r="AD14" s="62"/>
      <c r="AE14" s="61"/>
      <c r="AF14" s="21" t="str">
        <f t="shared" si="4"/>
        <v/>
      </c>
      <c r="AG14" s="28" t="str" cm="1">
        <f t="array" ref="AG14">FilterSpecialCharacters(X14)</f>
        <v/>
      </c>
      <c r="AH14" s="74" t="str">
        <f t="shared" si="5"/>
        <v xml:space="preserve"> </v>
      </c>
    </row>
    <row r="15" spans="1:38" x14ac:dyDescent="0.25">
      <c r="A15" s="121" t="str" cm="1">
        <f t="array" ref="A15">IfEmpty(TRIM(_xlfn.CONCAT(C15:H15)),"",CRC32HASH(_xlfn.CONCAT(C15:H15)))</f>
        <v/>
      </c>
      <c r="B15" s="39" t="str">
        <f>IFERROR(VLOOKUP(J15,Items[],2,FALSE),"")</f>
        <v/>
      </c>
      <c r="C15" s="36" t="str" cm="1">
        <f t="array" ref="C15">W15 &amp; " " &amp; IfEmpty(U15, FilterSpecialCharacters(X15))</f>
        <v xml:space="preserve"> </v>
      </c>
      <c r="D15" s="37" t="str">
        <f t="shared" si="6"/>
        <v xml:space="preserve">  </v>
      </c>
      <c r="E15" s="58" t="str">
        <f t="shared" si="7"/>
        <v/>
      </c>
      <c r="F15" s="42" t="str">
        <f t="shared" si="8"/>
        <v/>
      </c>
      <c r="G15" s="42" t="str">
        <f t="shared" si="9"/>
        <v/>
      </c>
      <c r="H15" s="38" t="str" cm="1">
        <f t="array" ref="H15:J15">IFERROR(CalcUnc(K15,L15,S15,T15,V15,X15,AD15,AE15,N15:R15,Z15,AA15),"")</f>
        <v/>
      </c>
      <c r="I15" s="50" t="str">
        <v/>
      </c>
      <c r="J15" s="89" t="str">
        <v/>
      </c>
      <c r="K15" s="55"/>
      <c r="L15" s="56"/>
      <c r="M15" s="22"/>
      <c r="N15" s="52"/>
      <c r="O15" s="53"/>
      <c r="P15" s="53"/>
      <c r="Q15" s="98"/>
      <c r="R15" s="98"/>
      <c r="S15" s="101"/>
      <c r="T15" s="114"/>
      <c r="U15" s="59"/>
      <c r="V15" s="60"/>
      <c r="W15" s="61"/>
      <c r="X15" s="116"/>
      <c r="Y15" s="132"/>
      <c r="Z15" s="62"/>
      <c r="AA15" s="61"/>
      <c r="AB15" s="73" t="str">
        <f t="shared" si="2"/>
        <v/>
      </c>
      <c r="AC15" s="73" t="str">
        <f t="shared" si="3"/>
        <v/>
      </c>
      <c r="AD15" s="62"/>
      <c r="AE15" s="61"/>
      <c r="AF15" s="21" t="str">
        <f t="shared" si="4"/>
        <v/>
      </c>
      <c r="AG15" s="28" t="str" cm="1">
        <f t="array" ref="AG15">FilterSpecialCharacters(X15)</f>
        <v/>
      </c>
      <c r="AH15" s="74" t="str">
        <f t="shared" si="5"/>
        <v xml:space="preserve"> </v>
      </c>
      <c r="AI15" s="40"/>
    </row>
    <row r="16" spans="1:38" x14ac:dyDescent="0.25">
      <c r="A16" s="121" t="str" cm="1">
        <f t="array" ref="A16">IfEmpty(TRIM(_xlfn.CONCAT(C16:H16)),"",CRC32HASH(_xlfn.CONCAT(C16:H16)))</f>
        <v/>
      </c>
      <c r="B16" s="10" t="str">
        <f>IFERROR(VLOOKUP(J16,Items[],2,FALSE),"")</f>
        <v/>
      </c>
      <c r="C16" s="34" t="str" cm="1">
        <f t="array" ref="C16">W16 &amp; " " &amp; IfEmpty(U16, AG16)</f>
        <v xml:space="preserve"> </v>
      </c>
      <c r="D16" s="43" t="str">
        <f t="shared" si="6"/>
        <v xml:space="preserve">  </v>
      </c>
      <c r="E16" s="57" t="str">
        <f t="shared" si="7"/>
        <v/>
      </c>
      <c r="F16" s="41" t="str">
        <f t="shared" si="8"/>
        <v/>
      </c>
      <c r="G16" s="41" t="str">
        <f t="shared" si="9"/>
        <v/>
      </c>
      <c r="H16" s="35" t="str" cm="1">
        <f t="array" ref="H16:J16">IFERROR(CalcUnc(K16,L16,S16,T16,V16,X16,AD16,AE16,N16:R16,Z16,AA16),"")</f>
        <v/>
      </c>
      <c r="I16" s="50" t="str">
        <v/>
      </c>
      <c r="J16" s="89" t="str">
        <v/>
      </c>
      <c r="K16" s="55"/>
      <c r="L16" s="56"/>
      <c r="M16" s="22"/>
      <c r="N16" s="52"/>
      <c r="O16" s="53"/>
      <c r="P16" s="53"/>
      <c r="Q16" s="98"/>
      <c r="R16" s="98"/>
      <c r="S16" s="101"/>
      <c r="T16" s="114"/>
      <c r="U16" s="59"/>
      <c r="V16" s="60"/>
      <c r="W16" s="61"/>
      <c r="X16" s="116"/>
      <c r="Y16" s="132"/>
      <c r="Z16" s="62"/>
      <c r="AA16" s="61"/>
      <c r="AB16" s="73" t="str">
        <f t="shared" si="2"/>
        <v/>
      </c>
      <c r="AC16" s="73" t="str">
        <f t="shared" si="3"/>
        <v/>
      </c>
      <c r="AD16" s="62"/>
      <c r="AE16" s="61"/>
      <c r="AF16" s="21" t="str">
        <f t="shared" si="4"/>
        <v/>
      </c>
      <c r="AG16" s="28" t="str" cm="1">
        <f t="array" ref="AG16">FilterSpecialCharacters(X16)</f>
        <v/>
      </c>
      <c r="AH16" s="74" t="str">
        <f t="shared" si="5"/>
        <v xml:space="preserve"> </v>
      </c>
      <c r="AI16" s="40"/>
    </row>
    <row r="17" spans="1:35" x14ac:dyDescent="0.25">
      <c r="A17" s="121" t="str" cm="1">
        <f t="array" ref="A17">IfEmpty(TRIM(_xlfn.CONCAT(C17:H17)),"",CRC32HASH(_xlfn.CONCAT(C17:H17)))</f>
        <v/>
      </c>
      <c r="B17" s="39" t="str">
        <f>IFERROR(VLOOKUP(J17,Items[],2,FALSE),"")</f>
        <v/>
      </c>
      <c r="C17" s="36" t="str" cm="1">
        <f t="array" ref="C17">W17 &amp; " " &amp; IfEmpty(U17, FilterSpecialCharacters(X17))</f>
        <v xml:space="preserve"> </v>
      </c>
      <c r="D17" s="37" t="str">
        <f t="shared" si="6"/>
        <v xml:space="preserve">  </v>
      </c>
      <c r="E17" s="58" t="str">
        <f t="shared" si="7"/>
        <v/>
      </c>
      <c r="F17" s="42" t="str">
        <f t="shared" si="8"/>
        <v/>
      </c>
      <c r="G17" s="42" t="str">
        <f t="shared" si="9"/>
        <v/>
      </c>
      <c r="H17" s="38" t="str" cm="1">
        <f t="array" ref="H17:J17">IFERROR(CalcUnc(K17,L17,S17,T17,V17,X17,AD17,AE17,N17:R17,Z17,AA17),"")</f>
        <v/>
      </c>
      <c r="I17" s="50" t="str">
        <v/>
      </c>
      <c r="J17" s="89" t="str">
        <v/>
      </c>
      <c r="K17" s="55"/>
      <c r="L17" s="56"/>
      <c r="M17" s="22"/>
      <c r="N17" s="52"/>
      <c r="O17" s="53"/>
      <c r="P17" s="53"/>
      <c r="Q17" s="98"/>
      <c r="R17" s="98"/>
      <c r="S17" s="101"/>
      <c r="T17" s="114"/>
      <c r="U17" s="59"/>
      <c r="V17" s="59"/>
      <c r="W17" s="61"/>
      <c r="X17" s="116"/>
      <c r="Y17" s="132"/>
      <c r="Z17" s="62"/>
      <c r="AA17" s="61"/>
      <c r="AB17" s="73" t="str">
        <f t="shared" si="2"/>
        <v/>
      </c>
      <c r="AC17" s="73" t="str">
        <f t="shared" si="3"/>
        <v/>
      </c>
      <c r="AD17" s="62"/>
      <c r="AE17" s="61"/>
      <c r="AF17" s="21" t="str">
        <f t="shared" si="4"/>
        <v/>
      </c>
      <c r="AG17" s="28" t="str" cm="1">
        <f t="array" ref="AG17">FilterSpecialCharacters(X17)</f>
        <v/>
      </c>
      <c r="AH17" s="74" t="str">
        <f t="shared" si="5"/>
        <v xml:space="preserve"> </v>
      </c>
    </row>
    <row r="18" spans="1:35" x14ac:dyDescent="0.25">
      <c r="A18" s="121" t="str" cm="1">
        <f t="array" ref="A18">IfEmpty(TRIM(_xlfn.CONCAT(C18:H18)),"",CRC32HASH(_xlfn.CONCAT(C18:H18)))</f>
        <v/>
      </c>
      <c r="B18" s="10" t="str">
        <f>IFERROR(VLOOKUP(J18,Items[],2,FALSE),"")</f>
        <v/>
      </c>
      <c r="C18" s="34" t="str" cm="1">
        <f t="array" ref="C18">W18 &amp; " " &amp; IfEmpty(U18, AG18)</f>
        <v xml:space="preserve"> </v>
      </c>
      <c r="D18" s="43" t="str">
        <f t="shared" si="6"/>
        <v xml:space="preserve">  </v>
      </c>
      <c r="E18" s="57" t="str">
        <f t="shared" si="7"/>
        <v/>
      </c>
      <c r="F18" s="41" t="str">
        <f t="shared" si="8"/>
        <v/>
      </c>
      <c r="G18" s="41" t="str">
        <f t="shared" si="9"/>
        <v/>
      </c>
      <c r="H18" s="35" t="str" cm="1">
        <f t="array" ref="H18:J18">IFERROR(CalcUnc(K18,L18,S18,T18,V18,X18,AD18,AE18,N18:R18,Z18,AA18),"")</f>
        <v/>
      </c>
      <c r="I18" s="50" t="str">
        <v/>
      </c>
      <c r="J18" s="89" t="str">
        <v/>
      </c>
      <c r="K18" s="55"/>
      <c r="L18" s="56"/>
      <c r="M18" s="22"/>
      <c r="N18" s="52"/>
      <c r="O18" s="53"/>
      <c r="P18" s="53"/>
      <c r="Q18" s="98"/>
      <c r="R18" s="98"/>
      <c r="S18" s="101"/>
      <c r="T18" s="114"/>
      <c r="U18" s="59"/>
      <c r="V18" s="60"/>
      <c r="W18" s="61"/>
      <c r="X18" s="116"/>
      <c r="Y18" s="132"/>
      <c r="Z18" s="62"/>
      <c r="AA18" s="61"/>
      <c r="AB18" s="73" t="str">
        <f t="shared" si="2"/>
        <v/>
      </c>
      <c r="AC18" s="73" t="str">
        <f t="shared" si="3"/>
        <v/>
      </c>
      <c r="AD18" s="62"/>
      <c r="AE18" s="61"/>
      <c r="AF18" s="21" t="str">
        <f t="shared" si="4"/>
        <v/>
      </c>
      <c r="AG18" s="28" t="str" cm="1">
        <f t="array" ref="AG18">FilterSpecialCharacters(X18)</f>
        <v/>
      </c>
      <c r="AH18" s="74" t="str">
        <f t="shared" si="5"/>
        <v xml:space="preserve"> </v>
      </c>
    </row>
    <row r="19" spans="1:35" x14ac:dyDescent="0.25">
      <c r="A19" s="121" t="str" cm="1">
        <f t="array" ref="A19">IfEmpty(TRIM(_xlfn.CONCAT(C19:H19)),"",CRC32HASH(_xlfn.CONCAT(C19:H19)))</f>
        <v/>
      </c>
      <c r="B19" s="39" t="str">
        <f>IFERROR(VLOOKUP(J19,Items[],2,FALSE),"")</f>
        <v/>
      </c>
      <c r="C19" s="36" t="str" cm="1">
        <f t="array" ref="C19">W19 &amp; " " &amp; IfEmpty(U19, FilterSpecialCharacters(X19))</f>
        <v xml:space="preserve"> </v>
      </c>
      <c r="D19" s="37" t="str">
        <f t="shared" si="6"/>
        <v xml:space="preserve">  </v>
      </c>
      <c r="E19" s="58" t="str">
        <f t="shared" si="7"/>
        <v/>
      </c>
      <c r="F19" s="42" t="str">
        <f t="shared" si="8"/>
        <v/>
      </c>
      <c r="G19" s="42" t="str">
        <f t="shared" si="9"/>
        <v/>
      </c>
      <c r="H19" s="38" t="str" cm="1">
        <f t="array" ref="H19:J19">IFERROR(CalcUnc(K19,L19,S19,T19,V19,X19,AD19,AE19,N19:R19,Z19,AA19),"")</f>
        <v/>
      </c>
      <c r="I19" s="50" t="str">
        <v/>
      </c>
      <c r="J19" s="89" t="str">
        <v/>
      </c>
      <c r="K19" s="55"/>
      <c r="L19" s="56"/>
      <c r="M19" s="22"/>
      <c r="N19" s="52"/>
      <c r="O19" s="53"/>
      <c r="P19" s="53"/>
      <c r="Q19" s="98"/>
      <c r="R19" s="98"/>
      <c r="S19" s="101"/>
      <c r="T19" s="114"/>
      <c r="U19" s="59"/>
      <c r="V19" s="60"/>
      <c r="W19" s="61"/>
      <c r="X19" s="116"/>
      <c r="Y19" s="132"/>
      <c r="Z19" s="62"/>
      <c r="AA19" s="61"/>
      <c r="AB19" s="73" t="str">
        <f t="shared" si="2"/>
        <v/>
      </c>
      <c r="AC19" s="73" t="str">
        <f t="shared" si="3"/>
        <v/>
      </c>
      <c r="AD19" s="62"/>
      <c r="AE19" s="61"/>
      <c r="AF19" s="21" t="str">
        <f t="shared" si="4"/>
        <v/>
      </c>
      <c r="AG19" s="28" t="str" cm="1">
        <f t="array" ref="AG19">FilterSpecialCharacters(X19)</f>
        <v/>
      </c>
      <c r="AH19" s="74" t="str">
        <f t="shared" si="5"/>
        <v xml:space="preserve"> </v>
      </c>
    </row>
    <row r="20" spans="1:35" x14ac:dyDescent="0.25">
      <c r="A20" s="121" t="str" cm="1">
        <f t="array" ref="A20">IfEmpty(TRIM(_xlfn.CONCAT(C20:H20)),"",CRC32HASH(_xlfn.CONCAT(C20:H20)))</f>
        <v/>
      </c>
      <c r="B20" s="10" t="str">
        <f>IFERROR(VLOOKUP(J20,Items[],2,FALSE),"")</f>
        <v/>
      </c>
      <c r="C20" s="34" t="str" cm="1">
        <f t="array" ref="C20">W20 &amp; " " &amp; IfEmpty(U20, AG20)</f>
        <v xml:space="preserve"> </v>
      </c>
      <c r="D20" s="43" t="str">
        <f t="shared" si="6"/>
        <v xml:space="preserve">  </v>
      </c>
      <c r="E20" s="57" t="str">
        <f t="shared" si="7"/>
        <v/>
      </c>
      <c r="F20" s="41" t="str">
        <f t="shared" si="8"/>
        <v/>
      </c>
      <c r="G20" s="41" t="str">
        <f t="shared" si="9"/>
        <v/>
      </c>
      <c r="H20" s="35" t="str" cm="1">
        <f t="array" ref="H20:J20">IFERROR(CalcUnc(K20,L20,S20,T20,V20,X20,AD20,AE20,N20:R20,Z20,AA20),"")</f>
        <v/>
      </c>
      <c r="I20" s="50" t="str">
        <v/>
      </c>
      <c r="J20" s="89" t="str">
        <v/>
      </c>
      <c r="K20" s="55"/>
      <c r="L20" s="56"/>
      <c r="M20" s="22"/>
      <c r="N20" s="52"/>
      <c r="O20" s="53"/>
      <c r="P20" s="53"/>
      <c r="Q20" s="98"/>
      <c r="R20" s="98"/>
      <c r="S20" s="101"/>
      <c r="T20" s="114"/>
      <c r="U20" s="59"/>
      <c r="V20" s="60"/>
      <c r="W20" s="61"/>
      <c r="X20" s="116"/>
      <c r="Y20" s="132"/>
      <c r="Z20" s="62"/>
      <c r="AA20" s="61"/>
      <c r="AB20" s="73" t="str">
        <f t="shared" si="2"/>
        <v/>
      </c>
      <c r="AC20" s="73" t="str">
        <f t="shared" si="3"/>
        <v/>
      </c>
      <c r="AD20" s="62"/>
      <c r="AE20" s="61"/>
      <c r="AF20" s="21" t="str">
        <f t="shared" si="4"/>
        <v/>
      </c>
      <c r="AG20" s="28" t="str" cm="1">
        <f t="array" ref="AG20">FilterSpecialCharacters(X20)</f>
        <v/>
      </c>
      <c r="AH20" s="74" t="str">
        <f t="shared" si="5"/>
        <v xml:space="preserve"> </v>
      </c>
    </row>
    <row r="21" spans="1:35" x14ac:dyDescent="0.25">
      <c r="A21" s="121" t="str" cm="1">
        <f t="array" ref="A21">IfEmpty(TRIM(_xlfn.CONCAT(C21:H21)),"",CRC32HASH(_xlfn.CONCAT(C21:H21)))</f>
        <v/>
      </c>
      <c r="B21" s="39" t="str">
        <f>IFERROR(VLOOKUP(J21,Items[],2,FALSE),"")</f>
        <v/>
      </c>
      <c r="C21" s="36" t="str" cm="1">
        <f t="array" ref="C21">W21 &amp; " " &amp; IfEmpty(U21, FilterSpecialCharacters(X21))</f>
        <v xml:space="preserve"> </v>
      </c>
      <c r="D21" s="37" t="str">
        <f t="shared" si="6"/>
        <v xml:space="preserve">  </v>
      </c>
      <c r="E21" s="58" t="str">
        <f t="shared" si="7"/>
        <v/>
      </c>
      <c r="F21" s="42" t="str">
        <f t="shared" si="8"/>
        <v/>
      </c>
      <c r="G21" s="42" t="str">
        <f t="shared" si="9"/>
        <v/>
      </c>
      <c r="H21" s="38" t="str" cm="1">
        <f t="array" ref="H21:J21">IFERROR(CalcUnc(K21,L21,S21,T21,V21,X21,AD21,AE21,N21:R21,Z21,AA21),"")</f>
        <v/>
      </c>
      <c r="I21" s="50" t="str">
        <v/>
      </c>
      <c r="J21" s="89" t="str">
        <v/>
      </c>
      <c r="K21" s="55"/>
      <c r="L21" s="56"/>
      <c r="M21" s="22"/>
      <c r="N21" s="52"/>
      <c r="O21" s="53"/>
      <c r="P21" s="53"/>
      <c r="Q21" s="98"/>
      <c r="R21" s="98"/>
      <c r="S21" s="101"/>
      <c r="T21" s="114"/>
      <c r="U21" s="59"/>
      <c r="V21" s="60"/>
      <c r="W21" s="61"/>
      <c r="X21" s="116"/>
      <c r="Y21" s="132"/>
      <c r="Z21" s="62"/>
      <c r="AA21" s="61"/>
      <c r="AB21" s="73" t="str">
        <f t="shared" si="2"/>
        <v/>
      </c>
      <c r="AC21" s="73" t="str">
        <f t="shared" si="3"/>
        <v/>
      </c>
      <c r="AD21" s="62"/>
      <c r="AE21" s="61"/>
      <c r="AF21" s="21" t="str">
        <f t="shared" si="4"/>
        <v/>
      </c>
      <c r="AG21" s="28" t="str" cm="1">
        <f t="array" ref="AG21">FilterSpecialCharacters(X21)</f>
        <v/>
      </c>
      <c r="AH21" s="74" t="str">
        <f t="shared" si="5"/>
        <v xml:space="preserve"> </v>
      </c>
      <c r="AI21" s="40"/>
    </row>
    <row r="22" spans="1:35" x14ac:dyDescent="0.25">
      <c r="A22" s="121" t="str" cm="1">
        <f t="array" ref="A22">IfEmpty(TRIM(_xlfn.CONCAT(C22:H22)),"",CRC32HASH(_xlfn.CONCAT(C22:H22)))</f>
        <v/>
      </c>
      <c r="B22" s="10" t="str">
        <f>IFERROR(VLOOKUP(J22,Items[],2,FALSE),"")</f>
        <v/>
      </c>
      <c r="C22" s="34" t="str" cm="1">
        <f t="array" ref="C22">W22 &amp; " " &amp; IfEmpty(U22, AG22)</f>
        <v xml:space="preserve"> </v>
      </c>
      <c r="D22" s="43" t="str">
        <f t="shared" si="6"/>
        <v xml:space="preserve">  </v>
      </c>
      <c r="E22" s="57" t="str">
        <f t="shared" si="7"/>
        <v/>
      </c>
      <c r="F22" s="41" t="str">
        <f t="shared" si="8"/>
        <v/>
      </c>
      <c r="G22" s="41" t="str">
        <f t="shared" si="9"/>
        <v/>
      </c>
      <c r="H22" s="35" t="str" cm="1">
        <f t="array" ref="H22:J22">IFERROR(CalcUnc(K22,L22,S22,T22,V22,X22,AD22,AE22,N22:R22,Z22,AA22),"")</f>
        <v/>
      </c>
      <c r="I22" s="50" t="str">
        <v/>
      </c>
      <c r="J22" s="89" t="str">
        <v/>
      </c>
      <c r="K22" s="55"/>
      <c r="L22" s="56"/>
      <c r="M22" s="22"/>
      <c r="N22" s="52"/>
      <c r="O22" s="53"/>
      <c r="P22" s="53"/>
      <c r="Q22" s="98"/>
      <c r="R22" s="98"/>
      <c r="S22" s="101"/>
      <c r="T22" s="114"/>
      <c r="U22" s="59"/>
      <c r="V22" s="60"/>
      <c r="W22" s="61"/>
      <c r="X22" s="116"/>
      <c r="Y22" s="132"/>
      <c r="Z22" s="62"/>
      <c r="AA22" s="61"/>
      <c r="AB22" s="73" t="str">
        <f t="shared" si="2"/>
        <v/>
      </c>
      <c r="AC22" s="73" t="str">
        <f t="shared" si="3"/>
        <v/>
      </c>
      <c r="AD22" s="62"/>
      <c r="AE22" s="61"/>
      <c r="AF22" s="21" t="str">
        <f t="shared" si="4"/>
        <v/>
      </c>
      <c r="AG22" s="28" t="str" cm="1">
        <f t="array" ref="AG22">FilterSpecialCharacters(X22)</f>
        <v/>
      </c>
      <c r="AH22" s="74" t="str">
        <f t="shared" si="5"/>
        <v xml:space="preserve"> </v>
      </c>
      <c r="AI22" s="40"/>
    </row>
    <row r="23" spans="1:35" x14ac:dyDescent="0.25">
      <c r="A23" s="121" t="str" cm="1">
        <f t="array" ref="A23">IfEmpty(TRIM(_xlfn.CONCAT(C23:H23)),"",CRC32HASH(_xlfn.CONCAT(C23:H23)))</f>
        <v/>
      </c>
      <c r="B23" s="39" t="str">
        <f>IFERROR(VLOOKUP(J23,Items[],2,FALSE),"")</f>
        <v/>
      </c>
      <c r="C23" s="36" t="str" cm="1">
        <f t="array" ref="C23">W23 &amp; " " &amp; IfEmpty(U23, FilterSpecialCharacters(X23))</f>
        <v xml:space="preserve"> </v>
      </c>
      <c r="D23" s="37" t="str">
        <f t="shared" si="6"/>
        <v xml:space="preserve">  </v>
      </c>
      <c r="E23" s="58" t="str">
        <f t="shared" si="7"/>
        <v/>
      </c>
      <c r="F23" s="42" t="str">
        <f t="shared" si="8"/>
        <v/>
      </c>
      <c r="G23" s="42" t="str">
        <f t="shared" si="9"/>
        <v/>
      </c>
      <c r="H23" s="38" t="str" cm="1">
        <f t="array" ref="H23:J23">IFERROR(CalcUnc(K23,L23,S23,T23,V23,X23,AD23,AE23,N23:R23,Z23,AA23),"")</f>
        <v/>
      </c>
      <c r="I23" s="50" t="str">
        <v/>
      </c>
      <c r="J23" s="89" t="str">
        <v/>
      </c>
      <c r="K23" s="55"/>
      <c r="L23" s="56"/>
      <c r="M23" s="22"/>
      <c r="N23" s="52"/>
      <c r="O23" s="53"/>
      <c r="P23" s="53"/>
      <c r="Q23" s="98"/>
      <c r="R23" s="98"/>
      <c r="S23" s="101"/>
      <c r="T23" s="114"/>
      <c r="U23" s="59"/>
      <c r="V23" s="60"/>
      <c r="W23" s="61"/>
      <c r="X23" s="116"/>
      <c r="Y23" s="132"/>
      <c r="Z23" s="62"/>
      <c r="AA23" s="61"/>
      <c r="AB23" s="73" t="str">
        <f t="shared" si="2"/>
        <v/>
      </c>
      <c r="AC23" s="73" t="str">
        <f t="shared" si="3"/>
        <v/>
      </c>
      <c r="AD23" s="62"/>
      <c r="AE23" s="61"/>
      <c r="AF23" s="21" t="str">
        <f t="shared" si="4"/>
        <v/>
      </c>
      <c r="AG23" s="28" t="str" cm="1">
        <f t="array" ref="AG23">FilterSpecialCharacters(X23)</f>
        <v/>
      </c>
      <c r="AH23" s="74" t="str">
        <f t="shared" si="5"/>
        <v xml:space="preserve"> </v>
      </c>
    </row>
    <row r="24" spans="1:35" x14ac:dyDescent="0.25">
      <c r="A24" s="121" t="str" cm="1">
        <f t="array" ref="A24">IfEmpty(TRIM(_xlfn.CONCAT(C24:H24)),"",CRC32HASH(_xlfn.CONCAT(C24:H24)))</f>
        <v/>
      </c>
      <c r="B24" s="10" t="str">
        <f>IFERROR(VLOOKUP(J24,Items[],2,FALSE),"")</f>
        <v/>
      </c>
      <c r="C24" s="34" t="str" cm="1">
        <f t="array" ref="C24">W24 &amp; " " &amp; IfEmpty(U24, AG24)</f>
        <v xml:space="preserve"> </v>
      </c>
      <c r="D24" s="43" t="str">
        <f t="shared" si="6"/>
        <v xml:space="preserve">  </v>
      </c>
      <c r="E24" s="57" t="str">
        <f t="shared" si="7"/>
        <v/>
      </c>
      <c r="F24" s="41" t="str">
        <f t="shared" si="8"/>
        <v/>
      </c>
      <c r="G24" s="41" t="str">
        <f t="shared" si="9"/>
        <v/>
      </c>
      <c r="H24" s="35" t="str" cm="1">
        <f t="array" ref="H24:J24">IFERROR(CalcUnc(K24,L24,S24,T24,V24,X24,AD24,AE24,N24:R24,Z24,AA24),"")</f>
        <v/>
      </c>
      <c r="I24" s="50" t="str">
        <v/>
      </c>
      <c r="J24" s="89" t="str">
        <v/>
      </c>
      <c r="K24" s="55"/>
      <c r="L24" s="56"/>
      <c r="M24" s="22"/>
      <c r="N24" s="52"/>
      <c r="O24" s="53"/>
      <c r="P24" s="53"/>
      <c r="Q24" s="98"/>
      <c r="R24" s="98"/>
      <c r="S24" s="101"/>
      <c r="T24" s="114"/>
      <c r="U24" s="59"/>
      <c r="V24" s="60"/>
      <c r="W24" s="61"/>
      <c r="X24" s="116"/>
      <c r="Y24" s="132"/>
      <c r="Z24" s="62"/>
      <c r="AA24" s="61"/>
      <c r="AB24" s="73" t="str">
        <f t="shared" si="2"/>
        <v/>
      </c>
      <c r="AC24" s="73" t="str">
        <f t="shared" si="3"/>
        <v/>
      </c>
      <c r="AD24" s="62"/>
      <c r="AE24" s="61"/>
      <c r="AF24" s="21" t="str">
        <f t="shared" si="4"/>
        <v/>
      </c>
      <c r="AG24" s="28" t="str" cm="1">
        <f t="array" ref="AG24">FilterSpecialCharacters(X24)</f>
        <v/>
      </c>
      <c r="AH24" s="74" t="str">
        <f t="shared" si="5"/>
        <v xml:space="preserve"> </v>
      </c>
    </row>
    <row r="25" spans="1:35" x14ac:dyDescent="0.25">
      <c r="A25" s="121" t="str" cm="1">
        <f t="array" ref="A25">IfEmpty(TRIM(_xlfn.CONCAT(C25:H25)),"",CRC32HASH(_xlfn.CONCAT(C25:H25)))</f>
        <v/>
      </c>
      <c r="B25" s="39" t="str">
        <f>IFERROR(VLOOKUP(J25,Items[],2,FALSE),"")</f>
        <v/>
      </c>
      <c r="C25" s="36" t="str" cm="1">
        <f t="array" ref="C25">W25 &amp; " " &amp; IfEmpty(U25, FilterSpecialCharacters(X25))</f>
        <v xml:space="preserve"> </v>
      </c>
      <c r="D25" s="37" t="str">
        <f t="shared" si="6"/>
        <v xml:space="preserve">  </v>
      </c>
      <c r="E25" s="58" t="str">
        <f t="shared" si="7"/>
        <v/>
      </c>
      <c r="F25" s="42" t="str">
        <f t="shared" si="8"/>
        <v/>
      </c>
      <c r="G25" s="42" t="str">
        <f t="shared" si="9"/>
        <v/>
      </c>
      <c r="H25" s="38" t="str" cm="1">
        <f t="array" ref="H25:J25">IFERROR(CalcUnc(K25,L25,S25,T25,V25,X25,AD25,AE25,N25:R25,Z25,AA25),"")</f>
        <v/>
      </c>
      <c r="I25" s="50" t="str">
        <v/>
      </c>
      <c r="J25" s="89" t="str">
        <v/>
      </c>
      <c r="K25" s="55"/>
      <c r="L25" s="56"/>
      <c r="M25" s="22"/>
      <c r="N25" s="52"/>
      <c r="O25" s="53"/>
      <c r="P25" s="53"/>
      <c r="Q25" s="98"/>
      <c r="R25" s="98"/>
      <c r="S25" s="101"/>
      <c r="T25" s="114"/>
      <c r="U25" s="59"/>
      <c r="V25" s="64"/>
      <c r="W25" s="61"/>
      <c r="X25" s="115"/>
      <c r="Y25" s="132"/>
      <c r="Z25" s="62"/>
      <c r="AA25" s="61"/>
      <c r="AB25" s="73" t="str">
        <f t="shared" si="2"/>
        <v/>
      </c>
      <c r="AC25" s="73" t="str">
        <f t="shared" si="3"/>
        <v/>
      </c>
      <c r="AD25" s="62"/>
      <c r="AE25" s="61"/>
      <c r="AF25" s="21" t="str">
        <f t="shared" si="4"/>
        <v/>
      </c>
      <c r="AG25" s="28" t="str" cm="1">
        <f t="array" ref="AG25">FilterSpecialCharacters(X25)</f>
        <v/>
      </c>
      <c r="AH25" s="74" t="str">
        <f t="shared" si="5"/>
        <v xml:space="preserve"> </v>
      </c>
    </row>
    <row r="26" spans="1:35" x14ac:dyDescent="0.25">
      <c r="A26" s="121" t="str" cm="1">
        <f t="array" ref="A26">IfEmpty(TRIM(_xlfn.CONCAT(C26:H26)),"",CRC32HASH(_xlfn.CONCAT(C26:H26)))</f>
        <v/>
      </c>
      <c r="B26" s="10" t="str">
        <f>IFERROR(VLOOKUP(J26,Items[],2,FALSE),"")</f>
        <v/>
      </c>
      <c r="C26" s="34" t="str" cm="1">
        <f t="array" ref="C26">W26 &amp; " " &amp; IfEmpty(U26, AG26)</f>
        <v xml:space="preserve"> </v>
      </c>
      <c r="D26" s="43" t="str">
        <f t="shared" si="6"/>
        <v xml:space="preserve">  </v>
      </c>
      <c r="E26" s="57" t="str">
        <f t="shared" si="7"/>
        <v/>
      </c>
      <c r="F26" s="41" t="str">
        <f t="shared" si="8"/>
        <v/>
      </c>
      <c r="G26" s="41" t="str">
        <f t="shared" si="9"/>
        <v/>
      </c>
      <c r="H26" s="35" t="str" cm="1">
        <f t="array" ref="H26:J26">IFERROR(CalcUnc(K26,L26,S26,T26,V26,X26,AD26,AE26,N26:R26,Z26,AA26),"")</f>
        <v/>
      </c>
      <c r="I26" s="50" t="str">
        <v/>
      </c>
      <c r="J26" s="89" t="str">
        <v/>
      </c>
      <c r="K26" s="55"/>
      <c r="L26" s="56"/>
      <c r="M26" s="22"/>
      <c r="N26" s="52"/>
      <c r="O26" s="53"/>
      <c r="P26" s="53"/>
      <c r="Q26" s="98"/>
      <c r="R26" s="98"/>
      <c r="S26" s="101"/>
      <c r="T26" s="114"/>
      <c r="U26" s="59"/>
      <c r="V26" s="64"/>
      <c r="W26" s="61"/>
      <c r="X26" s="115"/>
      <c r="Y26" s="132"/>
      <c r="Z26" s="62"/>
      <c r="AA26" s="61"/>
      <c r="AB26" s="73" t="str">
        <f t="shared" si="2"/>
        <v/>
      </c>
      <c r="AC26" s="73" t="str">
        <f t="shared" si="3"/>
        <v/>
      </c>
      <c r="AD26" s="62"/>
      <c r="AE26" s="61"/>
      <c r="AF26" s="21" t="str">
        <f t="shared" si="4"/>
        <v/>
      </c>
      <c r="AG26" s="28" t="str" cm="1">
        <f t="array" ref="AG26">FilterSpecialCharacters(X26)</f>
        <v/>
      </c>
      <c r="AH26" s="74" t="str">
        <f t="shared" si="5"/>
        <v xml:space="preserve"> </v>
      </c>
    </row>
    <row r="27" spans="1:35" x14ac:dyDescent="0.25">
      <c r="A27" s="121" t="str" cm="1">
        <f t="array" ref="A27">IfEmpty(TRIM(_xlfn.CONCAT(C27:H27)),"",CRC32HASH(_xlfn.CONCAT(C27:H27)))</f>
        <v/>
      </c>
      <c r="B27" s="39" t="str">
        <f>IFERROR(VLOOKUP(J27,Items[],2,FALSE),"")</f>
        <v/>
      </c>
      <c r="C27" s="36" t="str" cm="1">
        <f t="array" ref="C27">W27 &amp; " " &amp; IfEmpty(U27, FilterSpecialCharacters(X27))</f>
        <v xml:space="preserve"> </v>
      </c>
      <c r="D27" s="37" t="str">
        <f t="shared" si="6"/>
        <v xml:space="preserve">  </v>
      </c>
      <c r="E27" s="58" t="str">
        <f t="shared" si="7"/>
        <v/>
      </c>
      <c r="F27" s="42" t="str">
        <f t="shared" si="8"/>
        <v/>
      </c>
      <c r="G27" s="42" t="str">
        <f t="shared" si="9"/>
        <v/>
      </c>
      <c r="H27" s="38" t="str" cm="1">
        <f t="array" ref="H27:J27">IFERROR(CalcUnc(K27,L27,S27,T27,V27,X27,AD27,AE27,N27:R27,Z27,AA27),"")</f>
        <v/>
      </c>
      <c r="I27" s="50" t="str">
        <v/>
      </c>
      <c r="J27" s="89" t="str">
        <v/>
      </c>
      <c r="K27" s="55"/>
      <c r="L27" s="56"/>
      <c r="M27" s="22"/>
      <c r="N27" s="52"/>
      <c r="O27" s="53"/>
      <c r="P27" s="53"/>
      <c r="Q27" s="98"/>
      <c r="R27" s="98"/>
      <c r="S27" s="101"/>
      <c r="T27" s="114"/>
      <c r="U27" s="59"/>
      <c r="V27" s="64"/>
      <c r="W27" s="61"/>
      <c r="X27" s="115"/>
      <c r="Y27" s="132"/>
      <c r="Z27" s="62"/>
      <c r="AA27" s="61"/>
      <c r="AB27" s="73" t="str">
        <f t="shared" si="2"/>
        <v/>
      </c>
      <c r="AC27" s="73" t="str">
        <f t="shared" si="3"/>
        <v/>
      </c>
      <c r="AD27" s="62"/>
      <c r="AE27" s="61"/>
      <c r="AF27" s="21" t="str">
        <f t="shared" si="4"/>
        <v/>
      </c>
      <c r="AG27" s="28" t="str" cm="1">
        <f t="array" ref="AG27">FilterSpecialCharacters(X27)</f>
        <v/>
      </c>
      <c r="AH27" s="74" t="str">
        <f t="shared" si="5"/>
        <v xml:space="preserve"> </v>
      </c>
    </row>
    <row r="28" spans="1:35" x14ac:dyDescent="0.25">
      <c r="A28" s="121" t="str" cm="1">
        <f t="array" ref="A28">IfEmpty(TRIM(_xlfn.CONCAT(C28:H28)),"",CRC32HASH(_xlfn.CONCAT(C28:H28)))</f>
        <v/>
      </c>
      <c r="B28" s="10" t="str">
        <f>IFERROR(VLOOKUP(J28,Items[],2,FALSE),"")</f>
        <v/>
      </c>
      <c r="C28" s="34" t="str" cm="1">
        <f t="array" ref="C28">W28 &amp; " " &amp; IfEmpty(U28, AG28)</f>
        <v xml:space="preserve"> </v>
      </c>
      <c r="D28" s="43" t="str">
        <f t="shared" si="6"/>
        <v xml:space="preserve">  </v>
      </c>
      <c r="E28" s="57" t="str">
        <f t="shared" si="7"/>
        <v/>
      </c>
      <c r="F28" s="41" t="str">
        <f t="shared" si="8"/>
        <v/>
      </c>
      <c r="G28" s="41" t="str">
        <f t="shared" si="9"/>
        <v/>
      </c>
      <c r="H28" s="35" t="str" cm="1">
        <f t="array" ref="H28:J28">IFERROR(CalcUnc(K28,L28,S28,T28,V28,X28,AD28,AE28,N28:R28,Z28,AA28),"")</f>
        <v/>
      </c>
      <c r="I28" s="50" t="str">
        <v/>
      </c>
      <c r="J28" s="89" t="str">
        <v/>
      </c>
      <c r="K28" s="55"/>
      <c r="L28" s="56"/>
      <c r="M28" s="22"/>
      <c r="N28" s="52"/>
      <c r="O28" s="53"/>
      <c r="P28" s="53"/>
      <c r="Q28" s="98"/>
      <c r="R28" s="98"/>
      <c r="S28" s="101"/>
      <c r="T28" s="114"/>
      <c r="U28" s="59"/>
      <c r="V28" s="64"/>
      <c r="W28" s="61"/>
      <c r="X28" s="115"/>
      <c r="Y28" s="132"/>
      <c r="Z28" s="62"/>
      <c r="AA28" s="61"/>
      <c r="AB28" s="73" t="str">
        <f t="shared" si="2"/>
        <v/>
      </c>
      <c r="AC28" s="73" t="str">
        <f t="shared" si="3"/>
        <v/>
      </c>
      <c r="AD28" s="62"/>
      <c r="AE28" s="61"/>
      <c r="AF28" s="21" t="str">
        <f t="shared" si="4"/>
        <v/>
      </c>
      <c r="AG28" s="28" t="str" cm="1">
        <f t="array" ref="AG28">FilterSpecialCharacters(X28)</f>
        <v/>
      </c>
      <c r="AH28" s="74" t="str">
        <f t="shared" si="5"/>
        <v xml:space="preserve"> </v>
      </c>
    </row>
    <row r="29" spans="1:35" x14ac:dyDescent="0.25">
      <c r="A29" s="121" t="str" cm="1">
        <f t="array" ref="A29">IfEmpty(TRIM(_xlfn.CONCAT(C29:H29)),"",CRC32HASH(_xlfn.CONCAT(C29:H29)))</f>
        <v/>
      </c>
      <c r="B29" s="39" t="str">
        <f>IFERROR(VLOOKUP(J29,Items[],2,FALSE),"")</f>
        <v/>
      </c>
      <c r="C29" s="36" t="str" cm="1">
        <f t="array" ref="C29">W29 &amp; " " &amp; IfEmpty(U29, FilterSpecialCharacters(X29))</f>
        <v xml:space="preserve"> </v>
      </c>
      <c r="D29" s="37" t="str">
        <f t="shared" si="6"/>
        <v xml:space="preserve">  </v>
      </c>
      <c r="E29" s="58" t="str">
        <f t="shared" si="7"/>
        <v/>
      </c>
      <c r="F29" s="42" t="str">
        <f t="shared" si="8"/>
        <v/>
      </c>
      <c r="G29" s="42" t="str">
        <f t="shared" si="9"/>
        <v/>
      </c>
      <c r="H29" s="38" t="str" cm="1">
        <f t="array" ref="H29:J29">IFERROR(CalcUnc(K29,L29,S29,T29,V29,X29,AD29,AE29,N29:R29,Z29,AA29),"")</f>
        <v/>
      </c>
      <c r="I29" s="50" t="str">
        <v/>
      </c>
      <c r="J29" s="89" t="str">
        <v/>
      </c>
      <c r="K29" s="55"/>
      <c r="L29" s="56"/>
      <c r="M29" s="22"/>
      <c r="N29" s="52"/>
      <c r="O29" s="53"/>
      <c r="P29" s="53"/>
      <c r="Q29" s="98"/>
      <c r="R29" s="98"/>
      <c r="S29" s="101"/>
      <c r="T29" s="114"/>
      <c r="U29" s="59"/>
      <c r="V29" s="64"/>
      <c r="W29" s="61"/>
      <c r="X29" s="115"/>
      <c r="Y29" s="132"/>
      <c r="Z29" s="62"/>
      <c r="AA29" s="61"/>
      <c r="AB29" s="73" t="str">
        <f t="shared" si="2"/>
        <v/>
      </c>
      <c r="AC29" s="73" t="str">
        <f t="shared" si="3"/>
        <v/>
      </c>
      <c r="AD29" s="62"/>
      <c r="AE29" s="61"/>
      <c r="AF29" s="21" t="str">
        <f t="shared" si="4"/>
        <v/>
      </c>
      <c r="AG29" s="28" t="str" cm="1">
        <f t="array" ref="AG29">FilterSpecialCharacters(X29)</f>
        <v/>
      </c>
      <c r="AH29" s="74" t="str">
        <f t="shared" si="5"/>
        <v xml:space="preserve"> </v>
      </c>
    </row>
    <row r="30" spans="1:35" x14ac:dyDescent="0.25">
      <c r="A30" s="121" t="str" cm="1">
        <f t="array" ref="A30">IfEmpty(TRIM(_xlfn.CONCAT(C30:H30)),"",CRC32HASH(_xlfn.CONCAT(C30:H30)))</f>
        <v/>
      </c>
      <c r="B30" s="10" t="str">
        <f>IFERROR(VLOOKUP(J30,Items[],2,FALSE),"")</f>
        <v/>
      </c>
      <c r="C30" s="34" t="str" cm="1">
        <f t="array" ref="C30">W30 &amp; " " &amp; IfEmpty(U30, AG30)</f>
        <v xml:space="preserve"> </v>
      </c>
      <c r="D30" s="43" t="str">
        <f t="shared" si="6"/>
        <v xml:space="preserve">  </v>
      </c>
      <c r="E30" s="57" t="str">
        <f t="shared" si="7"/>
        <v/>
      </c>
      <c r="F30" s="41" t="str">
        <f t="shared" si="8"/>
        <v/>
      </c>
      <c r="G30" s="41" t="str">
        <f t="shared" si="9"/>
        <v/>
      </c>
      <c r="H30" s="35" t="str" cm="1">
        <f t="array" ref="H30:J30">IFERROR(CalcUnc(K30,L30,S30,T30,V30,X30,AD30,AE30,N30:R30,Z30,AA30),"")</f>
        <v/>
      </c>
      <c r="I30" s="50" t="str">
        <v/>
      </c>
      <c r="J30" s="89" t="str">
        <v/>
      </c>
      <c r="K30" s="55"/>
      <c r="L30" s="56"/>
      <c r="M30" s="22"/>
      <c r="N30" s="52"/>
      <c r="O30" s="53"/>
      <c r="P30" s="53"/>
      <c r="Q30" s="98"/>
      <c r="R30" s="98"/>
      <c r="S30" s="101"/>
      <c r="T30" s="114"/>
      <c r="U30" s="59"/>
      <c r="V30" s="64"/>
      <c r="W30" s="61"/>
      <c r="X30" s="115"/>
      <c r="Y30" s="132"/>
      <c r="Z30" s="62"/>
      <c r="AA30" s="61"/>
      <c r="AB30" s="73" t="str">
        <f t="shared" si="2"/>
        <v/>
      </c>
      <c r="AC30" s="73" t="str">
        <f t="shared" si="3"/>
        <v/>
      </c>
      <c r="AD30" s="62"/>
      <c r="AE30" s="61"/>
      <c r="AF30" s="21" t="str">
        <f t="shared" si="4"/>
        <v/>
      </c>
      <c r="AG30" s="28" t="str" cm="1">
        <f t="array" ref="AG30">FilterSpecialCharacters(X30)</f>
        <v/>
      </c>
      <c r="AH30" s="74" t="str">
        <f t="shared" si="5"/>
        <v xml:space="preserve"> </v>
      </c>
    </row>
    <row r="31" spans="1:35" x14ac:dyDescent="0.25">
      <c r="A31" s="121" t="str" cm="1">
        <f t="array" ref="A31">IfEmpty(TRIM(_xlfn.CONCAT(C31:H31)),"",CRC32HASH(_xlfn.CONCAT(C31:H31)))</f>
        <v/>
      </c>
      <c r="B31" s="39" t="str">
        <f>IFERROR(VLOOKUP(J31,Items[],2,FALSE),"")</f>
        <v/>
      </c>
      <c r="C31" s="36" t="str" cm="1">
        <f t="array" ref="C31">W31 &amp; " " &amp; IfEmpty(U31, FilterSpecialCharacters(X31))</f>
        <v xml:space="preserve"> </v>
      </c>
      <c r="D31" s="37" t="str">
        <f t="shared" si="6"/>
        <v xml:space="preserve">  </v>
      </c>
      <c r="E31" s="58" t="str">
        <f t="shared" si="7"/>
        <v/>
      </c>
      <c r="F31" s="42" t="str">
        <f t="shared" si="8"/>
        <v/>
      </c>
      <c r="G31" s="42" t="str">
        <f t="shared" si="9"/>
        <v/>
      </c>
      <c r="H31" s="38" t="str" cm="1">
        <f t="array" ref="H31:J31">IFERROR(CalcUnc(K31,L31,S31,T31,V31,X31,AD31,AE31,N31:R31,Z31,AA31),"")</f>
        <v/>
      </c>
      <c r="I31" s="50" t="str">
        <v/>
      </c>
      <c r="J31" s="89" t="str">
        <v/>
      </c>
      <c r="K31" s="55"/>
      <c r="L31" s="56"/>
      <c r="M31" s="22"/>
      <c r="N31" s="52"/>
      <c r="O31" s="53"/>
      <c r="P31" s="53"/>
      <c r="Q31" s="98"/>
      <c r="R31" s="98"/>
      <c r="S31" s="101"/>
      <c r="T31" s="114"/>
      <c r="U31" s="59"/>
      <c r="V31" s="64"/>
      <c r="W31" s="61"/>
      <c r="X31" s="115"/>
      <c r="Y31" s="132"/>
      <c r="Z31" s="62"/>
      <c r="AA31" s="61"/>
      <c r="AB31" s="73" t="str">
        <f t="shared" si="2"/>
        <v/>
      </c>
      <c r="AC31" s="73" t="str">
        <f t="shared" si="3"/>
        <v/>
      </c>
      <c r="AD31" s="62"/>
      <c r="AE31" s="61"/>
      <c r="AF31" s="21" t="str">
        <f t="shared" si="4"/>
        <v/>
      </c>
      <c r="AG31" s="28" t="str" cm="1">
        <f t="array" ref="AG31">FilterSpecialCharacters(X31)</f>
        <v/>
      </c>
      <c r="AH31" s="74" t="str">
        <f t="shared" si="5"/>
        <v xml:space="preserve"> </v>
      </c>
    </row>
    <row r="32" spans="1:35" x14ac:dyDescent="0.25">
      <c r="A32" s="121" t="str" cm="1">
        <f t="array" ref="A32">IfEmpty(TRIM(_xlfn.CONCAT(C32:H32)),"",CRC32HASH(_xlfn.CONCAT(C32:H32)))</f>
        <v/>
      </c>
      <c r="B32" s="10" t="str">
        <f>IFERROR(VLOOKUP(J32,Items[],2,FALSE),"")</f>
        <v/>
      </c>
      <c r="C32" s="34" t="str" cm="1">
        <f t="array" ref="C32">W32 &amp; " " &amp; IfEmpty(U32, AG32)</f>
        <v xml:space="preserve"> </v>
      </c>
      <c r="D32" s="43" t="str">
        <f t="shared" si="6"/>
        <v xml:space="preserve">  </v>
      </c>
      <c r="E32" s="57" t="str">
        <f t="shared" si="7"/>
        <v/>
      </c>
      <c r="F32" s="41" t="str">
        <f t="shared" si="8"/>
        <v/>
      </c>
      <c r="G32" s="41" t="str">
        <f t="shared" si="9"/>
        <v/>
      </c>
      <c r="H32" s="35" t="str" cm="1">
        <f t="array" ref="H32:J32">IFERROR(CalcUnc(K32,L32,S32,T32,V32,X32,AD32,AE32,N32:R32,Z32,AA32),"")</f>
        <v/>
      </c>
      <c r="I32" s="50" t="str">
        <v/>
      </c>
      <c r="J32" s="89" t="str">
        <v/>
      </c>
      <c r="K32" s="55"/>
      <c r="L32" s="56"/>
      <c r="M32" s="22"/>
      <c r="N32" s="52"/>
      <c r="O32" s="53"/>
      <c r="P32" s="53"/>
      <c r="Q32" s="98"/>
      <c r="R32" s="98"/>
      <c r="S32" s="101"/>
      <c r="T32" s="114"/>
      <c r="U32" s="59"/>
      <c r="V32" s="64"/>
      <c r="W32" s="61"/>
      <c r="X32" s="115"/>
      <c r="Y32" s="132"/>
      <c r="Z32" s="62"/>
      <c r="AA32" s="61"/>
      <c r="AB32" s="73" t="str">
        <f t="shared" si="2"/>
        <v/>
      </c>
      <c r="AC32" s="73" t="str">
        <f t="shared" si="3"/>
        <v/>
      </c>
      <c r="AD32" s="62"/>
      <c r="AE32" s="61"/>
      <c r="AF32" s="21" t="str">
        <f t="shared" si="4"/>
        <v/>
      </c>
      <c r="AG32" s="28" t="str" cm="1">
        <f t="array" ref="AG32">FilterSpecialCharacters(X32)</f>
        <v/>
      </c>
      <c r="AH32" s="74" t="str">
        <f t="shared" si="5"/>
        <v xml:space="preserve"> </v>
      </c>
    </row>
    <row r="33" spans="1:34" x14ac:dyDescent="0.25">
      <c r="A33" s="121" t="str" cm="1">
        <f t="array" ref="A33">IfEmpty(TRIM(_xlfn.CONCAT(C33:H33)),"",CRC32HASH(_xlfn.CONCAT(C33:H33)))</f>
        <v/>
      </c>
      <c r="B33" s="39" t="str">
        <f>IFERROR(VLOOKUP(J33,Items[],2,FALSE),"")</f>
        <v/>
      </c>
      <c r="C33" s="36" t="str" cm="1">
        <f t="array" ref="C33">W33 &amp; " " &amp; IfEmpty(U33, FilterSpecialCharacters(X33))</f>
        <v xml:space="preserve"> </v>
      </c>
      <c r="D33" s="37" t="str">
        <f t="shared" si="6"/>
        <v xml:space="preserve">  </v>
      </c>
      <c r="E33" s="58" t="str">
        <f t="shared" si="7"/>
        <v/>
      </c>
      <c r="F33" s="42" t="str">
        <f t="shared" si="8"/>
        <v/>
      </c>
      <c r="G33" s="42" t="str">
        <f t="shared" si="9"/>
        <v/>
      </c>
      <c r="H33" s="38" t="str" cm="1">
        <f t="array" ref="H33:J33">IFERROR(CalcUnc(K33,L33,S33,T33,V33,X33,AD33,AE33,N33:R33,Z33,AA33),"")</f>
        <v/>
      </c>
      <c r="I33" s="50" t="str">
        <v/>
      </c>
      <c r="J33" s="89" t="str">
        <v/>
      </c>
      <c r="K33" s="55"/>
      <c r="L33" s="56"/>
      <c r="M33" s="22"/>
      <c r="N33" s="52"/>
      <c r="O33" s="53"/>
      <c r="P33" s="53"/>
      <c r="Q33" s="98"/>
      <c r="R33" s="98"/>
      <c r="S33" s="101"/>
      <c r="T33" s="114"/>
      <c r="U33" s="59"/>
      <c r="V33" s="64"/>
      <c r="W33" s="61"/>
      <c r="X33" s="115"/>
      <c r="Y33" s="132"/>
      <c r="Z33" s="62"/>
      <c r="AA33" s="61"/>
      <c r="AB33" s="73" t="str">
        <f t="shared" si="2"/>
        <v/>
      </c>
      <c r="AC33" s="73" t="str">
        <f t="shared" si="3"/>
        <v/>
      </c>
      <c r="AD33" s="62"/>
      <c r="AE33" s="61"/>
      <c r="AF33" s="21" t="str">
        <f t="shared" si="4"/>
        <v/>
      </c>
      <c r="AG33" s="28" t="str" cm="1">
        <f t="array" ref="AG33">FilterSpecialCharacters(X33)</f>
        <v/>
      </c>
      <c r="AH33" s="74" t="str">
        <f t="shared" si="5"/>
        <v xml:space="preserve"> </v>
      </c>
    </row>
    <row r="34" spans="1:34" x14ac:dyDescent="0.25">
      <c r="A34" s="121" t="str" cm="1">
        <f t="array" ref="A34">IfEmpty(TRIM(_xlfn.CONCAT(C34:H34)),"",CRC32HASH(_xlfn.CONCAT(C34:H34)))</f>
        <v/>
      </c>
      <c r="B34" s="10" t="str">
        <f>IFERROR(VLOOKUP(J34,Items[],2,FALSE),"")</f>
        <v/>
      </c>
      <c r="C34" s="34" t="str" cm="1">
        <f t="array" ref="C34">W34 &amp; " " &amp; IfEmpty(U34, AG34)</f>
        <v xml:space="preserve"> </v>
      </c>
      <c r="D34" s="43" t="str">
        <f t="shared" si="6"/>
        <v xml:space="preserve">  </v>
      </c>
      <c r="E34" s="57" t="str">
        <f t="shared" si="7"/>
        <v/>
      </c>
      <c r="F34" s="41" t="str">
        <f t="shared" si="8"/>
        <v/>
      </c>
      <c r="G34" s="41" t="str">
        <f t="shared" si="9"/>
        <v/>
      </c>
      <c r="H34" s="35" t="str" cm="1">
        <f t="array" ref="H34:J34">IFERROR(CalcUnc(K34,L34,S34,T34,V34,X34,AD34,AE34,N34:R34,Z34,AA34),"")</f>
        <v/>
      </c>
      <c r="I34" s="50" t="str">
        <v/>
      </c>
      <c r="J34" s="89" t="str">
        <v/>
      </c>
      <c r="K34" s="55"/>
      <c r="L34" s="56"/>
      <c r="M34" s="22"/>
      <c r="N34" s="52"/>
      <c r="O34" s="53"/>
      <c r="P34" s="53"/>
      <c r="Q34" s="98"/>
      <c r="R34" s="98"/>
      <c r="S34" s="101"/>
      <c r="T34" s="114"/>
      <c r="U34" s="59"/>
      <c r="V34" s="64"/>
      <c r="W34" s="61"/>
      <c r="X34" s="115"/>
      <c r="Y34" s="132"/>
      <c r="Z34" s="62"/>
      <c r="AA34" s="61"/>
      <c r="AB34" s="73" t="str">
        <f t="shared" si="2"/>
        <v/>
      </c>
      <c r="AC34" s="73" t="str">
        <f t="shared" si="3"/>
        <v/>
      </c>
      <c r="AD34" s="62"/>
      <c r="AE34" s="61"/>
      <c r="AF34" s="21" t="str">
        <f t="shared" si="4"/>
        <v/>
      </c>
      <c r="AG34" s="28" t="str" cm="1">
        <f t="array" ref="AG34">FilterSpecialCharacters(X34)</f>
        <v/>
      </c>
      <c r="AH34" s="74" t="str">
        <f t="shared" si="5"/>
        <v xml:space="preserve"> </v>
      </c>
    </row>
    <row r="35" spans="1:34" x14ac:dyDescent="0.25">
      <c r="A35" s="121" t="str" cm="1">
        <f t="array" ref="A35">IfEmpty(TRIM(_xlfn.CONCAT(C35:H35)),"",CRC32HASH(_xlfn.CONCAT(C35:H35)))</f>
        <v/>
      </c>
      <c r="B35" s="39" t="str">
        <f>IFERROR(VLOOKUP(J35,Items[],2,FALSE),"")</f>
        <v/>
      </c>
      <c r="C35" s="36" t="str" cm="1">
        <f t="array" ref="C35">W35 &amp; " " &amp; IfEmpty(U35, FilterSpecialCharacters(X35))</f>
        <v xml:space="preserve"> </v>
      </c>
      <c r="D35" s="37" t="str">
        <f t="shared" si="6"/>
        <v xml:space="preserve">  </v>
      </c>
      <c r="E35" s="58" t="str">
        <f t="shared" si="7"/>
        <v/>
      </c>
      <c r="F35" s="42" t="str">
        <f t="shared" si="8"/>
        <v/>
      </c>
      <c r="G35" s="42" t="str">
        <f t="shared" si="9"/>
        <v/>
      </c>
      <c r="H35" s="38" t="str" cm="1">
        <f t="array" ref="H35:J35">IFERROR(CalcUnc(K35,L35,S35,T35,V35,X35,AD35,AE35,N35:R35,Z35,AA35),"")</f>
        <v/>
      </c>
      <c r="I35" s="50" t="str">
        <v/>
      </c>
      <c r="J35" s="89" t="str">
        <v/>
      </c>
      <c r="K35" s="55"/>
      <c r="L35" s="56"/>
      <c r="M35" s="22"/>
      <c r="N35" s="52"/>
      <c r="O35" s="53"/>
      <c r="P35" s="53"/>
      <c r="Q35" s="98"/>
      <c r="R35" s="98"/>
      <c r="S35" s="101"/>
      <c r="T35" s="114"/>
      <c r="U35" s="59"/>
      <c r="V35" s="64"/>
      <c r="W35" s="61"/>
      <c r="X35" s="115"/>
      <c r="Y35" s="132"/>
      <c r="Z35" s="62"/>
      <c r="AA35" s="61"/>
      <c r="AB35" s="73" t="str">
        <f t="shared" si="2"/>
        <v/>
      </c>
      <c r="AC35" s="73" t="str">
        <f t="shared" si="3"/>
        <v/>
      </c>
      <c r="AD35" s="62"/>
      <c r="AE35" s="61"/>
      <c r="AF35" s="21" t="str">
        <f t="shared" si="4"/>
        <v/>
      </c>
      <c r="AG35" s="28" t="str" cm="1">
        <f t="array" ref="AG35">FilterSpecialCharacters(X35)</f>
        <v/>
      </c>
      <c r="AH35" s="74" t="str">
        <f t="shared" si="5"/>
        <v xml:space="preserve"> </v>
      </c>
    </row>
    <row r="36" spans="1:34" x14ac:dyDescent="0.25">
      <c r="A36" s="121" t="str" cm="1">
        <f t="array" ref="A36">IfEmpty(TRIM(_xlfn.CONCAT(C36:H36)),"",CRC32HASH(_xlfn.CONCAT(C36:H36)))</f>
        <v/>
      </c>
      <c r="B36" s="10" t="str">
        <f>IFERROR(VLOOKUP(J36,Items[],2,FALSE),"")</f>
        <v/>
      </c>
      <c r="C36" s="34" t="str" cm="1">
        <f t="array" ref="C36">W36 &amp; " " &amp; IfEmpty(U36, AG36)</f>
        <v xml:space="preserve"> </v>
      </c>
      <c r="D36" s="43" t="str">
        <f t="shared" si="6"/>
        <v xml:space="preserve">  </v>
      </c>
      <c r="E36" s="57" t="str">
        <f t="shared" si="7"/>
        <v/>
      </c>
      <c r="F36" s="41" t="str">
        <f t="shared" si="8"/>
        <v/>
      </c>
      <c r="G36" s="41" t="str">
        <f t="shared" si="9"/>
        <v/>
      </c>
      <c r="H36" s="35" t="str" cm="1">
        <f t="array" ref="H36:J36">IFERROR(CalcUnc(K36,L36,S36,T36,V36,X36,AD36,AE36,N36:R36,Z36,AA36),"")</f>
        <v/>
      </c>
      <c r="I36" s="50" t="str">
        <v/>
      </c>
      <c r="J36" s="89" t="str">
        <v/>
      </c>
      <c r="K36" s="55"/>
      <c r="L36" s="56"/>
      <c r="M36" s="22"/>
      <c r="N36" s="52"/>
      <c r="O36" s="53"/>
      <c r="P36" s="53"/>
      <c r="Q36" s="98"/>
      <c r="R36" s="98"/>
      <c r="S36" s="101"/>
      <c r="T36" s="114"/>
      <c r="U36" s="59"/>
      <c r="V36" s="64"/>
      <c r="W36" s="61"/>
      <c r="X36" s="115"/>
      <c r="Y36" s="132"/>
      <c r="Z36" s="62"/>
      <c r="AA36" s="61"/>
      <c r="AB36" s="73" t="str">
        <f t="shared" si="2"/>
        <v/>
      </c>
      <c r="AC36" s="73" t="str">
        <f t="shared" si="3"/>
        <v/>
      </c>
      <c r="AD36" s="62"/>
      <c r="AE36" s="61"/>
      <c r="AF36" s="21" t="str">
        <f t="shared" si="4"/>
        <v/>
      </c>
      <c r="AG36" s="28" t="str" cm="1">
        <f t="array" ref="AG36">FilterSpecialCharacters(X36)</f>
        <v/>
      </c>
      <c r="AH36" s="74" t="str">
        <f t="shared" si="5"/>
        <v xml:space="preserve"> </v>
      </c>
    </row>
    <row r="37" spans="1:34" x14ac:dyDescent="0.25">
      <c r="A37" s="121" t="str" cm="1">
        <f t="array" ref="A37">IfEmpty(TRIM(_xlfn.CONCAT(C37:H37)),"",CRC32HASH(_xlfn.CONCAT(C37:H37)))</f>
        <v/>
      </c>
      <c r="B37" s="39" t="str">
        <f>IFERROR(VLOOKUP(J37,Items[],2,FALSE),"")</f>
        <v/>
      </c>
      <c r="C37" s="36" t="str" cm="1">
        <f t="array" ref="C37">W37 &amp; " " &amp; IfEmpty(U37, FilterSpecialCharacters(X37))</f>
        <v xml:space="preserve"> </v>
      </c>
      <c r="D37" s="37" t="str">
        <f t="shared" si="6"/>
        <v xml:space="preserve">  </v>
      </c>
      <c r="E37" s="58" t="str">
        <f t="shared" si="7"/>
        <v/>
      </c>
      <c r="F37" s="42" t="str">
        <f t="shared" si="8"/>
        <v/>
      </c>
      <c r="G37" s="42" t="str">
        <f t="shared" si="9"/>
        <v/>
      </c>
      <c r="H37" s="38" t="str" cm="1">
        <f t="array" ref="H37:J37">IFERROR(CalcUnc(K37,L37,S37,T37,V37,X37,AD37,AE37,N37:R37,Z37,AA37),"")</f>
        <v/>
      </c>
      <c r="I37" s="50" t="str">
        <v/>
      </c>
      <c r="J37" s="89" t="str">
        <v/>
      </c>
      <c r="K37" s="55"/>
      <c r="L37" s="56"/>
      <c r="M37" s="22"/>
      <c r="N37" s="52"/>
      <c r="O37" s="53"/>
      <c r="P37" s="53"/>
      <c r="Q37" s="98"/>
      <c r="R37" s="98"/>
      <c r="S37" s="101"/>
      <c r="T37" s="114"/>
      <c r="U37" s="59"/>
      <c r="V37" s="64"/>
      <c r="W37" s="61"/>
      <c r="X37" s="115"/>
      <c r="Y37" s="132"/>
      <c r="Z37" s="62"/>
      <c r="AA37" s="61"/>
      <c r="AB37" s="73" t="str">
        <f t="shared" si="2"/>
        <v/>
      </c>
      <c r="AC37" s="73" t="str">
        <f t="shared" si="3"/>
        <v/>
      </c>
      <c r="AD37" s="62"/>
      <c r="AE37" s="61"/>
      <c r="AF37" s="21" t="str">
        <f t="shared" si="4"/>
        <v/>
      </c>
      <c r="AG37" s="28" t="str" cm="1">
        <f t="array" ref="AG37">FilterSpecialCharacters(X37)</f>
        <v/>
      </c>
      <c r="AH37" s="74" t="str">
        <f t="shared" si="5"/>
        <v xml:space="preserve"> </v>
      </c>
    </row>
    <row r="38" spans="1:34" x14ac:dyDescent="0.25">
      <c r="A38" s="121" t="str" cm="1">
        <f t="array" ref="A38">IfEmpty(TRIM(_xlfn.CONCAT(C38:H38)),"",CRC32HASH(_xlfn.CONCAT(C38:H38)))</f>
        <v/>
      </c>
      <c r="B38" s="10" t="str">
        <f>IFERROR(VLOOKUP(J38,Items[],2,FALSE),"")</f>
        <v/>
      </c>
      <c r="C38" s="34" t="str" cm="1">
        <f t="array" ref="C38">W38 &amp; " " &amp; IfEmpty(U38, AG38)</f>
        <v xml:space="preserve"> </v>
      </c>
      <c r="D38" s="43" t="str">
        <f t="shared" si="6"/>
        <v xml:space="preserve">  </v>
      </c>
      <c r="E38" s="57" t="str">
        <f t="shared" si="7"/>
        <v/>
      </c>
      <c r="F38" s="41" t="str">
        <f t="shared" si="8"/>
        <v/>
      </c>
      <c r="G38" s="41" t="str">
        <f t="shared" si="9"/>
        <v/>
      </c>
      <c r="H38" s="35" t="str" cm="1">
        <f t="array" ref="H38:J38">IFERROR(CalcUnc(K38,L38,S38,T38,V38,X38,AD38,AE38,N38:R38,Z38,AA38),"")</f>
        <v/>
      </c>
      <c r="I38" s="50" t="str">
        <v/>
      </c>
      <c r="J38" s="89" t="str">
        <v/>
      </c>
      <c r="K38" s="55"/>
      <c r="L38" s="56"/>
      <c r="M38" s="22"/>
      <c r="N38" s="52"/>
      <c r="O38" s="53"/>
      <c r="P38" s="53"/>
      <c r="Q38" s="98"/>
      <c r="R38" s="98"/>
      <c r="S38" s="101"/>
      <c r="T38" s="114"/>
      <c r="U38" s="59"/>
      <c r="V38" s="64"/>
      <c r="W38" s="61"/>
      <c r="X38" s="115"/>
      <c r="Y38" s="132"/>
      <c r="Z38" s="62"/>
      <c r="AA38" s="61"/>
      <c r="AB38" s="73" t="str">
        <f t="shared" ref="AB38:AB69" si="10">IF(V38&lt;&gt;"",ROUND(Z38-AA38,-LOG10(V38)),"")</f>
        <v/>
      </c>
      <c r="AC38" s="73" t="str">
        <f t="shared" ref="AC38:AC69" si="11">IF(V38&lt;&gt;"",ROUND(Z38+AA38,-LOG10(V38)),"")</f>
        <v/>
      </c>
      <c r="AD38" s="62"/>
      <c r="AE38" s="61"/>
      <c r="AF38" s="21" t="str">
        <f t="shared" si="4"/>
        <v/>
      </c>
      <c r="AG38" s="28" t="str" cm="1">
        <f t="array" ref="AG38">FilterSpecialCharacters(X38)</f>
        <v/>
      </c>
      <c r="AH38" s="74" t="str">
        <f t="shared" si="5"/>
        <v xml:space="preserve"> </v>
      </c>
    </row>
    <row r="39" spans="1:34" x14ac:dyDescent="0.25">
      <c r="A39" s="121" t="str" cm="1">
        <f t="array" ref="A39">IfEmpty(TRIM(_xlfn.CONCAT(C39:H39)),"",CRC32HASH(_xlfn.CONCAT(C39:H39)))</f>
        <v/>
      </c>
      <c r="B39" s="39" t="str">
        <f>IFERROR(VLOOKUP(J39,Items[],2,FALSE),"")</f>
        <v/>
      </c>
      <c r="C39" s="36" t="str" cm="1">
        <f t="array" ref="C39">W39 &amp; " " &amp; IfEmpty(U39, FilterSpecialCharacters(X39))</f>
        <v xml:space="preserve"> </v>
      </c>
      <c r="D39" s="37" t="str">
        <f t="shared" si="6"/>
        <v xml:space="preserve">  </v>
      </c>
      <c r="E39" s="58" t="str">
        <f t="shared" si="7"/>
        <v/>
      </c>
      <c r="F39" s="42" t="str">
        <f t="shared" si="8"/>
        <v/>
      </c>
      <c r="G39" s="42" t="str">
        <f t="shared" si="9"/>
        <v/>
      </c>
      <c r="H39" s="38" t="str" cm="1">
        <f t="array" ref="H39:J39">IFERROR(CalcUnc(K39,L39,S39,T39,V39,X39,AD39,AE39,N39:R39,Z39,AA39),"")</f>
        <v/>
      </c>
      <c r="I39" s="50" t="str">
        <v/>
      </c>
      <c r="J39" s="89" t="str">
        <v/>
      </c>
      <c r="K39" s="55"/>
      <c r="L39" s="56"/>
      <c r="M39" s="22"/>
      <c r="N39" s="52"/>
      <c r="O39" s="53"/>
      <c r="P39" s="53"/>
      <c r="Q39" s="98"/>
      <c r="R39" s="98"/>
      <c r="S39" s="101"/>
      <c r="T39" s="114"/>
      <c r="U39" s="59"/>
      <c r="V39" s="64"/>
      <c r="W39" s="61"/>
      <c r="X39" s="115"/>
      <c r="Y39" s="132"/>
      <c r="Z39" s="62"/>
      <c r="AA39" s="61"/>
      <c r="AB39" s="73" t="str">
        <f t="shared" si="10"/>
        <v/>
      </c>
      <c r="AC39" s="73" t="str">
        <f t="shared" si="11"/>
        <v/>
      </c>
      <c r="AD39" s="62"/>
      <c r="AE39" s="61"/>
      <c r="AF39" s="21" t="str">
        <f t="shared" si="4"/>
        <v/>
      </c>
      <c r="AG39" s="28" t="str" cm="1">
        <f t="array" ref="AG39">FilterSpecialCharacters(X39)</f>
        <v/>
      </c>
      <c r="AH39" s="74" t="str">
        <f t="shared" si="5"/>
        <v xml:space="preserve"> </v>
      </c>
    </row>
    <row r="40" spans="1:34" x14ac:dyDescent="0.25">
      <c r="A40" s="121" t="str" cm="1">
        <f t="array" ref="A40">IfEmpty(TRIM(_xlfn.CONCAT(C40:H40)),"",CRC32HASH(_xlfn.CONCAT(C40:H40)))</f>
        <v/>
      </c>
      <c r="B40" s="10" t="str">
        <f>IFERROR(VLOOKUP(J40,Items[],2,FALSE),"")</f>
        <v/>
      </c>
      <c r="C40" s="34" t="str" cm="1">
        <f t="array" ref="C40">W40 &amp; " " &amp; IfEmpty(U40, AG40)</f>
        <v xml:space="preserve"> </v>
      </c>
      <c r="D40" s="43" t="str">
        <f t="shared" si="6"/>
        <v xml:space="preserve">  </v>
      </c>
      <c r="E40" s="57" t="str">
        <f t="shared" si="7"/>
        <v/>
      </c>
      <c r="F40" s="41" t="str">
        <f t="shared" si="8"/>
        <v/>
      </c>
      <c r="G40" s="41" t="str">
        <f t="shared" si="9"/>
        <v/>
      </c>
      <c r="H40" s="35" t="str" cm="1">
        <f t="array" ref="H40:J40">IFERROR(CalcUnc(K40,L40,S40,T40,V40,X40,AD40,AE40,N40:R40,Z40,AA40),"")</f>
        <v/>
      </c>
      <c r="I40" s="50" t="str">
        <v/>
      </c>
      <c r="J40" s="89" t="str">
        <v/>
      </c>
      <c r="K40" s="55"/>
      <c r="L40" s="56"/>
      <c r="M40" s="22"/>
      <c r="N40" s="52"/>
      <c r="O40" s="53"/>
      <c r="P40" s="53"/>
      <c r="Q40" s="98"/>
      <c r="R40" s="98"/>
      <c r="S40" s="101"/>
      <c r="T40" s="114"/>
      <c r="U40" s="59"/>
      <c r="V40" s="64"/>
      <c r="W40" s="61"/>
      <c r="X40" s="115"/>
      <c r="Y40" s="132"/>
      <c r="Z40" s="62"/>
      <c r="AA40" s="61"/>
      <c r="AB40" s="73" t="str">
        <f t="shared" si="10"/>
        <v/>
      </c>
      <c r="AC40" s="73" t="str">
        <f t="shared" si="11"/>
        <v/>
      </c>
      <c r="AD40" s="62"/>
      <c r="AE40" s="61"/>
      <c r="AF40" s="21" t="str">
        <f t="shared" si="4"/>
        <v/>
      </c>
      <c r="AG40" s="28" t="str" cm="1">
        <f t="array" ref="AG40">FilterSpecialCharacters(X40)</f>
        <v/>
      </c>
      <c r="AH40" s="74" t="str">
        <f t="shared" si="5"/>
        <v xml:space="preserve"> </v>
      </c>
    </row>
    <row r="41" spans="1:34" x14ac:dyDescent="0.25">
      <c r="A41" s="121" t="str" cm="1">
        <f t="array" ref="A41">IfEmpty(TRIM(_xlfn.CONCAT(C41:H41)),"",CRC32HASH(_xlfn.CONCAT(C41:H41)))</f>
        <v/>
      </c>
      <c r="B41" s="39" t="str">
        <f>IFERROR(VLOOKUP(J41,Items[],2,FALSE),"")</f>
        <v/>
      </c>
      <c r="C41" s="36" t="str" cm="1">
        <f t="array" ref="C41">W41 &amp; " " &amp; IfEmpty(U41, FilterSpecialCharacters(X41))</f>
        <v xml:space="preserve"> </v>
      </c>
      <c r="D41" s="37" t="str">
        <f t="shared" si="6"/>
        <v xml:space="preserve">  </v>
      </c>
      <c r="E41" s="58" t="str">
        <f t="shared" si="7"/>
        <v/>
      </c>
      <c r="F41" s="42" t="str">
        <f t="shared" si="8"/>
        <v/>
      </c>
      <c r="G41" s="42" t="str">
        <f t="shared" si="9"/>
        <v/>
      </c>
      <c r="H41" s="38" t="str" cm="1">
        <f t="array" ref="H41:J41">IFERROR(CalcUnc(K41,L41,S41,T41,V41,X41,AD41,AE41,N41:R41,Z41,AA41),"")</f>
        <v/>
      </c>
      <c r="I41" s="50" t="str">
        <v/>
      </c>
      <c r="J41" s="89" t="str">
        <v/>
      </c>
      <c r="K41" s="55"/>
      <c r="L41" s="56"/>
      <c r="M41" s="22"/>
      <c r="N41" s="52"/>
      <c r="O41" s="53"/>
      <c r="P41" s="53"/>
      <c r="Q41" s="98"/>
      <c r="R41" s="98"/>
      <c r="S41" s="101"/>
      <c r="T41" s="114"/>
      <c r="U41" s="59"/>
      <c r="V41" s="64"/>
      <c r="W41" s="61"/>
      <c r="X41" s="115"/>
      <c r="Y41" s="132"/>
      <c r="Z41" s="62"/>
      <c r="AA41" s="61"/>
      <c r="AB41" s="73" t="str">
        <f t="shared" si="10"/>
        <v/>
      </c>
      <c r="AC41" s="73" t="str">
        <f t="shared" si="11"/>
        <v/>
      </c>
      <c r="AD41" s="62"/>
      <c r="AE41" s="61"/>
      <c r="AF41" s="21" t="str">
        <f t="shared" si="4"/>
        <v/>
      </c>
      <c r="AG41" s="28" t="str" cm="1">
        <f t="array" ref="AG41">FilterSpecialCharacters(X41)</f>
        <v/>
      </c>
      <c r="AH41" s="74" t="str">
        <f t="shared" si="5"/>
        <v xml:space="preserve"> </v>
      </c>
    </row>
    <row r="42" spans="1:34" x14ac:dyDescent="0.25">
      <c r="A42" s="121" t="str" cm="1">
        <f t="array" ref="A42">IfEmpty(TRIM(_xlfn.CONCAT(C42:H42)),"",CRC32HASH(_xlfn.CONCAT(C42:H42)))</f>
        <v/>
      </c>
      <c r="B42" s="10" t="str">
        <f>IFERROR(VLOOKUP(J42,Items[],2,FALSE),"")</f>
        <v/>
      </c>
      <c r="C42" s="34" t="str" cm="1">
        <f t="array" ref="C42">W42 &amp; " " &amp; IfEmpty(U42, AG42)</f>
        <v xml:space="preserve"> </v>
      </c>
      <c r="D42" s="43" t="str">
        <f t="shared" si="6"/>
        <v xml:space="preserve">  </v>
      </c>
      <c r="E42" s="57" t="str">
        <f t="shared" si="7"/>
        <v/>
      </c>
      <c r="F42" s="41" t="str">
        <f t="shared" si="8"/>
        <v/>
      </c>
      <c r="G42" s="41" t="str">
        <f t="shared" si="9"/>
        <v/>
      </c>
      <c r="H42" s="35" t="str" cm="1">
        <f t="array" ref="H42:J42">IFERROR(CalcUnc(K42,L42,S42,T42,V42,X42,AD42,AE42,N42:R42,Z42,AA42),"")</f>
        <v/>
      </c>
      <c r="I42" s="50" t="str">
        <v/>
      </c>
      <c r="J42" s="89" t="str">
        <v/>
      </c>
      <c r="K42" s="55"/>
      <c r="L42" s="56"/>
      <c r="M42" s="22"/>
      <c r="N42" s="52"/>
      <c r="O42" s="53"/>
      <c r="P42" s="53"/>
      <c r="Q42" s="98"/>
      <c r="R42" s="98"/>
      <c r="S42" s="101"/>
      <c r="T42" s="114"/>
      <c r="U42" s="59"/>
      <c r="V42" s="64"/>
      <c r="W42" s="61"/>
      <c r="X42" s="115"/>
      <c r="Y42" s="132"/>
      <c r="Z42" s="62"/>
      <c r="AA42" s="61"/>
      <c r="AB42" s="73" t="str">
        <f t="shared" si="10"/>
        <v/>
      </c>
      <c r="AC42" s="73" t="str">
        <f t="shared" si="11"/>
        <v/>
      </c>
      <c r="AD42" s="62"/>
      <c r="AE42" s="61"/>
      <c r="AF42" s="21" t="str">
        <f t="shared" si="4"/>
        <v/>
      </c>
      <c r="AG42" s="28" t="str" cm="1">
        <f t="array" ref="AG42">FilterSpecialCharacters(X42)</f>
        <v/>
      </c>
      <c r="AH42" s="74" t="str">
        <f t="shared" si="5"/>
        <v xml:space="preserve"> </v>
      </c>
    </row>
    <row r="43" spans="1:34" x14ac:dyDescent="0.25">
      <c r="A43" s="121" t="str" cm="1">
        <f t="array" ref="A43">IfEmpty(TRIM(_xlfn.CONCAT(C43:H43)),"",CRC32HASH(_xlfn.CONCAT(C43:H43)))</f>
        <v/>
      </c>
      <c r="B43" s="39" t="str">
        <f>IFERROR(VLOOKUP(J43,Items[],2,FALSE),"")</f>
        <v/>
      </c>
      <c r="C43" s="36" t="str" cm="1">
        <f t="array" ref="C43">W43 &amp; " " &amp; IfEmpty(U43, FilterSpecialCharacters(X43))</f>
        <v xml:space="preserve"> </v>
      </c>
      <c r="D43" s="37" t="str">
        <f t="shared" si="6"/>
        <v xml:space="preserve">  </v>
      </c>
      <c r="E43" s="58" t="str">
        <f t="shared" si="7"/>
        <v/>
      </c>
      <c r="F43" s="42" t="str">
        <f t="shared" si="8"/>
        <v/>
      </c>
      <c r="G43" s="42" t="str">
        <f t="shared" si="9"/>
        <v/>
      </c>
      <c r="H43" s="38" t="str" cm="1">
        <f t="array" ref="H43:J43">IFERROR(CalcUnc(K43,L43,S43,T43,V43,X43,AD43,AE43,N43:R43,Z43,AA43),"")</f>
        <v/>
      </c>
      <c r="I43" s="50" t="str">
        <v/>
      </c>
      <c r="J43" s="89" t="str">
        <v/>
      </c>
      <c r="K43" s="55"/>
      <c r="L43" s="56"/>
      <c r="M43" s="22"/>
      <c r="N43" s="52"/>
      <c r="O43" s="53"/>
      <c r="P43" s="53"/>
      <c r="Q43" s="98"/>
      <c r="R43" s="98"/>
      <c r="S43" s="101"/>
      <c r="T43" s="114"/>
      <c r="U43" s="59"/>
      <c r="V43" s="64"/>
      <c r="W43" s="61"/>
      <c r="X43" s="115"/>
      <c r="Y43" s="132"/>
      <c r="Z43" s="62"/>
      <c r="AA43" s="61"/>
      <c r="AB43" s="73" t="str">
        <f t="shared" si="10"/>
        <v/>
      </c>
      <c r="AC43" s="73" t="str">
        <f t="shared" si="11"/>
        <v/>
      </c>
      <c r="AD43" s="62"/>
      <c r="AE43" s="61"/>
      <c r="AF43" s="21" t="str">
        <f t="shared" si="4"/>
        <v/>
      </c>
      <c r="AG43" s="28" t="str" cm="1">
        <f t="array" ref="AG43">FilterSpecialCharacters(X43)</f>
        <v/>
      </c>
      <c r="AH43" s="74" t="str">
        <f t="shared" si="5"/>
        <v xml:space="preserve"> </v>
      </c>
    </row>
    <row r="44" spans="1:34" x14ac:dyDescent="0.25">
      <c r="A44" s="121" t="str" cm="1">
        <f t="array" ref="A44">IfEmpty(TRIM(_xlfn.CONCAT(C44:H44)),"",CRC32HASH(_xlfn.CONCAT(C44:H44)))</f>
        <v/>
      </c>
      <c r="B44" s="10" t="str">
        <f>IFERROR(VLOOKUP(J44,Items[],2,FALSE),"")</f>
        <v/>
      </c>
      <c r="C44" s="34" t="str" cm="1">
        <f t="array" ref="C44">W44 &amp; " " &amp; IfEmpty(U44, AG44)</f>
        <v xml:space="preserve"> </v>
      </c>
      <c r="D44" s="43" t="str">
        <f t="shared" si="6"/>
        <v xml:space="preserve">  </v>
      </c>
      <c r="E44" s="57" t="str">
        <f t="shared" si="7"/>
        <v/>
      </c>
      <c r="F44" s="41" t="str">
        <f t="shared" si="8"/>
        <v/>
      </c>
      <c r="G44" s="41" t="str">
        <f t="shared" si="9"/>
        <v/>
      </c>
      <c r="H44" s="35" t="str" cm="1">
        <f t="array" ref="H44:J44">IFERROR(CalcUnc(K44,L44,S44,T44,V44,X44,AD44,AE44,N44:R44,Z44,AA44),"")</f>
        <v/>
      </c>
      <c r="I44" s="50" t="str">
        <v/>
      </c>
      <c r="J44" s="89" t="str">
        <v/>
      </c>
      <c r="K44" s="55"/>
      <c r="L44" s="56"/>
      <c r="M44" s="22"/>
      <c r="N44" s="52"/>
      <c r="O44" s="53"/>
      <c r="P44" s="53"/>
      <c r="Q44" s="98"/>
      <c r="R44" s="98"/>
      <c r="S44" s="101"/>
      <c r="T44" s="114"/>
      <c r="U44" s="59"/>
      <c r="V44" s="64"/>
      <c r="W44" s="61"/>
      <c r="X44" s="115"/>
      <c r="Y44" s="132"/>
      <c r="Z44" s="62"/>
      <c r="AA44" s="61"/>
      <c r="AB44" s="73" t="str">
        <f t="shared" si="10"/>
        <v/>
      </c>
      <c r="AC44" s="73" t="str">
        <f t="shared" si="11"/>
        <v/>
      </c>
      <c r="AD44" s="62"/>
      <c r="AE44" s="61"/>
      <c r="AF44" s="21" t="str">
        <f t="shared" si="4"/>
        <v/>
      </c>
      <c r="AG44" s="28" t="str" cm="1">
        <f t="array" ref="AG44">FilterSpecialCharacters(X44)</f>
        <v/>
      </c>
      <c r="AH44" s="74" t="str">
        <f t="shared" si="5"/>
        <v xml:space="preserve"> </v>
      </c>
    </row>
    <row r="45" spans="1:34" x14ac:dyDescent="0.25">
      <c r="A45" s="121" t="str" cm="1">
        <f t="array" ref="A45">IfEmpty(TRIM(_xlfn.CONCAT(C45:H45)),"",CRC32HASH(_xlfn.CONCAT(C45:H45)))</f>
        <v/>
      </c>
      <c r="B45" s="39" t="str">
        <f>IFERROR(VLOOKUP(J45,Items[],2,FALSE),"")</f>
        <v/>
      </c>
      <c r="C45" s="36" t="str" cm="1">
        <f t="array" ref="C45">W45 &amp; " " &amp; IfEmpty(U45, FilterSpecialCharacters(X45))</f>
        <v xml:space="preserve"> </v>
      </c>
      <c r="D45" s="37" t="str">
        <f t="shared" si="6"/>
        <v xml:space="preserve">  </v>
      </c>
      <c r="E45" s="58" t="str">
        <f t="shared" si="7"/>
        <v/>
      </c>
      <c r="F45" s="42" t="str">
        <f t="shared" si="8"/>
        <v/>
      </c>
      <c r="G45" s="42" t="str">
        <f t="shared" si="9"/>
        <v/>
      </c>
      <c r="H45" s="38" t="str" cm="1">
        <f t="array" ref="H45:J45">IFERROR(CalcUnc(K45,L45,S45,T45,V45,X45,AD45,AE45,N45:R45,Z45,AA45),"")</f>
        <v/>
      </c>
      <c r="I45" s="50" t="str">
        <v/>
      </c>
      <c r="J45" s="89" t="str">
        <v/>
      </c>
      <c r="K45" s="55"/>
      <c r="L45" s="56"/>
      <c r="M45" s="22"/>
      <c r="N45" s="52"/>
      <c r="O45" s="53"/>
      <c r="P45" s="53"/>
      <c r="Q45" s="98"/>
      <c r="R45" s="98"/>
      <c r="S45" s="101"/>
      <c r="T45" s="114"/>
      <c r="U45" s="59"/>
      <c r="V45" s="64"/>
      <c r="W45" s="61"/>
      <c r="X45" s="115"/>
      <c r="Y45" s="132" t="str" cm="1">
        <f t="array" ref="Y45">GetPolarity(X45,AE45)</f>
        <v/>
      </c>
      <c r="Z45" s="62"/>
      <c r="AA45" s="65"/>
      <c r="AB45" s="73" t="str">
        <f t="shared" si="10"/>
        <v/>
      </c>
      <c r="AC45" s="73" t="str">
        <f t="shared" si="11"/>
        <v/>
      </c>
      <c r="AD45" s="62"/>
      <c r="AE45" s="61"/>
      <c r="AF45" s="21" t="str">
        <f t="shared" si="4"/>
        <v/>
      </c>
      <c r="AG45" s="28" t="str" cm="1">
        <f t="array" ref="AG45">FilterSpecialCharacters(X45)</f>
        <v/>
      </c>
      <c r="AH45" s="74" t="str">
        <f t="shared" si="5"/>
        <v xml:space="preserve"> </v>
      </c>
    </row>
    <row r="46" spans="1:34" x14ac:dyDescent="0.25">
      <c r="A46" s="121" t="str" cm="1">
        <f t="array" ref="A46">IfEmpty(TRIM(_xlfn.CONCAT(C46:H46)),"",CRC32HASH(_xlfn.CONCAT(C46:H46)))</f>
        <v/>
      </c>
      <c r="B46" s="10" t="str">
        <f>IFERROR(VLOOKUP(J46,Items[],2,FALSE),"")</f>
        <v/>
      </c>
      <c r="C46" s="34" t="str" cm="1">
        <f t="array" ref="C46">W46 &amp; " " &amp; IfEmpty(U46, AG46)</f>
        <v xml:space="preserve"> </v>
      </c>
      <c r="D46" s="43" t="str">
        <f t="shared" si="6"/>
        <v xml:space="preserve">  </v>
      </c>
      <c r="E46" s="57" t="str">
        <f t="shared" si="7"/>
        <v/>
      </c>
      <c r="F46" s="41" t="str">
        <f t="shared" si="8"/>
        <v/>
      </c>
      <c r="G46" s="41" t="str">
        <f t="shared" si="9"/>
        <v/>
      </c>
      <c r="H46" s="35" t="str" cm="1">
        <f t="array" ref="H46:J46">IFERROR(CalcUnc(K46,L46,S46,T46,V46,X46,AD46,AE46,N46:R46,Z46,AA46),"")</f>
        <v/>
      </c>
      <c r="I46" s="50" t="str">
        <v/>
      </c>
      <c r="J46" s="89" t="str">
        <v/>
      </c>
      <c r="K46" s="55"/>
      <c r="L46" s="56"/>
      <c r="M46" s="22"/>
      <c r="N46" s="52"/>
      <c r="O46" s="53"/>
      <c r="P46" s="53"/>
      <c r="Q46" s="98"/>
      <c r="R46" s="98"/>
      <c r="S46" s="101"/>
      <c r="T46" s="114"/>
      <c r="U46" s="59"/>
      <c r="V46" s="64"/>
      <c r="W46" s="61"/>
      <c r="X46" s="115"/>
      <c r="Y46" s="132" t="str" cm="1">
        <f t="array" ref="Y46">GetPolarity(X46,AE46)</f>
        <v/>
      </c>
      <c r="Z46" s="62"/>
      <c r="AA46" s="65"/>
      <c r="AB46" s="73" t="str">
        <f t="shared" si="10"/>
        <v/>
      </c>
      <c r="AC46" s="73" t="str">
        <f t="shared" si="11"/>
        <v/>
      </c>
      <c r="AD46" s="62"/>
      <c r="AE46" s="61"/>
      <c r="AF46" s="21" t="str">
        <f t="shared" si="4"/>
        <v/>
      </c>
      <c r="AG46" s="28" t="str" cm="1">
        <f t="array" ref="AG46">FilterSpecialCharacters(X46)</f>
        <v/>
      </c>
      <c r="AH46" s="74" t="str">
        <f t="shared" si="5"/>
        <v xml:space="preserve"> </v>
      </c>
    </row>
    <row r="47" spans="1:34" x14ac:dyDescent="0.25">
      <c r="A47" s="121" t="str" cm="1">
        <f t="array" ref="A47">IfEmpty(TRIM(_xlfn.CONCAT(C47:H47)),"",CRC32HASH(_xlfn.CONCAT(C47:H47)))</f>
        <v/>
      </c>
      <c r="B47" s="39" t="str">
        <f>IFERROR(VLOOKUP(J47,Items[],2,FALSE),"")</f>
        <v/>
      </c>
      <c r="C47" s="36" t="str" cm="1">
        <f t="array" ref="C47">W47 &amp; " " &amp; IfEmpty(U47, FilterSpecialCharacters(X47))</f>
        <v xml:space="preserve"> </v>
      </c>
      <c r="D47" s="37" t="str">
        <f t="shared" si="6"/>
        <v xml:space="preserve">  </v>
      </c>
      <c r="E47" s="58" t="str">
        <f t="shared" si="7"/>
        <v/>
      </c>
      <c r="F47" s="42" t="str">
        <f t="shared" si="8"/>
        <v/>
      </c>
      <c r="G47" s="42" t="str">
        <f t="shared" si="9"/>
        <v/>
      </c>
      <c r="H47" s="38" t="str" cm="1">
        <f t="array" ref="H47:J47">IFERROR(CalcUnc(K47,L47,S47,T47,V47,X47,AD47,AE47,N47:R47,Z47,AA47),"")</f>
        <v/>
      </c>
      <c r="I47" s="50" t="str">
        <v/>
      </c>
      <c r="J47" s="89" t="str">
        <v/>
      </c>
      <c r="K47" s="55"/>
      <c r="L47" s="56"/>
      <c r="M47" s="22"/>
      <c r="N47" s="52"/>
      <c r="O47" s="53"/>
      <c r="P47" s="53"/>
      <c r="Q47" s="98"/>
      <c r="R47" s="98"/>
      <c r="S47" s="101"/>
      <c r="T47" s="114"/>
      <c r="U47" s="59"/>
      <c r="V47" s="64"/>
      <c r="W47" s="61"/>
      <c r="X47" s="115"/>
      <c r="Y47" s="132" t="str" cm="1">
        <f t="array" ref="Y47">GetPolarity(X47,AE47)</f>
        <v/>
      </c>
      <c r="Z47" s="62"/>
      <c r="AA47" s="65"/>
      <c r="AB47" s="73" t="str">
        <f t="shared" si="10"/>
        <v/>
      </c>
      <c r="AC47" s="73" t="str">
        <f t="shared" si="11"/>
        <v/>
      </c>
      <c r="AD47" s="62"/>
      <c r="AE47" s="61"/>
      <c r="AF47" s="21" t="str">
        <f t="shared" si="4"/>
        <v/>
      </c>
      <c r="AG47" s="28" t="str" cm="1">
        <f t="array" ref="AG47">FilterSpecialCharacters(X47)</f>
        <v/>
      </c>
      <c r="AH47" s="74" t="str">
        <f t="shared" si="5"/>
        <v xml:space="preserve"> </v>
      </c>
    </row>
    <row r="48" spans="1:34" x14ac:dyDescent="0.25">
      <c r="A48" s="121" t="str" cm="1">
        <f t="array" ref="A48">IfEmpty(TRIM(_xlfn.CONCAT(C48:H48)),"",CRC32HASH(_xlfn.CONCAT(C48:H48)))</f>
        <v/>
      </c>
      <c r="B48" s="10" t="str">
        <f>IFERROR(VLOOKUP(J48,Items[],2,FALSE),"")</f>
        <v/>
      </c>
      <c r="C48" s="34" t="str" cm="1">
        <f t="array" ref="C48">W48 &amp; " " &amp; IfEmpty(U48, AG48)</f>
        <v xml:space="preserve"> </v>
      </c>
      <c r="D48" s="43" t="str">
        <f t="shared" si="6"/>
        <v xml:space="preserve">  </v>
      </c>
      <c r="E48" s="57" t="str">
        <f t="shared" si="7"/>
        <v/>
      </c>
      <c r="F48" s="41" t="str">
        <f t="shared" si="8"/>
        <v/>
      </c>
      <c r="G48" s="41" t="str">
        <f t="shared" si="9"/>
        <v/>
      </c>
      <c r="H48" s="35" t="str" cm="1">
        <f t="array" ref="H48:J48">IFERROR(CalcUnc(K48,L48,S48,T48,V48,X48,AD48,AE48,N48:R48,Z48,AA48),"")</f>
        <v/>
      </c>
      <c r="I48" s="50" t="str">
        <v/>
      </c>
      <c r="J48" s="89" t="str">
        <v/>
      </c>
      <c r="K48" s="55"/>
      <c r="L48" s="56"/>
      <c r="M48" s="22"/>
      <c r="N48" s="52"/>
      <c r="O48" s="53"/>
      <c r="P48" s="53"/>
      <c r="Q48" s="98"/>
      <c r="R48" s="98"/>
      <c r="S48" s="101"/>
      <c r="T48" s="114"/>
      <c r="U48" s="59"/>
      <c r="V48" s="64"/>
      <c r="W48" s="61"/>
      <c r="X48" s="115"/>
      <c r="Y48" s="132" t="str" cm="1">
        <f t="array" ref="Y48">GetPolarity(X48,AE48)</f>
        <v/>
      </c>
      <c r="Z48" s="62"/>
      <c r="AA48" s="65"/>
      <c r="AB48" s="73" t="str">
        <f t="shared" si="10"/>
        <v/>
      </c>
      <c r="AC48" s="73" t="str">
        <f t="shared" si="11"/>
        <v/>
      </c>
      <c r="AD48" s="62"/>
      <c r="AE48" s="61"/>
      <c r="AF48" s="21" t="str">
        <f t="shared" si="4"/>
        <v/>
      </c>
      <c r="AG48" s="28" t="str" cm="1">
        <f t="array" ref="AG48">FilterSpecialCharacters(X48)</f>
        <v/>
      </c>
      <c r="AH48" s="74" t="str">
        <f t="shared" si="5"/>
        <v xml:space="preserve"> </v>
      </c>
    </row>
    <row r="49" spans="1:34" x14ac:dyDescent="0.25">
      <c r="A49" s="121" t="str" cm="1">
        <f t="array" ref="A49">IfEmpty(TRIM(_xlfn.CONCAT(C49:H49)),"",CRC32HASH(_xlfn.CONCAT(C49:H49)))</f>
        <v/>
      </c>
      <c r="B49" s="39" t="str">
        <f>IFERROR(VLOOKUP(J49,Items[],2,FALSE),"")</f>
        <v/>
      </c>
      <c r="C49" s="36" t="str" cm="1">
        <f t="array" ref="C49">W49 &amp; " " &amp; IfEmpty(U49, FilterSpecialCharacters(X49))</f>
        <v xml:space="preserve"> </v>
      </c>
      <c r="D49" s="37" t="str">
        <f t="shared" si="6"/>
        <v xml:space="preserve">  </v>
      </c>
      <c r="E49" s="58" t="str">
        <f t="shared" si="7"/>
        <v/>
      </c>
      <c r="F49" s="42" t="str">
        <f t="shared" si="8"/>
        <v/>
      </c>
      <c r="G49" s="42" t="str">
        <f t="shared" si="9"/>
        <v/>
      </c>
      <c r="H49" s="38" t="str" cm="1">
        <f t="array" ref="H49:J49">IFERROR(CalcUnc(K49,L49,S49,T49,V49,X49,AD49,AE49,N49:R49,Z49,AA49),"")</f>
        <v/>
      </c>
      <c r="I49" s="50" t="str">
        <v/>
      </c>
      <c r="J49" s="89" t="str">
        <v/>
      </c>
      <c r="K49" s="55"/>
      <c r="L49" s="56"/>
      <c r="M49" s="22"/>
      <c r="N49" s="52"/>
      <c r="O49" s="53"/>
      <c r="P49" s="53"/>
      <c r="Q49" s="98"/>
      <c r="R49" s="98"/>
      <c r="S49" s="101"/>
      <c r="T49" s="114"/>
      <c r="U49" s="59"/>
      <c r="V49" s="64"/>
      <c r="W49" s="61"/>
      <c r="X49" s="115"/>
      <c r="Y49" s="132" t="str" cm="1">
        <f t="array" ref="Y49">GetPolarity(X49,AE49)</f>
        <v/>
      </c>
      <c r="Z49" s="62"/>
      <c r="AA49" s="65"/>
      <c r="AB49" s="73" t="str">
        <f t="shared" si="10"/>
        <v/>
      </c>
      <c r="AC49" s="73" t="str">
        <f t="shared" si="11"/>
        <v/>
      </c>
      <c r="AD49" s="62"/>
      <c r="AE49" s="61"/>
      <c r="AF49" s="21" t="str">
        <f t="shared" si="4"/>
        <v/>
      </c>
      <c r="AG49" s="28" t="str" cm="1">
        <f t="array" ref="AG49">FilterSpecialCharacters(X49)</f>
        <v/>
      </c>
      <c r="AH49" s="74" t="str">
        <f t="shared" si="5"/>
        <v xml:space="preserve"> </v>
      </c>
    </row>
    <row r="50" spans="1:34" x14ac:dyDescent="0.25">
      <c r="A50" s="121" t="str" cm="1">
        <f t="array" ref="A50">IfEmpty(TRIM(_xlfn.CONCAT(C50:H50)),"",CRC32HASH(_xlfn.CONCAT(C50:H50)))</f>
        <v/>
      </c>
      <c r="B50" s="10" t="str">
        <f>IFERROR(VLOOKUP(J50,Items[],2,FALSE),"")</f>
        <v/>
      </c>
      <c r="C50" s="34" t="str" cm="1">
        <f t="array" ref="C50">W50 &amp; " " &amp; IfEmpty(U50, AG50)</f>
        <v xml:space="preserve"> </v>
      </c>
      <c r="D50" s="43" t="str">
        <f t="shared" si="6"/>
        <v xml:space="preserve">  </v>
      </c>
      <c r="E50" s="57" t="str">
        <f t="shared" si="7"/>
        <v/>
      </c>
      <c r="F50" s="41" t="str">
        <f t="shared" si="8"/>
        <v/>
      </c>
      <c r="G50" s="41" t="str">
        <f t="shared" si="9"/>
        <v/>
      </c>
      <c r="H50" s="35" t="str" cm="1">
        <f t="array" ref="H50:J50">IFERROR(CalcUnc(K50,L50,S50,T50,V50,X50,AD50,AE50,N50:R50,Z50,AA50),"")</f>
        <v/>
      </c>
      <c r="I50" s="50" t="str">
        <v/>
      </c>
      <c r="J50" s="89" t="str">
        <v/>
      </c>
      <c r="K50" s="55"/>
      <c r="L50" s="56"/>
      <c r="M50" s="22"/>
      <c r="N50" s="52"/>
      <c r="O50" s="53"/>
      <c r="P50" s="53"/>
      <c r="Q50" s="98"/>
      <c r="R50" s="98"/>
      <c r="S50" s="101"/>
      <c r="T50" s="114"/>
      <c r="U50" s="59"/>
      <c r="V50" s="64"/>
      <c r="W50" s="61"/>
      <c r="X50" s="115"/>
      <c r="Y50" s="132" t="str" cm="1">
        <f t="array" ref="Y50">GetPolarity(X50,AE50)</f>
        <v/>
      </c>
      <c r="Z50" s="62"/>
      <c r="AA50" s="65"/>
      <c r="AB50" s="73" t="str">
        <f t="shared" si="10"/>
        <v/>
      </c>
      <c r="AC50" s="73" t="str">
        <f t="shared" si="11"/>
        <v/>
      </c>
      <c r="AD50" s="62"/>
      <c r="AE50" s="61"/>
      <c r="AF50" s="21" t="str">
        <f t="shared" si="4"/>
        <v/>
      </c>
      <c r="AG50" s="28" t="str" cm="1">
        <f t="array" ref="AG50">FilterSpecialCharacters(X50)</f>
        <v/>
      </c>
      <c r="AH50" s="74" t="str">
        <f t="shared" si="5"/>
        <v xml:space="preserve"> </v>
      </c>
    </row>
    <row r="51" spans="1:34" x14ac:dyDescent="0.25">
      <c r="A51" s="121" t="str" cm="1">
        <f t="array" ref="A51">IfEmpty(TRIM(_xlfn.CONCAT(C51:H51)),"",CRC32HASH(_xlfn.CONCAT(C51:H51)))</f>
        <v/>
      </c>
      <c r="B51" s="39" t="str">
        <f>IFERROR(VLOOKUP(J51,Items[],2,FALSE),"")</f>
        <v/>
      </c>
      <c r="C51" s="36" t="str" cm="1">
        <f t="array" ref="C51">W51 &amp; " " &amp; IfEmpty(U51, FilterSpecialCharacters(X51))</f>
        <v xml:space="preserve"> </v>
      </c>
      <c r="D51" s="37" t="str">
        <f t="shared" si="6"/>
        <v xml:space="preserve">  </v>
      </c>
      <c r="E51" s="58" t="str">
        <f t="shared" si="7"/>
        <v/>
      </c>
      <c r="F51" s="42" t="str">
        <f t="shared" si="8"/>
        <v/>
      </c>
      <c r="G51" s="42" t="str">
        <f t="shared" si="9"/>
        <v/>
      </c>
      <c r="H51" s="38" t="str" cm="1">
        <f t="array" ref="H51:J51">IFERROR(CalcUnc(K51,L51,S51,T51,V51,X51,AD51,AE51,N51:R51,Z51,AA51),"")</f>
        <v/>
      </c>
      <c r="I51" s="50" t="str">
        <v/>
      </c>
      <c r="J51" s="89" t="str">
        <v/>
      </c>
      <c r="K51" s="55"/>
      <c r="L51" s="56"/>
      <c r="M51" s="22"/>
      <c r="N51" s="52"/>
      <c r="O51" s="53"/>
      <c r="P51" s="53"/>
      <c r="Q51" s="98"/>
      <c r="R51" s="98"/>
      <c r="S51" s="101"/>
      <c r="T51" s="114"/>
      <c r="U51" s="59"/>
      <c r="V51" s="64"/>
      <c r="W51" s="61"/>
      <c r="X51" s="115"/>
      <c r="Y51" s="132" t="str" cm="1">
        <f t="array" ref="Y51">GetPolarity(X51,AE51)</f>
        <v/>
      </c>
      <c r="Z51" s="62"/>
      <c r="AA51" s="65"/>
      <c r="AB51" s="73" t="str">
        <f t="shared" si="10"/>
        <v/>
      </c>
      <c r="AC51" s="73" t="str">
        <f t="shared" si="11"/>
        <v/>
      </c>
      <c r="AD51" s="62"/>
      <c r="AE51" s="61"/>
      <c r="AF51" s="21" t="str">
        <f t="shared" si="4"/>
        <v/>
      </c>
      <c r="AG51" s="28" t="str" cm="1">
        <f t="array" ref="AG51">FilterSpecialCharacters(X51)</f>
        <v/>
      </c>
      <c r="AH51" s="74" t="str">
        <f t="shared" si="5"/>
        <v xml:space="preserve"> </v>
      </c>
    </row>
    <row r="52" spans="1:34" x14ac:dyDescent="0.25">
      <c r="A52" s="121" t="str" cm="1">
        <f t="array" ref="A52">IfEmpty(TRIM(_xlfn.CONCAT(C52:H52)),"",CRC32HASH(_xlfn.CONCAT(C52:H52)))</f>
        <v/>
      </c>
      <c r="B52" s="10" t="str">
        <f>IFERROR(VLOOKUP(J52,Items[],2,FALSE),"")</f>
        <v/>
      </c>
      <c r="C52" s="34" t="str" cm="1">
        <f t="array" ref="C52">W52 &amp; " " &amp; IfEmpty(U52, AG52)</f>
        <v xml:space="preserve"> </v>
      </c>
      <c r="D52" s="43" t="str">
        <f t="shared" si="6"/>
        <v xml:space="preserve">  </v>
      </c>
      <c r="E52" s="57" t="str">
        <f t="shared" si="7"/>
        <v/>
      </c>
      <c r="F52" s="41" t="str">
        <f t="shared" si="8"/>
        <v/>
      </c>
      <c r="G52" s="41" t="str">
        <f t="shared" si="9"/>
        <v/>
      </c>
      <c r="H52" s="35" t="str" cm="1">
        <f t="array" ref="H52:J52">IFERROR(CalcUnc(K52,L52,S52,T52,V52,X52,AD52,AE52,N52:R52,Z52,AA52),"")</f>
        <v/>
      </c>
      <c r="I52" s="50" t="str">
        <v/>
      </c>
      <c r="J52" s="89" t="str">
        <v/>
      </c>
      <c r="K52" s="55"/>
      <c r="L52" s="56"/>
      <c r="M52" s="22"/>
      <c r="N52" s="52"/>
      <c r="O52" s="53"/>
      <c r="P52" s="53"/>
      <c r="Q52" s="98"/>
      <c r="R52" s="98"/>
      <c r="S52" s="101"/>
      <c r="T52" s="114"/>
      <c r="U52" s="59"/>
      <c r="V52" s="64"/>
      <c r="W52" s="61"/>
      <c r="X52" s="115"/>
      <c r="Y52" s="132" t="str" cm="1">
        <f t="array" ref="Y52">GetPolarity(X52,AE52)</f>
        <v/>
      </c>
      <c r="Z52" s="62"/>
      <c r="AA52" s="65"/>
      <c r="AB52" s="73" t="str">
        <f t="shared" si="10"/>
        <v/>
      </c>
      <c r="AC52" s="73" t="str">
        <f t="shared" si="11"/>
        <v/>
      </c>
      <c r="AD52" s="62"/>
      <c r="AE52" s="61"/>
      <c r="AF52" s="21" t="str">
        <f t="shared" si="4"/>
        <v/>
      </c>
      <c r="AG52" s="28" t="str" cm="1">
        <f t="array" ref="AG52">FilterSpecialCharacters(X52)</f>
        <v/>
      </c>
      <c r="AH52" s="74" t="str">
        <f t="shared" si="5"/>
        <v xml:space="preserve"> </v>
      </c>
    </row>
    <row r="53" spans="1:34" x14ac:dyDescent="0.25">
      <c r="A53" s="121" t="str" cm="1">
        <f t="array" ref="A53">IfEmpty(TRIM(_xlfn.CONCAT(C53:H53)),"",CRC32HASH(_xlfn.CONCAT(C53:H53)))</f>
        <v/>
      </c>
      <c r="B53" s="39" t="str">
        <f>IFERROR(VLOOKUP(J53,Items[],2,FALSE),"")</f>
        <v/>
      </c>
      <c r="C53" s="36" t="str" cm="1">
        <f t="array" ref="C53">W53 &amp; " " &amp; IfEmpty(U53, FilterSpecialCharacters(X53))</f>
        <v xml:space="preserve"> </v>
      </c>
      <c r="D53" s="37" t="str">
        <f t="shared" si="6"/>
        <v xml:space="preserve">  </v>
      </c>
      <c r="E53" s="58" t="str">
        <f t="shared" si="7"/>
        <v/>
      </c>
      <c r="F53" s="42" t="str">
        <f t="shared" si="8"/>
        <v/>
      </c>
      <c r="G53" s="42" t="str">
        <f t="shared" si="9"/>
        <v/>
      </c>
      <c r="H53" s="38" t="str" cm="1">
        <f t="array" ref="H53:J53">IFERROR(CalcUnc(K53,L53,S53,T53,V53,X53,AD53,AE53,N53:R53,Z53,AA53),"")</f>
        <v/>
      </c>
      <c r="I53" s="50" t="str">
        <v/>
      </c>
      <c r="J53" s="89" t="str">
        <v/>
      </c>
      <c r="K53" s="55"/>
      <c r="L53" s="56"/>
      <c r="M53" s="22"/>
      <c r="N53" s="52"/>
      <c r="O53" s="53"/>
      <c r="P53" s="53"/>
      <c r="Q53" s="98"/>
      <c r="R53" s="98"/>
      <c r="S53" s="101"/>
      <c r="T53" s="114"/>
      <c r="U53" s="59"/>
      <c r="V53" s="64"/>
      <c r="W53" s="61"/>
      <c r="X53" s="115"/>
      <c r="Y53" s="132" t="str" cm="1">
        <f t="array" ref="Y53">GetPolarity(X53,AE53)</f>
        <v/>
      </c>
      <c r="Z53" s="62"/>
      <c r="AA53" s="65"/>
      <c r="AB53" s="73" t="str">
        <f t="shared" si="10"/>
        <v/>
      </c>
      <c r="AC53" s="73" t="str">
        <f t="shared" si="11"/>
        <v/>
      </c>
      <c r="AD53" s="62"/>
      <c r="AE53" s="61"/>
      <c r="AF53" s="21" t="str">
        <f t="shared" si="4"/>
        <v/>
      </c>
      <c r="AG53" s="28" t="str" cm="1">
        <f t="array" ref="AG53">FilterSpecialCharacters(X53)</f>
        <v/>
      </c>
      <c r="AH53" s="74" t="str">
        <f t="shared" si="5"/>
        <v xml:space="preserve"> </v>
      </c>
    </row>
    <row r="54" spans="1:34" x14ac:dyDescent="0.25">
      <c r="A54" s="121" t="str" cm="1">
        <f t="array" ref="A54">IfEmpty(TRIM(_xlfn.CONCAT(C54:H54)),"",CRC32HASH(_xlfn.CONCAT(C54:H54)))</f>
        <v/>
      </c>
      <c r="B54" s="10" t="str">
        <f>IFERROR(VLOOKUP(J54,Items[],2,FALSE),"")</f>
        <v/>
      </c>
      <c r="C54" s="34" t="str" cm="1">
        <f t="array" ref="C54">W54 &amp; " " &amp; IfEmpty(U54, AG54)</f>
        <v xml:space="preserve"> </v>
      </c>
      <c r="D54" s="43" t="str">
        <f t="shared" si="6"/>
        <v xml:space="preserve">  </v>
      </c>
      <c r="E54" s="57" t="str">
        <f t="shared" si="7"/>
        <v/>
      </c>
      <c r="F54" s="41" t="str">
        <f t="shared" si="8"/>
        <v/>
      </c>
      <c r="G54" s="41" t="str">
        <f t="shared" si="9"/>
        <v/>
      </c>
      <c r="H54" s="35" t="str" cm="1">
        <f t="array" ref="H54:J54">IFERROR(CalcUnc(K54,L54,S54,T54,V54,X54,AD54,AE54,N54:R54,Z54,AA54),"")</f>
        <v/>
      </c>
      <c r="I54" s="50" t="str">
        <v/>
      </c>
      <c r="J54" s="89" t="str">
        <v/>
      </c>
      <c r="K54" s="55"/>
      <c r="L54" s="56"/>
      <c r="M54" s="22"/>
      <c r="N54" s="52"/>
      <c r="O54" s="53"/>
      <c r="P54" s="53"/>
      <c r="Q54" s="98"/>
      <c r="R54" s="98"/>
      <c r="S54" s="101"/>
      <c r="T54" s="114"/>
      <c r="U54" s="59"/>
      <c r="V54" s="64"/>
      <c r="W54" s="61"/>
      <c r="X54" s="115"/>
      <c r="Y54" s="132" t="str" cm="1">
        <f t="array" ref="Y54">GetPolarity(X54,AE54)</f>
        <v/>
      </c>
      <c r="Z54" s="62"/>
      <c r="AA54" s="65"/>
      <c r="AB54" s="73" t="str">
        <f t="shared" si="10"/>
        <v/>
      </c>
      <c r="AC54" s="73" t="str">
        <f t="shared" si="11"/>
        <v/>
      </c>
      <c r="AD54" s="62"/>
      <c r="AE54" s="61"/>
      <c r="AF54" s="21" t="str">
        <f t="shared" si="4"/>
        <v/>
      </c>
      <c r="AG54" s="28" t="str" cm="1">
        <f t="array" ref="AG54">FilterSpecialCharacters(X54)</f>
        <v/>
      </c>
      <c r="AH54" s="74" t="str">
        <f t="shared" si="5"/>
        <v xml:space="preserve"> </v>
      </c>
    </row>
    <row r="55" spans="1:34" x14ac:dyDescent="0.25">
      <c r="A55" s="121" t="str" cm="1">
        <f t="array" ref="A55">IfEmpty(TRIM(_xlfn.CONCAT(C55:H55)),"",CRC32HASH(_xlfn.CONCAT(C55:H55)))</f>
        <v/>
      </c>
      <c r="B55" s="39" t="str">
        <f>IFERROR(VLOOKUP(J55,Items[],2,FALSE),"")</f>
        <v/>
      </c>
      <c r="C55" s="36" t="str" cm="1">
        <f t="array" ref="C55">W55 &amp; " " &amp; IfEmpty(U55, FilterSpecialCharacters(X55))</f>
        <v xml:space="preserve"> </v>
      </c>
      <c r="D55" s="37" t="str">
        <f t="shared" si="6"/>
        <v xml:space="preserve">  </v>
      </c>
      <c r="E55" s="58" t="str">
        <f t="shared" si="7"/>
        <v/>
      </c>
      <c r="F55" s="42" t="str">
        <f t="shared" si="8"/>
        <v/>
      </c>
      <c r="G55" s="42" t="str">
        <f t="shared" si="9"/>
        <v/>
      </c>
      <c r="H55" s="38" t="str" cm="1">
        <f t="array" ref="H55:J55">IFERROR(CalcUnc(K55,L55,S55,T55,V55,X55,AD55,AE55,N55:R55,Z55,AA55),"")</f>
        <v/>
      </c>
      <c r="I55" s="50" t="str">
        <v/>
      </c>
      <c r="J55" s="89" t="str">
        <v/>
      </c>
      <c r="K55" s="55"/>
      <c r="L55" s="56"/>
      <c r="M55" s="22"/>
      <c r="N55" s="52"/>
      <c r="O55" s="53"/>
      <c r="P55" s="53"/>
      <c r="Q55" s="98"/>
      <c r="R55" s="98"/>
      <c r="S55" s="101"/>
      <c r="T55" s="114"/>
      <c r="U55" s="59"/>
      <c r="V55" s="64"/>
      <c r="W55" s="61"/>
      <c r="X55" s="115"/>
      <c r="Y55" s="132" t="str" cm="1">
        <f t="array" ref="Y55">GetPolarity(X55,AE55)</f>
        <v/>
      </c>
      <c r="Z55" s="62"/>
      <c r="AA55" s="65"/>
      <c r="AB55" s="73" t="str">
        <f t="shared" si="10"/>
        <v/>
      </c>
      <c r="AC55" s="73" t="str">
        <f t="shared" si="11"/>
        <v/>
      </c>
      <c r="AD55" s="62"/>
      <c r="AE55" s="61"/>
      <c r="AF55" s="21" t="str">
        <f t="shared" si="4"/>
        <v/>
      </c>
      <c r="AG55" s="28" t="str" cm="1">
        <f t="array" ref="AG55">FilterSpecialCharacters(X55)</f>
        <v/>
      </c>
      <c r="AH55" s="74" t="str">
        <f t="shared" si="5"/>
        <v xml:space="preserve"> </v>
      </c>
    </row>
    <row r="56" spans="1:34" x14ac:dyDescent="0.25">
      <c r="A56" s="121" t="str" cm="1">
        <f t="array" ref="A56">IfEmpty(TRIM(_xlfn.CONCAT(C56:H56)),"",CRC32HASH(_xlfn.CONCAT(C56:H56)))</f>
        <v/>
      </c>
      <c r="B56" s="10" t="str">
        <f>IFERROR(VLOOKUP(J56,Items[],2,FALSE),"")</f>
        <v/>
      </c>
      <c r="C56" s="34" t="str" cm="1">
        <f t="array" ref="C56">W56 &amp; " " &amp; IfEmpty(U56, AG56)</f>
        <v xml:space="preserve"> </v>
      </c>
      <c r="D56" s="43" t="str">
        <f t="shared" si="6"/>
        <v xml:space="preserve">  </v>
      </c>
      <c r="E56" s="57" t="str">
        <f t="shared" si="7"/>
        <v/>
      </c>
      <c r="F56" s="41" t="str">
        <f t="shared" si="8"/>
        <v/>
      </c>
      <c r="G56" s="41" t="str">
        <f t="shared" si="9"/>
        <v/>
      </c>
      <c r="H56" s="35" t="str" cm="1">
        <f t="array" ref="H56:J56">IFERROR(CalcUnc(K56,L56,S56,T56,V56,X56,AD56,AE56,N56:R56,Z56,AA56),"")</f>
        <v/>
      </c>
      <c r="I56" s="50" t="str">
        <v/>
      </c>
      <c r="J56" s="89" t="str">
        <v/>
      </c>
      <c r="K56" s="55"/>
      <c r="L56" s="56"/>
      <c r="M56" s="22"/>
      <c r="N56" s="52"/>
      <c r="O56" s="53"/>
      <c r="P56" s="53"/>
      <c r="Q56" s="98"/>
      <c r="R56" s="98"/>
      <c r="S56" s="101"/>
      <c r="T56" s="114"/>
      <c r="U56" s="59"/>
      <c r="V56" s="64"/>
      <c r="W56" s="61"/>
      <c r="X56" s="115"/>
      <c r="Y56" s="132" t="str" cm="1">
        <f t="array" ref="Y56">GetPolarity(X56,AE56)</f>
        <v/>
      </c>
      <c r="Z56" s="62"/>
      <c r="AA56" s="65"/>
      <c r="AB56" s="73" t="str">
        <f t="shared" si="10"/>
        <v/>
      </c>
      <c r="AC56" s="73" t="str">
        <f t="shared" si="11"/>
        <v/>
      </c>
      <c r="AD56" s="62"/>
      <c r="AE56" s="61"/>
      <c r="AF56" s="21" t="str">
        <f t="shared" si="4"/>
        <v/>
      </c>
      <c r="AG56" s="28" t="str" cm="1">
        <f t="array" ref="AG56">FilterSpecialCharacters(X56)</f>
        <v/>
      </c>
      <c r="AH56" s="74" t="str">
        <f t="shared" si="5"/>
        <v xml:space="preserve"> </v>
      </c>
    </row>
    <row r="57" spans="1:34" x14ac:dyDescent="0.25">
      <c r="A57" s="121" t="str" cm="1">
        <f t="array" ref="A57">IfEmpty(TRIM(_xlfn.CONCAT(C57:H57)),"",CRC32HASH(_xlfn.CONCAT(C57:H57)))</f>
        <v/>
      </c>
      <c r="B57" s="39" t="str">
        <f>IFERROR(VLOOKUP(J57,Items[],2,FALSE),"")</f>
        <v/>
      </c>
      <c r="C57" s="36" t="str" cm="1">
        <f t="array" ref="C57">W57 &amp; " " &amp; IfEmpty(U57, FilterSpecialCharacters(X57))</f>
        <v xml:space="preserve"> </v>
      </c>
      <c r="D57" s="37" t="str">
        <f t="shared" si="6"/>
        <v xml:space="preserve">  </v>
      </c>
      <c r="E57" s="58" t="str">
        <f t="shared" si="7"/>
        <v/>
      </c>
      <c r="F57" s="42" t="str">
        <f t="shared" si="8"/>
        <v/>
      </c>
      <c r="G57" s="42" t="str">
        <f t="shared" si="9"/>
        <v/>
      </c>
      <c r="H57" s="38" t="str" cm="1">
        <f t="array" ref="H57:J57">IFERROR(CalcUnc(K57,L57,S57,T57,V57,X57,AD57,AE57,N57:R57,Z57,AA57),"")</f>
        <v/>
      </c>
      <c r="I57" s="50" t="str">
        <v/>
      </c>
      <c r="J57" s="89" t="str">
        <v/>
      </c>
      <c r="K57" s="55"/>
      <c r="L57" s="56"/>
      <c r="M57" s="22"/>
      <c r="N57" s="52"/>
      <c r="O57" s="53"/>
      <c r="P57" s="53"/>
      <c r="Q57" s="98"/>
      <c r="R57" s="98"/>
      <c r="S57" s="101"/>
      <c r="T57" s="114"/>
      <c r="U57" s="59"/>
      <c r="V57" s="64"/>
      <c r="W57" s="61"/>
      <c r="X57" s="115"/>
      <c r="Y57" s="132" t="str" cm="1">
        <f t="array" ref="Y57">GetPolarity(X57,AE57)</f>
        <v/>
      </c>
      <c r="Z57" s="62"/>
      <c r="AA57" s="65"/>
      <c r="AB57" s="73" t="str">
        <f t="shared" si="10"/>
        <v/>
      </c>
      <c r="AC57" s="73" t="str">
        <f t="shared" si="11"/>
        <v/>
      </c>
      <c r="AD57" s="62"/>
      <c r="AE57" s="61"/>
      <c r="AF57" s="21" t="str">
        <f t="shared" si="4"/>
        <v/>
      </c>
      <c r="AG57" s="28" t="str" cm="1">
        <f t="array" ref="AG57">FilterSpecialCharacters(X57)</f>
        <v/>
      </c>
      <c r="AH57" s="74" t="str">
        <f t="shared" si="5"/>
        <v xml:space="preserve"> </v>
      </c>
    </row>
    <row r="58" spans="1:34" x14ac:dyDescent="0.25">
      <c r="A58" s="121" t="str" cm="1">
        <f t="array" ref="A58">IfEmpty(TRIM(_xlfn.CONCAT(C58:H58)),"",CRC32HASH(_xlfn.CONCAT(C58:H58)))</f>
        <v/>
      </c>
      <c r="B58" s="10" t="str">
        <f>IFERROR(VLOOKUP(J58,Items[],2,FALSE),"")</f>
        <v/>
      </c>
      <c r="C58" s="34" t="str" cm="1">
        <f t="array" ref="C58">W58 &amp; " " &amp; IfEmpty(U58, AG58)</f>
        <v xml:space="preserve"> </v>
      </c>
      <c r="D58" s="43" t="str">
        <f t="shared" si="6"/>
        <v xml:space="preserve">  </v>
      </c>
      <c r="E58" s="57" t="str">
        <f t="shared" si="7"/>
        <v/>
      </c>
      <c r="F58" s="41" t="str">
        <f t="shared" si="8"/>
        <v/>
      </c>
      <c r="G58" s="41" t="str">
        <f t="shared" si="9"/>
        <v/>
      </c>
      <c r="H58" s="35" t="str" cm="1">
        <f t="array" ref="H58:J58">IFERROR(CalcUnc(K58,L58,S58,T58,V58,X58,AD58,AE58,N58:R58,Z58,AA58),"")</f>
        <v/>
      </c>
      <c r="I58" s="50" t="str">
        <v/>
      </c>
      <c r="J58" s="89" t="str">
        <v/>
      </c>
      <c r="K58" s="55"/>
      <c r="L58" s="56"/>
      <c r="M58" s="22"/>
      <c r="N58" s="52"/>
      <c r="O58" s="53"/>
      <c r="P58" s="53"/>
      <c r="Q58" s="98"/>
      <c r="R58" s="98"/>
      <c r="S58" s="101"/>
      <c r="T58" s="114"/>
      <c r="U58" s="59"/>
      <c r="V58" s="64"/>
      <c r="W58" s="61"/>
      <c r="X58" s="115"/>
      <c r="Y58" s="132" t="str" cm="1">
        <f t="array" ref="Y58">GetPolarity(X58,AE58)</f>
        <v/>
      </c>
      <c r="Z58" s="62"/>
      <c r="AA58" s="65"/>
      <c r="AB58" s="73" t="str">
        <f t="shared" si="10"/>
        <v/>
      </c>
      <c r="AC58" s="73" t="str">
        <f t="shared" si="11"/>
        <v/>
      </c>
      <c r="AD58" s="62"/>
      <c r="AE58" s="61"/>
      <c r="AF58" s="21" t="str">
        <f t="shared" si="4"/>
        <v/>
      </c>
      <c r="AG58" s="28" t="str" cm="1">
        <f t="array" ref="AG58">FilterSpecialCharacters(X58)</f>
        <v/>
      </c>
      <c r="AH58" s="74" t="str">
        <f t="shared" si="5"/>
        <v xml:space="preserve"> </v>
      </c>
    </row>
    <row r="59" spans="1:34" x14ac:dyDescent="0.25">
      <c r="A59" s="121" t="str" cm="1">
        <f t="array" ref="A59">IfEmpty(TRIM(_xlfn.CONCAT(C59:H59)),"",CRC32HASH(_xlfn.CONCAT(C59:H59)))</f>
        <v/>
      </c>
      <c r="B59" s="39" t="str">
        <f>IFERROR(VLOOKUP(J59,Items[],2,FALSE),"")</f>
        <v/>
      </c>
      <c r="C59" s="36" t="str" cm="1">
        <f t="array" ref="C59">W59 &amp; " " &amp; IfEmpty(U59, FilterSpecialCharacters(X59))</f>
        <v xml:space="preserve"> </v>
      </c>
      <c r="D59" s="37" t="str">
        <f t="shared" si="6"/>
        <v xml:space="preserve">  </v>
      </c>
      <c r="E59" s="58" t="str">
        <f t="shared" si="7"/>
        <v/>
      </c>
      <c r="F59" s="42" t="str">
        <f t="shared" si="8"/>
        <v/>
      </c>
      <c r="G59" s="42" t="str">
        <f t="shared" si="9"/>
        <v/>
      </c>
      <c r="H59" s="38" t="str" cm="1">
        <f t="array" ref="H59:J59">IFERROR(CalcUnc(K59,L59,S59,T59,V59,X59,AD59,AE59,N59:R59,Z59,AA59),"")</f>
        <v/>
      </c>
      <c r="I59" s="50" t="str">
        <v/>
      </c>
      <c r="J59" s="89" t="str">
        <v/>
      </c>
      <c r="K59" s="55"/>
      <c r="L59" s="56"/>
      <c r="M59" s="22"/>
      <c r="N59" s="52"/>
      <c r="O59" s="53"/>
      <c r="P59" s="53"/>
      <c r="Q59" s="98"/>
      <c r="R59" s="98"/>
      <c r="S59" s="101"/>
      <c r="T59" s="114"/>
      <c r="U59" s="59"/>
      <c r="V59" s="64"/>
      <c r="W59" s="61"/>
      <c r="X59" s="115"/>
      <c r="Y59" s="132" t="str" cm="1">
        <f t="array" ref="Y59">GetPolarity(X59,AE59)</f>
        <v/>
      </c>
      <c r="Z59" s="62"/>
      <c r="AA59" s="65"/>
      <c r="AB59" s="73" t="str">
        <f t="shared" si="10"/>
        <v/>
      </c>
      <c r="AC59" s="73" t="str">
        <f t="shared" si="11"/>
        <v/>
      </c>
      <c r="AD59" s="62"/>
      <c r="AE59" s="61"/>
      <c r="AF59" s="21" t="str">
        <f t="shared" si="4"/>
        <v/>
      </c>
      <c r="AG59" s="28" t="str" cm="1">
        <f t="array" ref="AG59">FilterSpecialCharacters(X59)</f>
        <v/>
      </c>
      <c r="AH59" s="74" t="str">
        <f t="shared" si="5"/>
        <v xml:space="preserve"> </v>
      </c>
    </row>
    <row r="60" spans="1:34" x14ac:dyDescent="0.25">
      <c r="A60" s="121" t="str" cm="1">
        <f t="array" ref="A60">IfEmpty(TRIM(_xlfn.CONCAT(C60:H60)),"",CRC32HASH(_xlfn.CONCAT(C60:H60)))</f>
        <v/>
      </c>
      <c r="B60" s="10" t="str">
        <f>IFERROR(VLOOKUP(J60,Items[],2,FALSE),"")</f>
        <v/>
      </c>
      <c r="C60" s="34" t="str" cm="1">
        <f t="array" ref="C60">W60 &amp; " " &amp; IfEmpty(U60, AG60)</f>
        <v xml:space="preserve"> </v>
      </c>
      <c r="D60" s="43" t="str">
        <f t="shared" si="6"/>
        <v xml:space="preserve">  </v>
      </c>
      <c r="E60" s="57" t="str">
        <f t="shared" si="7"/>
        <v/>
      </c>
      <c r="F60" s="41" t="str">
        <f t="shared" si="8"/>
        <v/>
      </c>
      <c r="G60" s="41" t="str">
        <f t="shared" si="9"/>
        <v/>
      </c>
      <c r="H60" s="35" t="str" cm="1">
        <f t="array" ref="H60:J60">IFERROR(CalcUnc(K60,L60,S60,T60,V60,X60,AD60,AE60,N60:R60,Z60,AA60),"")</f>
        <v/>
      </c>
      <c r="I60" s="50" t="str">
        <v/>
      </c>
      <c r="J60" s="89" t="str">
        <v/>
      </c>
      <c r="K60" s="55"/>
      <c r="L60" s="56"/>
      <c r="M60" s="22"/>
      <c r="N60" s="52"/>
      <c r="O60" s="53"/>
      <c r="P60" s="53"/>
      <c r="Q60" s="98"/>
      <c r="R60" s="98"/>
      <c r="S60" s="101"/>
      <c r="T60" s="114"/>
      <c r="U60" s="59"/>
      <c r="V60" s="64"/>
      <c r="W60" s="61"/>
      <c r="X60" s="115"/>
      <c r="Y60" s="132" t="str" cm="1">
        <f t="array" ref="Y60">GetPolarity(X60,AE60)</f>
        <v/>
      </c>
      <c r="Z60" s="62"/>
      <c r="AA60" s="65"/>
      <c r="AB60" s="73" t="str">
        <f t="shared" si="10"/>
        <v/>
      </c>
      <c r="AC60" s="73" t="str">
        <f t="shared" si="11"/>
        <v/>
      </c>
      <c r="AD60" s="62"/>
      <c r="AE60" s="61"/>
      <c r="AF60" s="21" t="str">
        <f t="shared" si="4"/>
        <v/>
      </c>
      <c r="AG60" s="28" t="str" cm="1">
        <f t="array" ref="AG60">FilterSpecialCharacters(X60)</f>
        <v/>
      </c>
      <c r="AH60" s="74" t="str">
        <f t="shared" si="5"/>
        <v xml:space="preserve"> </v>
      </c>
    </row>
    <row r="61" spans="1:34" x14ac:dyDescent="0.25">
      <c r="A61" s="121" t="str" cm="1">
        <f t="array" ref="A61">IfEmpty(TRIM(_xlfn.CONCAT(C61:H61)),"",CRC32HASH(_xlfn.CONCAT(C61:H61)))</f>
        <v/>
      </c>
      <c r="B61" s="39" t="str">
        <f>IFERROR(VLOOKUP(J61,Items[],2,FALSE),"")</f>
        <v/>
      </c>
      <c r="C61" s="36" t="str" cm="1">
        <f t="array" ref="C61">W61 &amp; " " &amp; IfEmpty(U61, FilterSpecialCharacters(X61))</f>
        <v xml:space="preserve"> </v>
      </c>
      <c r="D61" s="37" t="str">
        <f t="shared" si="6"/>
        <v xml:space="preserve">  </v>
      </c>
      <c r="E61" s="58" t="str">
        <f t="shared" si="7"/>
        <v/>
      </c>
      <c r="F61" s="42" t="str">
        <f t="shared" si="8"/>
        <v/>
      </c>
      <c r="G61" s="42" t="str">
        <f t="shared" si="9"/>
        <v/>
      </c>
      <c r="H61" s="38" t="str" cm="1">
        <f t="array" ref="H61:J61">IFERROR(CalcUnc(K61,L61,S61,T61,V61,X61,AD61,AE61,N61:R61,Z61,AA61),"")</f>
        <v/>
      </c>
      <c r="I61" s="50" t="str">
        <v/>
      </c>
      <c r="J61" s="89" t="str">
        <v/>
      </c>
      <c r="K61" s="55"/>
      <c r="L61" s="56"/>
      <c r="M61" s="22"/>
      <c r="N61" s="52"/>
      <c r="O61" s="53"/>
      <c r="P61" s="53"/>
      <c r="Q61" s="98"/>
      <c r="R61" s="98"/>
      <c r="S61" s="101"/>
      <c r="T61" s="114"/>
      <c r="U61" s="59"/>
      <c r="V61" s="64"/>
      <c r="W61" s="61"/>
      <c r="X61" s="115"/>
      <c r="Y61" s="132" t="str" cm="1">
        <f t="array" ref="Y61">GetPolarity(X61,AE61)</f>
        <v/>
      </c>
      <c r="Z61" s="62"/>
      <c r="AA61" s="65"/>
      <c r="AB61" s="73" t="str">
        <f t="shared" si="10"/>
        <v/>
      </c>
      <c r="AC61" s="73" t="str">
        <f t="shared" si="11"/>
        <v/>
      </c>
      <c r="AD61" s="62"/>
      <c r="AE61" s="61"/>
      <c r="AF61" s="21" t="str">
        <f t="shared" si="4"/>
        <v/>
      </c>
      <c r="AG61" s="28" t="str" cm="1">
        <f t="array" ref="AG61">FilterSpecialCharacters(X61)</f>
        <v/>
      </c>
      <c r="AH61" s="74" t="str">
        <f t="shared" si="5"/>
        <v xml:space="preserve"> </v>
      </c>
    </row>
    <row r="62" spans="1:34" x14ac:dyDescent="0.25">
      <c r="A62" s="121" t="str" cm="1">
        <f t="array" ref="A62">IfEmpty(TRIM(_xlfn.CONCAT(C62:H62)),"",CRC32HASH(_xlfn.CONCAT(C62:H62)))</f>
        <v/>
      </c>
      <c r="B62" s="10" t="str">
        <f>IFERROR(VLOOKUP(J62,Items[],2,FALSE),"")</f>
        <v/>
      </c>
      <c r="C62" s="34" t="str" cm="1">
        <f t="array" ref="C62">W62 &amp; " " &amp; IfEmpty(U62, AG62)</f>
        <v xml:space="preserve"> </v>
      </c>
      <c r="D62" s="43" t="str">
        <f t="shared" si="6"/>
        <v xml:space="preserve">  </v>
      </c>
      <c r="E62" s="57" t="str">
        <f t="shared" si="7"/>
        <v/>
      </c>
      <c r="F62" s="41" t="str">
        <f t="shared" si="8"/>
        <v/>
      </c>
      <c r="G62" s="41" t="str">
        <f t="shared" si="9"/>
        <v/>
      </c>
      <c r="H62" s="35" t="str" cm="1">
        <f t="array" ref="H62:J62">IFERROR(CalcUnc(K62,L62,S62,T62,V62,X62,AD62,AE62,N62:R62,Z62,AA62),"")</f>
        <v/>
      </c>
      <c r="I62" s="50" t="str">
        <v/>
      </c>
      <c r="J62" s="89" t="str">
        <v/>
      </c>
      <c r="K62" s="55"/>
      <c r="L62" s="56"/>
      <c r="M62" s="22"/>
      <c r="N62" s="52"/>
      <c r="O62" s="53"/>
      <c r="P62" s="53"/>
      <c r="Q62" s="98"/>
      <c r="R62" s="98"/>
      <c r="S62" s="101"/>
      <c r="T62" s="114"/>
      <c r="U62" s="59"/>
      <c r="V62" s="64"/>
      <c r="W62" s="61"/>
      <c r="X62" s="115"/>
      <c r="Y62" s="132" t="str" cm="1">
        <f t="array" ref="Y62">GetPolarity(X62,AE62)</f>
        <v/>
      </c>
      <c r="Z62" s="62"/>
      <c r="AA62" s="65"/>
      <c r="AB62" s="73" t="str">
        <f t="shared" si="10"/>
        <v/>
      </c>
      <c r="AC62" s="73" t="str">
        <f t="shared" si="11"/>
        <v/>
      </c>
      <c r="AD62" s="62"/>
      <c r="AE62" s="61"/>
      <c r="AF62" s="21" t="str">
        <f t="shared" si="4"/>
        <v/>
      </c>
      <c r="AG62" s="28" t="str" cm="1">
        <f t="array" ref="AG62">FilterSpecialCharacters(X62)</f>
        <v/>
      </c>
      <c r="AH62" s="74" t="str">
        <f t="shared" si="5"/>
        <v xml:space="preserve"> </v>
      </c>
    </row>
    <row r="63" spans="1:34" x14ac:dyDescent="0.25">
      <c r="A63" s="121" t="str" cm="1">
        <f t="array" ref="A63">IfEmpty(TRIM(_xlfn.CONCAT(C63:H63)),"",CRC32HASH(_xlfn.CONCAT(C63:H63)))</f>
        <v/>
      </c>
      <c r="B63" s="39" t="str">
        <f>IFERROR(VLOOKUP(J63,Items[],2,FALSE),"")</f>
        <v/>
      </c>
      <c r="C63" s="36" t="str" cm="1">
        <f t="array" ref="C63">W63 &amp; " " &amp; IfEmpty(U63, FilterSpecialCharacters(X63))</f>
        <v xml:space="preserve"> </v>
      </c>
      <c r="D63" s="37" t="str">
        <f t="shared" si="6"/>
        <v xml:space="preserve">  </v>
      </c>
      <c r="E63" s="58" t="str">
        <f t="shared" si="7"/>
        <v/>
      </c>
      <c r="F63" s="42" t="str">
        <f t="shared" si="8"/>
        <v/>
      </c>
      <c r="G63" s="42" t="str">
        <f t="shared" si="9"/>
        <v/>
      </c>
      <c r="H63" s="38" t="str" cm="1">
        <f t="array" ref="H63:J63">IFERROR(CalcUnc(K63,L63,S63,T63,V63,X63,AD63,AE63,N63:R63,Z63,AA63),"")</f>
        <v/>
      </c>
      <c r="I63" s="50" t="str">
        <v/>
      </c>
      <c r="J63" s="89" t="str">
        <v/>
      </c>
      <c r="K63" s="55"/>
      <c r="L63" s="56"/>
      <c r="M63" s="22"/>
      <c r="N63" s="52"/>
      <c r="O63" s="53"/>
      <c r="P63" s="53"/>
      <c r="Q63" s="98"/>
      <c r="R63" s="98"/>
      <c r="S63" s="101"/>
      <c r="T63" s="114"/>
      <c r="U63" s="59"/>
      <c r="V63" s="64"/>
      <c r="W63" s="61"/>
      <c r="X63" s="115"/>
      <c r="Y63" s="132" t="str" cm="1">
        <f t="array" ref="Y63">GetPolarity(X63,AE63)</f>
        <v/>
      </c>
      <c r="Z63" s="62"/>
      <c r="AA63" s="65"/>
      <c r="AB63" s="73" t="str">
        <f t="shared" si="10"/>
        <v/>
      </c>
      <c r="AC63" s="73" t="str">
        <f t="shared" si="11"/>
        <v/>
      </c>
      <c r="AD63" s="62"/>
      <c r="AE63" s="61"/>
      <c r="AF63" s="21" t="str">
        <f t="shared" si="4"/>
        <v/>
      </c>
      <c r="AG63" s="28" t="str" cm="1">
        <f t="array" ref="AG63">FilterSpecialCharacters(X63)</f>
        <v/>
      </c>
      <c r="AH63" s="74" t="str">
        <f t="shared" si="5"/>
        <v xml:space="preserve"> </v>
      </c>
    </row>
    <row r="64" spans="1:34" x14ac:dyDescent="0.25">
      <c r="A64" s="121" t="str" cm="1">
        <f t="array" ref="A64">IfEmpty(TRIM(_xlfn.CONCAT(C64:H64)),"",CRC32HASH(_xlfn.CONCAT(C64:H64)))</f>
        <v/>
      </c>
      <c r="B64" s="10" t="str">
        <f>IFERROR(VLOOKUP(J64,Items[],2,FALSE),"")</f>
        <v/>
      </c>
      <c r="C64" s="34" t="str" cm="1">
        <f t="array" ref="C64">W64 &amp; " " &amp; IfEmpty(U64, AG64)</f>
        <v xml:space="preserve"> </v>
      </c>
      <c r="D64" s="43" t="str">
        <f t="shared" si="6"/>
        <v xml:space="preserve">  </v>
      </c>
      <c r="E64" s="57" t="str">
        <f t="shared" si="7"/>
        <v/>
      </c>
      <c r="F64" s="41" t="str">
        <f t="shared" si="8"/>
        <v/>
      </c>
      <c r="G64" s="41" t="str">
        <f t="shared" si="9"/>
        <v/>
      </c>
      <c r="H64" s="35" t="str" cm="1">
        <f t="array" ref="H64:J64">IFERROR(CalcUnc(K64,L64,S64,T64,V64,X64,AD64,AE64,N64:R64,Z64,AA64),"")</f>
        <v/>
      </c>
      <c r="I64" s="50" t="str">
        <v/>
      </c>
      <c r="J64" s="89" t="str">
        <v/>
      </c>
      <c r="K64" s="55"/>
      <c r="L64" s="56"/>
      <c r="M64" s="22"/>
      <c r="N64" s="52"/>
      <c r="O64" s="53"/>
      <c r="P64" s="53"/>
      <c r="Q64" s="98"/>
      <c r="R64" s="98"/>
      <c r="S64" s="101"/>
      <c r="T64" s="114"/>
      <c r="U64" s="59"/>
      <c r="V64" s="64"/>
      <c r="W64" s="61"/>
      <c r="X64" s="115"/>
      <c r="Y64" s="132" t="str" cm="1">
        <f t="array" ref="Y64">GetPolarity(X64,AE64)</f>
        <v/>
      </c>
      <c r="Z64" s="62"/>
      <c r="AA64" s="65"/>
      <c r="AB64" s="73" t="str">
        <f t="shared" si="10"/>
        <v/>
      </c>
      <c r="AC64" s="73" t="str">
        <f t="shared" si="11"/>
        <v/>
      </c>
      <c r="AD64" s="62"/>
      <c r="AE64" s="61"/>
      <c r="AF64" s="21" t="str">
        <f t="shared" si="4"/>
        <v/>
      </c>
      <c r="AG64" s="28" t="str" cm="1">
        <f t="array" ref="AG64">FilterSpecialCharacters(X64)</f>
        <v/>
      </c>
      <c r="AH64" s="74" t="str">
        <f t="shared" si="5"/>
        <v xml:space="preserve"> </v>
      </c>
    </row>
    <row r="65" spans="1:34" x14ac:dyDescent="0.25">
      <c r="A65" s="121" t="str" cm="1">
        <f t="array" ref="A65">IfEmpty(TRIM(_xlfn.CONCAT(C65:H65)),"",CRC32HASH(_xlfn.CONCAT(C65:H65)))</f>
        <v/>
      </c>
      <c r="B65" s="39" t="str">
        <f>IFERROR(VLOOKUP(J65,Items[],2,FALSE),"")</f>
        <v/>
      </c>
      <c r="C65" s="36" t="str" cm="1">
        <f t="array" ref="C65">W65 &amp; " " &amp; IfEmpty(U65, FilterSpecialCharacters(X65))</f>
        <v xml:space="preserve"> </v>
      </c>
      <c r="D65" s="37" t="str">
        <f t="shared" si="6"/>
        <v xml:space="preserve">  </v>
      </c>
      <c r="E65" s="58" t="str">
        <f t="shared" si="7"/>
        <v/>
      </c>
      <c r="F65" s="42" t="str">
        <f t="shared" si="8"/>
        <v/>
      </c>
      <c r="G65" s="42" t="str">
        <f t="shared" si="9"/>
        <v/>
      </c>
      <c r="H65" s="38" t="str" cm="1">
        <f t="array" ref="H65:J65">IFERROR(CalcUnc(K65,L65,S65,T65,V65,X65,AD65,AE65,N65:R65,Z65,AA65),"")</f>
        <v/>
      </c>
      <c r="I65" s="50" t="str">
        <v/>
      </c>
      <c r="J65" s="89" t="str">
        <v/>
      </c>
      <c r="K65" s="55"/>
      <c r="L65" s="56"/>
      <c r="M65" s="22"/>
      <c r="N65" s="52"/>
      <c r="O65" s="53"/>
      <c r="P65" s="53"/>
      <c r="Q65" s="98"/>
      <c r="R65" s="98"/>
      <c r="S65" s="101"/>
      <c r="T65" s="114"/>
      <c r="U65" s="59"/>
      <c r="V65" s="64"/>
      <c r="W65" s="61"/>
      <c r="X65" s="115"/>
      <c r="Y65" s="132" t="str" cm="1">
        <f t="array" ref="Y65">GetPolarity(X65,AE65)</f>
        <v/>
      </c>
      <c r="Z65" s="62"/>
      <c r="AA65" s="65"/>
      <c r="AB65" s="73" t="str">
        <f t="shared" si="10"/>
        <v/>
      </c>
      <c r="AC65" s="73" t="str">
        <f t="shared" si="11"/>
        <v/>
      </c>
      <c r="AD65" s="62"/>
      <c r="AE65" s="61"/>
      <c r="AF65" s="21" t="str">
        <f t="shared" si="4"/>
        <v/>
      </c>
      <c r="AG65" s="28" t="str" cm="1">
        <f t="array" ref="AG65">FilterSpecialCharacters(X65)</f>
        <v/>
      </c>
      <c r="AH65" s="74" t="str">
        <f t="shared" si="5"/>
        <v xml:space="preserve"> </v>
      </c>
    </row>
    <row r="66" spans="1:34" x14ac:dyDescent="0.25">
      <c r="A66" s="121" t="str" cm="1">
        <f t="array" ref="A66">IfEmpty(TRIM(_xlfn.CONCAT(C66:H66)),"",CRC32HASH(_xlfn.CONCAT(C66:H66)))</f>
        <v/>
      </c>
      <c r="B66" s="10" t="str">
        <f>IFERROR(VLOOKUP(J66,Items[],2,FALSE),"")</f>
        <v/>
      </c>
      <c r="C66" s="34" t="str" cm="1">
        <f t="array" ref="C66">W66 &amp; " " &amp; IfEmpty(U66, AG66)</f>
        <v xml:space="preserve"> </v>
      </c>
      <c r="D66" s="43" t="str">
        <f t="shared" si="6"/>
        <v xml:space="preserve">  </v>
      </c>
      <c r="E66" s="57" t="str">
        <f t="shared" si="7"/>
        <v/>
      </c>
      <c r="F66" s="41" t="str">
        <f t="shared" si="8"/>
        <v/>
      </c>
      <c r="G66" s="41" t="str">
        <f t="shared" si="9"/>
        <v/>
      </c>
      <c r="H66" s="35" t="str" cm="1">
        <f t="array" ref="H66:J66">IFERROR(CalcUnc(K66,L66,S66,T66,V66,X66,AD66,AE66,N66:R66,Z66,AA66),"")</f>
        <v/>
      </c>
      <c r="I66" s="50" t="str">
        <v/>
      </c>
      <c r="J66" s="89" t="str">
        <v/>
      </c>
      <c r="K66" s="55"/>
      <c r="L66" s="56"/>
      <c r="M66" s="22"/>
      <c r="N66" s="52"/>
      <c r="O66" s="53"/>
      <c r="P66" s="53"/>
      <c r="Q66" s="98"/>
      <c r="R66" s="98"/>
      <c r="S66" s="101"/>
      <c r="T66" s="114"/>
      <c r="U66" s="59"/>
      <c r="V66" s="64"/>
      <c r="W66" s="61"/>
      <c r="X66" s="115"/>
      <c r="Y66" s="132" t="str" cm="1">
        <f t="array" ref="Y66">GetPolarity(X66,AE66)</f>
        <v/>
      </c>
      <c r="Z66" s="62"/>
      <c r="AA66" s="65"/>
      <c r="AB66" s="73" t="str">
        <f t="shared" si="10"/>
        <v/>
      </c>
      <c r="AC66" s="73" t="str">
        <f t="shared" si="11"/>
        <v/>
      </c>
      <c r="AD66" s="62"/>
      <c r="AE66" s="61"/>
      <c r="AF66" s="21" t="str">
        <f t="shared" si="4"/>
        <v/>
      </c>
      <c r="AG66" s="28" t="str" cm="1">
        <f t="array" ref="AG66">FilterSpecialCharacters(X66)</f>
        <v/>
      </c>
      <c r="AH66" s="74" t="str">
        <f t="shared" si="5"/>
        <v xml:space="preserve"> </v>
      </c>
    </row>
    <row r="67" spans="1:34" x14ac:dyDescent="0.25">
      <c r="A67" s="121" t="str" cm="1">
        <f t="array" ref="A67">IfEmpty(TRIM(_xlfn.CONCAT(C67:H67)),"",CRC32HASH(_xlfn.CONCAT(C67:H67)))</f>
        <v/>
      </c>
      <c r="B67" s="39" t="str">
        <f>IFERROR(VLOOKUP(J67,Items[],2,FALSE),"")</f>
        <v/>
      </c>
      <c r="C67" s="36" t="str" cm="1">
        <f t="array" ref="C67">W67 &amp; " " &amp; IfEmpty(U67, FilterSpecialCharacters(X67))</f>
        <v xml:space="preserve"> </v>
      </c>
      <c r="D67" s="37" t="str">
        <f t="shared" si="6"/>
        <v xml:space="preserve">  </v>
      </c>
      <c r="E67" s="58" t="str">
        <f t="shared" si="7"/>
        <v/>
      </c>
      <c r="F67" s="42" t="str">
        <f t="shared" si="8"/>
        <v/>
      </c>
      <c r="G67" s="42" t="str">
        <f t="shared" si="9"/>
        <v/>
      </c>
      <c r="H67" s="38" t="str" cm="1">
        <f t="array" ref="H67:J67">IFERROR(CalcUnc(K67,L67,S67,T67,V67,X67,AD67,AE67,N67:R67,Z67,AA67),"")</f>
        <v/>
      </c>
      <c r="I67" s="50" t="str">
        <v/>
      </c>
      <c r="J67" s="89" t="str">
        <v/>
      </c>
      <c r="K67" s="55"/>
      <c r="L67" s="56"/>
      <c r="M67" s="22"/>
      <c r="N67" s="52"/>
      <c r="O67" s="53"/>
      <c r="P67" s="53"/>
      <c r="Q67" s="98"/>
      <c r="R67" s="98"/>
      <c r="S67" s="101"/>
      <c r="T67" s="114"/>
      <c r="U67" s="59"/>
      <c r="V67" s="64"/>
      <c r="W67" s="61"/>
      <c r="X67" s="115"/>
      <c r="Y67" s="132" t="str" cm="1">
        <f t="array" ref="Y67">GetPolarity(X67,AE67)</f>
        <v/>
      </c>
      <c r="Z67" s="62"/>
      <c r="AA67" s="65"/>
      <c r="AB67" s="73" t="str">
        <f t="shared" si="10"/>
        <v/>
      </c>
      <c r="AC67" s="73" t="str">
        <f t="shared" si="11"/>
        <v/>
      </c>
      <c r="AD67" s="62"/>
      <c r="AE67" s="61"/>
      <c r="AF67" s="21" t="str">
        <f t="shared" si="4"/>
        <v/>
      </c>
      <c r="AG67" s="28" t="str" cm="1">
        <f t="array" ref="AG67">FilterSpecialCharacters(X67)</f>
        <v/>
      </c>
      <c r="AH67" s="74" t="str">
        <f t="shared" si="5"/>
        <v xml:space="preserve"> </v>
      </c>
    </row>
    <row r="68" spans="1:34" x14ac:dyDescent="0.25">
      <c r="A68" s="121" t="str" cm="1">
        <f t="array" ref="A68">IfEmpty(TRIM(_xlfn.CONCAT(C68:H68)),"",CRC32HASH(_xlfn.CONCAT(C68:H68)))</f>
        <v/>
      </c>
      <c r="B68" s="10" t="str">
        <f>IFERROR(VLOOKUP(J68,Items[],2,FALSE),"")</f>
        <v/>
      </c>
      <c r="C68" s="34" t="str" cm="1">
        <f t="array" ref="C68">W68 &amp; " " &amp; IfEmpty(U68, AG68)</f>
        <v xml:space="preserve"> </v>
      </c>
      <c r="D68" s="43" t="str">
        <f t="shared" si="6"/>
        <v xml:space="preserve">  </v>
      </c>
      <c r="E68" s="57" t="str">
        <f t="shared" si="7"/>
        <v/>
      </c>
      <c r="F68" s="41" t="str">
        <f t="shared" si="8"/>
        <v/>
      </c>
      <c r="G68" s="41" t="str">
        <f t="shared" si="9"/>
        <v/>
      </c>
      <c r="H68" s="35" t="str" cm="1">
        <f t="array" ref="H68:J68">IFERROR(CalcUnc(K68,L68,S68,T68,V68,X68,AD68,AE68,N68:R68,Z68,AA68),"")</f>
        <v/>
      </c>
      <c r="I68" s="50" t="str">
        <v/>
      </c>
      <c r="J68" s="89" t="str">
        <v/>
      </c>
      <c r="K68" s="55"/>
      <c r="L68" s="56"/>
      <c r="M68" s="22"/>
      <c r="N68" s="52"/>
      <c r="O68" s="53"/>
      <c r="P68" s="53"/>
      <c r="Q68" s="98"/>
      <c r="R68" s="98"/>
      <c r="S68" s="101"/>
      <c r="T68" s="114"/>
      <c r="U68" s="59"/>
      <c r="V68" s="64"/>
      <c r="W68" s="61"/>
      <c r="X68" s="115"/>
      <c r="Y68" s="132" t="str" cm="1">
        <f t="array" ref="Y68">GetPolarity(X68,AE68)</f>
        <v/>
      </c>
      <c r="Z68" s="62"/>
      <c r="AA68" s="65"/>
      <c r="AB68" s="73" t="str">
        <f t="shared" si="10"/>
        <v/>
      </c>
      <c r="AC68" s="73" t="str">
        <f t="shared" si="11"/>
        <v/>
      </c>
      <c r="AD68" s="62"/>
      <c r="AE68" s="61"/>
      <c r="AF68" s="21" t="str">
        <f t="shared" si="4"/>
        <v/>
      </c>
      <c r="AG68" s="28" t="str" cm="1">
        <f t="array" ref="AG68">FilterSpecialCharacters(X68)</f>
        <v/>
      </c>
      <c r="AH68" s="74" t="str">
        <f t="shared" si="5"/>
        <v xml:space="preserve"> </v>
      </c>
    </row>
    <row r="69" spans="1:34" x14ac:dyDescent="0.25">
      <c r="A69" s="121" t="str" cm="1">
        <f t="array" ref="A69">IfEmpty(TRIM(_xlfn.CONCAT(C69:H69)),"",CRC32HASH(_xlfn.CONCAT(C69:H69)))</f>
        <v/>
      </c>
      <c r="B69" s="39" t="str">
        <f>IFERROR(VLOOKUP(J69,Items[],2,FALSE),"")</f>
        <v/>
      </c>
      <c r="C69" s="36" t="str" cm="1">
        <f t="array" ref="C69">W69 &amp; " " &amp; IfEmpty(U69, FilterSpecialCharacters(X69))</f>
        <v xml:space="preserve"> </v>
      </c>
      <c r="D69" s="37" t="str">
        <f t="shared" si="6"/>
        <v xml:space="preserve">  </v>
      </c>
      <c r="E69" s="58" t="str">
        <f t="shared" si="7"/>
        <v/>
      </c>
      <c r="F69" s="42" t="str">
        <f t="shared" si="8"/>
        <v/>
      </c>
      <c r="G69" s="42" t="str">
        <f t="shared" si="9"/>
        <v/>
      </c>
      <c r="H69" s="38" t="str" cm="1">
        <f t="array" ref="H69:J69">IFERROR(CalcUnc(K69,L69,S69,T69,V69,X69,AD69,AE69,N69:R69,Z69,AA69),"")</f>
        <v/>
      </c>
      <c r="I69" s="50" t="str">
        <v/>
      </c>
      <c r="J69" s="89" t="str">
        <v/>
      </c>
      <c r="K69" s="55"/>
      <c r="L69" s="56"/>
      <c r="M69" s="22"/>
      <c r="N69" s="52"/>
      <c r="O69" s="53"/>
      <c r="P69" s="53"/>
      <c r="Q69" s="98"/>
      <c r="R69" s="98"/>
      <c r="S69" s="101"/>
      <c r="T69" s="114"/>
      <c r="U69" s="59"/>
      <c r="V69" s="64"/>
      <c r="W69" s="61"/>
      <c r="X69" s="115"/>
      <c r="Y69" s="132" t="str" cm="1">
        <f t="array" ref="Y69">GetPolarity(X69,AE69)</f>
        <v/>
      </c>
      <c r="Z69" s="62"/>
      <c r="AA69" s="65"/>
      <c r="AB69" s="73" t="str">
        <f t="shared" si="10"/>
        <v/>
      </c>
      <c r="AC69" s="73" t="str">
        <f t="shared" si="11"/>
        <v/>
      </c>
      <c r="AD69" s="62"/>
      <c r="AE69" s="61"/>
      <c r="AF69" s="21" t="str">
        <f t="shared" si="4"/>
        <v/>
      </c>
      <c r="AG69" s="28" t="str" cm="1">
        <f t="array" ref="AG69">FilterSpecialCharacters(X69)</f>
        <v/>
      </c>
      <c r="AH69" s="74" t="str">
        <f t="shared" si="5"/>
        <v xml:space="preserve"> </v>
      </c>
    </row>
    <row r="70" spans="1:34" x14ac:dyDescent="0.25">
      <c r="A70" s="121" t="str" cm="1">
        <f t="array" ref="A70">IfEmpty(TRIM(_xlfn.CONCAT(C70:H70)),"",CRC32HASH(_xlfn.CONCAT(C70:H70)))</f>
        <v/>
      </c>
      <c r="B70" s="10" t="str">
        <f>IFERROR(VLOOKUP(J70,Items[],2,FALSE),"")</f>
        <v/>
      </c>
      <c r="C70" s="34" t="str" cm="1">
        <f t="array" ref="C70">W70 &amp; " " &amp; IfEmpty(U70, AG70)</f>
        <v xml:space="preserve"> </v>
      </c>
      <c r="D70" s="43" t="str">
        <f t="shared" si="6"/>
        <v xml:space="preserve">  </v>
      </c>
      <c r="E70" s="57" t="str">
        <f t="shared" si="7"/>
        <v/>
      </c>
      <c r="F70" s="41" t="str">
        <f t="shared" si="8"/>
        <v/>
      </c>
      <c r="G70" s="41" t="str">
        <f t="shared" si="9"/>
        <v/>
      </c>
      <c r="H70" s="35" t="str" cm="1">
        <f t="array" ref="H70:J70">IFERROR(CalcUnc(K70,L70,S70,T70,V70,X70,AD70,AE70,N70:R70,Z70,AA70),"")</f>
        <v/>
      </c>
      <c r="I70" s="50" t="str">
        <v/>
      </c>
      <c r="J70" s="89" t="str">
        <v/>
      </c>
      <c r="K70" s="55"/>
      <c r="L70" s="56"/>
      <c r="M70" s="22"/>
      <c r="N70" s="52"/>
      <c r="O70" s="53"/>
      <c r="P70" s="53"/>
      <c r="Q70" s="98"/>
      <c r="R70" s="98"/>
      <c r="S70" s="101"/>
      <c r="T70" s="114"/>
      <c r="U70" s="59"/>
      <c r="V70" s="64"/>
      <c r="W70" s="61"/>
      <c r="X70" s="115"/>
      <c r="Y70" s="132" t="str" cm="1">
        <f t="array" ref="Y70">GetPolarity(X70,AE70)</f>
        <v/>
      </c>
      <c r="Z70" s="62"/>
      <c r="AA70" s="61"/>
      <c r="AB70" s="73" t="str">
        <f t="shared" ref="AB70:AB101" si="12">IF(V70&lt;&gt;"",ROUND(Z70-AA70,-LOG10(V70)),"")</f>
        <v/>
      </c>
      <c r="AC70" s="73" t="str">
        <f t="shared" ref="AC70:AC101" si="13">IF(V70&lt;&gt;"",ROUND(Z70+AA70,-LOG10(V70)),"")</f>
        <v/>
      </c>
      <c r="AD70" s="62"/>
      <c r="AE70" s="61"/>
      <c r="AF70" s="21" t="str">
        <f t="shared" si="4"/>
        <v/>
      </c>
      <c r="AG70" s="28" t="str" cm="1">
        <f t="array" ref="AG70">FilterSpecialCharacters(X70)</f>
        <v/>
      </c>
      <c r="AH70" s="74" t="str">
        <f t="shared" si="5"/>
        <v xml:space="preserve"> </v>
      </c>
    </row>
    <row r="71" spans="1:34" x14ac:dyDescent="0.25">
      <c r="A71" s="121" t="str" cm="1">
        <f t="array" ref="A71">IfEmpty(TRIM(_xlfn.CONCAT(C71:H71)),"",CRC32HASH(_xlfn.CONCAT(C71:H71)))</f>
        <v/>
      </c>
      <c r="B71" s="39" t="str">
        <f>IFERROR(VLOOKUP(J71,Items[],2,FALSE),"")</f>
        <v/>
      </c>
      <c r="C71" s="36" t="str" cm="1">
        <f t="array" ref="C71">W71 &amp; " " &amp; IfEmpty(U71, FilterSpecialCharacters(X71))</f>
        <v xml:space="preserve"> </v>
      </c>
      <c r="D71" s="37" t="str">
        <f t="shared" si="6"/>
        <v xml:space="preserve">  </v>
      </c>
      <c r="E71" s="58" t="str">
        <f t="shared" si="7"/>
        <v/>
      </c>
      <c r="F71" s="42" t="str">
        <f t="shared" si="8"/>
        <v/>
      </c>
      <c r="G71" s="42" t="str">
        <f t="shared" si="9"/>
        <v/>
      </c>
      <c r="H71" s="38" t="str" cm="1">
        <f t="array" ref="H71:J71">IFERROR(CalcUnc(K71,L71,S71,T71,V71,X71,AD71,AE71,N71:R71,Z71,AA71),"")</f>
        <v/>
      </c>
      <c r="I71" s="50" t="str">
        <v/>
      </c>
      <c r="J71" s="89" t="str">
        <v/>
      </c>
      <c r="K71" s="55"/>
      <c r="L71" s="56"/>
      <c r="M71" s="22"/>
      <c r="N71" s="52"/>
      <c r="O71" s="53"/>
      <c r="P71" s="53"/>
      <c r="Q71" s="98"/>
      <c r="R71" s="98"/>
      <c r="S71" s="101"/>
      <c r="T71" s="114"/>
      <c r="U71" s="59"/>
      <c r="V71" s="64"/>
      <c r="W71" s="61"/>
      <c r="X71" s="115"/>
      <c r="Y71" s="132" t="str" cm="1">
        <f t="array" ref="Y71">GetPolarity(X71,AE71)</f>
        <v/>
      </c>
      <c r="Z71" s="62"/>
      <c r="AA71" s="61"/>
      <c r="AB71" s="73" t="str">
        <f t="shared" si="12"/>
        <v/>
      </c>
      <c r="AC71" s="73" t="str">
        <f t="shared" si="13"/>
        <v/>
      </c>
      <c r="AD71" s="62"/>
      <c r="AE71" s="61"/>
      <c r="AF71" s="21" t="str">
        <f t="shared" ref="AF71:AF110" si="14">IF(RIGHT(AE71,2)="Hz","@ ","")&amp;AD71&amp;AE71</f>
        <v/>
      </c>
      <c r="AG71" s="28" t="str" cm="1">
        <f t="array" ref="AG71">FilterSpecialCharacters(X71)</f>
        <v/>
      </c>
      <c r="AH71" s="74" t="str">
        <f t="shared" ref="AH71:AH110" si="15">" "&amp;AG71&amp;IF($Y71="",""," ("&amp;$Y71&amp;")")</f>
        <v xml:space="preserve"> </v>
      </c>
    </row>
    <row r="72" spans="1:34" x14ac:dyDescent="0.25">
      <c r="A72" s="121" t="str" cm="1">
        <f t="array" ref="A72">IfEmpty(TRIM(_xlfn.CONCAT(C72:H72)),"",CRC32HASH(_xlfn.CONCAT(C72:H72)))</f>
        <v/>
      </c>
      <c r="B72" s="10" t="str">
        <f>IFERROR(VLOOKUP(J72,Items[],2,FALSE),"")</f>
        <v/>
      </c>
      <c r="C72" s="34" t="str" cm="1">
        <f t="array" ref="C72">W72 &amp; " " &amp; IfEmpty(U72, AG72)</f>
        <v xml:space="preserve"> </v>
      </c>
      <c r="D72" s="43" t="str">
        <f t="shared" ref="D72:D110" si="16">IF(OR(AG72="°C", AG72="°F"), Z72 &amp; " " &amp; AG72, IF(RIGHT(AG72,2)="Hz", AF72 &amp; " @ " &amp; Z72 &amp; " " &amp; AG72, Z72 &amp; AH72 &amp; " " &amp; AF72))</f>
        <v xml:space="preserve">  </v>
      </c>
      <c r="E72" s="57" t="str">
        <f t="shared" ref="E72:E110" si="17">IFERROR(ROUND(AVERAGE(N72:R72),-LOG10(V72)) &amp; AH72,"")</f>
        <v/>
      </c>
      <c r="F72" s="41" t="str">
        <f t="shared" ref="F72:F110" si="18">IF(AB72="","",AB72 &amp; $AH72)</f>
        <v/>
      </c>
      <c r="G72" s="41" t="str">
        <f t="shared" ref="G72:G110" si="19">IF(AC72="","",AC72 &amp; $AH72)</f>
        <v/>
      </c>
      <c r="H72" s="35" t="str" cm="1">
        <f t="array" ref="H72:J72">IFERROR(CalcUnc(K72,L72,S72,T72,V72,X72,AD72,AE72,N72:R72,Z72,AA72),"")</f>
        <v/>
      </c>
      <c r="I72" s="50" t="str">
        <v/>
      </c>
      <c r="J72" s="89" t="str">
        <v/>
      </c>
      <c r="K72" s="55"/>
      <c r="L72" s="56"/>
      <c r="M72" s="22"/>
      <c r="N72" s="52"/>
      <c r="O72" s="53"/>
      <c r="P72" s="53"/>
      <c r="Q72" s="98"/>
      <c r="R72" s="98"/>
      <c r="S72" s="101"/>
      <c r="T72" s="114"/>
      <c r="U72" s="59"/>
      <c r="V72" s="64"/>
      <c r="W72" s="61"/>
      <c r="X72" s="115"/>
      <c r="Y72" s="132" t="str" cm="1">
        <f t="array" ref="Y72">GetPolarity(X72,AE72)</f>
        <v/>
      </c>
      <c r="Z72" s="62"/>
      <c r="AA72" s="61"/>
      <c r="AB72" s="73" t="str">
        <f t="shared" si="12"/>
        <v/>
      </c>
      <c r="AC72" s="73" t="str">
        <f t="shared" si="13"/>
        <v/>
      </c>
      <c r="AD72" s="62"/>
      <c r="AE72" s="61"/>
      <c r="AF72" s="21" t="str">
        <f t="shared" si="14"/>
        <v/>
      </c>
      <c r="AG72" s="28" t="str" cm="1">
        <f t="array" ref="AG72">FilterSpecialCharacters(X72)</f>
        <v/>
      </c>
      <c r="AH72" s="74" t="str">
        <f t="shared" si="15"/>
        <v xml:space="preserve"> </v>
      </c>
    </row>
    <row r="73" spans="1:34" x14ac:dyDescent="0.25">
      <c r="A73" s="121" t="str" cm="1">
        <f t="array" ref="A73">IfEmpty(TRIM(_xlfn.CONCAT(C73:H73)),"",CRC32HASH(_xlfn.CONCAT(C73:H73)))</f>
        <v/>
      </c>
      <c r="B73" s="39" t="str">
        <f>IFERROR(VLOOKUP(J73,Items[],2,FALSE),"")</f>
        <v/>
      </c>
      <c r="C73" s="36" t="str" cm="1">
        <f t="array" ref="C73">W73 &amp; " " &amp; IfEmpty(U73, FilterSpecialCharacters(X73))</f>
        <v xml:space="preserve"> </v>
      </c>
      <c r="D73" s="37" t="str">
        <f t="shared" si="16"/>
        <v xml:space="preserve">  </v>
      </c>
      <c r="E73" s="58" t="str">
        <f t="shared" si="17"/>
        <v/>
      </c>
      <c r="F73" s="42" t="str">
        <f t="shared" si="18"/>
        <v/>
      </c>
      <c r="G73" s="42" t="str">
        <f t="shared" si="19"/>
        <v/>
      </c>
      <c r="H73" s="38" t="str" cm="1">
        <f t="array" ref="H73:J73">IFERROR(CalcUnc(K73,L73,S73,T73,V73,X73,AD73,AE73,N73:R73,Z73,AA73),"")</f>
        <v/>
      </c>
      <c r="I73" s="50" t="str">
        <v/>
      </c>
      <c r="J73" s="89" t="str">
        <v/>
      </c>
      <c r="K73" s="55"/>
      <c r="L73" s="56"/>
      <c r="M73" s="22"/>
      <c r="N73" s="52"/>
      <c r="O73" s="53"/>
      <c r="P73" s="53"/>
      <c r="Q73" s="98"/>
      <c r="R73" s="98"/>
      <c r="S73" s="101"/>
      <c r="T73" s="114"/>
      <c r="U73" s="59"/>
      <c r="V73" s="64"/>
      <c r="W73" s="61"/>
      <c r="X73" s="115"/>
      <c r="Y73" s="132" t="str" cm="1">
        <f t="array" ref="Y73">GetPolarity(X73,AE73)</f>
        <v/>
      </c>
      <c r="Z73" s="62"/>
      <c r="AA73" s="61"/>
      <c r="AB73" s="73" t="str">
        <f t="shared" si="12"/>
        <v/>
      </c>
      <c r="AC73" s="73" t="str">
        <f t="shared" si="13"/>
        <v/>
      </c>
      <c r="AD73" s="62"/>
      <c r="AE73" s="61"/>
      <c r="AF73" s="21" t="str">
        <f t="shared" si="14"/>
        <v/>
      </c>
      <c r="AG73" s="28" t="str" cm="1">
        <f t="array" ref="AG73">FilterSpecialCharacters(X73)</f>
        <v/>
      </c>
      <c r="AH73" s="74" t="str">
        <f t="shared" si="15"/>
        <v xml:space="preserve"> </v>
      </c>
    </row>
    <row r="74" spans="1:34" x14ac:dyDescent="0.25">
      <c r="A74" s="121" t="str" cm="1">
        <f t="array" ref="A74">IfEmpty(TRIM(_xlfn.CONCAT(C74:H74)),"",CRC32HASH(_xlfn.CONCAT(C74:H74)))</f>
        <v/>
      </c>
      <c r="B74" s="10" t="str">
        <f>IFERROR(VLOOKUP(J74,Items[],2,FALSE),"")</f>
        <v/>
      </c>
      <c r="C74" s="34" t="str" cm="1">
        <f t="array" ref="C74">W74 &amp; " " &amp; IfEmpty(U74, AG74)</f>
        <v xml:space="preserve"> </v>
      </c>
      <c r="D74" s="43" t="str">
        <f t="shared" si="16"/>
        <v xml:space="preserve">  </v>
      </c>
      <c r="E74" s="57" t="str">
        <f t="shared" si="17"/>
        <v/>
      </c>
      <c r="F74" s="41" t="str">
        <f t="shared" si="18"/>
        <v/>
      </c>
      <c r="G74" s="41" t="str">
        <f t="shared" si="19"/>
        <v/>
      </c>
      <c r="H74" s="35" t="str" cm="1">
        <f t="array" ref="H74:J74">IFERROR(CalcUnc(K74,L74,S74,T74,V74,X74,AD74,AE74,N74:R74,Z74,AA74),"")</f>
        <v/>
      </c>
      <c r="I74" s="50" t="str">
        <v/>
      </c>
      <c r="J74" s="89" t="str">
        <v/>
      </c>
      <c r="K74" s="55"/>
      <c r="L74" s="56"/>
      <c r="M74" s="22"/>
      <c r="N74" s="52"/>
      <c r="O74" s="53"/>
      <c r="P74" s="53"/>
      <c r="Q74" s="98"/>
      <c r="R74" s="98"/>
      <c r="S74" s="101"/>
      <c r="T74" s="114"/>
      <c r="U74" s="59"/>
      <c r="V74" s="64"/>
      <c r="W74" s="61"/>
      <c r="X74" s="115"/>
      <c r="Y74" s="132" t="str" cm="1">
        <f t="array" ref="Y74">GetPolarity(X74,AE74)</f>
        <v/>
      </c>
      <c r="Z74" s="62"/>
      <c r="AA74" s="61"/>
      <c r="AB74" s="73" t="str">
        <f t="shared" si="12"/>
        <v/>
      </c>
      <c r="AC74" s="73" t="str">
        <f t="shared" si="13"/>
        <v/>
      </c>
      <c r="AD74" s="62"/>
      <c r="AE74" s="61"/>
      <c r="AF74" s="21" t="str">
        <f t="shared" si="14"/>
        <v/>
      </c>
      <c r="AG74" s="28" t="str" cm="1">
        <f t="array" ref="AG74">FilterSpecialCharacters(X74)</f>
        <v/>
      </c>
      <c r="AH74" s="74" t="str">
        <f t="shared" si="15"/>
        <v xml:space="preserve"> </v>
      </c>
    </row>
    <row r="75" spans="1:34" x14ac:dyDescent="0.25">
      <c r="A75" s="121" t="str" cm="1">
        <f t="array" ref="A75">IfEmpty(TRIM(_xlfn.CONCAT(C75:H75)),"",CRC32HASH(_xlfn.CONCAT(C75:H75)))</f>
        <v/>
      </c>
      <c r="B75" s="39" t="str">
        <f>IFERROR(VLOOKUP(J75,Items[],2,FALSE),"")</f>
        <v/>
      </c>
      <c r="C75" s="36" t="str" cm="1">
        <f t="array" ref="C75">W75 &amp; " " &amp; IfEmpty(U75, FilterSpecialCharacters(X75))</f>
        <v xml:space="preserve"> </v>
      </c>
      <c r="D75" s="37" t="str">
        <f t="shared" si="16"/>
        <v xml:space="preserve">  </v>
      </c>
      <c r="E75" s="58" t="str">
        <f t="shared" si="17"/>
        <v/>
      </c>
      <c r="F75" s="42" t="str">
        <f t="shared" si="18"/>
        <v/>
      </c>
      <c r="G75" s="42" t="str">
        <f t="shared" si="19"/>
        <v/>
      </c>
      <c r="H75" s="38" t="str" cm="1">
        <f t="array" ref="H75:J75">IFERROR(CalcUnc(K75,L75,S75,T75,V75,X75,AD75,AE75,N75:R75,Z75,AA75),"")</f>
        <v/>
      </c>
      <c r="I75" s="50" t="str">
        <v/>
      </c>
      <c r="J75" s="89" t="str">
        <v/>
      </c>
      <c r="K75" s="55"/>
      <c r="L75" s="56"/>
      <c r="M75" s="22"/>
      <c r="N75" s="52"/>
      <c r="O75" s="53"/>
      <c r="P75" s="53"/>
      <c r="Q75" s="98"/>
      <c r="R75" s="98"/>
      <c r="S75" s="101"/>
      <c r="T75" s="114"/>
      <c r="U75" s="59"/>
      <c r="V75" s="64"/>
      <c r="W75" s="61"/>
      <c r="X75" s="115"/>
      <c r="Y75" s="132" t="str" cm="1">
        <f t="array" ref="Y75">GetPolarity(X75,AE75)</f>
        <v/>
      </c>
      <c r="Z75" s="62"/>
      <c r="AA75" s="61"/>
      <c r="AB75" s="73" t="str">
        <f t="shared" si="12"/>
        <v/>
      </c>
      <c r="AC75" s="73" t="str">
        <f t="shared" si="13"/>
        <v/>
      </c>
      <c r="AD75" s="62"/>
      <c r="AE75" s="61"/>
      <c r="AF75" s="21" t="str">
        <f t="shared" si="14"/>
        <v/>
      </c>
      <c r="AG75" s="28" t="str" cm="1">
        <f t="array" ref="AG75">FilterSpecialCharacters(X75)</f>
        <v/>
      </c>
      <c r="AH75" s="74" t="str">
        <f t="shared" si="15"/>
        <v xml:space="preserve"> </v>
      </c>
    </row>
    <row r="76" spans="1:34" x14ac:dyDescent="0.25">
      <c r="A76" s="121" t="str" cm="1">
        <f t="array" ref="A76">IfEmpty(TRIM(_xlfn.CONCAT(C76:H76)),"",CRC32HASH(_xlfn.CONCAT(C76:H76)))</f>
        <v/>
      </c>
      <c r="B76" s="10" t="str">
        <f>IFERROR(VLOOKUP(J76,Items[],2,FALSE),"")</f>
        <v/>
      </c>
      <c r="C76" s="34" t="str" cm="1">
        <f t="array" ref="C76">W76 &amp; " " &amp; IfEmpty(U76, AG76)</f>
        <v xml:space="preserve"> </v>
      </c>
      <c r="D76" s="43" t="str">
        <f t="shared" si="16"/>
        <v xml:space="preserve">  </v>
      </c>
      <c r="E76" s="57" t="str">
        <f t="shared" si="17"/>
        <v/>
      </c>
      <c r="F76" s="41" t="str">
        <f t="shared" si="18"/>
        <v/>
      </c>
      <c r="G76" s="41" t="str">
        <f t="shared" si="19"/>
        <v/>
      </c>
      <c r="H76" s="35" t="str" cm="1">
        <f t="array" ref="H76:J76">IFERROR(CalcUnc(K76,L76,S76,T76,V76,X76,AD76,AE76,N76:R76,Z76,AA76),"")</f>
        <v/>
      </c>
      <c r="I76" s="50" t="str">
        <v/>
      </c>
      <c r="J76" s="89" t="str">
        <v/>
      </c>
      <c r="K76" s="55"/>
      <c r="L76" s="56"/>
      <c r="M76" s="22"/>
      <c r="N76" s="52"/>
      <c r="O76" s="53"/>
      <c r="P76" s="53"/>
      <c r="Q76" s="98"/>
      <c r="R76" s="98"/>
      <c r="S76" s="101"/>
      <c r="T76" s="114"/>
      <c r="U76" s="59"/>
      <c r="V76" s="64"/>
      <c r="W76" s="61"/>
      <c r="X76" s="115"/>
      <c r="Y76" s="132" t="str" cm="1">
        <f t="array" ref="Y76">GetPolarity(X76,AE76)</f>
        <v/>
      </c>
      <c r="Z76" s="62"/>
      <c r="AA76" s="61"/>
      <c r="AB76" s="73" t="str">
        <f t="shared" si="12"/>
        <v/>
      </c>
      <c r="AC76" s="73" t="str">
        <f t="shared" si="13"/>
        <v/>
      </c>
      <c r="AD76" s="62"/>
      <c r="AE76" s="61"/>
      <c r="AF76" s="21" t="str">
        <f t="shared" si="14"/>
        <v/>
      </c>
      <c r="AG76" s="28" t="str" cm="1">
        <f t="array" ref="AG76">FilterSpecialCharacters(X76)</f>
        <v/>
      </c>
      <c r="AH76" s="74" t="str">
        <f t="shared" si="15"/>
        <v xml:space="preserve"> </v>
      </c>
    </row>
    <row r="77" spans="1:34" x14ac:dyDescent="0.25">
      <c r="A77" s="121" t="str" cm="1">
        <f t="array" ref="A77">IfEmpty(TRIM(_xlfn.CONCAT(C77:H77)),"",CRC32HASH(_xlfn.CONCAT(C77:H77)))</f>
        <v/>
      </c>
      <c r="B77" s="39" t="str">
        <f>IFERROR(VLOOKUP(J77,Items[],2,FALSE),"")</f>
        <v/>
      </c>
      <c r="C77" s="36" t="str" cm="1">
        <f t="array" ref="C77">W77 &amp; " " &amp; IfEmpty(U77, FilterSpecialCharacters(X77))</f>
        <v xml:space="preserve"> </v>
      </c>
      <c r="D77" s="37" t="str">
        <f t="shared" si="16"/>
        <v xml:space="preserve">  </v>
      </c>
      <c r="E77" s="58" t="str">
        <f t="shared" si="17"/>
        <v/>
      </c>
      <c r="F77" s="42" t="str">
        <f t="shared" si="18"/>
        <v/>
      </c>
      <c r="G77" s="42" t="str">
        <f t="shared" si="19"/>
        <v/>
      </c>
      <c r="H77" s="38" t="str" cm="1">
        <f t="array" ref="H77:J77">IFERROR(CalcUnc(K77,L77,S77,T77,V77,X77,AD77,AE77,N77:R77,Z77,AA77),"")</f>
        <v/>
      </c>
      <c r="I77" s="50" t="str">
        <v/>
      </c>
      <c r="J77" s="89" t="str">
        <v/>
      </c>
      <c r="K77" s="55"/>
      <c r="L77" s="56"/>
      <c r="M77" s="22"/>
      <c r="N77" s="52"/>
      <c r="O77" s="53"/>
      <c r="P77" s="53"/>
      <c r="Q77" s="98"/>
      <c r="R77" s="98"/>
      <c r="S77" s="101"/>
      <c r="T77" s="114"/>
      <c r="U77" s="59"/>
      <c r="V77" s="64"/>
      <c r="W77" s="61"/>
      <c r="X77" s="115"/>
      <c r="Y77" s="132" t="str" cm="1">
        <f t="array" ref="Y77">GetPolarity(X77,AE77)</f>
        <v/>
      </c>
      <c r="Z77" s="62"/>
      <c r="AA77" s="61"/>
      <c r="AB77" s="73" t="str">
        <f t="shared" si="12"/>
        <v/>
      </c>
      <c r="AC77" s="73" t="str">
        <f t="shared" si="13"/>
        <v/>
      </c>
      <c r="AD77" s="62"/>
      <c r="AE77" s="61"/>
      <c r="AF77" s="21" t="str">
        <f t="shared" si="14"/>
        <v/>
      </c>
      <c r="AG77" s="28" t="str" cm="1">
        <f t="array" ref="AG77">FilterSpecialCharacters(X77)</f>
        <v/>
      </c>
      <c r="AH77" s="74" t="str">
        <f t="shared" si="15"/>
        <v xml:space="preserve"> </v>
      </c>
    </row>
    <row r="78" spans="1:34" x14ac:dyDescent="0.25">
      <c r="A78" s="121" t="str" cm="1">
        <f t="array" ref="A78">IfEmpty(TRIM(_xlfn.CONCAT(C78:H78)),"",CRC32HASH(_xlfn.CONCAT(C78:H78)))</f>
        <v/>
      </c>
      <c r="B78" s="10" t="str">
        <f>IFERROR(VLOOKUP(J78,Items[],2,FALSE),"")</f>
        <v/>
      </c>
      <c r="C78" s="34" t="str" cm="1">
        <f t="array" ref="C78">W78 &amp; " " &amp; IfEmpty(U78, AG78)</f>
        <v xml:space="preserve"> </v>
      </c>
      <c r="D78" s="43" t="str">
        <f t="shared" si="16"/>
        <v xml:space="preserve">  </v>
      </c>
      <c r="E78" s="57" t="str">
        <f t="shared" si="17"/>
        <v/>
      </c>
      <c r="F78" s="41" t="str">
        <f t="shared" si="18"/>
        <v/>
      </c>
      <c r="G78" s="41" t="str">
        <f t="shared" si="19"/>
        <v/>
      </c>
      <c r="H78" s="35" t="str" cm="1">
        <f t="array" ref="H78:J78">IFERROR(CalcUnc(K78,L78,S78,T78,V78,X78,AD78,AE78,N78:R78,Z78,AA78),"")</f>
        <v/>
      </c>
      <c r="I78" s="50" t="str">
        <v/>
      </c>
      <c r="J78" s="89" t="str">
        <v/>
      </c>
      <c r="K78" s="55"/>
      <c r="L78" s="56"/>
      <c r="M78" s="22"/>
      <c r="N78" s="52"/>
      <c r="O78" s="53"/>
      <c r="P78" s="53"/>
      <c r="Q78" s="98"/>
      <c r="R78" s="98"/>
      <c r="S78" s="101"/>
      <c r="T78" s="114"/>
      <c r="U78" s="59"/>
      <c r="V78" s="64"/>
      <c r="W78" s="61"/>
      <c r="X78" s="115"/>
      <c r="Y78" s="132" t="str" cm="1">
        <f t="array" ref="Y78">GetPolarity(X78,AE78)</f>
        <v/>
      </c>
      <c r="Z78" s="62"/>
      <c r="AA78" s="61"/>
      <c r="AB78" s="73" t="str">
        <f t="shared" si="12"/>
        <v/>
      </c>
      <c r="AC78" s="73" t="str">
        <f t="shared" si="13"/>
        <v/>
      </c>
      <c r="AD78" s="62"/>
      <c r="AE78" s="61"/>
      <c r="AF78" s="21" t="str">
        <f t="shared" si="14"/>
        <v/>
      </c>
      <c r="AG78" s="28" t="str" cm="1">
        <f t="array" ref="AG78">FilterSpecialCharacters(X78)</f>
        <v/>
      </c>
      <c r="AH78" s="74" t="str">
        <f t="shared" si="15"/>
        <v xml:space="preserve"> </v>
      </c>
    </row>
    <row r="79" spans="1:34" x14ac:dyDescent="0.25">
      <c r="A79" s="121" t="str" cm="1">
        <f t="array" ref="A79">IfEmpty(TRIM(_xlfn.CONCAT(C79:H79)),"",CRC32HASH(_xlfn.CONCAT(C79:H79)))</f>
        <v/>
      </c>
      <c r="B79" s="39" t="str">
        <f>IFERROR(VLOOKUP(J79,Items[],2,FALSE),"")</f>
        <v/>
      </c>
      <c r="C79" s="36" t="str" cm="1">
        <f t="array" ref="C79">W79 &amp; " " &amp; IfEmpty(U79, FilterSpecialCharacters(X79))</f>
        <v xml:space="preserve"> </v>
      </c>
      <c r="D79" s="37" t="str">
        <f t="shared" si="16"/>
        <v xml:space="preserve">  </v>
      </c>
      <c r="E79" s="58" t="str">
        <f t="shared" si="17"/>
        <v/>
      </c>
      <c r="F79" s="42" t="str">
        <f t="shared" si="18"/>
        <v/>
      </c>
      <c r="G79" s="42" t="str">
        <f t="shared" si="19"/>
        <v/>
      </c>
      <c r="H79" s="38" t="str" cm="1">
        <f t="array" ref="H79:J79">IFERROR(CalcUnc(K79,L79,S79,T79,V79,X79,AD79,AE79,N79:R79,Z79,AA79),"")</f>
        <v/>
      </c>
      <c r="I79" s="50" t="str">
        <v/>
      </c>
      <c r="J79" s="89" t="str">
        <v/>
      </c>
      <c r="K79" s="55"/>
      <c r="L79" s="56"/>
      <c r="M79" s="22"/>
      <c r="N79" s="52"/>
      <c r="O79" s="53"/>
      <c r="P79" s="53"/>
      <c r="Q79" s="98"/>
      <c r="R79" s="98"/>
      <c r="S79" s="101"/>
      <c r="T79" s="114"/>
      <c r="U79" s="59"/>
      <c r="V79" s="64"/>
      <c r="W79" s="61"/>
      <c r="X79" s="115"/>
      <c r="Y79" s="132" t="str" cm="1">
        <f t="array" ref="Y79">GetPolarity(X79,AE79)</f>
        <v/>
      </c>
      <c r="Z79" s="62"/>
      <c r="AA79" s="61"/>
      <c r="AB79" s="73" t="str">
        <f t="shared" si="12"/>
        <v/>
      </c>
      <c r="AC79" s="73" t="str">
        <f t="shared" si="13"/>
        <v/>
      </c>
      <c r="AD79" s="62"/>
      <c r="AE79" s="61"/>
      <c r="AF79" s="21" t="str">
        <f t="shared" si="14"/>
        <v/>
      </c>
      <c r="AG79" s="28" t="str" cm="1">
        <f t="array" ref="AG79">FilterSpecialCharacters(X79)</f>
        <v/>
      </c>
      <c r="AH79" s="74" t="str">
        <f t="shared" si="15"/>
        <v xml:space="preserve"> </v>
      </c>
    </row>
    <row r="80" spans="1:34" x14ac:dyDescent="0.25">
      <c r="A80" s="121" t="str" cm="1">
        <f t="array" ref="A80">IfEmpty(TRIM(_xlfn.CONCAT(C80:H80)),"",CRC32HASH(_xlfn.CONCAT(C80:H80)))</f>
        <v/>
      </c>
      <c r="B80" s="10" t="str">
        <f>IFERROR(VLOOKUP(J80,Items[],2,FALSE),"")</f>
        <v/>
      </c>
      <c r="C80" s="34" t="str" cm="1">
        <f t="array" ref="C80">W80 &amp; " " &amp; IfEmpty(U80, AG80)</f>
        <v xml:space="preserve"> </v>
      </c>
      <c r="D80" s="43" t="str">
        <f t="shared" si="16"/>
        <v xml:space="preserve">  </v>
      </c>
      <c r="E80" s="57" t="str">
        <f t="shared" si="17"/>
        <v/>
      </c>
      <c r="F80" s="41" t="str">
        <f t="shared" si="18"/>
        <v/>
      </c>
      <c r="G80" s="41" t="str">
        <f t="shared" si="19"/>
        <v/>
      </c>
      <c r="H80" s="35" t="str" cm="1">
        <f t="array" ref="H80:J80">IFERROR(CalcUnc(K80,L80,S80,T80,V80,X80,AD80,AE80,N80:R80,Z80,AA80),"")</f>
        <v/>
      </c>
      <c r="I80" s="50" t="str">
        <v/>
      </c>
      <c r="J80" s="89" t="str">
        <v/>
      </c>
      <c r="K80" s="55"/>
      <c r="L80" s="56"/>
      <c r="M80" s="22"/>
      <c r="N80" s="52"/>
      <c r="O80" s="53"/>
      <c r="P80" s="53"/>
      <c r="Q80" s="98"/>
      <c r="R80" s="98"/>
      <c r="S80" s="101"/>
      <c r="T80" s="114"/>
      <c r="U80" s="59"/>
      <c r="V80" s="64"/>
      <c r="W80" s="61"/>
      <c r="X80" s="115"/>
      <c r="Y80" s="132" t="str" cm="1">
        <f t="array" ref="Y80">GetPolarity(X80,AE80)</f>
        <v/>
      </c>
      <c r="Z80" s="62"/>
      <c r="AA80" s="61"/>
      <c r="AB80" s="73" t="str">
        <f t="shared" si="12"/>
        <v/>
      </c>
      <c r="AC80" s="73" t="str">
        <f t="shared" si="13"/>
        <v/>
      </c>
      <c r="AD80" s="62"/>
      <c r="AE80" s="61"/>
      <c r="AF80" s="21" t="str">
        <f t="shared" si="14"/>
        <v/>
      </c>
      <c r="AG80" s="28" t="str" cm="1">
        <f t="array" ref="AG80">FilterSpecialCharacters(X80)</f>
        <v/>
      </c>
      <c r="AH80" s="74" t="str">
        <f t="shared" si="15"/>
        <v xml:space="preserve"> </v>
      </c>
    </row>
    <row r="81" spans="1:34" x14ac:dyDescent="0.25">
      <c r="A81" s="121" t="str" cm="1">
        <f t="array" ref="A81">IfEmpty(TRIM(_xlfn.CONCAT(C81:H81)),"",CRC32HASH(_xlfn.CONCAT(C81:H81)))</f>
        <v/>
      </c>
      <c r="B81" s="39" t="str">
        <f>IFERROR(VLOOKUP(J81,Items[],2,FALSE),"")</f>
        <v/>
      </c>
      <c r="C81" s="36" t="str" cm="1">
        <f t="array" ref="C81">W81 &amp; " " &amp; IfEmpty(U81, FilterSpecialCharacters(X81))</f>
        <v xml:space="preserve"> </v>
      </c>
      <c r="D81" s="37" t="str">
        <f t="shared" si="16"/>
        <v xml:space="preserve">  </v>
      </c>
      <c r="E81" s="58" t="str">
        <f t="shared" si="17"/>
        <v/>
      </c>
      <c r="F81" s="42" t="str">
        <f t="shared" si="18"/>
        <v/>
      </c>
      <c r="G81" s="42" t="str">
        <f t="shared" si="19"/>
        <v/>
      </c>
      <c r="H81" s="38" t="str" cm="1">
        <f t="array" ref="H81:J81">IFERROR(CalcUnc(K81,L81,S81,T81,V81,X81,AD81,AE81,N81:R81,Z81,AA81),"")</f>
        <v/>
      </c>
      <c r="I81" s="50" t="str">
        <v/>
      </c>
      <c r="J81" s="89" t="str">
        <v/>
      </c>
      <c r="K81" s="55"/>
      <c r="L81" s="56"/>
      <c r="M81" s="22"/>
      <c r="N81" s="52"/>
      <c r="O81" s="53"/>
      <c r="P81" s="53"/>
      <c r="Q81" s="98"/>
      <c r="R81" s="98"/>
      <c r="S81" s="101"/>
      <c r="T81" s="114"/>
      <c r="U81" s="59"/>
      <c r="V81" s="64"/>
      <c r="W81" s="61"/>
      <c r="X81" s="115"/>
      <c r="Y81" s="132" t="str" cm="1">
        <f t="array" ref="Y81">GetPolarity(X81,AE81)</f>
        <v/>
      </c>
      <c r="Z81" s="62"/>
      <c r="AA81" s="61"/>
      <c r="AB81" s="73" t="str">
        <f t="shared" si="12"/>
        <v/>
      </c>
      <c r="AC81" s="73" t="str">
        <f t="shared" si="13"/>
        <v/>
      </c>
      <c r="AD81" s="62"/>
      <c r="AE81" s="61"/>
      <c r="AF81" s="21" t="str">
        <f t="shared" si="14"/>
        <v/>
      </c>
      <c r="AG81" s="28" t="str" cm="1">
        <f t="array" ref="AG81">FilterSpecialCharacters(X81)</f>
        <v/>
      </c>
      <c r="AH81" s="74" t="str">
        <f t="shared" si="15"/>
        <v xml:space="preserve"> </v>
      </c>
    </row>
    <row r="82" spans="1:34" x14ac:dyDescent="0.25">
      <c r="A82" s="121" t="str" cm="1">
        <f t="array" ref="A82">IfEmpty(TRIM(_xlfn.CONCAT(C82:H82)),"",CRC32HASH(_xlfn.CONCAT(C82:H82)))</f>
        <v/>
      </c>
      <c r="B82" s="10" t="str">
        <f>IFERROR(VLOOKUP(J82,Items[],2,FALSE),"")</f>
        <v/>
      </c>
      <c r="C82" s="34" t="str" cm="1">
        <f t="array" ref="C82">W82 &amp; " " &amp; IfEmpty(U82, AG82)</f>
        <v xml:space="preserve"> </v>
      </c>
      <c r="D82" s="43" t="str">
        <f t="shared" si="16"/>
        <v xml:space="preserve">  </v>
      </c>
      <c r="E82" s="57" t="str">
        <f t="shared" si="17"/>
        <v/>
      </c>
      <c r="F82" s="41" t="str">
        <f t="shared" si="18"/>
        <v/>
      </c>
      <c r="G82" s="41" t="str">
        <f t="shared" si="19"/>
        <v/>
      </c>
      <c r="H82" s="35" t="str" cm="1">
        <f t="array" ref="H82:J82">IFERROR(CalcUnc(K82,L82,S82,T82,V82,X82,AD82,AE82,N82:R82,Z82,AA82),"")</f>
        <v/>
      </c>
      <c r="I82" s="50" t="str">
        <v/>
      </c>
      <c r="J82" s="89" t="str">
        <v/>
      </c>
      <c r="K82" s="55"/>
      <c r="L82" s="56"/>
      <c r="M82" s="22"/>
      <c r="N82" s="52"/>
      <c r="O82" s="53"/>
      <c r="P82" s="53"/>
      <c r="Q82" s="98"/>
      <c r="R82" s="98"/>
      <c r="S82" s="101"/>
      <c r="T82" s="114"/>
      <c r="U82" s="59"/>
      <c r="V82" s="64"/>
      <c r="W82" s="61"/>
      <c r="X82" s="115"/>
      <c r="Y82" s="132" t="str" cm="1">
        <f t="array" ref="Y82">GetPolarity(X82,AE82)</f>
        <v/>
      </c>
      <c r="Z82" s="62"/>
      <c r="AA82" s="61"/>
      <c r="AB82" s="73" t="str">
        <f t="shared" si="12"/>
        <v/>
      </c>
      <c r="AC82" s="73" t="str">
        <f t="shared" si="13"/>
        <v/>
      </c>
      <c r="AD82" s="62"/>
      <c r="AE82" s="61"/>
      <c r="AF82" s="21" t="str">
        <f t="shared" si="14"/>
        <v/>
      </c>
      <c r="AG82" s="28" t="str" cm="1">
        <f t="array" ref="AG82">FilterSpecialCharacters(X82)</f>
        <v/>
      </c>
      <c r="AH82" s="74" t="str">
        <f t="shared" si="15"/>
        <v xml:space="preserve"> </v>
      </c>
    </row>
    <row r="83" spans="1:34" x14ac:dyDescent="0.25">
      <c r="A83" s="121" t="str" cm="1">
        <f t="array" ref="A83">IfEmpty(TRIM(_xlfn.CONCAT(C83:H83)),"",CRC32HASH(_xlfn.CONCAT(C83:H83)))</f>
        <v/>
      </c>
      <c r="B83" s="39" t="str">
        <f>IFERROR(VLOOKUP(J83,Items[],2,FALSE),"")</f>
        <v/>
      </c>
      <c r="C83" s="36" t="str" cm="1">
        <f t="array" ref="C83">W83 &amp; " " &amp; IfEmpty(U83, FilterSpecialCharacters(X83))</f>
        <v xml:space="preserve"> </v>
      </c>
      <c r="D83" s="37" t="str">
        <f t="shared" si="16"/>
        <v xml:space="preserve">  </v>
      </c>
      <c r="E83" s="58" t="str">
        <f t="shared" si="17"/>
        <v/>
      </c>
      <c r="F83" s="42" t="str">
        <f t="shared" si="18"/>
        <v/>
      </c>
      <c r="G83" s="42" t="str">
        <f t="shared" si="19"/>
        <v/>
      </c>
      <c r="H83" s="38" t="str" cm="1">
        <f t="array" ref="H83:J83">IFERROR(CalcUnc(K83,L83,S83,T83,V83,X83,AD83,AE83,N83:R83,Z83,AA83),"")</f>
        <v/>
      </c>
      <c r="I83" s="50" t="str">
        <v/>
      </c>
      <c r="J83" s="89" t="str">
        <v/>
      </c>
      <c r="K83" s="55"/>
      <c r="L83" s="56"/>
      <c r="M83" s="22"/>
      <c r="N83" s="52"/>
      <c r="O83" s="53"/>
      <c r="P83" s="53"/>
      <c r="Q83" s="98"/>
      <c r="R83" s="98"/>
      <c r="S83" s="101"/>
      <c r="T83" s="114"/>
      <c r="U83" s="59"/>
      <c r="V83" s="64"/>
      <c r="W83" s="61"/>
      <c r="X83" s="115"/>
      <c r="Y83" s="132" t="str" cm="1">
        <f t="array" ref="Y83">GetPolarity(X83,AE83)</f>
        <v/>
      </c>
      <c r="Z83" s="62"/>
      <c r="AA83" s="61"/>
      <c r="AB83" s="73" t="str">
        <f t="shared" si="12"/>
        <v/>
      </c>
      <c r="AC83" s="73" t="str">
        <f t="shared" si="13"/>
        <v/>
      </c>
      <c r="AD83" s="62"/>
      <c r="AE83" s="61"/>
      <c r="AF83" s="21" t="str">
        <f t="shared" si="14"/>
        <v/>
      </c>
      <c r="AG83" s="28" t="str" cm="1">
        <f t="array" ref="AG83">FilterSpecialCharacters(X83)</f>
        <v/>
      </c>
      <c r="AH83" s="74" t="str">
        <f t="shared" si="15"/>
        <v xml:space="preserve"> </v>
      </c>
    </row>
    <row r="84" spans="1:34" x14ac:dyDescent="0.25">
      <c r="A84" s="121" t="str" cm="1">
        <f t="array" ref="A84">IfEmpty(TRIM(_xlfn.CONCAT(C84:H84)),"",CRC32HASH(_xlfn.CONCAT(C84:H84)))</f>
        <v/>
      </c>
      <c r="B84" s="10" t="str">
        <f>IFERROR(VLOOKUP(J84,Items[],2,FALSE),"")</f>
        <v/>
      </c>
      <c r="C84" s="34" t="str" cm="1">
        <f t="array" ref="C84">W84 &amp; " " &amp; IfEmpty(U84, AG84)</f>
        <v xml:space="preserve"> </v>
      </c>
      <c r="D84" s="43" t="str">
        <f t="shared" si="16"/>
        <v xml:space="preserve">  </v>
      </c>
      <c r="E84" s="57" t="str">
        <f t="shared" si="17"/>
        <v/>
      </c>
      <c r="F84" s="41" t="str">
        <f t="shared" si="18"/>
        <v/>
      </c>
      <c r="G84" s="41" t="str">
        <f t="shared" si="19"/>
        <v/>
      </c>
      <c r="H84" s="35" t="str" cm="1">
        <f t="array" ref="H84:J84">IFERROR(CalcUnc(K84,L84,S84,T84,V84,X84,AD84,AE84,N84:R84,Z84,AA84),"")</f>
        <v/>
      </c>
      <c r="I84" s="50" t="str">
        <v/>
      </c>
      <c r="J84" s="89" t="str">
        <v/>
      </c>
      <c r="K84" s="55"/>
      <c r="L84" s="56"/>
      <c r="M84" s="22"/>
      <c r="N84" s="52"/>
      <c r="O84" s="53"/>
      <c r="P84" s="53"/>
      <c r="Q84" s="98"/>
      <c r="R84" s="98"/>
      <c r="S84" s="101"/>
      <c r="T84" s="114"/>
      <c r="U84" s="59"/>
      <c r="V84" s="64"/>
      <c r="W84" s="61"/>
      <c r="X84" s="115"/>
      <c r="Y84" s="132" t="str" cm="1">
        <f t="array" ref="Y84">GetPolarity(X84,AE84)</f>
        <v/>
      </c>
      <c r="Z84" s="62"/>
      <c r="AA84" s="61"/>
      <c r="AB84" s="73" t="str">
        <f t="shared" si="12"/>
        <v/>
      </c>
      <c r="AC84" s="73" t="str">
        <f t="shared" si="13"/>
        <v/>
      </c>
      <c r="AD84" s="62"/>
      <c r="AE84" s="61"/>
      <c r="AF84" s="21" t="str">
        <f t="shared" si="14"/>
        <v/>
      </c>
      <c r="AG84" s="28" t="str" cm="1">
        <f t="array" ref="AG84">FilterSpecialCharacters(X84)</f>
        <v/>
      </c>
      <c r="AH84" s="74" t="str">
        <f t="shared" si="15"/>
        <v xml:space="preserve"> </v>
      </c>
    </row>
    <row r="85" spans="1:34" x14ac:dyDescent="0.25">
      <c r="A85" s="121" t="str" cm="1">
        <f t="array" ref="A85">IfEmpty(TRIM(_xlfn.CONCAT(C85:H85)),"",CRC32HASH(_xlfn.CONCAT(C85:H85)))</f>
        <v/>
      </c>
      <c r="B85" s="39" t="str">
        <f>IFERROR(VLOOKUP(J85,Items[],2,FALSE),"")</f>
        <v/>
      </c>
      <c r="C85" s="36" t="str" cm="1">
        <f t="array" ref="C85">W85 &amp; " " &amp; IfEmpty(U85, FilterSpecialCharacters(X85))</f>
        <v xml:space="preserve"> </v>
      </c>
      <c r="D85" s="37" t="str">
        <f t="shared" si="16"/>
        <v xml:space="preserve">  </v>
      </c>
      <c r="E85" s="58" t="str">
        <f t="shared" si="17"/>
        <v/>
      </c>
      <c r="F85" s="42" t="str">
        <f t="shared" si="18"/>
        <v/>
      </c>
      <c r="G85" s="42" t="str">
        <f t="shared" si="19"/>
        <v/>
      </c>
      <c r="H85" s="38" t="str" cm="1">
        <f t="array" ref="H85:J85">IFERROR(CalcUnc(K85,L85,S85,T85,V85,X85,AD85,AE85,N85:R85,Z85,AA85),"")</f>
        <v/>
      </c>
      <c r="I85" s="50" t="str">
        <v/>
      </c>
      <c r="J85" s="89" t="str">
        <v/>
      </c>
      <c r="K85" s="55"/>
      <c r="L85" s="56"/>
      <c r="M85" s="22"/>
      <c r="N85" s="52"/>
      <c r="O85" s="53"/>
      <c r="P85" s="53"/>
      <c r="Q85" s="98"/>
      <c r="R85" s="98"/>
      <c r="S85" s="101"/>
      <c r="T85" s="114"/>
      <c r="U85" s="59"/>
      <c r="V85" s="64"/>
      <c r="W85" s="61"/>
      <c r="X85" s="115"/>
      <c r="Y85" s="132" t="str" cm="1">
        <f t="array" ref="Y85">GetPolarity(X85,AE85)</f>
        <v/>
      </c>
      <c r="Z85" s="62"/>
      <c r="AA85" s="61"/>
      <c r="AB85" s="73" t="str">
        <f t="shared" si="12"/>
        <v/>
      </c>
      <c r="AC85" s="73" t="str">
        <f t="shared" si="13"/>
        <v/>
      </c>
      <c r="AD85" s="62"/>
      <c r="AE85" s="61"/>
      <c r="AF85" s="21" t="str">
        <f t="shared" si="14"/>
        <v/>
      </c>
      <c r="AG85" s="28" t="str" cm="1">
        <f t="array" ref="AG85">FilterSpecialCharacters(X85)</f>
        <v/>
      </c>
      <c r="AH85" s="74" t="str">
        <f t="shared" si="15"/>
        <v xml:space="preserve"> </v>
      </c>
    </row>
    <row r="86" spans="1:34" x14ac:dyDescent="0.25">
      <c r="A86" s="121" t="str" cm="1">
        <f t="array" ref="A86">IfEmpty(TRIM(_xlfn.CONCAT(C86:H86)),"",CRC32HASH(_xlfn.CONCAT(C86:H86)))</f>
        <v/>
      </c>
      <c r="B86" s="10" t="str">
        <f>IFERROR(VLOOKUP(J86,Items[],2,FALSE),"")</f>
        <v/>
      </c>
      <c r="C86" s="34" t="str" cm="1">
        <f t="array" ref="C86">W86 &amp; " " &amp; IfEmpty(U86, AG86)</f>
        <v xml:space="preserve"> </v>
      </c>
      <c r="D86" s="43" t="str">
        <f t="shared" si="16"/>
        <v xml:space="preserve">  </v>
      </c>
      <c r="E86" s="57" t="str">
        <f t="shared" si="17"/>
        <v/>
      </c>
      <c r="F86" s="41" t="str">
        <f t="shared" si="18"/>
        <v/>
      </c>
      <c r="G86" s="41" t="str">
        <f t="shared" si="19"/>
        <v/>
      </c>
      <c r="H86" s="35" t="str" cm="1">
        <f t="array" ref="H86:J86">IFERROR(CalcUnc(K86,L86,S86,T86,V86,X86,AD86,AE86,N86:R86,Z86,AA86),"")</f>
        <v/>
      </c>
      <c r="I86" s="50" t="str">
        <v/>
      </c>
      <c r="J86" s="89" t="str">
        <v/>
      </c>
      <c r="K86" s="55"/>
      <c r="L86" s="56"/>
      <c r="M86" s="22"/>
      <c r="N86" s="52"/>
      <c r="O86" s="53"/>
      <c r="P86" s="53"/>
      <c r="Q86" s="98"/>
      <c r="R86" s="98"/>
      <c r="S86" s="101"/>
      <c r="T86" s="114"/>
      <c r="U86" s="59"/>
      <c r="V86" s="64"/>
      <c r="W86" s="61"/>
      <c r="X86" s="115"/>
      <c r="Y86" s="132" t="str" cm="1">
        <f t="array" ref="Y86">GetPolarity(X86,AE86)</f>
        <v/>
      </c>
      <c r="Z86" s="62"/>
      <c r="AA86" s="61"/>
      <c r="AB86" s="73" t="str">
        <f t="shared" si="12"/>
        <v/>
      </c>
      <c r="AC86" s="73" t="str">
        <f t="shared" si="13"/>
        <v/>
      </c>
      <c r="AD86" s="62"/>
      <c r="AE86" s="61"/>
      <c r="AF86" s="21" t="str">
        <f t="shared" si="14"/>
        <v/>
      </c>
      <c r="AG86" s="28" t="str" cm="1">
        <f t="array" ref="AG86">FilterSpecialCharacters(X86)</f>
        <v/>
      </c>
      <c r="AH86" s="74" t="str">
        <f t="shared" si="15"/>
        <v xml:space="preserve"> </v>
      </c>
    </row>
    <row r="87" spans="1:34" x14ac:dyDescent="0.25">
      <c r="A87" s="121" t="str" cm="1">
        <f t="array" ref="A87">IfEmpty(TRIM(_xlfn.CONCAT(C87:H87)),"",CRC32HASH(_xlfn.CONCAT(C87:H87)))</f>
        <v/>
      </c>
      <c r="B87" s="39" t="str">
        <f>IFERROR(VLOOKUP(J87,Items[],2,FALSE),"")</f>
        <v/>
      </c>
      <c r="C87" s="36" t="str" cm="1">
        <f t="array" ref="C87">W87 &amp; " " &amp; IfEmpty(U87, FilterSpecialCharacters(X87))</f>
        <v xml:space="preserve"> </v>
      </c>
      <c r="D87" s="37" t="str">
        <f t="shared" si="16"/>
        <v xml:space="preserve">  </v>
      </c>
      <c r="E87" s="58" t="str">
        <f t="shared" si="17"/>
        <v/>
      </c>
      <c r="F87" s="42" t="str">
        <f t="shared" si="18"/>
        <v/>
      </c>
      <c r="G87" s="42" t="str">
        <f t="shared" si="19"/>
        <v/>
      </c>
      <c r="H87" s="38" t="str" cm="1">
        <f t="array" ref="H87:J87">IFERROR(CalcUnc(K87,L87,S87,T87,V87,X87,AD87,AE87,N87:R87,Z87,AA87),"")</f>
        <v/>
      </c>
      <c r="I87" s="50" t="str">
        <v/>
      </c>
      <c r="J87" s="89" t="str">
        <v/>
      </c>
      <c r="K87" s="55"/>
      <c r="L87" s="56"/>
      <c r="M87" s="22"/>
      <c r="N87" s="52"/>
      <c r="O87" s="53"/>
      <c r="P87" s="53"/>
      <c r="Q87" s="98"/>
      <c r="R87" s="98"/>
      <c r="S87" s="101"/>
      <c r="T87" s="114"/>
      <c r="U87" s="59"/>
      <c r="V87" s="64"/>
      <c r="W87" s="61"/>
      <c r="X87" s="115"/>
      <c r="Y87" s="132" t="str" cm="1">
        <f t="array" ref="Y87">GetPolarity(X87,AE87)</f>
        <v/>
      </c>
      <c r="Z87" s="62"/>
      <c r="AA87" s="61"/>
      <c r="AB87" s="73" t="str">
        <f t="shared" si="12"/>
        <v/>
      </c>
      <c r="AC87" s="73" t="str">
        <f t="shared" si="13"/>
        <v/>
      </c>
      <c r="AD87" s="62"/>
      <c r="AE87" s="61"/>
      <c r="AF87" s="21" t="str">
        <f t="shared" si="14"/>
        <v/>
      </c>
      <c r="AG87" s="28" t="str" cm="1">
        <f t="array" ref="AG87">FilterSpecialCharacters(X87)</f>
        <v/>
      </c>
      <c r="AH87" s="74" t="str">
        <f t="shared" si="15"/>
        <v xml:space="preserve"> </v>
      </c>
    </row>
    <row r="88" spans="1:34" x14ac:dyDescent="0.25">
      <c r="A88" s="121" t="str" cm="1">
        <f t="array" ref="A88">IfEmpty(TRIM(_xlfn.CONCAT(C88:H88)),"",CRC32HASH(_xlfn.CONCAT(C88:H88)))</f>
        <v/>
      </c>
      <c r="B88" s="10" t="str">
        <f>IFERROR(VLOOKUP(J88,Items[],2,FALSE),"")</f>
        <v/>
      </c>
      <c r="C88" s="34" t="str" cm="1">
        <f t="array" ref="C88">W88 &amp; " " &amp; IfEmpty(U88, AG88)</f>
        <v xml:space="preserve"> </v>
      </c>
      <c r="D88" s="43" t="str">
        <f t="shared" si="16"/>
        <v xml:space="preserve">  </v>
      </c>
      <c r="E88" s="57" t="str">
        <f t="shared" si="17"/>
        <v/>
      </c>
      <c r="F88" s="41" t="str">
        <f t="shared" si="18"/>
        <v/>
      </c>
      <c r="G88" s="41" t="str">
        <f t="shared" si="19"/>
        <v/>
      </c>
      <c r="H88" s="35" t="str" cm="1">
        <f t="array" ref="H88:J88">IFERROR(CalcUnc(K88,L88,S88,T88,V88,X88,AD88,AE88,N88:R88,Z88,AA88),"")</f>
        <v/>
      </c>
      <c r="I88" s="50" t="str">
        <v/>
      </c>
      <c r="J88" s="89" t="str">
        <v/>
      </c>
      <c r="K88" s="55"/>
      <c r="L88" s="56"/>
      <c r="M88" s="22"/>
      <c r="N88" s="52"/>
      <c r="O88" s="53"/>
      <c r="P88" s="53"/>
      <c r="Q88" s="98"/>
      <c r="R88" s="98"/>
      <c r="S88" s="101"/>
      <c r="T88" s="114"/>
      <c r="U88" s="59"/>
      <c r="V88" s="64"/>
      <c r="W88" s="61"/>
      <c r="X88" s="115"/>
      <c r="Y88" s="132" t="str" cm="1">
        <f t="array" ref="Y88">GetPolarity(X88,AE88)</f>
        <v/>
      </c>
      <c r="Z88" s="62"/>
      <c r="AA88" s="61"/>
      <c r="AB88" s="73" t="str">
        <f t="shared" si="12"/>
        <v/>
      </c>
      <c r="AC88" s="73" t="str">
        <f t="shared" si="13"/>
        <v/>
      </c>
      <c r="AD88" s="62"/>
      <c r="AE88" s="61"/>
      <c r="AF88" s="21" t="str">
        <f t="shared" si="14"/>
        <v/>
      </c>
      <c r="AG88" s="28" t="str" cm="1">
        <f t="array" ref="AG88">FilterSpecialCharacters(X88)</f>
        <v/>
      </c>
      <c r="AH88" s="74" t="str">
        <f t="shared" si="15"/>
        <v xml:space="preserve"> </v>
      </c>
    </row>
    <row r="89" spans="1:34" x14ac:dyDescent="0.25">
      <c r="A89" s="121" t="str" cm="1">
        <f t="array" ref="A89">IfEmpty(TRIM(_xlfn.CONCAT(C89:H89)),"",CRC32HASH(_xlfn.CONCAT(C89:H89)))</f>
        <v/>
      </c>
      <c r="B89" s="39" t="str">
        <f>IFERROR(VLOOKUP(J89,Items[],2,FALSE),"")</f>
        <v/>
      </c>
      <c r="C89" s="36" t="str" cm="1">
        <f t="array" ref="C89">W89 &amp; " " &amp; IfEmpty(U89, FilterSpecialCharacters(X89))</f>
        <v xml:space="preserve"> </v>
      </c>
      <c r="D89" s="37" t="str">
        <f t="shared" si="16"/>
        <v xml:space="preserve">  </v>
      </c>
      <c r="E89" s="58" t="str">
        <f t="shared" si="17"/>
        <v/>
      </c>
      <c r="F89" s="42" t="str">
        <f t="shared" si="18"/>
        <v/>
      </c>
      <c r="G89" s="42" t="str">
        <f t="shared" si="19"/>
        <v/>
      </c>
      <c r="H89" s="38" t="str" cm="1">
        <f t="array" ref="H89:J89">IFERROR(CalcUnc(K89,L89,S89,T89,V89,X89,AD89,AE89,N89:R89,Z89,AA89),"")</f>
        <v/>
      </c>
      <c r="I89" s="50" t="str">
        <v/>
      </c>
      <c r="J89" s="89" t="str">
        <v/>
      </c>
      <c r="K89" s="55"/>
      <c r="L89" s="56"/>
      <c r="M89" s="22"/>
      <c r="N89" s="52"/>
      <c r="O89" s="53"/>
      <c r="P89" s="53"/>
      <c r="Q89" s="98"/>
      <c r="R89" s="98"/>
      <c r="S89" s="101"/>
      <c r="T89" s="114"/>
      <c r="U89" s="59"/>
      <c r="V89" s="64"/>
      <c r="W89" s="61"/>
      <c r="X89" s="115"/>
      <c r="Y89" s="132" t="str" cm="1">
        <f t="array" ref="Y89">GetPolarity(X89,AE89)</f>
        <v/>
      </c>
      <c r="Z89" s="62"/>
      <c r="AA89" s="61"/>
      <c r="AB89" s="73" t="str">
        <f t="shared" si="12"/>
        <v/>
      </c>
      <c r="AC89" s="73" t="str">
        <f t="shared" si="13"/>
        <v/>
      </c>
      <c r="AD89" s="62"/>
      <c r="AE89" s="61"/>
      <c r="AF89" s="21" t="str">
        <f t="shared" si="14"/>
        <v/>
      </c>
      <c r="AG89" s="28" t="str" cm="1">
        <f t="array" ref="AG89">FilterSpecialCharacters(X89)</f>
        <v/>
      </c>
      <c r="AH89" s="74" t="str">
        <f t="shared" si="15"/>
        <v xml:space="preserve"> </v>
      </c>
    </row>
    <row r="90" spans="1:34" x14ac:dyDescent="0.25">
      <c r="A90" s="121" t="str" cm="1">
        <f t="array" ref="A90">IfEmpty(TRIM(_xlfn.CONCAT(C90:H90)),"",CRC32HASH(_xlfn.CONCAT(C90:H90)))</f>
        <v/>
      </c>
      <c r="B90" s="10" t="str">
        <f>IFERROR(VLOOKUP(J90,Items[],2,FALSE),"")</f>
        <v/>
      </c>
      <c r="C90" s="34" t="str" cm="1">
        <f t="array" ref="C90">W90 &amp; " " &amp; IfEmpty(U90, AG90)</f>
        <v xml:space="preserve"> </v>
      </c>
      <c r="D90" s="43" t="str">
        <f t="shared" si="16"/>
        <v xml:space="preserve">  </v>
      </c>
      <c r="E90" s="57" t="str">
        <f t="shared" si="17"/>
        <v/>
      </c>
      <c r="F90" s="41" t="str">
        <f t="shared" si="18"/>
        <v/>
      </c>
      <c r="G90" s="41" t="str">
        <f t="shared" si="19"/>
        <v/>
      </c>
      <c r="H90" s="35" t="str" cm="1">
        <f t="array" ref="H90:J90">IFERROR(CalcUnc(K90,L90,S90,T90,V90,X90,AD90,AE90,N90:R90,Z90,AA90),"")</f>
        <v/>
      </c>
      <c r="I90" s="50" t="str">
        <v/>
      </c>
      <c r="J90" s="89" t="str">
        <v/>
      </c>
      <c r="K90" s="55"/>
      <c r="L90" s="56"/>
      <c r="M90" s="22"/>
      <c r="N90" s="52"/>
      <c r="O90" s="53"/>
      <c r="P90" s="53"/>
      <c r="Q90" s="98"/>
      <c r="R90" s="98"/>
      <c r="S90" s="101"/>
      <c r="T90" s="114"/>
      <c r="U90" s="59"/>
      <c r="V90" s="64"/>
      <c r="W90" s="61"/>
      <c r="X90" s="115"/>
      <c r="Y90" s="132" t="str" cm="1">
        <f t="array" ref="Y90">GetPolarity(X90,AE90)</f>
        <v/>
      </c>
      <c r="Z90" s="62"/>
      <c r="AA90" s="61"/>
      <c r="AB90" s="73" t="str">
        <f t="shared" si="12"/>
        <v/>
      </c>
      <c r="AC90" s="73" t="str">
        <f t="shared" si="13"/>
        <v/>
      </c>
      <c r="AD90" s="62"/>
      <c r="AE90" s="61"/>
      <c r="AF90" s="21" t="str">
        <f t="shared" si="14"/>
        <v/>
      </c>
      <c r="AG90" s="28" t="str" cm="1">
        <f t="array" ref="AG90">FilterSpecialCharacters(X90)</f>
        <v/>
      </c>
      <c r="AH90" s="74" t="str">
        <f t="shared" si="15"/>
        <v xml:space="preserve"> </v>
      </c>
    </row>
    <row r="91" spans="1:34" x14ac:dyDescent="0.25">
      <c r="A91" s="121" t="str" cm="1">
        <f t="array" ref="A91">IfEmpty(TRIM(_xlfn.CONCAT(C91:H91)),"",CRC32HASH(_xlfn.CONCAT(C91:H91)))</f>
        <v/>
      </c>
      <c r="B91" s="39" t="str">
        <f>IFERROR(VLOOKUP(J91,Items[],2,FALSE),"")</f>
        <v/>
      </c>
      <c r="C91" s="36" t="str" cm="1">
        <f t="array" ref="C91">W91 &amp; " " &amp; IfEmpty(U91, FilterSpecialCharacters(X91))</f>
        <v xml:space="preserve"> </v>
      </c>
      <c r="D91" s="37" t="str">
        <f t="shared" si="16"/>
        <v xml:space="preserve">  </v>
      </c>
      <c r="E91" s="58" t="str">
        <f t="shared" si="17"/>
        <v/>
      </c>
      <c r="F91" s="42" t="str">
        <f t="shared" si="18"/>
        <v/>
      </c>
      <c r="G91" s="42" t="str">
        <f t="shared" si="19"/>
        <v/>
      </c>
      <c r="H91" s="38" t="str" cm="1">
        <f t="array" ref="H91:J91">IFERROR(CalcUnc(K91,L91,S91,T91,V91,X91,AD91,AE91,N91:R91,Z91,AA91),"")</f>
        <v/>
      </c>
      <c r="I91" s="50" t="str">
        <v/>
      </c>
      <c r="J91" s="89" t="str">
        <v/>
      </c>
      <c r="K91" s="55"/>
      <c r="L91" s="56"/>
      <c r="M91" s="22"/>
      <c r="N91" s="52"/>
      <c r="O91" s="53"/>
      <c r="P91" s="53"/>
      <c r="Q91" s="98"/>
      <c r="R91" s="98"/>
      <c r="S91" s="101"/>
      <c r="T91" s="114"/>
      <c r="U91" s="59"/>
      <c r="V91" s="64"/>
      <c r="W91" s="61"/>
      <c r="X91" s="115"/>
      <c r="Y91" s="132" t="str" cm="1">
        <f t="array" ref="Y91">GetPolarity(X91,AE91)</f>
        <v/>
      </c>
      <c r="Z91" s="62"/>
      <c r="AA91" s="61"/>
      <c r="AB91" s="73" t="str">
        <f t="shared" si="12"/>
        <v/>
      </c>
      <c r="AC91" s="73" t="str">
        <f t="shared" si="13"/>
        <v/>
      </c>
      <c r="AD91" s="62"/>
      <c r="AE91" s="61"/>
      <c r="AF91" s="21" t="str">
        <f t="shared" si="14"/>
        <v/>
      </c>
      <c r="AG91" s="28" t="str" cm="1">
        <f t="array" ref="AG91">FilterSpecialCharacters(X91)</f>
        <v/>
      </c>
      <c r="AH91" s="74" t="str">
        <f t="shared" si="15"/>
        <v xml:space="preserve"> </v>
      </c>
    </row>
    <row r="92" spans="1:34" x14ac:dyDescent="0.25">
      <c r="A92" s="121" t="str" cm="1">
        <f t="array" ref="A92">IfEmpty(TRIM(_xlfn.CONCAT(C92:H92)),"",CRC32HASH(_xlfn.CONCAT(C92:H92)))</f>
        <v/>
      </c>
      <c r="B92" s="10" t="str">
        <f>IFERROR(VLOOKUP(J92,Items[],2,FALSE),"")</f>
        <v/>
      </c>
      <c r="C92" s="34" t="str" cm="1">
        <f t="array" ref="C92">W92 &amp; " " &amp; IfEmpty(U92, AG92)</f>
        <v xml:space="preserve"> </v>
      </c>
      <c r="D92" s="43" t="str">
        <f t="shared" si="16"/>
        <v xml:space="preserve">  </v>
      </c>
      <c r="E92" s="57" t="str">
        <f t="shared" si="17"/>
        <v/>
      </c>
      <c r="F92" s="41" t="str">
        <f t="shared" si="18"/>
        <v/>
      </c>
      <c r="G92" s="41" t="str">
        <f t="shared" si="19"/>
        <v/>
      </c>
      <c r="H92" s="35" t="str" cm="1">
        <f t="array" ref="H92:J92">IFERROR(CalcUnc(K92,L92,S92,T92,V92,X92,AD92,AE92,N92:R92,Z92,AA92),"")</f>
        <v/>
      </c>
      <c r="I92" s="50" t="str">
        <v/>
      </c>
      <c r="J92" s="89" t="str">
        <v/>
      </c>
      <c r="K92" s="55"/>
      <c r="L92" s="56"/>
      <c r="M92" s="22"/>
      <c r="N92" s="52"/>
      <c r="O92" s="53"/>
      <c r="P92" s="53"/>
      <c r="Q92" s="98"/>
      <c r="R92" s="98"/>
      <c r="S92" s="101"/>
      <c r="T92" s="114"/>
      <c r="U92" s="59"/>
      <c r="V92" s="64"/>
      <c r="W92" s="61"/>
      <c r="X92" s="115"/>
      <c r="Y92" s="132" t="str" cm="1">
        <f t="array" ref="Y92">GetPolarity(X92,AE92)</f>
        <v/>
      </c>
      <c r="Z92" s="62"/>
      <c r="AA92" s="61"/>
      <c r="AB92" s="73" t="str">
        <f t="shared" si="12"/>
        <v/>
      </c>
      <c r="AC92" s="73" t="str">
        <f t="shared" si="13"/>
        <v/>
      </c>
      <c r="AD92" s="62"/>
      <c r="AE92" s="61"/>
      <c r="AF92" s="21" t="str">
        <f t="shared" si="14"/>
        <v/>
      </c>
      <c r="AG92" s="28" t="str" cm="1">
        <f t="array" ref="AG92">FilterSpecialCharacters(X92)</f>
        <v/>
      </c>
      <c r="AH92" s="74" t="str">
        <f t="shared" si="15"/>
        <v xml:space="preserve"> </v>
      </c>
    </row>
    <row r="93" spans="1:34" x14ac:dyDescent="0.25">
      <c r="A93" s="121" t="str" cm="1">
        <f t="array" ref="A93">IfEmpty(TRIM(_xlfn.CONCAT(C93:H93)),"",CRC32HASH(_xlfn.CONCAT(C93:H93)))</f>
        <v/>
      </c>
      <c r="B93" s="39" t="str">
        <f>IFERROR(VLOOKUP(J93,Items[],2,FALSE),"")</f>
        <v/>
      </c>
      <c r="C93" s="36" t="str" cm="1">
        <f t="array" ref="C93">W93 &amp; " " &amp; IfEmpty(U93, FilterSpecialCharacters(X93))</f>
        <v xml:space="preserve"> </v>
      </c>
      <c r="D93" s="37" t="str">
        <f t="shared" si="16"/>
        <v xml:space="preserve">  </v>
      </c>
      <c r="E93" s="58" t="str">
        <f t="shared" si="17"/>
        <v/>
      </c>
      <c r="F93" s="42" t="str">
        <f t="shared" si="18"/>
        <v/>
      </c>
      <c r="G93" s="42" t="str">
        <f t="shared" si="19"/>
        <v/>
      </c>
      <c r="H93" s="38" t="str" cm="1">
        <f t="array" ref="H93:J93">IFERROR(CalcUnc(K93,L93,S93,T93,V93,X93,AD93,AE93,N93:R93,Z93,AA93),"")</f>
        <v/>
      </c>
      <c r="I93" s="50" t="str">
        <v/>
      </c>
      <c r="J93" s="89" t="str">
        <v/>
      </c>
      <c r="K93" s="55"/>
      <c r="L93" s="56"/>
      <c r="M93" s="22"/>
      <c r="N93" s="52"/>
      <c r="O93" s="53"/>
      <c r="P93" s="53"/>
      <c r="Q93" s="98"/>
      <c r="R93" s="98"/>
      <c r="S93" s="101"/>
      <c r="T93" s="114"/>
      <c r="U93" s="59"/>
      <c r="V93" s="64"/>
      <c r="W93" s="61"/>
      <c r="X93" s="115"/>
      <c r="Y93" s="132" t="str" cm="1">
        <f t="array" ref="Y93">GetPolarity(X93,AE93)</f>
        <v/>
      </c>
      <c r="Z93" s="62"/>
      <c r="AA93" s="61"/>
      <c r="AB93" s="73" t="str">
        <f t="shared" si="12"/>
        <v/>
      </c>
      <c r="AC93" s="73" t="str">
        <f t="shared" si="13"/>
        <v/>
      </c>
      <c r="AD93" s="62"/>
      <c r="AE93" s="61"/>
      <c r="AF93" s="21" t="str">
        <f t="shared" si="14"/>
        <v/>
      </c>
      <c r="AG93" s="28" t="str" cm="1">
        <f t="array" ref="AG93">FilterSpecialCharacters(X93)</f>
        <v/>
      </c>
      <c r="AH93" s="74" t="str">
        <f t="shared" si="15"/>
        <v xml:space="preserve"> </v>
      </c>
    </row>
    <row r="94" spans="1:34" x14ac:dyDescent="0.25">
      <c r="A94" s="121" t="str" cm="1">
        <f t="array" ref="A94">IfEmpty(TRIM(_xlfn.CONCAT(C94:H94)),"",CRC32HASH(_xlfn.CONCAT(C94:H94)))</f>
        <v/>
      </c>
      <c r="B94" s="10" t="str">
        <f>IFERROR(VLOOKUP(J94,Items[],2,FALSE),"")</f>
        <v/>
      </c>
      <c r="C94" s="34" t="str" cm="1">
        <f t="array" ref="C94">W94 &amp; " " &amp; IfEmpty(U94, AG94)</f>
        <v xml:space="preserve"> </v>
      </c>
      <c r="D94" s="43" t="str">
        <f t="shared" si="16"/>
        <v xml:space="preserve">  </v>
      </c>
      <c r="E94" s="57" t="str">
        <f t="shared" si="17"/>
        <v/>
      </c>
      <c r="F94" s="41" t="str">
        <f t="shared" si="18"/>
        <v/>
      </c>
      <c r="G94" s="41" t="str">
        <f t="shared" si="19"/>
        <v/>
      </c>
      <c r="H94" s="35" t="str" cm="1">
        <f t="array" ref="H94:J94">IFERROR(CalcUnc(K94,L94,S94,T94,V94,X94,AD94,AE94,N94:R94,Z94,AA94),"")</f>
        <v/>
      </c>
      <c r="I94" s="50" t="str">
        <v/>
      </c>
      <c r="J94" s="89" t="str">
        <v/>
      </c>
      <c r="K94" s="55"/>
      <c r="L94" s="56"/>
      <c r="M94" s="22"/>
      <c r="N94" s="52"/>
      <c r="O94" s="53"/>
      <c r="P94" s="53"/>
      <c r="Q94" s="98"/>
      <c r="R94" s="98"/>
      <c r="S94" s="101"/>
      <c r="T94" s="114"/>
      <c r="U94" s="59"/>
      <c r="V94" s="64"/>
      <c r="W94" s="61"/>
      <c r="X94" s="115"/>
      <c r="Y94" s="132" t="str" cm="1">
        <f t="array" ref="Y94">GetPolarity(X94,AE94)</f>
        <v/>
      </c>
      <c r="Z94" s="62"/>
      <c r="AA94" s="61"/>
      <c r="AB94" s="73" t="str">
        <f t="shared" si="12"/>
        <v/>
      </c>
      <c r="AC94" s="73" t="str">
        <f t="shared" si="13"/>
        <v/>
      </c>
      <c r="AD94" s="62"/>
      <c r="AE94" s="61"/>
      <c r="AF94" s="21" t="str">
        <f t="shared" si="14"/>
        <v/>
      </c>
      <c r="AG94" s="28" t="str" cm="1">
        <f t="array" ref="AG94">FilterSpecialCharacters(X94)</f>
        <v/>
      </c>
      <c r="AH94" s="74" t="str">
        <f t="shared" si="15"/>
        <v xml:space="preserve"> </v>
      </c>
    </row>
    <row r="95" spans="1:34" x14ac:dyDescent="0.25">
      <c r="A95" s="121" t="str" cm="1">
        <f t="array" ref="A95">IfEmpty(TRIM(_xlfn.CONCAT(C95:H95)),"",CRC32HASH(_xlfn.CONCAT(C95:H95)))</f>
        <v/>
      </c>
      <c r="B95" s="39" t="str">
        <f>IFERROR(VLOOKUP(J95,Items[],2,FALSE),"")</f>
        <v/>
      </c>
      <c r="C95" s="36" t="str" cm="1">
        <f t="array" ref="C95">W95 &amp; " " &amp; IfEmpty(U95, FilterSpecialCharacters(X95))</f>
        <v xml:space="preserve"> </v>
      </c>
      <c r="D95" s="37" t="str">
        <f t="shared" si="16"/>
        <v xml:space="preserve">  </v>
      </c>
      <c r="E95" s="58" t="str">
        <f t="shared" si="17"/>
        <v/>
      </c>
      <c r="F95" s="42" t="str">
        <f t="shared" si="18"/>
        <v/>
      </c>
      <c r="G95" s="42" t="str">
        <f t="shared" si="19"/>
        <v/>
      </c>
      <c r="H95" s="38" t="str" cm="1">
        <f t="array" ref="H95:J95">IFERROR(CalcUnc(K95,L95,S95,T95,V95,X95,AD95,AE95,N95:R95,Z95,AA95),"")</f>
        <v/>
      </c>
      <c r="I95" s="50" t="str">
        <v/>
      </c>
      <c r="J95" s="89" t="str">
        <v/>
      </c>
      <c r="K95" s="55"/>
      <c r="L95" s="56"/>
      <c r="M95" s="22"/>
      <c r="N95" s="52"/>
      <c r="O95" s="53"/>
      <c r="P95" s="53"/>
      <c r="Q95" s="98"/>
      <c r="R95" s="98"/>
      <c r="S95" s="101"/>
      <c r="T95" s="114"/>
      <c r="U95" s="59"/>
      <c r="V95" s="64"/>
      <c r="W95" s="61"/>
      <c r="X95" s="115"/>
      <c r="Y95" s="132" t="str" cm="1">
        <f t="array" ref="Y95">GetPolarity(X95,AE95)</f>
        <v/>
      </c>
      <c r="Z95" s="62"/>
      <c r="AA95" s="61"/>
      <c r="AB95" s="73" t="str">
        <f t="shared" si="12"/>
        <v/>
      </c>
      <c r="AC95" s="73" t="str">
        <f t="shared" si="13"/>
        <v/>
      </c>
      <c r="AD95" s="62"/>
      <c r="AE95" s="61"/>
      <c r="AF95" s="21" t="str">
        <f t="shared" si="14"/>
        <v/>
      </c>
      <c r="AG95" s="28" t="str" cm="1">
        <f t="array" ref="AG95">FilterSpecialCharacters(X95)</f>
        <v/>
      </c>
      <c r="AH95" s="74" t="str">
        <f t="shared" si="15"/>
        <v xml:space="preserve"> </v>
      </c>
    </row>
    <row r="96" spans="1:34" x14ac:dyDescent="0.25">
      <c r="A96" s="121" t="str" cm="1">
        <f t="array" ref="A96">IfEmpty(TRIM(_xlfn.CONCAT(C96:H96)),"",CRC32HASH(_xlfn.CONCAT(C96:H96)))</f>
        <v/>
      </c>
      <c r="B96" s="10" t="str">
        <f>IFERROR(VLOOKUP(J96,Items[],2,FALSE),"")</f>
        <v/>
      </c>
      <c r="C96" s="34" t="str" cm="1">
        <f t="array" ref="C96">W96 &amp; " " &amp; IfEmpty(U96, AG96)</f>
        <v xml:space="preserve"> </v>
      </c>
      <c r="D96" s="43" t="str">
        <f t="shared" si="16"/>
        <v xml:space="preserve">  </v>
      </c>
      <c r="E96" s="57" t="str">
        <f t="shared" si="17"/>
        <v/>
      </c>
      <c r="F96" s="41" t="str">
        <f t="shared" si="18"/>
        <v/>
      </c>
      <c r="G96" s="41" t="str">
        <f t="shared" si="19"/>
        <v/>
      </c>
      <c r="H96" s="35" t="str" cm="1">
        <f t="array" ref="H96:J96">IFERROR(CalcUnc(K96,L96,S96,T96,V96,X96,AD96,AE96,N96:R96,Z96,AA96),"")</f>
        <v/>
      </c>
      <c r="I96" s="50" t="str">
        <v/>
      </c>
      <c r="J96" s="89" t="str">
        <v/>
      </c>
      <c r="K96" s="55"/>
      <c r="L96" s="56"/>
      <c r="M96" s="22"/>
      <c r="N96" s="52"/>
      <c r="O96" s="53"/>
      <c r="P96" s="53"/>
      <c r="Q96" s="98"/>
      <c r="R96" s="98"/>
      <c r="S96" s="101"/>
      <c r="T96" s="114"/>
      <c r="U96" s="59"/>
      <c r="V96" s="64"/>
      <c r="W96" s="61"/>
      <c r="X96" s="115"/>
      <c r="Y96" s="132" t="str" cm="1">
        <f t="array" ref="Y96">GetPolarity(X96,AE96)</f>
        <v/>
      </c>
      <c r="Z96" s="62"/>
      <c r="AA96" s="61"/>
      <c r="AB96" s="73" t="str">
        <f t="shared" si="12"/>
        <v/>
      </c>
      <c r="AC96" s="73" t="str">
        <f t="shared" si="13"/>
        <v/>
      </c>
      <c r="AD96" s="62"/>
      <c r="AE96" s="61"/>
      <c r="AF96" s="21" t="str">
        <f t="shared" si="14"/>
        <v/>
      </c>
      <c r="AG96" s="28" t="str" cm="1">
        <f t="array" ref="AG96">FilterSpecialCharacters(X96)</f>
        <v/>
      </c>
      <c r="AH96" s="74" t="str">
        <f t="shared" si="15"/>
        <v xml:space="preserve"> </v>
      </c>
    </row>
    <row r="97" spans="1:34" x14ac:dyDescent="0.25">
      <c r="A97" s="121" t="str" cm="1">
        <f t="array" ref="A97">IfEmpty(TRIM(_xlfn.CONCAT(C97:H97)),"",CRC32HASH(_xlfn.CONCAT(C97:H97)))</f>
        <v/>
      </c>
      <c r="B97" s="39" t="str">
        <f>IFERROR(VLOOKUP(J97,Items[],2,FALSE),"")</f>
        <v/>
      </c>
      <c r="C97" s="36" t="str" cm="1">
        <f t="array" ref="C97">W97 &amp; " " &amp; IfEmpty(U97, FilterSpecialCharacters(X97))</f>
        <v xml:space="preserve"> </v>
      </c>
      <c r="D97" s="37" t="str">
        <f t="shared" si="16"/>
        <v xml:space="preserve">  </v>
      </c>
      <c r="E97" s="58" t="str">
        <f t="shared" si="17"/>
        <v/>
      </c>
      <c r="F97" s="42" t="str">
        <f t="shared" si="18"/>
        <v/>
      </c>
      <c r="G97" s="42" t="str">
        <f t="shared" si="19"/>
        <v/>
      </c>
      <c r="H97" s="38" t="str" cm="1">
        <f t="array" ref="H97:J97">IFERROR(CalcUnc(K97,L97,S97,T97,V97,X97,AD97,AE97,N97:R97,Z97,AA97),"")</f>
        <v/>
      </c>
      <c r="I97" s="50" t="str">
        <v/>
      </c>
      <c r="J97" s="89" t="str">
        <v/>
      </c>
      <c r="K97" s="55"/>
      <c r="L97" s="56"/>
      <c r="M97" s="22"/>
      <c r="N97" s="52"/>
      <c r="O97" s="53"/>
      <c r="P97" s="53"/>
      <c r="Q97" s="98"/>
      <c r="R97" s="98"/>
      <c r="S97" s="101"/>
      <c r="T97" s="114"/>
      <c r="U97" s="59"/>
      <c r="V97" s="64"/>
      <c r="W97" s="61"/>
      <c r="X97" s="115"/>
      <c r="Y97" s="132" t="str" cm="1">
        <f t="array" ref="Y97">GetPolarity(X97,AE97)</f>
        <v/>
      </c>
      <c r="Z97" s="62"/>
      <c r="AA97" s="61"/>
      <c r="AB97" s="73" t="str">
        <f t="shared" si="12"/>
        <v/>
      </c>
      <c r="AC97" s="73" t="str">
        <f t="shared" si="13"/>
        <v/>
      </c>
      <c r="AD97" s="62"/>
      <c r="AE97" s="61"/>
      <c r="AF97" s="21" t="str">
        <f t="shared" si="14"/>
        <v/>
      </c>
      <c r="AG97" s="28" t="str" cm="1">
        <f t="array" ref="AG97">FilterSpecialCharacters(X97)</f>
        <v/>
      </c>
      <c r="AH97" s="74" t="str">
        <f t="shared" si="15"/>
        <v xml:space="preserve"> </v>
      </c>
    </row>
    <row r="98" spans="1:34" x14ac:dyDescent="0.25">
      <c r="A98" s="121" t="str" cm="1">
        <f t="array" ref="A98">IfEmpty(TRIM(_xlfn.CONCAT(C98:H98)),"",CRC32HASH(_xlfn.CONCAT(C98:H98)))</f>
        <v/>
      </c>
      <c r="B98" s="10" t="str">
        <f>IFERROR(VLOOKUP(J98,Items[],2,FALSE),"")</f>
        <v/>
      </c>
      <c r="C98" s="34" t="str" cm="1">
        <f t="array" ref="C98">W98 &amp; " " &amp; IfEmpty(U98, AG98)</f>
        <v xml:space="preserve"> </v>
      </c>
      <c r="D98" s="43" t="str">
        <f t="shared" si="16"/>
        <v xml:space="preserve">  </v>
      </c>
      <c r="E98" s="57" t="str">
        <f t="shared" si="17"/>
        <v/>
      </c>
      <c r="F98" s="41" t="str">
        <f t="shared" si="18"/>
        <v/>
      </c>
      <c r="G98" s="41" t="str">
        <f t="shared" si="19"/>
        <v/>
      </c>
      <c r="H98" s="35" t="str" cm="1">
        <f t="array" ref="H98:J98">IFERROR(CalcUnc(K98,L98,S98,T98,V98,X98,AD98,AE98,N98:R98,Z98,AA98),"")</f>
        <v/>
      </c>
      <c r="I98" s="50" t="str">
        <v/>
      </c>
      <c r="J98" s="89" t="str">
        <v/>
      </c>
      <c r="K98" s="55"/>
      <c r="L98" s="56"/>
      <c r="M98" s="22"/>
      <c r="N98" s="52"/>
      <c r="O98" s="53"/>
      <c r="P98" s="53"/>
      <c r="Q98" s="98"/>
      <c r="R98" s="98"/>
      <c r="S98" s="101"/>
      <c r="T98" s="114"/>
      <c r="U98" s="59"/>
      <c r="V98" s="64"/>
      <c r="W98" s="61"/>
      <c r="X98" s="115"/>
      <c r="Y98" s="132" t="str" cm="1">
        <f t="array" ref="Y98">GetPolarity(X98,AE98)</f>
        <v/>
      </c>
      <c r="Z98" s="62"/>
      <c r="AA98" s="61"/>
      <c r="AB98" s="73" t="str">
        <f t="shared" si="12"/>
        <v/>
      </c>
      <c r="AC98" s="73" t="str">
        <f t="shared" si="13"/>
        <v/>
      </c>
      <c r="AD98" s="62"/>
      <c r="AE98" s="61"/>
      <c r="AF98" s="21" t="str">
        <f t="shared" si="14"/>
        <v/>
      </c>
      <c r="AG98" s="28" t="str" cm="1">
        <f t="array" ref="AG98">FilterSpecialCharacters(X98)</f>
        <v/>
      </c>
      <c r="AH98" s="74" t="str">
        <f t="shared" si="15"/>
        <v xml:space="preserve"> </v>
      </c>
    </row>
    <row r="99" spans="1:34" x14ac:dyDescent="0.25">
      <c r="A99" s="121" t="str" cm="1">
        <f t="array" ref="A99">IfEmpty(TRIM(_xlfn.CONCAT(C99:H99)),"",CRC32HASH(_xlfn.CONCAT(C99:H99)))</f>
        <v/>
      </c>
      <c r="B99" s="39" t="str">
        <f>IFERROR(VLOOKUP(J99,Items[],2,FALSE),"")</f>
        <v/>
      </c>
      <c r="C99" s="36" t="str" cm="1">
        <f t="array" ref="C99">W99 &amp; " " &amp; IfEmpty(U99, FilterSpecialCharacters(X99))</f>
        <v xml:space="preserve"> </v>
      </c>
      <c r="D99" s="37" t="str">
        <f t="shared" si="16"/>
        <v xml:space="preserve">  </v>
      </c>
      <c r="E99" s="58" t="str">
        <f t="shared" si="17"/>
        <v/>
      </c>
      <c r="F99" s="42" t="str">
        <f t="shared" si="18"/>
        <v/>
      </c>
      <c r="G99" s="42" t="str">
        <f t="shared" si="19"/>
        <v/>
      </c>
      <c r="H99" s="38" t="str" cm="1">
        <f t="array" ref="H99:J99">IFERROR(CalcUnc(K99,L99,S99,T99,V99,X99,AD99,AE99,N99:R99,Z99,AA99),"")</f>
        <v/>
      </c>
      <c r="I99" s="50" t="str">
        <v/>
      </c>
      <c r="J99" s="89" t="str">
        <v/>
      </c>
      <c r="K99" s="55"/>
      <c r="L99" s="56"/>
      <c r="M99" s="22"/>
      <c r="N99" s="52"/>
      <c r="O99" s="53"/>
      <c r="P99" s="53"/>
      <c r="Q99" s="98"/>
      <c r="R99" s="98"/>
      <c r="S99" s="101"/>
      <c r="T99" s="114"/>
      <c r="U99" s="59"/>
      <c r="V99" s="64"/>
      <c r="W99" s="61"/>
      <c r="X99" s="115"/>
      <c r="Y99" s="132" t="str" cm="1">
        <f t="array" ref="Y99">GetPolarity(X99,AE99)</f>
        <v/>
      </c>
      <c r="Z99" s="62"/>
      <c r="AA99" s="61"/>
      <c r="AB99" s="73" t="str">
        <f t="shared" si="12"/>
        <v/>
      </c>
      <c r="AC99" s="73" t="str">
        <f t="shared" si="13"/>
        <v/>
      </c>
      <c r="AD99" s="62"/>
      <c r="AE99" s="61"/>
      <c r="AF99" s="21" t="str">
        <f t="shared" si="14"/>
        <v/>
      </c>
      <c r="AG99" s="28" t="str" cm="1">
        <f t="array" ref="AG99">FilterSpecialCharacters(X99)</f>
        <v/>
      </c>
      <c r="AH99" s="74" t="str">
        <f t="shared" si="15"/>
        <v xml:space="preserve"> </v>
      </c>
    </row>
    <row r="100" spans="1:34" x14ac:dyDescent="0.25">
      <c r="A100" s="121" t="str" cm="1">
        <f t="array" ref="A100">IfEmpty(TRIM(_xlfn.CONCAT(C100:H100)),"",CRC32HASH(_xlfn.CONCAT(C100:H100)))</f>
        <v/>
      </c>
      <c r="B100" s="10" t="str">
        <f>IFERROR(VLOOKUP(J100,Items[],2,FALSE),"")</f>
        <v/>
      </c>
      <c r="C100" s="34" t="str" cm="1">
        <f t="array" ref="C100">W100 &amp; " " &amp; IfEmpty(U100, AG100)</f>
        <v xml:space="preserve"> </v>
      </c>
      <c r="D100" s="43" t="str">
        <f t="shared" si="16"/>
        <v xml:space="preserve">  </v>
      </c>
      <c r="E100" s="57" t="str">
        <f t="shared" si="17"/>
        <v/>
      </c>
      <c r="F100" s="41" t="str">
        <f t="shared" si="18"/>
        <v/>
      </c>
      <c r="G100" s="41" t="str">
        <f t="shared" si="19"/>
        <v/>
      </c>
      <c r="H100" s="35" t="str" cm="1">
        <f t="array" ref="H100:J100">IFERROR(CalcUnc(K100,L100,S100,T100,V100,X100,AD100,AE100,N100:R100,Z100,AA100),"")</f>
        <v/>
      </c>
      <c r="I100" s="50" t="str">
        <v/>
      </c>
      <c r="J100" s="89" t="str">
        <v/>
      </c>
      <c r="K100" s="55"/>
      <c r="L100" s="56"/>
      <c r="M100" s="22"/>
      <c r="N100" s="52"/>
      <c r="O100" s="53"/>
      <c r="P100" s="53"/>
      <c r="Q100" s="98"/>
      <c r="R100" s="98"/>
      <c r="S100" s="101"/>
      <c r="T100" s="114"/>
      <c r="U100" s="59"/>
      <c r="V100" s="64"/>
      <c r="W100" s="61"/>
      <c r="X100" s="115"/>
      <c r="Y100" s="132" t="str" cm="1">
        <f t="array" ref="Y100">GetPolarity(X100,AE100)</f>
        <v/>
      </c>
      <c r="Z100" s="62"/>
      <c r="AA100" s="61"/>
      <c r="AB100" s="73" t="str">
        <f t="shared" si="12"/>
        <v/>
      </c>
      <c r="AC100" s="73" t="str">
        <f t="shared" si="13"/>
        <v/>
      </c>
      <c r="AD100" s="62"/>
      <c r="AE100" s="61"/>
      <c r="AF100" s="21" t="str">
        <f t="shared" si="14"/>
        <v/>
      </c>
      <c r="AG100" s="28" t="str" cm="1">
        <f t="array" ref="AG100">FilterSpecialCharacters(X100)</f>
        <v/>
      </c>
      <c r="AH100" s="74" t="str">
        <f t="shared" si="15"/>
        <v xml:space="preserve"> </v>
      </c>
    </row>
    <row r="101" spans="1:34" x14ac:dyDescent="0.25">
      <c r="A101" s="121" t="str" cm="1">
        <f t="array" ref="A101">IfEmpty(TRIM(_xlfn.CONCAT(C101:H101)),"",CRC32HASH(_xlfn.CONCAT(C101:H101)))</f>
        <v/>
      </c>
      <c r="B101" s="39" t="str">
        <f>IFERROR(VLOOKUP(J101,Items[],2,FALSE),"")</f>
        <v/>
      </c>
      <c r="C101" s="36" t="str" cm="1">
        <f t="array" ref="C101">W101 &amp; " " &amp; IfEmpty(U101, FilterSpecialCharacters(X101))</f>
        <v xml:space="preserve"> </v>
      </c>
      <c r="D101" s="37" t="str">
        <f t="shared" si="16"/>
        <v xml:space="preserve">  </v>
      </c>
      <c r="E101" s="58" t="str">
        <f t="shared" si="17"/>
        <v/>
      </c>
      <c r="F101" s="42" t="str">
        <f t="shared" si="18"/>
        <v/>
      </c>
      <c r="G101" s="42" t="str">
        <f t="shared" si="19"/>
        <v/>
      </c>
      <c r="H101" s="38" t="str" cm="1">
        <f t="array" ref="H101:J101">IFERROR(CalcUnc(K101,L101,S101,T101,V101,X101,AD101,AE101,N101:R101,Z101,AA101),"")</f>
        <v/>
      </c>
      <c r="I101" s="50" t="str">
        <v/>
      </c>
      <c r="J101" s="89" t="str">
        <v/>
      </c>
      <c r="K101" s="55"/>
      <c r="L101" s="56"/>
      <c r="M101" s="22"/>
      <c r="N101" s="52"/>
      <c r="O101" s="53"/>
      <c r="P101" s="53"/>
      <c r="Q101" s="98"/>
      <c r="R101" s="98"/>
      <c r="S101" s="101"/>
      <c r="T101" s="114"/>
      <c r="U101" s="59"/>
      <c r="V101" s="64"/>
      <c r="W101" s="61"/>
      <c r="X101" s="115"/>
      <c r="Y101" s="132" t="str" cm="1">
        <f t="array" ref="Y101">GetPolarity(X101,AE101)</f>
        <v/>
      </c>
      <c r="Z101" s="62"/>
      <c r="AA101" s="61"/>
      <c r="AB101" s="73" t="str">
        <f t="shared" si="12"/>
        <v/>
      </c>
      <c r="AC101" s="73" t="str">
        <f t="shared" si="13"/>
        <v/>
      </c>
      <c r="AD101" s="62"/>
      <c r="AE101" s="61"/>
      <c r="AF101" s="21" t="str">
        <f t="shared" si="14"/>
        <v/>
      </c>
      <c r="AG101" s="28" t="str" cm="1">
        <f t="array" ref="AG101">FilterSpecialCharacters(X101)</f>
        <v/>
      </c>
      <c r="AH101" s="74" t="str">
        <f t="shared" si="15"/>
        <v xml:space="preserve"> </v>
      </c>
    </row>
    <row r="102" spans="1:34" x14ac:dyDescent="0.25">
      <c r="A102" s="121" t="str" cm="1">
        <f t="array" ref="A102">IfEmpty(TRIM(_xlfn.CONCAT(C102:H102)),"",CRC32HASH(_xlfn.CONCAT(C102:H102)))</f>
        <v/>
      </c>
      <c r="B102" s="10" t="str">
        <f>IFERROR(VLOOKUP(J102,Items[],2,FALSE),"")</f>
        <v/>
      </c>
      <c r="C102" s="34" t="str" cm="1">
        <f t="array" ref="C102">W102 &amp; " " &amp; IfEmpty(U102, AG102)</f>
        <v xml:space="preserve"> </v>
      </c>
      <c r="D102" s="43" t="str">
        <f t="shared" si="16"/>
        <v xml:space="preserve">  </v>
      </c>
      <c r="E102" s="57" t="str">
        <f t="shared" si="17"/>
        <v/>
      </c>
      <c r="F102" s="41" t="str">
        <f t="shared" si="18"/>
        <v/>
      </c>
      <c r="G102" s="41" t="str">
        <f t="shared" si="19"/>
        <v/>
      </c>
      <c r="H102" s="35" t="str" cm="1">
        <f t="array" ref="H102:J102">IFERROR(CalcUnc(K102,L102,S102,T102,V102,X102,AD102,AE102,N102:R102,Z102,AA102),"")</f>
        <v/>
      </c>
      <c r="I102" s="50" t="str">
        <v/>
      </c>
      <c r="J102" s="89" t="str">
        <v/>
      </c>
      <c r="K102" s="55"/>
      <c r="L102" s="56"/>
      <c r="M102" s="22"/>
      <c r="N102" s="52"/>
      <c r="O102" s="53"/>
      <c r="P102" s="53"/>
      <c r="Q102" s="98"/>
      <c r="R102" s="98"/>
      <c r="S102" s="101"/>
      <c r="T102" s="114"/>
      <c r="U102" s="59"/>
      <c r="V102" s="64"/>
      <c r="W102" s="61"/>
      <c r="X102" s="115"/>
      <c r="Y102" s="132" t="str" cm="1">
        <f t="array" ref="Y102">GetPolarity(X102,AE102)</f>
        <v/>
      </c>
      <c r="Z102" s="62"/>
      <c r="AA102" s="61"/>
      <c r="AB102" s="73" t="str">
        <f t="shared" ref="AB102:AB110" si="20">IF(V102&lt;&gt;"",ROUND(Z102-AA102,-LOG10(V102)),"")</f>
        <v/>
      </c>
      <c r="AC102" s="73" t="str">
        <f t="shared" ref="AC102:AC110" si="21">IF(V102&lt;&gt;"",ROUND(Z102+AA102,-LOG10(V102)),"")</f>
        <v/>
      </c>
      <c r="AD102" s="62"/>
      <c r="AE102" s="61"/>
      <c r="AF102" s="21" t="str">
        <f t="shared" si="14"/>
        <v/>
      </c>
      <c r="AG102" s="28" t="str" cm="1">
        <f t="array" ref="AG102">FilterSpecialCharacters(X102)</f>
        <v/>
      </c>
      <c r="AH102" s="74" t="str">
        <f t="shared" si="15"/>
        <v xml:space="preserve"> </v>
      </c>
    </row>
    <row r="103" spans="1:34" x14ac:dyDescent="0.25">
      <c r="A103" s="121" t="str" cm="1">
        <f t="array" ref="A103">IfEmpty(TRIM(_xlfn.CONCAT(C103:H103)),"",CRC32HASH(_xlfn.CONCAT(C103:H103)))</f>
        <v/>
      </c>
      <c r="B103" s="39" t="str">
        <f>IFERROR(VLOOKUP(J103,Items[],2,FALSE),"")</f>
        <v/>
      </c>
      <c r="C103" s="36" t="str" cm="1">
        <f t="array" ref="C103">W103 &amp; " " &amp; IfEmpty(U103, FilterSpecialCharacters(X103))</f>
        <v xml:space="preserve"> </v>
      </c>
      <c r="D103" s="37" t="str">
        <f t="shared" si="16"/>
        <v xml:space="preserve">  </v>
      </c>
      <c r="E103" s="58" t="str">
        <f t="shared" si="17"/>
        <v/>
      </c>
      <c r="F103" s="42" t="str">
        <f t="shared" si="18"/>
        <v/>
      </c>
      <c r="G103" s="42" t="str">
        <f t="shared" si="19"/>
        <v/>
      </c>
      <c r="H103" s="38" t="str" cm="1">
        <f t="array" ref="H103:J103">IFERROR(CalcUnc(K103,L103,S103,T103,V103,X103,AD103,AE103,N103:R103,Z103,AA103),"")</f>
        <v/>
      </c>
      <c r="I103" s="50" t="str">
        <v/>
      </c>
      <c r="J103" s="89" t="str">
        <v/>
      </c>
      <c r="K103" s="55"/>
      <c r="L103" s="56"/>
      <c r="M103" s="22"/>
      <c r="N103" s="52"/>
      <c r="O103" s="53"/>
      <c r="P103" s="53"/>
      <c r="Q103" s="98"/>
      <c r="R103" s="98"/>
      <c r="S103" s="101"/>
      <c r="T103" s="114"/>
      <c r="U103" s="59"/>
      <c r="V103" s="64"/>
      <c r="W103" s="61"/>
      <c r="X103" s="115"/>
      <c r="Y103" s="132" t="str" cm="1">
        <f t="array" ref="Y103">GetPolarity(X103,AE103)</f>
        <v/>
      </c>
      <c r="Z103" s="62"/>
      <c r="AA103" s="61"/>
      <c r="AB103" s="73" t="str">
        <f t="shared" si="20"/>
        <v/>
      </c>
      <c r="AC103" s="73" t="str">
        <f t="shared" si="21"/>
        <v/>
      </c>
      <c r="AD103" s="62"/>
      <c r="AE103" s="61"/>
      <c r="AF103" s="21" t="str">
        <f t="shared" si="14"/>
        <v/>
      </c>
      <c r="AG103" s="28" t="str" cm="1">
        <f t="array" ref="AG103">FilterSpecialCharacters(X103)</f>
        <v/>
      </c>
      <c r="AH103" s="74" t="str">
        <f t="shared" si="15"/>
        <v xml:space="preserve"> </v>
      </c>
    </row>
    <row r="104" spans="1:34" x14ac:dyDescent="0.25">
      <c r="A104" s="121" t="str" cm="1">
        <f t="array" ref="A104">IfEmpty(TRIM(_xlfn.CONCAT(C104:H104)),"",CRC32HASH(_xlfn.CONCAT(C104:H104)))</f>
        <v/>
      </c>
      <c r="B104" s="10" t="str">
        <f>IFERROR(VLOOKUP(J104,Items[],2,FALSE),"")</f>
        <v/>
      </c>
      <c r="C104" s="34" t="str" cm="1">
        <f t="array" ref="C104">W104 &amp; " " &amp; IfEmpty(U104, AG104)</f>
        <v xml:space="preserve"> </v>
      </c>
      <c r="D104" s="43" t="str">
        <f t="shared" si="16"/>
        <v xml:space="preserve">  </v>
      </c>
      <c r="E104" s="57" t="str">
        <f t="shared" si="17"/>
        <v/>
      </c>
      <c r="F104" s="41" t="str">
        <f t="shared" si="18"/>
        <v/>
      </c>
      <c r="G104" s="41" t="str">
        <f t="shared" si="19"/>
        <v/>
      </c>
      <c r="H104" s="35" t="str" cm="1">
        <f t="array" ref="H104:J104">IFERROR(CalcUnc(K104,L104,S104,T104,V104,X104,AD104,AE104,N104:R104,Z104,AA104),"")</f>
        <v/>
      </c>
      <c r="I104" s="50" t="str">
        <v/>
      </c>
      <c r="J104" s="89" t="str">
        <v/>
      </c>
      <c r="K104" s="55"/>
      <c r="L104" s="56"/>
      <c r="M104" s="22"/>
      <c r="N104" s="52"/>
      <c r="O104" s="53"/>
      <c r="P104" s="53"/>
      <c r="Q104" s="98"/>
      <c r="R104" s="98"/>
      <c r="S104" s="101"/>
      <c r="T104" s="114"/>
      <c r="U104" s="59"/>
      <c r="V104" s="64"/>
      <c r="W104" s="61"/>
      <c r="X104" s="115"/>
      <c r="Y104" s="132" t="str" cm="1">
        <f t="array" ref="Y104">GetPolarity(X104,AE104)</f>
        <v/>
      </c>
      <c r="Z104" s="62"/>
      <c r="AA104" s="61"/>
      <c r="AB104" s="73" t="str">
        <f t="shared" si="20"/>
        <v/>
      </c>
      <c r="AC104" s="73" t="str">
        <f t="shared" si="21"/>
        <v/>
      </c>
      <c r="AD104" s="62"/>
      <c r="AE104" s="61"/>
      <c r="AF104" s="21" t="str">
        <f t="shared" si="14"/>
        <v/>
      </c>
      <c r="AG104" s="28" t="str" cm="1">
        <f t="array" ref="AG104">FilterSpecialCharacters(X104)</f>
        <v/>
      </c>
      <c r="AH104" s="74" t="str">
        <f t="shared" si="15"/>
        <v xml:space="preserve"> </v>
      </c>
    </row>
    <row r="105" spans="1:34" x14ac:dyDescent="0.25">
      <c r="A105" s="121" t="str" cm="1">
        <f t="array" ref="A105">IfEmpty(TRIM(_xlfn.CONCAT(C105:H105)),"",CRC32HASH(_xlfn.CONCAT(C105:H105)))</f>
        <v/>
      </c>
      <c r="B105" s="39" t="str">
        <f>IFERROR(VLOOKUP(J105,Items[],2,FALSE),"")</f>
        <v/>
      </c>
      <c r="C105" s="36" t="str" cm="1">
        <f t="array" ref="C105">W105 &amp; " " &amp; IfEmpty(U105, FilterSpecialCharacters(X105))</f>
        <v xml:space="preserve"> </v>
      </c>
      <c r="D105" s="37" t="str">
        <f t="shared" si="16"/>
        <v xml:space="preserve">  </v>
      </c>
      <c r="E105" s="58" t="str">
        <f t="shared" si="17"/>
        <v/>
      </c>
      <c r="F105" s="42" t="str">
        <f t="shared" si="18"/>
        <v/>
      </c>
      <c r="G105" s="42" t="str">
        <f t="shared" si="19"/>
        <v/>
      </c>
      <c r="H105" s="38" t="str" cm="1">
        <f t="array" ref="H105:J105">IFERROR(CalcUnc(K105,L105,S105,T105,V105,X105,AD105,AE105,N105:R105,Z105,AA105),"")</f>
        <v/>
      </c>
      <c r="I105" s="50" t="str">
        <v/>
      </c>
      <c r="J105" s="89" t="str">
        <v/>
      </c>
      <c r="K105" s="55"/>
      <c r="L105" s="56"/>
      <c r="M105" s="22"/>
      <c r="N105" s="52"/>
      <c r="O105" s="53"/>
      <c r="P105" s="53"/>
      <c r="Q105" s="98"/>
      <c r="R105" s="98"/>
      <c r="S105" s="101"/>
      <c r="T105" s="114"/>
      <c r="U105" s="59"/>
      <c r="V105" s="64"/>
      <c r="W105" s="61"/>
      <c r="X105" s="115"/>
      <c r="Y105" s="132" t="str" cm="1">
        <f t="array" ref="Y105">GetPolarity(X105,AE105)</f>
        <v/>
      </c>
      <c r="Z105" s="62"/>
      <c r="AA105" s="61"/>
      <c r="AB105" s="73" t="str">
        <f t="shared" si="20"/>
        <v/>
      </c>
      <c r="AC105" s="73" t="str">
        <f t="shared" si="21"/>
        <v/>
      </c>
      <c r="AD105" s="62"/>
      <c r="AE105" s="61"/>
      <c r="AF105" s="21" t="str">
        <f t="shared" si="14"/>
        <v/>
      </c>
      <c r="AG105" s="28" t="str" cm="1">
        <f t="array" ref="AG105">FilterSpecialCharacters(X105)</f>
        <v/>
      </c>
      <c r="AH105" s="74" t="str">
        <f t="shared" si="15"/>
        <v xml:space="preserve"> </v>
      </c>
    </row>
    <row r="106" spans="1:34" x14ac:dyDescent="0.25">
      <c r="A106" s="121" t="str" cm="1">
        <f t="array" ref="A106">IfEmpty(TRIM(_xlfn.CONCAT(C106:H106)),"",CRC32HASH(_xlfn.CONCAT(C106:H106)))</f>
        <v/>
      </c>
      <c r="B106" s="10" t="str">
        <f>IFERROR(VLOOKUP(J106,Items[],2,FALSE),"")</f>
        <v/>
      </c>
      <c r="C106" s="34" t="str" cm="1">
        <f t="array" ref="C106">W106 &amp; " " &amp; IfEmpty(U106, AG106)</f>
        <v xml:space="preserve"> </v>
      </c>
      <c r="D106" s="43" t="str">
        <f t="shared" si="16"/>
        <v xml:space="preserve">  </v>
      </c>
      <c r="E106" s="57" t="str">
        <f t="shared" si="17"/>
        <v/>
      </c>
      <c r="F106" s="41" t="str">
        <f t="shared" si="18"/>
        <v/>
      </c>
      <c r="G106" s="41" t="str">
        <f t="shared" si="19"/>
        <v/>
      </c>
      <c r="H106" s="35" t="str" cm="1">
        <f t="array" ref="H106:J106">IFERROR(CalcUnc(K106,L106,S106,T106,V106,X106,AD106,AE106,N106:R106,Z106,AA106),"")</f>
        <v/>
      </c>
      <c r="I106" s="50" t="str">
        <v/>
      </c>
      <c r="J106" s="89" t="str">
        <v/>
      </c>
      <c r="K106" s="55"/>
      <c r="L106" s="56"/>
      <c r="M106" s="22"/>
      <c r="N106" s="52"/>
      <c r="O106" s="53"/>
      <c r="P106" s="53"/>
      <c r="Q106" s="98"/>
      <c r="R106" s="98"/>
      <c r="S106" s="101"/>
      <c r="T106" s="114"/>
      <c r="U106" s="59"/>
      <c r="V106" s="64"/>
      <c r="W106" s="61"/>
      <c r="X106" s="115"/>
      <c r="Y106" s="132" t="str" cm="1">
        <f t="array" ref="Y106">GetPolarity(X106,AE106)</f>
        <v/>
      </c>
      <c r="Z106" s="62"/>
      <c r="AA106" s="61"/>
      <c r="AB106" s="73" t="str">
        <f t="shared" si="20"/>
        <v/>
      </c>
      <c r="AC106" s="73" t="str">
        <f t="shared" si="21"/>
        <v/>
      </c>
      <c r="AD106" s="62"/>
      <c r="AE106" s="61"/>
      <c r="AF106" s="21" t="str">
        <f t="shared" si="14"/>
        <v/>
      </c>
      <c r="AG106" s="28" t="str" cm="1">
        <f t="array" ref="AG106">FilterSpecialCharacters(X106)</f>
        <v/>
      </c>
      <c r="AH106" s="74" t="str">
        <f t="shared" si="15"/>
        <v xml:space="preserve"> </v>
      </c>
    </row>
    <row r="107" spans="1:34" x14ac:dyDescent="0.25">
      <c r="A107" s="121" t="str" cm="1">
        <f t="array" ref="A107">IfEmpty(TRIM(_xlfn.CONCAT(C107:H107)),"",CRC32HASH(_xlfn.CONCAT(C107:H107)))</f>
        <v/>
      </c>
      <c r="B107" s="39" t="str">
        <f>IFERROR(VLOOKUP(J107,Items[],2,FALSE),"")</f>
        <v/>
      </c>
      <c r="C107" s="36" t="str" cm="1">
        <f t="array" ref="C107">W107 &amp; " " &amp; IfEmpty(U107, FilterSpecialCharacters(X107))</f>
        <v xml:space="preserve"> </v>
      </c>
      <c r="D107" s="37" t="str">
        <f t="shared" si="16"/>
        <v xml:space="preserve">  </v>
      </c>
      <c r="E107" s="58" t="str">
        <f t="shared" si="17"/>
        <v/>
      </c>
      <c r="F107" s="42" t="str">
        <f t="shared" si="18"/>
        <v/>
      </c>
      <c r="G107" s="42" t="str">
        <f t="shared" si="19"/>
        <v/>
      </c>
      <c r="H107" s="38" t="str" cm="1">
        <f t="array" ref="H107:J107">IFERROR(CalcUnc(K107,L107,S107,T107,V107,X107,AD107,AE107,N107:R107,Z107,AA107),"")</f>
        <v/>
      </c>
      <c r="I107" s="50" t="str">
        <v/>
      </c>
      <c r="J107" s="89" t="str">
        <v/>
      </c>
      <c r="K107" s="55"/>
      <c r="L107" s="56"/>
      <c r="M107" s="22"/>
      <c r="N107" s="52"/>
      <c r="O107" s="53"/>
      <c r="P107" s="53"/>
      <c r="Q107" s="98"/>
      <c r="R107" s="98"/>
      <c r="S107" s="101"/>
      <c r="T107" s="114"/>
      <c r="U107" s="59"/>
      <c r="V107" s="64"/>
      <c r="W107" s="61"/>
      <c r="X107" s="115"/>
      <c r="Y107" s="132" t="str" cm="1">
        <f t="array" ref="Y107">GetPolarity(X107,AE107)</f>
        <v/>
      </c>
      <c r="Z107" s="62"/>
      <c r="AA107" s="61"/>
      <c r="AB107" s="73" t="str">
        <f t="shared" si="20"/>
        <v/>
      </c>
      <c r="AC107" s="73" t="str">
        <f t="shared" si="21"/>
        <v/>
      </c>
      <c r="AD107" s="62"/>
      <c r="AE107" s="61"/>
      <c r="AF107" s="21" t="str">
        <f t="shared" si="14"/>
        <v/>
      </c>
      <c r="AG107" s="28" t="str" cm="1">
        <f t="array" ref="AG107">FilterSpecialCharacters(X107)</f>
        <v/>
      </c>
      <c r="AH107" s="74" t="str">
        <f t="shared" si="15"/>
        <v xml:space="preserve"> </v>
      </c>
    </row>
    <row r="108" spans="1:34" x14ac:dyDescent="0.25">
      <c r="A108" s="121" t="str" cm="1">
        <f t="array" ref="A108">IfEmpty(TRIM(_xlfn.CONCAT(C108:H108)),"",CRC32HASH(_xlfn.CONCAT(C108:H108)))</f>
        <v/>
      </c>
      <c r="B108" s="10" t="str">
        <f>IFERROR(VLOOKUP(J108,Items[],2,FALSE),"")</f>
        <v/>
      </c>
      <c r="C108" s="34" t="str" cm="1">
        <f t="array" ref="C108">W108 &amp; " " &amp; IfEmpty(U108, AG108)</f>
        <v xml:space="preserve"> </v>
      </c>
      <c r="D108" s="43" t="str">
        <f t="shared" si="16"/>
        <v xml:space="preserve">  </v>
      </c>
      <c r="E108" s="57" t="str">
        <f t="shared" si="17"/>
        <v/>
      </c>
      <c r="F108" s="41" t="str">
        <f t="shared" si="18"/>
        <v/>
      </c>
      <c r="G108" s="41" t="str">
        <f t="shared" si="19"/>
        <v/>
      </c>
      <c r="H108" s="35" t="str" cm="1">
        <f t="array" ref="H108:J108">IFERROR(CalcUnc(K108,L108,S108,T108,V108,X108,AD108,AE108,N108:R108,Z108,AA108),"")</f>
        <v/>
      </c>
      <c r="I108" s="50" t="str">
        <v/>
      </c>
      <c r="J108" s="89" t="str">
        <v/>
      </c>
      <c r="K108" s="55"/>
      <c r="L108" s="56"/>
      <c r="M108" s="22"/>
      <c r="N108" s="52"/>
      <c r="O108" s="53"/>
      <c r="P108" s="53"/>
      <c r="Q108" s="98"/>
      <c r="R108" s="98"/>
      <c r="S108" s="101"/>
      <c r="T108" s="114"/>
      <c r="U108" s="59"/>
      <c r="V108" s="64"/>
      <c r="W108" s="61"/>
      <c r="X108" s="115"/>
      <c r="Y108" s="132" t="str" cm="1">
        <f t="array" ref="Y108">GetPolarity(X108,AE108)</f>
        <v/>
      </c>
      <c r="Z108" s="62"/>
      <c r="AA108" s="61"/>
      <c r="AB108" s="73" t="str">
        <f t="shared" si="20"/>
        <v/>
      </c>
      <c r="AC108" s="73" t="str">
        <f t="shared" si="21"/>
        <v/>
      </c>
      <c r="AD108" s="62"/>
      <c r="AE108" s="61"/>
      <c r="AF108" s="21" t="str">
        <f t="shared" si="14"/>
        <v/>
      </c>
      <c r="AG108" s="28" t="str" cm="1">
        <f t="array" ref="AG108">FilterSpecialCharacters(X108)</f>
        <v/>
      </c>
      <c r="AH108" s="74" t="str">
        <f t="shared" si="15"/>
        <v xml:space="preserve"> </v>
      </c>
    </row>
    <row r="109" spans="1:34" x14ac:dyDescent="0.25">
      <c r="A109" s="121" t="str" cm="1">
        <f t="array" ref="A109">IfEmpty(TRIM(_xlfn.CONCAT(C109:H109)),"",CRC32HASH(_xlfn.CONCAT(C109:H109)))</f>
        <v/>
      </c>
      <c r="B109" s="39" t="str">
        <f>IFERROR(VLOOKUP(J109,Items[],2,FALSE),"")</f>
        <v/>
      </c>
      <c r="C109" s="36" t="str" cm="1">
        <f t="array" ref="C109">W109 &amp; " " &amp; IfEmpty(U109, FilterSpecialCharacters(X109))</f>
        <v xml:space="preserve"> </v>
      </c>
      <c r="D109" s="37" t="str">
        <f t="shared" si="16"/>
        <v xml:space="preserve">  </v>
      </c>
      <c r="E109" s="58" t="str">
        <f t="shared" si="17"/>
        <v/>
      </c>
      <c r="F109" s="42" t="str">
        <f t="shared" si="18"/>
        <v/>
      </c>
      <c r="G109" s="42" t="str">
        <f t="shared" si="19"/>
        <v/>
      </c>
      <c r="H109" s="38" t="str" cm="1">
        <f t="array" ref="H109:J109">IFERROR(CalcUnc(K109,L109,S109,T109,V109,X109,AD109,AE109,N109:R109,Z109,AA109),"")</f>
        <v/>
      </c>
      <c r="I109" s="50" t="str">
        <v/>
      </c>
      <c r="J109" s="89" t="str">
        <v/>
      </c>
      <c r="K109" s="55"/>
      <c r="L109" s="56"/>
      <c r="M109" s="22"/>
      <c r="N109" s="52"/>
      <c r="O109" s="53"/>
      <c r="P109" s="53"/>
      <c r="Q109" s="98"/>
      <c r="R109" s="98"/>
      <c r="S109" s="101"/>
      <c r="T109" s="114"/>
      <c r="U109" s="59"/>
      <c r="V109" s="64"/>
      <c r="W109" s="61"/>
      <c r="X109" s="115"/>
      <c r="Y109" s="132" t="str" cm="1">
        <f t="array" ref="Y109">GetPolarity(X109,AE109)</f>
        <v/>
      </c>
      <c r="Z109" s="62"/>
      <c r="AA109" s="61"/>
      <c r="AB109" s="73" t="str">
        <f t="shared" si="20"/>
        <v/>
      </c>
      <c r="AC109" s="73" t="str">
        <f t="shared" si="21"/>
        <v/>
      </c>
      <c r="AD109" s="62"/>
      <c r="AE109" s="61"/>
      <c r="AF109" s="21" t="str">
        <f t="shared" si="14"/>
        <v/>
      </c>
      <c r="AG109" s="28" t="str" cm="1">
        <f t="array" ref="AG109">FilterSpecialCharacters(X109)</f>
        <v/>
      </c>
      <c r="AH109" s="74" t="str">
        <f t="shared" si="15"/>
        <v xml:space="preserve"> </v>
      </c>
    </row>
    <row r="110" spans="1:34" x14ac:dyDescent="0.25">
      <c r="A110" s="121" t="str" cm="1">
        <f t="array" ref="A110">IfEmpty(TRIM(_xlfn.CONCAT(C110:H110)),"",CRC32HASH(_xlfn.CONCAT(C110:H110)))</f>
        <v/>
      </c>
      <c r="B110" s="10" t="str">
        <f>IFERROR(VLOOKUP(J110,Items[],2,FALSE),"")</f>
        <v/>
      </c>
      <c r="C110" s="34" t="str" cm="1">
        <f t="array" ref="C110">W110 &amp; " " &amp; IfEmpty(U110, AG110)</f>
        <v xml:space="preserve"> </v>
      </c>
      <c r="D110" s="43" t="str">
        <f t="shared" si="16"/>
        <v xml:space="preserve">  </v>
      </c>
      <c r="E110" s="57" t="str">
        <f t="shared" si="17"/>
        <v/>
      </c>
      <c r="F110" s="41" t="str">
        <f t="shared" si="18"/>
        <v/>
      </c>
      <c r="G110" s="41" t="str">
        <f t="shared" si="19"/>
        <v/>
      </c>
      <c r="H110" s="35" t="str" cm="1">
        <f t="array" ref="H110:J110">IFERROR(CalcUnc(K110,L110,S110,T110,V110,X110,AD110,AE110,N110:R110,Z110,AA110),"")</f>
        <v/>
      </c>
      <c r="I110" s="50" t="str">
        <v/>
      </c>
      <c r="J110" s="89" t="str">
        <v/>
      </c>
      <c r="K110" s="55"/>
      <c r="L110" s="56"/>
      <c r="M110" s="69"/>
      <c r="N110" s="70"/>
      <c r="O110" s="71"/>
      <c r="P110" s="71"/>
      <c r="Q110" s="99"/>
      <c r="R110" s="99"/>
      <c r="S110" s="101"/>
      <c r="T110" s="114"/>
      <c r="U110" s="59"/>
      <c r="V110" s="64"/>
      <c r="W110" s="61"/>
      <c r="X110" s="115"/>
      <c r="Y110" s="132" t="str" cm="1">
        <f t="array" ref="Y110">GetPolarity(X110,AE110)</f>
        <v/>
      </c>
      <c r="Z110" s="62"/>
      <c r="AA110" s="61"/>
      <c r="AB110" s="73" t="str">
        <f t="shared" si="20"/>
        <v/>
      </c>
      <c r="AC110" s="73" t="str">
        <f t="shared" si="21"/>
        <v/>
      </c>
      <c r="AD110" s="62"/>
      <c r="AE110" s="61"/>
      <c r="AF110" s="21" t="str">
        <f t="shared" si="14"/>
        <v/>
      </c>
      <c r="AG110" s="28" t="str" cm="1">
        <f t="array" ref="AG110">FilterSpecialCharacters(X110)</f>
        <v/>
      </c>
      <c r="AH110" s="74" t="str">
        <f t="shared" si="15"/>
        <v xml:space="preserve"> </v>
      </c>
    </row>
  </sheetData>
  <sheetProtection algorithmName="SHA-512" hashValue="zG0ndbQSwrrbZaVYWS02WiaQcIFyyNTpt4n501rvWCShsvfsruykXR9YN+hLmtFE9kCXqgKm+g0nAcAXKQDmjA==" saltValue="Uya3Y0nSqJJcCQlGJw58FA==" spinCount="100000" sheet="1" selectLockedCells="1" sort="0"/>
  <protectedRanges>
    <protectedRange sqref="AD6:AE110 K6:AA110" name="Range1"/>
  </protectedRanges>
  <mergeCells count="4">
    <mergeCell ref="AG3:AG5"/>
    <mergeCell ref="C2:E2"/>
    <mergeCell ref="M1:M2"/>
    <mergeCell ref="U4:U5"/>
  </mergeCells>
  <conditionalFormatting sqref="E6:E110">
    <cfRule type="expression" dxfId="8" priority="47">
      <formula>ABS(E6:E110-Z6:Z110)&gt;AA6:AA110</formula>
    </cfRule>
  </conditionalFormatting>
  <dataValidations count="10">
    <dataValidation type="list" allowBlank="1" showInputMessage="1" showErrorMessage="1" sqref="S6:S110" xr:uid="{C3D1B1D7-FE3C-40CE-91F2-36F2E7599CBE}">
      <formula1>"Tcindicator,Insulation,meas"</formula1>
    </dataValidation>
    <dataValidation type="list" allowBlank="1" showInputMessage="1" showErrorMessage="1" sqref="T6:T110" xr:uid="{AFE1B96E-0044-411E-92F8-F0BC46E2A71B}">
      <formula1>"E,J,K,N,PT100,PT1000,R,S,T"</formula1>
    </dataValidation>
    <dataValidation type="custom" allowBlank="1" showInputMessage="1" showErrorMessage="1" errorTitle="Invalid Resolution" error="Please enter a power of 10._x000a__x000a_Examples:_x000a_...,0.001, 0.01, 0.1, 1, 10, 100,..." sqref="V18:V110 V6:V16" xr:uid="{10BBA403-DE26-40D9-BFFD-3D8C8BFBEEC1}">
      <formula1>INT(LOG10(V6))=LOG10(V6)</formula1>
    </dataValidation>
    <dataValidation type="list" allowBlank="1" showInputMessage="1" showErrorMessage="1" sqref="L6:L110" xr:uid="{CB9BEFC4-F0A4-46CE-8963-7039299E79CF}">
      <formula1>"5502A,3458A,34420A,Transmille"</formula1>
    </dataValidation>
    <dataValidation type="list" allowBlank="1" showInputMessage="1" showErrorMessage="1" sqref="K6:K110" xr:uid="{2EB90524-C4A4-427A-A06D-D85EC4EC7D6A}">
      <formula1>"10 turn,20 turn,50 turn"</formula1>
    </dataValidation>
    <dataValidation type="decimal" allowBlank="1" showInputMessage="1" showErrorMessage="1" errorTitle="NaN Warning" error="The value you entered was not a number, but only numbers are valid in this range." sqref="Z6:AA110 W6:W110" xr:uid="{FD1101E6-AB7B-4074-A8A8-59FD51267FFE}">
      <formula1>-1E+21</formula1>
      <formula2>1E+21</formula2>
    </dataValidation>
    <dataValidation type="list" allowBlank="1" showInputMessage="1" showErrorMessage="1" sqref="Y6:Y110" xr:uid="{E2B274EE-394E-4200-A9C5-3BDDAE4B42B5}">
      <formula1>"AC,DC"</formula1>
    </dataValidation>
    <dataValidation type="list" allowBlank="1" showInputMessage="1" showErrorMessage="1" sqref="AE6:AE1048576" xr:uid="{8D9D9D77-A2E4-44FF-87F1-FA368EF171E9}">
      <formula1>"kHz"</formula1>
    </dataValidation>
    <dataValidation type="custom" allowBlank="1" showInputMessage="1" showErrorMessage="1" errorTitle="Invalid Unit Format" error="Valid units: Ω, °C, °F, Hz, WAC, F, W_x000a_Alternates: O = Ω, DGC = °C, DGF = °F_x000a_Valid prefixes: G, M, k, h, da, d, c, m, µ, n, p_x000a__x000a_Make sure your entry follows these formats._x000a_e.g., kΩ, mA, Ohm, °C, WDC" sqref="X6:X13 X15:X1048576" xr:uid="{D65C80C1-ABE8-445A-A22D-4F64FA67B915}">
      <formula1>_xlfn.REGEXTEST(X6,"^(G|M|k|h|da|d|c|m|µ|n|p)?(Ω|O|Ohm|Ohms|°C|DGC|°F|DGF|Hz|WAC|F|W|WDC)$")</formula1>
    </dataValidation>
    <dataValidation type="custom" allowBlank="1" showInputMessage="1" showErrorMessage="1" errorTitle="Invalid Unit Format" error="Valid units: Ω, V, A, W, °C, °F, Hz, WAC, F,_x000a_Alternates: O = Ω, DGC = °C, DGF = °F_x000a_Valid prefixes: G, M, k, h, da, d, c, m, µ, n, p_x000a__x000a_Make sure your entry follows these formats._x000a_e.g., kΩ, mA, Ohm, °C, WDC" sqref="X14" xr:uid="{83B6F737-AE0D-442D-BDCF-5872EC3C49FE}">
      <formula1>_xlfn.REGEXTEST(X14,"^(G|M|k|h|da|d|c|m|µ|n|p)?(Ω|O|Ohm|Ohms|°C|DGC|°F|DGF|Hz|WAC|F|W|WDC)$")</formula1>
    </dataValidation>
  </dataValidations>
  <printOptions horizontalCentered="1"/>
  <pageMargins left="0.7" right="0.7" top="0.75" bottom="0.75" header="0.3" footer="0.3"/>
  <pageSetup scale="70" orientation="portrait" r:id="rId1"/>
  <headerFooter>
    <oddFooter>&amp;C*Reading not under current scope of accreditation.</oddFooter>
  </headerFooter>
  <customProperties>
    <customPr name="%locator_row%" r:id="rId2"/>
    <customPr name="%startcell%" r:id="rId3"/>
  </customProperties>
  <drawing r:id="rId4"/>
  <legacyDrawing r:id="rId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01C3E8-FA9D-47AE-BAB4-2227D3ED47EA}">
  <sheetPr codeName="Sheet10"/>
  <dimension ref="A1:O2959"/>
  <sheetViews>
    <sheetView workbookViewId="0"/>
  </sheetViews>
  <sheetFormatPr defaultRowHeight="15" x14ac:dyDescent="0.25"/>
  <cols>
    <col min="1" max="1" width="10.5703125" bestFit="1" customWidth="1"/>
    <col min="2" max="2" width="11.140625" bestFit="1" customWidth="1"/>
    <col min="3" max="3" width="14.5703125" bestFit="1" customWidth="1"/>
    <col min="4" max="4" width="14.28515625" bestFit="1" customWidth="1"/>
    <col min="5" max="5" width="14.7109375" bestFit="1" customWidth="1"/>
    <col min="6" max="6" width="12" bestFit="1" customWidth="1"/>
    <col min="7" max="7" width="13.85546875" bestFit="1" customWidth="1"/>
    <col min="8" max="8" width="15" bestFit="1" customWidth="1"/>
    <col min="9" max="9" width="14.28515625" bestFit="1" customWidth="1"/>
    <col min="10" max="10" width="14.7109375" bestFit="1" customWidth="1"/>
    <col min="11" max="11" width="15.5703125" bestFit="1" customWidth="1"/>
    <col min="12" max="12" width="12.7109375" bestFit="1" customWidth="1"/>
    <col min="13" max="13" width="12" bestFit="1" customWidth="1"/>
    <col min="14" max="14" width="12.7109375" bestFit="1" customWidth="1"/>
    <col min="15" max="15" width="12" bestFit="1" customWidth="1"/>
  </cols>
  <sheetData>
    <row r="1" spans="1:15" x14ac:dyDescent="0.25">
      <c r="A1"/>
      <c r="B1"/>
      <c r="C1"/>
      <c r="D1"/>
      <c r="E1"/>
      <c r="F1"/>
      <c r="G1"/>
      <c r="H1"/>
      <c r="I1"/>
      <c r="J1"/>
      <c r="K1"/>
      <c r="L1"/>
      <c r="M1"/>
      <c r="N1"/>
      <c r="O1"/>
    </row>
    <row r="2" spans="1:15" x14ac:dyDescent="0.25">
      <c r="A2"/>
      <c r="B2"/>
      <c r="C2"/>
      <c r="D2"/>
      <c r="E2"/>
      <c r="F2"/>
      <c r="G2"/>
      <c r="H2"/>
      <c r="I2"/>
      <c r="J2"/>
      <c r="K2"/>
      <c r="L2"/>
      <c r="M2"/>
      <c r="N2"/>
      <c r="O2"/>
    </row>
    <row r="3" spans="1:15" x14ac:dyDescent="0.25">
      <c r="A3"/>
      <c r="B3"/>
      <c r="C3"/>
      <c r="D3"/>
      <c r="E3"/>
      <c r="F3"/>
      <c r="G3"/>
      <c r="H3"/>
      <c r="I3"/>
      <c r="J3"/>
      <c r="K3"/>
      <c r="L3"/>
      <c r="M3"/>
      <c r="N3"/>
      <c r="O3"/>
    </row>
    <row r="4" spans="1:15" x14ac:dyDescent="0.25">
      <c r="A4"/>
      <c r="B4"/>
      <c r="C4"/>
      <c r="D4"/>
      <c r="E4"/>
      <c r="F4"/>
      <c r="G4"/>
      <c r="H4"/>
      <c r="I4"/>
      <c r="J4"/>
      <c r="K4"/>
      <c r="L4"/>
      <c r="M4"/>
      <c r="N4"/>
      <c r="O4"/>
    </row>
    <row r="5" spans="1:15" x14ac:dyDescent="0.25">
      <c r="A5"/>
      <c r="B5"/>
      <c r="C5"/>
      <c r="D5"/>
      <c r="E5"/>
      <c r="F5"/>
      <c r="G5"/>
      <c r="H5"/>
      <c r="I5"/>
      <c r="J5"/>
      <c r="K5"/>
      <c r="L5"/>
      <c r="M5"/>
      <c r="N5"/>
      <c r="O5"/>
    </row>
    <row r="6" spans="1:15" x14ac:dyDescent="0.25">
      <c r="A6"/>
      <c r="B6"/>
      <c r="C6"/>
      <c r="D6"/>
      <c r="E6"/>
      <c r="F6"/>
      <c r="G6"/>
      <c r="H6"/>
      <c r="I6"/>
      <c r="J6"/>
      <c r="K6"/>
      <c r="L6"/>
      <c r="M6"/>
      <c r="N6"/>
      <c r="O6"/>
    </row>
    <row r="7" spans="1:15" x14ac:dyDescent="0.25">
      <c r="A7"/>
      <c r="B7"/>
      <c r="C7"/>
      <c r="D7"/>
      <c r="E7"/>
      <c r="F7"/>
      <c r="G7"/>
      <c r="H7"/>
      <c r="I7"/>
      <c r="J7"/>
      <c r="K7"/>
      <c r="L7"/>
      <c r="M7"/>
      <c r="N7"/>
      <c r="O7"/>
    </row>
    <row r="8" spans="1:15" x14ac:dyDescent="0.25">
      <c r="A8"/>
      <c r="B8"/>
      <c r="C8"/>
      <c r="D8"/>
      <c r="E8"/>
      <c r="F8"/>
      <c r="G8"/>
      <c r="H8"/>
      <c r="I8"/>
      <c r="J8"/>
      <c r="K8"/>
      <c r="L8"/>
      <c r="M8"/>
      <c r="N8"/>
      <c r="O8"/>
    </row>
    <row r="9" spans="1:15" x14ac:dyDescent="0.25">
      <c r="A9"/>
      <c r="B9"/>
      <c r="C9"/>
      <c r="D9"/>
      <c r="E9"/>
      <c r="F9"/>
      <c r="G9"/>
      <c r="H9"/>
      <c r="I9"/>
      <c r="J9"/>
      <c r="K9"/>
      <c r="L9"/>
      <c r="M9"/>
      <c r="N9"/>
      <c r="O9"/>
    </row>
    <row r="10" spans="1:15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</row>
    <row r="11" spans="1:15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</row>
    <row r="12" spans="1:15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</row>
    <row r="13" spans="1:15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</row>
    <row r="14" spans="1:15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</row>
    <row r="15" spans="1:15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</row>
    <row r="16" spans="1:15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</row>
    <row r="17" spans="1:15" x14ac:dyDescent="0.2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</row>
    <row r="18" spans="1:15" x14ac:dyDescent="0.2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</row>
    <row r="19" spans="1:15" x14ac:dyDescent="0.2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</row>
    <row r="20" spans="1:15" x14ac:dyDescent="0.2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</row>
    <row r="21" spans="1:15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</row>
    <row r="22" spans="1:15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</row>
    <row r="23" spans="1:15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</row>
    <row r="24" spans="1:15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</row>
    <row r="25" spans="1:15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</row>
    <row r="26" spans="1:15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</row>
    <row r="27" spans="1:15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</row>
    <row r="28" spans="1:15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</row>
    <row r="29" spans="1:15" x14ac:dyDescent="0.2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</row>
    <row r="30" spans="1:15" x14ac:dyDescent="0.2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</row>
    <row r="31" spans="1:15" x14ac:dyDescent="0.2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</row>
    <row r="32" spans="1:15" x14ac:dyDescent="0.2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</row>
    <row r="33" spans="1:15" x14ac:dyDescent="0.2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</row>
    <row r="34" spans="1:15" x14ac:dyDescent="0.2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</row>
    <row r="35" spans="1:15" x14ac:dyDescent="0.2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</row>
    <row r="36" spans="1:15" x14ac:dyDescent="0.2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</row>
    <row r="37" spans="1:15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</row>
    <row r="38" spans="1:15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</row>
    <row r="39" spans="1:15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</row>
    <row r="40" spans="1:15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</row>
    <row r="41" spans="1:15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</row>
    <row r="42" spans="1:15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</row>
    <row r="43" spans="1:15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</row>
    <row r="44" spans="1:15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</row>
    <row r="45" spans="1:15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</row>
    <row r="46" spans="1:15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</row>
    <row r="47" spans="1:15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</row>
    <row r="48" spans="1:15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</row>
    <row r="49" spans="1:15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</row>
    <row r="50" spans="1:15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</row>
    <row r="51" spans="1:15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</row>
    <row r="52" spans="1:15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</row>
    <row r="53" spans="1:15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</row>
    <row r="54" spans="1:15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</row>
    <row r="55" spans="1:15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</row>
    <row r="56" spans="1:15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</row>
    <row r="57" spans="1:15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</row>
    <row r="58" spans="1:15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</row>
    <row r="59" spans="1:15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</row>
    <row r="60" spans="1:15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</row>
    <row r="61" spans="1:15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</row>
    <row r="62" spans="1:15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</row>
    <row r="63" spans="1:15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</row>
    <row r="64" spans="1:15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</row>
    <row r="65" spans="1:15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</row>
    <row r="66" spans="1:15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</row>
    <row r="67" spans="1:15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</row>
    <row r="68" spans="1:15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</row>
    <row r="69" spans="1:15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</row>
    <row r="70" spans="1:15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</row>
    <row r="71" spans="1:15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</row>
    <row r="72" spans="1:15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</row>
    <row r="73" spans="1:15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</row>
    <row r="74" spans="1:15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</row>
    <row r="75" spans="1:15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</row>
    <row r="76" spans="1:15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</row>
    <row r="77" spans="1:15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</row>
    <row r="78" spans="1:15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</row>
    <row r="79" spans="1:15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</row>
    <row r="80" spans="1:15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</row>
    <row r="81" spans="1:15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</row>
    <row r="82" spans="1:15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</row>
    <row r="83" spans="1:15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</row>
    <row r="84" spans="1:15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</row>
    <row r="85" spans="1:15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</row>
    <row r="86" spans="1:15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</row>
    <row r="87" spans="1:15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</row>
    <row r="88" spans="1:15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</row>
    <row r="89" spans="1:15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</row>
    <row r="90" spans="1:15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</row>
    <row r="91" spans="1:15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</row>
    <row r="92" spans="1:15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</row>
    <row r="93" spans="1:15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</row>
    <row r="94" spans="1:15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</row>
    <row r="95" spans="1:15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</row>
    <row r="96" spans="1:15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</row>
    <row r="97" spans="1:15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</row>
    <row r="98" spans="1:15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</row>
    <row r="99" spans="1:15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</row>
    <row r="100" spans="1:15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</row>
    <row r="101" spans="1:15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</row>
    <row r="102" spans="1:15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</row>
    <row r="103" spans="1:15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</row>
    <row r="104" spans="1:15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</row>
    <row r="105" spans="1:15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</row>
    <row r="106" spans="1:15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</row>
    <row r="107" spans="1:15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</row>
    <row r="108" spans="1:15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</row>
    <row r="109" spans="1:15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</row>
    <row r="110" spans="1:15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</row>
    <row r="111" spans="1:15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</row>
    <row r="112" spans="1:15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</row>
    <row r="113" spans="1:15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</row>
    <row r="114" spans="1:15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</row>
    <row r="115" spans="1:15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</row>
    <row r="116" spans="1:15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</row>
    <row r="117" spans="1:15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</row>
    <row r="118" spans="1:15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</row>
    <row r="119" spans="1:15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</row>
    <row r="120" spans="1:15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</row>
    <row r="121" spans="1:15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</row>
    <row r="122" spans="1:15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</row>
    <row r="123" spans="1:15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</row>
    <row r="124" spans="1:15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</row>
    <row r="125" spans="1:15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</row>
    <row r="126" spans="1:15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</row>
    <row r="127" spans="1:15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</row>
    <row r="128" spans="1:15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</row>
    <row r="129" spans="1:15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</row>
    <row r="130" spans="1:15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</row>
    <row r="131" spans="1:15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</row>
    <row r="132" spans="1:15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</row>
    <row r="133" spans="1:15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</row>
    <row r="134" spans="1:15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</row>
    <row r="135" spans="1:15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</row>
    <row r="136" spans="1:15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</row>
    <row r="137" spans="1:15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</row>
    <row r="138" spans="1:15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</row>
    <row r="139" spans="1:15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</row>
    <row r="140" spans="1:15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</row>
    <row r="141" spans="1:15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</row>
    <row r="142" spans="1:15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</row>
    <row r="143" spans="1:15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</row>
    <row r="144" spans="1:15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</row>
    <row r="145" spans="1:15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</row>
    <row r="146" spans="1:15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</row>
    <row r="147" spans="1:15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</row>
    <row r="148" spans="1:15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</row>
    <row r="149" spans="1:15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</row>
    <row r="150" spans="1:15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</row>
    <row r="151" spans="1:15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</row>
    <row r="152" spans="1:15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</row>
    <row r="153" spans="1:15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</row>
    <row r="154" spans="1:15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</row>
    <row r="155" spans="1:15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</row>
    <row r="156" spans="1:15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</row>
    <row r="157" spans="1:15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</row>
    <row r="158" spans="1:15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</row>
    <row r="159" spans="1:15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</row>
    <row r="160" spans="1:15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</row>
    <row r="161" spans="1:15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</row>
    <row r="162" spans="1:15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</row>
    <row r="163" spans="1:15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</row>
    <row r="164" spans="1:15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</row>
    <row r="165" spans="1:15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</row>
    <row r="166" spans="1:15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</row>
    <row r="167" spans="1:15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</row>
    <row r="168" spans="1:15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</row>
    <row r="169" spans="1:15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</row>
    <row r="170" spans="1:15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</row>
    <row r="171" spans="1:15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</row>
    <row r="172" spans="1:15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</row>
    <row r="173" spans="1:15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</row>
    <row r="174" spans="1:15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</row>
    <row r="175" spans="1:15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</row>
    <row r="176" spans="1:15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</row>
    <row r="177" spans="1:15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</row>
    <row r="178" spans="1:15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</row>
    <row r="179" spans="1:15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</row>
    <row r="180" spans="1:15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</row>
    <row r="181" spans="1:15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</row>
    <row r="182" spans="1:15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</row>
    <row r="183" spans="1:15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</row>
    <row r="184" spans="1:15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</row>
    <row r="185" spans="1:15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</row>
    <row r="186" spans="1:15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</row>
    <row r="187" spans="1:15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</row>
    <row r="188" spans="1:15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</row>
    <row r="189" spans="1:15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</row>
    <row r="190" spans="1:15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</row>
    <row r="191" spans="1:15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</row>
    <row r="192" spans="1:15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</row>
    <row r="193" spans="1:15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</row>
    <row r="194" spans="1:15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</row>
    <row r="195" spans="1:15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</row>
    <row r="196" spans="1:15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</row>
    <row r="197" spans="1:15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</row>
    <row r="198" spans="1:15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</row>
    <row r="199" spans="1:15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</row>
    <row r="200" spans="1:15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</row>
    <row r="201" spans="1:15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</row>
    <row r="202" spans="1:15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</row>
    <row r="203" spans="1:15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</row>
    <row r="204" spans="1:15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</row>
    <row r="205" spans="1:15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</row>
    <row r="206" spans="1:15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</row>
    <row r="207" spans="1:15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</row>
    <row r="208" spans="1:15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</row>
    <row r="209" spans="1:15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</row>
    <row r="210" spans="1:15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</row>
    <row r="211" spans="1:15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</row>
    <row r="212" spans="1:15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</row>
    <row r="213" spans="1:15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</row>
    <row r="214" spans="1:15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</row>
    <row r="215" spans="1:15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</row>
    <row r="216" spans="1:15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</row>
    <row r="217" spans="1:15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</row>
    <row r="218" spans="1:15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</row>
    <row r="219" spans="1:15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</row>
    <row r="220" spans="1:15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</row>
    <row r="221" spans="1:15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</row>
    <row r="222" spans="1:15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</row>
    <row r="223" spans="1:15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</row>
    <row r="224" spans="1:15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</row>
    <row r="225" spans="1:15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</row>
    <row r="226" spans="1:15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</row>
    <row r="227" spans="1:15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</row>
    <row r="228" spans="1:15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</row>
    <row r="229" spans="1:15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</row>
    <row r="230" spans="1:15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</row>
    <row r="231" spans="1:15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</row>
    <row r="232" spans="1:15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</row>
    <row r="233" spans="1:15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</row>
    <row r="234" spans="1:15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</row>
    <row r="235" spans="1:15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</row>
    <row r="236" spans="1:15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</row>
    <row r="237" spans="1:15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</row>
    <row r="238" spans="1:15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</row>
    <row r="239" spans="1:15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</row>
    <row r="240" spans="1:15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</row>
    <row r="241" spans="1:15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</row>
    <row r="242" spans="1:15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</row>
    <row r="243" spans="1:15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</row>
    <row r="244" spans="1:15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</row>
    <row r="245" spans="1:15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</row>
    <row r="246" spans="1:15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</row>
    <row r="247" spans="1:15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</row>
    <row r="248" spans="1:15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</row>
    <row r="249" spans="1:15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</row>
    <row r="250" spans="1:15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</row>
    <row r="251" spans="1:15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</row>
    <row r="252" spans="1:15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</row>
    <row r="253" spans="1:15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</row>
    <row r="254" spans="1:15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</row>
    <row r="255" spans="1:15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</row>
    <row r="256" spans="1:15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</row>
    <row r="257" spans="1:15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</row>
    <row r="258" spans="1:15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</row>
    <row r="259" spans="1:15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</row>
    <row r="260" spans="1:15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</row>
    <row r="261" spans="1:15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</row>
    <row r="262" spans="1:15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</row>
    <row r="263" spans="1:15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</row>
    <row r="264" spans="1:15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</row>
    <row r="265" spans="1:15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</row>
    <row r="266" spans="1:15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</row>
    <row r="267" spans="1:15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</row>
    <row r="268" spans="1:15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</row>
    <row r="269" spans="1:15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</row>
    <row r="270" spans="1:15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</row>
    <row r="271" spans="1:15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</row>
    <row r="272" spans="1:15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</row>
    <row r="273" spans="1:15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</row>
    <row r="274" spans="1:15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</row>
    <row r="275" spans="1:15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</row>
    <row r="276" spans="1:15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</row>
    <row r="277" spans="1:15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</row>
    <row r="278" spans="1:15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</row>
    <row r="279" spans="1:15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</row>
    <row r="280" spans="1:15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</row>
    <row r="281" spans="1:15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</row>
    <row r="282" spans="1:15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</row>
    <row r="283" spans="1:15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</row>
    <row r="284" spans="1:15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</row>
    <row r="285" spans="1:15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</row>
    <row r="286" spans="1:15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</row>
    <row r="287" spans="1:15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</row>
    <row r="288" spans="1:15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</row>
    <row r="289" spans="1:15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</row>
    <row r="290" spans="1:15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</row>
    <row r="291" spans="1:15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</row>
    <row r="292" spans="1:15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</row>
    <row r="293" spans="1:15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</row>
    <row r="294" spans="1:15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</row>
    <row r="295" spans="1:15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</row>
    <row r="296" spans="1:15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</row>
    <row r="297" spans="1:15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</row>
    <row r="298" spans="1:15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</row>
    <row r="299" spans="1:15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</row>
    <row r="300" spans="1:15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</row>
    <row r="301" spans="1:15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</row>
    <row r="302" spans="1:15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</row>
    <row r="303" spans="1:15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</row>
    <row r="304" spans="1:15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</row>
    <row r="305" spans="1:15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</row>
    <row r="306" spans="1:15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</row>
    <row r="307" spans="1:15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</row>
    <row r="308" spans="1:15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</row>
    <row r="309" spans="1:15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</row>
    <row r="310" spans="1:15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</row>
    <row r="311" spans="1:15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</row>
    <row r="312" spans="1:15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</row>
    <row r="313" spans="1:15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</row>
    <row r="314" spans="1:15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</row>
    <row r="315" spans="1:15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</row>
    <row r="316" spans="1:15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</row>
    <row r="317" spans="1:15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</row>
    <row r="318" spans="1:15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</row>
    <row r="319" spans="1:15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</row>
    <row r="320" spans="1:15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</row>
    <row r="321" spans="1:15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</row>
    <row r="322" spans="1:15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</row>
    <row r="323" spans="1:15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</row>
    <row r="324" spans="1:15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</row>
    <row r="325" spans="1:15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</row>
    <row r="326" spans="1:15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</row>
    <row r="327" spans="1:15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</row>
    <row r="328" spans="1:15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</row>
    <row r="329" spans="1:15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</row>
    <row r="330" spans="1:15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</row>
    <row r="331" spans="1:15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</row>
    <row r="332" spans="1:15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</row>
    <row r="333" spans="1:15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</row>
    <row r="334" spans="1:15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</row>
    <row r="335" spans="1:15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</row>
    <row r="336" spans="1:15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</row>
    <row r="337" spans="1:15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</row>
    <row r="338" spans="1:15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</row>
    <row r="339" spans="1:15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</row>
    <row r="340" spans="1:15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</row>
    <row r="341" spans="1:15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</row>
    <row r="342" spans="1:15" x14ac:dyDescent="0.2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</row>
    <row r="343" spans="1:15" x14ac:dyDescent="0.2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</row>
    <row r="344" spans="1:15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</row>
    <row r="345" spans="1:15" x14ac:dyDescent="0.2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</row>
    <row r="346" spans="1:15" x14ac:dyDescent="0.2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</row>
    <row r="347" spans="1:15" x14ac:dyDescent="0.2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</row>
    <row r="348" spans="1:15" x14ac:dyDescent="0.2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</row>
    <row r="349" spans="1:15" x14ac:dyDescent="0.2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</row>
    <row r="350" spans="1:15" x14ac:dyDescent="0.2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</row>
    <row r="351" spans="1:15" x14ac:dyDescent="0.2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</row>
    <row r="352" spans="1:15" x14ac:dyDescent="0.2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</row>
    <row r="353" spans="1:15" x14ac:dyDescent="0.2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</row>
    <row r="354" spans="1:15" x14ac:dyDescent="0.2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</row>
    <row r="355" spans="1:15" x14ac:dyDescent="0.2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</row>
    <row r="356" spans="1:15" x14ac:dyDescent="0.2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</row>
    <row r="357" spans="1:15" x14ac:dyDescent="0.2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</row>
    <row r="358" spans="1:15" x14ac:dyDescent="0.2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</row>
    <row r="359" spans="1:15" x14ac:dyDescent="0.2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</row>
    <row r="360" spans="1:15" x14ac:dyDescent="0.2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</row>
    <row r="361" spans="1:15" x14ac:dyDescent="0.2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</row>
    <row r="362" spans="1:15" x14ac:dyDescent="0.2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</row>
    <row r="363" spans="1:15" x14ac:dyDescent="0.2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</row>
    <row r="364" spans="1:15" x14ac:dyDescent="0.2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</row>
    <row r="365" spans="1:15" x14ac:dyDescent="0.2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</row>
    <row r="366" spans="1:15" x14ac:dyDescent="0.2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</row>
    <row r="367" spans="1:15" x14ac:dyDescent="0.2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</row>
    <row r="368" spans="1:15" x14ac:dyDescent="0.2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</row>
    <row r="369" spans="1:15" x14ac:dyDescent="0.2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</row>
    <row r="370" spans="1:15" x14ac:dyDescent="0.2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</row>
    <row r="371" spans="1:15" x14ac:dyDescent="0.2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</row>
    <row r="372" spans="1:15" x14ac:dyDescent="0.2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</row>
    <row r="373" spans="1:15" x14ac:dyDescent="0.2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</row>
    <row r="374" spans="1:15" x14ac:dyDescent="0.2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</row>
    <row r="375" spans="1:15" x14ac:dyDescent="0.2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</row>
    <row r="376" spans="1:15" x14ac:dyDescent="0.2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</row>
    <row r="377" spans="1:15" x14ac:dyDescent="0.2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</row>
    <row r="378" spans="1:15" x14ac:dyDescent="0.2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</row>
    <row r="379" spans="1:15" x14ac:dyDescent="0.2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</row>
    <row r="380" spans="1:15" x14ac:dyDescent="0.2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</row>
    <row r="381" spans="1:15" x14ac:dyDescent="0.2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</row>
    <row r="382" spans="1:15" x14ac:dyDescent="0.2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</row>
    <row r="383" spans="1:15" x14ac:dyDescent="0.2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</row>
    <row r="384" spans="1:15" x14ac:dyDescent="0.2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</row>
    <row r="385" spans="1:15" x14ac:dyDescent="0.2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</row>
    <row r="386" spans="1:15" x14ac:dyDescent="0.2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</row>
    <row r="387" spans="1:15" x14ac:dyDescent="0.2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</row>
    <row r="388" spans="1:15" x14ac:dyDescent="0.2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</row>
    <row r="389" spans="1:15" x14ac:dyDescent="0.2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</row>
    <row r="390" spans="1:15" x14ac:dyDescent="0.2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</row>
    <row r="391" spans="1:15" x14ac:dyDescent="0.2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</row>
    <row r="392" spans="1:15" x14ac:dyDescent="0.2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</row>
    <row r="393" spans="1:15" x14ac:dyDescent="0.2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</row>
    <row r="394" spans="1:15" x14ac:dyDescent="0.2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</row>
    <row r="395" spans="1:15" x14ac:dyDescent="0.2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</row>
    <row r="396" spans="1:15" x14ac:dyDescent="0.2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</row>
    <row r="397" spans="1:15" x14ac:dyDescent="0.2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</row>
    <row r="398" spans="1:15" x14ac:dyDescent="0.2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</row>
    <row r="399" spans="1:15" x14ac:dyDescent="0.2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</row>
    <row r="400" spans="1:15" x14ac:dyDescent="0.2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</row>
    <row r="401" spans="1:15" x14ac:dyDescent="0.2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</row>
    <row r="402" spans="1:15" x14ac:dyDescent="0.2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</row>
    <row r="403" spans="1:15" x14ac:dyDescent="0.2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</row>
    <row r="404" spans="1:15" x14ac:dyDescent="0.2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</row>
    <row r="405" spans="1:15" x14ac:dyDescent="0.2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</row>
    <row r="406" spans="1:15" x14ac:dyDescent="0.2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</row>
    <row r="407" spans="1:15" x14ac:dyDescent="0.2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</row>
    <row r="408" spans="1:15" x14ac:dyDescent="0.2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</row>
    <row r="409" spans="1:15" x14ac:dyDescent="0.2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</row>
    <row r="410" spans="1:15" x14ac:dyDescent="0.2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</row>
    <row r="411" spans="1:15" x14ac:dyDescent="0.2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</row>
    <row r="412" spans="1:15" x14ac:dyDescent="0.2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</row>
    <row r="413" spans="1:15" x14ac:dyDescent="0.2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</row>
    <row r="414" spans="1:15" x14ac:dyDescent="0.2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</row>
    <row r="415" spans="1:15" x14ac:dyDescent="0.2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</row>
    <row r="416" spans="1:15" x14ac:dyDescent="0.2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</row>
    <row r="417" spans="1:15" x14ac:dyDescent="0.2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</row>
    <row r="418" spans="1:15" x14ac:dyDescent="0.2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</row>
    <row r="419" spans="1:15" x14ac:dyDescent="0.2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</row>
    <row r="420" spans="1:15" x14ac:dyDescent="0.2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</row>
    <row r="421" spans="1:15" x14ac:dyDescent="0.2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</row>
    <row r="422" spans="1:15" x14ac:dyDescent="0.2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</row>
    <row r="423" spans="1:15" x14ac:dyDescent="0.2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</row>
    <row r="424" spans="1:15" x14ac:dyDescent="0.2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</row>
    <row r="425" spans="1:15" x14ac:dyDescent="0.2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</row>
    <row r="426" spans="1:15" x14ac:dyDescent="0.2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</row>
    <row r="427" spans="1:15" x14ac:dyDescent="0.2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</row>
    <row r="428" spans="1:15" x14ac:dyDescent="0.2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</row>
    <row r="429" spans="1:15" x14ac:dyDescent="0.2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</row>
    <row r="430" spans="1:15" x14ac:dyDescent="0.2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</row>
    <row r="431" spans="1:15" x14ac:dyDescent="0.2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</row>
    <row r="432" spans="1:15" x14ac:dyDescent="0.2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</row>
    <row r="433" spans="1:15" x14ac:dyDescent="0.2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</row>
    <row r="434" spans="1:15" x14ac:dyDescent="0.2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</row>
    <row r="435" spans="1:15" x14ac:dyDescent="0.2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</row>
    <row r="436" spans="1:15" x14ac:dyDescent="0.2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</row>
    <row r="437" spans="1:15" x14ac:dyDescent="0.2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</row>
    <row r="438" spans="1:15" x14ac:dyDescent="0.2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</row>
    <row r="439" spans="1:15" x14ac:dyDescent="0.2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</row>
    <row r="440" spans="1:15" x14ac:dyDescent="0.2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</row>
    <row r="441" spans="1:15" x14ac:dyDescent="0.2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</row>
    <row r="442" spans="1:15" x14ac:dyDescent="0.2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</row>
    <row r="443" spans="1:15" x14ac:dyDescent="0.2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</row>
    <row r="444" spans="1:15" x14ac:dyDescent="0.2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</row>
    <row r="445" spans="1:15" x14ac:dyDescent="0.2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</row>
    <row r="446" spans="1:15" x14ac:dyDescent="0.2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</row>
    <row r="447" spans="1:15" x14ac:dyDescent="0.2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</row>
    <row r="448" spans="1:15" x14ac:dyDescent="0.2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</row>
    <row r="449" spans="1:15" x14ac:dyDescent="0.2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</row>
    <row r="450" spans="1:15" x14ac:dyDescent="0.2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</row>
    <row r="451" spans="1:15" x14ac:dyDescent="0.2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</row>
    <row r="452" spans="1:15" x14ac:dyDescent="0.2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</row>
    <row r="453" spans="1:15" x14ac:dyDescent="0.2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</row>
    <row r="454" spans="1:15" x14ac:dyDescent="0.2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</row>
    <row r="455" spans="1:15" x14ac:dyDescent="0.2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</row>
    <row r="456" spans="1:15" x14ac:dyDescent="0.2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</row>
    <row r="457" spans="1:15" x14ac:dyDescent="0.2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</row>
    <row r="458" spans="1:15" x14ac:dyDescent="0.2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</row>
    <row r="459" spans="1:15" x14ac:dyDescent="0.2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</row>
    <row r="460" spans="1:15" x14ac:dyDescent="0.2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</row>
    <row r="461" spans="1:15" x14ac:dyDescent="0.2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</row>
    <row r="462" spans="1:15" x14ac:dyDescent="0.2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</row>
    <row r="463" spans="1:15" x14ac:dyDescent="0.2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</row>
    <row r="464" spans="1:15" x14ac:dyDescent="0.2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</row>
    <row r="465" spans="1:15" x14ac:dyDescent="0.2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</row>
    <row r="466" spans="1:15" x14ac:dyDescent="0.2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</row>
    <row r="467" spans="1:15" x14ac:dyDescent="0.2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</row>
    <row r="468" spans="1:15" x14ac:dyDescent="0.2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</row>
    <row r="469" spans="1:15" x14ac:dyDescent="0.2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</row>
    <row r="470" spans="1:15" x14ac:dyDescent="0.2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</row>
    <row r="471" spans="1:15" x14ac:dyDescent="0.2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</row>
    <row r="472" spans="1:15" x14ac:dyDescent="0.2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</row>
    <row r="473" spans="1:15" x14ac:dyDescent="0.2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</row>
    <row r="474" spans="1:15" x14ac:dyDescent="0.2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</row>
    <row r="475" spans="1:15" x14ac:dyDescent="0.2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</row>
    <row r="476" spans="1:15" x14ac:dyDescent="0.2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</row>
    <row r="477" spans="1:15" x14ac:dyDescent="0.2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</row>
    <row r="478" spans="1:15" x14ac:dyDescent="0.2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</row>
    <row r="479" spans="1:15" x14ac:dyDescent="0.2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</row>
    <row r="480" spans="1:15" x14ac:dyDescent="0.2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</row>
    <row r="481" spans="1:15" x14ac:dyDescent="0.2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</row>
    <row r="482" spans="1:15" x14ac:dyDescent="0.2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</row>
    <row r="483" spans="1:15" x14ac:dyDescent="0.2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</row>
    <row r="484" spans="1:15" x14ac:dyDescent="0.2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</row>
    <row r="485" spans="1:15" x14ac:dyDescent="0.2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</row>
    <row r="486" spans="1:15" x14ac:dyDescent="0.2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</row>
    <row r="487" spans="1:15" x14ac:dyDescent="0.2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</row>
    <row r="488" spans="1:15" x14ac:dyDescent="0.2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</row>
    <row r="489" spans="1:15" x14ac:dyDescent="0.2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</row>
    <row r="490" spans="1:15" x14ac:dyDescent="0.2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</row>
    <row r="491" spans="1:15" x14ac:dyDescent="0.2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</row>
    <row r="492" spans="1:15" x14ac:dyDescent="0.2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</row>
    <row r="493" spans="1:15" x14ac:dyDescent="0.2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</row>
    <row r="494" spans="1:15" x14ac:dyDescent="0.2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</row>
    <row r="495" spans="1:15" x14ac:dyDescent="0.2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</row>
    <row r="496" spans="1:15" x14ac:dyDescent="0.2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</row>
    <row r="497" spans="1:15" x14ac:dyDescent="0.2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</row>
    <row r="498" spans="1:15" x14ac:dyDescent="0.2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</row>
    <row r="499" spans="1:15" x14ac:dyDescent="0.2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</row>
    <row r="500" spans="1:15" x14ac:dyDescent="0.2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</row>
    <row r="501" spans="1:15" x14ac:dyDescent="0.25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</row>
    <row r="502" spans="1:15" x14ac:dyDescent="0.25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</row>
    <row r="503" spans="1:15" x14ac:dyDescent="0.25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</row>
    <row r="504" spans="1:15" x14ac:dyDescent="0.25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</row>
    <row r="505" spans="1:15" x14ac:dyDescent="0.25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</row>
    <row r="506" spans="1:15" x14ac:dyDescent="0.25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</row>
    <row r="507" spans="1:15" x14ac:dyDescent="0.25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</row>
    <row r="508" spans="1:15" x14ac:dyDescent="0.25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</row>
    <row r="509" spans="1:15" x14ac:dyDescent="0.25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</row>
    <row r="510" spans="1:15" x14ac:dyDescent="0.25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</row>
    <row r="511" spans="1:15" x14ac:dyDescent="0.25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</row>
    <row r="512" spans="1:15" x14ac:dyDescent="0.25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</row>
    <row r="513" spans="1:15" x14ac:dyDescent="0.25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</row>
    <row r="514" spans="1:15" x14ac:dyDescent="0.25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</row>
    <row r="515" spans="1:15" x14ac:dyDescent="0.25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</row>
    <row r="516" spans="1:15" x14ac:dyDescent="0.25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</row>
    <row r="517" spans="1:15" x14ac:dyDescent="0.25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</row>
    <row r="518" spans="1:15" x14ac:dyDescent="0.25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</row>
    <row r="519" spans="1:15" x14ac:dyDescent="0.25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</row>
    <row r="520" spans="1:15" x14ac:dyDescent="0.25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</row>
    <row r="521" spans="1:15" x14ac:dyDescent="0.25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</row>
    <row r="522" spans="1:15" x14ac:dyDescent="0.25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</row>
    <row r="523" spans="1:15" x14ac:dyDescent="0.25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</row>
    <row r="524" spans="1:15" x14ac:dyDescent="0.25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</row>
    <row r="525" spans="1:15" x14ac:dyDescent="0.25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</row>
    <row r="526" spans="1:15" x14ac:dyDescent="0.25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</row>
    <row r="527" spans="1:15" x14ac:dyDescent="0.25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</row>
    <row r="528" spans="1:15" x14ac:dyDescent="0.25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</row>
    <row r="529" spans="1:15" x14ac:dyDescent="0.25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</row>
    <row r="530" spans="1:15" x14ac:dyDescent="0.25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</row>
    <row r="531" spans="1:15" x14ac:dyDescent="0.25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</row>
    <row r="532" spans="1:15" x14ac:dyDescent="0.25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</row>
    <row r="533" spans="1:15" x14ac:dyDescent="0.25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</row>
    <row r="534" spans="1:15" x14ac:dyDescent="0.25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</row>
    <row r="535" spans="1:15" x14ac:dyDescent="0.25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</row>
    <row r="536" spans="1:15" x14ac:dyDescent="0.25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</row>
    <row r="537" spans="1:15" x14ac:dyDescent="0.25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</row>
    <row r="538" spans="1:15" x14ac:dyDescent="0.25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</row>
    <row r="539" spans="1:15" x14ac:dyDescent="0.25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</row>
    <row r="540" spans="1:15" x14ac:dyDescent="0.25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</row>
    <row r="541" spans="1:15" x14ac:dyDescent="0.25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</row>
    <row r="542" spans="1:15" x14ac:dyDescent="0.25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</row>
    <row r="543" spans="1:15" x14ac:dyDescent="0.25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</row>
    <row r="544" spans="1:15" x14ac:dyDescent="0.25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</row>
    <row r="545" spans="1:15" x14ac:dyDescent="0.25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</row>
    <row r="546" spans="1:15" x14ac:dyDescent="0.25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</row>
    <row r="547" spans="1:15" x14ac:dyDescent="0.25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</row>
    <row r="548" spans="1:15" x14ac:dyDescent="0.25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</row>
    <row r="549" spans="1:15" x14ac:dyDescent="0.25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</row>
    <row r="550" spans="1:15" x14ac:dyDescent="0.25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</row>
    <row r="551" spans="1:15" x14ac:dyDescent="0.25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</row>
    <row r="552" spans="1:15" x14ac:dyDescent="0.25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</row>
    <row r="553" spans="1:15" x14ac:dyDescent="0.25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</row>
    <row r="554" spans="1:15" x14ac:dyDescent="0.25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</row>
    <row r="555" spans="1:15" x14ac:dyDescent="0.25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</row>
    <row r="556" spans="1:15" x14ac:dyDescent="0.25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</row>
    <row r="557" spans="1:15" x14ac:dyDescent="0.25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</row>
    <row r="558" spans="1:15" x14ac:dyDescent="0.25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</row>
    <row r="559" spans="1:15" x14ac:dyDescent="0.25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</row>
    <row r="560" spans="1:15" x14ac:dyDescent="0.25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</row>
    <row r="561" spans="1:15" x14ac:dyDescent="0.25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</row>
    <row r="562" spans="1:15" x14ac:dyDescent="0.25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</row>
    <row r="563" spans="1:15" x14ac:dyDescent="0.25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</row>
    <row r="564" spans="1:15" x14ac:dyDescent="0.25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</row>
    <row r="565" spans="1:15" x14ac:dyDescent="0.25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</row>
    <row r="566" spans="1:15" x14ac:dyDescent="0.25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</row>
    <row r="567" spans="1:15" x14ac:dyDescent="0.25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</row>
    <row r="568" spans="1:15" x14ac:dyDescent="0.25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</row>
    <row r="569" spans="1:15" x14ac:dyDescent="0.25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</row>
    <row r="570" spans="1:15" x14ac:dyDescent="0.25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</row>
    <row r="571" spans="1:15" x14ac:dyDescent="0.25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</row>
    <row r="572" spans="1:15" x14ac:dyDescent="0.25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</row>
    <row r="573" spans="1:15" x14ac:dyDescent="0.25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</row>
    <row r="574" spans="1:15" x14ac:dyDescent="0.25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</row>
    <row r="575" spans="1:15" x14ac:dyDescent="0.25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</row>
    <row r="576" spans="1:15" x14ac:dyDescent="0.25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</row>
    <row r="577" spans="1:15" x14ac:dyDescent="0.25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</row>
    <row r="578" spans="1:15" x14ac:dyDescent="0.25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</row>
    <row r="579" spans="1:15" x14ac:dyDescent="0.25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</row>
    <row r="580" spans="1:15" x14ac:dyDescent="0.25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</row>
    <row r="581" spans="1:15" x14ac:dyDescent="0.25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</row>
    <row r="582" spans="1:15" x14ac:dyDescent="0.25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</row>
    <row r="583" spans="1:15" x14ac:dyDescent="0.25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</row>
    <row r="584" spans="1:15" x14ac:dyDescent="0.25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</row>
    <row r="585" spans="1:15" x14ac:dyDescent="0.25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</row>
    <row r="586" spans="1:15" x14ac:dyDescent="0.25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</row>
    <row r="587" spans="1:15" x14ac:dyDescent="0.25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</row>
    <row r="588" spans="1:15" x14ac:dyDescent="0.25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</row>
    <row r="589" spans="1:15" x14ac:dyDescent="0.25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</row>
    <row r="590" spans="1:15" x14ac:dyDescent="0.25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</row>
    <row r="591" spans="1:15" x14ac:dyDescent="0.25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</row>
    <row r="592" spans="1:15" x14ac:dyDescent="0.25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</row>
    <row r="593" spans="1:15" x14ac:dyDescent="0.25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</row>
    <row r="594" spans="1:15" x14ac:dyDescent="0.25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</row>
    <row r="595" spans="1:15" x14ac:dyDescent="0.25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</row>
    <row r="596" spans="1:15" x14ac:dyDescent="0.25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</row>
    <row r="597" spans="1:15" x14ac:dyDescent="0.25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</row>
    <row r="598" spans="1:15" x14ac:dyDescent="0.25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</row>
    <row r="599" spans="1:15" x14ac:dyDescent="0.25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</row>
    <row r="600" spans="1:15" x14ac:dyDescent="0.25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</row>
    <row r="601" spans="1:15" x14ac:dyDescent="0.25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</row>
    <row r="602" spans="1:15" x14ac:dyDescent="0.25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</row>
    <row r="603" spans="1:15" x14ac:dyDescent="0.25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</row>
    <row r="604" spans="1:15" x14ac:dyDescent="0.25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</row>
    <row r="605" spans="1:15" x14ac:dyDescent="0.25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</row>
    <row r="606" spans="1:15" x14ac:dyDescent="0.25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</row>
    <row r="607" spans="1:15" x14ac:dyDescent="0.25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</row>
    <row r="608" spans="1:15" x14ac:dyDescent="0.25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</row>
    <row r="609" spans="1:15" x14ac:dyDescent="0.25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</row>
    <row r="610" spans="1:15" x14ac:dyDescent="0.25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</row>
    <row r="611" spans="1:15" x14ac:dyDescent="0.25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</row>
    <row r="612" spans="1:15" x14ac:dyDescent="0.25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</row>
    <row r="613" spans="1:15" x14ac:dyDescent="0.25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</row>
    <row r="614" spans="1:15" x14ac:dyDescent="0.25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</row>
    <row r="615" spans="1:15" x14ac:dyDescent="0.25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</row>
    <row r="616" spans="1:15" x14ac:dyDescent="0.25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</row>
    <row r="617" spans="1:15" x14ac:dyDescent="0.25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</row>
    <row r="618" spans="1:15" x14ac:dyDescent="0.25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</row>
    <row r="619" spans="1:15" x14ac:dyDescent="0.25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</row>
    <row r="620" spans="1:15" x14ac:dyDescent="0.25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</row>
    <row r="621" spans="1:15" x14ac:dyDescent="0.25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</row>
    <row r="622" spans="1:15" x14ac:dyDescent="0.25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</row>
    <row r="623" spans="1:15" x14ac:dyDescent="0.25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</row>
    <row r="624" spans="1:15" x14ac:dyDescent="0.25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</row>
    <row r="625" spans="1:15" x14ac:dyDescent="0.25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</row>
    <row r="626" spans="1:15" x14ac:dyDescent="0.25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</row>
    <row r="627" spans="1:15" x14ac:dyDescent="0.25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</row>
    <row r="628" spans="1:15" x14ac:dyDescent="0.25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</row>
    <row r="629" spans="1:15" x14ac:dyDescent="0.25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</row>
    <row r="630" spans="1:15" x14ac:dyDescent="0.25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</row>
    <row r="631" spans="1:15" x14ac:dyDescent="0.25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</row>
    <row r="632" spans="1:15" x14ac:dyDescent="0.25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</row>
    <row r="633" spans="1:15" x14ac:dyDescent="0.25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</row>
    <row r="634" spans="1:15" x14ac:dyDescent="0.25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</row>
    <row r="635" spans="1:15" x14ac:dyDescent="0.25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</row>
    <row r="636" spans="1:15" x14ac:dyDescent="0.25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</row>
    <row r="637" spans="1:15" x14ac:dyDescent="0.25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</row>
    <row r="638" spans="1:15" x14ac:dyDescent="0.25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</row>
    <row r="639" spans="1:15" x14ac:dyDescent="0.25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</row>
    <row r="640" spans="1:15" x14ac:dyDescent="0.25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</row>
    <row r="641" spans="1:15" x14ac:dyDescent="0.25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</row>
    <row r="642" spans="1:15" x14ac:dyDescent="0.25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</row>
    <row r="643" spans="1:15" x14ac:dyDescent="0.25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</row>
    <row r="644" spans="1:15" x14ac:dyDescent="0.25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</row>
    <row r="645" spans="1:15" x14ac:dyDescent="0.25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</row>
    <row r="646" spans="1:15" x14ac:dyDescent="0.25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</row>
    <row r="647" spans="1:15" x14ac:dyDescent="0.25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</row>
    <row r="648" spans="1:15" x14ac:dyDescent="0.25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</row>
    <row r="649" spans="1:15" x14ac:dyDescent="0.25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</row>
    <row r="650" spans="1:15" x14ac:dyDescent="0.25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</row>
    <row r="651" spans="1:15" x14ac:dyDescent="0.25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</row>
    <row r="652" spans="1:15" x14ac:dyDescent="0.25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</row>
    <row r="653" spans="1:15" x14ac:dyDescent="0.25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</row>
    <row r="654" spans="1:15" x14ac:dyDescent="0.25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</row>
    <row r="655" spans="1:15" x14ac:dyDescent="0.25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</row>
    <row r="656" spans="1:15" x14ac:dyDescent="0.25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</row>
    <row r="657" spans="1:15" x14ac:dyDescent="0.25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</row>
    <row r="658" spans="1:15" x14ac:dyDescent="0.25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</row>
    <row r="659" spans="1:15" x14ac:dyDescent="0.25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</row>
    <row r="660" spans="1:15" x14ac:dyDescent="0.25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</row>
    <row r="661" spans="1:15" x14ac:dyDescent="0.25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</row>
    <row r="662" spans="1:15" x14ac:dyDescent="0.25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</row>
    <row r="663" spans="1:15" x14ac:dyDescent="0.25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</row>
    <row r="664" spans="1:15" x14ac:dyDescent="0.25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</row>
    <row r="665" spans="1:15" x14ac:dyDescent="0.25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</row>
    <row r="666" spans="1:15" x14ac:dyDescent="0.25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</row>
    <row r="667" spans="1:15" x14ac:dyDescent="0.25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</row>
    <row r="668" spans="1:15" x14ac:dyDescent="0.25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</row>
    <row r="669" spans="1:15" x14ac:dyDescent="0.25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</row>
    <row r="670" spans="1:15" x14ac:dyDescent="0.25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</row>
    <row r="671" spans="1:15" x14ac:dyDescent="0.25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</row>
    <row r="672" spans="1:15" x14ac:dyDescent="0.25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</row>
    <row r="673" spans="1:15" x14ac:dyDescent="0.25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</row>
    <row r="674" spans="1:15" x14ac:dyDescent="0.25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</row>
    <row r="675" spans="1:15" x14ac:dyDescent="0.25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</row>
    <row r="676" spans="1:15" x14ac:dyDescent="0.25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</row>
    <row r="677" spans="1:15" x14ac:dyDescent="0.25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</row>
    <row r="678" spans="1:15" x14ac:dyDescent="0.25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</row>
    <row r="679" spans="1:15" x14ac:dyDescent="0.25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</row>
    <row r="680" spans="1:15" x14ac:dyDescent="0.25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</row>
    <row r="681" spans="1:15" x14ac:dyDescent="0.25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</row>
    <row r="682" spans="1:15" x14ac:dyDescent="0.25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</row>
    <row r="683" spans="1:15" x14ac:dyDescent="0.25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</row>
    <row r="684" spans="1:15" x14ac:dyDescent="0.25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</row>
    <row r="685" spans="1:15" x14ac:dyDescent="0.25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</row>
    <row r="686" spans="1:15" x14ac:dyDescent="0.25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</row>
    <row r="687" spans="1:15" x14ac:dyDescent="0.25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</row>
    <row r="688" spans="1:15" x14ac:dyDescent="0.25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</row>
    <row r="689" spans="1:15" x14ac:dyDescent="0.25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</row>
    <row r="690" spans="1:15" x14ac:dyDescent="0.25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</row>
    <row r="691" spans="1:15" x14ac:dyDescent="0.25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</row>
    <row r="692" spans="1:15" x14ac:dyDescent="0.25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</row>
    <row r="693" spans="1:15" x14ac:dyDescent="0.25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</row>
    <row r="694" spans="1:15" x14ac:dyDescent="0.25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</row>
    <row r="695" spans="1:15" x14ac:dyDescent="0.25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</row>
    <row r="696" spans="1:15" x14ac:dyDescent="0.25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</row>
    <row r="697" spans="1:15" x14ac:dyDescent="0.25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</row>
    <row r="698" spans="1:15" x14ac:dyDescent="0.25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</row>
    <row r="699" spans="1:15" x14ac:dyDescent="0.25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</row>
    <row r="700" spans="1:15" x14ac:dyDescent="0.25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</row>
    <row r="701" spans="1:15" x14ac:dyDescent="0.25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</row>
    <row r="702" spans="1:15" x14ac:dyDescent="0.25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</row>
    <row r="703" spans="1:15" x14ac:dyDescent="0.25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</row>
    <row r="704" spans="1:15" x14ac:dyDescent="0.25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</row>
    <row r="705" spans="1:15" x14ac:dyDescent="0.25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</row>
    <row r="706" spans="1:15" x14ac:dyDescent="0.25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</row>
    <row r="707" spans="1:15" x14ac:dyDescent="0.25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</row>
    <row r="708" spans="1:15" x14ac:dyDescent="0.25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</row>
    <row r="709" spans="1:15" x14ac:dyDescent="0.25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</row>
    <row r="710" spans="1:15" x14ac:dyDescent="0.25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</row>
    <row r="711" spans="1:15" x14ac:dyDescent="0.25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</row>
    <row r="712" spans="1:15" x14ac:dyDescent="0.25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</row>
    <row r="713" spans="1:15" x14ac:dyDescent="0.25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</row>
    <row r="714" spans="1:15" x14ac:dyDescent="0.25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</row>
    <row r="715" spans="1:15" x14ac:dyDescent="0.25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</row>
    <row r="716" spans="1:15" x14ac:dyDescent="0.25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</row>
    <row r="717" spans="1:15" x14ac:dyDescent="0.25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</row>
    <row r="718" spans="1:15" x14ac:dyDescent="0.25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</row>
    <row r="719" spans="1:15" x14ac:dyDescent="0.25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</row>
    <row r="720" spans="1:15" x14ac:dyDescent="0.25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</row>
    <row r="721" spans="1:15" x14ac:dyDescent="0.25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</row>
    <row r="722" spans="1:15" x14ac:dyDescent="0.25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</row>
    <row r="723" spans="1:15" x14ac:dyDescent="0.25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</row>
    <row r="724" spans="1:15" x14ac:dyDescent="0.25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</row>
    <row r="725" spans="1:15" x14ac:dyDescent="0.25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</row>
    <row r="726" spans="1:15" x14ac:dyDescent="0.25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</row>
    <row r="727" spans="1:15" x14ac:dyDescent="0.25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</row>
    <row r="728" spans="1:15" x14ac:dyDescent="0.25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</row>
    <row r="729" spans="1:15" x14ac:dyDescent="0.25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</row>
    <row r="730" spans="1:15" x14ac:dyDescent="0.25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</row>
    <row r="731" spans="1:15" x14ac:dyDescent="0.25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</row>
    <row r="732" spans="1:15" x14ac:dyDescent="0.25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</row>
    <row r="733" spans="1:15" x14ac:dyDescent="0.25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</row>
    <row r="734" spans="1:15" x14ac:dyDescent="0.25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</row>
    <row r="735" spans="1:15" x14ac:dyDescent="0.25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</row>
    <row r="736" spans="1:15" x14ac:dyDescent="0.25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</row>
    <row r="737" spans="1:15" x14ac:dyDescent="0.25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</row>
    <row r="738" spans="1:15" x14ac:dyDescent="0.25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</row>
    <row r="739" spans="1:15" x14ac:dyDescent="0.25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</row>
    <row r="740" spans="1:15" x14ac:dyDescent="0.25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</row>
    <row r="741" spans="1:15" x14ac:dyDescent="0.25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</row>
    <row r="742" spans="1:15" x14ac:dyDescent="0.25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</row>
    <row r="743" spans="1:15" x14ac:dyDescent="0.25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</row>
    <row r="744" spans="1:15" x14ac:dyDescent="0.25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</row>
    <row r="745" spans="1:15" x14ac:dyDescent="0.25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</row>
    <row r="746" spans="1:15" x14ac:dyDescent="0.25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</row>
    <row r="747" spans="1:15" x14ac:dyDescent="0.25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</row>
    <row r="748" spans="1:15" x14ac:dyDescent="0.25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</row>
    <row r="749" spans="1:15" x14ac:dyDescent="0.25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</row>
    <row r="750" spans="1:15" x14ac:dyDescent="0.25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</row>
    <row r="751" spans="1:15" x14ac:dyDescent="0.25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</row>
    <row r="752" spans="1:15" x14ac:dyDescent="0.25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</row>
    <row r="753" spans="1:15" x14ac:dyDescent="0.25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</row>
    <row r="754" spans="1:15" x14ac:dyDescent="0.25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</row>
    <row r="755" spans="1:15" x14ac:dyDescent="0.25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</row>
    <row r="756" spans="1:15" x14ac:dyDescent="0.25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</row>
    <row r="757" spans="1:15" x14ac:dyDescent="0.25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</row>
    <row r="758" spans="1:15" x14ac:dyDescent="0.25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</row>
    <row r="759" spans="1:15" x14ac:dyDescent="0.25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</row>
    <row r="760" spans="1:15" x14ac:dyDescent="0.25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</row>
    <row r="761" spans="1:15" x14ac:dyDescent="0.25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</row>
    <row r="762" spans="1:15" x14ac:dyDescent="0.25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</row>
    <row r="763" spans="1:15" x14ac:dyDescent="0.25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</row>
    <row r="764" spans="1:15" x14ac:dyDescent="0.25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</row>
    <row r="765" spans="1:15" x14ac:dyDescent="0.25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</row>
    <row r="766" spans="1:15" x14ac:dyDescent="0.25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</row>
    <row r="767" spans="1:15" x14ac:dyDescent="0.25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</row>
    <row r="768" spans="1:15" x14ac:dyDescent="0.25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</row>
    <row r="769" spans="1:15" x14ac:dyDescent="0.25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</row>
    <row r="770" spans="1:15" x14ac:dyDescent="0.25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</row>
    <row r="771" spans="1:15" x14ac:dyDescent="0.25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</row>
    <row r="772" spans="1:15" x14ac:dyDescent="0.25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</row>
    <row r="773" spans="1:15" x14ac:dyDescent="0.25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</row>
    <row r="774" spans="1:15" x14ac:dyDescent="0.25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</row>
    <row r="775" spans="1:15" x14ac:dyDescent="0.25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</row>
    <row r="776" spans="1:15" x14ac:dyDescent="0.25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</row>
    <row r="777" spans="1:15" x14ac:dyDescent="0.25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</row>
    <row r="778" spans="1:15" x14ac:dyDescent="0.25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</row>
    <row r="779" spans="1:15" x14ac:dyDescent="0.25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</row>
    <row r="780" spans="1:15" x14ac:dyDescent="0.25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</row>
    <row r="781" spans="1:15" x14ac:dyDescent="0.25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</row>
    <row r="782" spans="1:15" x14ac:dyDescent="0.25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</row>
    <row r="783" spans="1:15" x14ac:dyDescent="0.25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</row>
    <row r="784" spans="1:15" x14ac:dyDescent="0.25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</row>
    <row r="785" spans="1:15" x14ac:dyDescent="0.25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</row>
    <row r="786" spans="1:15" x14ac:dyDescent="0.25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</row>
    <row r="787" spans="1:15" x14ac:dyDescent="0.25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</row>
    <row r="788" spans="1:15" x14ac:dyDescent="0.25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</row>
    <row r="789" spans="1:15" x14ac:dyDescent="0.25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</row>
    <row r="790" spans="1:15" x14ac:dyDescent="0.25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</row>
    <row r="791" spans="1:15" x14ac:dyDescent="0.25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</row>
    <row r="792" spans="1:15" x14ac:dyDescent="0.25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</row>
    <row r="793" spans="1:15" x14ac:dyDescent="0.25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</row>
    <row r="794" spans="1:15" x14ac:dyDescent="0.25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</row>
    <row r="795" spans="1:15" x14ac:dyDescent="0.25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</row>
    <row r="796" spans="1:15" x14ac:dyDescent="0.25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</row>
    <row r="797" spans="1:15" x14ac:dyDescent="0.25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</row>
    <row r="798" spans="1:15" x14ac:dyDescent="0.25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</row>
    <row r="799" spans="1:15" x14ac:dyDescent="0.25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</row>
    <row r="800" spans="1:15" x14ac:dyDescent="0.25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</row>
    <row r="801" spans="1:15" x14ac:dyDescent="0.25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</row>
    <row r="802" spans="1:15" x14ac:dyDescent="0.25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</row>
    <row r="803" spans="1:15" x14ac:dyDescent="0.25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</row>
    <row r="804" spans="1:15" x14ac:dyDescent="0.25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</row>
    <row r="805" spans="1:15" x14ac:dyDescent="0.25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</row>
    <row r="806" spans="1:15" x14ac:dyDescent="0.25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</row>
    <row r="807" spans="1:15" x14ac:dyDescent="0.25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</row>
    <row r="808" spans="1:15" x14ac:dyDescent="0.25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</row>
    <row r="809" spans="1:15" x14ac:dyDescent="0.25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</row>
    <row r="810" spans="1:15" x14ac:dyDescent="0.25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</row>
    <row r="811" spans="1:15" x14ac:dyDescent="0.25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</row>
    <row r="812" spans="1:15" x14ac:dyDescent="0.25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</row>
    <row r="813" spans="1:15" x14ac:dyDescent="0.25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</row>
    <row r="814" spans="1:15" x14ac:dyDescent="0.25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</row>
    <row r="815" spans="1:15" x14ac:dyDescent="0.25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</row>
    <row r="816" spans="1:15" x14ac:dyDescent="0.25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</row>
    <row r="817" spans="1:15" x14ac:dyDescent="0.25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</row>
    <row r="818" spans="1:15" x14ac:dyDescent="0.25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</row>
    <row r="819" spans="1:15" x14ac:dyDescent="0.25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</row>
    <row r="820" spans="1:15" x14ac:dyDescent="0.25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</row>
    <row r="821" spans="1:15" x14ac:dyDescent="0.25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</row>
    <row r="822" spans="1:15" x14ac:dyDescent="0.25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</row>
    <row r="823" spans="1:15" x14ac:dyDescent="0.25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</row>
    <row r="824" spans="1:15" x14ac:dyDescent="0.25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</row>
    <row r="825" spans="1:15" x14ac:dyDescent="0.25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</row>
    <row r="826" spans="1:15" x14ac:dyDescent="0.25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</row>
    <row r="827" spans="1:15" x14ac:dyDescent="0.25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</row>
    <row r="828" spans="1:15" x14ac:dyDescent="0.25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</row>
    <row r="829" spans="1:15" x14ac:dyDescent="0.25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</row>
    <row r="830" spans="1:15" x14ac:dyDescent="0.25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</row>
    <row r="831" spans="1:15" x14ac:dyDescent="0.25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</row>
    <row r="832" spans="1:15" x14ac:dyDescent="0.25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</row>
    <row r="833" spans="1:15" x14ac:dyDescent="0.25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</row>
    <row r="834" spans="1:15" x14ac:dyDescent="0.25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</row>
    <row r="835" spans="1:15" x14ac:dyDescent="0.25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</row>
    <row r="836" spans="1:15" x14ac:dyDescent="0.25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</row>
    <row r="837" spans="1:15" x14ac:dyDescent="0.25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</row>
    <row r="838" spans="1:15" x14ac:dyDescent="0.25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</row>
    <row r="839" spans="1:15" x14ac:dyDescent="0.25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</row>
    <row r="840" spans="1:15" x14ac:dyDescent="0.25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</row>
    <row r="841" spans="1:15" x14ac:dyDescent="0.25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</row>
    <row r="842" spans="1:15" x14ac:dyDescent="0.25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</row>
    <row r="843" spans="1:15" x14ac:dyDescent="0.25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</row>
    <row r="844" spans="1:15" x14ac:dyDescent="0.25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</row>
    <row r="845" spans="1:15" x14ac:dyDescent="0.25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</row>
    <row r="846" spans="1:15" x14ac:dyDescent="0.25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</row>
    <row r="847" spans="1:15" x14ac:dyDescent="0.25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</row>
    <row r="848" spans="1:15" x14ac:dyDescent="0.25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</row>
    <row r="849" spans="1:15" x14ac:dyDescent="0.25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</row>
    <row r="850" spans="1:15" x14ac:dyDescent="0.25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</row>
    <row r="851" spans="1:15" x14ac:dyDescent="0.25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</row>
    <row r="852" spans="1:15" x14ac:dyDescent="0.25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</row>
    <row r="853" spans="1:15" x14ac:dyDescent="0.25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</row>
    <row r="854" spans="1:15" x14ac:dyDescent="0.25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</row>
    <row r="855" spans="1:15" x14ac:dyDescent="0.25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</row>
    <row r="856" spans="1:15" x14ac:dyDescent="0.25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</row>
    <row r="857" spans="1:15" x14ac:dyDescent="0.25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</row>
    <row r="858" spans="1:15" x14ac:dyDescent="0.25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</row>
    <row r="859" spans="1:15" x14ac:dyDescent="0.25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</row>
    <row r="860" spans="1:15" x14ac:dyDescent="0.25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</row>
    <row r="861" spans="1:15" x14ac:dyDescent="0.25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</row>
    <row r="862" spans="1:15" x14ac:dyDescent="0.25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</row>
    <row r="863" spans="1:15" x14ac:dyDescent="0.25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</row>
    <row r="864" spans="1:15" x14ac:dyDescent="0.25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</row>
    <row r="865" spans="1:15" x14ac:dyDescent="0.25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</row>
    <row r="866" spans="1:15" x14ac:dyDescent="0.25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</row>
    <row r="867" spans="1:15" x14ac:dyDescent="0.25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</row>
    <row r="868" spans="1:15" x14ac:dyDescent="0.25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</row>
    <row r="869" spans="1:15" x14ac:dyDescent="0.25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</row>
    <row r="870" spans="1:15" x14ac:dyDescent="0.25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</row>
    <row r="871" spans="1:15" x14ac:dyDescent="0.25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</row>
    <row r="872" spans="1:15" x14ac:dyDescent="0.25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</row>
    <row r="873" spans="1:15" x14ac:dyDescent="0.25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</row>
    <row r="874" spans="1:15" x14ac:dyDescent="0.25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</row>
    <row r="875" spans="1:15" x14ac:dyDescent="0.25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</row>
    <row r="876" spans="1:15" x14ac:dyDescent="0.25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</row>
    <row r="877" spans="1:15" x14ac:dyDescent="0.25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</row>
    <row r="878" spans="1:15" x14ac:dyDescent="0.25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</row>
    <row r="879" spans="1:15" x14ac:dyDescent="0.25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</row>
    <row r="880" spans="1:15" x14ac:dyDescent="0.25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</row>
    <row r="881" spans="1:15" x14ac:dyDescent="0.25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</row>
    <row r="882" spans="1:15" x14ac:dyDescent="0.25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</row>
    <row r="883" spans="1:15" x14ac:dyDescent="0.25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</row>
    <row r="884" spans="1:15" x14ac:dyDescent="0.25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</row>
    <row r="885" spans="1:15" x14ac:dyDescent="0.25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</row>
    <row r="886" spans="1:15" x14ac:dyDescent="0.25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</row>
    <row r="887" spans="1:15" x14ac:dyDescent="0.25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</row>
    <row r="888" spans="1:15" x14ac:dyDescent="0.25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</row>
    <row r="889" spans="1:15" x14ac:dyDescent="0.25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</row>
    <row r="890" spans="1:15" x14ac:dyDescent="0.25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</row>
    <row r="891" spans="1:15" x14ac:dyDescent="0.25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</row>
    <row r="892" spans="1:15" x14ac:dyDescent="0.25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</row>
    <row r="893" spans="1:15" x14ac:dyDescent="0.25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</row>
    <row r="894" spans="1:15" x14ac:dyDescent="0.25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</row>
    <row r="895" spans="1:15" x14ac:dyDescent="0.25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</row>
    <row r="896" spans="1:15" x14ac:dyDescent="0.25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</row>
    <row r="897" spans="1:15" x14ac:dyDescent="0.25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</row>
    <row r="898" spans="1:15" x14ac:dyDescent="0.25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</row>
    <row r="899" spans="1:15" x14ac:dyDescent="0.25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</row>
    <row r="900" spans="1:15" x14ac:dyDescent="0.25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</row>
    <row r="901" spans="1:15" x14ac:dyDescent="0.25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</row>
    <row r="902" spans="1:15" x14ac:dyDescent="0.25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</row>
    <row r="903" spans="1:15" x14ac:dyDescent="0.25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</row>
    <row r="904" spans="1:15" x14ac:dyDescent="0.25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</row>
    <row r="905" spans="1:15" x14ac:dyDescent="0.25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</row>
    <row r="906" spans="1:15" x14ac:dyDescent="0.25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</row>
    <row r="907" spans="1:15" x14ac:dyDescent="0.25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</row>
    <row r="908" spans="1:15" x14ac:dyDescent="0.25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</row>
    <row r="909" spans="1:15" x14ac:dyDescent="0.25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</row>
    <row r="910" spans="1:15" x14ac:dyDescent="0.25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</row>
    <row r="911" spans="1:15" x14ac:dyDescent="0.25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</row>
    <row r="912" spans="1:15" x14ac:dyDescent="0.25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</row>
    <row r="913" spans="1:15" x14ac:dyDescent="0.25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</row>
    <row r="914" spans="1:15" x14ac:dyDescent="0.25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</row>
    <row r="915" spans="1:15" x14ac:dyDescent="0.25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</row>
    <row r="916" spans="1:15" x14ac:dyDescent="0.25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</row>
    <row r="917" spans="1:15" x14ac:dyDescent="0.25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</row>
    <row r="918" spans="1:15" x14ac:dyDescent="0.25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</row>
    <row r="919" spans="1:15" x14ac:dyDescent="0.25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</row>
    <row r="920" spans="1:15" x14ac:dyDescent="0.25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</row>
    <row r="921" spans="1:15" x14ac:dyDescent="0.25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</row>
    <row r="922" spans="1:15" x14ac:dyDescent="0.25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</row>
    <row r="923" spans="1:15" x14ac:dyDescent="0.25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</row>
    <row r="924" spans="1:15" x14ac:dyDescent="0.25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</row>
    <row r="925" spans="1:15" x14ac:dyDescent="0.25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</row>
    <row r="926" spans="1:15" x14ac:dyDescent="0.25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</row>
    <row r="927" spans="1:15" x14ac:dyDescent="0.25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</row>
    <row r="928" spans="1:15" x14ac:dyDescent="0.25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</row>
    <row r="929" spans="1:15" x14ac:dyDescent="0.25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</row>
    <row r="930" spans="1:15" x14ac:dyDescent="0.25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</row>
    <row r="931" spans="1:15" x14ac:dyDescent="0.25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</row>
    <row r="932" spans="1:15" x14ac:dyDescent="0.25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</row>
    <row r="933" spans="1:15" x14ac:dyDescent="0.25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</row>
    <row r="934" spans="1:15" x14ac:dyDescent="0.25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</row>
    <row r="935" spans="1:15" x14ac:dyDescent="0.25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</row>
    <row r="936" spans="1:15" x14ac:dyDescent="0.25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</row>
    <row r="937" spans="1:15" x14ac:dyDescent="0.25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</row>
    <row r="938" spans="1:15" x14ac:dyDescent="0.25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</row>
    <row r="939" spans="1:15" x14ac:dyDescent="0.25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</row>
    <row r="940" spans="1:15" x14ac:dyDescent="0.25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</row>
    <row r="941" spans="1:15" x14ac:dyDescent="0.25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</row>
    <row r="942" spans="1:15" x14ac:dyDescent="0.25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</row>
    <row r="943" spans="1:15" x14ac:dyDescent="0.25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</row>
    <row r="944" spans="1:15" x14ac:dyDescent="0.25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</row>
    <row r="945" spans="1:15" x14ac:dyDescent="0.25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</row>
    <row r="946" spans="1:15" x14ac:dyDescent="0.25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</row>
    <row r="947" spans="1:15" x14ac:dyDescent="0.25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</row>
    <row r="948" spans="1:15" x14ac:dyDescent="0.25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</row>
    <row r="949" spans="1:15" x14ac:dyDescent="0.25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</row>
    <row r="950" spans="1:15" x14ac:dyDescent="0.25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</row>
    <row r="951" spans="1:15" x14ac:dyDescent="0.25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</row>
    <row r="952" spans="1:15" x14ac:dyDescent="0.25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</row>
    <row r="953" spans="1:15" x14ac:dyDescent="0.25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</row>
    <row r="954" spans="1:15" x14ac:dyDescent="0.25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</row>
    <row r="955" spans="1:15" x14ac:dyDescent="0.25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</row>
    <row r="956" spans="1:15" x14ac:dyDescent="0.25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</row>
    <row r="957" spans="1:15" x14ac:dyDescent="0.25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</row>
    <row r="958" spans="1:15" x14ac:dyDescent="0.25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</row>
    <row r="959" spans="1:15" x14ac:dyDescent="0.25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</row>
    <row r="960" spans="1:15" x14ac:dyDescent="0.25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</row>
    <row r="961" spans="1:15" x14ac:dyDescent="0.25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</row>
    <row r="962" spans="1:15" x14ac:dyDescent="0.25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</row>
    <row r="963" spans="1:15" x14ac:dyDescent="0.25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</row>
    <row r="964" spans="1:15" x14ac:dyDescent="0.25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</row>
    <row r="965" spans="1:15" x14ac:dyDescent="0.25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</row>
    <row r="966" spans="1:15" x14ac:dyDescent="0.25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</row>
    <row r="967" spans="1:15" x14ac:dyDescent="0.25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</row>
    <row r="968" spans="1:15" x14ac:dyDescent="0.25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</row>
    <row r="969" spans="1:15" x14ac:dyDescent="0.25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</row>
    <row r="970" spans="1:15" x14ac:dyDescent="0.25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</row>
    <row r="971" spans="1:15" x14ac:dyDescent="0.25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</row>
    <row r="972" spans="1:15" x14ac:dyDescent="0.25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</row>
    <row r="973" spans="1:15" x14ac:dyDescent="0.25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</row>
    <row r="974" spans="1:15" x14ac:dyDescent="0.25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</row>
    <row r="975" spans="1:15" x14ac:dyDescent="0.25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</row>
    <row r="976" spans="1:15" x14ac:dyDescent="0.25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</row>
    <row r="977" spans="1:15" x14ac:dyDescent="0.25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</row>
    <row r="978" spans="1:15" x14ac:dyDescent="0.25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</row>
    <row r="979" spans="1:15" x14ac:dyDescent="0.25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</row>
    <row r="980" spans="1:15" x14ac:dyDescent="0.25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</row>
    <row r="981" spans="1:15" x14ac:dyDescent="0.25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</row>
    <row r="982" spans="1:15" x14ac:dyDescent="0.25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</row>
    <row r="983" spans="1:15" x14ac:dyDescent="0.25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</row>
    <row r="984" spans="1:15" x14ac:dyDescent="0.25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</row>
    <row r="985" spans="1:15" x14ac:dyDescent="0.25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</row>
    <row r="986" spans="1:15" x14ac:dyDescent="0.25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</row>
    <row r="987" spans="1:15" x14ac:dyDescent="0.25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</row>
    <row r="988" spans="1:15" x14ac:dyDescent="0.25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</row>
    <row r="989" spans="1:15" x14ac:dyDescent="0.25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</row>
    <row r="990" spans="1:15" x14ac:dyDescent="0.25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</row>
    <row r="991" spans="1:15" x14ac:dyDescent="0.25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</row>
    <row r="992" spans="1:15" x14ac:dyDescent="0.25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</row>
    <row r="993" spans="1:15" x14ac:dyDescent="0.25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</row>
    <row r="994" spans="1:15" x14ac:dyDescent="0.25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</row>
    <row r="995" spans="1:15" x14ac:dyDescent="0.25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</row>
    <row r="996" spans="1:15" x14ac:dyDescent="0.25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</row>
    <row r="997" spans="1:15" x14ac:dyDescent="0.25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</row>
    <row r="998" spans="1:15" x14ac:dyDescent="0.25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</row>
    <row r="999" spans="1:15" x14ac:dyDescent="0.25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</row>
    <row r="1000" spans="1:15" x14ac:dyDescent="0.25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</row>
    <row r="1001" spans="1:15" x14ac:dyDescent="0.25">
      <c r="A1001"/>
      <c r="B1001"/>
      <c r="C1001"/>
      <c r="D1001"/>
      <c r="E1001"/>
      <c r="F1001"/>
      <c r="G1001"/>
      <c r="H1001"/>
      <c r="I1001"/>
      <c r="J1001"/>
      <c r="K1001"/>
      <c r="L1001"/>
      <c r="M1001"/>
      <c r="N1001"/>
      <c r="O1001"/>
    </row>
    <row r="1002" spans="1:15" x14ac:dyDescent="0.25">
      <c r="A1002"/>
      <c r="B1002"/>
      <c r="C1002"/>
      <c r="D1002"/>
      <c r="E1002"/>
      <c r="F1002"/>
      <c r="G1002"/>
      <c r="H1002"/>
      <c r="I1002"/>
      <c r="J1002"/>
      <c r="K1002"/>
      <c r="L1002"/>
      <c r="M1002"/>
      <c r="N1002"/>
      <c r="O1002"/>
    </row>
    <row r="1003" spans="1:15" x14ac:dyDescent="0.25">
      <c r="A1003"/>
      <c r="B1003"/>
      <c r="C1003"/>
      <c r="D1003"/>
      <c r="E1003"/>
      <c r="F1003"/>
      <c r="G1003"/>
      <c r="H1003"/>
      <c r="I1003"/>
      <c r="J1003"/>
      <c r="K1003"/>
      <c r="L1003"/>
      <c r="M1003"/>
      <c r="N1003"/>
      <c r="O1003"/>
    </row>
    <row r="1004" spans="1:15" x14ac:dyDescent="0.25">
      <c r="A1004"/>
      <c r="B1004"/>
      <c r="C1004"/>
      <c r="D1004"/>
      <c r="E1004"/>
      <c r="F1004"/>
      <c r="G1004"/>
      <c r="H1004"/>
      <c r="I1004"/>
      <c r="J1004"/>
      <c r="K1004"/>
      <c r="L1004"/>
      <c r="M1004"/>
      <c r="N1004"/>
      <c r="O1004"/>
    </row>
    <row r="1005" spans="1:15" x14ac:dyDescent="0.25">
      <c r="A1005"/>
      <c r="B1005"/>
      <c r="C1005"/>
      <c r="D1005"/>
      <c r="E1005"/>
      <c r="F1005"/>
      <c r="G1005"/>
      <c r="H1005"/>
      <c r="I1005"/>
      <c r="J1005"/>
      <c r="K1005"/>
      <c r="L1005"/>
      <c r="M1005"/>
      <c r="N1005"/>
      <c r="O1005"/>
    </row>
    <row r="1006" spans="1:15" x14ac:dyDescent="0.25">
      <c r="A1006"/>
      <c r="B1006"/>
      <c r="C1006"/>
      <c r="D1006"/>
      <c r="E1006"/>
      <c r="F1006"/>
      <c r="G1006"/>
      <c r="H1006"/>
      <c r="I1006"/>
      <c r="J1006"/>
      <c r="K1006"/>
      <c r="L1006"/>
      <c r="M1006"/>
      <c r="N1006"/>
      <c r="O1006"/>
    </row>
    <row r="1007" spans="1:15" x14ac:dyDescent="0.25">
      <c r="A1007"/>
      <c r="B1007"/>
      <c r="C1007"/>
      <c r="D1007"/>
      <c r="E1007"/>
      <c r="F1007"/>
      <c r="G1007"/>
      <c r="H1007"/>
      <c r="I1007"/>
      <c r="J1007"/>
      <c r="K1007"/>
      <c r="L1007"/>
      <c r="M1007"/>
      <c r="N1007"/>
      <c r="O1007"/>
    </row>
    <row r="1008" spans="1:15" x14ac:dyDescent="0.25">
      <c r="A1008"/>
      <c r="B1008"/>
      <c r="C1008"/>
      <c r="D1008"/>
      <c r="E1008"/>
      <c r="F1008"/>
      <c r="G1008"/>
      <c r="H1008"/>
      <c r="I1008"/>
      <c r="J1008"/>
      <c r="K1008"/>
      <c r="L1008"/>
      <c r="M1008"/>
      <c r="N1008"/>
      <c r="O1008"/>
    </row>
    <row r="1009" spans="1:15" x14ac:dyDescent="0.25">
      <c r="A1009"/>
      <c r="B1009"/>
      <c r="C1009"/>
      <c r="D1009"/>
      <c r="E1009"/>
      <c r="F1009"/>
      <c r="G1009"/>
      <c r="H1009"/>
      <c r="I1009"/>
      <c r="J1009"/>
      <c r="K1009"/>
      <c r="L1009"/>
      <c r="M1009"/>
      <c r="N1009"/>
      <c r="O1009"/>
    </row>
    <row r="1010" spans="1:15" x14ac:dyDescent="0.25">
      <c r="A1010"/>
      <c r="B1010"/>
      <c r="C1010"/>
      <c r="D1010"/>
      <c r="E1010"/>
      <c r="F1010"/>
      <c r="G1010"/>
      <c r="H1010"/>
      <c r="I1010"/>
      <c r="J1010"/>
      <c r="K1010"/>
      <c r="L1010"/>
      <c r="M1010"/>
      <c r="N1010"/>
      <c r="O1010"/>
    </row>
    <row r="1011" spans="1:15" x14ac:dyDescent="0.25">
      <c r="A1011"/>
      <c r="B1011"/>
      <c r="C1011"/>
      <c r="D1011"/>
      <c r="E1011"/>
      <c r="F1011"/>
      <c r="G1011"/>
      <c r="H1011"/>
      <c r="I1011"/>
      <c r="J1011"/>
      <c r="K1011"/>
      <c r="L1011"/>
      <c r="M1011"/>
      <c r="N1011"/>
      <c r="O1011"/>
    </row>
    <row r="1012" spans="1:15" x14ac:dyDescent="0.25">
      <c r="A1012"/>
      <c r="B1012"/>
      <c r="C1012"/>
      <c r="D1012"/>
      <c r="E1012"/>
      <c r="F1012"/>
      <c r="G1012"/>
      <c r="H1012"/>
      <c r="I1012"/>
      <c r="J1012"/>
      <c r="K1012"/>
      <c r="L1012"/>
      <c r="M1012"/>
      <c r="N1012"/>
      <c r="O1012"/>
    </row>
    <row r="1013" spans="1:15" x14ac:dyDescent="0.25">
      <c r="A1013"/>
      <c r="B1013"/>
      <c r="C1013"/>
      <c r="D1013"/>
      <c r="E1013"/>
      <c r="F1013"/>
      <c r="G1013"/>
      <c r="H1013"/>
      <c r="I1013"/>
      <c r="J1013"/>
      <c r="K1013"/>
      <c r="L1013"/>
      <c r="M1013"/>
      <c r="N1013"/>
      <c r="O1013"/>
    </row>
    <row r="1014" spans="1:15" x14ac:dyDescent="0.25">
      <c r="A1014"/>
      <c r="B1014"/>
      <c r="C1014"/>
      <c r="D1014"/>
      <c r="E1014"/>
      <c r="F1014"/>
      <c r="G1014"/>
      <c r="H1014"/>
      <c r="I1014"/>
      <c r="J1014"/>
      <c r="K1014"/>
      <c r="L1014"/>
      <c r="M1014"/>
      <c r="N1014"/>
      <c r="O1014"/>
    </row>
    <row r="1015" spans="1:15" x14ac:dyDescent="0.25">
      <c r="A1015"/>
      <c r="B1015"/>
      <c r="C1015"/>
      <c r="D1015"/>
      <c r="E1015"/>
      <c r="F1015"/>
      <c r="G1015"/>
      <c r="H1015"/>
      <c r="I1015"/>
      <c r="J1015"/>
      <c r="K1015"/>
      <c r="L1015"/>
      <c r="M1015"/>
      <c r="N1015"/>
      <c r="O1015"/>
    </row>
    <row r="1016" spans="1:15" x14ac:dyDescent="0.25">
      <c r="A1016"/>
      <c r="B1016"/>
      <c r="C1016"/>
      <c r="D1016"/>
      <c r="E1016"/>
      <c r="F1016"/>
      <c r="G1016"/>
      <c r="H1016"/>
      <c r="I1016"/>
      <c r="J1016"/>
      <c r="K1016"/>
      <c r="L1016"/>
      <c r="M1016"/>
      <c r="N1016"/>
      <c r="O1016"/>
    </row>
    <row r="1017" spans="1:15" x14ac:dyDescent="0.25">
      <c r="A1017"/>
      <c r="B1017"/>
      <c r="C1017"/>
      <c r="D1017"/>
      <c r="E1017"/>
      <c r="F1017"/>
      <c r="G1017"/>
      <c r="H1017"/>
      <c r="I1017"/>
      <c r="J1017"/>
      <c r="K1017"/>
      <c r="L1017"/>
      <c r="M1017"/>
      <c r="N1017"/>
      <c r="O1017"/>
    </row>
    <row r="1018" spans="1:15" x14ac:dyDescent="0.25">
      <c r="A1018"/>
      <c r="B1018"/>
      <c r="C1018"/>
      <c r="D1018"/>
      <c r="E1018"/>
      <c r="F1018"/>
      <c r="G1018"/>
      <c r="H1018"/>
      <c r="I1018"/>
      <c r="J1018"/>
      <c r="K1018"/>
      <c r="L1018"/>
      <c r="M1018"/>
      <c r="N1018"/>
      <c r="O1018"/>
    </row>
    <row r="1019" spans="1:15" x14ac:dyDescent="0.25">
      <c r="A1019"/>
      <c r="B1019"/>
      <c r="C1019"/>
      <c r="D1019"/>
      <c r="E1019"/>
      <c r="F1019"/>
      <c r="G1019"/>
      <c r="H1019"/>
      <c r="I1019"/>
      <c r="J1019"/>
      <c r="K1019"/>
      <c r="L1019"/>
      <c r="M1019"/>
      <c r="N1019"/>
      <c r="O1019"/>
    </row>
    <row r="1020" spans="1:15" x14ac:dyDescent="0.25">
      <c r="A1020"/>
      <c r="B1020"/>
      <c r="C1020"/>
      <c r="D1020"/>
      <c r="E1020"/>
      <c r="F1020"/>
      <c r="G1020"/>
      <c r="H1020"/>
      <c r="I1020"/>
      <c r="J1020"/>
      <c r="K1020"/>
      <c r="L1020"/>
      <c r="M1020"/>
      <c r="N1020"/>
      <c r="O1020"/>
    </row>
    <row r="1021" spans="1:15" x14ac:dyDescent="0.25">
      <c r="A1021"/>
      <c r="B1021"/>
      <c r="C1021"/>
      <c r="D1021"/>
      <c r="E1021"/>
      <c r="F1021"/>
      <c r="G1021"/>
      <c r="H1021"/>
      <c r="I1021"/>
      <c r="J1021"/>
      <c r="K1021"/>
      <c r="L1021"/>
      <c r="M1021"/>
      <c r="N1021"/>
      <c r="O1021"/>
    </row>
    <row r="1022" spans="1:15" x14ac:dyDescent="0.25">
      <c r="A1022"/>
      <c r="B1022"/>
      <c r="C1022"/>
      <c r="D1022"/>
      <c r="E1022"/>
      <c r="F1022"/>
      <c r="G1022"/>
      <c r="H1022"/>
      <c r="I1022"/>
      <c r="J1022"/>
      <c r="K1022"/>
      <c r="L1022"/>
      <c r="M1022"/>
      <c r="N1022"/>
      <c r="O1022"/>
    </row>
    <row r="1023" spans="1:15" x14ac:dyDescent="0.25">
      <c r="A1023"/>
      <c r="B1023"/>
      <c r="C1023"/>
      <c r="D1023"/>
      <c r="E1023"/>
      <c r="F1023"/>
      <c r="G1023"/>
      <c r="H1023"/>
      <c r="I1023"/>
      <c r="J1023"/>
      <c r="K1023"/>
      <c r="L1023"/>
      <c r="M1023"/>
      <c r="N1023"/>
      <c r="O1023"/>
    </row>
    <row r="1024" spans="1:15" x14ac:dyDescent="0.25">
      <c r="A1024"/>
      <c r="B1024"/>
      <c r="C1024"/>
      <c r="D1024"/>
      <c r="E1024"/>
      <c r="F1024"/>
      <c r="G1024"/>
      <c r="H1024"/>
      <c r="I1024"/>
      <c r="J1024"/>
      <c r="K1024"/>
      <c r="L1024"/>
      <c r="M1024"/>
      <c r="N1024"/>
      <c r="O1024"/>
    </row>
    <row r="1025" spans="1:15" x14ac:dyDescent="0.25">
      <c r="A1025"/>
      <c r="B1025"/>
      <c r="C1025"/>
      <c r="D1025"/>
      <c r="E1025"/>
      <c r="F1025"/>
      <c r="G1025"/>
      <c r="H1025"/>
      <c r="I1025"/>
      <c r="J1025"/>
      <c r="K1025"/>
      <c r="L1025"/>
      <c r="M1025"/>
      <c r="N1025"/>
      <c r="O1025"/>
    </row>
    <row r="1026" spans="1:15" x14ac:dyDescent="0.25">
      <c r="A1026"/>
      <c r="B1026"/>
      <c r="C1026"/>
      <c r="D1026"/>
      <c r="E1026"/>
      <c r="F1026"/>
      <c r="G1026"/>
      <c r="H1026"/>
      <c r="I1026"/>
      <c r="J1026"/>
      <c r="K1026"/>
      <c r="L1026"/>
      <c r="M1026"/>
      <c r="N1026"/>
      <c r="O1026"/>
    </row>
    <row r="1027" spans="1:15" x14ac:dyDescent="0.25">
      <c r="A1027"/>
      <c r="B1027"/>
      <c r="C1027"/>
      <c r="D1027"/>
      <c r="E1027"/>
      <c r="F1027"/>
      <c r="G1027"/>
      <c r="H1027"/>
      <c r="I1027"/>
      <c r="J1027"/>
      <c r="K1027"/>
      <c r="L1027"/>
      <c r="M1027"/>
      <c r="N1027"/>
      <c r="O1027"/>
    </row>
    <row r="1028" spans="1:15" x14ac:dyDescent="0.25">
      <c r="A1028"/>
      <c r="B1028"/>
      <c r="C1028"/>
      <c r="D1028"/>
      <c r="E1028"/>
      <c r="F1028"/>
      <c r="G1028"/>
      <c r="H1028"/>
      <c r="I1028"/>
      <c r="J1028"/>
      <c r="K1028"/>
      <c r="L1028"/>
      <c r="M1028"/>
      <c r="N1028"/>
      <c r="O1028"/>
    </row>
    <row r="1029" spans="1:15" x14ac:dyDescent="0.25">
      <c r="A1029"/>
      <c r="B1029"/>
      <c r="C1029"/>
      <c r="D1029"/>
      <c r="E1029"/>
      <c r="F1029"/>
      <c r="G1029"/>
      <c r="H1029"/>
      <c r="I1029"/>
      <c r="J1029"/>
      <c r="K1029"/>
      <c r="L1029"/>
      <c r="M1029"/>
      <c r="N1029"/>
      <c r="O1029"/>
    </row>
    <row r="1030" spans="1:15" x14ac:dyDescent="0.25">
      <c r="A1030"/>
      <c r="B1030"/>
      <c r="C1030"/>
      <c r="D1030"/>
      <c r="E1030"/>
      <c r="F1030"/>
      <c r="G1030"/>
      <c r="H1030"/>
      <c r="I1030"/>
      <c r="J1030"/>
      <c r="K1030"/>
      <c r="L1030"/>
      <c r="M1030"/>
      <c r="N1030"/>
      <c r="O1030"/>
    </row>
    <row r="1031" spans="1:15" x14ac:dyDescent="0.25">
      <c r="A1031"/>
      <c r="B1031"/>
      <c r="C1031"/>
      <c r="D1031"/>
      <c r="E1031"/>
      <c r="F1031"/>
      <c r="G1031"/>
      <c r="H1031"/>
      <c r="I1031"/>
      <c r="J1031"/>
      <c r="K1031"/>
      <c r="L1031"/>
      <c r="M1031"/>
      <c r="N1031"/>
      <c r="O1031"/>
    </row>
    <row r="1032" spans="1:15" x14ac:dyDescent="0.25">
      <c r="A1032"/>
      <c r="B1032"/>
      <c r="C1032"/>
      <c r="D1032"/>
      <c r="E1032"/>
      <c r="F1032"/>
      <c r="G1032"/>
      <c r="H1032"/>
      <c r="I1032"/>
      <c r="J1032"/>
      <c r="K1032"/>
      <c r="L1032"/>
      <c r="M1032"/>
      <c r="N1032"/>
      <c r="O1032"/>
    </row>
    <row r="1033" spans="1:15" x14ac:dyDescent="0.25">
      <c r="A1033"/>
      <c r="B1033"/>
      <c r="C1033"/>
      <c r="D1033"/>
      <c r="E1033"/>
      <c r="F1033"/>
      <c r="G1033"/>
      <c r="H1033"/>
      <c r="I1033"/>
      <c r="J1033"/>
      <c r="K1033"/>
      <c r="L1033"/>
      <c r="M1033"/>
      <c r="N1033"/>
      <c r="O1033"/>
    </row>
    <row r="1034" spans="1:15" x14ac:dyDescent="0.25">
      <c r="A1034"/>
      <c r="B1034"/>
      <c r="C1034"/>
      <c r="D1034"/>
      <c r="E1034"/>
      <c r="F1034"/>
      <c r="G1034"/>
      <c r="H1034"/>
      <c r="I1034"/>
      <c r="J1034"/>
      <c r="K1034"/>
      <c r="L1034"/>
      <c r="M1034"/>
      <c r="N1034"/>
      <c r="O1034"/>
    </row>
    <row r="1035" spans="1:15" x14ac:dyDescent="0.25">
      <c r="A1035"/>
      <c r="B1035"/>
      <c r="C1035"/>
      <c r="D1035"/>
      <c r="E1035"/>
      <c r="F1035"/>
      <c r="G1035"/>
      <c r="H1035"/>
      <c r="I1035"/>
      <c r="J1035"/>
      <c r="K1035"/>
      <c r="L1035"/>
      <c r="M1035"/>
      <c r="N1035"/>
      <c r="O1035"/>
    </row>
    <row r="1036" spans="1:15" x14ac:dyDescent="0.25">
      <c r="A1036"/>
      <c r="B1036"/>
      <c r="C1036"/>
      <c r="D1036"/>
      <c r="E1036"/>
      <c r="F1036"/>
      <c r="G1036"/>
      <c r="H1036"/>
      <c r="I1036"/>
      <c r="J1036"/>
      <c r="K1036"/>
      <c r="L1036"/>
      <c r="M1036"/>
      <c r="N1036"/>
      <c r="O1036"/>
    </row>
    <row r="1037" spans="1:15" x14ac:dyDescent="0.25">
      <c r="A1037"/>
      <c r="B1037"/>
      <c r="C1037"/>
      <c r="D1037"/>
      <c r="E1037"/>
      <c r="F1037"/>
      <c r="G1037"/>
      <c r="H1037"/>
      <c r="I1037"/>
      <c r="J1037"/>
      <c r="K1037"/>
      <c r="L1037"/>
      <c r="M1037"/>
      <c r="N1037"/>
      <c r="O1037"/>
    </row>
    <row r="1038" spans="1:15" x14ac:dyDescent="0.25">
      <c r="A1038"/>
      <c r="B1038"/>
      <c r="C1038"/>
      <c r="D1038"/>
      <c r="E1038"/>
      <c r="F1038"/>
      <c r="G1038"/>
      <c r="H1038"/>
      <c r="I1038"/>
      <c r="J1038"/>
      <c r="K1038"/>
      <c r="L1038"/>
      <c r="M1038"/>
      <c r="N1038"/>
      <c r="O1038"/>
    </row>
    <row r="1039" spans="1:15" x14ac:dyDescent="0.25">
      <c r="A1039"/>
      <c r="B1039"/>
      <c r="C1039"/>
      <c r="D1039"/>
      <c r="E1039"/>
      <c r="F1039"/>
      <c r="G1039"/>
      <c r="H1039"/>
      <c r="I1039"/>
      <c r="J1039"/>
      <c r="K1039"/>
      <c r="L1039"/>
      <c r="M1039"/>
      <c r="N1039"/>
      <c r="O1039"/>
    </row>
    <row r="1040" spans="1:15" x14ac:dyDescent="0.25">
      <c r="A1040"/>
      <c r="B1040"/>
      <c r="C1040"/>
      <c r="D1040"/>
      <c r="E1040"/>
      <c r="F1040"/>
      <c r="G1040"/>
      <c r="H1040"/>
      <c r="I1040"/>
      <c r="J1040"/>
      <c r="K1040"/>
      <c r="L1040"/>
      <c r="M1040"/>
      <c r="N1040"/>
      <c r="O1040"/>
    </row>
    <row r="1041" spans="1:15" x14ac:dyDescent="0.25">
      <c r="A1041"/>
      <c r="B1041"/>
      <c r="C1041"/>
      <c r="D1041"/>
      <c r="E1041"/>
      <c r="F1041"/>
      <c r="G1041"/>
      <c r="H1041"/>
      <c r="I1041"/>
      <c r="J1041"/>
      <c r="K1041"/>
      <c r="L1041"/>
      <c r="M1041"/>
      <c r="N1041"/>
      <c r="O1041"/>
    </row>
    <row r="1042" spans="1:15" x14ac:dyDescent="0.25">
      <c r="A1042"/>
      <c r="B1042"/>
      <c r="C1042"/>
      <c r="D1042"/>
      <c r="E1042"/>
      <c r="F1042"/>
      <c r="G1042"/>
      <c r="H1042"/>
      <c r="I1042"/>
      <c r="J1042"/>
      <c r="K1042"/>
      <c r="L1042"/>
      <c r="M1042"/>
      <c r="N1042"/>
      <c r="O1042"/>
    </row>
    <row r="1043" spans="1:15" x14ac:dyDescent="0.25">
      <c r="A1043"/>
      <c r="B1043"/>
      <c r="C1043"/>
      <c r="D1043"/>
      <c r="E1043"/>
      <c r="F1043"/>
      <c r="G1043"/>
      <c r="H1043"/>
      <c r="I1043"/>
      <c r="J1043"/>
      <c r="K1043"/>
      <c r="L1043"/>
      <c r="M1043"/>
      <c r="N1043"/>
      <c r="O1043"/>
    </row>
    <row r="1044" spans="1:15" x14ac:dyDescent="0.25">
      <c r="A1044"/>
      <c r="B1044"/>
      <c r="C1044"/>
      <c r="D1044"/>
      <c r="E1044"/>
      <c r="F1044"/>
      <c r="G1044"/>
      <c r="H1044"/>
      <c r="I1044"/>
      <c r="J1044"/>
      <c r="K1044"/>
      <c r="L1044"/>
      <c r="M1044"/>
      <c r="N1044"/>
      <c r="O1044"/>
    </row>
    <row r="1045" spans="1:15" x14ac:dyDescent="0.25">
      <c r="A1045"/>
      <c r="B1045"/>
      <c r="C1045"/>
      <c r="D1045"/>
      <c r="E1045"/>
      <c r="F1045"/>
      <c r="G1045"/>
      <c r="H1045"/>
      <c r="I1045"/>
      <c r="J1045"/>
      <c r="K1045"/>
      <c r="L1045"/>
      <c r="M1045"/>
      <c r="N1045"/>
      <c r="O1045"/>
    </row>
    <row r="1046" spans="1:15" x14ac:dyDescent="0.25">
      <c r="A1046"/>
      <c r="B1046"/>
      <c r="C1046"/>
      <c r="D1046"/>
      <c r="E1046"/>
      <c r="F1046"/>
      <c r="G1046"/>
      <c r="H1046"/>
      <c r="I1046"/>
      <c r="J1046"/>
      <c r="K1046"/>
      <c r="L1046"/>
      <c r="M1046"/>
      <c r="N1046"/>
      <c r="O1046"/>
    </row>
    <row r="1047" spans="1:15" x14ac:dyDescent="0.25">
      <c r="A1047"/>
      <c r="B1047"/>
      <c r="C1047"/>
      <c r="D1047"/>
      <c r="E1047"/>
      <c r="F1047"/>
      <c r="G1047"/>
      <c r="H1047"/>
      <c r="I1047"/>
      <c r="J1047"/>
      <c r="K1047"/>
      <c r="L1047"/>
      <c r="M1047"/>
      <c r="N1047"/>
      <c r="O1047"/>
    </row>
    <row r="1048" spans="1:15" x14ac:dyDescent="0.25">
      <c r="A1048"/>
      <c r="B1048"/>
      <c r="C1048"/>
      <c r="D1048"/>
      <c r="E1048"/>
      <c r="F1048"/>
      <c r="G1048"/>
      <c r="H1048"/>
      <c r="I1048"/>
      <c r="J1048"/>
      <c r="K1048"/>
      <c r="L1048"/>
      <c r="M1048"/>
      <c r="N1048"/>
      <c r="O1048"/>
    </row>
    <row r="1049" spans="1:15" x14ac:dyDescent="0.25">
      <c r="A1049"/>
      <c r="B1049"/>
      <c r="C1049"/>
      <c r="D1049"/>
      <c r="E1049"/>
      <c r="F1049"/>
      <c r="G1049"/>
      <c r="H1049"/>
      <c r="I1049"/>
      <c r="J1049"/>
      <c r="K1049"/>
      <c r="L1049"/>
      <c r="M1049"/>
      <c r="N1049"/>
      <c r="O1049"/>
    </row>
    <row r="1050" spans="1:15" x14ac:dyDescent="0.25">
      <c r="A1050"/>
      <c r="B1050"/>
      <c r="C1050"/>
      <c r="D1050"/>
      <c r="E1050"/>
      <c r="F1050"/>
      <c r="G1050"/>
      <c r="H1050"/>
      <c r="I1050"/>
      <c r="J1050"/>
      <c r="K1050"/>
      <c r="L1050"/>
      <c r="M1050"/>
      <c r="N1050"/>
      <c r="O1050"/>
    </row>
    <row r="1051" spans="1:15" x14ac:dyDescent="0.25">
      <c r="A1051"/>
      <c r="B1051"/>
      <c r="C1051"/>
      <c r="D1051"/>
      <c r="E1051"/>
      <c r="F1051"/>
      <c r="G1051"/>
      <c r="H1051"/>
      <c r="I1051"/>
      <c r="J1051"/>
      <c r="K1051"/>
      <c r="L1051"/>
      <c r="M1051"/>
      <c r="N1051"/>
      <c r="O1051"/>
    </row>
    <row r="1052" spans="1:15" x14ac:dyDescent="0.25">
      <c r="A1052"/>
      <c r="B1052"/>
      <c r="C1052"/>
      <c r="D1052"/>
      <c r="E1052"/>
      <c r="F1052"/>
      <c r="G1052"/>
      <c r="H1052"/>
      <c r="I1052"/>
      <c r="J1052"/>
      <c r="K1052"/>
      <c r="L1052"/>
      <c r="M1052"/>
      <c r="N1052"/>
      <c r="O1052"/>
    </row>
    <row r="1053" spans="1:15" x14ac:dyDescent="0.25">
      <c r="A1053"/>
      <c r="B1053"/>
      <c r="C1053"/>
      <c r="D1053"/>
      <c r="E1053"/>
      <c r="F1053"/>
      <c r="G1053"/>
      <c r="H1053"/>
      <c r="I1053"/>
      <c r="J1053"/>
      <c r="K1053"/>
      <c r="L1053"/>
      <c r="M1053"/>
      <c r="N1053"/>
      <c r="O1053"/>
    </row>
    <row r="1054" spans="1:15" x14ac:dyDescent="0.25">
      <c r="A1054"/>
      <c r="B1054"/>
      <c r="C1054"/>
      <c r="D1054"/>
      <c r="E1054"/>
      <c r="F1054"/>
      <c r="G1054"/>
      <c r="H1054"/>
      <c r="I1054"/>
      <c r="J1054"/>
      <c r="K1054"/>
      <c r="L1054"/>
      <c r="M1054"/>
      <c r="N1054"/>
      <c r="O1054"/>
    </row>
    <row r="1055" spans="1:15" x14ac:dyDescent="0.25">
      <c r="A1055"/>
      <c r="B1055"/>
      <c r="C1055"/>
      <c r="D1055"/>
      <c r="E1055"/>
      <c r="F1055"/>
      <c r="G1055"/>
      <c r="H1055"/>
      <c r="I1055"/>
      <c r="J1055"/>
      <c r="K1055"/>
      <c r="L1055"/>
      <c r="M1055"/>
      <c r="N1055"/>
      <c r="O1055"/>
    </row>
    <row r="1056" spans="1:15" x14ac:dyDescent="0.25">
      <c r="A1056"/>
      <c r="B1056"/>
      <c r="C1056"/>
      <c r="D1056"/>
      <c r="E1056"/>
      <c r="F1056"/>
      <c r="G1056"/>
      <c r="H1056"/>
      <c r="I1056"/>
      <c r="J1056"/>
      <c r="K1056"/>
      <c r="L1056"/>
      <c r="M1056"/>
      <c r="N1056"/>
      <c r="O1056"/>
    </row>
    <row r="1057" spans="1:15" x14ac:dyDescent="0.25">
      <c r="A1057"/>
      <c r="B1057"/>
      <c r="C1057"/>
      <c r="D1057"/>
      <c r="E1057"/>
      <c r="F1057"/>
      <c r="G1057"/>
      <c r="H1057"/>
      <c r="I1057"/>
      <c r="J1057"/>
      <c r="K1057"/>
      <c r="L1057"/>
      <c r="M1057"/>
      <c r="N1057"/>
      <c r="O1057"/>
    </row>
    <row r="1058" spans="1:15" x14ac:dyDescent="0.25">
      <c r="A1058"/>
      <c r="B1058"/>
      <c r="C1058"/>
      <c r="D1058"/>
      <c r="E1058"/>
      <c r="F1058"/>
      <c r="G1058"/>
      <c r="H1058"/>
      <c r="I1058"/>
      <c r="J1058"/>
      <c r="K1058"/>
      <c r="L1058"/>
      <c r="M1058"/>
      <c r="N1058"/>
      <c r="O1058"/>
    </row>
    <row r="1059" spans="1:15" x14ac:dyDescent="0.25">
      <c r="A1059"/>
      <c r="B1059"/>
      <c r="C1059"/>
      <c r="D1059"/>
      <c r="E1059"/>
      <c r="F1059"/>
      <c r="G1059"/>
      <c r="H1059"/>
      <c r="I1059"/>
      <c r="J1059"/>
      <c r="K1059"/>
      <c r="L1059"/>
      <c r="M1059"/>
      <c r="N1059"/>
      <c r="O1059"/>
    </row>
    <row r="1060" spans="1:15" x14ac:dyDescent="0.25">
      <c r="A1060"/>
      <c r="B1060"/>
      <c r="C1060"/>
      <c r="D1060"/>
      <c r="E1060"/>
      <c r="F1060"/>
      <c r="G1060"/>
      <c r="H1060"/>
      <c r="I1060"/>
      <c r="J1060"/>
      <c r="K1060"/>
      <c r="L1060"/>
      <c r="M1060"/>
      <c r="N1060"/>
      <c r="O1060"/>
    </row>
    <row r="1061" spans="1:15" x14ac:dyDescent="0.25">
      <c r="A1061"/>
      <c r="B1061"/>
      <c r="C1061"/>
      <c r="D1061"/>
      <c r="E1061"/>
      <c r="F1061"/>
      <c r="G1061"/>
      <c r="H1061"/>
      <c r="I1061"/>
      <c r="J1061"/>
      <c r="K1061"/>
      <c r="L1061"/>
      <c r="M1061"/>
      <c r="N1061"/>
      <c r="O1061"/>
    </row>
    <row r="1062" spans="1:15" x14ac:dyDescent="0.25">
      <c r="A1062"/>
      <c r="B1062"/>
      <c r="C1062"/>
      <c r="D1062"/>
      <c r="E1062"/>
      <c r="F1062"/>
      <c r="G1062"/>
      <c r="H1062"/>
      <c r="I1062"/>
      <c r="J1062"/>
      <c r="K1062"/>
      <c r="L1062"/>
      <c r="M1062"/>
      <c r="N1062"/>
      <c r="O1062"/>
    </row>
    <row r="1063" spans="1:15" x14ac:dyDescent="0.25">
      <c r="A1063"/>
      <c r="B1063"/>
      <c r="C1063"/>
      <c r="D1063"/>
      <c r="E1063"/>
      <c r="F1063"/>
      <c r="G1063"/>
      <c r="H1063"/>
      <c r="I1063"/>
      <c r="J1063"/>
      <c r="K1063"/>
      <c r="L1063"/>
      <c r="M1063"/>
      <c r="N1063"/>
      <c r="O1063"/>
    </row>
    <row r="1064" spans="1:15" x14ac:dyDescent="0.25">
      <c r="A1064"/>
      <c r="B1064"/>
      <c r="C1064"/>
      <c r="D1064"/>
      <c r="E1064"/>
      <c r="F1064"/>
      <c r="G1064"/>
      <c r="H1064"/>
      <c r="I1064"/>
      <c r="J1064"/>
      <c r="K1064"/>
      <c r="L1064"/>
      <c r="M1064"/>
      <c r="N1064"/>
      <c r="O1064"/>
    </row>
    <row r="1065" spans="1:15" x14ac:dyDescent="0.25">
      <c r="A1065"/>
      <c r="B1065"/>
      <c r="C1065"/>
      <c r="D1065"/>
      <c r="E1065"/>
      <c r="F1065"/>
      <c r="G1065"/>
      <c r="H1065"/>
      <c r="I1065"/>
      <c r="J1065"/>
      <c r="K1065"/>
      <c r="L1065"/>
      <c r="M1065"/>
      <c r="N1065"/>
      <c r="O1065"/>
    </row>
    <row r="1066" spans="1:15" x14ac:dyDescent="0.25">
      <c r="A1066"/>
      <c r="B1066"/>
      <c r="C1066"/>
      <c r="D1066"/>
      <c r="E1066"/>
      <c r="F1066"/>
      <c r="G1066"/>
      <c r="H1066"/>
      <c r="I1066"/>
      <c r="J1066"/>
      <c r="K1066"/>
      <c r="L1066"/>
      <c r="M1066"/>
      <c r="N1066"/>
      <c r="O1066"/>
    </row>
    <row r="1067" spans="1:15" x14ac:dyDescent="0.25">
      <c r="A1067"/>
      <c r="B1067"/>
      <c r="C1067"/>
      <c r="D1067"/>
      <c r="E1067"/>
      <c r="F1067"/>
      <c r="G1067"/>
      <c r="H1067"/>
      <c r="I1067"/>
      <c r="J1067"/>
      <c r="K1067"/>
      <c r="L1067"/>
      <c r="M1067"/>
      <c r="N1067"/>
      <c r="O1067"/>
    </row>
    <row r="1068" spans="1:15" x14ac:dyDescent="0.25">
      <c r="A1068"/>
      <c r="B1068"/>
      <c r="C1068"/>
      <c r="D1068"/>
      <c r="E1068"/>
      <c r="F1068"/>
      <c r="G1068"/>
      <c r="H1068"/>
      <c r="I1068"/>
      <c r="J1068"/>
      <c r="K1068"/>
      <c r="L1068"/>
      <c r="M1068"/>
      <c r="N1068"/>
      <c r="O1068"/>
    </row>
    <row r="1069" spans="1:15" x14ac:dyDescent="0.25">
      <c r="A1069"/>
      <c r="B1069"/>
      <c r="C1069"/>
      <c r="D1069"/>
      <c r="E1069"/>
      <c r="F1069"/>
      <c r="G1069"/>
      <c r="H1069"/>
      <c r="I1069"/>
      <c r="J1069"/>
      <c r="K1069"/>
      <c r="L1069"/>
      <c r="M1069"/>
      <c r="N1069"/>
      <c r="O1069"/>
    </row>
    <row r="1070" spans="1:15" x14ac:dyDescent="0.25">
      <c r="A1070"/>
      <c r="B1070"/>
      <c r="C1070"/>
      <c r="D1070"/>
      <c r="E1070"/>
      <c r="F1070"/>
      <c r="G1070"/>
      <c r="H1070"/>
      <c r="I1070"/>
      <c r="J1070"/>
      <c r="K1070"/>
      <c r="L1070"/>
      <c r="M1070"/>
      <c r="N1070"/>
      <c r="O1070"/>
    </row>
    <row r="1071" spans="1:15" x14ac:dyDescent="0.25">
      <c r="A1071"/>
      <c r="B1071"/>
      <c r="C1071"/>
      <c r="D1071"/>
      <c r="E1071"/>
      <c r="F1071"/>
      <c r="G1071"/>
      <c r="H1071"/>
      <c r="I1071"/>
      <c r="J1071"/>
      <c r="K1071"/>
      <c r="L1071"/>
      <c r="M1071"/>
      <c r="N1071"/>
      <c r="O1071"/>
    </row>
    <row r="1072" spans="1:15" x14ac:dyDescent="0.25">
      <c r="A1072"/>
      <c r="B1072"/>
      <c r="C1072"/>
      <c r="D1072"/>
      <c r="E1072"/>
      <c r="F1072"/>
      <c r="G1072"/>
      <c r="H1072"/>
      <c r="I1072"/>
      <c r="J1072"/>
      <c r="K1072"/>
      <c r="L1072"/>
      <c r="M1072"/>
      <c r="N1072"/>
      <c r="O1072"/>
    </row>
    <row r="1073" spans="1:15" x14ac:dyDescent="0.25">
      <c r="A1073"/>
      <c r="B1073"/>
      <c r="C1073"/>
      <c r="D1073"/>
      <c r="E1073"/>
      <c r="F1073"/>
      <c r="G1073"/>
      <c r="H1073"/>
      <c r="I1073"/>
      <c r="J1073"/>
      <c r="K1073"/>
      <c r="L1073"/>
      <c r="M1073"/>
      <c r="N1073"/>
      <c r="O1073"/>
    </row>
    <row r="1074" spans="1:15" x14ac:dyDescent="0.25">
      <c r="A1074"/>
      <c r="B1074"/>
      <c r="C1074"/>
      <c r="D1074"/>
      <c r="E1074"/>
      <c r="F1074"/>
      <c r="G1074"/>
      <c r="H1074"/>
      <c r="I1074"/>
      <c r="J1074"/>
      <c r="K1074"/>
      <c r="L1074"/>
      <c r="M1074"/>
      <c r="N1074"/>
      <c r="O1074"/>
    </row>
    <row r="1075" spans="1:15" x14ac:dyDescent="0.25">
      <c r="A1075"/>
      <c r="B1075"/>
      <c r="C1075"/>
      <c r="D1075"/>
      <c r="E1075"/>
      <c r="F1075"/>
      <c r="G1075"/>
      <c r="H1075"/>
      <c r="I1075"/>
      <c r="J1075"/>
      <c r="K1075"/>
      <c r="L1075"/>
      <c r="M1075"/>
      <c r="N1075"/>
      <c r="O1075"/>
    </row>
    <row r="1076" spans="1:15" x14ac:dyDescent="0.25">
      <c r="A1076"/>
      <c r="B1076"/>
      <c r="C1076"/>
      <c r="D1076"/>
      <c r="E1076"/>
      <c r="F1076"/>
      <c r="G1076"/>
      <c r="H1076"/>
      <c r="I1076"/>
      <c r="J1076"/>
      <c r="K1076"/>
      <c r="L1076"/>
      <c r="M1076"/>
      <c r="N1076"/>
      <c r="O1076"/>
    </row>
    <row r="1077" spans="1:15" x14ac:dyDescent="0.25">
      <c r="A1077"/>
      <c r="B1077"/>
      <c r="C1077"/>
      <c r="D1077"/>
      <c r="E1077"/>
      <c r="F1077"/>
      <c r="G1077"/>
      <c r="H1077"/>
      <c r="I1077"/>
      <c r="J1077"/>
      <c r="K1077"/>
      <c r="L1077"/>
      <c r="M1077"/>
      <c r="N1077"/>
      <c r="O1077"/>
    </row>
    <row r="1078" spans="1:15" x14ac:dyDescent="0.25">
      <c r="A1078"/>
      <c r="B1078"/>
      <c r="C1078"/>
      <c r="D1078"/>
      <c r="E1078"/>
      <c r="F1078"/>
      <c r="G1078"/>
      <c r="H1078"/>
      <c r="I1078"/>
      <c r="J1078"/>
      <c r="K1078"/>
      <c r="L1078"/>
      <c r="M1078"/>
      <c r="N1078"/>
      <c r="O1078"/>
    </row>
    <row r="1079" spans="1:15" x14ac:dyDescent="0.25">
      <c r="A1079"/>
      <c r="B1079"/>
      <c r="C1079"/>
      <c r="D1079"/>
      <c r="E1079"/>
      <c r="F1079"/>
      <c r="G1079"/>
      <c r="H1079"/>
      <c r="I1079"/>
      <c r="J1079"/>
      <c r="K1079"/>
      <c r="L1079"/>
      <c r="M1079"/>
      <c r="N1079"/>
      <c r="O1079"/>
    </row>
    <row r="1080" spans="1:15" x14ac:dyDescent="0.25">
      <c r="A1080"/>
      <c r="B1080"/>
      <c r="C1080"/>
      <c r="D1080"/>
      <c r="E1080"/>
      <c r="F1080"/>
      <c r="G1080"/>
      <c r="H1080"/>
      <c r="I1080"/>
      <c r="J1080"/>
      <c r="K1080"/>
      <c r="L1080"/>
      <c r="M1080"/>
      <c r="N1080"/>
      <c r="O1080"/>
    </row>
    <row r="1081" spans="1:15" x14ac:dyDescent="0.25">
      <c r="A1081"/>
      <c r="B1081"/>
      <c r="C1081"/>
      <c r="D1081"/>
      <c r="E1081"/>
      <c r="F1081"/>
      <c r="G1081"/>
      <c r="H1081"/>
      <c r="I1081"/>
      <c r="J1081"/>
      <c r="K1081"/>
      <c r="L1081"/>
      <c r="M1081"/>
      <c r="N1081"/>
      <c r="O1081"/>
    </row>
    <row r="1082" spans="1:15" x14ac:dyDescent="0.25">
      <c r="A1082"/>
      <c r="B1082"/>
      <c r="C1082"/>
      <c r="D1082"/>
      <c r="E1082"/>
      <c r="F1082"/>
      <c r="G1082"/>
      <c r="H1082"/>
      <c r="I1082"/>
      <c r="J1082"/>
      <c r="K1082"/>
      <c r="L1082"/>
      <c r="M1082"/>
      <c r="N1082"/>
      <c r="O1082"/>
    </row>
    <row r="1083" spans="1:15" x14ac:dyDescent="0.25">
      <c r="A1083"/>
      <c r="B1083"/>
      <c r="C1083"/>
      <c r="D1083"/>
      <c r="E1083"/>
      <c r="F1083"/>
      <c r="G1083"/>
      <c r="H1083"/>
      <c r="I1083"/>
      <c r="J1083"/>
      <c r="K1083"/>
      <c r="L1083"/>
      <c r="M1083"/>
      <c r="N1083"/>
      <c r="O1083"/>
    </row>
    <row r="1084" spans="1:15" x14ac:dyDescent="0.25">
      <c r="A1084"/>
      <c r="B1084"/>
      <c r="C1084"/>
      <c r="D1084"/>
      <c r="E1084"/>
      <c r="F1084"/>
      <c r="G1084"/>
      <c r="H1084"/>
      <c r="I1084"/>
      <c r="J1084"/>
      <c r="K1084"/>
      <c r="L1084"/>
      <c r="M1084"/>
      <c r="N1084"/>
      <c r="O1084"/>
    </row>
    <row r="1085" spans="1:15" x14ac:dyDescent="0.25">
      <c r="A1085"/>
      <c r="B1085"/>
      <c r="C1085"/>
      <c r="D1085"/>
      <c r="E1085"/>
      <c r="F1085"/>
      <c r="G1085"/>
      <c r="H1085"/>
      <c r="I1085"/>
      <c r="J1085"/>
      <c r="K1085"/>
      <c r="L1085"/>
      <c r="M1085"/>
      <c r="N1085"/>
      <c r="O1085"/>
    </row>
    <row r="1086" spans="1:15" x14ac:dyDescent="0.25">
      <c r="A1086"/>
      <c r="B1086"/>
      <c r="C1086"/>
      <c r="D1086"/>
      <c r="E1086"/>
      <c r="F1086"/>
      <c r="G1086"/>
      <c r="H1086"/>
      <c r="I1086"/>
      <c r="J1086"/>
      <c r="K1086"/>
      <c r="L1086"/>
      <c r="M1086"/>
      <c r="N1086"/>
      <c r="O1086"/>
    </row>
    <row r="1087" spans="1:15" x14ac:dyDescent="0.25">
      <c r="A1087"/>
      <c r="B1087"/>
      <c r="C1087"/>
      <c r="D1087"/>
      <c r="E1087"/>
      <c r="F1087"/>
      <c r="G1087"/>
      <c r="H1087"/>
      <c r="I1087"/>
      <c r="J1087"/>
      <c r="K1087"/>
      <c r="L1087"/>
      <c r="M1087"/>
      <c r="N1087"/>
      <c r="O1087"/>
    </row>
    <row r="1088" spans="1:15" x14ac:dyDescent="0.25">
      <c r="A1088"/>
      <c r="B1088"/>
      <c r="C1088"/>
      <c r="D1088"/>
      <c r="E1088"/>
      <c r="F1088"/>
      <c r="G1088"/>
      <c r="H1088"/>
      <c r="I1088"/>
      <c r="J1088"/>
      <c r="K1088"/>
      <c r="L1088"/>
      <c r="M1088"/>
      <c r="N1088"/>
      <c r="O1088"/>
    </row>
    <row r="1089" spans="1:15" x14ac:dyDescent="0.25">
      <c r="A1089"/>
      <c r="B1089"/>
      <c r="C1089"/>
      <c r="D1089"/>
      <c r="E1089"/>
      <c r="F1089"/>
      <c r="G1089"/>
      <c r="H1089"/>
      <c r="I1089"/>
      <c r="J1089"/>
      <c r="K1089"/>
      <c r="L1089"/>
      <c r="M1089"/>
      <c r="N1089"/>
      <c r="O1089"/>
    </row>
    <row r="1090" spans="1:15" x14ac:dyDescent="0.25">
      <c r="A1090"/>
      <c r="B1090"/>
      <c r="C1090"/>
      <c r="D1090"/>
      <c r="E1090"/>
      <c r="F1090"/>
      <c r="G1090"/>
      <c r="H1090"/>
      <c r="I1090"/>
      <c r="J1090"/>
      <c r="K1090"/>
      <c r="L1090"/>
      <c r="M1090"/>
      <c r="N1090"/>
      <c r="O1090"/>
    </row>
    <row r="1091" spans="1:15" x14ac:dyDescent="0.25">
      <c r="A1091"/>
      <c r="B1091"/>
      <c r="C1091"/>
      <c r="D1091"/>
      <c r="E1091"/>
      <c r="F1091"/>
      <c r="G1091"/>
      <c r="H1091"/>
      <c r="I1091"/>
      <c r="J1091"/>
      <c r="K1091"/>
      <c r="L1091"/>
      <c r="M1091"/>
      <c r="N1091"/>
      <c r="O1091"/>
    </row>
    <row r="1092" spans="1:15" x14ac:dyDescent="0.25">
      <c r="A1092"/>
      <c r="B1092"/>
      <c r="C1092"/>
      <c r="D1092"/>
      <c r="E1092"/>
      <c r="F1092"/>
      <c r="G1092"/>
      <c r="H1092"/>
      <c r="I1092"/>
      <c r="J1092"/>
      <c r="K1092"/>
      <c r="L1092"/>
      <c r="M1092"/>
      <c r="N1092"/>
      <c r="O1092"/>
    </row>
    <row r="1093" spans="1:15" x14ac:dyDescent="0.25">
      <c r="A1093"/>
      <c r="B1093"/>
      <c r="C1093"/>
      <c r="D1093"/>
      <c r="E1093"/>
      <c r="F1093"/>
      <c r="G1093"/>
      <c r="H1093"/>
      <c r="I1093"/>
      <c r="J1093"/>
      <c r="K1093"/>
      <c r="L1093"/>
      <c r="M1093"/>
      <c r="N1093"/>
      <c r="O1093"/>
    </row>
    <row r="1094" spans="1:15" x14ac:dyDescent="0.25">
      <c r="A1094"/>
      <c r="B1094"/>
      <c r="C1094"/>
      <c r="D1094"/>
      <c r="E1094"/>
      <c r="F1094"/>
      <c r="G1094"/>
      <c r="H1094"/>
      <c r="I1094"/>
      <c r="J1094"/>
      <c r="K1094"/>
      <c r="L1094"/>
      <c r="M1094"/>
      <c r="N1094"/>
      <c r="O1094"/>
    </row>
    <row r="1095" spans="1:15" x14ac:dyDescent="0.25">
      <c r="A1095"/>
      <c r="B1095"/>
      <c r="C1095"/>
      <c r="D1095"/>
      <c r="E1095"/>
      <c r="F1095"/>
      <c r="G1095"/>
      <c r="H1095"/>
      <c r="I1095"/>
      <c r="J1095"/>
      <c r="K1095"/>
      <c r="L1095"/>
      <c r="M1095"/>
      <c r="N1095"/>
      <c r="O1095"/>
    </row>
    <row r="1096" spans="1:15" x14ac:dyDescent="0.25">
      <c r="A1096"/>
      <c r="B1096"/>
      <c r="C1096"/>
      <c r="D1096"/>
      <c r="E1096"/>
      <c r="F1096"/>
      <c r="G1096"/>
      <c r="H1096"/>
      <c r="I1096"/>
      <c r="J1096"/>
      <c r="K1096"/>
      <c r="L1096"/>
      <c r="M1096"/>
      <c r="N1096"/>
      <c r="O1096"/>
    </row>
    <row r="1097" spans="1:15" x14ac:dyDescent="0.25">
      <c r="A1097"/>
      <c r="B1097"/>
      <c r="C1097"/>
      <c r="D1097"/>
      <c r="E1097"/>
      <c r="F1097"/>
      <c r="G1097"/>
      <c r="H1097"/>
      <c r="I1097"/>
      <c r="J1097"/>
      <c r="K1097"/>
      <c r="L1097"/>
      <c r="M1097"/>
      <c r="N1097"/>
      <c r="O1097"/>
    </row>
    <row r="1098" spans="1:15" x14ac:dyDescent="0.25">
      <c r="A1098"/>
      <c r="B1098"/>
      <c r="C1098"/>
      <c r="D1098"/>
      <c r="E1098"/>
      <c r="F1098"/>
      <c r="G1098"/>
      <c r="H1098"/>
      <c r="I1098"/>
      <c r="J1098"/>
      <c r="K1098"/>
      <c r="L1098"/>
      <c r="M1098"/>
      <c r="N1098"/>
      <c r="O1098"/>
    </row>
    <row r="1099" spans="1:15" x14ac:dyDescent="0.25">
      <c r="A1099"/>
      <c r="B1099"/>
      <c r="C1099"/>
      <c r="D1099"/>
      <c r="E1099"/>
      <c r="F1099"/>
      <c r="G1099"/>
      <c r="H1099"/>
      <c r="I1099"/>
      <c r="J1099"/>
      <c r="K1099"/>
      <c r="L1099"/>
      <c r="M1099"/>
      <c r="N1099"/>
      <c r="O1099"/>
    </row>
    <row r="1100" spans="1:15" x14ac:dyDescent="0.25">
      <c r="A1100"/>
      <c r="B1100"/>
      <c r="C1100"/>
      <c r="D1100"/>
      <c r="E1100"/>
      <c r="F1100"/>
      <c r="G1100"/>
      <c r="H1100"/>
      <c r="I1100"/>
      <c r="J1100"/>
      <c r="K1100"/>
      <c r="L1100"/>
      <c r="M1100"/>
      <c r="N1100"/>
      <c r="O1100"/>
    </row>
    <row r="1101" spans="1:15" x14ac:dyDescent="0.25">
      <c r="A1101"/>
      <c r="B1101"/>
      <c r="C1101"/>
      <c r="D1101"/>
      <c r="E1101"/>
      <c r="F1101"/>
      <c r="G1101"/>
      <c r="H1101"/>
      <c r="I1101"/>
      <c r="J1101"/>
      <c r="K1101"/>
      <c r="L1101"/>
      <c r="M1101"/>
      <c r="N1101"/>
      <c r="O1101"/>
    </row>
    <row r="1102" spans="1:15" x14ac:dyDescent="0.25">
      <c r="A1102"/>
      <c r="B1102"/>
      <c r="C1102"/>
      <c r="D1102"/>
      <c r="E1102"/>
      <c r="F1102"/>
      <c r="G1102"/>
      <c r="H1102"/>
      <c r="I1102"/>
      <c r="J1102"/>
      <c r="K1102"/>
      <c r="L1102"/>
      <c r="M1102"/>
      <c r="N1102"/>
      <c r="O1102"/>
    </row>
    <row r="1103" spans="1:15" x14ac:dyDescent="0.25">
      <c r="A1103"/>
      <c r="B1103"/>
      <c r="C1103"/>
      <c r="D1103"/>
      <c r="E1103"/>
      <c r="F1103"/>
      <c r="G1103"/>
      <c r="H1103"/>
      <c r="I1103"/>
      <c r="J1103"/>
      <c r="K1103"/>
      <c r="L1103"/>
      <c r="M1103"/>
      <c r="N1103"/>
      <c r="O1103"/>
    </row>
    <row r="1104" spans="1:15" x14ac:dyDescent="0.25">
      <c r="A1104"/>
      <c r="B1104"/>
      <c r="C1104"/>
      <c r="D1104"/>
      <c r="E1104"/>
      <c r="F1104"/>
      <c r="G1104"/>
      <c r="H1104"/>
      <c r="I1104"/>
      <c r="J1104"/>
      <c r="K1104"/>
      <c r="L1104"/>
      <c r="M1104"/>
      <c r="N1104"/>
      <c r="O1104"/>
    </row>
    <row r="1105" spans="1:15" x14ac:dyDescent="0.25">
      <c r="A1105"/>
      <c r="B1105"/>
      <c r="C1105"/>
      <c r="D1105"/>
      <c r="E1105"/>
      <c r="F1105"/>
      <c r="G1105"/>
      <c r="H1105"/>
      <c r="I1105"/>
      <c r="J1105"/>
      <c r="K1105"/>
      <c r="L1105"/>
      <c r="M1105"/>
      <c r="N1105"/>
      <c r="O1105"/>
    </row>
    <row r="1106" spans="1:15" x14ac:dyDescent="0.25">
      <c r="A1106"/>
      <c r="B1106"/>
      <c r="C1106"/>
      <c r="D1106"/>
      <c r="E1106"/>
      <c r="F1106"/>
      <c r="G1106"/>
      <c r="H1106"/>
      <c r="I1106"/>
      <c r="J1106"/>
      <c r="K1106"/>
      <c r="L1106"/>
      <c r="M1106"/>
      <c r="N1106"/>
      <c r="O1106"/>
    </row>
    <row r="1107" spans="1:15" x14ac:dyDescent="0.25">
      <c r="A1107"/>
      <c r="B1107"/>
      <c r="C1107"/>
      <c r="D1107"/>
      <c r="E1107"/>
      <c r="F1107"/>
      <c r="G1107"/>
      <c r="H1107"/>
      <c r="I1107"/>
      <c r="J1107"/>
      <c r="K1107"/>
      <c r="L1107"/>
      <c r="M1107"/>
      <c r="N1107"/>
      <c r="O1107"/>
    </row>
    <row r="1108" spans="1:15" x14ac:dyDescent="0.25">
      <c r="A1108"/>
      <c r="B1108"/>
      <c r="C1108"/>
      <c r="D1108"/>
      <c r="E1108"/>
      <c r="F1108"/>
      <c r="G1108"/>
      <c r="H1108"/>
      <c r="I1108"/>
      <c r="J1108"/>
      <c r="K1108"/>
      <c r="L1108"/>
      <c r="M1108"/>
      <c r="N1108"/>
      <c r="O1108"/>
    </row>
    <row r="1109" spans="1:15" x14ac:dyDescent="0.25">
      <c r="A1109"/>
      <c r="B1109"/>
      <c r="C1109"/>
      <c r="D1109"/>
      <c r="E1109"/>
      <c r="F1109"/>
      <c r="G1109"/>
      <c r="H1109"/>
      <c r="I1109"/>
      <c r="J1109"/>
      <c r="K1109"/>
      <c r="L1109"/>
      <c r="M1109"/>
      <c r="N1109"/>
      <c r="O1109"/>
    </row>
    <row r="1110" spans="1:15" x14ac:dyDescent="0.25">
      <c r="A1110"/>
      <c r="B1110"/>
      <c r="C1110"/>
      <c r="D1110"/>
      <c r="E1110"/>
      <c r="F1110"/>
      <c r="G1110"/>
      <c r="H1110"/>
      <c r="I1110"/>
      <c r="J1110"/>
      <c r="K1110"/>
      <c r="L1110"/>
      <c r="M1110"/>
      <c r="N1110"/>
      <c r="O1110"/>
    </row>
    <row r="1111" spans="1:15" x14ac:dyDescent="0.25">
      <c r="A1111"/>
      <c r="B1111"/>
      <c r="C1111"/>
      <c r="D1111"/>
      <c r="E1111"/>
      <c r="F1111"/>
      <c r="G1111"/>
      <c r="H1111"/>
      <c r="I1111"/>
      <c r="J1111"/>
      <c r="K1111"/>
      <c r="L1111"/>
      <c r="M1111"/>
      <c r="N1111"/>
      <c r="O1111"/>
    </row>
    <row r="1112" spans="1:15" x14ac:dyDescent="0.25">
      <c r="A1112"/>
      <c r="B1112"/>
      <c r="C1112"/>
      <c r="D1112"/>
      <c r="E1112"/>
      <c r="F1112"/>
      <c r="G1112"/>
      <c r="H1112"/>
      <c r="I1112"/>
      <c r="J1112"/>
      <c r="K1112"/>
      <c r="L1112"/>
      <c r="M1112"/>
      <c r="N1112"/>
      <c r="O1112"/>
    </row>
    <row r="1113" spans="1:15" x14ac:dyDescent="0.25">
      <c r="A1113"/>
      <c r="B1113"/>
      <c r="C1113"/>
      <c r="D1113"/>
      <c r="E1113"/>
      <c r="F1113"/>
      <c r="G1113"/>
      <c r="H1113"/>
      <c r="I1113"/>
      <c r="J1113"/>
      <c r="K1113"/>
      <c r="L1113"/>
      <c r="M1113"/>
      <c r="N1113"/>
      <c r="O1113"/>
    </row>
    <row r="1114" spans="1:15" x14ac:dyDescent="0.25">
      <c r="A1114"/>
      <c r="B1114"/>
      <c r="C1114"/>
      <c r="D1114"/>
      <c r="E1114"/>
      <c r="F1114"/>
      <c r="G1114"/>
      <c r="H1114"/>
      <c r="I1114"/>
      <c r="J1114"/>
      <c r="K1114"/>
      <c r="L1114"/>
      <c r="M1114"/>
      <c r="N1114"/>
      <c r="O1114"/>
    </row>
    <row r="1115" spans="1:15" x14ac:dyDescent="0.25">
      <c r="A1115"/>
      <c r="B1115"/>
      <c r="C1115"/>
      <c r="D1115"/>
      <c r="E1115"/>
      <c r="F1115"/>
      <c r="G1115"/>
      <c r="H1115"/>
      <c r="I1115"/>
      <c r="J1115"/>
      <c r="K1115"/>
      <c r="L1115"/>
      <c r="M1115"/>
      <c r="N1115"/>
      <c r="O1115"/>
    </row>
    <row r="1116" spans="1:15" x14ac:dyDescent="0.25">
      <c r="A1116"/>
      <c r="B1116"/>
      <c r="C1116"/>
      <c r="D1116"/>
      <c r="E1116"/>
      <c r="F1116"/>
      <c r="G1116"/>
      <c r="H1116"/>
      <c r="I1116"/>
      <c r="J1116"/>
      <c r="K1116"/>
      <c r="L1116"/>
      <c r="M1116"/>
      <c r="N1116"/>
      <c r="O1116"/>
    </row>
    <row r="1117" spans="1:15" x14ac:dyDescent="0.25">
      <c r="A1117"/>
      <c r="B1117"/>
      <c r="C1117"/>
      <c r="D1117"/>
      <c r="E1117"/>
      <c r="F1117"/>
      <c r="G1117"/>
      <c r="H1117"/>
      <c r="I1117"/>
      <c r="J1117"/>
      <c r="K1117"/>
      <c r="L1117"/>
      <c r="M1117"/>
      <c r="N1117"/>
      <c r="O1117"/>
    </row>
    <row r="1118" spans="1:15" x14ac:dyDescent="0.25">
      <c r="A1118"/>
      <c r="B1118"/>
      <c r="C1118"/>
      <c r="D1118"/>
      <c r="E1118"/>
      <c r="F1118"/>
      <c r="G1118"/>
      <c r="H1118"/>
      <c r="I1118"/>
      <c r="J1118"/>
      <c r="K1118"/>
      <c r="L1118"/>
      <c r="M1118"/>
      <c r="N1118"/>
      <c r="O1118"/>
    </row>
    <row r="1119" spans="1:15" x14ac:dyDescent="0.25">
      <c r="A1119"/>
      <c r="B1119"/>
      <c r="C1119"/>
      <c r="D1119"/>
      <c r="E1119"/>
      <c r="F1119"/>
      <c r="G1119"/>
      <c r="H1119"/>
      <c r="I1119"/>
      <c r="J1119"/>
      <c r="K1119"/>
      <c r="L1119"/>
      <c r="M1119"/>
      <c r="N1119"/>
      <c r="O1119"/>
    </row>
    <row r="1120" spans="1:15" x14ac:dyDescent="0.25">
      <c r="A1120"/>
      <c r="B1120"/>
      <c r="C1120"/>
      <c r="D1120"/>
      <c r="E1120"/>
      <c r="F1120"/>
      <c r="G1120"/>
      <c r="H1120"/>
      <c r="I1120"/>
      <c r="J1120"/>
      <c r="K1120"/>
      <c r="L1120"/>
      <c r="M1120"/>
      <c r="N1120"/>
      <c r="O1120"/>
    </row>
    <row r="1121" spans="1:15" x14ac:dyDescent="0.25">
      <c r="A1121"/>
      <c r="B1121"/>
      <c r="C1121"/>
      <c r="D1121"/>
      <c r="E1121"/>
      <c r="F1121"/>
      <c r="G1121"/>
      <c r="H1121"/>
      <c r="I1121"/>
      <c r="J1121"/>
      <c r="K1121"/>
      <c r="L1121"/>
      <c r="M1121"/>
      <c r="N1121"/>
      <c r="O1121"/>
    </row>
    <row r="1122" spans="1:15" x14ac:dyDescent="0.25">
      <c r="A1122"/>
      <c r="B1122"/>
      <c r="C1122"/>
      <c r="D1122"/>
      <c r="E1122"/>
      <c r="F1122"/>
      <c r="G1122"/>
      <c r="H1122"/>
      <c r="I1122"/>
      <c r="J1122"/>
      <c r="K1122"/>
      <c r="L1122"/>
      <c r="M1122"/>
      <c r="N1122"/>
      <c r="O1122"/>
    </row>
    <row r="1123" spans="1:15" x14ac:dyDescent="0.25">
      <c r="A1123"/>
      <c r="B1123"/>
      <c r="C1123"/>
      <c r="D1123"/>
      <c r="E1123"/>
      <c r="F1123"/>
      <c r="G1123"/>
      <c r="H1123"/>
      <c r="I1123"/>
      <c r="J1123"/>
      <c r="K1123"/>
      <c r="L1123"/>
      <c r="M1123"/>
      <c r="N1123"/>
      <c r="O1123"/>
    </row>
    <row r="1124" spans="1:15" x14ac:dyDescent="0.25">
      <c r="A1124"/>
      <c r="B1124"/>
      <c r="C1124"/>
      <c r="D1124"/>
      <c r="E1124"/>
      <c r="F1124"/>
      <c r="G1124"/>
      <c r="H1124"/>
      <c r="I1124"/>
      <c r="J1124"/>
      <c r="K1124"/>
      <c r="L1124"/>
      <c r="M1124"/>
      <c r="N1124"/>
      <c r="O1124"/>
    </row>
    <row r="1125" spans="1:15" x14ac:dyDescent="0.25">
      <c r="A1125"/>
      <c r="B1125"/>
      <c r="C1125"/>
      <c r="D1125"/>
      <c r="E1125"/>
      <c r="F1125"/>
      <c r="G1125"/>
      <c r="H1125"/>
      <c r="I1125"/>
      <c r="J1125"/>
      <c r="K1125"/>
      <c r="L1125"/>
      <c r="M1125"/>
      <c r="N1125"/>
      <c r="O1125"/>
    </row>
    <row r="1126" spans="1:15" x14ac:dyDescent="0.25">
      <c r="A1126"/>
      <c r="B1126"/>
      <c r="C1126"/>
      <c r="D1126"/>
      <c r="E1126"/>
      <c r="F1126"/>
      <c r="G1126"/>
      <c r="H1126"/>
      <c r="I1126"/>
      <c r="J1126"/>
      <c r="K1126"/>
      <c r="L1126"/>
      <c r="M1126"/>
      <c r="N1126"/>
      <c r="O1126"/>
    </row>
    <row r="1127" spans="1:15" x14ac:dyDescent="0.25">
      <c r="A1127"/>
      <c r="B1127"/>
      <c r="C1127"/>
      <c r="D1127"/>
      <c r="E1127"/>
      <c r="F1127"/>
      <c r="G1127"/>
      <c r="H1127"/>
      <c r="I1127"/>
      <c r="J1127"/>
      <c r="K1127"/>
      <c r="L1127"/>
      <c r="M1127"/>
      <c r="N1127"/>
      <c r="O1127"/>
    </row>
    <row r="1128" spans="1:15" x14ac:dyDescent="0.25">
      <c r="A1128"/>
      <c r="B1128"/>
      <c r="C1128"/>
      <c r="D1128"/>
      <c r="E1128"/>
      <c r="F1128"/>
      <c r="G1128"/>
      <c r="H1128"/>
      <c r="I1128"/>
      <c r="J1128"/>
      <c r="K1128"/>
      <c r="L1128"/>
      <c r="M1128"/>
      <c r="N1128"/>
      <c r="O1128"/>
    </row>
    <row r="1129" spans="1:15" x14ac:dyDescent="0.25">
      <c r="A1129"/>
      <c r="B1129"/>
      <c r="C1129"/>
      <c r="D1129"/>
      <c r="E1129"/>
      <c r="F1129"/>
      <c r="G1129"/>
      <c r="H1129"/>
      <c r="I1129"/>
      <c r="J1129"/>
      <c r="K1129"/>
      <c r="L1129"/>
      <c r="M1129"/>
      <c r="N1129"/>
      <c r="O1129"/>
    </row>
    <row r="1130" spans="1:15" x14ac:dyDescent="0.25">
      <c r="A1130"/>
      <c r="B1130"/>
      <c r="C1130"/>
      <c r="D1130"/>
      <c r="E1130"/>
      <c r="F1130"/>
      <c r="G1130"/>
      <c r="H1130"/>
      <c r="I1130"/>
      <c r="J1130"/>
      <c r="K1130"/>
      <c r="L1130"/>
      <c r="M1130"/>
      <c r="N1130"/>
      <c r="O1130"/>
    </row>
    <row r="1131" spans="1:15" x14ac:dyDescent="0.25">
      <c r="A1131"/>
      <c r="B1131"/>
      <c r="C1131"/>
      <c r="D1131"/>
      <c r="E1131"/>
      <c r="F1131"/>
      <c r="G1131"/>
      <c r="H1131"/>
      <c r="I1131"/>
      <c r="J1131"/>
      <c r="K1131"/>
      <c r="L1131"/>
      <c r="M1131"/>
      <c r="N1131"/>
      <c r="O1131"/>
    </row>
    <row r="1132" spans="1:15" x14ac:dyDescent="0.25">
      <c r="A1132"/>
      <c r="B1132"/>
      <c r="C1132"/>
      <c r="D1132"/>
      <c r="E1132"/>
      <c r="F1132"/>
      <c r="G1132"/>
      <c r="H1132"/>
      <c r="I1132"/>
      <c r="J1132"/>
      <c r="K1132"/>
      <c r="L1132"/>
      <c r="M1132"/>
      <c r="N1132"/>
      <c r="O1132"/>
    </row>
    <row r="1133" spans="1:15" x14ac:dyDescent="0.25">
      <c r="A1133"/>
      <c r="B1133"/>
      <c r="C1133"/>
      <c r="D1133"/>
      <c r="E1133"/>
      <c r="F1133"/>
      <c r="G1133"/>
      <c r="H1133"/>
      <c r="I1133"/>
      <c r="J1133"/>
      <c r="K1133"/>
      <c r="L1133"/>
      <c r="M1133"/>
      <c r="N1133"/>
      <c r="O1133"/>
    </row>
    <row r="1134" spans="1:15" x14ac:dyDescent="0.25">
      <c r="A1134"/>
      <c r="B1134"/>
      <c r="C1134"/>
      <c r="D1134"/>
      <c r="E1134"/>
      <c r="F1134"/>
      <c r="G1134"/>
      <c r="H1134"/>
      <c r="I1134"/>
      <c r="J1134"/>
      <c r="K1134"/>
      <c r="L1134"/>
      <c r="M1134"/>
      <c r="N1134"/>
      <c r="O1134"/>
    </row>
    <row r="1135" spans="1:15" x14ac:dyDescent="0.25">
      <c r="A1135"/>
      <c r="B1135"/>
      <c r="C1135"/>
      <c r="D1135"/>
      <c r="E1135"/>
      <c r="F1135"/>
      <c r="G1135"/>
      <c r="H1135"/>
      <c r="I1135"/>
      <c r="J1135"/>
      <c r="K1135"/>
      <c r="L1135"/>
      <c r="M1135"/>
      <c r="N1135"/>
      <c r="O1135"/>
    </row>
    <row r="1136" spans="1:15" x14ac:dyDescent="0.25">
      <c r="A1136"/>
      <c r="B1136"/>
      <c r="C1136"/>
      <c r="D1136"/>
      <c r="E1136"/>
      <c r="F1136"/>
      <c r="G1136"/>
      <c r="H1136"/>
      <c r="I1136"/>
      <c r="J1136"/>
      <c r="K1136"/>
      <c r="L1136"/>
      <c r="M1136"/>
      <c r="N1136"/>
      <c r="O1136"/>
    </row>
    <row r="1137" spans="1:15" x14ac:dyDescent="0.25">
      <c r="A1137"/>
      <c r="B1137"/>
      <c r="C1137"/>
      <c r="D1137"/>
      <c r="E1137"/>
      <c r="F1137"/>
      <c r="G1137"/>
      <c r="H1137"/>
      <c r="I1137"/>
      <c r="J1137"/>
      <c r="K1137"/>
      <c r="L1137"/>
      <c r="M1137"/>
      <c r="N1137"/>
      <c r="O1137"/>
    </row>
    <row r="1138" spans="1:15" x14ac:dyDescent="0.25">
      <c r="A1138"/>
      <c r="B1138"/>
      <c r="C1138"/>
      <c r="D1138"/>
      <c r="E1138"/>
      <c r="F1138"/>
      <c r="G1138"/>
      <c r="H1138"/>
      <c r="I1138"/>
      <c r="J1138"/>
      <c r="K1138"/>
      <c r="L1138"/>
      <c r="M1138"/>
      <c r="N1138"/>
      <c r="O1138"/>
    </row>
    <row r="1139" spans="1:15" x14ac:dyDescent="0.25">
      <c r="A1139"/>
      <c r="B1139"/>
      <c r="C1139"/>
      <c r="D1139"/>
      <c r="E1139"/>
      <c r="F1139"/>
      <c r="G1139"/>
      <c r="H1139"/>
      <c r="I1139"/>
      <c r="J1139"/>
      <c r="K1139"/>
      <c r="L1139"/>
      <c r="M1139"/>
      <c r="N1139"/>
      <c r="O1139"/>
    </row>
    <row r="1140" spans="1:15" x14ac:dyDescent="0.25">
      <c r="A1140"/>
      <c r="B1140"/>
      <c r="C1140"/>
      <c r="D1140"/>
      <c r="E1140"/>
      <c r="F1140"/>
      <c r="G1140"/>
      <c r="H1140"/>
      <c r="I1140"/>
      <c r="J1140"/>
      <c r="K1140"/>
      <c r="L1140"/>
      <c r="M1140"/>
      <c r="N1140"/>
      <c r="O1140"/>
    </row>
    <row r="1141" spans="1:15" x14ac:dyDescent="0.25">
      <c r="A1141"/>
      <c r="B1141"/>
      <c r="C1141"/>
      <c r="D1141"/>
      <c r="E1141"/>
      <c r="F1141"/>
      <c r="G1141"/>
      <c r="H1141"/>
      <c r="I1141"/>
      <c r="J1141"/>
      <c r="K1141"/>
      <c r="L1141"/>
      <c r="M1141"/>
      <c r="N1141"/>
      <c r="O1141"/>
    </row>
    <row r="1142" spans="1:15" x14ac:dyDescent="0.25">
      <c r="A1142"/>
      <c r="B1142"/>
      <c r="C1142"/>
      <c r="D1142"/>
      <c r="E1142"/>
      <c r="F1142"/>
      <c r="G1142"/>
      <c r="H1142"/>
      <c r="I1142"/>
      <c r="J1142"/>
      <c r="K1142"/>
      <c r="L1142"/>
      <c r="M1142"/>
      <c r="N1142"/>
      <c r="O1142"/>
    </row>
    <row r="1143" spans="1:15" x14ac:dyDescent="0.25">
      <c r="A1143"/>
      <c r="B1143"/>
      <c r="C1143"/>
      <c r="D1143"/>
      <c r="E1143"/>
      <c r="F1143"/>
      <c r="G1143"/>
      <c r="H1143"/>
      <c r="I1143"/>
      <c r="J1143"/>
      <c r="K1143"/>
      <c r="L1143"/>
      <c r="M1143"/>
      <c r="N1143"/>
      <c r="O1143"/>
    </row>
    <row r="1144" spans="1:15" x14ac:dyDescent="0.25">
      <c r="A1144"/>
      <c r="B1144"/>
      <c r="C1144"/>
      <c r="D1144"/>
      <c r="E1144"/>
      <c r="F1144"/>
      <c r="G1144"/>
      <c r="H1144"/>
      <c r="I1144"/>
      <c r="J1144"/>
      <c r="K1144"/>
      <c r="L1144"/>
      <c r="M1144"/>
      <c r="N1144"/>
      <c r="O1144"/>
    </row>
    <row r="1145" spans="1:15" x14ac:dyDescent="0.25">
      <c r="A1145"/>
      <c r="B1145"/>
      <c r="C1145"/>
      <c r="D1145"/>
      <c r="E1145"/>
      <c r="F1145"/>
      <c r="G1145"/>
      <c r="H1145"/>
      <c r="I1145"/>
      <c r="J1145"/>
      <c r="K1145"/>
      <c r="L1145"/>
      <c r="M1145"/>
      <c r="N1145"/>
      <c r="O1145"/>
    </row>
    <row r="1146" spans="1:15" x14ac:dyDescent="0.25">
      <c r="A1146"/>
      <c r="B1146"/>
      <c r="C1146"/>
      <c r="D1146"/>
      <c r="E1146"/>
      <c r="F1146"/>
      <c r="G1146"/>
      <c r="H1146"/>
      <c r="I1146"/>
      <c r="J1146"/>
      <c r="K1146"/>
      <c r="L1146"/>
      <c r="M1146"/>
      <c r="N1146"/>
      <c r="O1146"/>
    </row>
    <row r="1147" spans="1:15" x14ac:dyDescent="0.25">
      <c r="A1147"/>
      <c r="B1147"/>
      <c r="C1147"/>
      <c r="D1147"/>
      <c r="E1147"/>
      <c r="F1147"/>
      <c r="G1147"/>
      <c r="H1147"/>
      <c r="I1147"/>
      <c r="J1147"/>
      <c r="K1147"/>
      <c r="L1147"/>
      <c r="M1147"/>
      <c r="N1147"/>
      <c r="O1147"/>
    </row>
    <row r="1148" spans="1:15" x14ac:dyDescent="0.25">
      <c r="A1148"/>
      <c r="B1148"/>
      <c r="C1148"/>
      <c r="D1148"/>
      <c r="E1148"/>
      <c r="F1148"/>
      <c r="G1148"/>
      <c r="H1148"/>
      <c r="I1148"/>
      <c r="J1148"/>
      <c r="K1148"/>
      <c r="L1148"/>
      <c r="M1148"/>
      <c r="N1148"/>
      <c r="O1148"/>
    </row>
    <row r="1149" spans="1:15" x14ac:dyDescent="0.25">
      <c r="A1149"/>
      <c r="B1149"/>
      <c r="C1149"/>
      <c r="D1149"/>
      <c r="E1149"/>
      <c r="F1149"/>
      <c r="G1149"/>
      <c r="H1149"/>
      <c r="I1149"/>
      <c r="J1149"/>
      <c r="K1149"/>
      <c r="L1149"/>
      <c r="M1149"/>
      <c r="N1149"/>
      <c r="O1149"/>
    </row>
    <row r="1150" spans="1:15" x14ac:dyDescent="0.25">
      <c r="A1150"/>
      <c r="B1150"/>
      <c r="C1150"/>
      <c r="D1150"/>
      <c r="E1150"/>
      <c r="F1150"/>
      <c r="G1150"/>
      <c r="H1150"/>
      <c r="I1150"/>
      <c r="J1150"/>
      <c r="K1150"/>
      <c r="L1150"/>
      <c r="M1150"/>
      <c r="N1150"/>
      <c r="O1150"/>
    </row>
    <row r="1151" spans="1:15" x14ac:dyDescent="0.25">
      <c r="A1151"/>
      <c r="B1151"/>
      <c r="C1151"/>
      <c r="D1151"/>
      <c r="E1151"/>
      <c r="F1151"/>
      <c r="G1151"/>
      <c r="H1151"/>
      <c r="I1151"/>
      <c r="J1151"/>
      <c r="K1151"/>
      <c r="L1151"/>
      <c r="M1151"/>
      <c r="N1151"/>
      <c r="O1151"/>
    </row>
    <row r="1152" spans="1:15" x14ac:dyDescent="0.25">
      <c r="A1152"/>
      <c r="B1152"/>
      <c r="C1152"/>
      <c r="D1152"/>
      <c r="E1152"/>
      <c r="F1152"/>
      <c r="G1152"/>
      <c r="H1152"/>
      <c r="I1152"/>
      <c r="J1152"/>
      <c r="K1152"/>
      <c r="L1152"/>
      <c r="M1152"/>
      <c r="N1152"/>
      <c r="O1152"/>
    </row>
    <row r="1153" spans="1:15" x14ac:dyDescent="0.25">
      <c r="A1153"/>
      <c r="B1153"/>
      <c r="C1153"/>
      <c r="D1153"/>
      <c r="E1153"/>
      <c r="F1153"/>
      <c r="G1153"/>
      <c r="H1153"/>
      <c r="I1153"/>
      <c r="J1153"/>
      <c r="K1153"/>
      <c r="L1153"/>
      <c r="M1153"/>
      <c r="N1153"/>
      <c r="O1153"/>
    </row>
    <row r="1154" spans="1:15" x14ac:dyDescent="0.25">
      <c r="A1154"/>
      <c r="B1154"/>
      <c r="C1154"/>
      <c r="D1154"/>
      <c r="E1154"/>
      <c r="F1154"/>
      <c r="G1154"/>
      <c r="H1154"/>
      <c r="I1154"/>
      <c r="J1154"/>
      <c r="K1154"/>
      <c r="L1154"/>
      <c r="M1154"/>
      <c r="N1154"/>
      <c r="O1154"/>
    </row>
    <row r="1155" spans="1:15" x14ac:dyDescent="0.25">
      <c r="A1155"/>
      <c r="B1155"/>
      <c r="C1155"/>
      <c r="D1155"/>
      <c r="E1155"/>
      <c r="F1155"/>
      <c r="G1155"/>
      <c r="H1155"/>
      <c r="I1155"/>
      <c r="J1155"/>
      <c r="K1155"/>
      <c r="L1155"/>
      <c r="M1155"/>
      <c r="N1155"/>
      <c r="O1155"/>
    </row>
    <row r="1156" spans="1:15" x14ac:dyDescent="0.25">
      <c r="A1156"/>
      <c r="B1156"/>
      <c r="C1156"/>
      <c r="D1156"/>
      <c r="E1156"/>
      <c r="F1156"/>
      <c r="G1156"/>
      <c r="H1156"/>
      <c r="I1156"/>
      <c r="J1156"/>
      <c r="K1156"/>
      <c r="L1156"/>
      <c r="M1156"/>
      <c r="N1156"/>
      <c r="O1156"/>
    </row>
    <row r="1157" spans="1:15" x14ac:dyDescent="0.25">
      <c r="A1157"/>
      <c r="B1157"/>
      <c r="C1157"/>
      <c r="D1157"/>
      <c r="E1157"/>
      <c r="F1157"/>
      <c r="G1157"/>
      <c r="H1157"/>
      <c r="I1157"/>
      <c r="J1157"/>
      <c r="K1157"/>
      <c r="L1157"/>
      <c r="M1157"/>
      <c r="N1157"/>
      <c r="O1157"/>
    </row>
    <row r="1158" spans="1:15" x14ac:dyDescent="0.25">
      <c r="A1158"/>
      <c r="B1158"/>
      <c r="C1158"/>
      <c r="D1158"/>
      <c r="E1158"/>
      <c r="F1158"/>
      <c r="G1158"/>
      <c r="H1158"/>
      <c r="I1158"/>
      <c r="J1158"/>
      <c r="K1158"/>
      <c r="L1158"/>
      <c r="M1158"/>
      <c r="N1158"/>
      <c r="O1158"/>
    </row>
    <row r="1159" spans="1:15" x14ac:dyDescent="0.25">
      <c r="A1159"/>
      <c r="B1159"/>
      <c r="C1159"/>
      <c r="D1159"/>
      <c r="E1159"/>
      <c r="F1159"/>
      <c r="G1159"/>
      <c r="H1159"/>
      <c r="I1159"/>
      <c r="J1159"/>
      <c r="K1159"/>
      <c r="L1159"/>
      <c r="M1159"/>
      <c r="N1159"/>
      <c r="O1159"/>
    </row>
    <row r="1160" spans="1:15" x14ac:dyDescent="0.25">
      <c r="A1160"/>
      <c r="B1160"/>
      <c r="C1160"/>
      <c r="D1160"/>
      <c r="E1160"/>
      <c r="F1160"/>
      <c r="G1160"/>
      <c r="H1160"/>
      <c r="I1160"/>
      <c r="J1160"/>
      <c r="K1160"/>
      <c r="L1160"/>
      <c r="M1160"/>
      <c r="N1160"/>
      <c r="O1160"/>
    </row>
    <row r="1161" spans="1:15" x14ac:dyDescent="0.25">
      <c r="A1161"/>
      <c r="B1161"/>
      <c r="C1161"/>
      <c r="D1161"/>
      <c r="E1161"/>
      <c r="F1161"/>
      <c r="G1161"/>
      <c r="H1161"/>
      <c r="I1161"/>
      <c r="J1161"/>
      <c r="K1161"/>
      <c r="L1161"/>
      <c r="M1161"/>
      <c r="N1161"/>
      <c r="O1161"/>
    </row>
    <row r="1162" spans="1:15" x14ac:dyDescent="0.25">
      <c r="A1162"/>
      <c r="B1162"/>
      <c r="C1162"/>
      <c r="D1162"/>
      <c r="E1162"/>
      <c r="F1162"/>
      <c r="G1162"/>
      <c r="H1162"/>
      <c r="I1162"/>
      <c r="J1162"/>
      <c r="K1162"/>
      <c r="L1162"/>
      <c r="M1162"/>
      <c r="N1162"/>
      <c r="O1162"/>
    </row>
    <row r="1163" spans="1:15" x14ac:dyDescent="0.25">
      <c r="A1163"/>
      <c r="B1163"/>
      <c r="C1163"/>
      <c r="D1163"/>
      <c r="E1163"/>
      <c r="F1163"/>
      <c r="G1163"/>
      <c r="H1163"/>
      <c r="I1163"/>
      <c r="J1163"/>
      <c r="K1163"/>
      <c r="L1163"/>
      <c r="M1163"/>
      <c r="N1163"/>
      <c r="O1163"/>
    </row>
    <row r="1164" spans="1:15" x14ac:dyDescent="0.25">
      <c r="A1164"/>
      <c r="B1164"/>
      <c r="C1164"/>
      <c r="D1164"/>
      <c r="E1164"/>
      <c r="F1164"/>
      <c r="G1164"/>
      <c r="H1164"/>
      <c r="I1164"/>
      <c r="J1164"/>
      <c r="K1164"/>
      <c r="L1164"/>
      <c r="M1164"/>
      <c r="N1164"/>
      <c r="O1164"/>
    </row>
    <row r="1165" spans="1:15" x14ac:dyDescent="0.25">
      <c r="A1165"/>
      <c r="B1165"/>
      <c r="C1165"/>
      <c r="D1165"/>
      <c r="E1165"/>
      <c r="F1165"/>
      <c r="G1165"/>
      <c r="H1165"/>
      <c r="I1165"/>
      <c r="J1165"/>
      <c r="K1165"/>
      <c r="L1165"/>
      <c r="M1165"/>
      <c r="N1165"/>
      <c r="O1165"/>
    </row>
    <row r="1166" spans="1:15" x14ac:dyDescent="0.25">
      <c r="A1166"/>
      <c r="B1166"/>
      <c r="C1166"/>
      <c r="D1166"/>
      <c r="E1166"/>
      <c r="F1166"/>
      <c r="G1166"/>
      <c r="H1166"/>
      <c r="I1166"/>
      <c r="J1166"/>
      <c r="K1166"/>
      <c r="L1166"/>
      <c r="M1166"/>
      <c r="N1166"/>
      <c r="O1166"/>
    </row>
    <row r="1167" spans="1:15" x14ac:dyDescent="0.25">
      <c r="A1167"/>
      <c r="B1167"/>
      <c r="C1167"/>
      <c r="D1167"/>
      <c r="E1167"/>
      <c r="F1167"/>
      <c r="G1167"/>
      <c r="H1167"/>
      <c r="I1167"/>
      <c r="J1167"/>
      <c r="K1167"/>
      <c r="L1167"/>
      <c r="M1167"/>
      <c r="N1167"/>
      <c r="O1167"/>
    </row>
    <row r="1168" spans="1:15" x14ac:dyDescent="0.25">
      <c r="A1168"/>
      <c r="B1168"/>
      <c r="C1168"/>
      <c r="D1168"/>
      <c r="E1168"/>
      <c r="F1168"/>
      <c r="G1168"/>
      <c r="H1168"/>
      <c r="I1168"/>
      <c r="J1168"/>
      <c r="K1168"/>
      <c r="L1168"/>
      <c r="M1168"/>
      <c r="N1168"/>
      <c r="O1168"/>
    </row>
    <row r="1169" spans="1:15" x14ac:dyDescent="0.25">
      <c r="A1169"/>
      <c r="B1169"/>
      <c r="C1169"/>
      <c r="D1169"/>
      <c r="E1169"/>
      <c r="F1169"/>
      <c r="G1169"/>
      <c r="H1169"/>
      <c r="I1169"/>
      <c r="J1169"/>
      <c r="K1169"/>
      <c r="L1169"/>
      <c r="M1169"/>
      <c r="N1169"/>
      <c r="O1169"/>
    </row>
    <row r="1170" spans="1:15" x14ac:dyDescent="0.25">
      <c r="A1170"/>
      <c r="B1170"/>
      <c r="C1170"/>
      <c r="D1170"/>
      <c r="E1170"/>
      <c r="F1170"/>
      <c r="G1170"/>
      <c r="H1170"/>
      <c r="I1170"/>
      <c r="J1170"/>
      <c r="K1170"/>
      <c r="L1170"/>
      <c r="M1170"/>
      <c r="N1170"/>
      <c r="O1170"/>
    </row>
    <row r="1171" spans="1:15" x14ac:dyDescent="0.25">
      <c r="A1171"/>
      <c r="B1171"/>
      <c r="C1171"/>
      <c r="D1171"/>
      <c r="E1171"/>
      <c r="F1171"/>
      <c r="G1171"/>
      <c r="H1171"/>
      <c r="I1171"/>
      <c r="J1171"/>
      <c r="K1171"/>
      <c r="L1171"/>
      <c r="M1171"/>
      <c r="N1171"/>
      <c r="O1171"/>
    </row>
    <row r="1172" spans="1:15" x14ac:dyDescent="0.25">
      <c r="A1172"/>
      <c r="B1172"/>
      <c r="C1172"/>
      <c r="D1172"/>
      <c r="E1172"/>
      <c r="F1172"/>
      <c r="G1172"/>
      <c r="H1172"/>
      <c r="I1172"/>
      <c r="J1172"/>
      <c r="K1172"/>
      <c r="L1172"/>
      <c r="M1172"/>
      <c r="N1172"/>
      <c r="O1172"/>
    </row>
    <row r="1173" spans="1:15" x14ac:dyDescent="0.25">
      <c r="A1173"/>
      <c r="B1173"/>
      <c r="C1173"/>
      <c r="D1173"/>
      <c r="E1173"/>
      <c r="F1173"/>
      <c r="G1173"/>
      <c r="H1173"/>
      <c r="I1173"/>
      <c r="J1173"/>
      <c r="K1173"/>
      <c r="L1173"/>
      <c r="M1173"/>
      <c r="N1173"/>
      <c r="O1173"/>
    </row>
    <row r="1174" spans="1:15" x14ac:dyDescent="0.25">
      <c r="A1174"/>
      <c r="B1174"/>
      <c r="C1174"/>
      <c r="D1174"/>
      <c r="E1174"/>
      <c r="F1174"/>
      <c r="G1174"/>
      <c r="H1174"/>
      <c r="I1174"/>
      <c r="J1174"/>
      <c r="K1174"/>
      <c r="L1174"/>
      <c r="M1174"/>
      <c r="N1174"/>
      <c r="O1174"/>
    </row>
    <row r="1175" spans="1:15" x14ac:dyDescent="0.25">
      <c r="A1175"/>
      <c r="B1175"/>
      <c r="C1175"/>
      <c r="D1175"/>
      <c r="E1175"/>
      <c r="F1175"/>
      <c r="G1175"/>
      <c r="H1175"/>
      <c r="I1175"/>
      <c r="J1175"/>
      <c r="K1175"/>
      <c r="L1175"/>
      <c r="M1175"/>
      <c r="N1175"/>
      <c r="O1175"/>
    </row>
    <row r="1176" spans="1:15" x14ac:dyDescent="0.25">
      <c r="A1176"/>
      <c r="B1176"/>
      <c r="C1176"/>
      <c r="D1176"/>
      <c r="E1176"/>
      <c r="F1176"/>
      <c r="G1176"/>
      <c r="H1176"/>
      <c r="I1176"/>
      <c r="J1176"/>
      <c r="K1176"/>
      <c r="L1176"/>
      <c r="M1176"/>
      <c r="N1176"/>
      <c r="O1176"/>
    </row>
    <row r="1177" spans="1:15" x14ac:dyDescent="0.25">
      <c r="A1177"/>
      <c r="B1177"/>
      <c r="C1177"/>
      <c r="D1177"/>
      <c r="E1177"/>
      <c r="F1177"/>
      <c r="G1177"/>
      <c r="H1177"/>
      <c r="I1177"/>
      <c r="J1177"/>
      <c r="K1177"/>
      <c r="L1177"/>
      <c r="M1177"/>
      <c r="N1177"/>
      <c r="O1177"/>
    </row>
    <row r="1178" spans="1:15" x14ac:dyDescent="0.25">
      <c r="A1178"/>
      <c r="B1178"/>
      <c r="C1178"/>
      <c r="D1178"/>
      <c r="E1178"/>
      <c r="F1178"/>
      <c r="G1178"/>
      <c r="H1178"/>
      <c r="I1178"/>
      <c r="J1178"/>
      <c r="K1178"/>
      <c r="L1178"/>
      <c r="M1178"/>
      <c r="N1178"/>
      <c r="O1178"/>
    </row>
    <row r="1179" spans="1:15" x14ac:dyDescent="0.25">
      <c r="A1179"/>
      <c r="B1179"/>
      <c r="C1179"/>
      <c r="D1179"/>
      <c r="E1179"/>
      <c r="F1179"/>
      <c r="G1179"/>
      <c r="H1179"/>
      <c r="I1179"/>
      <c r="J1179"/>
      <c r="K1179"/>
      <c r="L1179"/>
      <c r="M1179"/>
      <c r="N1179"/>
      <c r="O1179"/>
    </row>
    <row r="1180" spans="1:15" x14ac:dyDescent="0.25">
      <c r="A1180"/>
      <c r="B1180"/>
      <c r="C1180"/>
      <c r="D1180"/>
      <c r="E1180"/>
      <c r="F1180"/>
      <c r="G1180"/>
      <c r="H1180"/>
      <c r="I1180"/>
      <c r="J1180"/>
      <c r="K1180"/>
      <c r="L1180"/>
      <c r="M1180"/>
      <c r="N1180"/>
      <c r="O1180"/>
    </row>
    <row r="1181" spans="1:15" x14ac:dyDescent="0.25">
      <c r="A1181"/>
      <c r="B1181"/>
      <c r="C1181"/>
      <c r="D1181"/>
      <c r="E1181"/>
      <c r="F1181"/>
      <c r="G1181"/>
      <c r="H1181"/>
      <c r="I1181"/>
      <c r="J1181"/>
      <c r="K1181"/>
      <c r="L1181"/>
      <c r="M1181"/>
      <c r="N1181"/>
      <c r="O1181"/>
    </row>
    <row r="1182" spans="1:15" x14ac:dyDescent="0.25">
      <c r="A1182"/>
      <c r="B1182"/>
      <c r="C1182"/>
      <c r="D1182"/>
      <c r="E1182"/>
      <c r="F1182"/>
      <c r="G1182"/>
      <c r="H1182"/>
      <c r="I1182"/>
      <c r="J1182"/>
      <c r="K1182"/>
      <c r="L1182"/>
      <c r="M1182"/>
      <c r="N1182"/>
      <c r="O1182"/>
    </row>
    <row r="1183" spans="1:15" x14ac:dyDescent="0.25">
      <c r="A1183"/>
      <c r="B1183"/>
      <c r="C1183"/>
      <c r="D1183"/>
      <c r="E1183"/>
      <c r="F1183"/>
      <c r="G1183"/>
      <c r="H1183"/>
      <c r="I1183"/>
      <c r="J1183"/>
      <c r="K1183"/>
      <c r="L1183"/>
      <c r="M1183"/>
      <c r="N1183"/>
      <c r="O1183"/>
    </row>
    <row r="1184" spans="1:15" x14ac:dyDescent="0.25">
      <c r="A1184"/>
      <c r="B1184"/>
      <c r="C1184"/>
      <c r="D1184"/>
      <c r="E1184"/>
      <c r="F1184"/>
      <c r="G1184"/>
      <c r="H1184"/>
      <c r="I1184"/>
      <c r="J1184"/>
      <c r="K1184"/>
      <c r="L1184"/>
      <c r="M1184"/>
      <c r="N1184"/>
      <c r="O1184"/>
    </row>
    <row r="1185" spans="1:15" x14ac:dyDescent="0.25">
      <c r="A1185"/>
      <c r="B1185"/>
      <c r="C1185"/>
      <c r="D1185"/>
      <c r="E1185"/>
      <c r="F1185"/>
      <c r="G1185"/>
      <c r="H1185"/>
      <c r="I1185"/>
      <c r="J1185"/>
      <c r="K1185"/>
      <c r="L1185"/>
      <c r="M1185"/>
      <c r="N1185"/>
      <c r="O1185"/>
    </row>
    <row r="1186" spans="1:15" x14ac:dyDescent="0.25">
      <c r="A1186"/>
      <c r="B1186"/>
      <c r="C1186"/>
      <c r="D1186"/>
      <c r="E1186"/>
      <c r="F1186"/>
      <c r="G1186"/>
      <c r="H1186"/>
      <c r="I1186"/>
      <c r="J1186"/>
      <c r="K1186"/>
      <c r="L1186"/>
      <c r="M1186"/>
      <c r="N1186"/>
      <c r="O1186"/>
    </row>
    <row r="1187" spans="1:15" x14ac:dyDescent="0.25">
      <c r="A1187"/>
      <c r="B1187"/>
      <c r="C1187"/>
      <c r="D1187"/>
      <c r="E1187"/>
      <c r="F1187"/>
      <c r="G1187"/>
      <c r="H1187"/>
      <c r="I1187"/>
      <c r="J1187"/>
      <c r="K1187"/>
      <c r="L1187"/>
      <c r="M1187"/>
      <c r="N1187"/>
      <c r="O1187"/>
    </row>
    <row r="1188" spans="1:15" x14ac:dyDescent="0.25">
      <c r="A1188"/>
      <c r="B1188"/>
      <c r="C1188"/>
      <c r="D1188"/>
      <c r="E1188"/>
      <c r="F1188"/>
      <c r="G1188"/>
      <c r="H1188"/>
      <c r="I1188"/>
      <c r="J1188"/>
      <c r="K1188"/>
      <c r="L1188"/>
      <c r="M1188"/>
      <c r="N1188"/>
      <c r="O1188"/>
    </row>
    <row r="1189" spans="1:15" x14ac:dyDescent="0.25">
      <c r="A1189"/>
      <c r="B1189"/>
      <c r="C1189"/>
      <c r="D1189"/>
      <c r="E1189"/>
      <c r="F1189"/>
      <c r="G1189"/>
      <c r="H1189"/>
      <c r="I1189"/>
      <c r="J1189"/>
      <c r="K1189"/>
      <c r="L1189"/>
      <c r="M1189"/>
      <c r="N1189"/>
      <c r="O1189"/>
    </row>
    <row r="1190" spans="1:15" x14ac:dyDescent="0.25">
      <c r="A1190"/>
      <c r="B1190"/>
      <c r="C1190"/>
      <c r="D1190"/>
      <c r="E1190"/>
      <c r="F1190"/>
      <c r="G1190"/>
      <c r="H1190"/>
      <c r="I1190"/>
      <c r="J1190"/>
      <c r="K1190"/>
      <c r="L1190"/>
      <c r="M1190"/>
      <c r="N1190"/>
      <c r="O1190"/>
    </row>
    <row r="1191" spans="1:15" x14ac:dyDescent="0.25">
      <c r="A1191"/>
      <c r="B1191"/>
      <c r="C1191"/>
      <c r="D1191"/>
      <c r="E1191"/>
      <c r="F1191"/>
      <c r="G1191"/>
      <c r="H1191"/>
      <c r="I1191"/>
      <c r="J1191"/>
      <c r="K1191"/>
      <c r="L1191"/>
      <c r="M1191"/>
      <c r="N1191"/>
      <c r="O1191"/>
    </row>
    <row r="1192" spans="1:15" x14ac:dyDescent="0.25">
      <c r="A1192"/>
      <c r="B1192"/>
      <c r="C1192"/>
      <c r="D1192"/>
      <c r="E1192"/>
      <c r="F1192"/>
      <c r="G1192"/>
      <c r="H1192"/>
      <c r="I1192"/>
      <c r="J1192"/>
      <c r="K1192"/>
      <c r="L1192"/>
      <c r="M1192"/>
      <c r="N1192"/>
      <c r="O1192"/>
    </row>
    <row r="1193" spans="1:15" x14ac:dyDescent="0.25">
      <c r="A1193"/>
      <c r="B1193"/>
      <c r="C1193"/>
      <c r="D1193"/>
      <c r="E1193"/>
      <c r="F1193"/>
      <c r="G1193"/>
      <c r="H1193"/>
      <c r="I1193"/>
      <c r="J1193"/>
      <c r="K1193"/>
      <c r="L1193"/>
      <c r="M1193"/>
      <c r="N1193"/>
      <c r="O1193"/>
    </row>
    <row r="1194" spans="1:15" x14ac:dyDescent="0.25">
      <c r="A1194"/>
      <c r="B1194"/>
      <c r="C1194"/>
      <c r="D1194"/>
      <c r="E1194"/>
      <c r="F1194"/>
      <c r="G1194"/>
      <c r="H1194"/>
      <c r="I1194"/>
      <c r="J1194"/>
      <c r="K1194"/>
      <c r="L1194"/>
      <c r="M1194"/>
      <c r="N1194"/>
      <c r="O1194"/>
    </row>
    <row r="1195" spans="1:15" x14ac:dyDescent="0.25">
      <c r="A1195"/>
      <c r="B1195"/>
      <c r="C1195"/>
      <c r="D1195"/>
      <c r="E1195"/>
      <c r="F1195"/>
      <c r="G1195"/>
      <c r="H1195"/>
      <c r="I1195"/>
      <c r="J1195"/>
      <c r="K1195"/>
      <c r="L1195"/>
      <c r="M1195"/>
      <c r="N1195"/>
      <c r="O1195"/>
    </row>
    <row r="1196" spans="1:15" x14ac:dyDescent="0.25">
      <c r="A1196"/>
      <c r="B1196"/>
      <c r="C1196"/>
      <c r="D1196"/>
      <c r="E1196"/>
      <c r="F1196"/>
      <c r="G1196"/>
      <c r="H1196"/>
      <c r="I1196"/>
      <c r="J1196"/>
      <c r="K1196"/>
      <c r="L1196"/>
      <c r="M1196"/>
      <c r="N1196"/>
      <c r="O1196"/>
    </row>
    <row r="1197" spans="1:15" x14ac:dyDescent="0.25">
      <c r="A1197"/>
      <c r="B1197"/>
      <c r="C1197"/>
      <c r="D1197"/>
      <c r="E1197"/>
      <c r="F1197"/>
      <c r="G1197"/>
      <c r="H1197"/>
      <c r="I1197"/>
      <c r="J1197"/>
      <c r="K1197"/>
      <c r="L1197"/>
      <c r="M1197"/>
      <c r="N1197"/>
      <c r="O1197"/>
    </row>
    <row r="1198" spans="1:15" x14ac:dyDescent="0.25">
      <c r="A1198"/>
      <c r="B1198"/>
      <c r="C1198"/>
      <c r="D1198"/>
      <c r="E1198"/>
      <c r="F1198"/>
      <c r="G1198"/>
      <c r="H1198"/>
      <c r="I1198"/>
      <c r="J1198"/>
      <c r="K1198"/>
      <c r="L1198"/>
      <c r="M1198"/>
      <c r="N1198"/>
      <c r="O1198"/>
    </row>
    <row r="1199" spans="1:15" x14ac:dyDescent="0.25">
      <c r="A1199"/>
      <c r="B1199"/>
      <c r="C1199"/>
      <c r="D1199"/>
      <c r="E1199"/>
      <c r="F1199"/>
      <c r="G1199"/>
      <c r="H1199"/>
      <c r="I1199"/>
      <c r="J1199"/>
      <c r="K1199"/>
      <c r="L1199"/>
      <c r="M1199"/>
      <c r="N1199"/>
      <c r="O1199"/>
    </row>
    <row r="1200" spans="1:15" x14ac:dyDescent="0.25">
      <c r="A1200"/>
      <c r="B1200"/>
      <c r="C1200"/>
      <c r="D1200"/>
      <c r="E1200"/>
      <c r="F1200"/>
      <c r="G1200"/>
      <c r="H1200"/>
      <c r="I1200"/>
      <c r="J1200"/>
      <c r="K1200"/>
      <c r="L1200"/>
      <c r="M1200"/>
      <c r="N1200"/>
      <c r="O1200"/>
    </row>
    <row r="1201" spans="1:15" x14ac:dyDescent="0.25">
      <c r="A1201"/>
      <c r="B1201"/>
      <c r="C1201"/>
      <c r="D1201"/>
      <c r="E1201"/>
      <c r="F1201"/>
      <c r="G1201"/>
      <c r="H1201"/>
      <c r="I1201"/>
      <c r="J1201"/>
      <c r="K1201"/>
      <c r="L1201"/>
      <c r="M1201"/>
      <c r="N1201"/>
      <c r="O1201"/>
    </row>
    <row r="1202" spans="1:15" x14ac:dyDescent="0.25">
      <c r="A1202"/>
      <c r="B1202"/>
      <c r="C1202"/>
      <c r="D1202"/>
      <c r="E1202"/>
      <c r="F1202"/>
      <c r="G1202"/>
      <c r="H1202"/>
      <c r="I1202"/>
      <c r="J1202"/>
      <c r="K1202"/>
      <c r="L1202"/>
      <c r="M1202"/>
      <c r="N1202"/>
      <c r="O1202"/>
    </row>
    <row r="1203" spans="1:15" x14ac:dyDescent="0.25">
      <c r="A1203"/>
      <c r="B1203"/>
      <c r="C1203"/>
      <c r="D1203"/>
      <c r="E1203"/>
      <c r="F1203"/>
      <c r="G1203"/>
      <c r="H1203"/>
      <c r="I1203"/>
      <c r="J1203"/>
      <c r="K1203"/>
      <c r="L1203"/>
      <c r="M1203"/>
      <c r="N1203"/>
      <c r="O1203"/>
    </row>
    <row r="1204" spans="1:15" x14ac:dyDescent="0.25">
      <c r="A1204"/>
      <c r="B1204"/>
      <c r="C1204"/>
      <c r="D1204"/>
      <c r="E1204"/>
      <c r="F1204"/>
      <c r="G1204"/>
      <c r="H1204"/>
      <c r="I1204"/>
      <c r="J1204"/>
      <c r="K1204"/>
      <c r="L1204"/>
      <c r="M1204"/>
      <c r="N1204"/>
      <c r="O1204"/>
    </row>
    <row r="1205" spans="1:15" x14ac:dyDescent="0.25">
      <c r="A1205"/>
      <c r="B1205"/>
      <c r="C1205"/>
      <c r="D1205"/>
      <c r="E1205"/>
      <c r="F1205"/>
      <c r="G1205"/>
      <c r="H1205"/>
      <c r="I1205"/>
      <c r="J1205"/>
      <c r="K1205"/>
      <c r="L1205"/>
      <c r="M1205"/>
      <c r="N1205"/>
      <c r="O1205"/>
    </row>
    <row r="1206" spans="1:15" x14ac:dyDescent="0.25">
      <c r="A1206"/>
      <c r="B1206"/>
      <c r="C1206"/>
      <c r="D1206"/>
      <c r="E1206"/>
      <c r="F1206"/>
      <c r="G1206"/>
      <c r="H1206"/>
      <c r="I1206"/>
      <c r="J1206"/>
      <c r="K1206"/>
      <c r="L1206"/>
      <c r="M1206"/>
      <c r="N1206"/>
      <c r="O1206"/>
    </row>
    <row r="1207" spans="1:15" x14ac:dyDescent="0.25">
      <c r="A1207"/>
      <c r="B1207"/>
      <c r="C1207"/>
      <c r="D1207"/>
      <c r="E1207"/>
      <c r="F1207"/>
      <c r="G1207"/>
      <c r="H1207"/>
      <c r="I1207"/>
      <c r="J1207"/>
      <c r="K1207"/>
      <c r="L1207"/>
      <c r="M1207"/>
      <c r="N1207"/>
      <c r="O1207"/>
    </row>
    <row r="1208" spans="1:15" x14ac:dyDescent="0.25">
      <c r="A1208"/>
      <c r="B1208"/>
      <c r="C1208"/>
      <c r="D1208"/>
      <c r="E1208"/>
      <c r="F1208"/>
      <c r="G1208"/>
      <c r="H1208"/>
      <c r="I1208"/>
      <c r="J1208"/>
      <c r="K1208"/>
      <c r="L1208"/>
      <c r="M1208"/>
      <c r="N1208"/>
      <c r="O1208"/>
    </row>
    <row r="1209" spans="1:15" x14ac:dyDescent="0.25">
      <c r="A1209"/>
      <c r="B1209"/>
      <c r="C1209"/>
      <c r="D1209"/>
      <c r="E1209"/>
      <c r="F1209"/>
      <c r="G1209"/>
      <c r="H1209"/>
      <c r="I1209"/>
      <c r="J1209"/>
      <c r="K1209"/>
      <c r="L1209"/>
      <c r="M1209"/>
      <c r="N1209"/>
      <c r="O1209"/>
    </row>
    <row r="1210" spans="1:15" x14ac:dyDescent="0.25">
      <c r="A1210"/>
      <c r="B1210"/>
      <c r="C1210"/>
      <c r="D1210"/>
      <c r="E1210"/>
      <c r="F1210"/>
      <c r="G1210"/>
      <c r="H1210"/>
      <c r="I1210"/>
      <c r="J1210"/>
      <c r="K1210"/>
      <c r="L1210"/>
      <c r="M1210"/>
      <c r="N1210"/>
      <c r="O1210"/>
    </row>
    <row r="1211" spans="1:15" x14ac:dyDescent="0.25">
      <c r="A1211"/>
      <c r="B1211"/>
      <c r="C1211"/>
      <c r="D1211"/>
      <c r="E1211"/>
      <c r="F1211"/>
      <c r="G1211"/>
      <c r="H1211"/>
      <c r="I1211"/>
      <c r="J1211"/>
      <c r="K1211"/>
      <c r="L1211"/>
      <c r="M1211"/>
      <c r="N1211"/>
      <c r="O1211"/>
    </row>
    <row r="1212" spans="1:15" x14ac:dyDescent="0.25">
      <c r="A1212"/>
      <c r="B1212"/>
      <c r="C1212"/>
      <c r="D1212"/>
      <c r="E1212"/>
      <c r="F1212"/>
      <c r="G1212"/>
      <c r="H1212"/>
      <c r="I1212"/>
      <c r="J1212"/>
      <c r="K1212"/>
      <c r="L1212"/>
      <c r="M1212"/>
      <c r="N1212"/>
      <c r="O1212"/>
    </row>
    <row r="1213" spans="1:15" x14ac:dyDescent="0.25">
      <c r="A1213"/>
      <c r="B1213"/>
      <c r="C1213"/>
      <c r="D1213"/>
      <c r="E1213"/>
      <c r="F1213"/>
      <c r="G1213"/>
      <c r="H1213"/>
      <c r="I1213"/>
      <c r="J1213"/>
      <c r="K1213"/>
      <c r="L1213"/>
      <c r="M1213"/>
      <c r="N1213"/>
      <c r="O1213"/>
    </row>
    <row r="1214" spans="1:15" x14ac:dyDescent="0.25">
      <c r="A1214"/>
      <c r="B1214"/>
      <c r="C1214"/>
      <c r="D1214"/>
      <c r="E1214"/>
      <c r="F1214"/>
      <c r="G1214"/>
      <c r="H1214"/>
      <c r="I1214"/>
      <c r="J1214"/>
      <c r="K1214"/>
      <c r="L1214"/>
      <c r="M1214"/>
      <c r="N1214"/>
      <c r="O1214"/>
    </row>
    <row r="1215" spans="1:15" x14ac:dyDescent="0.25">
      <c r="A1215"/>
      <c r="B1215"/>
      <c r="C1215"/>
      <c r="D1215"/>
      <c r="E1215"/>
      <c r="F1215"/>
      <c r="G1215"/>
      <c r="H1215"/>
      <c r="I1215"/>
      <c r="J1215"/>
      <c r="K1215"/>
      <c r="L1215"/>
      <c r="M1215"/>
      <c r="N1215"/>
      <c r="O1215"/>
    </row>
    <row r="1216" spans="1:15" x14ac:dyDescent="0.25">
      <c r="A1216"/>
      <c r="B1216"/>
      <c r="C1216"/>
      <c r="D1216"/>
      <c r="E1216"/>
      <c r="F1216"/>
      <c r="G1216"/>
      <c r="H1216"/>
      <c r="I1216"/>
      <c r="J1216"/>
      <c r="K1216"/>
      <c r="L1216"/>
      <c r="M1216"/>
      <c r="N1216"/>
      <c r="O1216"/>
    </row>
    <row r="1217" spans="1:15" x14ac:dyDescent="0.25">
      <c r="A1217"/>
      <c r="B1217"/>
      <c r="C1217"/>
      <c r="D1217"/>
      <c r="E1217"/>
      <c r="F1217"/>
      <c r="G1217"/>
      <c r="H1217"/>
      <c r="I1217"/>
      <c r="J1217"/>
      <c r="K1217"/>
      <c r="L1217"/>
      <c r="M1217"/>
      <c r="N1217"/>
      <c r="O1217"/>
    </row>
    <row r="1218" spans="1:15" x14ac:dyDescent="0.25">
      <c r="A1218"/>
      <c r="B1218"/>
      <c r="C1218"/>
      <c r="D1218"/>
      <c r="E1218"/>
      <c r="F1218"/>
      <c r="G1218"/>
      <c r="H1218"/>
      <c r="I1218"/>
      <c r="J1218"/>
      <c r="K1218"/>
      <c r="L1218"/>
      <c r="M1218"/>
      <c r="N1218"/>
      <c r="O1218"/>
    </row>
    <row r="1219" spans="1:15" x14ac:dyDescent="0.25">
      <c r="A1219"/>
      <c r="B1219"/>
      <c r="C1219"/>
      <c r="D1219"/>
      <c r="E1219"/>
      <c r="F1219"/>
      <c r="G1219"/>
      <c r="H1219"/>
      <c r="I1219"/>
      <c r="J1219"/>
      <c r="K1219"/>
      <c r="L1219"/>
      <c r="M1219"/>
      <c r="N1219"/>
      <c r="O1219"/>
    </row>
    <row r="1220" spans="1:15" x14ac:dyDescent="0.25">
      <c r="A1220"/>
      <c r="B1220"/>
      <c r="C1220"/>
      <c r="D1220"/>
      <c r="E1220"/>
      <c r="F1220"/>
      <c r="G1220"/>
      <c r="H1220"/>
      <c r="I1220"/>
      <c r="J1220"/>
      <c r="K1220"/>
      <c r="L1220"/>
      <c r="M1220"/>
      <c r="N1220"/>
      <c r="O1220"/>
    </row>
    <row r="1221" spans="1:15" x14ac:dyDescent="0.25">
      <c r="A1221"/>
      <c r="B1221"/>
      <c r="C1221"/>
      <c r="D1221"/>
      <c r="E1221"/>
      <c r="F1221"/>
      <c r="G1221"/>
      <c r="H1221"/>
      <c r="I1221"/>
      <c r="J1221"/>
      <c r="K1221"/>
      <c r="L1221"/>
      <c r="M1221"/>
      <c r="N1221"/>
      <c r="O1221"/>
    </row>
    <row r="1222" spans="1:15" x14ac:dyDescent="0.25">
      <c r="A1222"/>
      <c r="B1222"/>
      <c r="C1222"/>
      <c r="D1222"/>
      <c r="E1222"/>
      <c r="F1222"/>
      <c r="G1222"/>
      <c r="H1222"/>
      <c r="I1222"/>
      <c r="J1222"/>
      <c r="K1222"/>
      <c r="L1222"/>
      <c r="M1222"/>
      <c r="N1222"/>
      <c r="O1222"/>
    </row>
    <row r="1223" spans="1:15" x14ac:dyDescent="0.25">
      <c r="A1223"/>
      <c r="B1223"/>
      <c r="C1223"/>
      <c r="D1223"/>
      <c r="E1223"/>
      <c r="F1223"/>
      <c r="G1223"/>
      <c r="H1223"/>
      <c r="I1223"/>
      <c r="J1223"/>
      <c r="K1223"/>
      <c r="L1223"/>
      <c r="M1223"/>
      <c r="N1223"/>
      <c r="O1223"/>
    </row>
    <row r="1224" spans="1:15" x14ac:dyDescent="0.25">
      <c r="A1224"/>
      <c r="B1224"/>
      <c r="C1224"/>
      <c r="D1224"/>
      <c r="E1224"/>
      <c r="F1224"/>
      <c r="G1224"/>
      <c r="H1224"/>
      <c r="I1224"/>
      <c r="J1224"/>
      <c r="K1224"/>
      <c r="L1224"/>
      <c r="M1224"/>
      <c r="N1224"/>
      <c r="O1224"/>
    </row>
    <row r="1225" spans="1:15" x14ac:dyDescent="0.25">
      <c r="A1225"/>
      <c r="B1225"/>
      <c r="C1225"/>
      <c r="D1225"/>
      <c r="E1225"/>
      <c r="F1225"/>
      <c r="G1225"/>
      <c r="H1225"/>
      <c r="I1225"/>
      <c r="J1225"/>
      <c r="K1225"/>
      <c r="L1225"/>
      <c r="M1225"/>
      <c r="N1225"/>
      <c r="O1225"/>
    </row>
    <row r="1226" spans="1:15" x14ac:dyDescent="0.25">
      <c r="A1226"/>
      <c r="B1226"/>
      <c r="C1226"/>
      <c r="D1226"/>
      <c r="E1226"/>
      <c r="F1226"/>
      <c r="G1226"/>
      <c r="H1226"/>
      <c r="I1226"/>
      <c r="J1226"/>
      <c r="K1226"/>
      <c r="L1226"/>
      <c r="M1226"/>
      <c r="N1226"/>
      <c r="O1226"/>
    </row>
    <row r="1227" spans="1:15" x14ac:dyDescent="0.25">
      <c r="A1227"/>
      <c r="B1227"/>
      <c r="C1227"/>
      <c r="D1227"/>
      <c r="E1227"/>
      <c r="F1227"/>
      <c r="G1227"/>
      <c r="H1227"/>
      <c r="I1227"/>
      <c r="J1227"/>
      <c r="K1227"/>
      <c r="L1227"/>
      <c r="M1227"/>
      <c r="N1227"/>
      <c r="O1227"/>
    </row>
    <row r="1228" spans="1:15" x14ac:dyDescent="0.25">
      <c r="A1228"/>
      <c r="B1228"/>
      <c r="C1228"/>
      <c r="D1228"/>
      <c r="E1228"/>
      <c r="F1228"/>
      <c r="G1228"/>
      <c r="H1228"/>
      <c r="I1228"/>
      <c r="J1228"/>
      <c r="K1228"/>
      <c r="L1228"/>
      <c r="M1228"/>
      <c r="N1228"/>
      <c r="O1228"/>
    </row>
    <row r="1229" spans="1:15" x14ac:dyDescent="0.25">
      <c r="A1229"/>
      <c r="B1229"/>
      <c r="C1229"/>
      <c r="D1229"/>
      <c r="E1229"/>
      <c r="F1229"/>
      <c r="G1229"/>
      <c r="H1229"/>
      <c r="I1229"/>
      <c r="J1229"/>
      <c r="K1229"/>
      <c r="L1229"/>
      <c r="M1229"/>
      <c r="N1229"/>
      <c r="O1229"/>
    </row>
    <row r="1230" spans="1:15" x14ac:dyDescent="0.25">
      <c r="A1230"/>
      <c r="B1230"/>
      <c r="C1230"/>
      <c r="D1230"/>
      <c r="E1230"/>
      <c r="F1230"/>
      <c r="G1230"/>
      <c r="H1230"/>
      <c r="I1230"/>
      <c r="J1230"/>
      <c r="K1230"/>
      <c r="L1230"/>
      <c r="M1230"/>
      <c r="N1230"/>
      <c r="O1230"/>
    </row>
    <row r="1231" spans="1:15" x14ac:dyDescent="0.25">
      <c r="A1231"/>
      <c r="B1231"/>
      <c r="C1231"/>
      <c r="D1231"/>
      <c r="E1231"/>
      <c r="F1231"/>
      <c r="G1231"/>
      <c r="H1231"/>
      <c r="I1231"/>
      <c r="J1231"/>
      <c r="K1231"/>
      <c r="L1231"/>
      <c r="M1231"/>
      <c r="N1231"/>
      <c r="O1231"/>
    </row>
    <row r="1232" spans="1:15" x14ac:dyDescent="0.25">
      <c r="A1232"/>
      <c r="B1232"/>
      <c r="C1232"/>
      <c r="D1232"/>
      <c r="E1232"/>
      <c r="F1232"/>
      <c r="G1232"/>
      <c r="H1232"/>
      <c r="I1232"/>
      <c r="J1232"/>
      <c r="K1232"/>
      <c r="L1232"/>
      <c r="M1232"/>
      <c r="N1232"/>
      <c r="O1232"/>
    </row>
    <row r="1233" spans="1:15" x14ac:dyDescent="0.25">
      <c r="A1233"/>
      <c r="B1233"/>
      <c r="C1233"/>
      <c r="D1233"/>
      <c r="E1233"/>
      <c r="F1233"/>
      <c r="G1233"/>
      <c r="H1233"/>
      <c r="I1233"/>
      <c r="J1233"/>
      <c r="K1233"/>
      <c r="L1233"/>
      <c r="M1233"/>
      <c r="N1233"/>
      <c r="O1233"/>
    </row>
    <row r="1234" spans="1:15" x14ac:dyDescent="0.25">
      <c r="A1234"/>
      <c r="B1234"/>
      <c r="C1234"/>
      <c r="D1234"/>
      <c r="E1234"/>
      <c r="F1234"/>
      <c r="G1234"/>
      <c r="H1234"/>
      <c r="I1234"/>
      <c r="J1234"/>
      <c r="K1234"/>
      <c r="L1234"/>
      <c r="M1234"/>
      <c r="N1234"/>
      <c r="O1234"/>
    </row>
    <row r="1235" spans="1:15" x14ac:dyDescent="0.25">
      <c r="A1235"/>
      <c r="B1235"/>
      <c r="C1235"/>
      <c r="D1235"/>
      <c r="E1235"/>
      <c r="F1235"/>
      <c r="G1235"/>
      <c r="H1235"/>
      <c r="I1235"/>
      <c r="J1235"/>
      <c r="K1235"/>
      <c r="L1235"/>
      <c r="M1235"/>
      <c r="N1235"/>
      <c r="O1235"/>
    </row>
    <row r="1236" spans="1:15" x14ac:dyDescent="0.25">
      <c r="A1236"/>
      <c r="B1236"/>
      <c r="C1236"/>
      <c r="D1236"/>
      <c r="E1236"/>
      <c r="F1236"/>
      <c r="G1236"/>
      <c r="H1236"/>
      <c r="I1236"/>
      <c r="J1236"/>
      <c r="K1236"/>
      <c r="L1236"/>
      <c r="M1236"/>
      <c r="N1236"/>
      <c r="O1236"/>
    </row>
    <row r="1237" spans="1:15" x14ac:dyDescent="0.25">
      <c r="A1237"/>
      <c r="B1237"/>
      <c r="C1237"/>
      <c r="D1237"/>
      <c r="E1237"/>
      <c r="F1237"/>
      <c r="G1237"/>
      <c r="H1237"/>
      <c r="I1237"/>
      <c r="J1237"/>
      <c r="K1237"/>
      <c r="L1237"/>
      <c r="M1237"/>
      <c r="N1237"/>
      <c r="O1237"/>
    </row>
    <row r="1238" spans="1:15" x14ac:dyDescent="0.25">
      <c r="A1238"/>
      <c r="B1238"/>
      <c r="C1238"/>
      <c r="D1238"/>
      <c r="E1238"/>
      <c r="F1238"/>
      <c r="G1238"/>
      <c r="H1238"/>
      <c r="I1238"/>
      <c r="J1238"/>
      <c r="K1238"/>
      <c r="L1238"/>
      <c r="M1238"/>
      <c r="N1238"/>
      <c r="O1238"/>
    </row>
    <row r="1239" spans="1:15" x14ac:dyDescent="0.25">
      <c r="A1239"/>
      <c r="B1239"/>
      <c r="C1239"/>
      <c r="D1239"/>
      <c r="E1239"/>
      <c r="F1239"/>
      <c r="G1239"/>
      <c r="H1239"/>
      <c r="I1239"/>
      <c r="J1239"/>
      <c r="K1239"/>
      <c r="L1239"/>
      <c r="M1239"/>
      <c r="N1239"/>
      <c r="O1239"/>
    </row>
    <row r="1240" spans="1:15" x14ac:dyDescent="0.25">
      <c r="A1240"/>
      <c r="B1240"/>
      <c r="C1240"/>
      <c r="D1240"/>
      <c r="E1240"/>
      <c r="F1240"/>
      <c r="G1240"/>
      <c r="H1240"/>
      <c r="I1240"/>
      <c r="J1240"/>
      <c r="K1240"/>
      <c r="L1240"/>
      <c r="M1240"/>
      <c r="N1240"/>
      <c r="O1240"/>
    </row>
    <row r="1241" spans="1:15" x14ac:dyDescent="0.25">
      <c r="A1241"/>
      <c r="B1241"/>
      <c r="C1241"/>
      <c r="D1241"/>
      <c r="E1241"/>
      <c r="F1241"/>
      <c r="G1241"/>
      <c r="H1241"/>
      <c r="I1241"/>
      <c r="J1241"/>
      <c r="K1241"/>
      <c r="L1241"/>
      <c r="M1241"/>
      <c r="N1241"/>
      <c r="O1241"/>
    </row>
    <row r="1242" spans="1:15" x14ac:dyDescent="0.25">
      <c r="A1242"/>
      <c r="B1242"/>
      <c r="C1242"/>
      <c r="D1242"/>
      <c r="E1242"/>
      <c r="F1242"/>
      <c r="G1242"/>
      <c r="H1242"/>
      <c r="I1242"/>
      <c r="J1242"/>
      <c r="K1242"/>
      <c r="L1242"/>
      <c r="M1242"/>
      <c r="N1242"/>
      <c r="O1242"/>
    </row>
    <row r="1243" spans="1:15" x14ac:dyDescent="0.25">
      <c r="A1243"/>
      <c r="B1243"/>
      <c r="C1243"/>
      <c r="D1243"/>
      <c r="E1243"/>
      <c r="F1243"/>
      <c r="G1243"/>
      <c r="H1243"/>
      <c r="I1243"/>
      <c r="J1243"/>
      <c r="K1243"/>
      <c r="L1243"/>
      <c r="M1243"/>
      <c r="N1243"/>
      <c r="O1243"/>
    </row>
    <row r="1244" spans="1:15" x14ac:dyDescent="0.25">
      <c r="A1244"/>
      <c r="B1244"/>
      <c r="C1244"/>
      <c r="D1244"/>
      <c r="E1244"/>
      <c r="F1244"/>
      <c r="G1244"/>
      <c r="H1244"/>
      <c r="I1244"/>
      <c r="J1244"/>
      <c r="K1244"/>
      <c r="L1244"/>
      <c r="M1244"/>
      <c r="N1244"/>
      <c r="O1244"/>
    </row>
    <row r="1245" spans="1:15" x14ac:dyDescent="0.25">
      <c r="A1245"/>
      <c r="B1245"/>
      <c r="C1245"/>
      <c r="D1245"/>
      <c r="E1245"/>
      <c r="F1245"/>
      <c r="G1245"/>
      <c r="H1245"/>
      <c r="I1245"/>
      <c r="J1245"/>
      <c r="K1245"/>
      <c r="L1245"/>
      <c r="M1245"/>
      <c r="N1245"/>
      <c r="O1245"/>
    </row>
    <row r="1246" spans="1:15" x14ac:dyDescent="0.25">
      <c r="A1246"/>
      <c r="B1246"/>
      <c r="C1246"/>
      <c r="D1246"/>
      <c r="E1246"/>
      <c r="F1246"/>
      <c r="G1246"/>
      <c r="H1246"/>
      <c r="I1246"/>
      <c r="J1246"/>
      <c r="K1246"/>
      <c r="L1246"/>
      <c r="M1246"/>
      <c r="N1246"/>
      <c r="O1246"/>
    </row>
    <row r="1247" spans="1:15" x14ac:dyDescent="0.25">
      <c r="A1247"/>
      <c r="B1247"/>
      <c r="C1247"/>
      <c r="D1247"/>
      <c r="E1247"/>
      <c r="F1247"/>
      <c r="G1247"/>
      <c r="H1247"/>
      <c r="I1247"/>
      <c r="J1247"/>
      <c r="K1247"/>
      <c r="L1247"/>
      <c r="M1247"/>
      <c r="N1247"/>
      <c r="O1247"/>
    </row>
    <row r="1248" spans="1:15" x14ac:dyDescent="0.25">
      <c r="A1248"/>
      <c r="B1248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</row>
    <row r="1249" spans="1:15" x14ac:dyDescent="0.25">
      <c r="A1249"/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</row>
    <row r="1250" spans="1:15" x14ac:dyDescent="0.25">
      <c r="A1250"/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</row>
    <row r="1251" spans="1:15" x14ac:dyDescent="0.25">
      <c r="A1251"/>
      <c r="B1251"/>
      <c r="C1251"/>
      <c r="D1251"/>
      <c r="E1251"/>
      <c r="F1251"/>
      <c r="G1251"/>
      <c r="H1251"/>
      <c r="I1251"/>
      <c r="J1251"/>
      <c r="K1251"/>
      <c r="L1251"/>
      <c r="M1251"/>
      <c r="N1251"/>
      <c r="O1251"/>
    </row>
    <row r="1252" spans="1:15" x14ac:dyDescent="0.25">
      <c r="A1252"/>
      <c r="B1252"/>
      <c r="C1252"/>
      <c r="D1252"/>
      <c r="E1252"/>
      <c r="F1252"/>
      <c r="G1252"/>
      <c r="H1252"/>
      <c r="I1252"/>
      <c r="J1252"/>
      <c r="K1252"/>
      <c r="L1252"/>
      <c r="M1252"/>
      <c r="N1252"/>
      <c r="O1252"/>
    </row>
    <row r="1253" spans="1:15" x14ac:dyDescent="0.25">
      <c r="A1253"/>
      <c r="B1253"/>
      <c r="C1253"/>
      <c r="D1253"/>
      <c r="E1253"/>
      <c r="F1253"/>
      <c r="G1253"/>
      <c r="H1253"/>
      <c r="I1253"/>
      <c r="J1253"/>
      <c r="K1253"/>
      <c r="L1253"/>
      <c r="M1253"/>
      <c r="N1253"/>
      <c r="O1253"/>
    </row>
    <row r="1254" spans="1:15" x14ac:dyDescent="0.25">
      <c r="A1254"/>
      <c r="B1254"/>
      <c r="C1254"/>
      <c r="D1254"/>
      <c r="E1254"/>
      <c r="F1254"/>
      <c r="G1254"/>
      <c r="H1254"/>
      <c r="I1254"/>
      <c r="J1254"/>
      <c r="K1254"/>
      <c r="L1254"/>
      <c r="M1254"/>
      <c r="N1254"/>
      <c r="O1254"/>
    </row>
    <row r="1255" spans="1:15" x14ac:dyDescent="0.25">
      <c r="A1255"/>
      <c r="B1255"/>
      <c r="C1255"/>
      <c r="D1255"/>
      <c r="E1255"/>
      <c r="F1255"/>
      <c r="G1255"/>
      <c r="H1255"/>
      <c r="I1255"/>
      <c r="J1255"/>
      <c r="K1255"/>
      <c r="L1255"/>
      <c r="M1255"/>
      <c r="N1255"/>
      <c r="O1255"/>
    </row>
    <row r="1256" spans="1:15" x14ac:dyDescent="0.25">
      <c r="A1256"/>
      <c r="B1256"/>
      <c r="C1256"/>
      <c r="D1256"/>
      <c r="E1256"/>
      <c r="F1256"/>
      <c r="G1256"/>
      <c r="H1256"/>
      <c r="I1256"/>
      <c r="J1256"/>
      <c r="K1256"/>
      <c r="L1256"/>
      <c r="M1256"/>
      <c r="N1256"/>
      <c r="O1256"/>
    </row>
    <row r="1257" spans="1:15" x14ac:dyDescent="0.25">
      <c r="A1257"/>
      <c r="B1257"/>
      <c r="C1257"/>
      <c r="D1257"/>
      <c r="E1257"/>
      <c r="F1257"/>
      <c r="G1257"/>
      <c r="H1257"/>
      <c r="I1257"/>
      <c r="J1257"/>
      <c r="K1257"/>
      <c r="L1257"/>
      <c r="M1257"/>
      <c r="N1257"/>
      <c r="O1257"/>
    </row>
    <row r="1258" spans="1:15" x14ac:dyDescent="0.25">
      <c r="A1258"/>
      <c r="B1258"/>
      <c r="C1258"/>
      <c r="D1258"/>
      <c r="E1258"/>
      <c r="F1258"/>
      <c r="G1258"/>
      <c r="H1258"/>
      <c r="I1258"/>
      <c r="J1258"/>
      <c r="K1258"/>
      <c r="L1258"/>
      <c r="M1258"/>
      <c r="N1258"/>
      <c r="O1258"/>
    </row>
    <row r="1259" spans="1:15" x14ac:dyDescent="0.25">
      <c r="A1259"/>
      <c r="B1259"/>
      <c r="C1259"/>
      <c r="D1259"/>
      <c r="E1259"/>
      <c r="F1259"/>
      <c r="G1259"/>
      <c r="H1259"/>
      <c r="I1259"/>
      <c r="J1259"/>
      <c r="K1259"/>
      <c r="L1259"/>
      <c r="M1259"/>
      <c r="N1259"/>
      <c r="O1259"/>
    </row>
    <row r="1260" spans="1:15" x14ac:dyDescent="0.25">
      <c r="A1260"/>
      <c r="B1260"/>
      <c r="C1260"/>
      <c r="D1260"/>
      <c r="E1260"/>
      <c r="F1260"/>
      <c r="G1260"/>
      <c r="H1260"/>
      <c r="I1260"/>
      <c r="J1260"/>
      <c r="K1260"/>
      <c r="L1260"/>
      <c r="M1260"/>
      <c r="N1260"/>
      <c r="O1260"/>
    </row>
    <row r="1261" spans="1:15" x14ac:dyDescent="0.25">
      <c r="A1261"/>
      <c r="B1261"/>
      <c r="C1261"/>
      <c r="D1261"/>
      <c r="E1261"/>
      <c r="F1261"/>
      <c r="G1261"/>
      <c r="H1261"/>
      <c r="I1261"/>
      <c r="J1261"/>
      <c r="K1261"/>
      <c r="L1261"/>
      <c r="M1261"/>
      <c r="N1261"/>
      <c r="O1261"/>
    </row>
    <row r="1262" spans="1:15" x14ac:dyDescent="0.25">
      <c r="A1262"/>
      <c r="B1262"/>
      <c r="C1262"/>
      <c r="D1262"/>
      <c r="E1262"/>
      <c r="F1262"/>
      <c r="G1262"/>
      <c r="H1262"/>
      <c r="I1262"/>
      <c r="J1262"/>
      <c r="K1262"/>
      <c r="L1262"/>
      <c r="M1262"/>
      <c r="N1262"/>
      <c r="O1262"/>
    </row>
    <row r="1263" spans="1:15" x14ac:dyDescent="0.25">
      <c r="A1263"/>
      <c r="B1263"/>
      <c r="C1263"/>
      <c r="D1263"/>
      <c r="E1263"/>
      <c r="F1263"/>
      <c r="G1263"/>
      <c r="H1263"/>
      <c r="I1263"/>
      <c r="J1263"/>
      <c r="K1263"/>
      <c r="L1263"/>
      <c r="M1263"/>
      <c r="N1263"/>
      <c r="O1263"/>
    </row>
    <row r="1264" spans="1:15" x14ac:dyDescent="0.25">
      <c r="A1264"/>
      <c r="B1264"/>
      <c r="C1264"/>
      <c r="D1264"/>
      <c r="E1264"/>
      <c r="F1264"/>
      <c r="G1264"/>
      <c r="H1264"/>
      <c r="I1264"/>
      <c r="J1264"/>
      <c r="K1264"/>
      <c r="L1264"/>
      <c r="M1264"/>
      <c r="N1264"/>
      <c r="O1264"/>
    </row>
    <row r="1265" spans="1:15" x14ac:dyDescent="0.25">
      <c r="A1265"/>
      <c r="B1265"/>
      <c r="C1265"/>
      <c r="D1265"/>
      <c r="E1265"/>
      <c r="F1265"/>
      <c r="G1265"/>
      <c r="H1265"/>
      <c r="I1265"/>
      <c r="J1265"/>
      <c r="K1265"/>
      <c r="L1265"/>
      <c r="M1265"/>
      <c r="N1265"/>
      <c r="O1265"/>
    </row>
    <row r="1266" spans="1:15" x14ac:dyDescent="0.25">
      <c r="A1266"/>
      <c r="B1266"/>
      <c r="C1266"/>
      <c r="D1266"/>
      <c r="E1266"/>
      <c r="F1266"/>
      <c r="G1266"/>
      <c r="H1266"/>
      <c r="I1266"/>
      <c r="J1266"/>
      <c r="K1266"/>
      <c r="L1266"/>
      <c r="M1266"/>
      <c r="N1266"/>
      <c r="O1266"/>
    </row>
    <row r="1267" spans="1:15" x14ac:dyDescent="0.25">
      <c r="A1267"/>
      <c r="B1267"/>
      <c r="C1267"/>
      <c r="D1267"/>
      <c r="E1267"/>
      <c r="F1267"/>
      <c r="G1267"/>
      <c r="H1267"/>
      <c r="I1267"/>
      <c r="J1267"/>
      <c r="K1267"/>
      <c r="L1267"/>
      <c r="M1267"/>
      <c r="N1267"/>
      <c r="O1267"/>
    </row>
    <row r="1268" spans="1:15" x14ac:dyDescent="0.25">
      <c r="A1268"/>
      <c r="B1268"/>
      <c r="C1268"/>
      <c r="D1268"/>
      <c r="E1268"/>
      <c r="F1268"/>
      <c r="G1268"/>
      <c r="H1268"/>
      <c r="I1268"/>
      <c r="J1268"/>
      <c r="K1268"/>
      <c r="L1268"/>
      <c r="M1268"/>
      <c r="N1268"/>
      <c r="O1268"/>
    </row>
    <row r="1269" spans="1:15" x14ac:dyDescent="0.25">
      <c r="A1269"/>
      <c r="B1269"/>
      <c r="C1269"/>
      <c r="D1269"/>
      <c r="E1269"/>
      <c r="F1269"/>
      <c r="G1269"/>
      <c r="H1269"/>
      <c r="I1269"/>
      <c r="J1269"/>
      <c r="K1269"/>
      <c r="L1269"/>
      <c r="M1269"/>
      <c r="N1269"/>
      <c r="O1269"/>
    </row>
    <row r="1270" spans="1:15" x14ac:dyDescent="0.25">
      <c r="A1270"/>
      <c r="B1270"/>
      <c r="C1270"/>
      <c r="D1270"/>
      <c r="E1270"/>
      <c r="F1270"/>
      <c r="G1270"/>
      <c r="H1270"/>
      <c r="I1270"/>
      <c r="J1270"/>
      <c r="K1270"/>
      <c r="L1270"/>
      <c r="M1270"/>
      <c r="N1270"/>
      <c r="O1270"/>
    </row>
    <row r="1271" spans="1:15" x14ac:dyDescent="0.25">
      <c r="A1271"/>
      <c r="B1271"/>
      <c r="C1271"/>
      <c r="D1271"/>
      <c r="E1271"/>
      <c r="F1271"/>
      <c r="G1271"/>
      <c r="H1271"/>
      <c r="I1271"/>
      <c r="J1271"/>
      <c r="K1271"/>
      <c r="L1271"/>
      <c r="M1271"/>
      <c r="N1271"/>
      <c r="O1271"/>
    </row>
    <row r="1272" spans="1:15" x14ac:dyDescent="0.25">
      <c r="A1272"/>
      <c r="B1272"/>
      <c r="C1272"/>
      <c r="D1272"/>
      <c r="E1272"/>
      <c r="F1272"/>
      <c r="G1272"/>
      <c r="H1272"/>
      <c r="I1272"/>
      <c r="J1272"/>
      <c r="K1272"/>
      <c r="L1272"/>
      <c r="M1272"/>
      <c r="N1272"/>
      <c r="O1272"/>
    </row>
    <row r="1273" spans="1:15" x14ac:dyDescent="0.25">
      <c r="A1273"/>
      <c r="B1273"/>
      <c r="C1273"/>
      <c r="D1273"/>
      <c r="E1273"/>
      <c r="F1273"/>
      <c r="G1273"/>
      <c r="H1273"/>
      <c r="I1273"/>
      <c r="J1273"/>
      <c r="K1273"/>
      <c r="L1273"/>
      <c r="M1273"/>
      <c r="N1273"/>
      <c r="O1273"/>
    </row>
    <row r="1274" spans="1:15" x14ac:dyDescent="0.25">
      <c r="A1274"/>
      <c r="B1274"/>
      <c r="C1274"/>
      <c r="D1274"/>
      <c r="E1274"/>
      <c r="F1274"/>
      <c r="G1274"/>
      <c r="H1274"/>
      <c r="I1274"/>
      <c r="J1274"/>
      <c r="K1274"/>
      <c r="L1274"/>
      <c r="M1274"/>
      <c r="N1274"/>
      <c r="O1274"/>
    </row>
    <row r="1275" spans="1:15" x14ac:dyDescent="0.25">
      <c r="A1275"/>
      <c r="B1275"/>
      <c r="C1275"/>
      <c r="D1275"/>
      <c r="E1275"/>
      <c r="F1275"/>
      <c r="G1275"/>
      <c r="H1275"/>
      <c r="I1275"/>
      <c r="J1275"/>
      <c r="K1275"/>
      <c r="L1275"/>
      <c r="M1275"/>
      <c r="N1275"/>
      <c r="O1275"/>
    </row>
    <row r="1276" spans="1:15" x14ac:dyDescent="0.25">
      <c r="A1276"/>
      <c r="B1276"/>
      <c r="C1276"/>
      <c r="D1276"/>
      <c r="E1276"/>
      <c r="F1276"/>
      <c r="G1276"/>
      <c r="H1276"/>
      <c r="I1276"/>
      <c r="J1276"/>
      <c r="K1276"/>
      <c r="L1276"/>
      <c r="M1276"/>
      <c r="N1276"/>
      <c r="O1276"/>
    </row>
    <row r="1277" spans="1:15" x14ac:dyDescent="0.25">
      <c r="A1277"/>
      <c r="B1277"/>
      <c r="C1277"/>
      <c r="D1277"/>
      <c r="E1277"/>
      <c r="F1277"/>
      <c r="G1277"/>
      <c r="H1277"/>
      <c r="I1277"/>
      <c r="J1277"/>
      <c r="K1277"/>
      <c r="L1277"/>
      <c r="M1277"/>
      <c r="N1277"/>
      <c r="O1277"/>
    </row>
    <row r="1278" spans="1:15" x14ac:dyDescent="0.25">
      <c r="A1278"/>
      <c r="B1278"/>
      <c r="C1278"/>
      <c r="D1278"/>
      <c r="E1278"/>
      <c r="F1278"/>
      <c r="G1278"/>
      <c r="H1278"/>
      <c r="I1278"/>
      <c r="J1278"/>
      <c r="K1278"/>
      <c r="L1278"/>
      <c r="M1278"/>
      <c r="N1278"/>
      <c r="O1278"/>
    </row>
    <row r="1279" spans="1:15" x14ac:dyDescent="0.25">
      <c r="A1279"/>
      <c r="B1279"/>
      <c r="C1279"/>
      <c r="D1279"/>
      <c r="E1279"/>
      <c r="F1279"/>
      <c r="G1279"/>
      <c r="H1279"/>
      <c r="I1279"/>
      <c r="J1279"/>
      <c r="K1279"/>
      <c r="L1279"/>
      <c r="M1279"/>
      <c r="N1279"/>
      <c r="O1279"/>
    </row>
    <row r="1280" spans="1:15" x14ac:dyDescent="0.25">
      <c r="A1280"/>
      <c r="B1280"/>
      <c r="C1280"/>
      <c r="D1280"/>
      <c r="E1280"/>
      <c r="F1280"/>
      <c r="G1280"/>
      <c r="H1280"/>
      <c r="I1280"/>
      <c r="J1280"/>
      <c r="K1280"/>
      <c r="L1280"/>
      <c r="M1280"/>
      <c r="N1280"/>
      <c r="O1280"/>
    </row>
    <row r="1281" spans="1:15" x14ac:dyDescent="0.25">
      <c r="A1281"/>
      <c r="B1281"/>
      <c r="C1281"/>
      <c r="D1281"/>
      <c r="E1281"/>
      <c r="F1281"/>
      <c r="G1281"/>
      <c r="H1281"/>
      <c r="I1281"/>
      <c r="J1281"/>
      <c r="K1281"/>
      <c r="L1281"/>
      <c r="M1281"/>
      <c r="N1281"/>
      <c r="O1281"/>
    </row>
    <row r="1282" spans="1:15" x14ac:dyDescent="0.25">
      <c r="A1282"/>
      <c r="B1282"/>
      <c r="C1282"/>
      <c r="D1282"/>
      <c r="E1282"/>
      <c r="F1282"/>
      <c r="G1282"/>
      <c r="H1282"/>
      <c r="I1282"/>
      <c r="J1282"/>
      <c r="K1282"/>
      <c r="L1282"/>
      <c r="M1282"/>
      <c r="N1282"/>
      <c r="O1282"/>
    </row>
    <row r="1283" spans="1:15" x14ac:dyDescent="0.25">
      <c r="A1283"/>
      <c r="B1283"/>
      <c r="C1283"/>
      <c r="D1283"/>
      <c r="E1283"/>
      <c r="F1283"/>
      <c r="G1283"/>
      <c r="H1283"/>
      <c r="I1283"/>
      <c r="J1283"/>
      <c r="K1283"/>
      <c r="L1283"/>
      <c r="M1283"/>
      <c r="N1283"/>
      <c r="O1283"/>
    </row>
    <row r="1284" spans="1:15" x14ac:dyDescent="0.25">
      <c r="A1284"/>
      <c r="B1284"/>
      <c r="C1284"/>
      <c r="D1284"/>
      <c r="E1284"/>
      <c r="F1284"/>
      <c r="G1284"/>
      <c r="H1284"/>
      <c r="I1284"/>
      <c r="J1284"/>
      <c r="K1284"/>
      <c r="L1284"/>
      <c r="M1284"/>
      <c r="N1284"/>
      <c r="O1284"/>
    </row>
    <row r="1285" spans="1:15" x14ac:dyDescent="0.25">
      <c r="A1285"/>
      <c r="B1285"/>
      <c r="C1285"/>
      <c r="D1285"/>
      <c r="E1285"/>
      <c r="F1285"/>
      <c r="G1285"/>
      <c r="H1285"/>
      <c r="I1285"/>
      <c r="J1285"/>
      <c r="K1285"/>
      <c r="L1285"/>
      <c r="M1285"/>
      <c r="N1285"/>
      <c r="O1285"/>
    </row>
    <row r="1286" spans="1:15" x14ac:dyDescent="0.25">
      <c r="A1286"/>
      <c r="B1286"/>
      <c r="C1286"/>
      <c r="D1286"/>
      <c r="E1286"/>
      <c r="F1286"/>
      <c r="G1286"/>
      <c r="H1286"/>
      <c r="I1286"/>
      <c r="J1286"/>
      <c r="K1286"/>
      <c r="L1286"/>
      <c r="M1286"/>
      <c r="N1286"/>
      <c r="O1286"/>
    </row>
    <row r="1287" spans="1:15" x14ac:dyDescent="0.25">
      <c r="A1287"/>
      <c r="B1287"/>
      <c r="C1287"/>
      <c r="D1287"/>
      <c r="E1287"/>
      <c r="F1287"/>
      <c r="G1287"/>
      <c r="H1287"/>
      <c r="I1287"/>
      <c r="J1287"/>
      <c r="K1287"/>
      <c r="L1287"/>
      <c r="M1287"/>
      <c r="N1287"/>
      <c r="O1287"/>
    </row>
    <row r="1288" spans="1:15" x14ac:dyDescent="0.25">
      <c r="A1288"/>
      <c r="B1288"/>
      <c r="C1288"/>
      <c r="D1288"/>
      <c r="E1288"/>
      <c r="F1288"/>
      <c r="G1288"/>
      <c r="H1288"/>
      <c r="I1288"/>
      <c r="J1288"/>
      <c r="K1288"/>
      <c r="L1288"/>
      <c r="M1288"/>
      <c r="N1288"/>
      <c r="O1288"/>
    </row>
    <row r="1289" spans="1:15" x14ac:dyDescent="0.25">
      <c r="A1289"/>
      <c r="B1289"/>
      <c r="C1289"/>
      <c r="D1289"/>
      <c r="E1289"/>
      <c r="F1289"/>
      <c r="G1289"/>
      <c r="H1289"/>
      <c r="I1289"/>
      <c r="J1289"/>
      <c r="K1289"/>
      <c r="L1289"/>
      <c r="M1289"/>
      <c r="N1289"/>
      <c r="O1289"/>
    </row>
    <row r="1290" spans="1:15" x14ac:dyDescent="0.25">
      <c r="A1290"/>
      <c r="B1290"/>
      <c r="C1290"/>
      <c r="D1290"/>
      <c r="E1290"/>
      <c r="F1290"/>
      <c r="G1290"/>
      <c r="H1290"/>
      <c r="I1290"/>
      <c r="J1290"/>
      <c r="K1290"/>
      <c r="L1290"/>
      <c r="M1290"/>
      <c r="N1290"/>
      <c r="O1290"/>
    </row>
    <row r="1291" spans="1:15" x14ac:dyDescent="0.25">
      <c r="A1291"/>
      <c r="B1291"/>
      <c r="C1291"/>
      <c r="D1291"/>
      <c r="E1291"/>
      <c r="F1291"/>
      <c r="G1291"/>
      <c r="H1291"/>
      <c r="I1291"/>
      <c r="J1291"/>
      <c r="K1291"/>
      <c r="L1291"/>
      <c r="M1291"/>
      <c r="N1291"/>
      <c r="O1291"/>
    </row>
    <row r="1292" spans="1:15" x14ac:dyDescent="0.25">
      <c r="A1292"/>
      <c r="B1292"/>
      <c r="C1292"/>
      <c r="D1292"/>
      <c r="E1292"/>
      <c r="F1292"/>
      <c r="G1292"/>
      <c r="H1292"/>
      <c r="I1292"/>
      <c r="J1292"/>
      <c r="K1292"/>
      <c r="L1292"/>
      <c r="M1292"/>
      <c r="N1292"/>
      <c r="O1292"/>
    </row>
    <row r="1293" spans="1:15" x14ac:dyDescent="0.25">
      <c r="A1293"/>
      <c r="B1293"/>
      <c r="C1293"/>
      <c r="D1293"/>
      <c r="E1293"/>
      <c r="F1293"/>
      <c r="G1293"/>
      <c r="H1293"/>
      <c r="I1293"/>
      <c r="J1293"/>
      <c r="K1293"/>
      <c r="L1293"/>
      <c r="M1293"/>
      <c r="N1293"/>
      <c r="O1293"/>
    </row>
    <row r="1294" spans="1:15" x14ac:dyDescent="0.25">
      <c r="A1294"/>
      <c r="B1294"/>
      <c r="C1294"/>
      <c r="D1294"/>
      <c r="E1294"/>
      <c r="F1294"/>
      <c r="G1294"/>
      <c r="H1294"/>
      <c r="I1294"/>
      <c r="J1294"/>
      <c r="K1294"/>
      <c r="L1294"/>
      <c r="M1294"/>
      <c r="N1294"/>
      <c r="O1294"/>
    </row>
    <row r="1295" spans="1:15" x14ac:dyDescent="0.25">
      <c r="A1295"/>
      <c r="B1295"/>
      <c r="C1295"/>
      <c r="D1295"/>
      <c r="E1295"/>
      <c r="F1295"/>
      <c r="G1295"/>
      <c r="H1295"/>
      <c r="I1295"/>
      <c r="J1295"/>
      <c r="K1295"/>
      <c r="L1295"/>
      <c r="M1295"/>
      <c r="N1295"/>
      <c r="O1295"/>
    </row>
    <row r="1296" spans="1:15" x14ac:dyDescent="0.25">
      <c r="A1296"/>
      <c r="B1296"/>
      <c r="C1296"/>
      <c r="D1296"/>
      <c r="E1296"/>
      <c r="F1296"/>
      <c r="G1296"/>
      <c r="H1296"/>
      <c r="I1296"/>
      <c r="J1296"/>
      <c r="K1296"/>
      <c r="L1296"/>
      <c r="M1296"/>
      <c r="N1296"/>
      <c r="O1296"/>
    </row>
    <row r="1297" spans="1:15" x14ac:dyDescent="0.25">
      <c r="A1297"/>
      <c r="B1297"/>
      <c r="C1297"/>
      <c r="D1297"/>
      <c r="E1297"/>
      <c r="F1297"/>
      <c r="G1297"/>
      <c r="H1297"/>
      <c r="I1297"/>
      <c r="J1297"/>
      <c r="K1297"/>
      <c r="L1297"/>
      <c r="M1297"/>
      <c r="N1297"/>
      <c r="O1297"/>
    </row>
    <row r="1298" spans="1:15" x14ac:dyDescent="0.25">
      <c r="A1298"/>
      <c r="B1298"/>
      <c r="C1298"/>
      <c r="D1298"/>
      <c r="E1298"/>
      <c r="F1298"/>
      <c r="G1298"/>
      <c r="H1298"/>
      <c r="I1298"/>
      <c r="J1298"/>
      <c r="K1298"/>
      <c r="L1298"/>
      <c r="M1298"/>
      <c r="N1298"/>
      <c r="O1298"/>
    </row>
    <row r="1299" spans="1:15" x14ac:dyDescent="0.25">
      <c r="A1299"/>
      <c r="B1299"/>
      <c r="C1299"/>
      <c r="D1299"/>
      <c r="E1299"/>
      <c r="F1299"/>
      <c r="G1299"/>
      <c r="H1299"/>
      <c r="I1299"/>
      <c r="J1299"/>
      <c r="K1299"/>
      <c r="L1299"/>
      <c r="M1299"/>
      <c r="N1299"/>
      <c r="O1299"/>
    </row>
    <row r="1300" spans="1:15" x14ac:dyDescent="0.25">
      <c r="A1300"/>
      <c r="B1300"/>
      <c r="C1300"/>
      <c r="D1300"/>
      <c r="E1300"/>
      <c r="F1300"/>
      <c r="G1300"/>
      <c r="H1300"/>
      <c r="I1300"/>
      <c r="J1300"/>
      <c r="K1300"/>
      <c r="L1300"/>
      <c r="M1300"/>
      <c r="N1300"/>
      <c r="O1300"/>
    </row>
    <row r="1301" spans="1:15" x14ac:dyDescent="0.25">
      <c r="A1301"/>
      <c r="B1301"/>
      <c r="C1301"/>
      <c r="D1301"/>
      <c r="E1301"/>
      <c r="F1301"/>
      <c r="G1301"/>
      <c r="H1301"/>
      <c r="I1301"/>
      <c r="J1301"/>
      <c r="K1301"/>
      <c r="L1301"/>
      <c r="M1301"/>
      <c r="N1301"/>
      <c r="O1301"/>
    </row>
    <row r="1302" spans="1:15" x14ac:dyDescent="0.25">
      <c r="A1302"/>
      <c r="B1302"/>
      <c r="C1302"/>
      <c r="D1302"/>
      <c r="E1302"/>
      <c r="F1302"/>
      <c r="G1302"/>
      <c r="H1302"/>
      <c r="I1302"/>
      <c r="J1302"/>
      <c r="K1302"/>
      <c r="L1302"/>
      <c r="M1302"/>
      <c r="N1302"/>
      <c r="O1302"/>
    </row>
    <row r="1303" spans="1:15" x14ac:dyDescent="0.25">
      <c r="A1303"/>
      <c r="B1303"/>
      <c r="C1303"/>
      <c r="D1303"/>
      <c r="E1303"/>
      <c r="F1303"/>
      <c r="G1303"/>
      <c r="H1303"/>
      <c r="I1303"/>
      <c r="J1303"/>
      <c r="K1303"/>
      <c r="L1303"/>
      <c r="M1303"/>
      <c r="N1303"/>
      <c r="O1303"/>
    </row>
    <row r="1304" spans="1:15" x14ac:dyDescent="0.25">
      <c r="A1304"/>
      <c r="B1304"/>
      <c r="C1304"/>
      <c r="D1304"/>
      <c r="E1304"/>
      <c r="F1304"/>
      <c r="G1304"/>
      <c r="H1304"/>
      <c r="I1304"/>
      <c r="J1304"/>
      <c r="K1304"/>
      <c r="L1304"/>
      <c r="M1304"/>
      <c r="N1304"/>
      <c r="O1304"/>
    </row>
    <row r="1305" spans="1:15" x14ac:dyDescent="0.25">
      <c r="A1305"/>
      <c r="B1305"/>
      <c r="C1305"/>
      <c r="D1305"/>
      <c r="E1305"/>
      <c r="F1305"/>
      <c r="G1305"/>
      <c r="H1305"/>
      <c r="I1305"/>
      <c r="J1305"/>
      <c r="K1305"/>
      <c r="L1305"/>
      <c r="M1305"/>
      <c r="N1305"/>
      <c r="O1305"/>
    </row>
    <row r="1306" spans="1:15" x14ac:dyDescent="0.25">
      <c r="A1306"/>
      <c r="B1306"/>
      <c r="C1306"/>
      <c r="D1306"/>
      <c r="E1306"/>
      <c r="F1306"/>
      <c r="G1306"/>
      <c r="H1306"/>
      <c r="I1306"/>
      <c r="J1306"/>
      <c r="K1306"/>
      <c r="L1306"/>
      <c r="M1306"/>
      <c r="N1306"/>
      <c r="O1306"/>
    </row>
    <row r="1307" spans="1:15" x14ac:dyDescent="0.25">
      <c r="A1307"/>
      <c r="B1307"/>
      <c r="C1307"/>
      <c r="D1307"/>
      <c r="E1307"/>
      <c r="F1307"/>
      <c r="G1307"/>
      <c r="H1307"/>
      <c r="I1307"/>
      <c r="J1307"/>
      <c r="K1307"/>
      <c r="L1307"/>
      <c r="M1307"/>
      <c r="N1307"/>
      <c r="O1307"/>
    </row>
    <row r="1308" spans="1:15" x14ac:dyDescent="0.25">
      <c r="A1308"/>
      <c r="B1308"/>
      <c r="C1308"/>
      <c r="D1308"/>
      <c r="E1308"/>
      <c r="F1308"/>
      <c r="G1308"/>
      <c r="H1308"/>
      <c r="I1308"/>
      <c r="J1308"/>
      <c r="K1308"/>
      <c r="L1308"/>
      <c r="M1308"/>
      <c r="N1308"/>
      <c r="O1308"/>
    </row>
    <row r="1309" spans="1:15" x14ac:dyDescent="0.25">
      <c r="A1309"/>
      <c r="B1309"/>
      <c r="C1309"/>
      <c r="D1309"/>
      <c r="E1309"/>
      <c r="F1309"/>
      <c r="G1309"/>
      <c r="H1309"/>
      <c r="I1309"/>
      <c r="J1309"/>
      <c r="K1309"/>
      <c r="L1309"/>
      <c r="M1309"/>
      <c r="N1309"/>
      <c r="O1309"/>
    </row>
    <row r="1310" spans="1:15" x14ac:dyDescent="0.25">
      <c r="A1310"/>
      <c r="B1310"/>
      <c r="C1310"/>
      <c r="D1310"/>
      <c r="E1310"/>
      <c r="F1310"/>
      <c r="G1310"/>
      <c r="H1310"/>
      <c r="I1310"/>
      <c r="J1310"/>
      <c r="K1310"/>
      <c r="L1310"/>
      <c r="M1310"/>
      <c r="N1310"/>
      <c r="O1310"/>
    </row>
    <row r="1311" spans="1:15" x14ac:dyDescent="0.25">
      <c r="A1311"/>
      <c r="B1311"/>
      <c r="C1311"/>
      <c r="D1311"/>
      <c r="E1311"/>
      <c r="F1311"/>
      <c r="G1311"/>
      <c r="H1311"/>
      <c r="I1311"/>
      <c r="J1311"/>
      <c r="K1311"/>
      <c r="L1311"/>
      <c r="M1311"/>
      <c r="N1311"/>
      <c r="O1311"/>
    </row>
    <row r="1312" spans="1:15" x14ac:dyDescent="0.25">
      <c r="A1312"/>
      <c r="B1312"/>
      <c r="C1312"/>
      <c r="D1312"/>
      <c r="E1312"/>
      <c r="F1312"/>
      <c r="G1312"/>
      <c r="H1312"/>
      <c r="I1312"/>
      <c r="J1312"/>
      <c r="K1312"/>
      <c r="L1312"/>
      <c r="M1312"/>
      <c r="N1312"/>
      <c r="O1312"/>
    </row>
    <row r="1313" spans="1:15" x14ac:dyDescent="0.25">
      <c r="A1313"/>
      <c r="B1313"/>
      <c r="C1313"/>
      <c r="D1313"/>
      <c r="E1313"/>
      <c r="F1313"/>
      <c r="G1313"/>
      <c r="H1313"/>
      <c r="I1313"/>
      <c r="J1313"/>
      <c r="K1313"/>
      <c r="L1313"/>
      <c r="M1313"/>
      <c r="N1313"/>
      <c r="O1313"/>
    </row>
    <row r="1314" spans="1:15" x14ac:dyDescent="0.25">
      <c r="A1314"/>
      <c r="B1314"/>
      <c r="C1314"/>
      <c r="D1314"/>
      <c r="E1314"/>
      <c r="F1314"/>
      <c r="G1314"/>
      <c r="H1314"/>
      <c r="I1314"/>
      <c r="J1314"/>
      <c r="K1314"/>
      <c r="L1314"/>
      <c r="M1314"/>
      <c r="N1314"/>
      <c r="O1314"/>
    </row>
    <row r="1315" spans="1:15" x14ac:dyDescent="0.25">
      <c r="A1315"/>
      <c r="B1315"/>
      <c r="C1315"/>
      <c r="D1315"/>
      <c r="E1315"/>
      <c r="F1315"/>
      <c r="G1315"/>
      <c r="H1315"/>
      <c r="I1315"/>
      <c r="J1315"/>
      <c r="K1315"/>
      <c r="L1315"/>
      <c r="M1315"/>
      <c r="N1315"/>
      <c r="O1315"/>
    </row>
    <row r="1316" spans="1:15" x14ac:dyDescent="0.25">
      <c r="A1316"/>
      <c r="B1316"/>
      <c r="C1316"/>
      <c r="D1316"/>
      <c r="E1316"/>
      <c r="F1316"/>
      <c r="G1316"/>
      <c r="H1316"/>
      <c r="I1316"/>
      <c r="J1316"/>
      <c r="K1316"/>
      <c r="L1316"/>
      <c r="M1316"/>
      <c r="N1316"/>
      <c r="O1316"/>
    </row>
    <row r="1317" spans="1:15" x14ac:dyDescent="0.25">
      <c r="A1317"/>
      <c r="B1317"/>
      <c r="C1317"/>
      <c r="D1317"/>
      <c r="E1317"/>
      <c r="F1317"/>
      <c r="G1317"/>
      <c r="H1317"/>
      <c r="I1317"/>
      <c r="J1317"/>
      <c r="K1317"/>
      <c r="L1317"/>
      <c r="M1317"/>
      <c r="N1317"/>
      <c r="O1317"/>
    </row>
    <row r="1318" spans="1:15" x14ac:dyDescent="0.25">
      <c r="A1318"/>
      <c r="B1318"/>
      <c r="C1318"/>
      <c r="D1318"/>
      <c r="E1318"/>
      <c r="F1318"/>
      <c r="G1318"/>
      <c r="H1318"/>
      <c r="I1318"/>
      <c r="J1318"/>
      <c r="K1318"/>
      <c r="L1318"/>
      <c r="M1318"/>
      <c r="N1318"/>
      <c r="O1318"/>
    </row>
    <row r="1319" spans="1:15" x14ac:dyDescent="0.25">
      <c r="A1319"/>
      <c r="B1319"/>
      <c r="C1319"/>
      <c r="D1319"/>
      <c r="E1319"/>
      <c r="F1319"/>
      <c r="G1319"/>
      <c r="H1319"/>
      <c r="I1319"/>
      <c r="J1319"/>
      <c r="K1319"/>
      <c r="L1319"/>
      <c r="M1319"/>
      <c r="N1319"/>
      <c r="O1319"/>
    </row>
    <row r="1320" spans="1:15" x14ac:dyDescent="0.25">
      <c r="A1320"/>
      <c r="B1320"/>
      <c r="C1320"/>
      <c r="D1320"/>
      <c r="E1320"/>
      <c r="F1320"/>
      <c r="G1320"/>
      <c r="H1320"/>
      <c r="I1320"/>
      <c r="J1320"/>
      <c r="K1320"/>
      <c r="L1320"/>
      <c r="M1320"/>
      <c r="N1320"/>
      <c r="O1320"/>
    </row>
    <row r="1321" spans="1:15" x14ac:dyDescent="0.25">
      <c r="A1321"/>
      <c r="B1321"/>
      <c r="C1321"/>
      <c r="D1321"/>
      <c r="E1321"/>
      <c r="F1321"/>
      <c r="G1321"/>
      <c r="H1321"/>
      <c r="I1321"/>
      <c r="J1321"/>
      <c r="K1321"/>
      <c r="L1321"/>
      <c r="M1321"/>
      <c r="N1321"/>
      <c r="O1321"/>
    </row>
    <row r="1322" spans="1:15" x14ac:dyDescent="0.25">
      <c r="A1322"/>
      <c r="B1322"/>
      <c r="C1322"/>
      <c r="D1322"/>
      <c r="E1322"/>
      <c r="F1322"/>
      <c r="G1322"/>
      <c r="H1322"/>
      <c r="I1322"/>
      <c r="J1322"/>
      <c r="K1322"/>
      <c r="L1322"/>
      <c r="M1322"/>
      <c r="N1322"/>
      <c r="O1322"/>
    </row>
    <row r="1323" spans="1:15" x14ac:dyDescent="0.25">
      <c r="A1323"/>
      <c r="B1323"/>
      <c r="C1323"/>
      <c r="D1323"/>
      <c r="E1323"/>
      <c r="F1323"/>
      <c r="G1323"/>
      <c r="H1323"/>
      <c r="I1323"/>
      <c r="J1323"/>
      <c r="K1323"/>
      <c r="L1323"/>
      <c r="M1323"/>
      <c r="N1323"/>
      <c r="O1323"/>
    </row>
    <row r="1324" spans="1:15" x14ac:dyDescent="0.25">
      <c r="A1324"/>
      <c r="B1324"/>
      <c r="C1324"/>
      <c r="D1324"/>
      <c r="E1324"/>
      <c r="F1324"/>
      <c r="G1324"/>
      <c r="H1324"/>
      <c r="I1324"/>
      <c r="J1324"/>
      <c r="K1324"/>
      <c r="L1324"/>
      <c r="M1324"/>
      <c r="N1324"/>
      <c r="O1324"/>
    </row>
    <row r="1325" spans="1:15" x14ac:dyDescent="0.25">
      <c r="A1325"/>
      <c r="B1325"/>
      <c r="C1325"/>
      <c r="D1325"/>
      <c r="E1325"/>
      <c r="F1325"/>
      <c r="G1325"/>
      <c r="H1325"/>
      <c r="I1325"/>
      <c r="J1325"/>
      <c r="K1325"/>
      <c r="L1325"/>
      <c r="M1325"/>
      <c r="N1325"/>
      <c r="O1325"/>
    </row>
    <row r="1326" spans="1:15" x14ac:dyDescent="0.25">
      <c r="A1326"/>
      <c r="B1326"/>
      <c r="C1326"/>
      <c r="D1326"/>
      <c r="E1326"/>
      <c r="F1326"/>
      <c r="G1326"/>
      <c r="H1326"/>
      <c r="I1326"/>
      <c r="J1326"/>
      <c r="K1326"/>
      <c r="L1326"/>
      <c r="M1326"/>
      <c r="N1326"/>
      <c r="O1326"/>
    </row>
    <row r="1327" spans="1:15" x14ac:dyDescent="0.25">
      <c r="A1327"/>
      <c r="B1327"/>
      <c r="C1327"/>
      <c r="D1327"/>
      <c r="E1327"/>
      <c r="F1327"/>
      <c r="G1327"/>
      <c r="H1327"/>
      <c r="I1327"/>
      <c r="J1327"/>
      <c r="K1327"/>
      <c r="L1327"/>
      <c r="M1327"/>
      <c r="N1327"/>
      <c r="O1327"/>
    </row>
    <row r="1328" spans="1:15" x14ac:dyDescent="0.25">
      <c r="A1328"/>
      <c r="B1328"/>
      <c r="C1328"/>
      <c r="D1328"/>
      <c r="E1328"/>
      <c r="F1328"/>
      <c r="G1328"/>
      <c r="H1328"/>
      <c r="I1328"/>
      <c r="J1328"/>
      <c r="K1328"/>
      <c r="L1328"/>
      <c r="M1328"/>
      <c r="N1328"/>
      <c r="O1328"/>
    </row>
    <row r="1329" spans="1:15" x14ac:dyDescent="0.25">
      <c r="A1329"/>
      <c r="B1329"/>
      <c r="C1329"/>
      <c r="D1329"/>
      <c r="E1329"/>
      <c r="F1329"/>
      <c r="G1329"/>
      <c r="H1329"/>
      <c r="I1329"/>
      <c r="J1329"/>
      <c r="K1329"/>
      <c r="L1329"/>
      <c r="M1329"/>
      <c r="N1329"/>
      <c r="O1329"/>
    </row>
    <row r="1330" spans="1:15" x14ac:dyDescent="0.25">
      <c r="A1330"/>
      <c r="B1330"/>
      <c r="C1330"/>
      <c r="D1330"/>
      <c r="E1330"/>
      <c r="F1330"/>
      <c r="G1330"/>
      <c r="H1330"/>
      <c r="I1330"/>
      <c r="J1330"/>
      <c r="K1330"/>
      <c r="L1330"/>
      <c r="M1330"/>
      <c r="N1330"/>
      <c r="O1330"/>
    </row>
    <row r="1331" spans="1:15" x14ac:dyDescent="0.25">
      <c r="A1331"/>
      <c r="B1331"/>
      <c r="C1331"/>
      <c r="D1331"/>
      <c r="E1331"/>
      <c r="F1331"/>
      <c r="G1331"/>
      <c r="H1331"/>
      <c r="I1331"/>
      <c r="J1331"/>
      <c r="K1331"/>
      <c r="L1331"/>
      <c r="M1331"/>
      <c r="N1331"/>
      <c r="O1331"/>
    </row>
    <row r="1332" spans="1:15" x14ac:dyDescent="0.25">
      <c r="A1332"/>
      <c r="B1332"/>
      <c r="C1332"/>
      <c r="D1332"/>
      <c r="E1332"/>
      <c r="F1332"/>
      <c r="G1332"/>
      <c r="H1332"/>
      <c r="I1332"/>
      <c r="J1332"/>
      <c r="K1332"/>
      <c r="L1332"/>
      <c r="M1332"/>
      <c r="N1332"/>
      <c r="O1332"/>
    </row>
    <row r="1333" spans="1:15" x14ac:dyDescent="0.25">
      <c r="A1333"/>
      <c r="B1333"/>
      <c r="C1333"/>
      <c r="D1333"/>
      <c r="E1333"/>
      <c r="F1333"/>
      <c r="G1333"/>
      <c r="H1333"/>
      <c r="I1333"/>
      <c r="J1333"/>
      <c r="K1333"/>
      <c r="L1333"/>
      <c r="M1333"/>
      <c r="N1333"/>
      <c r="O1333"/>
    </row>
    <row r="1334" spans="1:15" x14ac:dyDescent="0.25">
      <c r="A1334"/>
      <c r="B1334"/>
      <c r="C1334"/>
      <c r="D1334"/>
      <c r="E1334"/>
      <c r="F1334"/>
      <c r="G1334"/>
      <c r="H1334"/>
      <c r="I1334"/>
      <c r="J1334"/>
      <c r="K1334"/>
      <c r="L1334"/>
      <c r="M1334"/>
      <c r="N1334"/>
      <c r="O1334"/>
    </row>
    <row r="1335" spans="1:15" x14ac:dyDescent="0.25">
      <c r="A1335"/>
      <c r="B1335"/>
      <c r="C1335"/>
      <c r="D1335"/>
      <c r="E1335"/>
      <c r="F1335"/>
      <c r="G1335"/>
      <c r="H1335"/>
      <c r="I1335"/>
      <c r="J1335"/>
      <c r="K1335"/>
      <c r="L1335"/>
      <c r="M1335"/>
      <c r="N1335"/>
      <c r="O1335"/>
    </row>
    <row r="1336" spans="1:15" x14ac:dyDescent="0.25">
      <c r="A1336"/>
      <c r="B1336"/>
      <c r="C1336"/>
      <c r="D1336"/>
      <c r="E1336"/>
      <c r="F1336"/>
      <c r="G1336"/>
      <c r="H1336"/>
      <c r="I1336"/>
      <c r="J1336"/>
      <c r="K1336"/>
      <c r="L1336"/>
      <c r="M1336"/>
      <c r="N1336"/>
      <c r="O1336"/>
    </row>
    <row r="1337" spans="1:15" x14ac:dyDescent="0.25">
      <c r="A1337"/>
      <c r="B1337"/>
      <c r="C1337"/>
      <c r="D1337"/>
      <c r="E1337"/>
      <c r="F1337"/>
      <c r="G1337"/>
      <c r="H1337"/>
      <c r="I1337"/>
      <c r="J1337"/>
      <c r="K1337"/>
      <c r="L1337"/>
      <c r="M1337"/>
      <c r="N1337"/>
      <c r="O1337"/>
    </row>
    <row r="1338" spans="1:15" x14ac:dyDescent="0.25">
      <c r="A1338"/>
      <c r="B1338"/>
      <c r="C1338"/>
      <c r="D1338"/>
      <c r="E1338"/>
      <c r="F1338"/>
      <c r="G1338"/>
      <c r="H1338"/>
      <c r="I1338"/>
      <c r="J1338"/>
      <c r="K1338"/>
      <c r="L1338"/>
      <c r="M1338"/>
      <c r="N1338"/>
      <c r="O1338"/>
    </row>
    <row r="1339" spans="1:15" x14ac:dyDescent="0.25">
      <c r="A1339"/>
      <c r="B1339"/>
      <c r="C1339"/>
      <c r="D1339"/>
      <c r="E1339"/>
      <c r="F1339"/>
      <c r="G1339"/>
      <c r="H1339"/>
      <c r="I1339"/>
      <c r="J1339"/>
      <c r="K1339"/>
      <c r="L1339"/>
      <c r="M1339"/>
      <c r="N1339"/>
      <c r="O1339"/>
    </row>
    <row r="1340" spans="1:15" x14ac:dyDescent="0.25">
      <c r="A1340"/>
      <c r="B1340"/>
      <c r="C1340"/>
      <c r="D1340"/>
      <c r="E1340"/>
      <c r="F1340"/>
      <c r="G1340"/>
      <c r="H1340"/>
      <c r="I1340"/>
      <c r="J1340"/>
      <c r="K1340"/>
      <c r="L1340"/>
      <c r="M1340"/>
      <c r="N1340"/>
      <c r="O1340"/>
    </row>
    <row r="1341" spans="1:15" x14ac:dyDescent="0.25">
      <c r="A1341"/>
      <c r="B1341"/>
      <c r="C1341"/>
      <c r="D1341"/>
      <c r="E1341"/>
      <c r="F1341"/>
      <c r="G1341"/>
      <c r="H1341"/>
      <c r="I1341"/>
      <c r="J1341"/>
      <c r="K1341"/>
      <c r="L1341"/>
      <c r="M1341"/>
      <c r="N1341"/>
      <c r="O1341"/>
    </row>
    <row r="1342" spans="1:15" x14ac:dyDescent="0.25">
      <c r="A1342"/>
      <c r="B1342"/>
      <c r="C1342"/>
      <c r="D1342"/>
      <c r="E1342"/>
      <c r="F1342"/>
      <c r="G1342"/>
      <c r="H1342"/>
      <c r="I1342"/>
      <c r="J1342"/>
      <c r="K1342"/>
      <c r="L1342"/>
      <c r="M1342"/>
      <c r="N1342"/>
      <c r="O1342"/>
    </row>
    <row r="1343" spans="1:15" x14ac:dyDescent="0.25">
      <c r="A1343"/>
      <c r="B1343"/>
      <c r="C1343"/>
      <c r="D1343"/>
      <c r="E1343"/>
      <c r="F1343"/>
      <c r="G1343"/>
      <c r="H1343"/>
      <c r="I1343"/>
      <c r="J1343"/>
      <c r="K1343"/>
      <c r="L1343"/>
      <c r="M1343"/>
      <c r="N1343"/>
      <c r="O1343"/>
    </row>
    <row r="1344" spans="1:15" x14ac:dyDescent="0.25">
      <c r="A1344"/>
      <c r="B1344"/>
      <c r="C1344"/>
      <c r="D1344"/>
      <c r="E1344"/>
      <c r="F1344"/>
      <c r="G1344"/>
      <c r="H1344"/>
      <c r="I1344"/>
      <c r="J1344"/>
      <c r="K1344"/>
      <c r="L1344"/>
      <c r="M1344"/>
      <c r="N1344"/>
      <c r="O1344"/>
    </row>
    <row r="1345" spans="1:15" x14ac:dyDescent="0.25">
      <c r="A1345"/>
      <c r="B1345"/>
      <c r="C1345"/>
      <c r="D1345"/>
      <c r="E1345"/>
      <c r="F1345"/>
      <c r="G1345"/>
      <c r="H1345"/>
      <c r="I1345"/>
      <c r="J1345"/>
      <c r="K1345"/>
      <c r="L1345"/>
      <c r="M1345"/>
      <c r="N1345"/>
      <c r="O1345"/>
    </row>
    <row r="1346" spans="1:15" x14ac:dyDescent="0.25">
      <c r="A1346"/>
      <c r="B1346"/>
      <c r="C1346"/>
      <c r="D1346"/>
      <c r="E1346"/>
      <c r="F1346"/>
      <c r="G1346"/>
      <c r="H1346"/>
      <c r="I1346"/>
      <c r="J1346"/>
      <c r="K1346"/>
      <c r="L1346"/>
      <c r="M1346"/>
      <c r="N1346"/>
      <c r="O1346"/>
    </row>
    <row r="1347" spans="1:15" x14ac:dyDescent="0.25">
      <c r="A1347"/>
      <c r="B1347"/>
      <c r="C1347"/>
      <c r="D1347"/>
      <c r="E1347"/>
      <c r="F1347"/>
      <c r="G1347"/>
      <c r="H1347"/>
      <c r="I1347"/>
      <c r="J1347"/>
      <c r="K1347"/>
      <c r="L1347"/>
      <c r="M1347"/>
      <c r="N1347"/>
      <c r="O1347"/>
    </row>
    <row r="1348" spans="1:15" x14ac:dyDescent="0.25">
      <c r="A1348"/>
      <c r="B1348"/>
      <c r="C1348"/>
      <c r="D1348"/>
      <c r="E1348"/>
      <c r="F1348"/>
      <c r="G1348"/>
      <c r="H1348"/>
      <c r="I1348"/>
      <c r="J1348"/>
      <c r="K1348"/>
      <c r="L1348"/>
      <c r="M1348"/>
      <c r="N1348"/>
      <c r="O1348"/>
    </row>
    <row r="1349" spans="1:15" x14ac:dyDescent="0.25">
      <c r="A1349"/>
      <c r="B1349"/>
      <c r="C1349"/>
      <c r="D1349"/>
      <c r="E1349"/>
      <c r="F1349"/>
      <c r="G1349"/>
      <c r="H1349"/>
      <c r="I1349"/>
      <c r="J1349"/>
      <c r="K1349"/>
      <c r="L1349"/>
      <c r="M1349"/>
      <c r="N1349"/>
      <c r="O1349"/>
    </row>
    <row r="1350" spans="1:15" x14ac:dyDescent="0.25">
      <c r="A1350"/>
      <c r="B1350"/>
      <c r="C1350"/>
      <c r="D1350"/>
      <c r="E1350"/>
      <c r="F1350"/>
      <c r="G1350"/>
      <c r="H1350"/>
      <c r="I1350"/>
      <c r="J1350"/>
      <c r="K1350"/>
      <c r="L1350"/>
      <c r="M1350"/>
      <c r="N1350"/>
      <c r="O1350"/>
    </row>
    <row r="1351" spans="1:15" x14ac:dyDescent="0.25">
      <c r="A1351"/>
      <c r="B1351"/>
      <c r="C1351"/>
      <c r="D1351"/>
      <c r="E1351"/>
      <c r="F1351"/>
      <c r="G1351"/>
      <c r="H1351"/>
      <c r="I1351"/>
      <c r="J1351"/>
      <c r="K1351"/>
      <c r="L1351"/>
      <c r="M1351"/>
      <c r="N1351"/>
      <c r="O1351"/>
    </row>
    <row r="1352" spans="1:15" x14ac:dyDescent="0.25">
      <c r="A1352"/>
      <c r="B1352"/>
      <c r="C1352"/>
      <c r="D1352"/>
      <c r="E1352"/>
      <c r="F1352"/>
      <c r="G1352"/>
      <c r="H1352"/>
      <c r="I1352"/>
      <c r="J1352"/>
      <c r="K1352"/>
      <c r="L1352"/>
      <c r="M1352"/>
      <c r="N1352"/>
      <c r="O1352"/>
    </row>
    <row r="1353" spans="1:15" x14ac:dyDescent="0.25">
      <c r="A1353"/>
      <c r="B1353"/>
      <c r="C1353"/>
      <c r="D1353"/>
      <c r="E1353"/>
      <c r="F1353"/>
      <c r="G1353"/>
      <c r="H1353"/>
      <c r="I1353"/>
      <c r="J1353"/>
      <c r="K1353"/>
      <c r="L1353"/>
      <c r="M1353"/>
      <c r="N1353"/>
      <c r="O1353"/>
    </row>
    <row r="1354" spans="1:15" x14ac:dyDescent="0.25">
      <c r="A1354"/>
      <c r="B1354"/>
      <c r="C1354"/>
      <c r="D1354"/>
      <c r="E1354"/>
      <c r="F1354"/>
      <c r="G1354"/>
      <c r="H1354"/>
      <c r="I1354"/>
      <c r="J1354"/>
      <c r="K1354"/>
      <c r="L1354"/>
      <c r="M1354"/>
      <c r="N1354"/>
      <c r="O1354"/>
    </row>
    <row r="1355" spans="1:15" x14ac:dyDescent="0.25">
      <c r="A1355"/>
      <c r="B1355"/>
      <c r="C1355"/>
      <c r="D1355"/>
      <c r="E1355"/>
      <c r="F1355"/>
      <c r="G1355"/>
      <c r="H1355"/>
      <c r="I1355"/>
      <c r="J1355"/>
      <c r="K1355"/>
      <c r="L1355"/>
      <c r="M1355"/>
      <c r="N1355"/>
      <c r="O1355"/>
    </row>
    <row r="1356" spans="1:15" x14ac:dyDescent="0.25">
      <c r="A1356"/>
      <c r="B1356"/>
      <c r="C1356"/>
      <c r="D1356"/>
      <c r="E1356"/>
      <c r="F1356"/>
      <c r="G1356"/>
      <c r="H1356"/>
      <c r="I1356"/>
      <c r="J1356"/>
      <c r="K1356"/>
      <c r="L1356"/>
      <c r="M1356"/>
      <c r="N1356"/>
      <c r="O1356"/>
    </row>
    <row r="1357" spans="1:15" x14ac:dyDescent="0.25">
      <c r="A1357"/>
      <c r="B1357"/>
      <c r="C1357"/>
      <c r="D1357"/>
      <c r="E1357"/>
      <c r="F1357"/>
      <c r="G1357"/>
      <c r="H1357"/>
      <c r="I1357"/>
      <c r="J1357"/>
      <c r="K1357"/>
      <c r="L1357"/>
      <c r="M1357"/>
      <c r="N1357"/>
      <c r="O1357"/>
    </row>
    <row r="1358" spans="1:15" x14ac:dyDescent="0.25">
      <c r="A1358"/>
      <c r="B1358"/>
      <c r="C1358"/>
      <c r="D1358"/>
      <c r="E1358"/>
      <c r="F1358"/>
      <c r="G1358"/>
      <c r="H1358"/>
      <c r="I1358"/>
      <c r="J1358"/>
      <c r="K1358"/>
      <c r="L1358"/>
      <c r="M1358"/>
      <c r="N1358"/>
      <c r="O1358"/>
    </row>
    <row r="1359" spans="1:15" x14ac:dyDescent="0.25">
      <c r="A1359"/>
      <c r="B1359"/>
      <c r="C1359"/>
      <c r="D1359"/>
      <c r="E1359"/>
      <c r="F1359"/>
      <c r="G1359"/>
      <c r="H1359"/>
      <c r="I1359"/>
      <c r="J1359"/>
      <c r="K1359"/>
      <c r="L1359"/>
      <c r="M1359"/>
      <c r="N1359"/>
      <c r="O1359"/>
    </row>
    <row r="1360" spans="1:15" x14ac:dyDescent="0.25">
      <c r="A1360"/>
      <c r="B1360"/>
      <c r="C1360"/>
      <c r="D1360"/>
      <c r="E1360"/>
      <c r="F1360"/>
      <c r="G1360"/>
      <c r="H1360"/>
      <c r="I1360"/>
      <c r="J1360"/>
      <c r="K1360"/>
      <c r="L1360"/>
      <c r="M1360"/>
      <c r="N1360"/>
      <c r="O1360"/>
    </row>
    <row r="1361" spans="1:15" x14ac:dyDescent="0.25">
      <c r="A1361"/>
      <c r="B1361"/>
      <c r="C1361"/>
      <c r="D1361"/>
      <c r="E1361"/>
      <c r="F1361"/>
      <c r="G1361"/>
      <c r="H1361"/>
      <c r="I1361"/>
      <c r="J1361"/>
      <c r="K1361"/>
      <c r="L1361"/>
      <c r="M1361"/>
      <c r="N1361"/>
      <c r="O1361"/>
    </row>
    <row r="1362" spans="1:15" x14ac:dyDescent="0.25">
      <c r="A1362"/>
      <c r="B1362"/>
      <c r="C1362"/>
      <c r="D1362"/>
      <c r="E1362"/>
      <c r="F1362"/>
      <c r="G1362"/>
      <c r="H1362"/>
      <c r="I1362"/>
      <c r="J1362"/>
      <c r="K1362"/>
      <c r="L1362"/>
      <c r="M1362"/>
      <c r="N1362"/>
      <c r="O1362"/>
    </row>
    <row r="1363" spans="1:15" x14ac:dyDescent="0.25">
      <c r="A1363"/>
      <c r="B1363"/>
      <c r="C1363"/>
      <c r="D1363"/>
      <c r="E1363"/>
      <c r="F1363"/>
      <c r="G1363"/>
      <c r="H1363"/>
      <c r="I1363"/>
      <c r="J1363"/>
      <c r="K1363"/>
      <c r="L1363"/>
      <c r="M1363"/>
      <c r="N1363"/>
      <c r="O1363"/>
    </row>
    <row r="1364" spans="1:15" x14ac:dyDescent="0.25">
      <c r="A1364"/>
      <c r="B1364"/>
      <c r="C1364"/>
      <c r="D1364"/>
      <c r="E1364"/>
      <c r="F1364"/>
      <c r="G1364"/>
      <c r="H1364"/>
      <c r="I1364"/>
      <c r="J1364"/>
      <c r="K1364"/>
      <c r="L1364"/>
      <c r="M1364"/>
      <c r="N1364"/>
      <c r="O1364"/>
    </row>
    <row r="1365" spans="1:15" x14ac:dyDescent="0.25">
      <c r="A1365"/>
      <c r="B1365"/>
      <c r="C1365"/>
      <c r="D1365"/>
      <c r="E1365"/>
      <c r="F1365"/>
      <c r="G1365"/>
      <c r="H1365"/>
      <c r="I1365"/>
      <c r="J1365"/>
      <c r="K1365"/>
      <c r="L1365"/>
      <c r="M1365"/>
      <c r="N1365"/>
      <c r="O1365"/>
    </row>
    <row r="1366" spans="1:15" x14ac:dyDescent="0.25">
      <c r="A1366"/>
      <c r="B1366"/>
      <c r="C1366"/>
      <c r="D1366"/>
      <c r="E1366"/>
      <c r="F1366"/>
      <c r="G1366"/>
      <c r="H1366"/>
      <c r="I1366"/>
      <c r="J1366"/>
      <c r="K1366"/>
      <c r="L1366"/>
      <c r="M1366"/>
      <c r="N1366"/>
      <c r="O1366"/>
    </row>
    <row r="1367" spans="1:15" x14ac:dyDescent="0.25">
      <c r="A1367"/>
      <c r="B1367"/>
      <c r="C1367"/>
      <c r="D1367"/>
      <c r="E1367"/>
      <c r="F1367"/>
      <c r="G1367"/>
      <c r="H1367"/>
      <c r="I1367"/>
      <c r="J1367"/>
      <c r="K1367"/>
      <c r="L1367"/>
      <c r="M1367"/>
      <c r="N1367"/>
      <c r="O1367"/>
    </row>
    <row r="1368" spans="1:15" x14ac:dyDescent="0.25">
      <c r="A1368"/>
      <c r="B1368"/>
      <c r="C1368"/>
      <c r="D1368"/>
      <c r="E1368"/>
      <c r="F1368"/>
      <c r="G1368"/>
      <c r="H1368"/>
      <c r="I1368"/>
      <c r="J1368"/>
      <c r="K1368"/>
      <c r="L1368"/>
      <c r="M1368"/>
      <c r="N1368"/>
      <c r="O1368"/>
    </row>
    <row r="1369" spans="1:15" x14ac:dyDescent="0.25">
      <c r="A1369"/>
      <c r="B1369"/>
      <c r="C1369"/>
      <c r="D1369"/>
      <c r="E1369"/>
      <c r="F1369"/>
      <c r="G1369"/>
      <c r="H1369"/>
      <c r="I1369"/>
      <c r="J1369"/>
      <c r="K1369"/>
      <c r="L1369"/>
      <c r="M1369"/>
      <c r="N1369"/>
      <c r="O1369"/>
    </row>
    <row r="1370" spans="1:15" x14ac:dyDescent="0.25">
      <c r="A1370"/>
      <c r="B1370"/>
      <c r="C1370"/>
      <c r="D1370"/>
      <c r="E1370"/>
      <c r="F1370"/>
      <c r="G1370"/>
      <c r="H1370"/>
      <c r="I1370"/>
      <c r="J1370"/>
      <c r="K1370"/>
      <c r="L1370"/>
      <c r="M1370"/>
      <c r="N1370"/>
      <c r="O1370"/>
    </row>
    <row r="1371" spans="1:15" x14ac:dyDescent="0.25">
      <c r="A1371"/>
      <c r="B1371"/>
      <c r="C1371"/>
      <c r="D1371"/>
      <c r="E1371"/>
      <c r="F1371"/>
      <c r="G1371"/>
      <c r="H1371"/>
      <c r="I1371"/>
      <c r="J1371"/>
      <c r="K1371"/>
      <c r="L1371"/>
      <c r="M1371"/>
      <c r="N1371"/>
      <c r="O1371"/>
    </row>
    <row r="1372" spans="1:15" x14ac:dyDescent="0.25">
      <c r="A1372"/>
      <c r="B1372"/>
      <c r="C1372"/>
      <c r="D1372"/>
      <c r="E1372"/>
      <c r="F1372"/>
      <c r="G1372"/>
      <c r="H1372"/>
      <c r="I1372"/>
      <c r="J1372"/>
      <c r="K1372"/>
      <c r="L1372"/>
      <c r="M1372"/>
      <c r="N1372"/>
      <c r="O1372"/>
    </row>
    <row r="1373" spans="1:15" x14ac:dyDescent="0.25">
      <c r="A1373"/>
      <c r="B1373"/>
      <c r="C1373"/>
      <c r="D1373"/>
      <c r="E1373"/>
      <c r="F1373"/>
      <c r="G1373"/>
      <c r="H1373"/>
      <c r="I1373"/>
      <c r="J1373"/>
      <c r="K1373"/>
      <c r="L1373"/>
      <c r="M1373"/>
      <c r="N1373"/>
      <c r="O1373"/>
    </row>
    <row r="1374" spans="1:15" x14ac:dyDescent="0.25">
      <c r="A1374"/>
      <c r="B1374"/>
      <c r="C1374"/>
      <c r="D1374"/>
      <c r="E1374"/>
      <c r="F1374"/>
      <c r="G1374"/>
      <c r="H1374"/>
      <c r="I1374"/>
      <c r="J1374"/>
      <c r="K1374"/>
      <c r="L1374"/>
      <c r="M1374"/>
      <c r="N1374"/>
      <c r="O1374"/>
    </row>
    <row r="1375" spans="1:15" x14ac:dyDescent="0.25">
      <c r="A1375"/>
      <c r="B1375"/>
      <c r="C1375"/>
      <c r="D1375"/>
      <c r="E1375"/>
      <c r="F1375"/>
      <c r="G1375"/>
      <c r="H1375"/>
      <c r="I1375"/>
      <c r="J1375"/>
      <c r="K1375"/>
      <c r="L1375"/>
      <c r="M1375"/>
      <c r="N1375"/>
      <c r="O1375"/>
    </row>
    <row r="1376" spans="1:15" x14ac:dyDescent="0.25">
      <c r="A1376"/>
      <c r="B1376"/>
      <c r="C1376"/>
      <c r="D1376"/>
      <c r="E1376"/>
      <c r="F1376"/>
      <c r="G1376"/>
      <c r="H1376"/>
      <c r="I1376"/>
      <c r="J1376"/>
      <c r="K1376"/>
      <c r="L1376"/>
      <c r="M1376"/>
      <c r="N1376"/>
      <c r="O1376"/>
    </row>
    <row r="1377" spans="1:15" x14ac:dyDescent="0.25">
      <c r="A1377"/>
      <c r="B1377"/>
      <c r="C1377"/>
      <c r="D1377"/>
      <c r="E1377"/>
      <c r="F1377"/>
      <c r="G1377"/>
      <c r="H1377"/>
      <c r="I1377"/>
      <c r="J1377"/>
      <c r="K1377"/>
      <c r="L1377"/>
      <c r="M1377"/>
      <c r="N1377"/>
      <c r="O1377"/>
    </row>
    <row r="1378" spans="1:15" x14ac:dyDescent="0.25">
      <c r="A1378"/>
      <c r="B1378"/>
      <c r="C1378"/>
      <c r="D1378"/>
      <c r="E1378"/>
      <c r="F1378"/>
      <c r="G1378"/>
      <c r="H1378"/>
      <c r="I1378"/>
      <c r="J1378"/>
      <c r="K1378"/>
      <c r="L1378"/>
      <c r="M1378"/>
      <c r="N1378"/>
      <c r="O1378"/>
    </row>
    <row r="1379" spans="1:15" x14ac:dyDescent="0.25">
      <c r="A1379"/>
      <c r="B1379"/>
      <c r="C1379"/>
      <c r="D1379"/>
      <c r="E1379"/>
      <c r="F1379"/>
      <c r="G1379"/>
      <c r="H1379"/>
      <c r="I1379"/>
      <c r="J1379"/>
      <c r="K1379"/>
      <c r="L1379"/>
      <c r="M1379"/>
      <c r="N1379"/>
      <c r="O1379"/>
    </row>
    <row r="1380" spans="1:15" x14ac:dyDescent="0.25">
      <c r="A1380"/>
      <c r="B1380"/>
      <c r="C1380"/>
      <c r="D1380"/>
      <c r="E1380"/>
      <c r="F1380"/>
      <c r="G1380"/>
      <c r="H1380"/>
      <c r="I1380"/>
      <c r="J1380"/>
      <c r="K1380"/>
      <c r="L1380"/>
      <c r="M1380"/>
      <c r="N1380"/>
      <c r="O1380"/>
    </row>
    <row r="1381" spans="1:15" x14ac:dyDescent="0.25">
      <c r="A1381"/>
      <c r="B1381"/>
      <c r="C1381"/>
      <c r="D1381"/>
      <c r="E1381"/>
      <c r="F1381"/>
      <c r="G1381"/>
      <c r="H1381"/>
      <c r="I1381"/>
      <c r="J1381"/>
      <c r="K1381"/>
      <c r="L1381"/>
      <c r="M1381"/>
      <c r="N1381"/>
      <c r="O1381"/>
    </row>
    <row r="1382" spans="1:15" x14ac:dyDescent="0.25">
      <c r="A1382"/>
      <c r="B1382"/>
      <c r="C1382"/>
      <c r="D1382"/>
      <c r="E1382"/>
      <c r="F1382"/>
      <c r="G1382"/>
      <c r="H1382"/>
      <c r="I1382"/>
      <c r="J1382"/>
      <c r="K1382"/>
      <c r="L1382"/>
      <c r="M1382"/>
      <c r="N1382"/>
      <c r="O1382"/>
    </row>
    <row r="1383" spans="1:15" x14ac:dyDescent="0.25">
      <c r="A1383"/>
      <c r="B1383"/>
      <c r="C1383"/>
      <c r="D1383"/>
      <c r="E1383"/>
      <c r="F1383"/>
      <c r="G1383"/>
      <c r="H1383"/>
      <c r="I1383"/>
      <c r="J1383"/>
      <c r="K1383"/>
      <c r="L1383"/>
      <c r="M1383"/>
      <c r="N1383"/>
      <c r="O1383"/>
    </row>
    <row r="1384" spans="1:15" x14ac:dyDescent="0.25">
      <c r="A1384"/>
      <c r="B1384"/>
      <c r="C1384"/>
      <c r="D1384"/>
      <c r="E1384"/>
      <c r="F1384"/>
      <c r="G1384"/>
      <c r="H1384"/>
      <c r="I1384"/>
      <c r="J1384"/>
      <c r="K1384"/>
      <c r="L1384"/>
      <c r="M1384"/>
      <c r="N1384"/>
      <c r="O1384"/>
    </row>
    <row r="1385" spans="1:15" x14ac:dyDescent="0.25">
      <c r="A1385"/>
      <c r="B1385"/>
      <c r="C1385"/>
      <c r="D1385"/>
      <c r="E1385"/>
      <c r="F1385"/>
      <c r="G1385"/>
      <c r="H1385"/>
      <c r="I1385"/>
      <c r="J1385"/>
      <c r="K1385"/>
      <c r="L1385"/>
      <c r="M1385"/>
      <c r="N1385"/>
      <c r="O1385"/>
    </row>
    <row r="1386" spans="1:15" x14ac:dyDescent="0.25">
      <c r="A1386"/>
      <c r="B1386"/>
      <c r="C1386"/>
      <c r="D1386"/>
      <c r="E1386"/>
      <c r="F1386"/>
      <c r="G1386"/>
      <c r="H1386"/>
      <c r="I1386"/>
      <c r="J1386"/>
      <c r="K1386"/>
      <c r="L1386"/>
      <c r="M1386"/>
      <c r="N1386"/>
      <c r="O1386"/>
    </row>
    <row r="1387" spans="1:15" x14ac:dyDescent="0.25">
      <c r="A1387"/>
      <c r="B1387"/>
      <c r="C1387"/>
      <c r="D1387"/>
      <c r="E1387"/>
      <c r="F1387"/>
      <c r="G1387"/>
      <c r="H1387"/>
      <c r="I1387"/>
      <c r="J1387"/>
      <c r="K1387"/>
      <c r="L1387"/>
      <c r="M1387"/>
      <c r="N1387"/>
      <c r="O1387"/>
    </row>
    <row r="1388" spans="1:15" x14ac:dyDescent="0.25">
      <c r="A1388"/>
      <c r="B1388"/>
      <c r="C1388"/>
      <c r="D1388"/>
      <c r="E1388"/>
      <c r="F1388"/>
      <c r="G1388"/>
      <c r="H1388"/>
      <c r="I1388"/>
      <c r="J1388"/>
      <c r="K1388"/>
      <c r="L1388"/>
      <c r="M1388"/>
      <c r="N1388"/>
      <c r="O1388"/>
    </row>
    <row r="1389" spans="1:15" x14ac:dyDescent="0.25">
      <c r="A1389"/>
      <c r="B1389"/>
      <c r="C1389"/>
      <c r="D1389"/>
      <c r="E1389"/>
      <c r="F1389"/>
      <c r="G1389"/>
      <c r="H1389"/>
      <c r="I1389"/>
      <c r="J1389"/>
      <c r="K1389"/>
      <c r="L1389"/>
      <c r="M1389"/>
      <c r="N1389"/>
      <c r="O1389"/>
    </row>
    <row r="1390" spans="1:15" x14ac:dyDescent="0.25">
      <c r="A1390"/>
      <c r="B1390"/>
      <c r="C1390"/>
      <c r="D1390"/>
      <c r="E1390"/>
      <c r="F1390"/>
      <c r="G1390"/>
      <c r="H1390"/>
      <c r="I1390"/>
      <c r="J1390"/>
      <c r="K1390"/>
      <c r="L1390"/>
      <c r="M1390"/>
      <c r="N1390"/>
      <c r="O1390"/>
    </row>
    <row r="1391" spans="1:15" x14ac:dyDescent="0.25">
      <c r="A1391"/>
      <c r="B1391"/>
      <c r="C1391"/>
      <c r="D1391"/>
      <c r="E1391"/>
      <c r="F1391"/>
      <c r="G1391"/>
      <c r="H1391"/>
      <c r="I1391"/>
      <c r="J1391"/>
      <c r="K1391"/>
      <c r="L1391"/>
      <c r="M1391"/>
      <c r="N1391"/>
      <c r="O1391"/>
    </row>
    <row r="1392" spans="1:15" x14ac:dyDescent="0.25">
      <c r="A1392"/>
      <c r="B1392"/>
      <c r="C1392"/>
      <c r="D1392"/>
      <c r="E1392"/>
      <c r="F1392"/>
      <c r="G1392"/>
      <c r="H1392"/>
      <c r="I1392"/>
      <c r="J1392"/>
      <c r="K1392"/>
      <c r="L1392"/>
      <c r="M1392"/>
      <c r="N1392"/>
      <c r="O1392"/>
    </row>
    <row r="1393" spans="1:15" x14ac:dyDescent="0.25">
      <c r="A1393"/>
      <c r="B1393"/>
      <c r="C1393"/>
      <c r="D1393"/>
      <c r="E1393"/>
      <c r="F1393"/>
      <c r="G1393"/>
      <c r="H1393"/>
      <c r="I1393"/>
      <c r="J1393"/>
      <c r="K1393"/>
      <c r="L1393"/>
      <c r="M1393"/>
      <c r="N1393"/>
      <c r="O1393"/>
    </row>
    <row r="1394" spans="1:15" x14ac:dyDescent="0.25">
      <c r="A1394"/>
      <c r="B1394"/>
      <c r="C1394"/>
      <c r="D1394"/>
      <c r="E1394"/>
      <c r="F1394"/>
      <c r="G1394"/>
      <c r="H1394"/>
      <c r="I1394"/>
      <c r="J1394"/>
      <c r="K1394"/>
      <c r="L1394"/>
      <c r="M1394"/>
      <c r="N1394"/>
      <c r="O1394"/>
    </row>
    <row r="1395" spans="1:15" x14ac:dyDescent="0.25">
      <c r="A1395"/>
      <c r="B1395"/>
      <c r="C1395"/>
      <c r="D1395"/>
      <c r="E1395"/>
      <c r="F1395"/>
      <c r="G1395"/>
      <c r="H1395"/>
      <c r="I1395"/>
      <c r="J1395"/>
      <c r="K1395"/>
      <c r="L1395"/>
      <c r="M1395"/>
      <c r="N1395"/>
      <c r="O1395"/>
    </row>
    <row r="1396" spans="1:15" x14ac:dyDescent="0.25">
      <c r="A1396"/>
      <c r="B1396"/>
      <c r="C1396"/>
      <c r="D1396"/>
      <c r="E1396"/>
      <c r="F1396"/>
      <c r="G1396"/>
      <c r="H1396"/>
      <c r="I1396"/>
      <c r="J1396"/>
      <c r="K1396"/>
      <c r="L1396"/>
      <c r="M1396"/>
      <c r="N1396"/>
      <c r="O1396"/>
    </row>
    <row r="1397" spans="1:15" x14ac:dyDescent="0.25">
      <c r="A1397"/>
      <c r="B1397"/>
      <c r="C1397"/>
      <c r="D1397"/>
      <c r="E1397"/>
      <c r="F1397"/>
      <c r="G1397"/>
      <c r="H1397"/>
      <c r="I1397"/>
      <c r="J1397"/>
      <c r="K1397"/>
      <c r="L1397"/>
      <c r="M1397"/>
      <c r="N1397"/>
      <c r="O1397"/>
    </row>
    <row r="1398" spans="1:15" x14ac:dyDescent="0.25">
      <c r="A1398"/>
      <c r="B1398"/>
      <c r="C1398"/>
      <c r="D1398"/>
      <c r="E1398"/>
      <c r="F1398"/>
      <c r="G1398"/>
      <c r="H1398"/>
      <c r="I1398"/>
      <c r="J1398"/>
      <c r="K1398"/>
      <c r="L1398"/>
      <c r="M1398"/>
      <c r="N1398"/>
      <c r="O1398"/>
    </row>
    <row r="1399" spans="1:15" x14ac:dyDescent="0.25">
      <c r="A1399"/>
      <c r="B1399"/>
      <c r="C1399"/>
      <c r="D1399"/>
      <c r="E1399"/>
      <c r="F1399"/>
      <c r="G1399"/>
      <c r="H1399"/>
      <c r="I1399"/>
      <c r="J1399"/>
      <c r="K1399"/>
      <c r="L1399"/>
      <c r="M1399"/>
      <c r="N1399"/>
      <c r="O1399"/>
    </row>
    <row r="1400" spans="1:15" x14ac:dyDescent="0.25">
      <c r="A1400"/>
      <c r="B1400"/>
      <c r="C1400"/>
      <c r="D1400"/>
      <c r="E1400"/>
      <c r="F1400"/>
      <c r="G1400"/>
      <c r="H1400"/>
      <c r="I1400"/>
      <c r="J1400"/>
      <c r="K1400"/>
      <c r="L1400"/>
      <c r="M1400"/>
      <c r="N1400"/>
      <c r="O1400"/>
    </row>
    <row r="1401" spans="1:15" x14ac:dyDescent="0.25">
      <c r="A1401"/>
      <c r="B1401"/>
      <c r="C1401"/>
      <c r="D1401"/>
      <c r="E1401"/>
      <c r="F1401"/>
      <c r="G1401"/>
      <c r="H1401"/>
      <c r="I1401"/>
      <c r="J1401"/>
      <c r="K1401"/>
      <c r="L1401"/>
      <c r="M1401"/>
      <c r="N1401"/>
      <c r="O1401"/>
    </row>
    <row r="1402" spans="1:15" x14ac:dyDescent="0.25">
      <c r="A1402"/>
      <c r="B1402"/>
      <c r="C1402"/>
      <c r="D1402"/>
      <c r="E1402"/>
      <c r="F1402"/>
      <c r="G1402"/>
      <c r="H1402"/>
      <c r="I1402"/>
      <c r="J1402"/>
      <c r="K1402"/>
      <c r="L1402"/>
      <c r="M1402"/>
      <c r="N1402"/>
      <c r="O1402"/>
    </row>
    <row r="1403" spans="1:15" x14ac:dyDescent="0.25">
      <c r="A1403"/>
      <c r="B1403"/>
      <c r="C1403"/>
      <c r="D1403"/>
      <c r="E1403"/>
      <c r="F1403"/>
      <c r="G1403"/>
      <c r="H1403"/>
      <c r="I1403"/>
      <c r="J1403"/>
      <c r="K1403"/>
      <c r="L1403"/>
      <c r="M1403"/>
      <c r="N1403"/>
      <c r="O1403"/>
    </row>
    <row r="1404" spans="1:15" x14ac:dyDescent="0.25">
      <c r="A1404"/>
      <c r="B1404"/>
      <c r="C1404"/>
      <c r="D1404"/>
      <c r="E1404"/>
      <c r="F1404"/>
      <c r="G1404"/>
      <c r="H1404"/>
      <c r="I1404"/>
      <c r="J1404"/>
      <c r="K1404"/>
      <c r="L1404"/>
      <c r="M1404"/>
      <c r="N1404"/>
      <c r="O1404"/>
    </row>
    <row r="1405" spans="1:15" x14ac:dyDescent="0.25">
      <c r="A1405"/>
      <c r="B1405"/>
      <c r="C1405"/>
      <c r="D1405"/>
      <c r="E1405"/>
      <c r="F1405"/>
      <c r="G1405"/>
      <c r="H1405"/>
      <c r="I1405"/>
      <c r="J1405"/>
      <c r="K1405"/>
      <c r="L1405"/>
      <c r="M1405"/>
      <c r="N1405"/>
      <c r="O1405"/>
    </row>
    <row r="1406" spans="1:15" x14ac:dyDescent="0.25">
      <c r="A1406"/>
      <c r="B1406"/>
      <c r="C1406"/>
      <c r="D1406"/>
      <c r="E1406"/>
      <c r="F1406"/>
      <c r="G1406"/>
      <c r="H1406"/>
      <c r="I1406"/>
      <c r="J1406"/>
      <c r="K1406"/>
      <c r="L1406"/>
      <c r="M1406"/>
      <c r="N1406"/>
      <c r="O1406"/>
    </row>
    <row r="1407" spans="1:15" x14ac:dyDescent="0.25">
      <c r="A1407"/>
      <c r="B1407"/>
      <c r="C1407"/>
      <c r="D1407"/>
      <c r="E1407"/>
      <c r="F1407"/>
      <c r="G1407"/>
      <c r="H1407"/>
      <c r="I1407"/>
      <c r="J1407"/>
      <c r="K1407"/>
      <c r="L1407"/>
      <c r="M1407"/>
      <c r="N1407"/>
      <c r="O1407"/>
    </row>
    <row r="1408" spans="1:15" x14ac:dyDescent="0.25">
      <c r="A1408"/>
      <c r="B1408"/>
      <c r="C1408"/>
      <c r="D1408"/>
      <c r="E1408"/>
      <c r="F1408"/>
      <c r="G1408"/>
      <c r="H1408"/>
      <c r="I1408"/>
      <c r="J1408"/>
      <c r="K1408"/>
      <c r="L1408"/>
      <c r="M1408"/>
      <c r="N1408"/>
      <c r="O1408"/>
    </row>
    <row r="1409" spans="1:15" x14ac:dyDescent="0.25">
      <c r="A1409"/>
      <c r="B1409"/>
      <c r="C1409"/>
      <c r="D1409"/>
      <c r="E1409"/>
      <c r="F1409"/>
      <c r="G1409"/>
      <c r="H1409"/>
      <c r="I1409"/>
      <c r="J1409"/>
      <c r="K1409"/>
      <c r="L1409"/>
      <c r="M1409"/>
      <c r="N1409"/>
      <c r="O1409"/>
    </row>
    <row r="1410" spans="1:15" x14ac:dyDescent="0.25">
      <c r="A1410"/>
      <c r="B1410"/>
      <c r="C1410"/>
      <c r="D1410"/>
      <c r="E1410"/>
      <c r="F1410"/>
      <c r="G1410"/>
      <c r="H1410"/>
      <c r="I1410"/>
      <c r="J1410"/>
      <c r="K1410"/>
      <c r="L1410"/>
      <c r="M1410"/>
      <c r="N1410"/>
      <c r="O1410"/>
    </row>
    <row r="1411" spans="1:15" x14ac:dyDescent="0.25">
      <c r="A1411"/>
      <c r="B1411"/>
      <c r="C1411"/>
      <c r="D1411"/>
      <c r="E1411"/>
      <c r="F1411"/>
      <c r="G1411"/>
      <c r="H1411"/>
      <c r="I1411"/>
      <c r="J1411"/>
      <c r="K1411"/>
      <c r="L1411"/>
      <c r="M1411"/>
      <c r="N1411"/>
      <c r="O1411"/>
    </row>
    <row r="1412" spans="1:15" x14ac:dyDescent="0.25">
      <c r="A1412"/>
      <c r="B1412"/>
      <c r="C1412"/>
      <c r="D1412"/>
      <c r="E1412"/>
      <c r="F1412"/>
      <c r="G1412"/>
      <c r="H1412"/>
      <c r="I1412"/>
      <c r="J1412"/>
      <c r="K1412"/>
      <c r="L1412"/>
      <c r="M1412"/>
      <c r="N1412"/>
      <c r="O1412"/>
    </row>
    <row r="1413" spans="1:15" x14ac:dyDescent="0.25">
      <c r="A1413"/>
      <c r="B1413"/>
      <c r="C1413"/>
      <c r="D1413"/>
      <c r="E1413"/>
      <c r="F1413"/>
      <c r="G1413"/>
      <c r="H1413"/>
      <c r="I1413"/>
      <c r="J1413"/>
      <c r="K1413"/>
      <c r="L1413"/>
      <c r="M1413"/>
      <c r="N1413"/>
      <c r="O1413"/>
    </row>
    <row r="1414" spans="1:15" x14ac:dyDescent="0.25">
      <c r="A1414"/>
      <c r="B1414"/>
      <c r="C1414"/>
      <c r="D1414"/>
      <c r="E1414"/>
      <c r="F1414"/>
      <c r="G1414"/>
      <c r="H1414"/>
      <c r="I1414"/>
      <c r="J1414"/>
      <c r="K1414"/>
      <c r="L1414"/>
      <c r="M1414"/>
      <c r="N1414"/>
      <c r="O1414"/>
    </row>
    <row r="1415" spans="1:15" x14ac:dyDescent="0.25">
      <c r="A1415"/>
      <c r="B1415"/>
      <c r="C1415"/>
      <c r="D1415"/>
      <c r="E1415"/>
      <c r="F1415"/>
      <c r="G1415"/>
      <c r="H1415"/>
      <c r="I1415"/>
      <c r="J1415"/>
      <c r="K1415"/>
      <c r="L1415"/>
      <c r="M1415"/>
      <c r="N1415"/>
      <c r="O1415"/>
    </row>
    <row r="1416" spans="1:15" x14ac:dyDescent="0.25">
      <c r="A1416"/>
      <c r="B1416"/>
      <c r="C1416"/>
      <c r="D1416"/>
      <c r="E1416"/>
      <c r="F1416"/>
      <c r="G1416"/>
      <c r="H1416"/>
      <c r="I1416"/>
      <c r="J1416"/>
      <c r="K1416"/>
      <c r="L1416"/>
      <c r="M1416"/>
      <c r="N1416"/>
      <c r="O1416"/>
    </row>
    <row r="1417" spans="1:15" x14ac:dyDescent="0.25">
      <c r="A1417"/>
      <c r="B1417"/>
      <c r="C1417"/>
      <c r="D1417"/>
      <c r="E1417"/>
      <c r="F1417"/>
      <c r="G1417"/>
      <c r="H1417"/>
      <c r="I1417"/>
      <c r="J1417"/>
      <c r="K1417"/>
      <c r="L1417"/>
      <c r="M1417"/>
      <c r="N1417"/>
      <c r="O1417"/>
    </row>
    <row r="1418" spans="1:15" x14ac:dyDescent="0.25">
      <c r="A1418"/>
      <c r="B1418"/>
      <c r="C1418"/>
      <c r="D1418"/>
      <c r="E1418"/>
      <c r="F1418"/>
      <c r="G1418"/>
      <c r="H1418"/>
      <c r="I1418"/>
      <c r="J1418"/>
      <c r="K1418"/>
      <c r="L1418"/>
      <c r="M1418"/>
      <c r="N1418"/>
      <c r="O1418"/>
    </row>
    <row r="1419" spans="1:15" x14ac:dyDescent="0.25">
      <c r="A1419"/>
      <c r="B1419"/>
      <c r="C1419"/>
      <c r="D1419"/>
      <c r="E1419"/>
      <c r="F1419"/>
      <c r="G1419"/>
      <c r="H1419"/>
      <c r="I1419"/>
      <c r="J1419"/>
      <c r="K1419"/>
      <c r="L1419"/>
      <c r="M1419"/>
      <c r="N1419"/>
      <c r="O1419"/>
    </row>
    <row r="1420" spans="1:15" x14ac:dyDescent="0.25">
      <c r="A1420"/>
      <c r="B1420"/>
      <c r="C1420"/>
      <c r="D1420"/>
      <c r="E1420"/>
      <c r="F1420"/>
      <c r="G1420"/>
      <c r="H1420"/>
      <c r="I1420"/>
      <c r="J1420"/>
      <c r="K1420"/>
      <c r="L1420"/>
      <c r="M1420"/>
      <c r="N1420"/>
      <c r="O1420"/>
    </row>
    <row r="1421" spans="1:15" x14ac:dyDescent="0.25">
      <c r="A1421"/>
      <c r="B1421"/>
      <c r="C1421"/>
      <c r="D1421"/>
      <c r="E1421"/>
      <c r="F1421"/>
      <c r="G1421"/>
      <c r="H1421"/>
      <c r="I1421"/>
      <c r="J1421"/>
      <c r="K1421"/>
      <c r="L1421"/>
      <c r="M1421"/>
      <c r="N1421"/>
      <c r="O1421"/>
    </row>
    <row r="1422" spans="1:15" x14ac:dyDescent="0.25">
      <c r="A1422"/>
      <c r="B1422"/>
      <c r="C1422"/>
      <c r="D1422"/>
      <c r="E1422"/>
      <c r="F1422"/>
      <c r="G1422"/>
      <c r="H1422"/>
      <c r="I1422"/>
      <c r="J1422"/>
      <c r="K1422"/>
      <c r="L1422"/>
      <c r="M1422"/>
      <c r="N1422"/>
      <c r="O1422"/>
    </row>
    <row r="1423" spans="1:15" x14ac:dyDescent="0.25">
      <c r="A1423"/>
      <c r="B1423"/>
      <c r="C1423"/>
      <c r="D1423"/>
      <c r="E1423"/>
      <c r="F1423"/>
      <c r="G1423"/>
      <c r="H1423"/>
      <c r="I1423"/>
      <c r="J1423"/>
      <c r="K1423"/>
      <c r="L1423"/>
      <c r="M1423"/>
      <c r="N1423"/>
      <c r="O1423"/>
    </row>
    <row r="1424" spans="1:15" x14ac:dyDescent="0.25">
      <c r="A1424"/>
      <c r="B1424"/>
      <c r="C1424"/>
      <c r="D1424"/>
      <c r="E1424"/>
      <c r="F1424"/>
      <c r="G1424"/>
      <c r="H1424"/>
      <c r="I1424"/>
      <c r="J1424"/>
      <c r="K1424"/>
      <c r="L1424"/>
      <c r="M1424"/>
      <c r="N1424"/>
      <c r="O1424"/>
    </row>
    <row r="1425" spans="1:15" x14ac:dyDescent="0.25">
      <c r="A1425"/>
      <c r="B1425"/>
      <c r="C1425"/>
      <c r="D1425"/>
      <c r="E1425"/>
      <c r="F1425"/>
      <c r="G1425"/>
      <c r="H1425"/>
      <c r="I1425"/>
      <c r="J1425"/>
      <c r="K1425"/>
      <c r="L1425"/>
      <c r="M1425"/>
      <c r="N1425"/>
      <c r="O1425"/>
    </row>
    <row r="1426" spans="1:15" x14ac:dyDescent="0.25">
      <c r="A1426"/>
      <c r="B1426"/>
      <c r="C1426"/>
      <c r="D1426"/>
      <c r="E1426"/>
      <c r="F1426"/>
      <c r="G1426"/>
      <c r="H1426"/>
      <c r="I1426"/>
      <c r="J1426"/>
      <c r="K1426"/>
      <c r="L1426"/>
      <c r="M1426"/>
      <c r="N1426"/>
      <c r="O1426"/>
    </row>
    <row r="1427" spans="1:15" x14ac:dyDescent="0.25">
      <c r="A1427"/>
      <c r="B1427"/>
      <c r="C1427"/>
      <c r="D1427"/>
      <c r="E1427"/>
      <c r="F1427"/>
      <c r="G1427"/>
      <c r="H1427"/>
      <c r="I1427"/>
      <c r="J1427"/>
      <c r="K1427"/>
      <c r="L1427"/>
      <c r="M1427"/>
      <c r="N1427"/>
      <c r="O1427"/>
    </row>
    <row r="1428" spans="1:15" x14ac:dyDescent="0.25">
      <c r="A1428"/>
      <c r="B1428"/>
      <c r="C1428"/>
      <c r="D1428"/>
      <c r="E1428"/>
      <c r="F1428"/>
      <c r="G1428"/>
      <c r="H1428"/>
      <c r="I1428"/>
      <c r="J1428"/>
      <c r="K1428"/>
      <c r="L1428"/>
      <c r="M1428"/>
      <c r="N1428"/>
      <c r="O1428"/>
    </row>
    <row r="1429" spans="1:15" x14ac:dyDescent="0.25">
      <c r="A1429"/>
      <c r="B1429"/>
      <c r="C1429"/>
      <c r="D1429"/>
      <c r="E1429"/>
      <c r="F1429"/>
      <c r="G1429"/>
      <c r="H1429"/>
      <c r="I1429"/>
      <c r="J1429"/>
      <c r="K1429"/>
      <c r="L1429"/>
      <c r="M1429"/>
      <c r="N1429"/>
      <c r="O1429"/>
    </row>
    <row r="1430" spans="1:15" x14ac:dyDescent="0.25">
      <c r="A1430"/>
      <c r="B1430"/>
      <c r="C1430"/>
      <c r="D1430"/>
      <c r="E1430"/>
      <c r="F1430"/>
      <c r="G1430"/>
      <c r="H1430"/>
      <c r="I1430"/>
      <c r="J1430"/>
      <c r="K1430"/>
      <c r="L1430"/>
      <c r="M1430"/>
      <c r="N1430"/>
      <c r="O1430"/>
    </row>
    <row r="1431" spans="1:15" x14ac:dyDescent="0.25">
      <c r="A1431"/>
      <c r="B1431"/>
      <c r="C1431"/>
      <c r="D1431"/>
      <c r="E1431"/>
      <c r="F1431"/>
      <c r="G1431"/>
      <c r="H1431"/>
      <c r="I1431"/>
      <c r="J1431"/>
      <c r="K1431"/>
      <c r="L1431"/>
      <c r="M1431"/>
      <c r="N1431"/>
      <c r="O1431"/>
    </row>
    <row r="1432" spans="1:15" x14ac:dyDescent="0.25">
      <c r="A1432"/>
      <c r="B1432"/>
      <c r="C1432"/>
      <c r="D1432"/>
      <c r="E1432"/>
      <c r="F1432"/>
      <c r="G1432"/>
      <c r="H1432"/>
      <c r="I1432"/>
      <c r="J1432"/>
      <c r="K1432"/>
      <c r="L1432"/>
      <c r="M1432"/>
      <c r="N1432"/>
      <c r="O1432"/>
    </row>
    <row r="1433" spans="1:15" x14ac:dyDescent="0.25">
      <c r="A1433"/>
      <c r="B1433"/>
      <c r="C1433"/>
      <c r="D1433"/>
      <c r="E1433"/>
      <c r="F1433"/>
      <c r="G1433"/>
      <c r="H1433"/>
      <c r="I1433"/>
      <c r="J1433"/>
      <c r="K1433"/>
      <c r="L1433"/>
      <c r="M1433"/>
      <c r="N1433"/>
      <c r="O1433"/>
    </row>
    <row r="1434" spans="1:15" x14ac:dyDescent="0.25">
      <c r="A1434"/>
      <c r="B1434"/>
      <c r="C1434"/>
      <c r="D1434"/>
      <c r="E1434"/>
      <c r="F1434"/>
      <c r="G1434"/>
      <c r="H1434"/>
      <c r="I1434"/>
      <c r="J1434"/>
      <c r="K1434"/>
      <c r="L1434"/>
      <c r="M1434"/>
      <c r="N1434"/>
      <c r="O1434"/>
    </row>
    <row r="1435" spans="1:15" x14ac:dyDescent="0.25">
      <c r="A1435"/>
      <c r="B1435"/>
      <c r="C1435"/>
      <c r="D1435"/>
      <c r="E1435"/>
      <c r="F1435"/>
      <c r="G1435"/>
      <c r="H1435"/>
      <c r="I1435"/>
      <c r="J1435"/>
      <c r="K1435"/>
      <c r="L1435"/>
      <c r="M1435"/>
      <c r="N1435"/>
      <c r="O1435"/>
    </row>
    <row r="1436" spans="1:15" x14ac:dyDescent="0.25">
      <c r="A1436"/>
      <c r="B1436"/>
      <c r="C1436"/>
      <c r="D1436"/>
      <c r="E1436"/>
      <c r="F1436"/>
      <c r="G1436"/>
      <c r="H1436"/>
      <c r="I1436"/>
      <c r="J1436"/>
      <c r="K1436"/>
      <c r="L1436"/>
      <c r="M1436"/>
      <c r="N1436"/>
      <c r="O1436"/>
    </row>
    <row r="1437" spans="1:15" x14ac:dyDescent="0.25">
      <c r="A1437"/>
      <c r="B1437"/>
      <c r="C1437"/>
      <c r="D1437"/>
      <c r="E1437"/>
      <c r="F1437"/>
      <c r="G1437"/>
      <c r="H1437"/>
      <c r="I1437"/>
      <c r="J1437"/>
      <c r="K1437"/>
      <c r="L1437"/>
      <c r="M1437"/>
      <c r="N1437"/>
      <c r="O1437"/>
    </row>
    <row r="1438" spans="1:15" x14ac:dyDescent="0.25">
      <c r="A1438"/>
      <c r="B1438"/>
      <c r="C1438"/>
      <c r="D1438"/>
      <c r="E1438"/>
      <c r="F1438"/>
      <c r="G1438"/>
      <c r="H1438"/>
      <c r="I1438"/>
      <c r="J1438"/>
      <c r="K1438"/>
      <c r="L1438"/>
      <c r="M1438"/>
      <c r="N1438"/>
      <c r="O1438"/>
    </row>
    <row r="1439" spans="1:15" x14ac:dyDescent="0.25">
      <c r="A1439"/>
      <c r="B1439"/>
      <c r="C1439"/>
      <c r="D1439"/>
      <c r="E1439"/>
      <c r="F1439"/>
      <c r="G1439"/>
      <c r="H1439"/>
      <c r="I1439"/>
      <c r="J1439"/>
      <c r="K1439"/>
      <c r="L1439"/>
      <c r="M1439"/>
      <c r="N1439"/>
      <c r="O1439"/>
    </row>
    <row r="1440" spans="1:15" x14ac:dyDescent="0.25">
      <c r="A1440"/>
      <c r="B1440"/>
      <c r="C1440"/>
      <c r="D1440"/>
      <c r="E1440"/>
      <c r="F1440"/>
      <c r="G1440"/>
      <c r="H1440"/>
      <c r="I1440"/>
      <c r="J1440"/>
      <c r="K1440"/>
      <c r="L1440"/>
      <c r="M1440"/>
      <c r="N1440"/>
      <c r="O1440"/>
    </row>
    <row r="1441" spans="1:15" x14ac:dyDescent="0.25">
      <c r="A1441"/>
      <c r="B1441"/>
      <c r="C1441"/>
      <c r="D1441"/>
      <c r="E1441"/>
      <c r="F1441"/>
      <c r="G1441"/>
      <c r="H1441"/>
      <c r="I1441"/>
      <c r="J1441"/>
      <c r="K1441"/>
      <c r="L1441"/>
      <c r="M1441"/>
      <c r="N1441"/>
      <c r="O1441"/>
    </row>
    <row r="1442" spans="1:15" x14ac:dyDescent="0.25">
      <c r="A1442"/>
      <c r="B1442"/>
      <c r="C1442"/>
      <c r="D1442"/>
      <c r="E1442"/>
      <c r="F1442"/>
      <c r="G1442"/>
      <c r="H1442"/>
      <c r="I1442"/>
      <c r="J1442"/>
      <c r="K1442"/>
      <c r="L1442"/>
      <c r="M1442"/>
      <c r="N1442"/>
      <c r="O1442"/>
    </row>
    <row r="1443" spans="1:15" x14ac:dyDescent="0.25">
      <c r="A1443"/>
      <c r="B1443"/>
      <c r="C1443"/>
      <c r="D1443"/>
      <c r="E1443"/>
      <c r="F1443"/>
      <c r="G1443"/>
      <c r="H1443"/>
      <c r="I1443"/>
      <c r="J1443"/>
      <c r="K1443"/>
      <c r="L1443"/>
      <c r="M1443"/>
      <c r="N1443"/>
      <c r="O1443"/>
    </row>
    <row r="1444" spans="1:15" x14ac:dyDescent="0.25">
      <c r="A1444"/>
      <c r="B1444"/>
      <c r="C1444"/>
      <c r="D1444"/>
      <c r="E1444"/>
      <c r="F1444"/>
      <c r="G1444"/>
      <c r="H1444"/>
      <c r="I1444"/>
      <c r="J1444"/>
      <c r="K1444"/>
      <c r="L1444"/>
      <c r="M1444"/>
      <c r="N1444"/>
      <c r="O1444"/>
    </row>
    <row r="1445" spans="1:15" x14ac:dyDescent="0.25">
      <c r="A1445"/>
      <c r="B1445"/>
      <c r="C1445"/>
      <c r="D1445"/>
      <c r="E1445"/>
      <c r="F1445"/>
      <c r="G1445"/>
      <c r="H1445"/>
      <c r="I1445"/>
      <c r="J1445"/>
      <c r="K1445"/>
      <c r="L1445"/>
      <c r="M1445"/>
      <c r="N1445"/>
      <c r="O1445"/>
    </row>
    <row r="1446" spans="1:15" x14ac:dyDescent="0.25">
      <c r="A1446"/>
      <c r="B1446"/>
      <c r="C1446"/>
      <c r="D1446"/>
      <c r="E1446"/>
      <c r="F1446"/>
      <c r="G1446"/>
      <c r="H1446"/>
      <c r="I1446"/>
      <c r="J1446"/>
      <c r="K1446"/>
      <c r="L1446"/>
      <c r="M1446"/>
      <c r="N1446"/>
      <c r="O1446"/>
    </row>
    <row r="1447" spans="1:15" x14ac:dyDescent="0.25">
      <c r="A1447"/>
      <c r="B1447"/>
      <c r="C1447"/>
      <c r="D1447"/>
      <c r="E1447"/>
      <c r="F1447"/>
      <c r="G1447"/>
      <c r="H1447"/>
      <c r="I1447"/>
      <c r="J1447"/>
      <c r="K1447"/>
      <c r="L1447"/>
      <c r="M1447"/>
      <c r="N1447"/>
      <c r="O1447"/>
    </row>
    <row r="1448" spans="1:15" x14ac:dyDescent="0.25">
      <c r="A1448"/>
      <c r="B1448"/>
      <c r="C1448"/>
      <c r="D1448"/>
      <c r="E1448"/>
      <c r="F1448"/>
      <c r="G1448"/>
      <c r="H1448"/>
      <c r="I1448"/>
      <c r="J1448"/>
      <c r="K1448"/>
      <c r="L1448"/>
      <c r="M1448"/>
      <c r="N1448"/>
      <c r="O1448"/>
    </row>
    <row r="1449" spans="1:15" x14ac:dyDescent="0.25">
      <c r="A1449"/>
      <c r="B1449"/>
      <c r="C1449"/>
      <c r="D1449"/>
      <c r="E1449"/>
      <c r="F1449"/>
      <c r="G1449"/>
      <c r="H1449"/>
      <c r="I1449"/>
      <c r="J1449"/>
      <c r="K1449"/>
      <c r="L1449"/>
      <c r="M1449"/>
      <c r="N1449"/>
      <c r="O1449"/>
    </row>
    <row r="1450" spans="1:15" x14ac:dyDescent="0.25">
      <c r="A1450"/>
      <c r="B1450"/>
      <c r="C1450"/>
      <c r="D1450"/>
      <c r="E1450"/>
      <c r="F1450"/>
      <c r="G1450"/>
      <c r="H1450"/>
      <c r="I1450"/>
      <c r="J1450"/>
      <c r="K1450"/>
      <c r="L1450"/>
      <c r="M1450"/>
      <c r="N1450"/>
      <c r="O1450"/>
    </row>
    <row r="1451" spans="1:15" x14ac:dyDescent="0.25">
      <c r="A1451"/>
      <c r="B1451"/>
      <c r="C1451"/>
      <c r="D1451"/>
      <c r="E1451"/>
      <c r="F1451"/>
      <c r="G1451"/>
      <c r="H1451"/>
      <c r="I1451"/>
      <c r="J1451"/>
      <c r="K1451"/>
      <c r="L1451"/>
      <c r="M1451"/>
      <c r="N1451"/>
      <c r="O1451"/>
    </row>
    <row r="1452" spans="1:15" x14ac:dyDescent="0.25">
      <c r="A1452"/>
      <c r="B1452"/>
      <c r="C1452"/>
      <c r="D1452"/>
      <c r="E1452"/>
      <c r="F1452"/>
      <c r="G1452"/>
      <c r="H1452"/>
      <c r="I1452"/>
      <c r="J1452"/>
      <c r="K1452"/>
      <c r="L1452"/>
      <c r="M1452"/>
      <c r="N1452"/>
      <c r="O1452"/>
    </row>
    <row r="1453" spans="1:15" x14ac:dyDescent="0.25">
      <c r="A1453"/>
      <c r="B1453"/>
      <c r="C1453"/>
      <c r="D1453"/>
      <c r="E1453"/>
      <c r="F1453"/>
      <c r="G1453"/>
      <c r="H1453"/>
      <c r="I1453"/>
      <c r="J1453"/>
      <c r="K1453"/>
      <c r="L1453"/>
      <c r="M1453"/>
      <c r="N1453"/>
      <c r="O1453"/>
    </row>
    <row r="1454" spans="1:15" x14ac:dyDescent="0.25">
      <c r="A1454"/>
      <c r="B1454"/>
      <c r="C1454"/>
      <c r="D1454"/>
      <c r="E1454"/>
      <c r="F1454"/>
      <c r="G1454"/>
      <c r="H1454"/>
      <c r="I1454"/>
      <c r="J1454"/>
      <c r="K1454"/>
      <c r="L1454"/>
      <c r="M1454"/>
      <c r="N1454"/>
      <c r="O1454"/>
    </row>
    <row r="1455" spans="1:15" x14ac:dyDescent="0.25">
      <c r="A1455"/>
      <c r="B1455"/>
      <c r="C1455"/>
      <c r="D1455"/>
      <c r="E1455"/>
      <c r="F1455"/>
      <c r="G1455"/>
      <c r="H1455"/>
      <c r="I1455"/>
      <c r="J1455"/>
      <c r="K1455"/>
      <c r="L1455"/>
      <c r="M1455"/>
      <c r="N1455"/>
      <c r="O1455"/>
    </row>
    <row r="1456" spans="1:15" x14ac:dyDescent="0.25">
      <c r="A1456"/>
      <c r="B1456"/>
      <c r="C1456"/>
      <c r="D1456"/>
      <c r="E1456"/>
      <c r="F1456"/>
      <c r="G1456"/>
      <c r="H1456"/>
      <c r="I1456"/>
      <c r="J1456"/>
      <c r="K1456"/>
      <c r="L1456"/>
      <c r="M1456"/>
      <c r="N1456"/>
      <c r="O1456"/>
    </row>
    <row r="1457" spans="1:15" x14ac:dyDescent="0.25">
      <c r="A1457"/>
      <c r="B1457"/>
      <c r="C1457"/>
      <c r="D1457"/>
      <c r="E1457"/>
      <c r="F1457"/>
      <c r="G1457"/>
      <c r="H1457"/>
      <c r="I1457"/>
      <c r="J1457"/>
      <c r="K1457"/>
      <c r="L1457"/>
      <c r="M1457"/>
      <c r="N1457"/>
      <c r="O1457"/>
    </row>
    <row r="1458" spans="1:15" x14ac:dyDescent="0.25">
      <c r="A1458"/>
      <c r="B1458"/>
      <c r="C1458"/>
      <c r="D1458"/>
      <c r="E1458"/>
      <c r="F1458"/>
      <c r="G1458"/>
      <c r="H1458"/>
      <c r="I1458"/>
      <c r="J1458"/>
      <c r="K1458"/>
      <c r="L1458"/>
      <c r="M1458"/>
      <c r="N1458"/>
      <c r="O1458"/>
    </row>
    <row r="1459" spans="1:15" x14ac:dyDescent="0.25">
      <c r="A1459"/>
      <c r="B1459"/>
      <c r="C1459"/>
      <c r="D1459"/>
      <c r="E1459"/>
      <c r="F1459"/>
      <c r="G1459"/>
      <c r="H1459"/>
      <c r="I1459"/>
      <c r="J1459"/>
      <c r="K1459"/>
      <c r="L1459"/>
      <c r="M1459"/>
      <c r="N1459"/>
      <c r="O1459"/>
    </row>
    <row r="1460" spans="1:15" x14ac:dyDescent="0.25">
      <c r="A1460"/>
      <c r="B1460"/>
      <c r="C1460"/>
      <c r="D1460"/>
      <c r="E1460"/>
      <c r="F1460"/>
      <c r="G1460"/>
      <c r="H1460"/>
      <c r="I1460"/>
      <c r="J1460"/>
      <c r="K1460"/>
      <c r="L1460"/>
      <c r="M1460"/>
      <c r="N1460"/>
      <c r="O1460"/>
    </row>
    <row r="1461" spans="1:15" x14ac:dyDescent="0.25">
      <c r="A1461"/>
      <c r="B1461"/>
      <c r="C1461"/>
      <c r="D1461"/>
      <c r="E1461"/>
      <c r="F1461"/>
      <c r="G1461"/>
      <c r="H1461"/>
      <c r="I1461"/>
      <c r="J1461"/>
      <c r="K1461"/>
      <c r="L1461"/>
      <c r="M1461"/>
      <c r="N1461"/>
      <c r="O1461"/>
    </row>
    <row r="1462" spans="1:15" x14ac:dyDescent="0.25">
      <c r="A1462"/>
      <c r="B1462"/>
      <c r="C1462"/>
      <c r="D1462"/>
      <c r="E1462"/>
      <c r="F1462"/>
      <c r="G1462"/>
      <c r="H1462"/>
      <c r="I1462"/>
      <c r="J1462"/>
      <c r="K1462"/>
      <c r="L1462"/>
      <c r="M1462"/>
      <c r="N1462"/>
      <c r="O1462"/>
    </row>
    <row r="1463" spans="1:15" x14ac:dyDescent="0.25">
      <c r="A1463"/>
      <c r="B1463"/>
      <c r="C1463"/>
      <c r="D1463"/>
      <c r="E1463"/>
      <c r="F1463"/>
      <c r="G1463"/>
      <c r="H1463"/>
      <c r="I1463"/>
      <c r="J1463"/>
      <c r="K1463"/>
      <c r="L1463"/>
      <c r="M1463"/>
      <c r="N1463"/>
      <c r="O1463"/>
    </row>
    <row r="1464" spans="1:15" x14ac:dyDescent="0.25">
      <c r="A1464"/>
      <c r="B1464"/>
      <c r="C1464"/>
      <c r="D1464"/>
      <c r="E1464"/>
      <c r="F1464"/>
      <c r="G1464"/>
      <c r="H1464"/>
      <c r="I1464"/>
      <c r="J1464"/>
      <c r="K1464"/>
      <c r="L1464"/>
      <c r="M1464"/>
      <c r="N1464"/>
      <c r="O1464"/>
    </row>
    <row r="1465" spans="1:15" x14ac:dyDescent="0.25">
      <c r="A1465"/>
      <c r="B1465"/>
      <c r="C1465"/>
      <c r="D1465"/>
      <c r="E1465"/>
      <c r="F1465"/>
      <c r="G1465"/>
      <c r="H1465"/>
      <c r="I1465"/>
      <c r="J1465"/>
      <c r="K1465"/>
      <c r="L1465"/>
      <c r="M1465"/>
      <c r="N1465"/>
      <c r="O1465"/>
    </row>
    <row r="1466" spans="1:15" x14ac:dyDescent="0.25">
      <c r="A1466"/>
      <c r="B1466"/>
      <c r="C1466"/>
      <c r="D1466"/>
      <c r="E1466"/>
      <c r="F1466"/>
      <c r="G1466"/>
      <c r="H1466"/>
      <c r="I1466"/>
      <c r="J1466"/>
      <c r="K1466"/>
      <c r="L1466"/>
      <c r="M1466"/>
      <c r="N1466"/>
      <c r="O1466"/>
    </row>
    <row r="1467" spans="1:15" x14ac:dyDescent="0.25">
      <c r="A1467"/>
      <c r="B1467"/>
      <c r="C1467"/>
      <c r="D1467"/>
      <c r="E1467"/>
      <c r="F1467"/>
      <c r="G1467"/>
      <c r="H1467"/>
      <c r="I1467"/>
      <c r="J1467"/>
      <c r="K1467"/>
      <c r="L1467"/>
      <c r="M1467"/>
      <c r="N1467"/>
      <c r="O1467"/>
    </row>
    <row r="1468" spans="1:15" x14ac:dyDescent="0.25">
      <c r="A1468"/>
      <c r="B1468"/>
      <c r="C1468"/>
      <c r="D1468"/>
      <c r="E1468"/>
      <c r="F1468"/>
      <c r="G1468"/>
      <c r="H1468"/>
      <c r="I1468"/>
      <c r="J1468"/>
      <c r="K1468"/>
      <c r="L1468"/>
      <c r="M1468"/>
      <c r="N1468"/>
      <c r="O1468"/>
    </row>
    <row r="1469" spans="1:15" x14ac:dyDescent="0.25">
      <c r="A1469"/>
      <c r="B1469"/>
      <c r="C1469"/>
      <c r="D1469"/>
      <c r="E1469"/>
      <c r="F1469"/>
      <c r="G1469"/>
      <c r="H1469"/>
      <c r="I1469"/>
      <c r="J1469"/>
      <c r="K1469"/>
      <c r="L1469"/>
      <c r="M1469"/>
      <c r="N1469"/>
      <c r="O1469"/>
    </row>
    <row r="1470" spans="1:15" x14ac:dyDescent="0.25">
      <c r="A1470"/>
      <c r="B1470"/>
      <c r="C1470"/>
      <c r="D1470"/>
      <c r="E1470"/>
      <c r="F1470"/>
      <c r="G1470"/>
      <c r="H1470"/>
      <c r="I1470"/>
      <c r="J1470"/>
      <c r="K1470"/>
      <c r="L1470"/>
      <c r="M1470"/>
      <c r="N1470"/>
      <c r="O1470"/>
    </row>
    <row r="1471" spans="1:15" x14ac:dyDescent="0.25">
      <c r="A1471"/>
      <c r="B1471"/>
      <c r="C1471"/>
      <c r="D1471"/>
      <c r="E1471"/>
      <c r="F1471"/>
      <c r="G1471"/>
      <c r="H1471"/>
      <c r="I1471"/>
      <c r="J1471"/>
      <c r="K1471"/>
      <c r="L1471"/>
      <c r="M1471"/>
      <c r="N1471"/>
      <c r="O1471"/>
    </row>
    <row r="1472" spans="1:15" x14ac:dyDescent="0.25">
      <c r="A1472"/>
      <c r="B1472"/>
      <c r="C1472"/>
      <c r="D1472"/>
      <c r="E1472"/>
      <c r="F1472"/>
      <c r="G1472"/>
      <c r="H1472"/>
      <c r="I1472"/>
      <c r="J1472"/>
      <c r="K1472"/>
      <c r="L1472"/>
      <c r="M1472"/>
      <c r="N1472"/>
      <c r="O1472"/>
    </row>
    <row r="1473" spans="1:15" x14ac:dyDescent="0.25">
      <c r="A1473"/>
      <c r="B1473"/>
      <c r="C1473"/>
      <c r="D1473"/>
      <c r="E1473"/>
      <c r="F1473"/>
      <c r="G1473"/>
      <c r="H1473"/>
      <c r="I1473"/>
      <c r="J1473"/>
      <c r="K1473"/>
      <c r="L1473"/>
      <c r="M1473"/>
      <c r="N1473"/>
      <c r="O1473"/>
    </row>
    <row r="1474" spans="1:15" x14ac:dyDescent="0.25">
      <c r="A1474"/>
      <c r="B1474"/>
      <c r="C1474"/>
      <c r="D1474"/>
      <c r="E1474"/>
      <c r="F1474"/>
      <c r="G1474"/>
      <c r="H1474"/>
      <c r="I1474"/>
      <c r="J1474"/>
      <c r="K1474"/>
      <c r="L1474"/>
      <c r="M1474"/>
      <c r="N1474"/>
      <c r="O1474"/>
    </row>
    <row r="1475" spans="1:15" x14ac:dyDescent="0.25">
      <c r="A1475"/>
      <c r="B1475"/>
      <c r="C1475"/>
      <c r="D1475"/>
      <c r="E1475"/>
      <c r="F1475"/>
      <c r="G1475"/>
      <c r="H1475"/>
      <c r="I1475"/>
      <c r="J1475"/>
      <c r="K1475"/>
      <c r="L1475"/>
      <c r="M1475"/>
      <c r="N1475"/>
      <c r="O1475"/>
    </row>
    <row r="1476" spans="1:15" x14ac:dyDescent="0.25">
      <c r="A1476"/>
      <c r="B1476"/>
      <c r="C1476"/>
      <c r="D1476"/>
      <c r="E1476"/>
      <c r="F1476"/>
      <c r="G1476"/>
      <c r="H1476"/>
      <c r="I1476"/>
      <c r="J1476"/>
      <c r="K1476"/>
      <c r="L1476"/>
      <c r="M1476"/>
      <c r="N1476"/>
      <c r="O1476"/>
    </row>
    <row r="1477" spans="1:15" x14ac:dyDescent="0.25">
      <c r="A1477"/>
      <c r="B1477"/>
      <c r="C1477"/>
      <c r="D1477"/>
      <c r="E1477"/>
      <c r="F1477"/>
      <c r="G1477"/>
      <c r="H1477"/>
      <c r="I1477"/>
      <c r="J1477"/>
      <c r="K1477"/>
      <c r="L1477"/>
      <c r="M1477"/>
      <c r="N1477"/>
      <c r="O1477"/>
    </row>
    <row r="1478" spans="1:15" x14ac:dyDescent="0.25">
      <c r="A1478"/>
      <c r="B1478"/>
      <c r="C1478"/>
      <c r="D1478"/>
      <c r="E1478"/>
      <c r="F1478"/>
      <c r="G1478"/>
      <c r="H1478"/>
      <c r="I1478"/>
      <c r="J1478"/>
      <c r="K1478"/>
      <c r="L1478"/>
      <c r="M1478"/>
      <c r="N1478"/>
      <c r="O1478"/>
    </row>
    <row r="1479" spans="1:15" x14ac:dyDescent="0.25">
      <c r="A1479"/>
      <c r="B1479"/>
      <c r="C1479"/>
      <c r="D1479"/>
      <c r="E1479"/>
      <c r="F1479"/>
      <c r="G1479"/>
      <c r="H1479"/>
      <c r="I1479"/>
      <c r="J1479"/>
      <c r="K1479"/>
      <c r="L1479"/>
      <c r="M1479"/>
      <c r="N1479"/>
      <c r="O1479"/>
    </row>
    <row r="1480" spans="1:15" x14ac:dyDescent="0.25">
      <c r="A1480"/>
      <c r="B1480"/>
      <c r="C1480"/>
      <c r="D1480"/>
      <c r="E1480"/>
      <c r="F1480"/>
      <c r="G1480"/>
      <c r="H1480"/>
      <c r="I1480"/>
      <c r="J1480"/>
      <c r="K1480"/>
      <c r="L1480"/>
      <c r="M1480"/>
      <c r="N1480"/>
      <c r="O1480"/>
    </row>
    <row r="1481" spans="1:15" x14ac:dyDescent="0.25">
      <c r="A1481"/>
      <c r="B1481"/>
      <c r="C1481"/>
      <c r="D1481"/>
      <c r="E1481"/>
      <c r="F1481"/>
      <c r="G1481"/>
      <c r="H1481"/>
      <c r="I1481"/>
      <c r="J1481"/>
      <c r="K1481"/>
      <c r="L1481"/>
      <c r="M1481"/>
      <c r="N1481"/>
      <c r="O1481"/>
    </row>
    <row r="1482" spans="1:15" x14ac:dyDescent="0.25">
      <c r="A1482"/>
      <c r="B1482"/>
      <c r="C1482"/>
      <c r="D1482"/>
      <c r="E1482"/>
      <c r="F1482"/>
      <c r="G1482"/>
      <c r="H1482"/>
      <c r="I1482"/>
      <c r="J1482"/>
      <c r="K1482"/>
      <c r="L1482"/>
      <c r="M1482"/>
      <c r="N1482"/>
      <c r="O1482"/>
    </row>
    <row r="1483" spans="1:15" x14ac:dyDescent="0.25">
      <c r="A1483"/>
      <c r="B1483"/>
      <c r="C1483"/>
      <c r="D1483"/>
      <c r="E1483"/>
      <c r="F1483"/>
      <c r="G1483"/>
      <c r="H1483"/>
      <c r="I1483"/>
      <c r="J1483"/>
      <c r="K1483"/>
      <c r="L1483"/>
      <c r="M1483"/>
      <c r="N1483"/>
      <c r="O1483"/>
    </row>
    <row r="1484" spans="1:15" x14ac:dyDescent="0.25">
      <c r="A1484"/>
      <c r="B1484"/>
      <c r="C1484"/>
      <c r="D1484"/>
      <c r="E1484"/>
      <c r="F1484"/>
      <c r="G1484"/>
      <c r="H1484"/>
      <c r="I1484"/>
      <c r="J1484"/>
      <c r="K1484"/>
      <c r="L1484"/>
      <c r="M1484"/>
      <c r="N1484"/>
      <c r="O1484"/>
    </row>
    <row r="1485" spans="1:15" x14ac:dyDescent="0.25">
      <c r="A1485"/>
      <c r="B1485"/>
      <c r="C1485"/>
      <c r="D1485"/>
      <c r="E1485"/>
      <c r="F1485"/>
      <c r="G1485"/>
      <c r="H1485"/>
      <c r="I1485"/>
      <c r="J1485"/>
      <c r="K1485"/>
      <c r="L1485"/>
      <c r="M1485"/>
      <c r="N1485"/>
      <c r="O1485"/>
    </row>
    <row r="1486" spans="1:15" x14ac:dyDescent="0.25">
      <c r="A1486"/>
      <c r="B1486"/>
      <c r="C1486"/>
      <c r="D1486"/>
      <c r="E1486"/>
      <c r="F1486"/>
      <c r="G1486"/>
      <c r="H1486"/>
      <c r="I1486"/>
      <c r="J1486"/>
      <c r="K1486"/>
      <c r="L1486"/>
      <c r="M1486"/>
      <c r="N1486"/>
      <c r="O1486"/>
    </row>
    <row r="1487" spans="1:15" x14ac:dyDescent="0.25">
      <c r="A1487"/>
      <c r="B1487"/>
      <c r="C1487"/>
      <c r="D1487"/>
      <c r="E1487"/>
      <c r="F1487"/>
      <c r="G1487"/>
      <c r="H1487"/>
      <c r="I1487"/>
      <c r="J1487"/>
      <c r="K1487"/>
      <c r="L1487"/>
      <c r="M1487"/>
      <c r="N1487"/>
      <c r="O1487"/>
    </row>
    <row r="1488" spans="1:15" x14ac:dyDescent="0.25">
      <c r="A1488"/>
      <c r="B1488"/>
      <c r="C1488"/>
      <c r="D1488"/>
      <c r="E1488"/>
      <c r="F1488"/>
      <c r="G1488"/>
      <c r="H1488"/>
      <c r="I1488"/>
      <c r="J1488"/>
      <c r="K1488"/>
      <c r="L1488"/>
      <c r="M1488"/>
      <c r="N1488"/>
      <c r="O1488"/>
    </row>
    <row r="1489" spans="1:15" x14ac:dyDescent="0.25">
      <c r="A1489"/>
      <c r="B1489"/>
      <c r="C1489"/>
      <c r="D1489"/>
      <c r="E1489"/>
      <c r="F1489"/>
      <c r="G1489"/>
      <c r="H1489"/>
      <c r="I1489"/>
      <c r="J1489"/>
      <c r="K1489"/>
      <c r="L1489"/>
      <c r="M1489"/>
      <c r="N1489"/>
      <c r="O1489"/>
    </row>
    <row r="1490" spans="1:15" x14ac:dyDescent="0.25">
      <c r="A1490"/>
      <c r="B1490"/>
      <c r="C1490"/>
      <c r="D1490"/>
      <c r="E1490"/>
      <c r="F1490"/>
      <c r="G1490"/>
      <c r="H1490"/>
      <c r="I1490"/>
      <c r="J1490"/>
      <c r="K1490"/>
      <c r="L1490"/>
      <c r="M1490"/>
      <c r="N1490"/>
      <c r="O1490"/>
    </row>
    <row r="1491" spans="1:15" x14ac:dyDescent="0.25">
      <c r="A1491"/>
      <c r="B1491"/>
      <c r="C1491"/>
      <c r="D1491"/>
      <c r="E1491"/>
      <c r="F1491"/>
      <c r="G1491"/>
      <c r="H1491"/>
      <c r="I1491"/>
      <c r="J1491"/>
      <c r="K1491"/>
      <c r="L1491"/>
      <c r="M1491"/>
      <c r="N1491"/>
      <c r="O1491"/>
    </row>
    <row r="1492" spans="1:15" x14ac:dyDescent="0.25">
      <c r="A1492"/>
      <c r="B1492"/>
      <c r="C1492"/>
      <c r="D1492"/>
      <c r="E1492"/>
      <c r="F1492"/>
      <c r="G1492"/>
      <c r="H1492"/>
      <c r="I1492"/>
      <c r="J1492"/>
      <c r="K1492"/>
      <c r="L1492"/>
      <c r="M1492"/>
      <c r="N1492"/>
      <c r="O1492"/>
    </row>
    <row r="1493" spans="1:15" x14ac:dyDescent="0.25">
      <c r="A1493"/>
      <c r="B1493"/>
      <c r="C1493"/>
      <c r="D1493"/>
      <c r="E1493"/>
      <c r="F1493"/>
      <c r="G1493"/>
      <c r="H1493"/>
      <c r="I1493"/>
      <c r="J1493"/>
      <c r="K1493"/>
      <c r="L1493"/>
      <c r="M1493"/>
      <c r="N1493"/>
      <c r="O1493"/>
    </row>
    <row r="1494" spans="1:15" x14ac:dyDescent="0.25">
      <c r="A1494"/>
      <c r="B1494"/>
      <c r="C1494"/>
      <c r="D1494"/>
      <c r="E1494"/>
      <c r="F1494"/>
      <c r="G1494"/>
      <c r="H1494"/>
      <c r="I1494"/>
      <c r="J1494"/>
      <c r="K1494"/>
      <c r="L1494"/>
      <c r="M1494"/>
      <c r="N1494"/>
      <c r="O1494"/>
    </row>
    <row r="1495" spans="1:15" x14ac:dyDescent="0.25">
      <c r="A1495"/>
      <c r="B1495"/>
      <c r="C1495"/>
      <c r="D1495"/>
      <c r="E1495"/>
      <c r="F1495"/>
      <c r="G1495"/>
      <c r="H1495"/>
      <c r="I1495"/>
      <c r="J1495"/>
      <c r="K1495"/>
      <c r="L1495"/>
      <c r="M1495"/>
      <c r="N1495"/>
      <c r="O1495"/>
    </row>
    <row r="1496" spans="1:15" x14ac:dyDescent="0.25">
      <c r="A1496"/>
      <c r="B1496"/>
      <c r="C1496"/>
      <c r="D1496"/>
      <c r="E1496"/>
      <c r="F1496"/>
      <c r="G1496"/>
      <c r="H1496"/>
      <c r="I1496"/>
      <c r="J1496"/>
      <c r="K1496"/>
      <c r="L1496"/>
      <c r="M1496"/>
      <c r="N1496"/>
      <c r="O1496"/>
    </row>
    <row r="1497" spans="1:15" x14ac:dyDescent="0.25">
      <c r="A1497"/>
      <c r="B1497"/>
      <c r="C1497"/>
      <c r="D1497"/>
      <c r="E1497"/>
      <c r="F1497"/>
      <c r="G1497"/>
      <c r="H1497"/>
      <c r="I1497"/>
      <c r="J1497"/>
      <c r="K1497"/>
      <c r="L1497"/>
      <c r="M1497"/>
      <c r="N1497"/>
      <c r="O1497"/>
    </row>
    <row r="1498" spans="1:15" x14ac:dyDescent="0.25">
      <c r="A1498"/>
      <c r="B1498"/>
      <c r="C1498"/>
      <c r="D1498"/>
      <c r="E1498"/>
      <c r="F1498"/>
      <c r="G1498"/>
      <c r="H1498"/>
      <c r="I1498"/>
      <c r="J1498"/>
      <c r="K1498"/>
      <c r="L1498"/>
      <c r="M1498"/>
      <c r="N1498"/>
      <c r="O1498"/>
    </row>
    <row r="1499" spans="1:15" x14ac:dyDescent="0.25">
      <c r="A1499"/>
      <c r="B1499"/>
      <c r="C1499"/>
      <c r="D1499"/>
      <c r="E1499"/>
      <c r="F1499"/>
      <c r="G1499"/>
      <c r="H1499"/>
      <c r="I1499"/>
      <c r="J1499"/>
      <c r="K1499"/>
      <c r="L1499"/>
      <c r="M1499"/>
      <c r="N1499"/>
      <c r="O1499"/>
    </row>
    <row r="1500" spans="1:15" x14ac:dyDescent="0.25">
      <c r="A1500"/>
      <c r="B1500"/>
      <c r="C1500"/>
      <c r="D1500"/>
      <c r="E1500"/>
      <c r="F1500"/>
      <c r="G1500"/>
      <c r="H1500"/>
      <c r="I1500"/>
      <c r="J1500"/>
      <c r="K1500"/>
      <c r="L1500"/>
      <c r="M1500"/>
      <c r="N1500"/>
      <c r="O1500"/>
    </row>
    <row r="1501" spans="1:15" x14ac:dyDescent="0.25">
      <c r="A1501"/>
      <c r="B1501"/>
      <c r="C1501"/>
      <c r="D1501"/>
      <c r="E1501"/>
      <c r="F1501"/>
      <c r="G1501"/>
      <c r="H1501"/>
      <c r="I1501"/>
      <c r="J1501"/>
      <c r="K1501"/>
      <c r="L1501"/>
      <c r="M1501"/>
      <c r="N1501"/>
      <c r="O1501"/>
    </row>
    <row r="1502" spans="1:15" x14ac:dyDescent="0.25">
      <c r="A1502"/>
      <c r="B1502"/>
      <c r="C1502"/>
      <c r="D1502"/>
      <c r="E1502"/>
      <c r="F1502"/>
      <c r="G1502"/>
      <c r="H1502"/>
      <c r="I1502"/>
      <c r="J1502"/>
      <c r="K1502"/>
      <c r="L1502"/>
      <c r="M1502"/>
      <c r="N1502"/>
      <c r="O1502"/>
    </row>
    <row r="1503" spans="1:15" x14ac:dyDescent="0.25">
      <c r="A1503"/>
      <c r="B1503"/>
      <c r="C1503"/>
      <c r="D1503"/>
      <c r="E1503"/>
      <c r="F1503"/>
      <c r="G1503"/>
      <c r="H1503"/>
      <c r="I1503"/>
      <c r="J1503"/>
      <c r="K1503"/>
      <c r="L1503"/>
      <c r="M1503"/>
      <c r="N1503"/>
      <c r="O1503"/>
    </row>
    <row r="1504" spans="1:15" x14ac:dyDescent="0.25">
      <c r="A1504"/>
      <c r="B1504"/>
      <c r="C1504"/>
      <c r="D1504"/>
      <c r="E1504"/>
      <c r="F1504"/>
      <c r="G1504"/>
      <c r="H1504"/>
      <c r="I1504"/>
      <c r="J1504"/>
      <c r="K1504"/>
      <c r="L1504"/>
      <c r="M1504"/>
      <c r="N1504"/>
      <c r="O1504"/>
    </row>
    <row r="1505" spans="1:15" x14ac:dyDescent="0.25">
      <c r="A1505"/>
      <c r="B1505"/>
      <c r="C1505"/>
      <c r="D1505"/>
      <c r="E1505"/>
      <c r="F1505"/>
      <c r="G1505"/>
      <c r="H1505"/>
      <c r="I1505"/>
      <c r="J1505"/>
      <c r="K1505"/>
      <c r="L1505"/>
      <c r="M1505"/>
      <c r="N1505"/>
      <c r="O1505"/>
    </row>
    <row r="1506" spans="1:15" x14ac:dyDescent="0.25">
      <c r="A1506"/>
      <c r="B1506"/>
      <c r="C1506"/>
      <c r="D1506"/>
      <c r="E1506"/>
      <c r="F1506"/>
      <c r="G1506"/>
      <c r="H1506"/>
      <c r="I1506"/>
      <c r="J1506"/>
      <c r="K1506"/>
      <c r="L1506"/>
      <c r="M1506"/>
      <c r="N1506"/>
      <c r="O1506"/>
    </row>
    <row r="1507" spans="1:15" x14ac:dyDescent="0.25">
      <c r="A1507"/>
      <c r="B1507"/>
      <c r="C1507"/>
      <c r="D1507"/>
      <c r="E1507"/>
      <c r="F1507"/>
      <c r="G1507"/>
      <c r="H1507"/>
      <c r="I1507"/>
      <c r="J1507"/>
      <c r="K1507"/>
      <c r="L1507"/>
      <c r="M1507"/>
      <c r="N1507"/>
      <c r="O1507"/>
    </row>
    <row r="1508" spans="1:15" x14ac:dyDescent="0.25">
      <c r="A1508"/>
      <c r="B1508"/>
      <c r="C1508"/>
      <c r="D1508"/>
      <c r="E1508"/>
      <c r="F1508"/>
      <c r="G1508"/>
      <c r="H1508"/>
      <c r="I1508"/>
      <c r="J1508"/>
      <c r="K1508"/>
      <c r="L1508"/>
      <c r="M1508"/>
      <c r="N1508"/>
      <c r="O1508"/>
    </row>
    <row r="1509" spans="1:15" x14ac:dyDescent="0.25">
      <c r="A1509"/>
      <c r="B1509"/>
      <c r="C1509"/>
      <c r="D1509"/>
      <c r="E1509"/>
      <c r="F1509"/>
      <c r="G1509"/>
      <c r="H1509"/>
      <c r="I1509"/>
      <c r="J1509"/>
      <c r="K1509"/>
      <c r="L1509"/>
      <c r="M1509"/>
      <c r="N1509"/>
      <c r="O1509"/>
    </row>
    <row r="1510" spans="1:15" x14ac:dyDescent="0.25">
      <c r="A1510"/>
      <c r="B1510"/>
      <c r="C1510"/>
      <c r="D1510"/>
      <c r="E1510"/>
      <c r="F1510"/>
      <c r="G1510"/>
      <c r="H1510"/>
      <c r="I1510"/>
      <c r="J1510"/>
      <c r="K1510"/>
      <c r="L1510"/>
      <c r="M1510"/>
      <c r="N1510"/>
      <c r="O1510"/>
    </row>
    <row r="1511" spans="1:15" x14ac:dyDescent="0.25">
      <c r="A1511"/>
      <c r="B1511"/>
      <c r="C1511"/>
      <c r="D1511"/>
      <c r="E1511"/>
      <c r="F1511"/>
      <c r="G1511"/>
      <c r="H1511"/>
      <c r="I1511"/>
      <c r="J1511"/>
      <c r="K1511"/>
      <c r="L1511"/>
      <c r="M1511"/>
      <c r="N1511"/>
      <c r="O1511"/>
    </row>
    <row r="1512" spans="1:15" x14ac:dyDescent="0.25">
      <c r="A1512"/>
      <c r="B1512"/>
      <c r="C1512"/>
      <c r="D1512"/>
      <c r="E1512"/>
      <c r="F1512"/>
      <c r="G1512"/>
      <c r="H1512"/>
      <c r="I1512"/>
      <c r="J1512"/>
      <c r="K1512"/>
      <c r="L1512"/>
      <c r="M1512"/>
      <c r="N1512"/>
      <c r="O1512"/>
    </row>
    <row r="1513" spans="1:15" x14ac:dyDescent="0.25">
      <c r="A1513"/>
      <c r="B1513"/>
      <c r="C1513"/>
      <c r="D1513"/>
      <c r="E1513"/>
      <c r="F1513"/>
      <c r="G1513"/>
      <c r="H1513"/>
      <c r="I1513"/>
      <c r="J1513"/>
      <c r="K1513"/>
      <c r="L1513"/>
      <c r="M1513"/>
      <c r="N1513"/>
      <c r="O1513"/>
    </row>
    <row r="1514" spans="1:15" x14ac:dyDescent="0.25">
      <c r="A1514"/>
      <c r="B1514"/>
      <c r="C1514"/>
      <c r="D1514"/>
      <c r="E1514"/>
      <c r="F1514"/>
      <c r="G1514"/>
      <c r="H1514"/>
      <c r="I1514"/>
      <c r="J1514"/>
      <c r="K1514"/>
      <c r="L1514"/>
      <c r="M1514"/>
      <c r="N1514"/>
      <c r="O1514"/>
    </row>
    <row r="1515" spans="1:15" x14ac:dyDescent="0.25">
      <c r="A1515"/>
      <c r="B1515"/>
      <c r="C1515"/>
      <c r="D1515"/>
      <c r="E1515"/>
      <c r="F1515"/>
      <c r="G1515"/>
      <c r="H1515"/>
      <c r="I1515"/>
      <c r="J1515"/>
      <c r="K1515"/>
      <c r="L1515"/>
      <c r="M1515"/>
      <c r="N1515"/>
      <c r="O1515"/>
    </row>
    <row r="1516" spans="1:15" x14ac:dyDescent="0.25">
      <c r="A1516"/>
      <c r="B1516"/>
      <c r="C1516"/>
      <c r="D1516"/>
      <c r="E1516"/>
      <c r="F1516"/>
      <c r="G1516"/>
      <c r="H1516"/>
      <c r="I1516"/>
      <c r="J1516"/>
      <c r="K1516"/>
      <c r="L1516"/>
      <c r="M1516"/>
      <c r="N1516"/>
      <c r="O1516"/>
    </row>
    <row r="1517" spans="1:15" x14ac:dyDescent="0.25">
      <c r="A1517"/>
      <c r="B1517"/>
      <c r="C1517"/>
      <c r="D1517"/>
      <c r="E1517"/>
      <c r="F1517"/>
      <c r="G1517"/>
      <c r="H1517"/>
      <c r="I1517"/>
      <c r="J1517"/>
      <c r="K1517"/>
      <c r="L1517"/>
      <c r="M1517"/>
      <c r="N1517"/>
      <c r="O1517"/>
    </row>
    <row r="1518" spans="1:15" x14ac:dyDescent="0.25">
      <c r="A1518"/>
      <c r="B1518"/>
      <c r="C1518"/>
      <c r="D1518"/>
      <c r="E1518"/>
      <c r="F1518"/>
      <c r="G1518"/>
      <c r="H1518"/>
      <c r="I1518"/>
      <c r="J1518"/>
      <c r="K1518"/>
      <c r="L1518"/>
      <c r="M1518"/>
      <c r="N1518"/>
      <c r="O1518"/>
    </row>
    <row r="1519" spans="1:15" x14ac:dyDescent="0.25">
      <c r="A1519"/>
      <c r="B1519"/>
      <c r="C1519"/>
      <c r="D1519"/>
      <c r="E1519"/>
      <c r="F1519"/>
      <c r="G1519"/>
      <c r="H1519"/>
      <c r="I1519"/>
      <c r="J1519"/>
      <c r="K1519"/>
      <c r="L1519"/>
      <c r="M1519"/>
      <c r="N1519"/>
      <c r="O1519"/>
    </row>
    <row r="1520" spans="1:15" x14ac:dyDescent="0.25">
      <c r="A1520"/>
      <c r="B1520"/>
      <c r="C1520"/>
      <c r="D1520"/>
      <c r="E1520"/>
      <c r="F1520"/>
      <c r="G1520"/>
      <c r="H1520"/>
      <c r="I1520"/>
      <c r="J1520"/>
      <c r="K1520"/>
      <c r="L1520"/>
      <c r="M1520"/>
      <c r="N1520"/>
      <c r="O1520"/>
    </row>
    <row r="1521" spans="1:15" x14ac:dyDescent="0.25">
      <c r="A1521"/>
      <c r="B1521"/>
      <c r="C1521"/>
      <c r="D1521"/>
      <c r="E1521"/>
      <c r="F1521"/>
      <c r="G1521"/>
      <c r="H1521"/>
      <c r="I1521"/>
      <c r="J1521"/>
      <c r="K1521"/>
      <c r="L1521"/>
      <c r="M1521"/>
      <c r="N1521"/>
      <c r="O1521"/>
    </row>
    <row r="1522" spans="1:15" x14ac:dyDescent="0.25">
      <c r="A1522"/>
      <c r="B1522"/>
      <c r="C1522"/>
      <c r="D1522"/>
      <c r="E1522"/>
      <c r="F1522"/>
      <c r="G1522"/>
      <c r="H1522"/>
      <c r="I1522"/>
      <c r="J1522"/>
      <c r="K1522"/>
      <c r="L1522"/>
      <c r="M1522"/>
      <c r="N1522"/>
      <c r="O1522"/>
    </row>
    <row r="1523" spans="1:15" x14ac:dyDescent="0.25">
      <c r="A1523"/>
      <c r="B1523"/>
      <c r="C1523"/>
      <c r="D1523"/>
      <c r="E1523"/>
      <c r="F1523"/>
      <c r="G1523"/>
      <c r="H1523"/>
      <c r="I1523"/>
      <c r="J1523"/>
      <c r="K1523"/>
      <c r="L1523"/>
      <c r="M1523"/>
      <c r="N1523"/>
      <c r="O1523"/>
    </row>
    <row r="1524" spans="1:15" x14ac:dyDescent="0.25">
      <c r="A1524"/>
      <c r="B1524"/>
      <c r="C1524"/>
      <c r="D1524"/>
      <c r="E1524"/>
      <c r="F1524"/>
      <c r="G1524"/>
      <c r="H1524"/>
      <c r="I1524"/>
      <c r="J1524"/>
      <c r="K1524"/>
      <c r="L1524"/>
      <c r="M1524"/>
      <c r="N1524"/>
      <c r="O1524"/>
    </row>
    <row r="1525" spans="1:15" x14ac:dyDescent="0.25">
      <c r="A1525"/>
      <c r="B1525"/>
      <c r="C1525"/>
      <c r="D1525"/>
      <c r="E1525"/>
      <c r="F1525"/>
      <c r="G1525"/>
      <c r="H1525"/>
      <c r="I1525"/>
      <c r="J1525"/>
      <c r="K1525"/>
      <c r="L1525"/>
      <c r="M1525"/>
      <c r="N1525"/>
      <c r="O1525"/>
    </row>
    <row r="1526" spans="1:15" x14ac:dyDescent="0.25">
      <c r="A1526"/>
      <c r="B1526"/>
      <c r="C1526"/>
      <c r="D1526"/>
      <c r="E1526"/>
      <c r="F1526"/>
      <c r="G1526"/>
      <c r="H1526"/>
      <c r="I1526"/>
      <c r="J1526"/>
      <c r="K1526"/>
      <c r="L1526"/>
      <c r="M1526"/>
      <c r="N1526"/>
      <c r="O1526"/>
    </row>
    <row r="1527" spans="1:15" x14ac:dyDescent="0.25">
      <c r="A1527"/>
      <c r="B1527"/>
      <c r="C1527"/>
      <c r="D1527"/>
      <c r="E1527"/>
      <c r="F1527"/>
      <c r="G1527"/>
      <c r="H1527"/>
      <c r="I1527"/>
      <c r="J1527"/>
      <c r="K1527"/>
      <c r="L1527"/>
      <c r="M1527"/>
      <c r="N1527"/>
      <c r="O1527"/>
    </row>
    <row r="1528" spans="1:15" x14ac:dyDescent="0.25">
      <c r="A1528"/>
      <c r="B1528"/>
      <c r="C1528"/>
      <c r="D1528"/>
      <c r="E1528"/>
      <c r="F1528"/>
      <c r="G1528"/>
      <c r="H1528"/>
      <c r="I1528"/>
      <c r="J1528"/>
      <c r="K1528"/>
      <c r="L1528"/>
      <c r="M1528"/>
      <c r="N1528"/>
      <c r="O1528"/>
    </row>
    <row r="1529" spans="1:15" x14ac:dyDescent="0.25">
      <c r="A1529"/>
      <c r="B1529"/>
      <c r="C1529"/>
      <c r="D1529"/>
      <c r="E1529"/>
      <c r="F1529"/>
      <c r="G1529"/>
      <c r="H1529"/>
      <c r="I1529"/>
      <c r="J1529"/>
      <c r="K1529"/>
      <c r="L1529"/>
      <c r="M1529"/>
      <c r="N1529"/>
      <c r="O1529"/>
    </row>
    <row r="1530" spans="1:15" x14ac:dyDescent="0.25">
      <c r="A1530"/>
      <c r="B1530"/>
      <c r="C1530"/>
      <c r="D1530"/>
      <c r="E1530"/>
      <c r="F1530"/>
      <c r="G1530"/>
      <c r="H1530"/>
      <c r="I1530"/>
      <c r="J1530"/>
      <c r="K1530"/>
      <c r="L1530"/>
      <c r="M1530"/>
      <c r="N1530"/>
      <c r="O1530"/>
    </row>
    <row r="1531" spans="1:15" x14ac:dyDescent="0.25">
      <c r="A1531"/>
      <c r="B1531"/>
      <c r="C1531"/>
      <c r="D1531"/>
      <c r="E1531"/>
      <c r="F1531"/>
      <c r="G1531"/>
      <c r="H1531"/>
      <c r="I1531"/>
      <c r="J1531"/>
      <c r="K1531"/>
      <c r="L1531"/>
      <c r="M1531"/>
      <c r="N1531"/>
      <c r="O1531"/>
    </row>
    <row r="1532" spans="1:15" x14ac:dyDescent="0.25">
      <c r="A1532"/>
      <c r="B1532"/>
      <c r="C1532"/>
      <c r="D1532"/>
      <c r="E1532"/>
      <c r="F1532"/>
      <c r="G1532"/>
      <c r="H1532"/>
      <c r="I1532"/>
      <c r="J1532"/>
      <c r="K1532"/>
      <c r="L1532"/>
      <c r="M1532"/>
      <c r="N1532"/>
      <c r="O1532"/>
    </row>
    <row r="1533" spans="1:15" x14ac:dyDescent="0.25">
      <c r="A1533"/>
      <c r="B1533"/>
      <c r="C1533"/>
      <c r="D1533"/>
      <c r="E1533"/>
      <c r="F1533"/>
      <c r="G1533"/>
      <c r="H1533"/>
      <c r="I1533"/>
      <c r="J1533"/>
      <c r="K1533"/>
      <c r="L1533"/>
      <c r="M1533"/>
      <c r="N1533"/>
      <c r="O1533"/>
    </row>
    <row r="1534" spans="1:15" x14ac:dyDescent="0.25">
      <c r="A1534"/>
      <c r="B1534"/>
      <c r="C1534"/>
      <c r="D1534"/>
      <c r="E1534"/>
      <c r="F1534"/>
      <c r="G1534"/>
      <c r="H1534"/>
      <c r="I1534"/>
      <c r="J1534"/>
      <c r="K1534"/>
      <c r="L1534"/>
      <c r="M1534"/>
      <c r="N1534"/>
      <c r="O1534"/>
    </row>
    <row r="1535" spans="1:15" x14ac:dyDescent="0.25">
      <c r="A1535"/>
      <c r="B1535"/>
      <c r="C1535"/>
      <c r="D1535"/>
      <c r="E1535"/>
      <c r="F1535"/>
      <c r="G1535"/>
      <c r="H1535"/>
      <c r="I1535"/>
      <c r="J1535"/>
      <c r="K1535"/>
      <c r="L1535"/>
      <c r="M1535"/>
      <c r="N1535"/>
      <c r="O1535"/>
    </row>
    <row r="1536" spans="1:15" x14ac:dyDescent="0.25">
      <c r="A1536"/>
      <c r="B1536"/>
      <c r="C1536"/>
      <c r="D1536"/>
      <c r="E1536"/>
      <c r="F1536"/>
      <c r="G1536"/>
      <c r="H1536"/>
      <c r="I1536"/>
      <c r="J1536"/>
      <c r="K1536"/>
      <c r="L1536"/>
      <c r="M1536"/>
      <c r="N1536"/>
      <c r="O1536"/>
    </row>
    <row r="1537" spans="1:15" x14ac:dyDescent="0.25">
      <c r="A1537"/>
      <c r="B1537"/>
      <c r="C1537"/>
      <c r="D1537"/>
      <c r="E1537"/>
      <c r="F1537"/>
      <c r="G1537"/>
      <c r="H1537"/>
      <c r="I1537"/>
      <c r="J1537"/>
      <c r="K1537"/>
      <c r="L1537"/>
      <c r="M1537"/>
      <c r="N1537"/>
      <c r="O1537"/>
    </row>
    <row r="1538" spans="1:15" x14ac:dyDescent="0.25">
      <c r="A1538"/>
      <c r="B1538"/>
      <c r="C1538"/>
      <c r="D1538"/>
      <c r="E1538"/>
      <c r="F1538"/>
      <c r="G1538"/>
      <c r="H1538"/>
      <c r="I1538"/>
      <c r="J1538"/>
      <c r="K1538"/>
      <c r="L1538"/>
      <c r="M1538"/>
      <c r="N1538"/>
      <c r="O1538"/>
    </row>
    <row r="1539" spans="1:15" x14ac:dyDescent="0.25">
      <c r="A1539"/>
      <c r="B1539"/>
      <c r="C1539"/>
      <c r="D1539"/>
      <c r="E1539"/>
      <c r="F1539"/>
      <c r="G1539"/>
      <c r="H1539"/>
      <c r="I1539"/>
      <c r="J1539"/>
      <c r="K1539"/>
      <c r="L1539"/>
      <c r="M1539"/>
      <c r="N1539"/>
      <c r="O1539"/>
    </row>
    <row r="1540" spans="1:15" x14ac:dyDescent="0.25">
      <c r="A1540"/>
      <c r="B1540"/>
      <c r="C1540"/>
      <c r="D1540"/>
      <c r="E1540"/>
      <c r="F1540"/>
      <c r="G1540"/>
      <c r="H1540"/>
      <c r="I1540"/>
      <c r="J1540"/>
      <c r="K1540"/>
      <c r="L1540"/>
      <c r="M1540"/>
      <c r="N1540"/>
      <c r="O1540"/>
    </row>
    <row r="1541" spans="1:15" x14ac:dyDescent="0.25">
      <c r="A1541"/>
      <c r="B1541"/>
      <c r="C1541"/>
      <c r="D1541"/>
      <c r="E1541"/>
      <c r="F1541"/>
      <c r="G1541"/>
      <c r="H1541"/>
      <c r="I1541"/>
      <c r="J1541"/>
      <c r="K1541"/>
      <c r="L1541"/>
      <c r="M1541"/>
      <c r="N1541"/>
      <c r="O1541"/>
    </row>
    <row r="1542" spans="1:15" x14ac:dyDescent="0.25">
      <c r="A1542"/>
      <c r="B1542"/>
      <c r="C1542"/>
      <c r="D1542"/>
      <c r="E1542"/>
      <c r="F1542"/>
      <c r="G1542"/>
      <c r="H1542"/>
      <c r="I1542"/>
      <c r="J1542"/>
      <c r="K1542"/>
      <c r="L1542"/>
      <c r="M1542"/>
      <c r="N1542"/>
      <c r="O1542"/>
    </row>
    <row r="1543" spans="1:15" x14ac:dyDescent="0.25">
      <c r="A1543"/>
      <c r="B1543"/>
      <c r="C1543"/>
      <c r="D1543"/>
      <c r="E1543"/>
      <c r="F1543"/>
      <c r="G1543"/>
      <c r="H1543"/>
      <c r="I1543"/>
      <c r="J1543"/>
      <c r="K1543"/>
      <c r="L1543"/>
      <c r="M1543"/>
      <c r="N1543"/>
      <c r="O1543"/>
    </row>
    <row r="1544" spans="1:15" x14ac:dyDescent="0.25">
      <c r="A1544"/>
      <c r="B1544"/>
      <c r="C1544"/>
      <c r="D1544"/>
      <c r="E1544"/>
      <c r="F1544"/>
      <c r="G1544"/>
      <c r="H1544"/>
      <c r="I1544"/>
      <c r="J1544"/>
      <c r="K1544"/>
      <c r="L1544"/>
      <c r="M1544"/>
      <c r="N1544"/>
      <c r="O1544"/>
    </row>
    <row r="1545" spans="1:15" x14ac:dyDescent="0.25">
      <c r="A1545"/>
      <c r="B1545"/>
      <c r="C1545"/>
      <c r="D1545"/>
      <c r="E1545"/>
      <c r="F1545"/>
      <c r="G1545"/>
      <c r="H1545"/>
      <c r="I1545"/>
      <c r="J1545"/>
      <c r="K1545"/>
      <c r="L1545"/>
      <c r="M1545"/>
      <c r="N1545"/>
      <c r="O1545"/>
    </row>
    <row r="1546" spans="1:15" x14ac:dyDescent="0.25">
      <c r="A1546"/>
      <c r="B1546"/>
      <c r="C1546"/>
      <c r="D1546"/>
      <c r="E1546"/>
      <c r="F1546"/>
      <c r="G1546"/>
      <c r="H1546"/>
      <c r="I1546"/>
      <c r="J1546"/>
      <c r="K1546"/>
      <c r="L1546"/>
      <c r="M1546"/>
      <c r="N1546"/>
      <c r="O1546"/>
    </row>
    <row r="1547" spans="1:15" x14ac:dyDescent="0.25">
      <c r="A1547"/>
      <c r="B1547"/>
      <c r="C1547"/>
      <c r="D1547"/>
      <c r="E1547"/>
      <c r="F1547"/>
      <c r="G1547"/>
      <c r="H1547"/>
      <c r="I1547"/>
      <c r="J1547"/>
      <c r="K1547"/>
      <c r="L1547"/>
      <c r="M1547"/>
      <c r="N1547"/>
      <c r="O1547"/>
    </row>
    <row r="1548" spans="1:15" x14ac:dyDescent="0.25">
      <c r="A1548"/>
      <c r="B1548"/>
      <c r="C1548"/>
      <c r="D1548"/>
      <c r="E1548"/>
      <c r="F1548"/>
      <c r="G1548"/>
      <c r="H1548"/>
      <c r="I1548"/>
      <c r="J1548"/>
      <c r="K1548"/>
      <c r="L1548"/>
      <c r="M1548"/>
      <c r="N1548"/>
      <c r="O1548"/>
    </row>
    <row r="1549" spans="1:15" x14ac:dyDescent="0.25">
      <c r="A1549"/>
      <c r="B1549"/>
      <c r="C1549"/>
      <c r="D1549"/>
      <c r="E1549"/>
      <c r="F1549"/>
      <c r="G1549"/>
      <c r="H1549"/>
      <c r="I1549"/>
      <c r="J1549"/>
      <c r="K1549"/>
      <c r="L1549"/>
      <c r="M1549"/>
      <c r="N1549"/>
      <c r="O1549"/>
    </row>
    <row r="1550" spans="1:15" x14ac:dyDescent="0.25">
      <c r="A1550"/>
      <c r="B1550"/>
      <c r="C1550"/>
      <c r="D1550"/>
      <c r="E1550"/>
      <c r="F1550"/>
      <c r="G1550"/>
      <c r="H1550"/>
      <c r="I1550"/>
      <c r="J1550"/>
      <c r="K1550"/>
      <c r="L1550"/>
      <c r="M1550"/>
      <c r="N1550"/>
      <c r="O1550"/>
    </row>
    <row r="1551" spans="1:15" x14ac:dyDescent="0.25">
      <c r="A1551"/>
      <c r="B1551"/>
      <c r="C1551"/>
      <c r="D1551"/>
      <c r="E1551"/>
      <c r="F1551"/>
      <c r="G1551"/>
      <c r="H1551"/>
      <c r="I1551"/>
      <c r="J1551"/>
      <c r="K1551"/>
      <c r="L1551"/>
      <c r="M1551"/>
      <c r="N1551"/>
      <c r="O1551"/>
    </row>
    <row r="1552" spans="1:15" x14ac:dyDescent="0.25">
      <c r="A1552"/>
      <c r="B1552"/>
      <c r="C1552"/>
      <c r="D1552"/>
      <c r="E1552"/>
      <c r="F1552"/>
      <c r="G1552"/>
      <c r="H1552"/>
      <c r="I1552"/>
      <c r="J1552"/>
      <c r="K1552"/>
      <c r="L1552"/>
      <c r="M1552"/>
      <c r="N1552"/>
      <c r="O1552"/>
    </row>
    <row r="1553" spans="1:15" x14ac:dyDescent="0.25">
      <c r="A1553"/>
      <c r="B1553"/>
      <c r="C1553"/>
      <c r="D1553"/>
      <c r="E1553"/>
      <c r="F1553"/>
      <c r="G1553"/>
      <c r="H1553"/>
      <c r="I1553"/>
      <c r="J1553"/>
      <c r="K1553"/>
      <c r="L1553"/>
      <c r="M1553"/>
      <c r="N1553"/>
      <c r="O1553"/>
    </row>
    <row r="1554" spans="1:15" x14ac:dyDescent="0.25">
      <c r="A1554"/>
      <c r="B1554"/>
      <c r="C1554"/>
      <c r="D1554"/>
      <c r="E1554"/>
      <c r="F1554"/>
      <c r="G1554"/>
      <c r="H1554"/>
      <c r="I1554"/>
      <c r="J1554"/>
      <c r="K1554"/>
      <c r="L1554"/>
      <c r="M1554"/>
      <c r="N1554"/>
      <c r="O1554"/>
    </row>
    <row r="1555" spans="1:15" x14ac:dyDescent="0.25">
      <c r="A1555"/>
      <c r="B1555"/>
      <c r="C1555"/>
      <c r="D1555"/>
      <c r="E1555"/>
      <c r="F1555"/>
      <c r="G1555"/>
      <c r="H1555"/>
      <c r="I1555"/>
      <c r="J1555"/>
      <c r="K1555"/>
      <c r="L1555"/>
      <c r="M1555"/>
      <c r="N1555"/>
      <c r="O1555"/>
    </row>
    <row r="1556" spans="1:15" x14ac:dyDescent="0.25">
      <c r="A1556"/>
      <c r="B1556"/>
      <c r="C1556"/>
      <c r="D1556"/>
      <c r="E1556"/>
      <c r="F1556"/>
      <c r="G1556"/>
      <c r="H1556"/>
      <c r="I1556"/>
      <c r="J1556"/>
      <c r="K1556"/>
      <c r="L1556"/>
      <c r="M1556"/>
      <c r="N1556"/>
      <c r="O1556"/>
    </row>
    <row r="1557" spans="1:15" x14ac:dyDescent="0.25">
      <c r="A1557"/>
      <c r="B1557"/>
      <c r="C1557"/>
      <c r="D1557"/>
      <c r="E1557"/>
      <c r="F1557"/>
      <c r="G1557"/>
      <c r="H1557"/>
      <c r="I1557"/>
      <c r="J1557"/>
      <c r="K1557"/>
      <c r="L1557"/>
      <c r="M1557"/>
      <c r="N1557"/>
      <c r="O1557"/>
    </row>
    <row r="1558" spans="1:15" x14ac:dyDescent="0.25">
      <c r="A1558"/>
      <c r="B1558"/>
      <c r="C1558"/>
      <c r="D1558"/>
      <c r="E1558"/>
      <c r="F1558"/>
      <c r="G1558"/>
      <c r="H1558"/>
      <c r="I1558"/>
      <c r="J1558"/>
      <c r="K1558"/>
      <c r="L1558"/>
      <c r="M1558"/>
      <c r="N1558"/>
      <c r="O1558"/>
    </row>
    <row r="1559" spans="1:15" x14ac:dyDescent="0.25">
      <c r="A1559"/>
      <c r="B1559"/>
      <c r="C1559"/>
      <c r="D1559"/>
      <c r="E1559"/>
      <c r="F1559"/>
      <c r="G1559"/>
      <c r="H1559"/>
      <c r="I1559"/>
      <c r="J1559"/>
      <c r="K1559"/>
      <c r="L1559"/>
      <c r="M1559"/>
      <c r="N1559"/>
      <c r="O1559"/>
    </row>
    <row r="1560" spans="1:15" x14ac:dyDescent="0.25">
      <c r="A1560"/>
      <c r="B1560"/>
      <c r="C1560"/>
      <c r="D1560"/>
      <c r="E1560"/>
      <c r="F1560"/>
      <c r="G1560"/>
      <c r="H1560"/>
      <c r="I1560"/>
      <c r="J1560"/>
      <c r="K1560"/>
      <c r="L1560"/>
      <c r="M1560"/>
      <c r="N1560"/>
      <c r="O1560"/>
    </row>
    <row r="1561" spans="1:15" x14ac:dyDescent="0.25">
      <c r="A1561"/>
      <c r="B1561"/>
      <c r="C1561"/>
      <c r="D1561"/>
      <c r="E1561"/>
      <c r="F1561"/>
      <c r="G1561"/>
      <c r="H1561"/>
      <c r="I1561"/>
      <c r="J1561"/>
      <c r="K1561"/>
      <c r="L1561"/>
      <c r="M1561"/>
      <c r="N1561"/>
      <c r="O1561"/>
    </row>
    <row r="1562" spans="1:15" x14ac:dyDescent="0.25">
      <c r="A1562"/>
      <c r="B1562"/>
      <c r="C1562"/>
      <c r="D1562"/>
      <c r="E1562"/>
      <c r="F1562"/>
      <c r="G1562"/>
      <c r="H1562"/>
      <c r="I1562"/>
      <c r="J1562"/>
      <c r="K1562"/>
      <c r="L1562"/>
      <c r="M1562"/>
      <c r="N1562"/>
      <c r="O1562"/>
    </row>
    <row r="1563" spans="1:15" x14ac:dyDescent="0.25">
      <c r="A1563"/>
      <c r="B1563"/>
      <c r="C1563"/>
      <c r="D1563"/>
      <c r="E1563"/>
      <c r="F1563"/>
      <c r="G1563"/>
      <c r="H1563"/>
      <c r="I1563"/>
      <c r="J1563"/>
      <c r="K1563"/>
      <c r="L1563"/>
      <c r="M1563"/>
      <c r="N1563"/>
      <c r="O1563"/>
    </row>
    <row r="1564" spans="1:15" x14ac:dyDescent="0.25">
      <c r="A1564"/>
      <c r="B1564"/>
      <c r="C1564"/>
      <c r="D1564"/>
      <c r="E1564"/>
      <c r="F1564"/>
      <c r="G1564"/>
      <c r="H1564"/>
      <c r="I1564"/>
      <c r="J1564"/>
      <c r="K1564"/>
      <c r="L1564"/>
      <c r="M1564"/>
      <c r="N1564"/>
      <c r="O1564"/>
    </row>
    <row r="1565" spans="1:15" x14ac:dyDescent="0.25">
      <c r="A1565"/>
      <c r="B1565"/>
      <c r="C1565"/>
      <c r="D1565"/>
      <c r="E1565"/>
      <c r="F1565"/>
      <c r="G1565"/>
      <c r="H1565"/>
      <c r="I1565"/>
      <c r="J1565"/>
      <c r="K1565"/>
      <c r="L1565"/>
      <c r="M1565"/>
      <c r="N1565"/>
      <c r="O1565"/>
    </row>
    <row r="1566" spans="1:15" x14ac:dyDescent="0.25">
      <c r="A1566"/>
      <c r="B1566"/>
      <c r="C1566"/>
      <c r="D1566"/>
      <c r="E1566"/>
      <c r="F1566"/>
      <c r="G1566"/>
      <c r="H1566"/>
      <c r="I1566"/>
      <c r="J1566"/>
      <c r="K1566"/>
      <c r="L1566"/>
      <c r="M1566"/>
      <c r="N1566"/>
      <c r="O1566"/>
    </row>
    <row r="1567" spans="1:15" x14ac:dyDescent="0.25">
      <c r="A1567"/>
      <c r="B1567"/>
      <c r="C1567"/>
      <c r="D1567"/>
      <c r="E1567"/>
      <c r="F1567"/>
      <c r="G1567"/>
      <c r="H1567"/>
      <c r="I1567"/>
      <c r="J1567"/>
      <c r="K1567"/>
      <c r="L1567"/>
      <c r="M1567"/>
      <c r="N1567"/>
      <c r="O1567"/>
    </row>
    <row r="1568" spans="1:15" x14ac:dyDescent="0.25">
      <c r="A1568"/>
      <c r="B1568"/>
      <c r="C1568"/>
      <c r="D1568"/>
      <c r="E1568"/>
      <c r="F1568"/>
      <c r="G1568"/>
      <c r="H1568"/>
      <c r="I1568"/>
      <c r="J1568"/>
      <c r="K1568"/>
      <c r="L1568"/>
      <c r="M1568"/>
      <c r="N1568"/>
      <c r="O1568"/>
    </row>
    <row r="1569" spans="1:15" x14ac:dyDescent="0.25">
      <c r="A1569"/>
      <c r="B1569"/>
      <c r="C1569"/>
      <c r="D1569"/>
      <c r="E1569"/>
      <c r="F1569"/>
      <c r="G1569"/>
      <c r="H1569"/>
      <c r="I1569"/>
      <c r="J1569"/>
      <c r="K1569"/>
      <c r="L1569"/>
      <c r="M1569"/>
      <c r="N1569"/>
      <c r="O1569"/>
    </row>
    <row r="1570" spans="1:15" x14ac:dyDescent="0.25">
      <c r="A1570"/>
      <c r="B1570"/>
      <c r="C1570"/>
      <c r="D1570"/>
      <c r="E1570"/>
      <c r="F1570"/>
      <c r="G1570"/>
      <c r="H1570"/>
      <c r="I1570"/>
      <c r="J1570"/>
      <c r="K1570"/>
      <c r="L1570"/>
      <c r="M1570"/>
      <c r="N1570"/>
      <c r="O1570"/>
    </row>
    <row r="1571" spans="1:15" x14ac:dyDescent="0.25">
      <c r="A1571"/>
      <c r="B1571"/>
      <c r="C1571"/>
      <c r="D1571"/>
      <c r="E1571"/>
      <c r="F1571"/>
      <c r="G1571"/>
      <c r="H1571"/>
      <c r="I1571"/>
      <c r="J1571"/>
      <c r="K1571"/>
      <c r="L1571"/>
      <c r="M1571"/>
      <c r="N1571"/>
      <c r="O1571"/>
    </row>
    <row r="1572" spans="1:15" x14ac:dyDescent="0.25">
      <c r="A1572"/>
      <c r="B1572"/>
      <c r="C1572"/>
      <c r="D1572"/>
      <c r="E1572"/>
      <c r="F1572"/>
      <c r="G1572"/>
      <c r="H1572"/>
      <c r="I1572"/>
      <c r="J1572"/>
      <c r="K1572"/>
      <c r="L1572"/>
      <c r="M1572"/>
      <c r="N1572"/>
      <c r="O1572"/>
    </row>
    <row r="1573" spans="1:15" x14ac:dyDescent="0.25">
      <c r="A1573"/>
      <c r="B1573"/>
      <c r="C1573"/>
      <c r="D1573"/>
      <c r="E1573"/>
      <c r="F1573"/>
      <c r="G1573"/>
      <c r="H1573"/>
      <c r="I1573"/>
      <c r="J1573"/>
      <c r="K1573"/>
      <c r="L1573"/>
      <c r="M1573"/>
      <c r="N1573"/>
      <c r="O1573"/>
    </row>
    <row r="1574" spans="1:15" x14ac:dyDescent="0.25">
      <c r="A1574"/>
      <c r="B1574"/>
      <c r="C1574"/>
      <c r="D1574"/>
      <c r="E1574"/>
      <c r="F1574"/>
      <c r="G1574"/>
      <c r="H1574"/>
      <c r="I1574"/>
      <c r="J1574"/>
      <c r="K1574"/>
      <c r="L1574"/>
      <c r="M1574"/>
      <c r="N1574"/>
      <c r="O1574"/>
    </row>
    <row r="1575" spans="1:15" x14ac:dyDescent="0.25">
      <c r="A1575"/>
      <c r="B1575"/>
      <c r="C1575"/>
      <c r="D1575"/>
      <c r="E1575"/>
      <c r="F1575"/>
      <c r="G1575"/>
      <c r="H1575"/>
      <c r="I1575"/>
      <c r="J1575"/>
      <c r="K1575"/>
      <c r="L1575"/>
      <c r="M1575"/>
      <c r="N1575"/>
      <c r="O1575"/>
    </row>
    <row r="1576" spans="1:15" x14ac:dyDescent="0.25">
      <c r="A1576"/>
      <c r="B1576"/>
      <c r="C1576"/>
      <c r="D1576"/>
      <c r="E1576"/>
      <c r="F1576"/>
      <c r="G1576"/>
      <c r="H1576"/>
      <c r="I1576"/>
      <c r="J1576"/>
      <c r="K1576"/>
      <c r="L1576"/>
      <c r="M1576"/>
      <c r="N1576"/>
      <c r="O1576"/>
    </row>
    <row r="1577" spans="1:15" x14ac:dyDescent="0.25">
      <c r="A1577"/>
      <c r="B1577"/>
      <c r="C1577"/>
      <c r="D1577"/>
      <c r="E1577"/>
      <c r="F1577"/>
      <c r="G1577"/>
      <c r="H1577"/>
      <c r="I1577"/>
      <c r="J1577"/>
      <c r="K1577"/>
      <c r="L1577"/>
      <c r="M1577"/>
      <c r="N1577"/>
      <c r="O1577"/>
    </row>
    <row r="1578" spans="1:15" x14ac:dyDescent="0.25">
      <c r="A1578"/>
      <c r="B1578"/>
      <c r="C1578"/>
      <c r="D1578"/>
      <c r="E1578"/>
      <c r="F1578"/>
      <c r="G1578"/>
      <c r="H1578"/>
      <c r="I1578"/>
      <c r="J1578"/>
      <c r="K1578"/>
      <c r="L1578"/>
      <c r="M1578"/>
      <c r="N1578"/>
      <c r="O1578"/>
    </row>
    <row r="1579" spans="1:15" x14ac:dyDescent="0.25">
      <c r="A1579"/>
      <c r="B1579"/>
      <c r="C1579"/>
      <c r="D1579"/>
      <c r="E1579"/>
      <c r="F1579"/>
      <c r="G1579"/>
      <c r="H1579"/>
      <c r="I1579"/>
      <c r="J1579"/>
      <c r="K1579"/>
      <c r="L1579"/>
      <c r="M1579"/>
      <c r="N1579"/>
      <c r="O1579"/>
    </row>
    <row r="1580" spans="1:15" x14ac:dyDescent="0.25">
      <c r="A1580"/>
      <c r="B1580"/>
      <c r="C1580"/>
      <c r="D1580"/>
      <c r="E1580"/>
      <c r="F1580"/>
      <c r="G1580"/>
      <c r="H1580"/>
      <c r="I1580"/>
      <c r="J1580"/>
      <c r="K1580"/>
      <c r="L1580"/>
      <c r="M1580"/>
      <c r="N1580"/>
      <c r="O1580"/>
    </row>
    <row r="1581" spans="1:15" x14ac:dyDescent="0.25">
      <c r="A1581"/>
      <c r="B1581"/>
      <c r="C1581"/>
      <c r="D1581"/>
      <c r="E1581"/>
      <c r="F1581"/>
      <c r="G1581"/>
      <c r="H1581"/>
      <c r="I1581"/>
      <c r="J1581"/>
      <c r="K1581"/>
      <c r="L1581"/>
      <c r="M1581"/>
      <c r="N1581"/>
      <c r="O1581"/>
    </row>
    <row r="1582" spans="1:15" x14ac:dyDescent="0.25">
      <c r="A1582"/>
      <c r="B1582"/>
      <c r="C1582"/>
      <c r="D1582"/>
      <c r="E1582"/>
      <c r="F1582"/>
      <c r="G1582"/>
      <c r="H1582"/>
      <c r="I1582"/>
      <c r="J1582"/>
      <c r="K1582"/>
      <c r="L1582"/>
      <c r="M1582"/>
      <c r="N1582"/>
      <c r="O1582"/>
    </row>
    <row r="1583" spans="1:15" x14ac:dyDescent="0.25">
      <c r="A1583"/>
      <c r="B1583"/>
      <c r="C1583"/>
      <c r="D1583"/>
      <c r="E1583"/>
      <c r="F1583"/>
      <c r="G1583"/>
      <c r="H1583"/>
      <c r="I1583"/>
      <c r="J1583"/>
      <c r="K1583"/>
      <c r="L1583"/>
      <c r="M1583"/>
      <c r="N1583"/>
      <c r="O1583"/>
    </row>
    <row r="1584" spans="1:15" x14ac:dyDescent="0.25">
      <c r="A1584"/>
      <c r="B1584"/>
      <c r="C1584"/>
      <c r="D1584"/>
      <c r="E1584"/>
      <c r="F1584"/>
      <c r="G1584"/>
      <c r="H1584"/>
      <c r="I1584"/>
      <c r="J1584"/>
      <c r="K1584"/>
      <c r="L1584"/>
      <c r="M1584"/>
      <c r="N1584"/>
      <c r="O1584"/>
    </row>
    <row r="1585" spans="1:15" x14ac:dyDescent="0.25">
      <c r="A1585"/>
      <c r="B1585"/>
      <c r="C1585"/>
      <c r="D1585"/>
      <c r="E1585"/>
      <c r="F1585"/>
      <c r="G1585"/>
      <c r="H1585"/>
      <c r="I1585"/>
      <c r="J1585"/>
      <c r="K1585"/>
      <c r="L1585"/>
      <c r="M1585"/>
      <c r="N1585"/>
      <c r="O1585"/>
    </row>
    <row r="1586" spans="1:15" x14ac:dyDescent="0.25">
      <c r="A1586"/>
      <c r="B1586"/>
      <c r="C1586"/>
      <c r="D1586"/>
      <c r="E1586"/>
      <c r="F1586"/>
      <c r="G1586"/>
      <c r="H1586"/>
      <c r="I1586"/>
      <c r="J1586"/>
      <c r="K1586"/>
      <c r="L1586"/>
      <c r="M1586"/>
      <c r="N1586"/>
      <c r="O1586"/>
    </row>
    <row r="1587" spans="1:15" x14ac:dyDescent="0.25">
      <c r="A1587"/>
      <c r="B1587"/>
      <c r="C1587"/>
      <c r="D1587"/>
      <c r="E1587"/>
      <c r="F1587"/>
      <c r="G1587"/>
      <c r="H1587"/>
      <c r="I1587"/>
      <c r="J1587"/>
      <c r="K1587"/>
      <c r="L1587"/>
      <c r="M1587"/>
      <c r="N1587"/>
      <c r="O1587"/>
    </row>
    <row r="1588" spans="1:15" x14ac:dyDescent="0.25">
      <c r="A1588"/>
      <c r="B1588"/>
      <c r="C1588"/>
      <c r="D1588"/>
      <c r="E1588"/>
      <c r="F1588"/>
      <c r="G1588"/>
      <c r="H1588"/>
      <c r="I1588"/>
      <c r="J1588"/>
      <c r="K1588"/>
      <c r="L1588"/>
      <c r="M1588"/>
      <c r="N1588"/>
      <c r="O1588"/>
    </row>
    <row r="1589" spans="1:15" x14ac:dyDescent="0.25">
      <c r="A1589"/>
      <c r="B1589"/>
      <c r="C1589"/>
      <c r="D1589"/>
      <c r="E1589"/>
      <c r="F1589"/>
      <c r="G1589"/>
      <c r="H1589"/>
      <c r="I1589"/>
      <c r="J1589"/>
      <c r="K1589"/>
      <c r="L1589"/>
      <c r="M1589"/>
      <c r="N1589"/>
      <c r="O1589"/>
    </row>
    <row r="1590" spans="1:15" x14ac:dyDescent="0.25">
      <c r="A1590"/>
      <c r="B1590"/>
      <c r="C1590"/>
      <c r="D1590"/>
      <c r="E1590"/>
      <c r="F1590"/>
      <c r="G1590"/>
      <c r="H1590"/>
      <c r="I1590"/>
      <c r="J1590"/>
      <c r="K1590"/>
      <c r="L1590"/>
      <c r="M1590"/>
      <c r="N1590"/>
      <c r="O1590"/>
    </row>
    <row r="1591" spans="1:15" x14ac:dyDescent="0.25">
      <c r="A1591"/>
      <c r="B1591"/>
      <c r="C1591"/>
      <c r="D1591"/>
      <c r="E1591"/>
      <c r="F1591"/>
      <c r="G1591"/>
      <c r="H1591"/>
      <c r="I1591"/>
      <c r="J1591"/>
      <c r="K1591"/>
      <c r="L1591"/>
      <c r="M1591"/>
      <c r="N1591"/>
      <c r="O1591"/>
    </row>
    <row r="1592" spans="1:15" x14ac:dyDescent="0.25">
      <c r="A1592"/>
      <c r="B1592"/>
      <c r="C1592"/>
      <c r="D1592"/>
      <c r="E1592"/>
      <c r="F1592"/>
      <c r="G1592"/>
      <c r="H1592"/>
      <c r="I1592"/>
      <c r="J1592"/>
      <c r="K1592"/>
      <c r="L1592"/>
      <c r="M1592"/>
      <c r="N1592"/>
      <c r="O1592"/>
    </row>
    <row r="1593" spans="1:15" x14ac:dyDescent="0.25">
      <c r="A1593"/>
      <c r="B1593"/>
      <c r="C1593"/>
      <c r="D1593"/>
      <c r="E1593"/>
      <c r="F1593"/>
      <c r="G1593"/>
      <c r="H1593"/>
      <c r="I1593"/>
      <c r="J1593"/>
      <c r="K1593"/>
      <c r="L1593"/>
      <c r="M1593"/>
      <c r="N1593"/>
      <c r="O1593"/>
    </row>
    <row r="1594" spans="1:15" x14ac:dyDescent="0.25">
      <c r="A1594"/>
      <c r="B1594"/>
      <c r="C1594"/>
      <c r="D1594"/>
      <c r="E1594"/>
      <c r="F1594"/>
      <c r="G1594"/>
      <c r="H1594"/>
      <c r="I1594"/>
      <c r="J1594"/>
      <c r="K1594"/>
      <c r="L1594"/>
      <c r="M1594"/>
      <c r="N1594"/>
      <c r="O1594"/>
    </row>
    <row r="1595" spans="1:15" x14ac:dyDescent="0.25">
      <c r="A1595"/>
      <c r="B1595"/>
      <c r="C1595"/>
      <c r="D1595"/>
      <c r="E1595"/>
      <c r="F1595"/>
      <c r="G1595"/>
      <c r="H1595"/>
      <c r="I1595"/>
      <c r="J1595"/>
      <c r="K1595"/>
      <c r="L1595"/>
      <c r="M1595"/>
      <c r="N1595"/>
      <c r="O1595"/>
    </row>
    <row r="1596" spans="1:15" x14ac:dyDescent="0.25">
      <c r="A1596"/>
      <c r="B1596"/>
      <c r="C1596"/>
      <c r="D1596"/>
      <c r="E1596"/>
      <c r="F1596"/>
      <c r="G1596"/>
      <c r="H1596"/>
      <c r="I1596"/>
      <c r="J1596"/>
      <c r="K1596"/>
      <c r="L1596"/>
      <c r="M1596"/>
      <c r="N1596"/>
      <c r="O1596"/>
    </row>
    <row r="1597" spans="1:15" x14ac:dyDescent="0.25">
      <c r="A1597"/>
      <c r="B1597"/>
      <c r="C1597"/>
      <c r="D1597"/>
      <c r="E1597"/>
      <c r="F1597"/>
      <c r="G1597"/>
      <c r="H1597"/>
      <c r="I1597"/>
      <c r="J1597"/>
      <c r="K1597"/>
      <c r="L1597"/>
      <c r="M1597"/>
      <c r="N1597"/>
      <c r="O1597"/>
    </row>
    <row r="1598" spans="1:15" x14ac:dyDescent="0.25">
      <c r="A1598"/>
      <c r="B1598"/>
      <c r="C1598"/>
      <c r="D1598"/>
      <c r="E1598"/>
      <c r="F1598"/>
      <c r="G1598"/>
      <c r="H1598"/>
      <c r="I1598"/>
      <c r="J1598"/>
      <c r="K1598"/>
      <c r="L1598"/>
      <c r="M1598"/>
      <c r="N1598"/>
      <c r="O1598"/>
    </row>
    <row r="1599" spans="1:15" x14ac:dyDescent="0.25">
      <c r="A1599"/>
      <c r="B1599"/>
      <c r="C1599"/>
      <c r="D1599"/>
      <c r="E1599"/>
      <c r="F1599"/>
      <c r="G1599"/>
      <c r="H1599"/>
      <c r="I1599"/>
      <c r="J1599"/>
      <c r="K1599"/>
      <c r="L1599"/>
      <c r="M1599"/>
      <c r="N1599"/>
      <c r="O1599"/>
    </row>
    <row r="1600" spans="1:15" x14ac:dyDescent="0.25">
      <c r="A1600"/>
      <c r="B1600"/>
      <c r="C1600"/>
      <c r="D1600"/>
      <c r="E1600"/>
      <c r="F1600"/>
      <c r="G1600"/>
      <c r="H1600"/>
      <c r="I1600"/>
      <c r="J1600"/>
      <c r="K1600"/>
      <c r="L1600"/>
      <c r="M1600"/>
      <c r="N1600"/>
      <c r="O1600"/>
    </row>
    <row r="1601" spans="1:15" x14ac:dyDescent="0.25">
      <c r="A1601"/>
      <c r="B1601"/>
      <c r="C1601"/>
      <c r="D1601"/>
      <c r="E1601"/>
      <c r="F1601"/>
      <c r="G1601"/>
      <c r="H1601"/>
      <c r="I1601"/>
      <c r="J1601"/>
      <c r="K1601"/>
      <c r="L1601"/>
      <c r="M1601"/>
      <c r="N1601"/>
      <c r="O1601"/>
    </row>
    <row r="1602" spans="1:15" x14ac:dyDescent="0.25">
      <c r="A1602"/>
      <c r="B1602"/>
      <c r="C1602"/>
      <c r="D1602"/>
      <c r="E1602"/>
      <c r="F1602"/>
      <c r="G1602"/>
      <c r="H1602"/>
      <c r="I1602"/>
      <c r="J1602"/>
      <c r="K1602"/>
      <c r="L1602"/>
      <c r="M1602"/>
      <c r="N1602"/>
      <c r="O1602"/>
    </row>
    <row r="1603" spans="1:15" x14ac:dyDescent="0.25">
      <c r="A1603"/>
      <c r="B1603"/>
      <c r="C1603"/>
      <c r="D1603"/>
      <c r="E1603"/>
      <c r="F1603"/>
      <c r="G1603"/>
      <c r="H1603"/>
      <c r="I1603"/>
      <c r="J1603"/>
      <c r="K1603"/>
      <c r="L1603"/>
      <c r="M1603"/>
      <c r="N1603"/>
      <c r="O1603"/>
    </row>
    <row r="1604" spans="1:15" x14ac:dyDescent="0.25">
      <c r="A1604"/>
      <c r="B1604"/>
      <c r="C1604"/>
      <c r="D1604"/>
      <c r="E1604"/>
      <c r="F1604"/>
      <c r="G1604"/>
      <c r="H1604"/>
      <c r="I1604"/>
      <c r="J1604"/>
      <c r="K1604"/>
      <c r="L1604"/>
      <c r="M1604"/>
      <c r="N1604"/>
      <c r="O1604"/>
    </row>
    <row r="1605" spans="1:15" x14ac:dyDescent="0.25">
      <c r="A1605"/>
      <c r="B1605"/>
      <c r="C1605"/>
      <c r="D1605"/>
      <c r="E1605"/>
      <c r="F1605"/>
      <c r="G1605"/>
      <c r="H1605"/>
      <c r="I1605"/>
      <c r="J1605"/>
      <c r="K1605"/>
      <c r="L1605"/>
      <c r="M1605"/>
      <c r="N1605"/>
      <c r="O1605"/>
    </row>
    <row r="1606" spans="1:15" x14ac:dyDescent="0.25">
      <c r="A1606"/>
      <c r="B1606"/>
      <c r="C1606"/>
      <c r="D1606"/>
      <c r="E1606"/>
      <c r="F1606"/>
      <c r="G1606"/>
      <c r="H1606"/>
      <c r="I1606"/>
      <c r="J1606"/>
      <c r="K1606"/>
      <c r="L1606"/>
      <c r="M1606"/>
      <c r="N1606"/>
      <c r="O1606"/>
    </row>
    <row r="1607" spans="1:15" x14ac:dyDescent="0.25">
      <c r="A1607"/>
      <c r="B1607"/>
      <c r="C1607"/>
      <c r="D1607"/>
      <c r="E1607"/>
      <c r="F1607"/>
      <c r="G1607"/>
      <c r="H1607"/>
      <c r="I1607"/>
      <c r="J1607"/>
      <c r="K1607"/>
      <c r="L1607"/>
      <c r="M1607"/>
      <c r="N1607"/>
      <c r="O1607"/>
    </row>
    <row r="1608" spans="1:15" x14ac:dyDescent="0.25">
      <c r="A1608"/>
      <c r="B1608"/>
      <c r="C1608"/>
      <c r="D1608"/>
      <c r="E1608"/>
      <c r="F1608"/>
      <c r="G1608"/>
      <c r="H1608"/>
      <c r="I1608"/>
      <c r="J1608"/>
      <c r="K1608"/>
      <c r="L1608"/>
      <c r="M1608"/>
      <c r="N1608"/>
      <c r="O1608"/>
    </row>
    <row r="1609" spans="1:15" x14ac:dyDescent="0.25">
      <c r="A1609"/>
      <c r="B1609"/>
      <c r="C1609"/>
      <c r="D1609"/>
      <c r="E1609"/>
      <c r="F1609"/>
      <c r="G1609"/>
      <c r="H1609"/>
      <c r="I1609"/>
      <c r="J1609"/>
      <c r="K1609"/>
      <c r="L1609"/>
      <c r="M1609"/>
      <c r="N1609"/>
      <c r="O1609"/>
    </row>
    <row r="1610" spans="1:15" x14ac:dyDescent="0.25">
      <c r="A1610"/>
      <c r="B1610"/>
      <c r="C1610"/>
      <c r="D1610"/>
      <c r="E1610"/>
      <c r="F1610"/>
      <c r="G1610"/>
      <c r="H1610"/>
      <c r="I1610"/>
      <c r="J1610"/>
      <c r="K1610"/>
      <c r="L1610"/>
      <c r="M1610"/>
      <c r="N1610"/>
      <c r="O1610"/>
    </row>
    <row r="1611" spans="1:15" x14ac:dyDescent="0.25">
      <c r="A1611"/>
      <c r="B1611"/>
      <c r="C1611"/>
      <c r="D1611"/>
      <c r="E1611"/>
      <c r="F1611"/>
      <c r="G1611"/>
      <c r="H1611"/>
      <c r="I1611"/>
      <c r="J1611"/>
      <c r="K1611"/>
      <c r="L1611"/>
      <c r="M1611"/>
      <c r="N1611"/>
      <c r="O1611"/>
    </row>
    <row r="1612" spans="1:15" x14ac:dyDescent="0.25">
      <c r="A1612"/>
      <c r="B1612"/>
      <c r="C1612"/>
      <c r="D1612"/>
      <c r="E1612"/>
      <c r="F1612"/>
      <c r="G1612"/>
      <c r="H1612"/>
      <c r="I1612"/>
      <c r="J1612"/>
      <c r="K1612"/>
      <c r="L1612"/>
      <c r="M1612"/>
      <c r="N1612"/>
      <c r="O1612"/>
    </row>
    <row r="1613" spans="1:15" x14ac:dyDescent="0.25">
      <c r="A1613"/>
      <c r="B1613"/>
      <c r="C1613"/>
      <c r="D1613"/>
      <c r="E1613"/>
      <c r="F1613"/>
      <c r="G1613"/>
      <c r="H1613"/>
      <c r="I1613"/>
      <c r="J1613"/>
      <c r="K1613"/>
      <c r="L1613"/>
      <c r="M1613"/>
      <c r="N1613"/>
      <c r="O1613"/>
    </row>
    <row r="1614" spans="1:15" x14ac:dyDescent="0.25">
      <c r="A1614"/>
      <c r="B1614"/>
      <c r="C1614"/>
      <c r="D1614"/>
      <c r="E1614"/>
      <c r="F1614"/>
      <c r="G1614"/>
      <c r="H1614"/>
      <c r="I1614"/>
      <c r="J1614"/>
      <c r="K1614"/>
      <c r="L1614"/>
      <c r="M1614"/>
      <c r="N1614"/>
      <c r="O1614"/>
    </row>
    <row r="1615" spans="1:15" x14ac:dyDescent="0.25">
      <c r="A1615"/>
      <c r="B1615"/>
      <c r="C1615"/>
      <c r="D1615"/>
      <c r="E1615"/>
      <c r="F1615"/>
      <c r="G1615"/>
      <c r="H1615"/>
      <c r="I1615"/>
      <c r="J1615"/>
      <c r="K1615"/>
      <c r="L1615"/>
      <c r="M1615"/>
      <c r="N1615"/>
      <c r="O1615"/>
    </row>
    <row r="1616" spans="1:15" x14ac:dyDescent="0.25">
      <c r="A1616"/>
      <c r="B1616"/>
      <c r="C1616"/>
      <c r="D1616"/>
      <c r="E1616"/>
      <c r="F1616"/>
      <c r="G1616"/>
      <c r="H1616"/>
      <c r="I1616"/>
      <c r="J1616"/>
      <c r="K1616"/>
      <c r="L1616"/>
      <c r="M1616"/>
      <c r="N1616"/>
      <c r="O1616"/>
    </row>
    <row r="1617" spans="1:15" x14ac:dyDescent="0.25">
      <c r="A1617"/>
      <c r="B1617"/>
      <c r="C1617"/>
      <c r="D1617"/>
      <c r="E1617"/>
      <c r="F1617"/>
      <c r="G1617"/>
      <c r="H1617"/>
      <c r="I1617"/>
      <c r="J1617"/>
      <c r="K1617"/>
      <c r="L1617"/>
      <c r="M1617"/>
      <c r="N1617"/>
      <c r="O1617"/>
    </row>
    <row r="1618" spans="1:15" x14ac:dyDescent="0.25">
      <c r="A1618"/>
      <c r="B1618"/>
      <c r="C1618"/>
      <c r="D1618"/>
      <c r="E1618"/>
      <c r="F1618"/>
      <c r="G1618"/>
      <c r="H1618"/>
      <c r="I1618"/>
      <c r="J1618"/>
      <c r="K1618"/>
      <c r="L1618"/>
      <c r="M1618"/>
      <c r="N1618"/>
      <c r="O1618"/>
    </row>
    <row r="1619" spans="1:15" x14ac:dyDescent="0.25">
      <c r="A1619"/>
      <c r="B1619"/>
      <c r="C1619"/>
      <c r="D1619"/>
      <c r="E1619"/>
      <c r="F1619"/>
      <c r="G1619"/>
      <c r="H1619"/>
      <c r="I1619"/>
      <c r="J1619"/>
      <c r="K1619"/>
      <c r="L1619"/>
      <c r="M1619"/>
      <c r="N1619"/>
      <c r="O1619"/>
    </row>
    <row r="1620" spans="1:15" x14ac:dyDescent="0.25">
      <c r="A1620"/>
      <c r="B1620"/>
      <c r="C1620"/>
      <c r="D1620"/>
      <c r="E1620"/>
      <c r="F1620"/>
      <c r="G1620"/>
      <c r="H1620"/>
      <c r="I1620"/>
      <c r="J1620"/>
      <c r="K1620"/>
      <c r="L1620"/>
      <c r="M1620"/>
      <c r="N1620"/>
      <c r="O1620"/>
    </row>
    <row r="1621" spans="1:15" x14ac:dyDescent="0.25">
      <c r="A1621"/>
      <c r="B1621"/>
      <c r="C1621"/>
      <c r="D1621"/>
      <c r="E1621"/>
      <c r="F1621"/>
      <c r="G1621"/>
      <c r="H1621"/>
      <c r="I1621"/>
      <c r="J1621"/>
      <c r="K1621"/>
      <c r="L1621"/>
      <c r="M1621"/>
      <c r="N1621"/>
      <c r="O1621"/>
    </row>
    <row r="1622" spans="1:15" x14ac:dyDescent="0.25">
      <c r="A1622"/>
      <c r="B1622"/>
      <c r="C1622"/>
      <c r="D1622"/>
      <c r="E1622"/>
      <c r="F1622"/>
      <c r="G1622"/>
      <c r="H1622"/>
      <c r="I1622"/>
      <c r="J1622"/>
      <c r="K1622"/>
      <c r="L1622"/>
      <c r="M1622"/>
      <c r="N1622"/>
      <c r="O1622"/>
    </row>
    <row r="1623" spans="1:15" x14ac:dyDescent="0.25">
      <c r="A1623"/>
      <c r="B1623"/>
      <c r="C1623"/>
      <c r="D1623"/>
      <c r="E1623"/>
      <c r="F1623"/>
      <c r="G1623"/>
      <c r="H1623"/>
      <c r="I1623"/>
      <c r="J1623"/>
      <c r="K1623"/>
      <c r="L1623"/>
      <c r="M1623"/>
      <c r="N1623"/>
      <c r="O1623"/>
    </row>
    <row r="1624" spans="1:15" x14ac:dyDescent="0.25">
      <c r="A1624"/>
      <c r="B1624"/>
      <c r="C1624"/>
      <c r="D1624"/>
      <c r="E1624"/>
      <c r="F1624"/>
      <c r="G1624"/>
      <c r="H1624"/>
      <c r="I1624"/>
      <c r="J1624"/>
      <c r="K1624"/>
      <c r="L1624"/>
      <c r="M1624"/>
      <c r="N1624"/>
      <c r="O1624"/>
    </row>
    <row r="1625" spans="1:15" x14ac:dyDescent="0.25">
      <c r="A1625"/>
      <c r="B1625"/>
      <c r="C1625"/>
      <c r="D1625"/>
      <c r="E1625"/>
      <c r="F1625"/>
      <c r="G1625"/>
      <c r="H1625"/>
      <c r="I1625"/>
      <c r="J1625"/>
      <c r="K1625"/>
      <c r="L1625"/>
      <c r="M1625"/>
      <c r="N1625"/>
      <c r="O1625"/>
    </row>
    <row r="1626" spans="1:15" x14ac:dyDescent="0.25">
      <c r="A1626"/>
      <c r="B1626"/>
      <c r="C1626"/>
      <c r="D1626"/>
      <c r="E1626"/>
      <c r="F1626"/>
      <c r="G1626"/>
      <c r="H1626"/>
      <c r="I1626"/>
      <c r="J1626"/>
      <c r="K1626"/>
      <c r="L1626"/>
      <c r="M1626"/>
      <c r="N1626"/>
      <c r="O1626"/>
    </row>
    <row r="1627" spans="1:15" x14ac:dyDescent="0.25">
      <c r="A1627"/>
      <c r="B1627"/>
      <c r="C1627"/>
      <c r="D1627"/>
      <c r="E1627"/>
      <c r="F1627"/>
      <c r="G1627"/>
      <c r="H1627"/>
      <c r="I1627"/>
      <c r="J1627"/>
      <c r="K1627"/>
      <c r="L1627"/>
      <c r="M1627"/>
      <c r="N1627"/>
      <c r="O1627"/>
    </row>
    <row r="1628" spans="1:15" x14ac:dyDescent="0.25">
      <c r="A1628"/>
      <c r="B1628"/>
      <c r="C1628"/>
      <c r="D1628"/>
      <c r="E1628"/>
      <c r="F1628"/>
      <c r="G1628"/>
      <c r="H1628"/>
      <c r="I1628"/>
      <c r="J1628"/>
      <c r="K1628"/>
      <c r="L1628"/>
      <c r="M1628"/>
      <c r="N1628"/>
      <c r="O1628"/>
    </row>
    <row r="1629" spans="1:15" x14ac:dyDescent="0.25">
      <c r="A1629"/>
      <c r="B1629"/>
      <c r="C1629"/>
      <c r="D1629"/>
      <c r="E1629"/>
      <c r="F1629"/>
      <c r="G1629"/>
      <c r="H1629"/>
      <c r="I1629"/>
      <c r="J1629"/>
      <c r="K1629"/>
      <c r="L1629"/>
      <c r="M1629"/>
      <c r="N1629"/>
      <c r="O1629"/>
    </row>
    <row r="1630" spans="1:15" x14ac:dyDescent="0.25">
      <c r="A1630"/>
      <c r="B1630"/>
      <c r="C1630"/>
      <c r="D1630"/>
      <c r="E1630"/>
      <c r="F1630"/>
      <c r="G1630"/>
      <c r="H1630"/>
      <c r="I1630"/>
      <c r="J1630"/>
      <c r="K1630"/>
      <c r="L1630"/>
      <c r="M1630"/>
      <c r="N1630"/>
      <c r="O1630"/>
    </row>
    <row r="1631" spans="1:15" x14ac:dyDescent="0.25">
      <c r="A1631"/>
      <c r="B1631"/>
      <c r="C1631"/>
      <c r="D1631"/>
      <c r="E1631"/>
      <c r="F1631"/>
      <c r="G1631"/>
      <c r="H1631"/>
      <c r="I1631"/>
      <c r="J1631"/>
      <c r="K1631"/>
      <c r="L1631"/>
      <c r="M1631"/>
      <c r="N1631"/>
      <c r="O1631"/>
    </row>
    <row r="1632" spans="1:15" x14ac:dyDescent="0.25">
      <c r="A1632"/>
      <c r="B1632"/>
      <c r="C1632"/>
      <c r="D1632"/>
      <c r="E1632"/>
      <c r="F1632"/>
      <c r="G1632"/>
      <c r="H1632"/>
      <c r="I1632"/>
      <c r="J1632"/>
      <c r="K1632"/>
      <c r="L1632"/>
      <c r="M1632"/>
      <c r="N1632"/>
      <c r="O1632"/>
    </row>
    <row r="1633" spans="1:15" x14ac:dyDescent="0.25">
      <c r="A1633"/>
      <c r="B1633"/>
      <c r="C1633"/>
      <c r="D1633"/>
      <c r="E1633"/>
      <c r="F1633"/>
      <c r="G1633"/>
      <c r="H1633"/>
      <c r="I1633"/>
      <c r="J1633"/>
      <c r="K1633"/>
      <c r="L1633"/>
      <c r="M1633"/>
      <c r="N1633"/>
      <c r="O1633"/>
    </row>
    <row r="1634" spans="1:15" x14ac:dyDescent="0.25">
      <c r="A1634"/>
      <c r="B1634"/>
      <c r="C1634"/>
      <c r="D1634"/>
      <c r="E1634"/>
      <c r="F1634"/>
      <c r="G1634"/>
      <c r="H1634"/>
      <c r="I1634"/>
      <c r="J1634"/>
      <c r="K1634"/>
      <c r="L1634"/>
      <c r="M1634"/>
      <c r="N1634"/>
      <c r="O1634"/>
    </row>
    <row r="1635" spans="1:15" x14ac:dyDescent="0.25">
      <c r="A1635"/>
      <c r="B1635"/>
      <c r="C1635"/>
      <c r="D1635"/>
      <c r="E1635"/>
      <c r="F1635"/>
      <c r="G1635"/>
      <c r="H1635"/>
      <c r="I1635"/>
      <c r="J1635"/>
      <c r="K1635"/>
      <c r="L1635"/>
      <c r="M1635"/>
      <c r="N1635"/>
      <c r="O1635"/>
    </row>
    <row r="1636" spans="1:15" x14ac:dyDescent="0.25">
      <c r="A1636"/>
      <c r="B1636"/>
      <c r="C1636"/>
      <c r="D1636"/>
      <c r="E1636"/>
      <c r="F1636"/>
      <c r="G1636"/>
      <c r="H1636"/>
      <c r="I1636"/>
      <c r="J1636"/>
      <c r="K1636"/>
      <c r="L1636"/>
      <c r="M1636"/>
      <c r="N1636"/>
      <c r="O1636"/>
    </row>
    <row r="1637" spans="1:15" x14ac:dyDescent="0.25">
      <c r="A1637"/>
      <c r="B1637"/>
      <c r="C1637"/>
      <c r="D1637"/>
      <c r="E1637"/>
      <c r="F1637"/>
      <c r="G1637"/>
      <c r="H1637"/>
      <c r="I1637"/>
      <c r="J1637"/>
      <c r="K1637"/>
      <c r="L1637"/>
      <c r="M1637"/>
      <c r="N1637"/>
      <c r="O1637"/>
    </row>
    <row r="1638" spans="1:15" x14ac:dyDescent="0.25">
      <c r="A1638"/>
      <c r="B1638"/>
      <c r="C1638"/>
      <c r="D1638"/>
      <c r="E1638"/>
      <c r="F1638"/>
      <c r="G1638"/>
      <c r="H1638"/>
      <c r="I1638"/>
      <c r="J1638"/>
      <c r="K1638"/>
      <c r="L1638"/>
      <c r="M1638"/>
      <c r="N1638"/>
      <c r="O1638"/>
    </row>
    <row r="1639" spans="1:15" x14ac:dyDescent="0.25">
      <c r="A1639"/>
      <c r="B1639"/>
      <c r="C1639"/>
      <c r="D1639"/>
      <c r="E1639"/>
      <c r="F1639"/>
      <c r="G1639"/>
      <c r="H1639"/>
      <c r="I1639"/>
      <c r="J1639"/>
      <c r="K1639"/>
      <c r="L1639"/>
      <c r="M1639"/>
      <c r="N1639"/>
      <c r="O1639"/>
    </row>
    <row r="1640" spans="1:15" x14ac:dyDescent="0.25">
      <c r="A1640"/>
      <c r="B1640"/>
      <c r="C1640"/>
      <c r="D1640"/>
      <c r="E1640"/>
      <c r="F1640"/>
      <c r="G1640"/>
      <c r="H1640"/>
      <c r="I1640"/>
      <c r="J1640"/>
      <c r="K1640"/>
      <c r="L1640"/>
      <c r="M1640"/>
      <c r="N1640"/>
      <c r="O1640"/>
    </row>
    <row r="1641" spans="1:15" x14ac:dyDescent="0.25">
      <c r="A1641"/>
      <c r="B1641"/>
      <c r="C1641"/>
      <c r="D1641"/>
      <c r="E1641"/>
      <c r="F1641"/>
      <c r="G1641"/>
      <c r="H1641"/>
      <c r="I1641"/>
      <c r="J1641"/>
      <c r="K1641"/>
      <c r="L1641"/>
      <c r="M1641"/>
      <c r="N1641"/>
      <c r="O1641"/>
    </row>
    <row r="1642" spans="1:15" x14ac:dyDescent="0.25">
      <c r="A1642"/>
      <c r="B1642"/>
      <c r="C1642"/>
      <c r="D1642"/>
      <c r="E1642"/>
      <c r="F1642"/>
      <c r="G1642"/>
      <c r="H1642"/>
      <c r="I1642"/>
      <c r="J1642"/>
      <c r="K1642"/>
      <c r="L1642"/>
      <c r="M1642"/>
      <c r="N1642"/>
      <c r="O1642"/>
    </row>
    <row r="1643" spans="1:15" x14ac:dyDescent="0.25">
      <c r="A1643"/>
      <c r="B1643"/>
      <c r="C1643"/>
      <c r="D1643"/>
      <c r="E1643"/>
      <c r="F1643"/>
      <c r="G1643"/>
      <c r="H1643"/>
      <c r="I1643"/>
      <c r="J1643"/>
      <c r="K1643"/>
      <c r="L1643"/>
      <c r="M1643"/>
      <c r="N1643"/>
      <c r="O1643"/>
    </row>
    <row r="1644" spans="1:15" x14ac:dyDescent="0.25">
      <c r="A1644"/>
      <c r="B1644"/>
      <c r="C1644"/>
      <c r="D1644"/>
      <c r="E1644"/>
      <c r="F1644"/>
      <c r="G1644"/>
      <c r="H1644"/>
      <c r="I1644"/>
      <c r="J1644"/>
      <c r="K1644"/>
      <c r="L1644"/>
      <c r="M1644"/>
      <c r="N1644"/>
      <c r="O1644"/>
    </row>
    <row r="1645" spans="1:15" x14ac:dyDescent="0.25">
      <c r="A1645"/>
      <c r="B1645"/>
      <c r="C1645"/>
      <c r="D1645"/>
      <c r="E1645"/>
      <c r="F1645"/>
      <c r="G1645"/>
      <c r="H1645"/>
      <c r="I1645"/>
      <c r="J1645"/>
      <c r="K1645"/>
      <c r="L1645"/>
      <c r="M1645"/>
      <c r="N1645"/>
      <c r="O1645"/>
    </row>
    <row r="1646" spans="1:15" x14ac:dyDescent="0.25">
      <c r="A1646"/>
      <c r="B1646"/>
      <c r="C1646"/>
      <c r="D1646"/>
      <c r="E1646"/>
      <c r="F1646"/>
      <c r="G1646"/>
      <c r="H1646"/>
      <c r="I1646"/>
      <c r="J1646"/>
      <c r="K1646"/>
      <c r="L1646"/>
      <c r="M1646"/>
      <c r="N1646"/>
      <c r="O1646"/>
    </row>
    <row r="1647" spans="1:15" x14ac:dyDescent="0.25">
      <c r="A1647"/>
      <c r="B1647"/>
      <c r="C1647"/>
      <c r="D1647"/>
      <c r="E1647"/>
      <c r="F1647"/>
      <c r="G1647"/>
      <c r="H1647"/>
      <c r="I1647"/>
      <c r="J1647"/>
      <c r="K1647"/>
      <c r="L1647"/>
      <c r="M1647"/>
      <c r="N1647"/>
      <c r="O1647"/>
    </row>
    <row r="1648" spans="1:15" x14ac:dyDescent="0.25">
      <c r="A1648"/>
      <c r="B1648"/>
      <c r="C1648"/>
      <c r="D1648"/>
      <c r="E1648"/>
      <c r="F1648"/>
      <c r="G1648"/>
      <c r="H1648"/>
      <c r="I1648"/>
      <c r="J1648"/>
      <c r="K1648"/>
      <c r="L1648"/>
      <c r="M1648"/>
      <c r="N1648"/>
      <c r="O1648"/>
    </row>
    <row r="1649" spans="1:15" x14ac:dyDescent="0.25">
      <c r="A1649"/>
      <c r="B1649"/>
      <c r="C1649"/>
      <c r="D1649"/>
      <c r="E1649"/>
      <c r="F1649"/>
      <c r="G1649"/>
      <c r="H1649"/>
      <c r="I1649"/>
      <c r="J1649"/>
      <c r="K1649"/>
      <c r="L1649"/>
      <c r="M1649"/>
      <c r="N1649"/>
      <c r="O1649"/>
    </row>
    <row r="1650" spans="1:15" x14ac:dyDescent="0.25">
      <c r="A1650"/>
      <c r="B1650"/>
      <c r="C1650"/>
      <c r="D1650"/>
      <c r="E1650"/>
      <c r="F1650"/>
      <c r="G1650"/>
      <c r="H1650"/>
      <c r="I1650"/>
      <c r="J1650"/>
      <c r="K1650"/>
      <c r="L1650"/>
      <c r="M1650"/>
      <c r="N1650"/>
      <c r="O1650"/>
    </row>
    <row r="1651" spans="1:15" x14ac:dyDescent="0.25">
      <c r="A1651"/>
      <c r="B1651"/>
      <c r="C1651"/>
      <c r="D1651"/>
      <c r="E1651"/>
      <c r="F1651"/>
      <c r="G1651"/>
      <c r="H1651"/>
      <c r="I1651"/>
      <c r="J1651"/>
      <c r="K1651"/>
      <c r="L1651"/>
      <c r="M1651"/>
      <c r="N1651"/>
      <c r="O1651"/>
    </row>
    <row r="1652" spans="1:15" x14ac:dyDescent="0.25">
      <c r="A1652"/>
      <c r="B1652"/>
      <c r="C1652"/>
      <c r="D1652"/>
      <c r="E1652"/>
      <c r="F1652"/>
      <c r="G1652"/>
      <c r="H1652"/>
      <c r="I1652"/>
      <c r="J1652"/>
      <c r="K1652"/>
      <c r="L1652"/>
      <c r="M1652"/>
      <c r="N1652"/>
      <c r="O1652"/>
    </row>
    <row r="1653" spans="1:15" x14ac:dyDescent="0.25">
      <c r="A1653"/>
      <c r="B1653"/>
      <c r="C1653"/>
      <c r="D1653"/>
      <c r="E1653"/>
      <c r="F1653"/>
      <c r="G1653"/>
      <c r="H1653"/>
      <c r="I1653"/>
      <c r="J1653"/>
      <c r="K1653"/>
      <c r="L1653"/>
      <c r="M1653"/>
      <c r="N1653"/>
      <c r="O1653"/>
    </row>
    <row r="1654" spans="1:15" x14ac:dyDescent="0.25">
      <c r="A1654"/>
      <c r="B1654"/>
      <c r="C1654"/>
      <c r="D1654"/>
      <c r="E1654"/>
      <c r="F1654"/>
      <c r="G1654"/>
      <c r="H1654"/>
      <c r="I1654"/>
      <c r="J1654"/>
      <c r="K1654"/>
      <c r="L1654"/>
      <c r="M1654"/>
      <c r="N1654"/>
      <c r="O1654"/>
    </row>
    <row r="1655" spans="1:15" x14ac:dyDescent="0.25">
      <c r="A1655"/>
      <c r="B1655"/>
      <c r="C1655"/>
      <c r="D1655"/>
      <c r="E1655"/>
      <c r="F1655"/>
      <c r="G1655"/>
      <c r="H1655"/>
      <c r="I1655"/>
      <c r="J1655"/>
      <c r="K1655"/>
      <c r="L1655"/>
      <c r="M1655"/>
      <c r="N1655"/>
      <c r="O1655"/>
    </row>
    <row r="1656" spans="1:15" x14ac:dyDescent="0.25">
      <c r="A1656"/>
      <c r="B1656"/>
      <c r="C1656"/>
      <c r="D1656"/>
      <c r="E1656"/>
      <c r="F1656"/>
      <c r="G1656"/>
      <c r="H1656"/>
      <c r="I1656"/>
      <c r="J1656"/>
      <c r="K1656"/>
      <c r="L1656"/>
      <c r="M1656"/>
      <c r="N1656"/>
      <c r="O1656"/>
    </row>
    <row r="1657" spans="1:15" x14ac:dyDescent="0.25">
      <c r="A1657"/>
      <c r="B1657"/>
      <c r="C1657"/>
      <c r="D1657"/>
      <c r="E1657"/>
      <c r="F1657"/>
      <c r="G1657"/>
      <c r="H1657"/>
      <c r="I1657"/>
      <c r="J1657"/>
      <c r="K1657"/>
      <c r="L1657"/>
      <c r="M1657"/>
      <c r="N1657"/>
      <c r="O1657"/>
    </row>
    <row r="1658" spans="1:15" x14ac:dyDescent="0.25">
      <c r="A1658"/>
      <c r="B1658"/>
      <c r="C1658"/>
      <c r="D1658"/>
      <c r="E1658"/>
      <c r="F1658"/>
      <c r="G1658"/>
      <c r="H1658"/>
      <c r="I1658"/>
      <c r="J1658"/>
      <c r="K1658"/>
      <c r="L1658"/>
      <c r="M1658"/>
      <c r="N1658"/>
      <c r="O1658"/>
    </row>
    <row r="1659" spans="1:15" x14ac:dyDescent="0.25">
      <c r="A1659"/>
      <c r="B1659"/>
      <c r="C1659"/>
      <c r="D1659"/>
      <c r="E1659"/>
      <c r="F1659"/>
      <c r="G1659"/>
      <c r="H1659"/>
      <c r="I1659"/>
      <c r="J1659"/>
      <c r="K1659"/>
      <c r="L1659"/>
      <c r="M1659"/>
      <c r="N1659"/>
      <c r="O1659"/>
    </row>
    <row r="1660" spans="1:15" x14ac:dyDescent="0.25">
      <c r="A1660"/>
      <c r="B1660"/>
      <c r="C1660"/>
      <c r="D1660"/>
      <c r="E1660"/>
      <c r="F1660"/>
      <c r="G1660"/>
      <c r="H1660"/>
      <c r="I1660"/>
      <c r="J1660"/>
      <c r="K1660"/>
      <c r="L1660"/>
      <c r="M1660"/>
      <c r="N1660"/>
      <c r="O1660"/>
    </row>
    <row r="1661" spans="1:15" x14ac:dyDescent="0.25">
      <c r="A1661"/>
      <c r="B1661"/>
      <c r="C1661"/>
      <c r="D1661"/>
      <c r="E1661"/>
      <c r="F1661"/>
      <c r="G1661"/>
      <c r="H1661"/>
      <c r="I1661"/>
      <c r="J1661"/>
      <c r="K1661"/>
      <c r="L1661"/>
      <c r="M1661"/>
      <c r="N1661"/>
      <c r="O1661"/>
    </row>
    <row r="1662" spans="1:15" x14ac:dyDescent="0.25">
      <c r="A1662"/>
      <c r="B1662"/>
      <c r="C1662"/>
      <c r="D1662"/>
      <c r="E1662"/>
      <c r="F1662"/>
      <c r="G1662"/>
      <c r="H1662"/>
      <c r="I1662"/>
      <c r="J1662"/>
      <c r="K1662"/>
      <c r="L1662"/>
      <c r="M1662"/>
      <c r="N1662"/>
      <c r="O1662"/>
    </row>
    <row r="1663" spans="1:15" x14ac:dyDescent="0.25">
      <c r="A1663"/>
      <c r="B1663"/>
      <c r="C1663"/>
      <c r="D1663"/>
      <c r="E1663"/>
      <c r="F1663"/>
      <c r="G1663"/>
      <c r="H1663"/>
      <c r="I1663"/>
      <c r="J1663"/>
      <c r="K1663"/>
      <c r="L1663"/>
      <c r="M1663"/>
      <c r="N1663"/>
      <c r="O1663"/>
    </row>
    <row r="1664" spans="1:15" x14ac:dyDescent="0.25">
      <c r="A1664"/>
      <c r="B1664"/>
      <c r="C1664"/>
      <c r="D1664"/>
      <c r="E1664"/>
      <c r="F1664"/>
      <c r="G1664"/>
      <c r="H1664"/>
      <c r="I1664"/>
      <c r="J1664"/>
      <c r="K1664"/>
      <c r="L1664"/>
      <c r="M1664"/>
      <c r="N1664"/>
      <c r="O1664"/>
    </row>
    <row r="1665" spans="1:15" x14ac:dyDescent="0.25">
      <c r="A1665"/>
      <c r="B1665"/>
      <c r="C1665"/>
      <c r="D1665"/>
      <c r="E1665"/>
      <c r="F1665"/>
      <c r="G1665"/>
      <c r="H1665"/>
      <c r="I1665"/>
      <c r="J1665"/>
      <c r="K1665"/>
      <c r="L1665"/>
      <c r="M1665"/>
      <c r="N1665"/>
      <c r="O1665"/>
    </row>
    <row r="1666" spans="1:15" x14ac:dyDescent="0.25">
      <c r="A1666"/>
      <c r="B1666"/>
      <c r="C1666"/>
      <c r="D1666"/>
      <c r="E1666"/>
      <c r="F1666"/>
      <c r="G1666"/>
      <c r="H1666"/>
      <c r="I1666"/>
      <c r="J1666"/>
      <c r="K1666"/>
      <c r="L1666"/>
      <c r="M1666"/>
      <c r="N1666"/>
      <c r="O1666"/>
    </row>
    <row r="1667" spans="1:15" x14ac:dyDescent="0.25">
      <c r="A1667"/>
      <c r="B1667"/>
      <c r="C1667"/>
      <c r="D1667"/>
      <c r="E1667"/>
      <c r="F1667"/>
      <c r="G1667"/>
      <c r="H1667"/>
      <c r="I1667"/>
      <c r="J1667"/>
      <c r="K1667"/>
      <c r="L1667"/>
      <c r="M1667"/>
      <c r="N1667"/>
      <c r="O1667"/>
    </row>
    <row r="1668" spans="1:15" x14ac:dyDescent="0.25">
      <c r="A1668"/>
      <c r="B1668"/>
      <c r="C1668"/>
      <c r="D1668"/>
      <c r="E1668"/>
      <c r="F1668"/>
      <c r="G1668"/>
      <c r="H1668"/>
      <c r="I1668"/>
      <c r="J1668"/>
      <c r="K1668"/>
      <c r="L1668"/>
      <c r="M1668"/>
      <c r="N1668"/>
      <c r="O1668"/>
    </row>
    <row r="1669" spans="1:15" x14ac:dyDescent="0.25">
      <c r="A1669"/>
      <c r="B1669"/>
      <c r="C1669"/>
      <c r="D1669"/>
      <c r="E1669"/>
      <c r="F1669"/>
      <c r="G1669"/>
      <c r="H1669"/>
      <c r="I1669"/>
      <c r="J1669"/>
      <c r="K1669"/>
      <c r="L1669"/>
      <c r="M1669"/>
      <c r="N1669"/>
      <c r="O1669"/>
    </row>
    <row r="1670" spans="1:15" x14ac:dyDescent="0.25">
      <c r="A1670"/>
      <c r="B1670"/>
      <c r="C1670"/>
      <c r="D1670"/>
      <c r="E1670"/>
      <c r="F1670"/>
      <c r="G1670"/>
      <c r="H1670"/>
      <c r="I1670"/>
      <c r="J1670"/>
      <c r="K1670"/>
      <c r="L1670"/>
      <c r="M1670"/>
      <c r="N1670"/>
      <c r="O1670"/>
    </row>
    <row r="1671" spans="1:15" x14ac:dyDescent="0.25">
      <c r="A1671"/>
      <c r="B1671"/>
      <c r="C1671"/>
      <c r="D1671"/>
      <c r="E1671"/>
      <c r="F1671"/>
      <c r="G1671"/>
      <c r="H1671"/>
      <c r="I1671"/>
      <c r="J1671"/>
      <c r="K1671"/>
      <c r="L1671"/>
      <c r="M1671"/>
      <c r="N1671"/>
      <c r="O1671"/>
    </row>
    <row r="1672" spans="1:15" x14ac:dyDescent="0.25">
      <c r="A1672"/>
      <c r="B1672"/>
      <c r="C1672"/>
      <c r="D1672"/>
      <c r="E1672"/>
      <c r="F1672"/>
      <c r="G1672"/>
      <c r="H1672"/>
      <c r="I1672"/>
      <c r="J1672"/>
      <c r="K1672"/>
      <c r="L1672"/>
      <c r="M1672"/>
      <c r="N1672"/>
      <c r="O1672"/>
    </row>
    <row r="1673" spans="1:15" x14ac:dyDescent="0.25">
      <c r="A1673"/>
      <c r="B1673"/>
      <c r="C1673"/>
      <c r="D1673"/>
      <c r="E1673"/>
      <c r="F1673"/>
      <c r="G1673"/>
      <c r="H1673"/>
      <c r="I1673"/>
      <c r="J1673"/>
      <c r="K1673"/>
      <c r="L1673"/>
      <c r="M1673"/>
      <c r="N1673"/>
      <c r="O1673"/>
    </row>
    <row r="1674" spans="1:15" x14ac:dyDescent="0.25">
      <c r="A1674"/>
      <c r="B1674"/>
      <c r="C1674"/>
      <c r="D1674"/>
      <c r="E1674"/>
      <c r="F1674"/>
      <c r="G1674"/>
      <c r="H1674"/>
      <c r="I1674"/>
      <c r="J1674"/>
      <c r="K1674"/>
      <c r="L1674"/>
      <c r="M1674"/>
      <c r="N1674"/>
      <c r="O1674"/>
    </row>
    <row r="1675" spans="1:15" x14ac:dyDescent="0.25">
      <c r="A1675"/>
      <c r="B1675"/>
      <c r="C1675"/>
      <c r="D1675"/>
      <c r="E1675"/>
      <c r="F1675"/>
      <c r="G1675"/>
      <c r="H1675"/>
      <c r="I1675"/>
      <c r="J1675"/>
      <c r="K1675"/>
      <c r="L1675"/>
      <c r="M1675"/>
      <c r="N1675"/>
      <c r="O1675"/>
    </row>
    <row r="1676" spans="1:15" x14ac:dyDescent="0.25">
      <c r="A1676"/>
      <c r="B1676"/>
      <c r="C1676"/>
      <c r="D1676"/>
      <c r="E1676"/>
      <c r="F1676"/>
      <c r="G1676"/>
      <c r="H1676"/>
      <c r="I1676"/>
      <c r="J1676"/>
      <c r="K1676"/>
      <c r="L1676"/>
      <c r="M1676"/>
      <c r="N1676"/>
      <c r="O1676"/>
    </row>
    <row r="1677" spans="1:15" x14ac:dyDescent="0.25">
      <c r="A1677"/>
      <c r="B1677"/>
      <c r="C1677"/>
      <c r="D1677"/>
      <c r="E1677"/>
      <c r="F1677"/>
      <c r="G1677"/>
      <c r="H1677"/>
      <c r="I1677"/>
      <c r="J1677"/>
      <c r="K1677"/>
      <c r="L1677"/>
      <c r="M1677"/>
      <c r="N1677"/>
      <c r="O1677"/>
    </row>
    <row r="1678" spans="1:15" x14ac:dyDescent="0.25">
      <c r="A1678"/>
      <c r="B1678"/>
      <c r="C1678"/>
      <c r="D1678"/>
      <c r="E1678"/>
      <c r="F1678"/>
      <c r="G1678"/>
      <c r="H1678"/>
      <c r="I1678"/>
      <c r="J1678"/>
      <c r="K1678"/>
      <c r="L1678"/>
      <c r="M1678"/>
      <c r="N1678"/>
      <c r="O1678"/>
    </row>
    <row r="1679" spans="1:15" x14ac:dyDescent="0.25">
      <c r="A1679"/>
      <c r="B1679"/>
      <c r="C1679"/>
      <c r="D1679"/>
      <c r="E1679"/>
      <c r="F1679"/>
      <c r="G1679"/>
      <c r="H1679"/>
      <c r="I1679"/>
      <c r="J1679"/>
      <c r="K1679"/>
      <c r="L1679"/>
      <c r="M1679"/>
      <c r="N1679"/>
      <c r="O1679"/>
    </row>
    <row r="1680" spans="1:15" x14ac:dyDescent="0.25">
      <c r="A1680"/>
      <c r="B1680"/>
      <c r="C1680"/>
      <c r="D1680"/>
      <c r="E1680"/>
      <c r="F1680"/>
      <c r="G1680"/>
      <c r="H1680"/>
      <c r="I1680"/>
      <c r="J1680"/>
      <c r="K1680"/>
      <c r="L1680"/>
      <c r="M1680"/>
      <c r="N1680"/>
      <c r="O1680"/>
    </row>
    <row r="1681" spans="1:15" x14ac:dyDescent="0.25">
      <c r="A1681"/>
      <c r="B1681"/>
      <c r="C1681"/>
      <c r="D1681"/>
      <c r="E1681"/>
      <c r="F1681"/>
      <c r="G1681"/>
      <c r="H1681"/>
      <c r="I1681"/>
      <c r="J1681"/>
      <c r="K1681"/>
      <c r="L1681"/>
      <c r="M1681"/>
      <c r="N1681"/>
      <c r="O1681"/>
    </row>
    <row r="1682" spans="1:15" x14ac:dyDescent="0.25">
      <c r="A1682"/>
      <c r="B1682"/>
      <c r="C1682"/>
      <c r="D1682"/>
      <c r="E1682"/>
      <c r="F1682"/>
      <c r="G1682"/>
      <c r="H1682"/>
      <c r="I1682"/>
      <c r="J1682"/>
      <c r="K1682"/>
      <c r="L1682"/>
      <c r="M1682"/>
      <c r="N1682"/>
      <c r="O1682"/>
    </row>
    <row r="1683" spans="1:15" x14ac:dyDescent="0.25">
      <c r="A1683"/>
      <c r="B1683"/>
      <c r="C1683"/>
      <c r="D1683"/>
      <c r="E1683"/>
      <c r="F1683"/>
      <c r="G1683"/>
      <c r="H1683"/>
      <c r="I1683"/>
      <c r="J1683"/>
      <c r="K1683"/>
      <c r="L1683"/>
      <c r="M1683"/>
      <c r="N1683"/>
      <c r="O1683"/>
    </row>
    <row r="1684" spans="1:15" x14ac:dyDescent="0.25">
      <c r="A1684"/>
      <c r="B1684"/>
      <c r="C1684"/>
      <c r="D1684"/>
      <c r="E1684"/>
      <c r="F1684"/>
      <c r="G1684"/>
      <c r="H1684"/>
      <c r="I1684"/>
      <c r="J1684"/>
      <c r="K1684"/>
      <c r="L1684"/>
      <c r="M1684"/>
      <c r="N1684"/>
      <c r="O1684"/>
    </row>
    <row r="1685" spans="1:15" x14ac:dyDescent="0.25">
      <c r="A1685"/>
      <c r="B1685"/>
      <c r="C1685"/>
      <c r="D1685"/>
      <c r="E1685"/>
      <c r="F1685"/>
      <c r="G1685"/>
      <c r="H1685"/>
      <c r="I1685"/>
      <c r="J1685"/>
      <c r="K1685"/>
      <c r="L1685"/>
      <c r="M1685"/>
      <c r="N1685"/>
      <c r="O1685"/>
    </row>
    <row r="1686" spans="1:15" x14ac:dyDescent="0.25">
      <c r="A1686"/>
      <c r="B1686"/>
      <c r="C1686"/>
      <c r="D1686"/>
      <c r="E1686"/>
      <c r="F1686"/>
      <c r="G1686"/>
      <c r="H1686"/>
      <c r="I1686"/>
      <c r="J1686"/>
      <c r="K1686"/>
      <c r="L1686"/>
      <c r="M1686"/>
      <c r="N1686"/>
      <c r="O1686"/>
    </row>
    <row r="1687" spans="1:15" x14ac:dyDescent="0.25">
      <c r="A1687"/>
      <c r="B1687"/>
      <c r="C1687"/>
      <c r="D1687"/>
      <c r="E1687"/>
      <c r="F1687"/>
      <c r="G1687"/>
      <c r="H1687"/>
      <c r="I1687"/>
      <c r="J1687"/>
      <c r="K1687"/>
      <c r="L1687"/>
      <c r="M1687"/>
      <c r="N1687"/>
      <c r="O1687"/>
    </row>
    <row r="1688" spans="1:15" x14ac:dyDescent="0.25">
      <c r="A1688"/>
      <c r="B1688"/>
      <c r="C1688"/>
      <c r="D1688"/>
      <c r="E1688"/>
      <c r="F1688"/>
      <c r="G1688"/>
      <c r="H1688"/>
      <c r="I1688"/>
      <c r="J1688"/>
      <c r="K1688"/>
      <c r="L1688"/>
      <c r="M1688"/>
      <c r="N1688"/>
      <c r="O1688"/>
    </row>
    <row r="1689" spans="1:15" x14ac:dyDescent="0.25">
      <c r="A1689"/>
      <c r="B1689"/>
      <c r="C1689"/>
      <c r="D1689"/>
      <c r="E1689"/>
      <c r="F1689"/>
      <c r="G1689"/>
      <c r="H1689"/>
      <c r="I1689"/>
      <c r="J1689"/>
      <c r="K1689"/>
      <c r="L1689"/>
      <c r="M1689"/>
      <c r="N1689"/>
      <c r="O1689"/>
    </row>
    <row r="1690" spans="1:15" x14ac:dyDescent="0.25">
      <c r="A1690"/>
      <c r="B1690"/>
      <c r="C1690"/>
      <c r="D1690"/>
      <c r="E1690"/>
      <c r="F1690"/>
      <c r="G1690"/>
      <c r="H1690"/>
      <c r="I1690"/>
      <c r="J1690"/>
      <c r="K1690"/>
      <c r="L1690"/>
      <c r="M1690"/>
      <c r="N1690"/>
      <c r="O1690"/>
    </row>
    <row r="1691" spans="1:15" x14ac:dyDescent="0.25">
      <c r="A1691"/>
      <c r="B1691"/>
      <c r="C1691"/>
      <c r="D1691"/>
      <c r="E1691"/>
      <c r="F1691"/>
      <c r="G1691"/>
      <c r="H1691"/>
      <c r="I1691"/>
      <c r="J1691"/>
      <c r="K1691"/>
      <c r="L1691"/>
      <c r="M1691"/>
      <c r="N1691"/>
      <c r="O1691"/>
    </row>
    <row r="1692" spans="1:15" x14ac:dyDescent="0.25">
      <c r="A1692"/>
      <c r="B1692"/>
      <c r="C1692"/>
      <c r="D1692"/>
      <c r="E1692"/>
      <c r="F1692"/>
      <c r="G1692"/>
      <c r="H1692"/>
      <c r="I1692"/>
      <c r="J1692"/>
      <c r="K1692"/>
      <c r="L1692"/>
      <c r="M1692"/>
      <c r="N1692"/>
      <c r="O1692"/>
    </row>
    <row r="1693" spans="1:15" x14ac:dyDescent="0.25">
      <c r="A1693"/>
      <c r="B1693"/>
      <c r="C1693"/>
      <c r="D1693"/>
      <c r="E1693"/>
      <c r="F1693"/>
      <c r="G1693"/>
      <c r="H1693"/>
      <c r="I1693"/>
      <c r="J1693"/>
      <c r="K1693"/>
      <c r="L1693"/>
      <c r="M1693"/>
      <c r="N1693"/>
      <c r="O1693"/>
    </row>
    <row r="1694" spans="1:15" x14ac:dyDescent="0.25">
      <c r="A1694"/>
      <c r="B1694"/>
      <c r="C1694"/>
      <c r="D1694"/>
      <c r="E1694"/>
      <c r="F1694"/>
      <c r="G1694"/>
      <c r="H1694"/>
      <c r="I1694"/>
      <c r="J1694"/>
      <c r="K1694"/>
      <c r="L1694"/>
      <c r="M1694"/>
      <c r="N1694"/>
      <c r="O1694"/>
    </row>
    <row r="1695" spans="1:15" x14ac:dyDescent="0.25">
      <c r="A1695"/>
      <c r="B1695"/>
      <c r="C1695"/>
      <c r="D1695"/>
      <c r="E1695"/>
      <c r="F1695"/>
      <c r="G1695"/>
      <c r="H1695"/>
      <c r="I1695"/>
      <c r="J1695"/>
      <c r="K1695"/>
      <c r="L1695"/>
      <c r="M1695"/>
      <c r="N1695"/>
      <c r="O1695"/>
    </row>
    <row r="1696" spans="1:15" x14ac:dyDescent="0.25">
      <c r="A1696"/>
      <c r="B1696"/>
      <c r="C1696"/>
      <c r="D1696"/>
      <c r="E1696"/>
      <c r="F1696"/>
      <c r="G1696"/>
      <c r="H1696"/>
      <c r="I1696"/>
      <c r="J1696"/>
      <c r="K1696"/>
      <c r="L1696"/>
      <c r="M1696"/>
      <c r="N1696"/>
      <c r="O1696"/>
    </row>
    <row r="1697" spans="1:15" x14ac:dyDescent="0.25">
      <c r="A1697"/>
      <c r="B1697"/>
      <c r="C1697"/>
      <c r="D1697"/>
      <c r="E1697"/>
      <c r="F1697"/>
      <c r="G1697"/>
      <c r="H1697"/>
      <c r="I1697"/>
      <c r="J1697"/>
      <c r="K1697"/>
      <c r="L1697"/>
      <c r="M1697"/>
      <c r="N1697"/>
      <c r="O1697"/>
    </row>
    <row r="1698" spans="1:15" x14ac:dyDescent="0.25">
      <c r="A1698"/>
      <c r="B1698"/>
      <c r="C1698"/>
      <c r="D1698"/>
      <c r="E1698"/>
      <c r="F1698"/>
      <c r="G1698"/>
      <c r="H1698"/>
      <c r="I1698"/>
      <c r="J1698"/>
      <c r="K1698"/>
      <c r="L1698"/>
      <c r="M1698"/>
      <c r="N1698"/>
      <c r="O1698"/>
    </row>
    <row r="1699" spans="1:15" x14ac:dyDescent="0.25">
      <c r="A1699"/>
      <c r="B1699"/>
      <c r="C1699"/>
      <c r="D1699"/>
      <c r="E1699"/>
      <c r="F1699"/>
      <c r="G1699"/>
      <c r="H1699"/>
      <c r="I1699"/>
      <c r="J1699"/>
      <c r="K1699"/>
      <c r="L1699"/>
      <c r="M1699"/>
      <c r="N1699"/>
      <c r="O1699"/>
    </row>
    <row r="1700" spans="1:15" x14ac:dyDescent="0.25">
      <c r="A1700"/>
      <c r="B1700"/>
      <c r="C1700"/>
      <c r="D1700"/>
      <c r="E1700"/>
      <c r="F1700"/>
      <c r="G1700"/>
      <c r="H1700"/>
      <c r="I1700"/>
      <c r="J1700"/>
      <c r="K1700"/>
      <c r="L1700"/>
      <c r="M1700"/>
      <c r="N1700"/>
      <c r="O1700"/>
    </row>
    <row r="1701" spans="1:15" x14ac:dyDescent="0.25">
      <c r="A1701"/>
      <c r="B1701"/>
      <c r="C1701"/>
      <c r="D1701"/>
      <c r="E1701"/>
      <c r="F1701"/>
      <c r="G1701"/>
      <c r="H1701"/>
      <c r="I1701"/>
      <c r="J1701"/>
      <c r="K1701"/>
      <c r="L1701"/>
      <c r="M1701"/>
      <c r="N1701"/>
      <c r="O1701"/>
    </row>
    <row r="1702" spans="1:15" x14ac:dyDescent="0.25">
      <c r="A1702"/>
      <c r="B1702"/>
      <c r="C1702"/>
      <c r="D1702"/>
      <c r="E1702"/>
      <c r="F1702"/>
      <c r="G1702"/>
      <c r="H1702"/>
      <c r="I1702"/>
      <c r="J1702"/>
      <c r="K1702"/>
      <c r="L1702"/>
      <c r="M1702"/>
      <c r="N1702"/>
      <c r="O1702"/>
    </row>
    <row r="1703" spans="1:15" x14ac:dyDescent="0.25">
      <c r="A1703"/>
      <c r="B1703"/>
      <c r="C1703"/>
      <c r="D1703"/>
      <c r="E1703"/>
      <c r="F1703"/>
      <c r="G1703"/>
      <c r="H1703"/>
      <c r="I1703"/>
      <c r="J1703"/>
      <c r="K1703"/>
      <c r="L1703"/>
      <c r="M1703"/>
      <c r="N1703"/>
      <c r="O1703"/>
    </row>
    <row r="1704" spans="1:15" x14ac:dyDescent="0.25">
      <c r="A1704"/>
      <c r="B1704"/>
      <c r="C1704"/>
      <c r="D1704"/>
      <c r="E1704"/>
      <c r="F1704"/>
      <c r="G1704"/>
      <c r="H1704"/>
      <c r="I1704"/>
      <c r="J1704"/>
      <c r="K1704"/>
      <c r="L1704"/>
      <c r="M1704"/>
      <c r="N1704"/>
      <c r="O1704"/>
    </row>
    <row r="1705" spans="1:15" x14ac:dyDescent="0.25">
      <c r="A1705"/>
      <c r="B1705"/>
      <c r="C1705"/>
      <c r="D1705"/>
      <c r="E1705"/>
      <c r="F1705"/>
      <c r="G1705"/>
      <c r="H1705"/>
      <c r="I1705"/>
      <c r="J1705"/>
      <c r="K1705"/>
      <c r="L1705"/>
      <c r="M1705"/>
      <c r="N1705"/>
      <c r="O1705"/>
    </row>
    <row r="1706" spans="1:15" x14ac:dyDescent="0.25">
      <c r="A1706"/>
      <c r="B1706"/>
      <c r="C1706"/>
      <c r="D1706"/>
      <c r="E1706"/>
      <c r="F1706"/>
      <c r="G1706"/>
      <c r="H1706"/>
      <c r="I1706"/>
      <c r="J1706"/>
      <c r="K1706"/>
      <c r="L1706"/>
      <c r="M1706"/>
      <c r="N1706"/>
      <c r="O1706"/>
    </row>
    <row r="1707" spans="1:15" x14ac:dyDescent="0.25">
      <c r="A1707"/>
      <c r="B1707"/>
      <c r="C1707"/>
      <c r="D1707"/>
      <c r="E1707"/>
      <c r="F1707"/>
      <c r="G1707"/>
      <c r="H1707"/>
      <c r="I1707"/>
      <c r="J1707"/>
      <c r="K1707"/>
      <c r="L1707"/>
      <c r="M1707"/>
      <c r="N1707"/>
      <c r="O1707"/>
    </row>
    <row r="1708" spans="1:15" x14ac:dyDescent="0.25">
      <c r="A1708"/>
      <c r="B1708"/>
      <c r="C1708"/>
      <c r="D1708"/>
      <c r="E1708"/>
      <c r="F1708"/>
      <c r="G1708"/>
      <c r="H1708"/>
      <c r="I1708"/>
      <c r="J1708"/>
      <c r="K1708"/>
      <c r="L1708"/>
      <c r="M1708"/>
      <c r="N1708"/>
      <c r="O1708"/>
    </row>
    <row r="1709" spans="1:15" x14ac:dyDescent="0.25">
      <c r="A1709"/>
      <c r="B1709"/>
      <c r="C1709"/>
      <c r="D1709"/>
      <c r="E1709"/>
      <c r="F1709"/>
      <c r="G1709"/>
      <c r="H1709"/>
      <c r="I1709"/>
      <c r="J1709"/>
      <c r="K1709"/>
      <c r="L1709"/>
      <c r="M1709"/>
      <c r="N1709"/>
      <c r="O1709"/>
    </row>
    <row r="1710" spans="1:15" x14ac:dyDescent="0.25">
      <c r="A1710"/>
      <c r="B1710"/>
      <c r="C1710"/>
      <c r="D1710"/>
      <c r="E1710"/>
      <c r="F1710"/>
      <c r="G1710"/>
      <c r="H1710"/>
      <c r="I1710"/>
      <c r="J1710"/>
      <c r="K1710"/>
      <c r="L1710"/>
      <c r="M1710"/>
      <c r="N1710"/>
      <c r="O1710"/>
    </row>
    <row r="1711" spans="1:15" x14ac:dyDescent="0.25">
      <c r="A1711"/>
      <c r="B1711"/>
      <c r="C1711"/>
      <c r="D1711"/>
      <c r="E1711"/>
      <c r="F1711"/>
      <c r="G1711"/>
      <c r="H1711"/>
      <c r="I1711"/>
      <c r="J1711"/>
      <c r="K1711"/>
      <c r="L1711"/>
      <c r="M1711"/>
      <c r="N1711"/>
      <c r="O1711"/>
    </row>
    <row r="1712" spans="1:15" x14ac:dyDescent="0.25">
      <c r="A1712"/>
      <c r="B1712"/>
      <c r="C1712"/>
      <c r="D1712"/>
      <c r="E1712"/>
      <c r="F1712"/>
      <c r="G1712"/>
      <c r="H1712"/>
      <c r="I1712"/>
      <c r="J1712"/>
      <c r="K1712"/>
      <c r="L1712"/>
      <c r="M1712"/>
      <c r="N1712"/>
      <c r="O1712"/>
    </row>
    <row r="1713" spans="1:15" x14ac:dyDescent="0.25">
      <c r="A1713"/>
      <c r="B1713"/>
      <c r="C1713"/>
      <c r="D1713"/>
      <c r="E1713"/>
      <c r="F1713"/>
      <c r="G1713"/>
      <c r="H1713"/>
      <c r="I1713"/>
      <c r="J1713"/>
      <c r="K1713"/>
      <c r="L1713"/>
      <c r="M1713"/>
      <c r="N1713"/>
      <c r="O1713"/>
    </row>
    <row r="1714" spans="1:15" x14ac:dyDescent="0.25">
      <c r="A1714"/>
      <c r="B1714"/>
      <c r="C1714"/>
      <c r="D1714"/>
      <c r="E1714"/>
      <c r="F1714"/>
      <c r="G1714"/>
      <c r="H1714"/>
      <c r="I1714"/>
      <c r="J1714"/>
      <c r="K1714"/>
      <c r="L1714"/>
      <c r="M1714"/>
      <c r="N1714"/>
      <c r="O1714"/>
    </row>
    <row r="1715" spans="1:15" x14ac:dyDescent="0.25">
      <c r="A1715"/>
      <c r="B1715"/>
      <c r="C1715"/>
      <c r="D1715"/>
      <c r="E1715"/>
      <c r="F1715"/>
      <c r="G1715"/>
      <c r="H1715"/>
      <c r="I1715"/>
      <c r="J1715"/>
      <c r="K1715"/>
      <c r="L1715"/>
      <c r="M1715"/>
      <c r="N1715"/>
      <c r="O1715"/>
    </row>
    <row r="1716" spans="1:15" x14ac:dyDescent="0.25">
      <c r="A1716"/>
      <c r="B1716"/>
      <c r="C1716"/>
      <c r="D1716"/>
      <c r="E1716"/>
      <c r="F1716"/>
      <c r="G1716"/>
      <c r="H1716"/>
      <c r="I1716"/>
      <c r="J1716"/>
      <c r="K1716"/>
      <c r="L1716"/>
      <c r="M1716"/>
      <c r="N1716"/>
      <c r="O1716"/>
    </row>
    <row r="1717" spans="1:15" x14ac:dyDescent="0.25">
      <c r="A1717"/>
      <c r="B1717"/>
      <c r="C1717"/>
      <c r="D1717"/>
      <c r="E1717"/>
      <c r="F1717"/>
      <c r="G1717"/>
      <c r="H1717"/>
      <c r="I1717"/>
      <c r="J1717"/>
      <c r="K1717"/>
      <c r="L1717"/>
      <c r="M1717"/>
      <c r="N1717"/>
      <c r="O1717"/>
    </row>
    <row r="1718" spans="1:15" x14ac:dyDescent="0.25">
      <c r="A1718"/>
      <c r="B1718"/>
      <c r="C1718"/>
      <c r="D1718"/>
      <c r="E1718"/>
      <c r="F1718"/>
      <c r="G1718"/>
      <c r="H1718"/>
      <c r="I1718"/>
      <c r="J1718"/>
      <c r="K1718"/>
      <c r="L1718"/>
      <c r="M1718"/>
      <c r="N1718"/>
      <c r="O1718"/>
    </row>
    <row r="1719" spans="1:15" x14ac:dyDescent="0.25">
      <c r="A1719"/>
      <c r="B1719"/>
      <c r="C1719"/>
      <c r="D1719"/>
      <c r="E1719"/>
      <c r="F1719"/>
      <c r="G1719"/>
      <c r="H1719"/>
      <c r="I1719"/>
      <c r="J1719"/>
      <c r="K1719"/>
      <c r="L1719"/>
      <c r="M1719"/>
      <c r="N1719"/>
      <c r="O1719"/>
    </row>
    <row r="1720" spans="1:15" x14ac:dyDescent="0.25">
      <c r="A1720"/>
      <c r="B1720"/>
      <c r="C1720"/>
      <c r="D1720"/>
      <c r="E1720"/>
      <c r="F1720"/>
      <c r="G1720"/>
      <c r="H1720"/>
      <c r="I1720"/>
      <c r="J1720"/>
      <c r="K1720"/>
      <c r="L1720"/>
      <c r="M1720"/>
      <c r="N1720"/>
      <c r="O1720"/>
    </row>
    <row r="1721" spans="1:15" x14ac:dyDescent="0.25">
      <c r="A1721"/>
      <c r="B1721"/>
      <c r="C1721"/>
      <c r="D1721"/>
      <c r="E1721"/>
      <c r="F1721"/>
      <c r="G1721"/>
      <c r="H1721"/>
      <c r="I1721"/>
      <c r="J1721"/>
      <c r="K1721"/>
      <c r="L1721"/>
      <c r="M1721"/>
      <c r="N1721"/>
      <c r="O1721"/>
    </row>
    <row r="1722" spans="1:15" x14ac:dyDescent="0.25">
      <c r="A1722"/>
      <c r="B1722"/>
      <c r="C1722"/>
      <c r="D1722"/>
      <c r="E1722"/>
      <c r="F1722"/>
      <c r="G1722"/>
      <c r="H1722"/>
      <c r="I1722"/>
      <c r="J1722"/>
      <c r="K1722"/>
      <c r="L1722"/>
      <c r="M1722"/>
      <c r="N1722"/>
      <c r="O1722"/>
    </row>
    <row r="1723" spans="1:15" x14ac:dyDescent="0.25">
      <c r="A1723"/>
      <c r="B1723"/>
      <c r="C1723"/>
      <c r="D1723"/>
      <c r="E1723"/>
      <c r="F1723"/>
      <c r="G1723"/>
      <c r="H1723"/>
      <c r="I1723"/>
      <c r="J1723"/>
      <c r="K1723"/>
      <c r="L1723"/>
      <c r="M1723"/>
      <c r="N1723"/>
      <c r="O1723"/>
    </row>
    <row r="1724" spans="1:15" x14ac:dyDescent="0.25">
      <c r="A1724"/>
      <c r="B1724"/>
      <c r="C1724"/>
      <c r="D1724"/>
      <c r="E1724"/>
      <c r="F1724"/>
      <c r="G1724"/>
      <c r="H1724"/>
      <c r="I1724"/>
      <c r="J1724"/>
      <c r="K1724"/>
      <c r="L1724"/>
      <c r="M1724"/>
      <c r="N1724"/>
      <c r="O1724"/>
    </row>
    <row r="1725" spans="1:15" x14ac:dyDescent="0.25">
      <c r="A1725"/>
      <c r="B1725"/>
      <c r="C1725"/>
      <c r="D1725"/>
      <c r="E1725"/>
      <c r="F1725"/>
      <c r="G1725"/>
      <c r="H1725"/>
      <c r="I1725"/>
      <c r="J1725"/>
      <c r="K1725"/>
      <c r="L1725"/>
      <c r="M1725"/>
      <c r="N1725"/>
      <c r="O1725"/>
    </row>
    <row r="1726" spans="1:15" x14ac:dyDescent="0.25">
      <c r="A1726"/>
      <c r="B1726"/>
      <c r="C1726"/>
      <c r="D1726"/>
      <c r="E1726"/>
      <c r="F1726"/>
      <c r="G1726"/>
      <c r="H1726"/>
      <c r="I1726"/>
      <c r="J1726"/>
      <c r="K1726"/>
      <c r="L1726"/>
      <c r="M1726"/>
      <c r="N1726"/>
      <c r="O1726"/>
    </row>
    <row r="1727" spans="1:15" x14ac:dyDescent="0.25">
      <c r="A1727"/>
      <c r="B1727"/>
      <c r="C1727"/>
      <c r="D1727"/>
      <c r="E1727"/>
      <c r="F1727"/>
      <c r="G1727"/>
      <c r="H1727"/>
      <c r="I1727"/>
      <c r="J1727"/>
      <c r="K1727"/>
      <c r="L1727"/>
      <c r="M1727"/>
      <c r="N1727"/>
      <c r="O1727"/>
    </row>
    <row r="1728" spans="1:15" x14ac:dyDescent="0.25">
      <c r="A1728"/>
      <c r="B1728"/>
      <c r="C1728"/>
      <c r="D1728"/>
      <c r="E1728"/>
      <c r="F1728"/>
      <c r="G1728"/>
      <c r="H1728"/>
      <c r="I1728"/>
      <c r="J1728"/>
      <c r="K1728"/>
      <c r="L1728"/>
      <c r="M1728"/>
      <c r="N1728"/>
      <c r="O1728"/>
    </row>
    <row r="1729" spans="1:15" x14ac:dyDescent="0.25">
      <c r="A1729"/>
      <c r="B1729"/>
      <c r="C1729"/>
      <c r="D1729"/>
      <c r="E1729"/>
      <c r="F1729"/>
      <c r="G1729"/>
      <c r="H1729"/>
      <c r="I1729"/>
      <c r="J1729"/>
      <c r="K1729"/>
      <c r="L1729"/>
      <c r="M1729"/>
      <c r="N1729"/>
      <c r="O1729"/>
    </row>
    <row r="1730" spans="1:15" x14ac:dyDescent="0.25">
      <c r="A1730"/>
      <c r="B1730"/>
      <c r="C1730"/>
      <c r="D1730"/>
      <c r="E1730"/>
      <c r="F1730"/>
      <c r="G1730"/>
      <c r="H1730"/>
      <c r="I1730"/>
      <c r="J1730"/>
      <c r="K1730"/>
      <c r="L1730"/>
      <c r="M1730"/>
      <c r="N1730"/>
      <c r="O1730"/>
    </row>
    <row r="1731" spans="1:15" x14ac:dyDescent="0.25">
      <c r="A1731"/>
      <c r="B1731"/>
      <c r="C1731"/>
      <c r="D1731"/>
      <c r="E1731"/>
      <c r="F1731"/>
      <c r="G1731"/>
      <c r="H1731"/>
      <c r="I1731"/>
      <c r="J1731"/>
      <c r="K1731"/>
      <c r="L1731"/>
      <c r="M1731"/>
      <c r="N1731"/>
      <c r="O1731"/>
    </row>
    <row r="1732" spans="1:15" x14ac:dyDescent="0.25">
      <c r="A1732"/>
      <c r="B1732"/>
      <c r="C1732"/>
      <c r="D1732"/>
      <c r="E1732"/>
      <c r="F1732"/>
      <c r="G1732"/>
      <c r="H1732"/>
      <c r="I1732"/>
      <c r="J1732"/>
      <c r="K1732"/>
      <c r="L1732"/>
      <c r="M1732"/>
      <c r="N1732"/>
      <c r="O1732"/>
    </row>
    <row r="1733" spans="1:15" x14ac:dyDescent="0.25">
      <c r="A1733"/>
      <c r="B1733"/>
      <c r="C1733"/>
      <c r="D1733"/>
      <c r="E1733"/>
      <c r="F1733"/>
      <c r="G1733"/>
      <c r="H1733"/>
      <c r="I1733"/>
      <c r="J1733"/>
      <c r="K1733"/>
      <c r="L1733"/>
      <c r="M1733"/>
      <c r="N1733"/>
      <c r="O1733"/>
    </row>
    <row r="1734" spans="1:15" x14ac:dyDescent="0.25">
      <c r="A1734"/>
      <c r="B1734"/>
      <c r="C1734"/>
      <c r="D1734"/>
      <c r="E1734"/>
      <c r="F1734"/>
      <c r="G1734"/>
      <c r="H1734"/>
      <c r="I1734"/>
      <c r="J1734"/>
      <c r="K1734"/>
      <c r="L1734"/>
      <c r="M1734"/>
      <c r="N1734"/>
      <c r="O1734"/>
    </row>
    <row r="1735" spans="1:15" x14ac:dyDescent="0.25">
      <c r="A1735"/>
      <c r="B1735"/>
      <c r="C1735"/>
      <c r="D1735"/>
      <c r="E1735"/>
      <c r="F1735"/>
      <c r="G1735"/>
      <c r="H1735"/>
      <c r="I1735"/>
      <c r="J1735"/>
      <c r="K1735"/>
      <c r="L1735"/>
      <c r="M1735"/>
      <c r="N1735"/>
      <c r="O1735"/>
    </row>
    <row r="1736" spans="1:15" x14ac:dyDescent="0.25">
      <c r="A1736"/>
      <c r="B1736"/>
      <c r="C1736"/>
      <c r="D1736"/>
      <c r="E1736"/>
      <c r="F1736"/>
      <c r="G1736"/>
      <c r="H1736"/>
      <c r="I1736"/>
      <c r="J1736"/>
      <c r="K1736"/>
      <c r="L1736"/>
      <c r="M1736"/>
      <c r="N1736"/>
      <c r="O1736"/>
    </row>
    <row r="1737" spans="1:15" x14ac:dyDescent="0.25">
      <c r="A1737"/>
      <c r="B1737"/>
      <c r="C1737"/>
      <c r="D1737"/>
      <c r="E1737"/>
      <c r="F1737"/>
      <c r="G1737"/>
      <c r="H1737"/>
      <c r="I1737"/>
      <c r="J1737"/>
      <c r="K1737"/>
      <c r="L1737"/>
      <c r="M1737"/>
      <c r="N1737"/>
      <c r="O1737"/>
    </row>
    <row r="1738" spans="1:15" x14ac:dyDescent="0.25">
      <c r="A1738"/>
      <c r="B1738"/>
      <c r="C1738"/>
      <c r="D1738"/>
      <c r="E1738"/>
      <c r="F1738"/>
      <c r="G1738"/>
      <c r="H1738"/>
      <c r="I1738"/>
      <c r="J1738"/>
      <c r="K1738"/>
      <c r="L1738"/>
      <c r="M1738"/>
      <c r="N1738"/>
      <c r="O1738"/>
    </row>
    <row r="1739" spans="1:15" x14ac:dyDescent="0.25">
      <c r="A1739"/>
      <c r="B1739"/>
      <c r="C1739"/>
      <c r="D1739"/>
      <c r="E1739"/>
      <c r="F1739"/>
      <c r="G1739"/>
      <c r="H1739"/>
      <c r="I1739"/>
      <c r="J1739"/>
      <c r="K1739"/>
      <c r="L1739"/>
      <c r="M1739"/>
      <c r="N1739"/>
      <c r="O1739"/>
    </row>
    <row r="1740" spans="1:15" x14ac:dyDescent="0.25">
      <c r="A1740"/>
      <c r="B1740"/>
      <c r="C1740"/>
      <c r="D1740"/>
      <c r="E1740"/>
      <c r="F1740"/>
      <c r="G1740"/>
      <c r="H1740"/>
      <c r="I1740"/>
      <c r="J1740"/>
      <c r="K1740"/>
      <c r="L1740"/>
      <c r="M1740"/>
      <c r="N1740"/>
      <c r="O1740"/>
    </row>
    <row r="1741" spans="1:15" x14ac:dyDescent="0.25">
      <c r="A1741"/>
      <c r="B1741"/>
      <c r="C1741"/>
      <c r="D1741"/>
      <c r="E1741"/>
      <c r="F1741"/>
      <c r="G1741"/>
      <c r="H1741"/>
      <c r="I1741"/>
      <c r="J1741"/>
      <c r="K1741"/>
      <c r="L1741"/>
      <c r="M1741"/>
      <c r="N1741"/>
      <c r="O1741"/>
    </row>
    <row r="1742" spans="1:15" x14ac:dyDescent="0.25">
      <c r="A1742"/>
      <c r="B1742"/>
      <c r="C1742"/>
      <c r="D1742"/>
      <c r="E1742"/>
      <c r="F1742"/>
      <c r="G1742"/>
      <c r="H1742"/>
      <c r="I1742"/>
      <c r="J1742"/>
      <c r="K1742"/>
      <c r="L1742"/>
      <c r="M1742"/>
      <c r="N1742"/>
      <c r="O1742"/>
    </row>
    <row r="1743" spans="1:15" x14ac:dyDescent="0.25">
      <c r="A1743"/>
      <c r="B1743"/>
      <c r="C1743"/>
      <c r="D1743"/>
      <c r="E1743"/>
      <c r="F1743"/>
      <c r="G1743"/>
      <c r="H1743"/>
      <c r="I1743"/>
      <c r="J1743"/>
      <c r="K1743"/>
      <c r="L1743"/>
      <c r="M1743"/>
      <c r="N1743"/>
      <c r="O1743"/>
    </row>
    <row r="1744" spans="1:15" x14ac:dyDescent="0.25">
      <c r="A1744"/>
      <c r="B1744"/>
      <c r="C1744"/>
      <c r="D1744"/>
      <c r="E1744"/>
      <c r="F1744"/>
      <c r="G1744"/>
      <c r="H1744"/>
      <c r="I1744"/>
      <c r="J1744"/>
      <c r="K1744"/>
      <c r="L1744"/>
      <c r="M1744"/>
      <c r="N1744"/>
      <c r="O1744"/>
    </row>
    <row r="1745" spans="1:15" x14ac:dyDescent="0.25">
      <c r="A1745"/>
      <c r="B1745"/>
      <c r="C1745"/>
      <c r="D1745"/>
      <c r="E1745"/>
      <c r="F1745"/>
      <c r="G1745"/>
      <c r="H1745"/>
      <c r="I1745"/>
      <c r="J1745"/>
      <c r="K1745"/>
      <c r="L1745"/>
      <c r="M1745"/>
      <c r="N1745"/>
      <c r="O1745"/>
    </row>
    <row r="1746" spans="1:15" x14ac:dyDescent="0.25">
      <c r="A1746"/>
      <c r="B1746"/>
      <c r="C1746"/>
      <c r="D1746"/>
      <c r="E1746"/>
      <c r="F1746"/>
      <c r="G1746"/>
      <c r="H1746"/>
      <c r="I1746"/>
      <c r="J1746"/>
      <c r="K1746"/>
      <c r="L1746"/>
      <c r="M1746"/>
      <c r="N1746"/>
      <c r="O1746"/>
    </row>
    <row r="1747" spans="1:15" x14ac:dyDescent="0.25">
      <c r="A1747"/>
      <c r="B1747"/>
      <c r="C1747"/>
      <c r="D1747"/>
      <c r="E1747"/>
      <c r="F1747"/>
      <c r="G1747"/>
      <c r="H1747"/>
      <c r="I1747"/>
      <c r="J1747"/>
      <c r="K1747"/>
      <c r="L1747"/>
      <c r="M1747"/>
      <c r="N1747"/>
      <c r="O1747"/>
    </row>
    <row r="1748" spans="1:15" x14ac:dyDescent="0.25">
      <c r="A1748"/>
      <c r="B1748"/>
      <c r="C1748"/>
      <c r="D1748"/>
      <c r="E1748"/>
      <c r="F1748"/>
      <c r="G1748"/>
      <c r="H1748"/>
      <c r="I1748"/>
      <c r="J1748"/>
      <c r="K1748"/>
      <c r="L1748"/>
      <c r="M1748"/>
      <c r="N1748"/>
      <c r="O1748"/>
    </row>
    <row r="1749" spans="1:15" x14ac:dyDescent="0.25">
      <c r="A1749"/>
      <c r="B1749"/>
      <c r="C1749"/>
      <c r="D1749"/>
      <c r="E1749"/>
      <c r="F1749"/>
      <c r="G1749"/>
      <c r="H1749"/>
      <c r="I1749"/>
      <c r="J1749"/>
      <c r="K1749"/>
      <c r="L1749"/>
      <c r="M1749"/>
      <c r="N1749"/>
      <c r="O1749"/>
    </row>
    <row r="1750" spans="1:15" x14ac:dyDescent="0.25">
      <c r="A1750"/>
      <c r="B1750"/>
      <c r="C1750"/>
      <c r="D1750"/>
      <c r="E1750"/>
      <c r="F1750"/>
      <c r="G1750"/>
      <c r="H1750"/>
      <c r="I1750"/>
      <c r="J1750"/>
      <c r="K1750"/>
      <c r="L1750"/>
      <c r="M1750"/>
      <c r="N1750"/>
      <c r="O1750"/>
    </row>
    <row r="1751" spans="1:15" x14ac:dyDescent="0.25">
      <c r="A1751"/>
      <c r="B1751"/>
      <c r="C1751"/>
      <c r="D1751"/>
      <c r="E1751"/>
      <c r="F1751"/>
      <c r="G1751"/>
      <c r="H1751"/>
      <c r="I1751"/>
      <c r="J1751"/>
      <c r="K1751"/>
      <c r="L1751"/>
      <c r="M1751"/>
      <c r="N1751"/>
      <c r="O1751"/>
    </row>
    <row r="1752" spans="1:15" x14ac:dyDescent="0.25">
      <c r="A1752"/>
      <c r="B1752"/>
      <c r="C1752"/>
      <c r="D1752"/>
      <c r="E1752"/>
      <c r="F1752"/>
      <c r="G1752"/>
      <c r="H1752"/>
      <c r="I1752"/>
      <c r="J1752"/>
      <c r="K1752"/>
      <c r="L1752"/>
      <c r="M1752"/>
      <c r="N1752"/>
      <c r="O1752"/>
    </row>
    <row r="1753" spans="1:15" x14ac:dyDescent="0.25">
      <c r="A1753"/>
      <c r="B1753"/>
      <c r="C1753"/>
      <c r="D1753"/>
      <c r="E1753"/>
      <c r="F1753"/>
      <c r="G1753"/>
      <c r="H1753"/>
      <c r="I1753"/>
      <c r="J1753"/>
      <c r="K1753"/>
      <c r="L1753"/>
      <c r="M1753"/>
      <c r="N1753"/>
      <c r="O1753"/>
    </row>
    <row r="1754" spans="1:15" x14ac:dyDescent="0.25">
      <c r="A1754"/>
      <c r="B1754"/>
      <c r="C1754"/>
      <c r="D1754"/>
      <c r="E1754"/>
      <c r="F1754"/>
      <c r="G1754"/>
      <c r="H1754"/>
      <c r="I1754"/>
      <c r="J1754"/>
      <c r="K1754"/>
      <c r="L1754"/>
      <c r="M1754"/>
      <c r="N1754"/>
      <c r="O1754"/>
    </row>
    <row r="1755" spans="1:15" x14ac:dyDescent="0.25">
      <c r="A1755"/>
      <c r="B1755"/>
      <c r="C1755"/>
      <c r="D1755"/>
      <c r="E1755"/>
      <c r="F1755"/>
      <c r="G1755"/>
      <c r="H1755"/>
      <c r="I1755"/>
      <c r="J1755"/>
      <c r="K1755"/>
      <c r="L1755"/>
      <c r="M1755"/>
      <c r="N1755"/>
      <c r="O1755"/>
    </row>
    <row r="1756" spans="1:15" x14ac:dyDescent="0.25">
      <c r="A1756"/>
      <c r="B1756"/>
      <c r="C1756"/>
      <c r="D1756"/>
      <c r="E1756"/>
      <c r="F1756"/>
      <c r="G1756"/>
      <c r="H1756"/>
      <c r="I1756"/>
      <c r="J1756"/>
      <c r="K1756"/>
      <c r="L1756"/>
      <c r="M1756"/>
      <c r="N1756"/>
      <c r="O1756"/>
    </row>
    <row r="1757" spans="1:15" x14ac:dyDescent="0.25">
      <c r="A1757"/>
      <c r="B1757"/>
      <c r="C1757"/>
      <c r="D1757"/>
      <c r="E1757"/>
      <c r="F1757"/>
      <c r="G1757"/>
      <c r="H1757"/>
      <c r="I1757"/>
      <c r="J1757"/>
      <c r="K1757"/>
      <c r="L1757"/>
      <c r="M1757"/>
      <c r="N1757"/>
      <c r="O1757"/>
    </row>
    <row r="1758" spans="1:15" x14ac:dyDescent="0.25">
      <c r="A1758"/>
      <c r="B1758"/>
      <c r="C1758"/>
      <c r="D1758"/>
      <c r="E1758"/>
      <c r="F1758"/>
      <c r="G1758"/>
      <c r="H1758"/>
      <c r="I1758"/>
      <c r="J1758"/>
      <c r="K1758"/>
      <c r="L1758"/>
      <c r="M1758"/>
      <c r="N1758"/>
      <c r="O1758"/>
    </row>
    <row r="1759" spans="1:15" x14ac:dyDescent="0.25">
      <c r="A1759"/>
      <c r="B1759"/>
      <c r="C1759"/>
      <c r="D1759"/>
      <c r="E1759"/>
      <c r="F1759"/>
      <c r="G1759"/>
      <c r="H1759"/>
      <c r="I1759"/>
      <c r="J1759"/>
      <c r="K1759"/>
      <c r="L1759"/>
      <c r="M1759"/>
      <c r="N1759"/>
      <c r="O1759"/>
    </row>
    <row r="1760" spans="1:15" x14ac:dyDescent="0.25">
      <c r="A1760"/>
      <c r="B1760"/>
      <c r="C1760"/>
      <c r="D1760"/>
      <c r="E1760"/>
      <c r="F1760"/>
      <c r="G1760"/>
      <c r="H1760"/>
      <c r="I1760"/>
      <c r="J1760"/>
      <c r="K1760"/>
      <c r="L1760"/>
      <c r="M1760"/>
      <c r="N1760"/>
      <c r="O1760"/>
    </row>
    <row r="1761" spans="1:15" x14ac:dyDescent="0.25">
      <c r="A1761"/>
      <c r="B1761"/>
      <c r="C1761"/>
      <c r="D1761"/>
      <c r="E1761"/>
      <c r="F1761"/>
      <c r="G1761"/>
      <c r="H1761"/>
      <c r="I1761"/>
      <c r="J1761"/>
      <c r="K1761"/>
      <c r="L1761"/>
      <c r="M1761"/>
      <c r="N1761"/>
      <c r="O1761"/>
    </row>
    <row r="1762" spans="1:15" x14ac:dyDescent="0.25">
      <c r="A1762"/>
      <c r="B1762"/>
      <c r="C1762"/>
      <c r="D1762"/>
      <c r="E1762"/>
      <c r="F1762"/>
      <c r="G1762"/>
      <c r="H1762"/>
      <c r="I1762"/>
      <c r="J1762"/>
      <c r="K1762"/>
      <c r="L1762"/>
      <c r="M1762"/>
      <c r="N1762"/>
      <c r="O1762"/>
    </row>
    <row r="1763" spans="1:15" x14ac:dyDescent="0.25">
      <c r="A1763"/>
      <c r="B1763"/>
      <c r="C1763"/>
      <c r="D1763"/>
      <c r="E1763"/>
      <c r="F1763"/>
      <c r="G1763"/>
      <c r="H1763"/>
      <c r="I1763"/>
      <c r="J1763"/>
      <c r="K1763"/>
      <c r="L1763"/>
      <c r="M1763"/>
      <c r="N1763"/>
      <c r="O1763"/>
    </row>
    <row r="1764" spans="1:15" x14ac:dyDescent="0.25">
      <c r="A1764"/>
      <c r="B1764"/>
      <c r="C1764"/>
      <c r="D1764"/>
      <c r="E1764"/>
      <c r="F1764"/>
      <c r="G1764"/>
      <c r="H1764"/>
      <c r="I1764"/>
      <c r="J1764"/>
      <c r="K1764"/>
      <c r="L1764"/>
      <c r="M1764"/>
      <c r="N1764"/>
      <c r="O1764"/>
    </row>
    <row r="1765" spans="1:15" x14ac:dyDescent="0.25">
      <c r="A1765"/>
      <c r="B1765"/>
      <c r="C1765"/>
      <c r="D1765"/>
      <c r="E1765"/>
      <c r="F1765"/>
      <c r="G1765"/>
      <c r="H1765"/>
      <c r="I1765"/>
      <c r="J1765"/>
      <c r="K1765"/>
      <c r="L1765"/>
      <c r="M1765"/>
      <c r="N1765"/>
      <c r="O1765"/>
    </row>
    <row r="1766" spans="1:15" x14ac:dyDescent="0.25">
      <c r="A1766"/>
      <c r="B1766"/>
      <c r="C1766"/>
      <c r="D1766"/>
      <c r="E1766"/>
      <c r="F1766"/>
      <c r="G1766"/>
      <c r="H1766"/>
      <c r="I1766"/>
      <c r="J1766"/>
      <c r="K1766"/>
      <c r="L1766"/>
      <c r="M1766"/>
      <c r="N1766"/>
      <c r="O1766"/>
    </row>
    <row r="1767" spans="1:15" x14ac:dyDescent="0.25">
      <c r="A1767"/>
      <c r="B1767"/>
      <c r="C1767"/>
      <c r="D1767"/>
      <c r="E1767"/>
      <c r="F1767"/>
      <c r="G1767"/>
      <c r="H1767"/>
      <c r="I1767"/>
      <c r="J1767"/>
      <c r="K1767"/>
      <c r="L1767"/>
      <c r="M1767"/>
      <c r="N1767"/>
      <c r="O1767"/>
    </row>
    <row r="1768" spans="1:15" x14ac:dyDescent="0.25">
      <c r="A1768"/>
      <c r="B1768"/>
      <c r="C1768"/>
      <c r="D1768"/>
      <c r="E1768"/>
      <c r="F1768"/>
      <c r="G1768"/>
      <c r="H1768"/>
      <c r="I1768"/>
      <c r="J1768"/>
      <c r="K1768"/>
      <c r="L1768"/>
      <c r="M1768"/>
      <c r="N1768"/>
      <c r="O1768"/>
    </row>
    <row r="1769" spans="1:15" x14ac:dyDescent="0.25">
      <c r="A1769"/>
      <c r="B1769"/>
      <c r="C1769"/>
      <c r="D1769"/>
      <c r="E1769"/>
      <c r="F1769"/>
      <c r="G1769"/>
      <c r="H1769"/>
      <c r="I1769"/>
      <c r="J1769"/>
      <c r="K1769"/>
      <c r="L1769"/>
      <c r="M1769"/>
      <c r="N1769"/>
      <c r="O1769"/>
    </row>
    <row r="1770" spans="1:15" x14ac:dyDescent="0.25">
      <c r="A1770"/>
      <c r="B1770"/>
      <c r="C1770"/>
      <c r="D1770"/>
      <c r="E1770"/>
      <c r="F1770"/>
      <c r="G1770"/>
      <c r="H1770"/>
      <c r="I1770"/>
      <c r="J1770"/>
      <c r="K1770"/>
      <c r="L1770"/>
      <c r="M1770"/>
      <c r="N1770"/>
      <c r="O1770"/>
    </row>
    <row r="1771" spans="1:15" x14ac:dyDescent="0.25">
      <c r="A1771"/>
      <c r="B1771"/>
      <c r="C1771"/>
      <c r="D1771"/>
      <c r="E1771"/>
      <c r="F1771"/>
      <c r="G1771"/>
      <c r="H1771"/>
      <c r="I1771"/>
      <c r="J1771"/>
      <c r="K1771"/>
      <c r="L1771"/>
      <c r="M1771"/>
      <c r="N1771"/>
      <c r="O1771"/>
    </row>
    <row r="1772" spans="1:15" x14ac:dyDescent="0.25">
      <c r="A1772"/>
      <c r="B1772"/>
      <c r="C1772"/>
      <c r="D1772"/>
      <c r="E1772"/>
      <c r="F1772"/>
      <c r="G1772"/>
      <c r="H1772"/>
      <c r="I1772"/>
      <c r="J1772"/>
      <c r="K1772"/>
      <c r="L1772"/>
      <c r="M1772"/>
      <c r="N1772"/>
      <c r="O1772"/>
    </row>
    <row r="1773" spans="1:15" x14ac:dyDescent="0.25">
      <c r="A1773"/>
      <c r="B1773"/>
      <c r="C1773"/>
      <c r="D1773"/>
      <c r="E1773"/>
      <c r="F1773"/>
      <c r="G1773"/>
      <c r="H1773"/>
      <c r="I1773"/>
      <c r="J1773"/>
      <c r="K1773"/>
      <c r="L1773"/>
      <c r="M1773"/>
      <c r="N1773"/>
      <c r="O1773"/>
    </row>
    <row r="1774" spans="1:15" x14ac:dyDescent="0.25">
      <c r="A1774"/>
      <c r="B1774"/>
      <c r="C1774"/>
      <c r="D1774"/>
      <c r="E1774"/>
      <c r="F1774"/>
      <c r="G1774"/>
      <c r="H1774"/>
      <c r="I1774"/>
      <c r="J1774"/>
      <c r="K1774"/>
      <c r="L1774"/>
      <c r="M1774"/>
      <c r="N1774"/>
      <c r="O1774"/>
    </row>
    <row r="1775" spans="1:15" x14ac:dyDescent="0.25">
      <c r="A1775"/>
      <c r="B1775"/>
      <c r="C1775"/>
      <c r="D1775"/>
      <c r="E1775"/>
      <c r="F1775"/>
      <c r="G1775"/>
      <c r="H1775"/>
      <c r="I1775"/>
      <c r="J1775"/>
      <c r="K1775"/>
      <c r="L1775"/>
      <c r="M1775"/>
      <c r="N1775"/>
      <c r="O1775"/>
    </row>
    <row r="1776" spans="1:15" x14ac:dyDescent="0.25">
      <c r="A1776"/>
      <c r="B1776"/>
      <c r="C1776"/>
      <c r="D1776"/>
      <c r="E1776"/>
      <c r="F1776"/>
      <c r="G1776"/>
      <c r="H1776"/>
      <c r="I1776"/>
      <c r="J1776"/>
      <c r="K1776"/>
      <c r="L1776"/>
      <c r="M1776"/>
      <c r="N1776"/>
      <c r="O1776"/>
    </row>
    <row r="1777" spans="1:15" x14ac:dyDescent="0.25">
      <c r="A1777"/>
      <c r="B1777"/>
      <c r="C1777"/>
      <c r="D1777"/>
      <c r="E1777"/>
      <c r="F1777"/>
      <c r="G1777"/>
      <c r="H1777"/>
      <c r="I1777"/>
      <c r="J1777"/>
      <c r="K1777"/>
      <c r="L1777"/>
      <c r="M1777"/>
      <c r="N1777"/>
      <c r="O1777"/>
    </row>
    <row r="1778" spans="1:15" x14ac:dyDescent="0.25">
      <c r="A1778"/>
      <c r="B1778"/>
      <c r="C1778"/>
      <c r="D1778"/>
      <c r="E1778"/>
      <c r="F1778"/>
      <c r="G1778"/>
      <c r="H1778"/>
      <c r="I1778"/>
      <c r="J1778"/>
      <c r="K1778"/>
      <c r="L1778"/>
      <c r="M1778"/>
      <c r="N1778"/>
      <c r="O1778"/>
    </row>
    <row r="1779" spans="1:15" x14ac:dyDescent="0.25">
      <c r="A1779"/>
      <c r="B1779"/>
      <c r="C1779"/>
      <c r="D1779"/>
      <c r="E1779"/>
      <c r="F1779"/>
      <c r="G1779"/>
      <c r="H1779"/>
      <c r="I1779"/>
      <c r="J1779"/>
      <c r="K1779"/>
      <c r="L1779"/>
      <c r="M1779"/>
      <c r="N1779"/>
      <c r="O1779"/>
    </row>
    <row r="1780" spans="1:15" x14ac:dyDescent="0.25">
      <c r="A1780"/>
      <c r="B1780"/>
      <c r="C1780"/>
      <c r="D1780"/>
      <c r="E1780"/>
      <c r="F1780"/>
      <c r="G1780"/>
      <c r="H1780"/>
      <c r="I1780"/>
      <c r="J1780"/>
      <c r="K1780"/>
      <c r="L1780"/>
      <c r="M1780"/>
      <c r="N1780"/>
      <c r="O1780"/>
    </row>
    <row r="1781" spans="1:15" x14ac:dyDescent="0.25">
      <c r="A1781"/>
      <c r="B1781"/>
      <c r="C1781"/>
      <c r="D1781"/>
      <c r="E1781"/>
      <c r="F1781"/>
      <c r="G1781"/>
      <c r="H1781"/>
      <c r="I1781"/>
      <c r="J1781"/>
      <c r="K1781"/>
      <c r="L1781"/>
      <c r="M1781"/>
      <c r="N1781"/>
      <c r="O1781"/>
    </row>
    <row r="1782" spans="1:15" x14ac:dyDescent="0.25">
      <c r="A1782"/>
      <c r="B1782"/>
      <c r="C1782"/>
      <c r="D1782"/>
      <c r="E1782"/>
      <c r="F1782"/>
      <c r="G1782"/>
      <c r="H1782"/>
      <c r="I1782"/>
      <c r="J1782"/>
      <c r="K1782"/>
      <c r="L1782"/>
      <c r="M1782"/>
      <c r="N1782"/>
      <c r="O1782"/>
    </row>
    <row r="1783" spans="1:15" x14ac:dyDescent="0.25">
      <c r="A1783"/>
      <c r="B1783"/>
      <c r="C1783"/>
      <c r="D1783"/>
      <c r="E1783"/>
      <c r="F1783"/>
      <c r="G1783"/>
      <c r="H1783"/>
      <c r="I1783"/>
      <c r="J1783"/>
      <c r="K1783"/>
      <c r="L1783"/>
      <c r="M1783"/>
      <c r="N1783"/>
      <c r="O1783"/>
    </row>
    <row r="1784" spans="1:15" x14ac:dyDescent="0.25">
      <c r="A1784"/>
      <c r="B1784"/>
      <c r="C1784"/>
      <c r="D1784"/>
      <c r="E1784"/>
      <c r="F1784"/>
      <c r="G1784"/>
      <c r="H1784"/>
      <c r="I1784"/>
      <c r="J1784"/>
      <c r="K1784"/>
      <c r="L1784"/>
      <c r="M1784"/>
      <c r="N1784"/>
      <c r="O1784"/>
    </row>
    <row r="1785" spans="1:15" x14ac:dyDescent="0.25">
      <c r="A1785"/>
      <c r="B1785"/>
      <c r="C1785"/>
      <c r="D1785"/>
      <c r="E1785"/>
      <c r="F1785"/>
      <c r="G1785"/>
      <c r="H1785"/>
      <c r="I1785"/>
      <c r="J1785"/>
      <c r="K1785"/>
      <c r="L1785"/>
      <c r="M1785"/>
      <c r="N1785"/>
      <c r="O1785"/>
    </row>
    <row r="1786" spans="1:15" x14ac:dyDescent="0.25">
      <c r="A1786"/>
      <c r="B1786"/>
      <c r="C1786"/>
      <c r="D1786"/>
      <c r="E1786"/>
      <c r="F1786"/>
      <c r="G1786"/>
      <c r="H1786"/>
      <c r="I1786"/>
      <c r="J1786"/>
      <c r="K1786"/>
      <c r="L1786"/>
      <c r="M1786"/>
      <c r="N1786"/>
      <c r="O1786"/>
    </row>
    <row r="1787" spans="1:15" x14ac:dyDescent="0.25">
      <c r="A1787"/>
      <c r="B1787"/>
      <c r="C1787"/>
      <c r="D1787"/>
      <c r="E1787"/>
      <c r="F1787"/>
      <c r="G1787"/>
      <c r="H1787"/>
      <c r="I1787"/>
      <c r="J1787"/>
      <c r="K1787"/>
      <c r="L1787"/>
      <c r="M1787"/>
      <c r="N1787"/>
      <c r="O1787"/>
    </row>
    <row r="1788" spans="1:15" x14ac:dyDescent="0.25">
      <c r="A1788"/>
      <c r="B1788"/>
      <c r="C1788"/>
      <c r="D1788"/>
      <c r="E1788"/>
      <c r="F1788"/>
      <c r="G1788"/>
      <c r="H1788"/>
      <c r="I1788"/>
      <c r="J1788"/>
      <c r="K1788"/>
      <c r="L1788"/>
      <c r="M1788"/>
      <c r="N1788"/>
      <c r="O1788"/>
    </row>
    <row r="1789" spans="1:15" x14ac:dyDescent="0.25">
      <c r="A1789"/>
      <c r="B1789"/>
      <c r="C1789"/>
      <c r="D1789"/>
      <c r="E1789"/>
      <c r="F1789"/>
      <c r="G1789"/>
      <c r="H1789"/>
      <c r="I1789"/>
      <c r="J1789"/>
      <c r="K1789"/>
      <c r="L1789"/>
      <c r="M1789"/>
      <c r="N1789"/>
      <c r="O1789"/>
    </row>
    <row r="1790" spans="1:15" x14ac:dyDescent="0.25">
      <c r="A1790"/>
      <c r="B1790"/>
      <c r="C1790"/>
      <c r="D1790"/>
      <c r="E1790"/>
      <c r="F1790"/>
      <c r="G1790"/>
      <c r="H1790"/>
      <c r="I1790"/>
      <c r="J1790"/>
      <c r="K1790"/>
      <c r="L1790"/>
      <c r="M1790"/>
      <c r="N1790"/>
      <c r="O1790"/>
    </row>
    <row r="1791" spans="1:15" x14ac:dyDescent="0.25">
      <c r="A1791"/>
      <c r="B1791"/>
      <c r="C1791"/>
      <c r="D1791"/>
      <c r="E1791"/>
      <c r="F1791"/>
      <c r="G1791"/>
      <c r="H1791"/>
      <c r="I1791"/>
      <c r="J1791"/>
      <c r="K1791"/>
      <c r="L1791"/>
      <c r="M1791"/>
      <c r="N1791"/>
      <c r="O1791"/>
    </row>
    <row r="1792" spans="1:15" x14ac:dyDescent="0.25">
      <c r="A1792"/>
      <c r="B1792"/>
      <c r="C1792"/>
      <c r="D1792"/>
      <c r="E1792"/>
      <c r="F1792"/>
      <c r="G1792"/>
      <c r="H1792"/>
      <c r="I1792"/>
      <c r="J1792"/>
      <c r="K1792"/>
      <c r="L1792"/>
      <c r="M1792"/>
      <c r="N1792"/>
      <c r="O1792"/>
    </row>
    <row r="1793" spans="1:15" x14ac:dyDescent="0.25">
      <c r="A1793"/>
      <c r="B1793"/>
      <c r="C1793"/>
      <c r="D1793"/>
      <c r="E1793"/>
      <c r="F1793"/>
      <c r="G1793"/>
      <c r="H1793"/>
      <c r="I1793"/>
      <c r="J1793"/>
      <c r="K1793"/>
      <c r="L1793"/>
      <c r="M1793"/>
      <c r="N1793"/>
      <c r="O1793"/>
    </row>
    <row r="1794" spans="1:15" x14ac:dyDescent="0.25">
      <c r="A1794"/>
      <c r="B1794"/>
      <c r="C1794"/>
      <c r="D1794"/>
      <c r="E1794"/>
      <c r="F1794"/>
      <c r="G1794"/>
      <c r="H1794"/>
      <c r="I1794"/>
      <c r="J1794"/>
      <c r="K1794"/>
      <c r="L1794"/>
      <c r="M1794"/>
      <c r="N1794"/>
      <c r="O1794"/>
    </row>
    <row r="1795" spans="1:15" x14ac:dyDescent="0.25">
      <c r="A1795"/>
      <c r="B1795"/>
      <c r="C1795"/>
      <c r="D1795"/>
      <c r="E1795"/>
      <c r="F1795"/>
      <c r="G1795"/>
      <c r="H1795"/>
      <c r="I1795"/>
      <c r="J1795"/>
      <c r="K1795"/>
      <c r="L1795"/>
      <c r="M1795"/>
      <c r="N1795"/>
      <c r="O1795"/>
    </row>
    <row r="1796" spans="1:15" x14ac:dyDescent="0.25">
      <c r="A1796"/>
      <c r="B1796"/>
      <c r="C1796"/>
      <c r="D1796"/>
      <c r="E1796"/>
      <c r="F1796"/>
      <c r="G1796"/>
      <c r="H1796"/>
      <c r="I1796"/>
      <c r="J1796"/>
      <c r="K1796"/>
      <c r="L1796"/>
      <c r="M1796"/>
      <c r="N1796"/>
      <c r="O1796"/>
    </row>
    <row r="1797" spans="1:15" x14ac:dyDescent="0.25">
      <c r="A1797"/>
      <c r="B1797"/>
      <c r="C1797"/>
      <c r="D1797"/>
      <c r="E1797"/>
      <c r="F1797"/>
      <c r="G1797"/>
      <c r="H1797"/>
      <c r="I1797"/>
      <c r="J1797"/>
      <c r="K1797"/>
      <c r="L1797"/>
      <c r="M1797"/>
      <c r="N1797"/>
      <c r="O1797"/>
    </row>
    <row r="1798" spans="1:15" x14ac:dyDescent="0.25">
      <c r="A1798"/>
      <c r="B1798"/>
      <c r="C1798"/>
      <c r="D1798"/>
      <c r="E1798"/>
      <c r="F1798"/>
      <c r="G1798"/>
      <c r="H1798"/>
      <c r="I1798"/>
      <c r="J1798"/>
      <c r="K1798"/>
      <c r="L1798"/>
      <c r="M1798"/>
      <c r="N1798"/>
      <c r="O1798"/>
    </row>
    <row r="1799" spans="1:15" x14ac:dyDescent="0.25">
      <c r="A1799"/>
      <c r="B1799"/>
      <c r="C1799"/>
      <c r="D1799"/>
      <c r="E1799"/>
      <c r="F1799"/>
      <c r="G1799"/>
      <c r="H1799"/>
      <c r="I1799"/>
      <c r="J1799"/>
      <c r="K1799"/>
      <c r="L1799"/>
      <c r="M1799"/>
      <c r="N1799"/>
      <c r="O1799"/>
    </row>
    <row r="1800" spans="1:15" x14ac:dyDescent="0.25">
      <c r="A1800"/>
      <c r="B1800"/>
      <c r="C1800"/>
      <c r="D1800"/>
      <c r="E1800"/>
      <c r="F1800"/>
      <c r="G1800"/>
      <c r="H1800"/>
      <c r="I1800"/>
      <c r="J1800"/>
      <c r="K1800"/>
      <c r="L1800"/>
      <c r="M1800"/>
      <c r="N1800"/>
      <c r="O1800"/>
    </row>
    <row r="1801" spans="1:15" x14ac:dyDescent="0.25">
      <c r="A1801"/>
      <c r="B1801"/>
      <c r="C1801"/>
      <c r="D1801"/>
      <c r="E1801"/>
      <c r="F1801"/>
      <c r="G1801"/>
      <c r="H1801"/>
      <c r="I1801"/>
      <c r="J1801"/>
      <c r="K1801"/>
      <c r="L1801"/>
      <c r="M1801"/>
      <c r="N1801"/>
      <c r="O1801"/>
    </row>
    <row r="1802" spans="1:15" x14ac:dyDescent="0.25">
      <c r="A1802"/>
      <c r="B1802"/>
      <c r="C1802"/>
      <c r="D1802"/>
      <c r="E1802"/>
      <c r="F1802"/>
      <c r="G1802"/>
      <c r="H1802"/>
      <c r="I1802"/>
      <c r="J1802"/>
      <c r="K1802"/>
      <c r="L1802"/>
      <c r="M1802"/>
      <c r="N1802"/>
      <c r="O1802"/>
    </row>
    <row r="1803" spans="1:15" x14ac:dyDescent="0.25">
      <c r="A1803"/>
      <c r="B1803"/>
      <c r="C1803"/>
      <c r="D1803"/>
      <c r="E1803"/>
      <c r="F1803"/>
      <c r="G1803"/>
      <c r="H1803"/>
      <c r="I1803"/>
      <c r="J1803"/>
      <c r="K1803"/>
      <c r="L1803"/>
      <c r="M1803"/>
      <c r="N1803"/>
      <c r="O1803"/>
    </row>
    <row r="1804" spans="1:15" x14ac:dyDescent="0.25">
      <c r="A1804"/>
      <c r="B1804"/>
      <c r="C1804"/>
      <c r="D1804"/>
      <c r="E1804"/>
      <c r="F1804"/>
      <c r="G1804"/>
      <c r="H1804"/>
      <c r="I1804"/>
      <c r="J1804"/>
      <c r="K1804"/>
      <c r="L1804"/>
      <c r="M1804"/>
      <c r="N1804"/>
      <c r="O1804"/>
    </row>
    <row r="1805" spans="1:15" x14ac:dyDescent="0.25">
      <c r="A1805"/>
      <c r="B1805"/>
      <c r="C1805"/>
      <c r="D1805"/>
      <c r="E1805"/>
      <c r="F1805"/>
      <c r="G1805"/>
      <c r="H1805"/>
      <c r="I1805"/>
      <c r="J1805"/>
      <c r="K1805"/>
      <c r="L1805"/>
      <c r="M1805"/>
      <c r="N1805"/>
      <c r="O1805"/>
    </row>
    <row r="1806" spans="1:15" x14ac:dyDescent="0.25">
      <c r="A1806"/>
      <c r="B1806"/>
      <c r="C1806"/>
      <c r="D1806"/>
      <c r="E1806"/>
      <c r="F1806"/>
      <c r="G1806"/>
      <c r="H1806"/>
      <c r="I1806"/>
      <c r="J1806"/>
      <c r="K1806"/>
      <c r="L1806"/>
      <c r="M1806"/>
      <c r="N1806"/>
      <c r="O1806"/>
    </row>
    <row r="1807" spans="1:15" x14ac:dyDescent="0.25">
      <c r="A1807"/>
      <c r="B1807"/>
      <c r="C1807"/>
      <c r="D1807"/>
      <c r="E1807"/>
      <c r="F1807"/>
      <c r="G1807"/>
      <c r="H1807"/>
      <c r="I1807"/>
      <c r="J1807"/>
      <c r="K1807"/>
      <c r="L1807"/>
      <c r="M1807"/>
      <c r="N1807"/>
      <c r="O1807"/>
    </row>
    <row r="1808" spans="1:15" x14ac:dyDescent="0.25">
      <c r="A1808"/>
      <c r="B1808"/>
      <c r="C1808"/>
      <c r="D1808"/>
      <c r="E1808"/>
      <c r="F1808"/>
      <c r="G1808"/>
      <c r="H1808"/>
      <c r="I1808"/>
      <c r="J1808"/>
      <c r="K1808"/>
      <c r="L1808"/>
      <c r="M1808"/>
      <c r="N1808"/>
      <c r="O1808"/>
    </row>
    <row r="1809" spans="1:15" x14ac:dyDescent="0.25">
      <c r="A1809"/>
      <c r="B1809"/>
      <c r="C1809"/>
      <c r="D1809"/>
      <c r="E1809"/>
      <c r="F1809"/>
      <c r="G1809"/>
      <c r="H1809"/>
      <c r="I1809"/>
      <c r="J1809"/>
      <c r="K1809"/>
      <c r="L1809"/>
      <c r="M1809"/>
      <c r="N1809"/>
      <c r="O1809"/>
    </row>
    <row r="1810" spans="1:15" x14ac:dyDescent="0.25">
      <c r="A1810"/>
      <c r="B1810"/>
      <c r="C1810"/>
      <c r="D1810"/>
      <c r="E1810"/>
      <c r="F1810"/>
      <c r="G1810"/>
      <c r="H1810"/>
      <c r="I1810"/>
      <c r="J1810"/>
      <c r="K1810"/>
      <c r="L1810"/>
      <c r="M1810"/>
      <c r="N1810"/>
      <c r="O1810"/>
    </row>
    <row r="1811" spans="1:15" x14ac:dyDescent="0.25">
      <c r="A1811"/>
      <c r="B1811"/>
      <c r="C1811"/>
      <c r="D1811"/>
      <c r="E1811"/>
      <c r="F1811"/>
      <c r="G1811"/>
      <c r="H1811"/>
      <c r="I1811"/>
      <c r="J1811"/>
      <c r="K1811"/>
      <c r="L1811"/>
      <c r="M1811"/>
      <c r="N1811"/>
      <c r="O1811"/>
    </row>
    <row r="1812" spans="1:15" x14ac:dyDescent="0.25">
      <c r="A1812"/>
      <c r="B1812"/>
      <c r="C1812"/>
      <c r="D1812"/>
      <c r="E1812"/>
      <c r="F1812"/>
      <c r="G1812"/>
      <c r="H1812"/>
      <c r="I1812"/>
      <c r="J1812"/>
      <c r="K1812"/>
      <c r="L1812"/>
      <c r="M1812"/>
      <c r="N1812"/>
      <c r="O1812"/>
    </row>
    <row r="1813" spans="1:15" x14ac:dyDescent="0.25">
      <c r="A1813"/>
      <c r="B1813"/>
      <c r="C1813"/>
      <c r="D1813"/>
      <c r="E1813"/>
      <c r="F1813"/>
      <c r="G1813"/>
      <c r="H1813"/>
      <c r="I1813"/>
      <c r="J1813"/>
      <c r="K1813"/>
      <c r="L1813"/>
      <c r="M1813"/>
      <c r="N1813"/>
      <c r="O1813"/>
    </row>
    <row r="1814" spans="1:15" x14ac:dyDescent="0.25">
      <c r="A1814"/>
      <c r="B1814"/>
      <c r="C1814"/>
      <c r="D1814"/>
      <c r="E1814"/>
      <c r="F1814"/>
      <c r="G1814"/>
      <c r="H1814"/>
      <c r="I1814"/>
      <c r="J1814"/>
      <c r="K1814"/>
      <c r="L1814"/>
      <c r="M1814"/>
      <c r="N1814"/>
      <c r="O1814"/>
    </row>
    <row r="1815" spans="1:15" x14ac:dyDescent="0.25">
      <c r="A1815"/>
      <c r="B1815"/>
      <c r="C1815"/>
      <c r="D1815"/>
      <c r="E1815"/>
      <c r="F1815"/>
      <c r="G1815"/>
      <c r="H1815"/>
      <c r="I1815"/>
      <c r="J1815"/>
      <c r="K1815"/>
      <c r="L1815"/>
      <c r="M1815"/>
      <c r="N1815"/>
      <c r="O1815"/>
    </row>
    <row r="1816" spans="1:15" x14ac:dyDescent="0.25">
      <c r="A1816"/>
      <c r="B1816"/>
      <c r="C1816"/>
      <c r="D1816"/>
      <c r="E1816"/>
      <c r="F1816"/>
      <c r="G1816"/>
      <c r="H1816"/>
      <c r="I1816"/>
      <c r="J1816"/>
      <c r="K1816"/>
      <c r="L1816"/>
      <c r="M1816"/>
      <c r="N1816"/>
      <c r="O1816"/>
    </row>
    <row r="1817" spans="1:15" x14ac:dyDescent="0.25">
      <c r="A1817"/>
      <c r="B1817"/>
      <c r="C1817"/>
      <c r="D1817"/>
      <c r="E1817"/>
      <c r="F1817"/>
      <c r="G1817"/>
      <c r="H1817"/>
      <c r="I1817"/>
      <c r="J1817"/>
      <c r="K1817"/>
      <c r="L1817"/>
      <c r="M1817"/>
      <c r="N1817"/>
      <c r="O1817"/>
    </row>
    <row r="1818" spans="1:15" x14ac:dyDescent="0.25">
      <c r="A1818"/>
      <c r="B1818"/>
      <c r="C1818"/>
      <c r="D1818"/>
      <c r="E1818"/>
      <c r="F1818"/>
      <c r="G1818"/>
      <c r="H1818"/>
      <c r="I1818"/>
      <c r="J1818"/>
      <c r="K1818"/>
      <c r="L1818"/>
      <c r="M1818"/>
      <c r="N1818"/>
      <c r="O1818"/>
    </row>
    <row r="1819" spans="1:15" x14ac:dyDescent="0.25">
      <c r="A1819"/>
      <c r="B1819"/>
      <c r="C1819"/>
      <c r="D1819"/>
      <c r="E1819"/>
      <c r="F1819"/>
      <c r="G1819"/>
      <c r="H1819"/>
      <c r="I1819"/>
      <c r="J1819"/>
      <c r="K1819"/>
      <c r="L1819"/>
      <c r="M1819"/>
      <c r="N1819"/>
      <c r="O1819"/>
    </row>
    <row r="1820" spans="1:15" x14ac:dyDescent="0.25">
      <c r="A1820"/>
      <c r="B1820"/>
      <c r="C1820"/>
      <c r="D1820"/>
      <c r="E1820"/>
      <c r="F1820"/>
      <c r="G1820"/>
      <c r="H1820"/>
      <c r="I1820"/>
      <c r="J1820"/>
      <c r="K1820"/>
      <c r="L1820"/>
      <c r="M1820"/>
      <c r="N1820"/>
      <c r="O1820"/>
    </row>
    <row r="1821" spans="1:15" x14ac:dyDescent="0.25">
      <c r="A1821"/>
      <c r="B1821"/>
      <c r="C1821"/>
      <c r="D1821"/>
      <c r="E1821"/>
      <c r="F1821"/>
      <c r="G1821"/>
      <c r="H1821"/>
      <c r="I1821"/>
      <c r="J1821"/>
      <c r="K1821"/>
      <c r="L1821"/>
      <c r="M1821"/>
      <c r="N1821"/>
      <c r="O1821"/>
    </row>
    <row r="1822" spans="1:15" x14ac:dyDescent="0.25">
      <c r="A1822"/>
      <c r="B1822"/>
      <c r="C1822"/>
      <c r="D1822"/>
      <c r="E1822"/>
      <c r="F1822"/>
      <c r="G1822"/>
      <c r="H1822"/>
      <c r="I1822"/>
      <c r="J1822"/>
      <c r="K1822"/>
      <c r="L1822"/>
      <c r="M1822"/>
      <c r="N1822"/>
      <c r="O1822"/>
    </row>
    <row r="1823" spans="1:15" x14ac:dyDescent="0.25">
      <c r="A1823"/>
      <c r="B1823"/>
      <c r="C1823"/>
      <c r="D1823"/>
      <c r="E1823"/>
      <c r="F1823"/>
      <c r="G1823"/>
      <c r="H1823"/>
      <c r="I1823"/>
      <c r="J1823"/>
      <c r="K1823"/>
      <c r="L1823"/>
      <c r="M1823"/>
      <c r="N1823"/>
      <c r="O1823"/>
    </row>
    <row r="1824" spans="1:15" x14ac:dyDescent="0.25">
      <c r="A1824"/>
      <c r="B1824"/>
      <c r="C1824"/>
      <c r="D1824"/>
      <c r="E1824"/>
      <c r="F1824"/>
      <c r="G1824"/>
      <c r="H1824"/>
      <c r="I1824"/>
      <c r="J1824"/>
      <c r="K1824"/>
      <c r="L1824"/>
      <c r="M1824"/>
      <c r="N1824"/>
      <c r="O1824"/>
    </row>
    <row r="1825" spans="1:15" x14ac:dyDescent="0.25">
      <c r="A1825"/>
      <c r="B1825"/>
      <c r="C1825"/>
      <c r="D1825"/>
      <c r="E1825"/>
      <c r="F1825"/>
      <c r="G1825"/>
      <c r="H1825"/>
      <c r="I1825"/>
      <c r="J1825"/>
      <c r="K1825"/>
      <c r="L1825"/>
      <c r="M1825"/>
      <c r="N1825"/>
      <c r="O1825"/>
    </row>
    <row r="1826" spans="1:15" x14ac:dyDescent="0.25">
      <c r="A1826"/>
      <c r="B1826"/>
      <c r="C1826"/>
      <c r="D1826"/>
      <c r="E1826"/>
      <c r="F1826"/>
      <c r="G1826"/>
      <c r="H1826"/>
      <c r="I1826"/>
      <c r="J1826"/>
      <c r="K1826"/>
      <c r="L1826"/>
      <c r="M1826"/>
      <c r="N1826"/>
      <c r="O1826"/>
    </row>
    <row r="1827" spans="1:15" x14ac:dyDescent="0.25">
      <c r="A1827"/>
      <c r="B1827"/>
      <c r="C1827"/>
      <c r="D1827"/>
      <c r="E1827"/>
      <c r="F1827"/>
      <c r="G1827"/>
      <c r="H1827"/>
      <c r="I1827"/>
      <c r="J1827"/>
      <c r="K1827"/>
      <c r="L1827"/>
      <c r="M1827"/>
      <c r="N1827"/>
      <c r="O1827"/>
    </row>
    <row r="1828" spans="1:15" x14ac:dyDescent="0.25">
      <c r="A1828"/>
      <c r="B1828"/>
      <c r="C1828"/>
      <c r="D1828"/>
      <c r="E1828"/>
      <c r="F1828"/>
      <c r="G1828"/>
      <c r="H1828"/>
      <c r="I1828"/>
      <c r="J1828"/>
      <c r="K1828"/>
      <c r="L1828"/>
      <c r="M1828"/>
      <c r="N1828"/>
      <c r="O1828"/>
    </row>
    <row r="1829" spans="1:15" x14ac:dyDescent="0.25">
      <c r="A1829"/>
      <c r="B1829"/>
      <c r="C1829"/>
      <c r="D1829"/>
      <c r="E1829"/>
      <c r="F1829"/>
      <c r="G1829"/>
      <c r="H1829"/>
      <c r="I1829"/>
      <c r="J1829"/>
      <c r="K1829"/>
      <c r="L1829"/>
      <c r="M1829"/>
      <c r="N1829"/>
      <c r="O1829"/>
    </row>
    <row r="1830" spans="1:15" x14ac:dyDescent="0.25">
      <c r="A1830"/>
      <c r="B1830"/>
      <c r="C1830"/>
      <c r="D1830"/>
      <c r="E1830"/>
      <c r="F1830"/>
      <c r="G1830"/>
      <c r="H1830"/>
      <c r="I1830"/>
      <c r="J1830"/>
      <c r="K1830"/>
      <c r="L1830"/>
      <c r="M1830"/>
      <c r="N1830"/>
      <c r="O1830"/>
    </row>
    <row r="1831" spans="1:15" x14ac:dyDescent="0.25">
      <c r="A1831"/>
      <c r="B1831"/>
      <c r="C1831"/>
      <c r="D1831"/>
      <c r="E1831"/>
      <c r="F1831"/>
      <c r="G1831"/>
      <c r="H1831"/>
      <c r="I1831"/>
      <c r="J1831"/>
      <c r="K1831"/>
      <c r="L1831"/>
      <c r="M1831"/>
      <c r="N1831"/>
      <c r="O1831"/>
    </row>
    <row r="1832" spans="1:15" x14ac:dyDescent="0.25">
      <c r="A1832"/>
      <c r="B1832"/>
      <c r="C1832"/>
      <c r="D1832"/>
      <c r="E1832"/>
      <c r="F1832"/>
      <c r="G1832"/>
      <c r="H1832"/>
      <c r="I1832"/>
      <c r="J1832"/>
      <c r="K1832"/>
      <c r="L1832"/>
      <c r="M1832"/>
      <c r="N1832"/>
      <c r="O1832"/>
    </row>
    <row r="1833" spans="1:15" x14ac:dyDescent="0.25">
      <c r="A1833"/>
      <c r="B1833"/>
      <c r="C1833"/>
      <c r="D1833"/>
      <c r="E1833"/>
      <c r="F1833"/>
      <c r="G1833"/>
      <c r="H1833"/>
      <c r="I1833"/>
      <c r="J1833"/>
      <c r="K1833"/>
      <c r="L1833"/>
      <c r="M1833"/>
      <c r="N1833"/>
      <c r="O1833"/>
    </row>
    <row r="1834" spans="1:15" x14ac:dyDescent="0.25">
      <c r="A1834"/>
      <c r="B1834"/>
      <c r="C1834"/>
      <c r="D1834"/>
      <c r="E1834"/>
      <c r="F1834"/>
      <c r="G1834"/>
      <c r="H1834"/>
      <c r="I1834"/>
      <c r="J1834"/>
      <c r="K1834"/>
      <c r="L1834"/>
      <c r="M1834"/>
      <c r="N1834"/>
      <c r="O1834"/>
    </row>
    <row r="1835" spans="1:15" x14ac:dyDescent="0.25">
      <c r="A1835"/>
      <c r="B1835"/>
      <c r="C1835"/>
      <c r="D1835"/>
      <c r="E1835"/>
      <c r="F1835"/>
      <c r="G1835"/>
      <c r="H1835"/>
      <c r="I1835"/>
      <c r="J1835"/>
      <c r="K1835"/>
      <c r="L1835"/>
      <c r="M1835"/>
      <c r="N1835"/>
      <c r="O1835"/>
    </row>
    <row r="1836" spans="1:15" x14ac:dyDescent="0.25">
      <c r="A1836"/>
      <c r="B1836"/>
      <c r="C1836"/>
      <c r="D1836"/>
      <c r="E1836"/>
      <c r="F1836"/>
      <c r="G1836"/>
      <c r="H1836"/>
      <c r="I1836"/>
      <c r="J1836"/>
      <c r="K1836"/>
      <c r="L1836"/>
      <c r="M1836"/>
      <c r="N1836"/>
      <c r="O1836"/>
    </row>
    <row r="1837" spans="1:15" x14ac:dyDescent="0.25">
      <c r="A1837"/>
      <c r="B1837"/>
      <c r="C1837"/>
      <c r="D1837"/>
      <c r="E1837"/>
      <c r="F1837"/>
      <c r="G1837"/>
      <c r="H1837"/>
      <c r="I1837"/>
      <c r="J1837"/>
      <c r="K1837"/>
      <c r="L1837"/>
      <c r="M1837"/>
      <c r="N1837"/>
      <c r="O1837"/>
    </row>
    <row r="1838" spans="1:15" x14ac:dyDescent="0.25">
      <c r="A1838"/>
      <c r="B1838"/>
      <c r="C1838"/>
      <c r="D1838"/>
      <c r="E1838"/>
      <c r="F1838"/>
      <c r="G1838"/>
      <c r="H1838"/>
      <c r="I1838"/>
      <c r="J1838"/>
      <c r="K1838"/>
      <c r="L1838"/>
      <c r="M1838"/>
      <c r="N1838"/>
      <c r="O1838"/>
    </row>
    <row r="1839" spans="1:15" x14ac:dyDescent="0.25">
      <c r="A1839"/>
      <c r="B1839"/>
      <c r="C1839"/>
      <c r="D1839"/>
      <c r="E1839"/>
      <c r="F1839"/>
      <c r="G1839"/>
      <c r="H1839"/>
      <c r="I1839"/>
      <c r="J1839"/>
      <c r="K1839"/>
      <c r="L1839"/>
      <c r="M1839"/>
      <c r="N1839"/>
      <c r="O1839"/>
    </row>
    <row r="1840" spans="1:15" x14ac:dyDescent="0.25">
      <c r="A1840"/>
      <c r="B1840"/>
      <c r="C1840"/>
      <c r="D1840"/>
      <c r="E1840"/>
      <c r="F1840"/>
      <c r="G1840"/>
      <c r="H1840"/>
      <c r="I1840"/>
      <c r="J1840"/>
      <c r="K1840"/>
      <c r="L1840"/>
      <c r="M1840"/>
      <c r="N1840"/>
      <c r="O1840"/>
    </row>
    <row r="1841" spans="1:15" x14ac:dyDescent="0.25">
      <c r="A1841"/>
      <c r="B1841"/>
      <c r="C1841"/>
      <c r="D1841"/>
      <c r="E1841"/>
      <c r="F1841"/>
      <c r="G1841"/>
      <c r="H1841"/>
      <c r="I1841"/>
      <c r="J1841"/>
      <c r="K1841"/>
      <c r="L1841"/>
      <c r="M1841"/>
      <c r="N1841"/>
      <c r="O1841"/>
    </row>
    <row r="1842" spans="1:15" x14ac:dyDescent="0.25">
      <c r="A1842"/>
      <c r="B1842"/>
      <c r="C1842"/>
      <c r="D1842"/>
      <c r="E1842"/>
      <c r="F1842"/>
      <c r="G1842"/>
      <c r="H1842"/>
      <c r="I1842"/>
      <c r="J1842"/>
      <c r="K1842"/>
      <c r="L1842"/>
      <c r="M1842"/>
      <c r="N1842"/>
      <c r="O1842"/>
    </row>
    <row r="1843" spans="1:15" x14ac:dyDescent="0.25">
      <c r="A1843"/>
      <c r="B1843"/>
      <c r="C1843"/>
      <c r="D1843"/>
      <c r="E1843"/>
      <c r="F1843"/>
      <c r="G1843"/>
      <c r="H1843"/>
      <c r="I1843"/>
      <c r="J1843"/>
      <c r="K1843"/>
      <c r="L1843"/>
      <c r="M1843"/>
      <c r="N1843"/>
      <c r="O1843"/>
    </row>
    <row r="1844" spans="1:15" x14ac:dyDescent="0.25">
      <c r="A1844"/>
      <c r="B1844"/>
      <c r="C1844"/>
      <c r="D1844"/>
      <c r="E1844"/>
      <c r="F1844"/>
      <c r="G1844"/>
      <c r="H1844"/>
      <c r="I1844"/>
      <c r="J1844"/>
      <c r="K1844"/>
      <c r="L1844"/>
      <c r="M1844"/>
      <c r="N1844"/>
      <c r="O1844"/>
    </row>
    <row r="1845" spans="1:15" x14ac:dyDescent="0.25">
      <c r="A1845"/>
      <c r="B1845"/>
      <c r="C1845"/>
      <c r="D1845"/>
      <c r="E1845"/>
      <c r="F1845"/>
      <c r="G1845"/>
      <c r="H1845"/>
      <c r="I1845"/>
      <c r="J1845"/>
      <c r="K1845"/>
      <c r="L1845"/>
      <c r="M1845"/>
      <c r="N1845"/>
      <c r="O1845"/>
    </row>
    <row r="1846" spans="1:15" x14ac:dyDescent="0.25">
      <c r="A1846"/>
      <c r="B1846"/>
      <c r="C1846"/>
      <c r="D1846"/>
      <c r="E1846"/>
      <c r="F1846"/>
      <c r="G1846"/>
      <c r="H1846"/>
      <c r="I1846"/>
      <c r="J1846"/>
      <c r="K1846"/>
      <c r="L1846"/>
      <c r="M1846"/>
      <c r="N1846"/>
      <c r="O1846"/>
    </row>
    <row r="1847" spans="1:15" x14ac:dyDescent="0.25">
      <c r="A1847"/>
      <c r="B1847"/>
      <c r="C1847"/>
      <c r="D1847"/>
      <c r="E1847"/>
      <c r="F1847"/>
      <c r="G1847"/>
      <c r="H1847"/>
      <c r="I1847"/>
      <c r="J1847"/>
      <c r="K1847"/>
      <c r="L1847"/>
      <c r="M1847"/>
      <c r="N1847"/>
      <c r="O1847"/>
    </row>
    <row r="1848" spans="1:15" x14ac:dyDescent="0.25">
      <c r="A1848"/>
      <c r="B1848"/>
      <c r="C1848"/>
      <c r="D1848"/>
      <c r="E1848"/>
      <c r="F1848"/>
      <c r="G1848"/>
      <c r="H1848"/>
      <c r="I1848"/>
      <c r="J1848"/>
      <c r="K1848"/>
      <c r="L1848"/>
      <c r="M1848"/>
      <c r="N1848"/>
      <c r="O1848"/>
    </row>
    <row r="1849" spans="1:15" x14ac:dyDescent="0.25">
      <c r="A1849"/>
      <c r="B1849"/>
      <c r="C1849"/>
      <c r="D1849"/>
      <c r="E1849"/>
      <c r="F1849"/>
      <c r="G1849"/>
      <c r="H1849"/>
      <c r="I1849"/>
      <c r="J1849"/>
      <c r="K1849"/>
      <c r="L1849"/>
      <c r="M1849"/>
      <c r="N1849"/>
      <c r="O1849"/>
    </row>
    <row r="1850" spans="1:15" x14ac:dyDescent="0.25">
      <c r="A1850"/>
      <c r="B1850"/>
      <c r="C1850"/>
      <c r="D1850"/>
      <c r="E1850"/>
      <c r="F1850"/>
      <c r="G1850"/>
      <c r="H1850"/>
      <c r="I1850"/>
      <c r="J1850"/>
      <c r="K1850"/>
      <c r="L1850"/>
      <c r="M1850"/>
      <c r="N1850"/>
      <c r="O1850"/>
    </row>
    <row r="1851" spans="1:15" x14ac:dyDescent="0.25">
      <c r="A1851"/>
      <c r="B1851"/>
      <c r="C1851"/>
      <c r="D1851"/>
      <c r="E1851"/>
      <c r="F1851"/>
      <c r="G1851"/>
      <c r="H1851"/>
      <c r="I1851"/>
      <c r="J1851"/>
      <c r="K1851"/>
      <c r="L1851"/>
      <c r="M1851"/>
      <c r="N1851"/>
      <c r="O1851"/>
    </row>
    <row r="1852" spans="1:15" x14ac:dyDescent="0.25">
      <c r="A1852"/>
      <c r="B1852"/>
      <c r="C1852"/>
      <c r="D1852"/>
      <c r="E1852"/>
      <c r="F1852"/>
      <c r="G1852"/>
      <c r="H1852"/>
      <c r="I1852"/>
      <c r="J1852"/>
      <c r="K1852"/>
      <c r="L1852"/>
      <c r="M1852"/>
      <c r="N1852"/>
      <c r="O1852"/>
    </row>
    <row r="1853" spans="1:15" x14ac:dyDescent="0.25">
      <c r="A1853"/>
      <c r="B1853"/>
      <c r="C1853"/>
      <c r="D1853"/>
      <c r="E1853"/>
      <c r="F1853"/>
      <c r="G1853"/>
      <c r="H1853"/>
      <c r="I1853"/>
      <c r="J1853"/>
      <c r="K1853"/>
      <c r="L1853"/>
      <c r="M1853"/>
      <c r="N1853"/>
      <c r="O1853"/>
    </row>
    <row r="1854" spans="1:15" x14ac:dyDescent="0.25">
      <c r="A1854"/>
      <c r="B1854"/>
      <c r="C1854"/>
      <c r="D1854"/>
      <c r="E1854"/>
      <c r="F1854"/>
      <c r="G1854"/>
      <c r="H1854"/>
      <c r="I1854"/>
      <c r="J1854"/>
      <c r="K1854"/>
      <c r="L1854"/>
      <c r="M1854"/>
      <c r="N1854"/>
      <c r="O1854"/>
    </row>
    <row r="1855" spans="1:15" x14ac:dyDescent="0.25">
      <c r="A1855"/>
      <c r="B1855"/>
      <c r="C1855"/>
      <c r="D1855"/>
      <c r="E1855"/>
      <c r="F1855"/>
      <c r="G1855"/>
      <c r="H1855"/>
      <c r="I1855"/>
      <c r="J1855"/>
      <c r="K1855"/>
      <c r="L1855"/>
      <c r="M1855"/>
      <c r="N1855"/>
      <c r="O1855"/>
    </row>
    <row r="1856" spans="1:15" x14ac:dyDescent="0.25">
      <c r="A1856"/>
      <c r="B1856"/>
      <c r="C1856"/>
      <c r="D1856"/>
      <c r="E1856"/>
      <c r="F1856"/>
      <c r="G1856"/>
      <c r="H1856"/>
      <c r="I1856"/>
      <c r="J1856"/>
      <c r="K1856"/>
      <c r="L1856"/>
      <c r="M1856"/>
      <c r="N1856"/>
      <c r="O1856"/>
    </row>
    <row r="1857" spans="1:15" x14ac:dyDescent="0.25">
      <c r="A1857"/>
      <c r="B1857"/>
      <c r="C1857"/>
      <c r="D1857"/>
      <c r="E1857"/>
      <c r="F1857"/>
      <c r="G1857"/>
      <c r="H1857"/>
      <c r="I1857"/>
      <c r="J1857"/>
      <c r="K1857"/>
      <c r="L1857"/>
      <c r="M1857"/>
      <c r="N1857"/>
      <c r="O1857"/>
    </row>
    <row r="1858" spans="1:15" x14ac:dyDescent="0.25">
      <c r="A1858"/>
      <c r="B1858"/>
      <c r="C1858"/>
      <c r="D1858"/>
      <c r="E1858"/>
      <c r="F1858"/>
      <c r="G1858"/>
      <c r="H1858"/>
      <c r="I1858"/>
      <c r="J1858"/>
      <c r="K1858"/>
      <c r="L1858"/>
      <c r="M1858"/>
      <c r="N1858"/>
      <c r="O1858"/>
    </row>
    <row r="1859" spans="1:15" x14ac:dyDescent="0.25">
      <c r="A1859"/>
      <c r="B1859"/>
      <c r="C1859"/>
      <c r="D1859"/>
      <c r="E1859"/>
      <c r="F1859"/>
      <c r="G1859"/>
      <c r="H1859"/>
      <c r="I1859"/>
      <c r="J1859"/>
      <c r="K1859"/>
      <c r="L1859"/>
      <c r="M1859"/>
      <c r="N1859"/>
      <c r="O1859"/>
    </row>
    <row r="1860" spans="1:15" x14ac:dyDescent="0.25">
      <c r="A1860"/>
      <c r="B1860"/>
      <c r="C1860"/>
      <c r="D1860"/>
      <c r="E1860"/>
      <c r="F1860"/>
      <c r="G1860"/>
      <c r="H1860"/>
      <c r="I1860"/>
      <c r="J1860"/>
      <c r="K1860"/>
      <c r="L1860"/>
      <c r="M1860"/>
      <c r="N1860"/>
      <c r="O1860"/>
    </row>
    <row r="1861" spans="1:15" x14ac:dyDescent="0.25">
      <c r="A1861"/>
      <c r="B1861"/>
      <c r="C1861"/>
      <c r="D1861"/>
      <c r="E1861"/>
      <c r="F1861"/>
      <c r="G1861"/>
      <c r="H1861"/>
      <c r="I1861"/>
      <c r="J1861"/>
      <c r="K1861"/>
      <c r="L1861"/>
      <c r="M1861"/>
      <c r="N1861"/>
      <c r="O1861"/>
    </row>
    <row r="1862" spans="1:15" x14ac:dyDescent="0.25">
      <c r="A1862"/>
      <c r="B1862"/>
      <c r="C1862"/>
      <c r="D1862"/>
      <c r="E1862"/>
      <c r="F1862"/>
      <c r="G1862"/>
      <c r="H1862"/>
      <c r="I1862"/>
      <c r="J1862"/>
      <c r="K1862"/>
      <c r="L1862"/>
      <c r="M1862"/>
      <c r="N1862"/>
      <c r="O1862"/>
    </row>
    <row r="1863" spans="1:15" x14ac:dyDescent="0.25">
      <c r="A1863"/>
      <c r="B1863"/>
      <c r="C1863"/>
      <c r="D1863"/>
      <c r="E1863"/>
      <c r="F1863"/>
      <c r="G1863"/>
      <c r="H1863"/>
      <c r="I1863"/>
      <c r="J1863"/>
      <c r="K1863"/>
      <c r="L1863"/>
      <c r="M1863"/>
      <c r="N1863"/>
      <c r="O1863"/>
    </row>
    <row r="1864" spans="1:15" x14ac:dyDescent="0.25">
      <c r="A1864"/>
      <c r="B1864"/>
      <c r="C1864"/>
      <c r="D1864"/>
      <c r="E1864"/>
      <c r="F1864"/>
      <c r="G1864"/>
      <c r="H1864"/>
      <c r="I1864"/>
      <c r="J1864"/>
      <c r="K1864"/>
      <c r="L1864"/>
      <c r="M1864"/>
      <c r="N1864"/>
      <c r="O1864"/>
    </row>
    <row r="1865" spans="1:15" x14ac:dyDescent="0.25">
      <c r="A1865"/>
      <c r="B1865"/>
      <c r="C1865"/>
      <c r="D1865"/>
      <c r="E1865"/>
      <c r="F1865"/>
      <c r="G1865"/>
      <c r="H1865"/>
      <c r="I1865"/>
      <c r="J1865"/>
      <c r="K1865"/>
      <c r="L1865"/>
      <c r="M1865"/>
      <c r="N1865"/>
      <c r="O1865"/>
    </row>
    <row r="1866" spans="1:15" x14ac:dyDescent="0.25">
      <c r="A1866"/>
      <c r="B1866"/>
      <c r="C1866"/>
      <c r="D1866"/>
      <c r="E1866"/>
      <c r="F1866"/>
      <c r="G1866"/>
      <c r="H1866"/>
      <c r="I1866"/>
      <c r="J1866"/>
      <c r="K1866"/>
      <c r="L1866"/>
      <c r="M1866"/>
      <c r="N1866"/>
      <c r="O1866"/>
    </row>
    <row r="1867" spans="1:15" x14ac:dyDescent="0.25">
      <c r="A1867"/>
      <c r="B1867"/>
      <c r="C1867"/>
      <c r="D1867"/>
      <c r="E1867"/>
      <c r="F1867"/>
      <c r="G1867"/>
      <c r="H1867"/>
      <c r="I1867"/>
      <c r="J1867"/>
      <c r="K1867"/>
      <c r="L1867"/>
      <c r="M1867"/>
      <c r="N1867"/>
      <c r="O1867"/>
    </row>
    <row r="1868" spans="1:15" x14ac:dyDescent="0.25">
      <c r="A1868"/>
      <c r="B1868"/>
      <c r="C1868"/>
      <c r="D1868"/>
      <c r="E1868"/>
      <c r="F1868"/>
      <c r="G1868"/>
      <c r="H1868"/>
      <c r="I1868"/>
      <c r="J1868"/>
      <c r="K1868"/>
      <c r="L1868"/>
      <c r="M1868"/>
      <c r="N1868"/>
      <c r="O1868"/>
    </row>
    <row r="1869" spans="1:15" x14ac:dyDescent="0.25">
      <c r="A1869"/>
      <c r="B1869"/>
      <c r="C1869"/>
      <c r="D1869"/>
      <c r="E1869"/>
      <c r="F1869"/>
      <c r="G1869"/>
      <c r="H1869"/>
      <c r="I1869"/>
      <c r="J1869"/>
      <c r="K1869"/>
      <c r="L1869"/>
      <c r="M1869"/>
      <c r="N1869"/>
      <c r="O1869"/>
    </row>
    <row r="1870" spans="1:15" x14ac:dyDescent="0.25">
      <c r="A1870"/>
      <c r="B1870"/>
      <c r="C1870"/>
      <c r="D1870"/>
      <c r="E1870"/>
      <c r="F1870"/>
      <c r="G1870"/>
      <c r="H1870"/>
      <c r="I1870"/>
      <c r="J1870"/>
      <c r="K1870"/>
      <c r="L1870"/>
      <c r="M1870"/>
      <c r="N1870"/>
      <c r="O1870"/>
    </row>
    <row r="1871" spans="1:15" x14ac:dyDescent="0.25">
      <c r="A1871"/>
      <c r="B1871"/>
      <c r="C1871"/>
      <c r="D1871"/>
      <c r="E1871"/>
      <c r="F1871"/>
      <c r="G1871"/>
      <c r="H1871"/>
      <c r="I1871"/>
      <c r="J1871"/>
      <c r="K1871"/>
      <c r="L1871"/>
      <c r="M1871"/>
      <c r="N1871"/>
      <c r="O1871"/>
    </row>
    <row r="1872" spans="1:15" x14ac:dyDescent="0.25">
      <c r="A1872"/>
      <c r="B1872"/>
      <c r="C1872"/>
      <c r="D1872"/>
      <c r="E1872"/>
      <c r="F1872"/>
      <c r="G1872"/>
      <c r="H1872"/>
      <c r="I1872"/>
      <c r="J1872"/>
      <c r="K1872"/>
      <c r="L1872"/>
      <c r="M1872"/>
      <c r="N1872"/>
      <c r="O1872"/>
    </row>
    <row r="1873" spans="1:15" x14ac:dyDescent="0.25">
      <c r="A1873"/>
      <c r="B1873"/>
      <c r="C1873"/>
      <c r="D1873"/>
      <c r="E1873"/>
      <c r="F1873"/>
      <c r="G1873"/>
      <c r="H1873"/>
      <c r="I1873"/>
      <c r="J1873"/>
      <c r="K1873"/>
      <c r="L1873"/>
      <c r="M1873"/>
      <c r="N1873"/>
      <c r="O1873"/>
    </row>
    <row r="1874" spans="1:15" x14ac:dyDescent="0.25">
      <c r="A1874"/>
      <c r="B1874"/>
      <c r="C1874"/>
      <c r="D1874"/>
      <c r="E1874"/>
      <c r="F1874"/>
      <c r="G1874"/>
      <c r="H1874"/>
      <c r="I1874"/>
      <c r="J1874"/>
      <c r="K1874"/>
      <c r="L1874"/>
      <c r="M1874"/>
      <c r="N1874"/>
      <c r="O1874"/>
    </row>
    <row r="1875" spans="1:15" x14ac:dyDescent="0.25">
      <c r="A1875"/>
      <c r="B1875"/>
      <c r="C1875"/>
      <c r="D1875"/>
      <c r="E1875"/>
      <c r="F1875"/>
      <c r="G1875"/>
      <c r="H1875"/>
      <c r="I1875"/>
      <c r="J1875"/>
      <c r="K1875"/>
      <c r="L1875"/>
      <c r="M1875"/>
      <c r="N1875"/>
      <c r="O1875"/>
    </row>
    <row r="1876" spans="1:15" x14ac:dyDescent="0.25">
      <c r="A1876"/>
      <c r="B1876"/>
      <c r="C1876"/>
      <c r="D1876"/>
      <c r="E1876"/>
      <c r="F1876"/>
      <c r="G1876"/>
      <c r="H1876"/>
      <c r="I1876"/>
      <c r="J1876"/>
      <c r="K1876"/>
      <c r="L1876"/>
      <c r="M1876"/>
      <c r="N1876"/>
      <c r="O1876"/>
    </row>
    <row r="1877" spans="1:15" x14ac:dyDescent="0.25">
      <c r="A1877"/>
      <c r="B1877"/>
      <c r="C1877"/>
      <c r="D1877"/>
      <c r="E1877"/>
      <c r="F1877"/>
      <c r="G1877"/>
      <c r="H1877"/>
      <c r="I1877"/>
      <c r="J1877"/>
      <c r="K1877"/>
      <c r="L1877"/>
      <c r="M1877"/>
      <c r="N1877"/>
      <c r="O1877"/>
    </row>
    <row r="1878" spans="1:15" x14ac:dyDescent="0.25">
      <c r="A1878"/>
      <c r="B1878"/>
      <c r="C1878"/>
      <c r="D1878"/>
      <c r="E1878"/>
      <c r="F1878"/>
      <c r="G1878"/>
      <c r="H1878"/>
      <c r="I1878"/>
      <c r="J1878"/>
      <c r="K1878"/>
      <c r="L1878"/>
      <c r="M1878"/>
      <c r="N1878"/>
      <c r="O1878"/>
    </row>
    <row r="1879" spans="1:15" x14ac:dyDescent="0.25">
      <c r="A1879"/>
      <c r="B1879"/>
      <c r="C1879"/>
      <c r="D1879"/>
      <c r="E1879"/>
      <c r="F1879"/>
      <c r="G1879"/>
      <c r="H1879"/>
      <c r="I1879"/>
      <c r="J1879"/>
      <c r="K1879"/>
      <c r="L1879"/>
      <c r="M1879"/>
      <c r="N1879"/>
      <c r="O1879"/>
    </row>
    <row r="1880" spans="1:15" x14ac:dyDescent="0.25">
      <c r="A1880"/>
      <c r="B1880"/>
      <c r="C1880"/>
      <c r="D1880"/>
      <c r="E1880"/>
      <c r="F1880"/>
      <c r="G1880"/>
      <c r="H1880"/>
      <c r="I1880"/>
      <c r="J1880"/>
      <c r="K1880"/>
      <c r="L1880"/>
      <c r="M1880"/>
      <c r="N1880"/>
      <c r="O1880"/>
    </row>
    <row r="1881" spans="1:15" x14ac:dyDescent="0.25">
      <c r="A1881"/>
      <c r="B1881"/>
      <c r="C1881"/>
      <c r="D1881"/>
      <c r="E1881"/>
      <c r="F1881"/>
      <c r="G1881"/>
      <c r="H1881"/>
      <c r="I1881"/>
      <c r="J1881"/>
      <c r="K1881"/>
      <c r="L1881"/>
      <c r="M1881"/>
      <c r="N1881"/>
      <c r="O1881"/>
    </row>
    <row r="1882" spans="1:15" x14ac:dyDescent="0.25">
      <c r="A1882"/>
      <c r="B1882"/>
      <c r="C1882"/>
      <c r="D1882"/>
      <c r="E1882"/>
      <c r="F1882"/>
      <c r="G1882"/>
      <c r="H1882"/>
      <c r="I1882"/>
      <c r="J1882"/>
      <c r="K1882"/>
      <c r="L1882"/>
      <c r="M1882"/>
      <c r="N1882"/>
      <c r="O1882"/>
    </row>
    <row r="1883" spans="1:15" x14ac:dyDescent="0.25">
      <c r="A1883"/>
      <c r="B1883"/>
      <c r="C1883"/>
      <c r="D1883"/>
      <c r="E1883"/>
      <c r="F1883"/>
      <c r="G1883"/>
      <c r="H1883"/>
      <c r="I1883"/>
      <c r="J1883"/>
      <c r="K1883"/>
      <c r="L1883"/>
      <c r="M1883"/>
      <c r="N1883"/>
      <c r="O1883"/>
    </row>
    <row r="1884" spans="1:15" x14ac:dyDescent="0.25">
      <c r="A1884"/>
      <c r="B1884"/>
      <c r="C1884"/>
      <c r="D1884"/>
      <c r="E1884"/>
      <c r="F1884"/>
      <c r="G1884"/>
      <c r="H1884"/>
      <c r="I1884"/>
      <c r="J1884"/>
      <c r="K1884"/>
      <c r="L1884"/>
      <c r="M1884"/>
      <c r="N1884"/>
      <c r="O1884"/>
    </row>
    <row r="1885" spans="1:15" x14ac:dyDescent="0.25">
      <c r="A1885"/>
      <c r="B1885"/>
      <c r="C1885"/>
      <c r="D1885"/>
      <c r="E1885"/>
      <c r="F1885"/>
      <c r="G1885"/>
      <c r="H1885"/>
      <c r="I1885"/>
      <c r="J1885"/>
      <c r="K1885"/>
      <c r="L1885"/>
      <c r="M1885"/>
      <c r="N1885"/>
      <c r="O1885"/>
    </row>
    <row r="1886" spans="1:15" x14ac:dyDescent="0.25">
      <c r="A1886"/>
      <c r="B1886"/>
      <c r="C1886"/>
      <c r="D1886"/>
      <c r="E1886"/>
      <c r="F1886"/>
      <c r="G1886"/>
      <c r="H1886"/>
      <c r="I1886"/>
      <c r="J1886"/>
      <c r="K1886"/>
      <c r="L1886"/>
      <c r="M1886"/>
      <c r="N1886"/>
      <c r="O1886"/>
    </row>
    <row r="1887" spans="1:15" x14ac:dyDescent="0.25">
      <c r="A1887"/>
      <c r="B1887"/>
      <c r="C1887"/>
      <c r="D1887"/>
      <c r="E1887"/>
      <c r="F1887"/>
      <c r="G1887"/>
      <c r="H1887"/>
      <c r="I1887"/>
      <c r="J1887"/>
      <c r="K1887"/>
      <c r="L1887"/>
      <c r="M1887"/>
      <c r="N1887"/>
      <c r="O1887"/>
    </row>
    <row r="1888" spans="1:15" x14ac:dyDescent="0.25">
      <c r="A1888"/>
      <c r="B1888"/>
      <c r="C1888"/>
      <c r="D1888"/>
      <c r="E1888"/>
      <c r="F1888"/>
      <c r="G1888"/>
      <c r="H1888"/>
      <c r="I1888"/>
      <c r="J1888"/>
      <c r="K1888"/>
      <c r="L1888"/>
      <c r="M1888"/>
      <c r="N1888"/>
      <c r="O1888"/>
    </row>
    <row r="1889" spans="1:15" x14ac:dyDescent="0.25">
      <c r="A1889"/>
      <c r="B1889"/>
      <c r="C1889"/>
      <c r="D1889"/>
      <c r="E1889"/>
      <c r="F1889"/>
      <c r="G1889"/>
      <c r="H1889"/>
      <c r="I1889"/>
      <c r="J1889"/>
      <c r="K1889"/>
      <c r="L1889"/>
      <c r="M1889"/>
      <c r="N1889"/>
      <c r="O1889"/>
    </row>
    <row r="1890" spans="1:15" x14ac:dyDescent="0.25">
      <c r="A1890"/>
      <c r="B1890"/>
      <c r="C1890"/>
      <c r="D1890"/>
      <c r="E1890"/>
      <c r="F1890"/>
      <c r="G1890"/>
      <c r="H1890"/>
      <c r="I1890"/>
      <c r="J1890"/>
      <c r="K1890"/>
      <c r="L1890"/>
      <c r="M1890"/>
      <c r="N1890"/>
      <c r="O1890"/>
    </row>
    <row r="1891" spans="1:15" x14ac:dyDescent="0.25">
      <c r="A1891"/>
      <c r="B1891"/>
      <c r="C1891"/>
      <c r="D1891"/>
      <c r="E1891"/>
      <c r="F1891"/>
      <c r="G1891"/>
      <c r="H1891"/>
      <c r="I1891"/>
      <c r="J1891"/>
      <c r="K1891"/>
      <c r="L1891"/>
      <c r="M1891"/>
      <c r="N1891"/>
      <c r="O1891"/>
    </row>
    <row r="1892" spans="1:15" x14ac:dyDescent="0.25">
      <c r="A1892"/>
      <c r="B1892"/>
      <c r="C1892"/>
      <c r="D1892"/>
      <c r="E1892"/>
      <c r="F1892"/>
      <c r="G1892"/>
      <c r="H1892"/>
      <c r="I1892"/>
      <c r="J1892"/>
      <c r="K1892"/>
      <c r="L1892"/>
      <c r="M1892"/>
      <c r="N1892"/>
      <c r="O1892"/>
    </row>
    <row r="1893" spans="1:15" x14ac:dyDescent="0.25">
      <c r="A1893"/>
      <c r="B1893"/>
      <c r="C1893"/>
      <c r="D1893"/>
      <c r="E1893"/>
      <c r="F1893"/>
      <c r="G1893"/>
      <c r="H1893"/>
      <c r="I1893"/>
      <c r="J1893"/>
      <c r="K1893"/>
      <c r="L1893"/>
      <c r="M1893"/>
      <c r="N1893"/>
      <c r="O1893"/>
    </row>
    <row r="1894" spans="1:15" x14ac:dyDescent="0.25">
      <c r="A1894"/>
      <c r="B1894"/>
      <c r="C1894"/>
      <c r="D1894"/>
      <c r="E1894"/>
      <c r="F1894"/>
      <c r="G1894"/>
      <c r="H1894"/>
      <c r="I1894"/>
      <c r="J1894"/>
      <c r="K1894"/>
      <c r="L1894"/>
      <c r="M1894"/>
      <c r="N1894"/>
      <c r="O1894"/>
    </row>
    <row r="1895" spans="1:15" x14ac:dyDescent="0.25">
      <c r="A1895"/>
      <c r="B1895"/>
      <c r="C1895"/>
      <c r="D1895"/>
      <c r="E1895"/>
      <c r="F1895"/>
      <c r="G1895"/>
      <c r="H1895"/>
      <c r="I1895"/>
      <c r="J1895"/>
      <c r="K1895"/>
      <c r="L1895"/>
      <c r="M1895"/>
      <c r="N1895"/>
      <c r="O1895"/>
    </row>
    <row r="1896" spans="1:15" x14ac:dyDescent="0.25">
      <c r="A1896"/>
      <c r="B1896"/>
      <c r="C1896"/>
      <c r="D1896"/>
      <c r="E1896"/>
      <c r="F1896"/>
      <c r="G1896"/>
      <c r="H1896"/>
      <c r="I1896"/>
      <c r="J1896"/>
      <c r="K1896"/>
      <c r="L1896"/>
      <c r="M1896"/>
      <c r="N1896"/>
      <c r="O1896"/>
    </row>
    <row r="1897" spans="1:15" x14ac:dyDescent="0.25">
      <c r="A1897"/>
      <c r="B1897"/>
      <c r="C1897"/>
      <c r="D1897"/>
      <c r="E1897"/>
      <c r="F1897"/>
      <c r="G1897"/>
      <c r="H1897"/>
      <c r="I1897"/>
      <c r="J1897"/>
      <c r="K1897"/>
      <c r="L1897"/>
      <c r="M1897"/>
      <c r="N1897"/>
      <c r="O1897"/>
    </row>
    <row r="1898" spans="1:15" x14ac:dyDescent="0.25">
      <c r="A1898"/>
      <c r="B1898"/>
      <c r="C1898"/>
      <c r="D1898"/>
      <c r="E1898"/>
      <c r="F1898"/>
      <c r="G1898"/>
      <c r="H1898"/>
      <c r="I1898"/>
      <c r="J1898"/>
      <c r="K1898"/>
      <c r="L1898"/>
      <c r="M1898"/>
      <c r="N1898"/>
      <c r="O1898"/>
    </row>
    <row r="1899" spans="1:15" x14ac:dyDescent="0.25">
      <c r="A1899"/>
      <c r="B1899"/>
      <c r="C1899"/>
      <c r="D1899"/>
      <c r="E1899"/>
      <c r="F1899"/>
      <c r="G1899"/>
      <c r="H1899"/>
      <c r="I1899"/>
      <c r="J1899"/>
      <c r="K1899"/>
      <c r="L1899"/>
      <c r="M1899"/>
      <c r="N1899"/>
      <c r="O1899"/>
    </row>
    <row r="1900" spans="1:15" x14ac:dyDescent="0.25">
      <c r="A1900"/>
      <c r="B1900"/>
      <c r="C1900"/>
      <c r="D1900"/>
      <c r="E1900"/>
      <c r="F1900"/>
      <c r="G1900"/>
      <c r="H1900"/>
      <c r="I1900"/>
      <c r="J1900"/>
      <c r="K1900"/>
      <c r="L1900"/>
      <c r="M1900"/>
      <c r="N1900"/>
      <c r="O1900"/>
    </row>
    <row r="1901" spans="1:15" x14ac:dyDescent="0.25">
      <c r="A1901"/>
      <c r="B1901"/>
      <c r="C1901"/>
      <c r="D1901"/>
      <c r="E1901"/>
      <c r="F1901"/>
      <c r="G1901"/>
      <c r="H1901"/>
      <c r="I1901"/>
      <c r="J1901"/>
      <c r="K1901"/>
      <c r="L1901"/>
      <c r="M1901"/>
      <c r="N1901"/>
      <c r="O1901"/>
    </row>
    <row r="1902" spans="1:15" x14ac:dyDescent="0.25">
      <c r="A1902"/>
      <c r="B1902"/>
      <c r="C1902"/>
      <c r="D1902"/>
      <c r="E1902"/>
      <c r="F1902"/>
      <c r="G1902"/>
      <c r="H1902"/>
      <c r="I1902"/>
      <c r="J1902"/>
      <c r="K1902"/>
      <c r="L1902"/>
      <c r="M1902"/>
      <c r="N1902"/>
      <c r="O1902"/>
    </row>
    <row r="1903" spans="1:15" x14ac:dyDescent="0.25">
      <c r="A1903"/>
      <c r="B1903"/>
      <c r="C1903"/>
      <c r="D1903"/>
      <c r="E1903"/>
      <c r="F1903"/>
      <c r="G1903"/>
      <c r="H1903"/>
      <c r="I1903"/>
      <c r="J1903"/>
      <c r="K1903"/>
      <c r="L1903"/>
      <c r="M1903"/>
      <c r="N1903"/>
      <c r="O1903"/>
    </row>
    <row r="1904" spans="1:15" x14ac:dyDescent="0.25">
      <c r="A1904"/>
      <c r="B1904"/>
      <c r="C1904"/>
      <c r="D1904"/>
      <c r="E1904"/>
      <c r="F1904"/>
      <c r="G1904"/>
      <c r="H1904"/>
      <c r="I1904"/>
      <c r="J1904"/>
      <c r="K1904"/>
      <c r="L1904"/>
      <c r="M1904"/>
      <c r="N1904"/>
      <c r="O1904"/>
    </row>
    <row r="1905" spans="1:15" x14ac:dyDescent="0.25">
      <c r="A1905"/>
      <c r="B1905"/>
      <c r="C1905"/>
      <c r="D1905"/>
      <c r="E1905"/>
      <c r="F1905"/>
      <c r="G1905"/>
      <c r="H1905"/>
      <c r="I1905"/>
      <c r="J1905"/>
      <c r="K1905"/>
      <c r="L1905"/>
      <c r="M1905"/>
      <c r="N1905"/>
      <c r="O1905"/>
    </row>
    <row r="1906" spans="1:15" x14ac:dyDescent="0.25">
      <c r="A1906"/>
      <c r="B1906"/>
      <c r="C1906"/>
      <c r="D1906"/>
      <c r="E1906"/>
      <c r="F1906"/>
      <c r="G1906"/>
      <c r="H1906"/>
      <c r="I1906"/>
      <c r="J1906"/>
      <c r="K1906"/>
      <c r="L1906"/>
      <c r="M1906"/>
      <c r="N1906"/>
      <c r="O1906"/>
    </row>
    <row r="1907" spans="1:15" x14ac:dyDescent="0.25">
      <c r="A1907"/>
      <c r="B1907"/>
      <c r="C1907"/>
      <c r="D1907"/>
      <c r="E1907"/>
      <c r="F1907"/>
      <c r="G1907"/>
      <c r="H1907"/>
      <c r="I1907"/>
      <c r="J1907"/>
      <c r="K1907"/>
      <c r="L1907"/>
      <c r="M1907"/>
      <c r="N1907"/>
      <c r="O1907"/>
    </row>
    <row r="1908" spans="1:15" x14ac:dyDescent="0.25">
      <c r="A1908"/>
      <c r="B1908"/>
      <c r="C1908"/>
      <c r="D1908"/>
      <c r="E1908"/>
      <c r="F1908"/>
      <c r="G1908"/>
      <c r="H1908"/>
      <c r="I1908"/>
      <c r="J1908"/>
      <c r="K1908"/>
      <c r="L1908"/>
      <c r="M1908"/>
      <c r="N1908"/>
      <c r="O1908"/>
    </row>
    <row r="1909" spans="1:15" x14ac:dyDescent="0.25">
      <c r="A1909"/>
      <c r="B1909"/>
      <c r="C1909"/>
      <c r="D1909"/>
      <c r="E1909"/>
      <c r="F1909"/>
      <c r="G1909"/>
      <c r="H1909"/>
      <c r="I1909"/>
      <c r="J1909"/>
      <c r="K1909"/>
      <c r="L1909"/>
      <c r="M1909"/>
      <c r="N1909"/>
      <c r="O1909"/>
    </row>
    <row r="1910" spans="1:15" x14ac:dyDescent="0.25">
      <c r="A1910"/>
      <c r="B1910"/>
      <c r="C1910"/>
      <c r="D1910"/>
      <c r="E1910"/>
      <c r="F1910"/>
      <c r="G1910"/>
      <c r="H1910"/>
      <c r="I1910"/>
      <c r="J1910"/>
      <c r="K1910"/>
      <c r="L1910"/>
      <c r="M1910"/>
      <c r="N1910"/>
      <c r="O1910"/>
    </row>
    <row r="1911" spans="1:15" x14ac:dyDescent="0.25">
      <c r="A1911"/>
      <c r="B1911"/>
      <c r="C1911"/>
      <c r="D1911"/>
      <c r="E1911"/>
      <c r="F1911"/>
      <c r="G1911"/>
      <c r="H1911"/>
      <c r="I1911"/>
      <c r="J1911"/>
      <c r="K1911"/>
      <c r="L1911"/>
      <c r="M1911"/>
      <c r="N1911"/>
      <c r="O1911"/>
    </row>
    <row r="1912" spans="1:15" x14ac:dyDescent="0.25">
      <c r="A1912"/>
      <c r="B1912"/>
      <c r="C1912"/>
      <c r="D1912"/>
      <c r="E1912"/>
      <c r="F1912"/>
      <c r="G1912"/>
      <c r="H1912"/>
      <c r="I1912"/>
      <c r="J1912"/>
      <c r="K1912"/>
      <c r="L1912"/>
      <c r="M1912"/>
      <c r="N1912"/>
      <c r="O1912"/>
    </row>
    <row r="1913" spans="1:15" x14ac:dyDescent="0.25">
      <c r="A1913"/>
      <c r="B1913"/>
      <c r="C1913"/>
      <c r="D1913"/>
      <c r="E1913"/>
      <c r="F1913"/>
      <c r="G1913"/>
      <c r="H1913"/>
      <c r="I1913"/>
      <c r="J1913"/>
      <c r="K1913"/>
      <c r="L1913"/>
      <c r="M1913"/>
      <c r="N1913"/>
      <c r="O1913"/>
    </row>
    <row r="1914" spans="1:15" x14ac:dyDescent="0.25">
      <c r="A1914"/>
      <c r="B1914"/>
      <c r="C1914"/>
      <c r="D1914"/>
      <c r="E1914"/>
      <c r="F1914"/>
      <c r="G1914"/>
      <c r="H1914"/>
      <c r="I1914"/>
      <c r="J1914"/>
      <c r="K1914"/>
      <c r="L1914"/>
      <c r="M1914"/>
      <c r="N1914"/>
      <c r="O1914"/>
    </row>
    <row r="1915" spans="1:15" x14ac:dyDescent="0.25">
      <c r="A1915"/>
      <c r="B1915"/>
      <c r="C1915"/>
      <c r="D1915"/>
      <c r="E1915"/>
      <c r="F1915"/>
      <c r="G1915"/>
      <c r="H1915"/>
      <c r="I1915"/>
      <c r="J1915"/>
      <c r="K1915"/>
      <c r="L1915"/>
      <c r="M1915"/>
      <c r="N1915"/>
      <c r="O1915"/>
    </row>
    <row r="1916" spans="1:15" x14ac:dyDescent="0.25">
      <c r="A1916"/>
      <c r="B1916"/>
      <c r="C1916"/>
      <c r="D1916"/>
      <c r="E1916"/>
      <c r="F1916"/>
      <c r="G1916"/>
      <c r="H1916"/>
      <c r="I1916"/>
      <c r="J1916"/>
      <c r="K1916"/>
      <c r="L1916"/>
      <c r="M1916"/>
      <c r="N1916"/>
      <c r="O1916"/>
    </row>
    <row r="1917" spans="1:15" x14ac:dyDescent="0.25">
      <c r="A1917"/>
      <c r="B1917"/>
      <c r="C1917"/>
      <c r="D1917"/>
      <c r="E1917"/>
      <c r="F1917"/>
      <c r="G1917"/>
      <c r="H1917"/>
      <c r="I1917"/>
      <c r="J1917"/>
      <c r="K1917"/>
      <c r="L1917"/>
      <c r="M1917"/>
      <c r="N1917"/>
      <c r="O1917"/>
    </row>
    <row r="1918" spans="1:15" x14ac:dyDescent="0.25">
      <c r="A1918"/>
      <c r="B1918"/>
      <c r="C1918"/>
      <c r="D1918"/>
      <c r="E1918"/>
      <c r="F1918"/>
      <c r="G1918"/>
      <c r="H1918"/>
      <c r="I1918"/>
      <c r="J1918"/>
      <c r="K1918"/>
      <c r="L1918"/>
      <c r="M1918"/>
      <c r="N1918"/>
      <c r="O1918"/>
    </row>
    <row r="1919" spans="1:15" x14ac:dyDescent="0.25">
      <c r="A1919"/>
      <c r="B1919"/>
      <c r="C1919"/>
      <c r="D1919"/>
      <c r="E1919"/>
      <c r="F1919"/>
      <c r="G1919"/>
      <c r="H1919"/>
      <c r="I1919"/>
      <c r="J1919"/>
      <c r="K1919"/>
      <c r="L1919"/>
      <c r="M1919"/>
      <c r="N1919"/>
      <c r="O1919"/>
    </row>
    <row r="1920" spans="1:15" x14ac:dyDescent="0.25">
      <c r="A1920"/>
      <c r="B1920"/>
      <c r="C1920"/>
      <c r="D1920"/>
      <c r="E1920"/>
      <c r="F1920"/>
      <c r="G1920"/>
      <c r="H1920"/>
      <c r="I1920"/>
      <c r="J1920"/>
      <c r="K1920"/>
      <c r="L1920"/>
      <c r="M1920"/>
      <c r="N1920"/>
      <c r="O1920"/>
    </row>
    <row r="1921" spans="1:15" x14ac:dyDescent="0.25">
      <c r="A1921"/>
      <c r="B1921"/>
      <c r="C1921"/>
      <c r="D1921"/>
      <c r="E1921"/>
      <c r="F1921"/>
      <c r="G1921"/>
      <c r="H1921"/>
      <c r="I1921"/>
      <c r="J1921"/>
      <c r="K1921"/>
      <c r="L1921"/>
      <c r="M1921"/>
      <c r="N1921"/>
      <c r="O1921"/>
    </row>
    <row r="1922" spans="1:15" x14ac:dyDescent="0.25">
      <c r="A1922"/>
      <c r="B1922"/>
      <c r="C1922"/>
      <c r="D1922"/>
      <c r="E1922"/>
      <c r="F1922"/>
      <c r="G1922"/>
      <c r="H1922"/>
      <c r="I1922"/>
      <c r="J1922"/>
      <c r="K1922"/>
      <c r="L1922"/>
      <c r="M1922"/>
      <c r="N1922"/>
      <c r="O1922"/>
    </row>
    <row r="1923" spans="1:15" x14ac:dyDescent="0.25">
      <c r="A1923"/>
      <c r="B1923"/>
      <c r="C1923"/>
      <c r="D1923"/>
      <c r="E1923"/>
      <c r="F1923"/>
      <c r="G1923"/>
      <c r="H1923"/>
      <c r="I1923"/>
      <c r="J1923"/>
      <c r="K1923"/>
      <c r="L1923"/>
      <c r="M1923"/>
      <c r="N1923"/>
      <c r="O1923"/>
    </row>
    <row r="1924" spans="1:15" x14ac:dyDescent="0.25">
      <c r="A1924"/>
      <c r="B1924"/>
      <c r="C1924"/>
      <c r="D1924"/>
      <c r="E1924"/>
      <c r="F1924"/>
      <c r="G1924"/>
      <c r="H1924"/>
      <c r="I1924"/>
      <c r="J1924"/>
      <c r="K1924"/>
      <c r="L1924"/>
      <c r="M1924"/>
      <c r="N1924"/>
      <c r="O1924"/>
    </row>
    <row r="1925" spans="1:15" x14ac:dyDescent="0.25">
      <c r="A1925"/>
      <c r="B1925"/>
      <c r="C1925"/>
      <c r="D1925"/>
      <c r="E1925"/>
      <c r="F1925"/>
      <c r="G1925"/>
      <c r="H1925"/>
      <c r="I1925"/>
      <c r="J1925"/>
      <c r="K1925"/>
      <c r="L1925"/>
      <c r="M1925"/>
      <c r="N1925"/>
      <c r="O1925"/>
    </row>
    <row r="1926" spans="1:15" x14ac:dyDescent="0.25">
      <c r="A1926"/>
      <c r="B1926"/>
      <c r="C1926"/>
      <c r="D1926"/>
      <c r="E1926"/>
      <c r="F1926"/>
      <c r="G1926"/>
      <c r="H1926"/>
      <c r="I1926"/>
      <c r="J1926"/>
      <c r="K1926"/>
      <c r="L1926"/>
      <c r="M1926"/>
      <c r="N1926"/>
      <c r="O1926"/>
    </row>
    <row r="1927" spans="1:15" x14ac:dyDescent="0.25">
      <c r="A1927"/>
      <c r="B1927"/>
      <c r="C1927"/>
      <c r="D1927"/>
      <c r="E1927"/>
      <c r="F1927"/>
      <c r="G1927"/>
      <c r="H1927"/>
      <c r="I1927"/>
      <c r="J1927"/>
      <c r="K1927"/>
      <c r="L1927"/>
      <c r="M1927"/>
      <c r="N1927"/>
      <c r="O1927"/>
    </row>
    <row r="1928" spans="1:15" x14ac:dyDescent="0.25">
      <c r="A1928"/>
      <c r="B1928"/>
      <c r="C1928"/>
      <c r="D1928"/>
      <c r="E1928"/>
      <c r="F1928"/>
      <c r="G1928"/>
      <c r="H1928"/>
      <c r="I1928"/>
      <c r="J1928"/>
      <c r="K1928"/>
      <c r="L1928"/>
      <c r="M1928"/>
      <c r="N1928"/>
      <c r="O1928"/>
    </row>
    <row r="1929" spans="1:15" x14ac:dyDescent="0.25">
      <c r="A1929"/>
      <c r="B1929"/>
      <c r="C1929"/>
      <c r="D1929"/>
      <c r="E1929"/>
      <c r="F1929"/>
      <c r="G1929"/>
      <c r="H1929"/>
      <c r="I1929"/>
      <c r="J1929"/>
      <c r="K1929"/>
      <c r="L1929"/>
      <c r="M1929"/>
      <c r="N1929"/>
      <c r="O1929"/>
    </row>
    <row r="1930" spans="1:15" x14ac:dyDescent="0.25">
      <c r="A1930"/>
      <c r="B1930"/>
      <c r="C1930"/>
      <c r="D1930"/>
      <c r="E1930"/>
      <c r="F1930"/>
      <c r="G1930"/>
      <c r="H1930"/>
      <c r="I1930"/>
      <c r="J1930"/>
      <c r="K1930"/>
      <c r="L1930"/>
      <c r="M1930"/>
      <c r="N1930"/>
      <c r="O1930"/>
    </row>
    <row r="1931" spans="1:15" x14ac:dyDescent="0.25">
      <c r="A1931"/>
      <c r="B1931"/>
      <c r="C1931"/>
      <c r="D1931"/>
      <c r="E1931"/>
      <c r="F1931"/>
      <c r="G1931"/>
      <c r="H1931"/>
      <c r="I1931"/>
      <c r="J1931"/>
      <c r="K1931"/>
      <c r="L1931"/>
      <c r="M1931"/>
      <c r="N1931"/>
      <c r="O1931"/>
    </row>
    <row r="1932" spans="1:15" x14ac:dyDescent="0.25">
      <c r="A1932"/>
      <c r="B1932"/>
      <c r="C1932"/>
      <c r="D1932"/>
      <c r="E1932"/>
      <c r="F1932"/>
      <c r="G1932"/>
      <c r="H1932"/>
      <c r="I1932"/>
      <c r="J1932"/>
      <c r="K1932"/>
      <c r="L1932"/>
      <c r="M1932"/>
      <c r="N1932"/>
      <c r="O1932"/>
    </row>
    <row r="1933" spans="1:15" x14ac:dyDescent="0.25">
      <c r="A1933"/>
      <c r="B1933"/>
      <c r="C1933"/>
      <c r="D1933"/>
      <c r="E1933"/>
      <c r="F1933"/>
      <c r="G1933"/>
      <c r="H1933"/>
      <c r="I1933"/>
      <c r="J1933"/>
      <c r="K1933"/>
      <c r="L1933"/>
      <c r="M1933"/>
      <c r="N1933"/>
      <c r="O1933"/>
    </row>
    <row r="1934" spans="1:15" x14ac:dyDescent="0.25">
      <c r="A1934"/>
      <c r="B1934"/>
      <c r="C1934"/>
      <c r="D1934"/>
      <c r="E1934"/>
      <c r="F1934"/>
      <c r="G1934"/>
      <c r="H1934"/>
      <c r="I1934"/>
      <c r="J1934"/>
      <c r="K1934"/>
      <c r="L1934"/>
      <c r="M1934"/>
      <c r="N1934"/>
      <c r="O1934"/>
    </row>
    <row r="1935" spans="1:15" x14ac:dyDescent="0.25">
      <c r="A1935"/>
      <c r="B1935"/>
      <c r="C1935"/>
      <c r="D1935"/>
      <c r="E1935"/>
      <c r="F1935"/>
      <c r="G1935"/>
      <c r="H1935"/>
      <c r="I1935"/>
      <c r="J1935"/>
      <c r="K1935"/>
      <c r="L1935"/>
      <c r="M1935"/>
      <c r="N1935"/>
      <c r="O1935"/>
    </row>
    <row r="1936" spans="1:15" x14ac:dyDescent="0.25">
      <c r="A1936"/>
      <c r="B1936"/>
      <c r="C1936"/>
      <c r="D1936"/>
      <c r="E1936"/>
      <c r="F1936"/>
      <c r="G1936"/>
      <c r="H1936"/>
      <c r="I1936"/>
      <c r="J1936"/>
      <c r="K1936"/>
      <c r="L1936"/>
      <c r="M1936"/>
      <c r="N1936"/>
      <c r="O1936"/>
    </row>
    <row r="1937" spans="1:15" x14ac:dyDescent="0.25">
      <c r="A1937"/>
      <c r="B1937"/>
      <c r="C1937"/>
      <c r="D1937"/>
      <c r="E1937"/>
      <c r="F1937"/>
      <c r="G1937"/>
      <c r="H1937"/>
      <c r="I1937"/>
      <c r="J1937"/>
      <c r="K1937"/>
      <c r="L1937"/>
      <c r="M1937"/>
      <c r="N1937"/>
      <c r="O1937"/>
    </row>
    <row r="1938" spans="1:15" x14ac:dyDescent="0.25">
      <c r="A1938"/>
      <c r="B1938"/>
      <c r="C1938"/>
      <c r="D1938"/>
      <c r="E1938"/>
      <c r="F1938"/>
      <c r="G1938"/>
      <c r="H1938"/>
      <c r="I1938"/>
      <c r="J1938"/>
      <c r="K1938"/>
      <c r="L1938"/>
      <c r="M1938"/>
      <c r="N1938"/>
      <c r="O1938"/>
    </row>
    <row r="1939" spans="1:15" x14ac:dyDescent="0.25">
      <c r="A1939"/>
      <c r="B1939"/>
      <c r="C1939"/>
      <c r="D1939"/>
      <c r="E1939"/>
      <c r="F1939"/>
      <c r="G1939"/>
      <c r="H1939"/>
      <c r="I1939"/>
      <c r="J1939"/>
      <c r="K1939"/>
      <c r="L1939"/>
      <c r="M1939"/>
      <c r="N1939"/>
      <c r="O1939"/>
    </row>
    <row r="1940" spans="1:15" x14ac:dyDescent="0.25">
      <c r="A1940"/>
      <c r="B1940"/>
      <c r="C1940"/>
      <c r="D1940"/>
      <c r="E1940"/>
      <c r="F1940"/>
      <c r="G1940"/>
      <c r="H1940"/>
      <c r="I1940"/>
      <c r="J1940"/>
      <c r="K1940"/>
      <c r="L1940"/>
      <c r="M1940"/>
      <c r="N1940"/>
      <c r="O1940"/>
    </row>
    <row r="1941" spans="1:15" x14ac:dyDescent="0.25">
      <c r="A1941"/>
      <c r="B1941"/>
      <c r="C1941"/>
      <c r="D1941"/>
      <c r="E1941"/>
      <c r="F1941"/>
      <c r="G1941"/>
      <c r="H1941"/>
      <c r="I1941"/>
      <c r="J1941"/>
      <c r="K1941"/>
      <c r="L1941"/>
      <c r="M1941"/>
      <c r="N1941"/>
      <c r="O1941"/>
    </row>
    <row r="1942" spans="1:15" x14ac:dyDescent="0.25">
      <c r="A1942"/>
      <c r="B1942"/>
      <c r="C1942"/>
      <c r="D1942"/>
      <c r="E1942"/>
      <c r="F1942"/>
      <c r="G1942"/>
      <c r="H1942"/>
      <c r="I1942"/>
      <c r="J1942"/>
      <c r="K1942"/>
      <c r="L1942"/>
      <c r="M1942"/>
      <c r="N1942"/>
      <c r="O1942"/>
    </row>
    <row r="1943" spans="1:15" x14ac:dyDescent="0.25">
      <c r="A1943"/>
      <c r="B1943"/>
      <c r="C1943"/>
      <c r="D1943"/>
      <c r="E1943"/>
      <c r="F1943"/>
      <c r="G1943"/>
      <c r="H1943"/>
      <c r="I1943"/>
      <c r="J1943"/>
      <c r="K1943"/>
      <c r="L1943"/>
      <c r="M1943"/>
      <c r="N1943"/>
      <c r="O1943"/>
    </row>
    <row r="1944" spans="1:15" x14ac:dyDescent="0.25">
      <c r="A1944"/>
      <c r="B1944"/>
      <c r="C1944"/>
      <c r="D1944"/>
      <c r="E1944"/>
      <c r="F1944"/>
      <c r="G1944"/>
      <c r="H1944"/>
      <c r="I1944"/>
      <c r="J1944"/>
      <c r="K1944"/>
      <c r="L1944"/>
      <c r="M1944"/>
      <c r="N1944"/>
      <c r="O1944"/>
    </row>
    <row r="1945" spans="1:15" x14ac:dyDescent="0.25">
      <c r="A1945"/>
      <c r="B1945"/>
      <c r="C1945"/>
      <c r="D1945"/>
      <c r="E1945"/>
      <c r="F1945"/>
      <c r="G1945"/>
      <c r="H1945"/>
      <c r="I1945"/>
      <c r="J1945"/>
      <c r="K1945"/>
      <c r="L1945"/>
      <c r="M1945"/>
      <c r="N1945"/>
      <c r="O1945"/>
    </row>
    <row r="1946" spans="1:15" x14ac:dyDescent="0.25">
      <c r="A1946"/>
      <c r="B1946"/>
      <c r="C1946"/>
      <c r="D1946"/>
      <c r="E1946"/>
      <c r="F1946"/>
      <c r="G1946"/>
      <c r="H1946"/>
      <c r="I1946"/>
      <c r="J1946"/>
      <c r="K1946"/>
      <c r="L1946"/>
      <c r="M1946"/>
      <c r="N1946"/>
      <c r="O1946"/>
    </row>
    <row r="1947" spans="1:15" x14ac:dyDescent="0.25">
      <c r="A1947"/>
      <c r="B1947"/>
      <c r="C1947"/>
      <c r="D1947"/>
      <c r="E1947"/>
      <c r="F1947"/>
      <c r="G1947"/>
      <c r="H1947"/>
      <c r="I1947"/>
      <c r="J1947"/>
      <c r="K1947"/>
      <c r="L1947"/>
      <c r="M1947"/>
      <c r="N1947"/>
      <c r="O1947"/>
    </row>
    <row r="1948" spans="1:15" x14ac:dyDescent="0.25">
      <c r="A1948"/>
      <c r="B1948"/>
      <c r="C1948"/>
      <c r="D1948"/>
      <c r="E1948"/>
      <c r="F1948"/>
      <c r="G1948"/>
      <c r="H1948"/>
      <c r="I1948"/>
      <c r="J1948"/>
      <c r="K1948"/>
      <c r="L1948"/>
      <c r="M1948"/>
      <c r="N1948"/>
      <c r="O1948"/>
    </row>
    <row r="1949" spans="1:15" x14ac:dyDescent="0.25">
      <c r="A1949"/>
      <c r="B1949"/>
      <c r="C1949"/>
      <c r="D1949"/>
      <c r="E1949"/>
      <c r="F1949"/>
      <c r="G1949"/>
      <c r="H1949"/>
      <c r="I1949"/>
      <c r="J1949"/>
      <c r="K1949"/>
      <c r="L1949"/>
      <c r="M1949"/>
      <c r="N1949"/>
      <c r="O1949"/>
    </row>
    <row r="1950" spans="1:15" x14ac:dyDescent="0.25">
      <c r="A1950"/>
      <c r="B1950"/>
      <c r="C1950"/>
      <c r="D1950"/>
      <c r="E1950"/>
      <c r="F1950"/>
      <c r="G1950"/>
      <c r="H1950"/>
      <c r="I1950"/>
      <c r="J1950"/>
      <c r="K1950"/>
      <c r="L1950"/>
      <c r="M1950"/>
      <c r="N1950"/>
      <c r="O1950"/>
    </row>
    <row r="1951" spans="1:15" x14ac:dyDescent="0.25">
      <c r="A1951"/>
      <c r="B1951"/>
      <c r="C1951"/>
      <c r="D1951"/>
      <c r="E1951"/>
      <c r="F1951"/>
      <c r="G1951"/>
      <c r="H1951"/>
      <c r="I1951"/>
      <c r="J1951"/>
      <c r="K1951"/>
      <c r="L1951"/>
      <c r="M1951"/>
      <c r="N1951"/>
      <c r="O1951"/>
    </row>
    <row r="1952" spans="1:15" x14ac:dyDescent="0.25">
      <c r="A1952"/>
      <c r="B1952"/>
      <c r="C1952"/>
      <c r="D1952"/>
      <c r="E1952"/>
      <c r="F1952"/>
      <c r="G1952"/>
      <c r="H1952"/>
      <c r="I1952"/>
      <c r="J1952"/>
      <c r="K1952"/>
      <c r="L1952"/>
      <c r="M1952"/>
      <c r="N1952"/>
      <c r="O1952"/>
    </row>
    <row r="1953" spans="1:15" x14ac:dyDescent="0.25">
      <c r="A1953"/>
      <c r="B1953"/>
      <c r="C1953"/>
      <c r="D1953"/>
      <c r="E1953"/>
      <c r="F1953"/>
      <c r="G1953"/>
      <c r="H1953"/>
      <c r="I1953"/>
      <c r="J1953"/>
      <c r="K1953"/>
      <c r="L1953"/>
      <c r="M1953"/>
      <c r="N1953"/>
      <c r="O1953"/>
    </row>
    <row r="1954" spans="1:15" x14ac:dyDescent="0.25">
      <c r="A1954"/>
      <c r="B1954"/>
      <c r="C1954"/>
      <c r="D1954"/>
      <c r="E1954"/>
      <c r="F1954"/>
      <c r="G1954"/>
      <c r="H1954"/>
      <c r="I1954"/>
      <c r="J1954"/>
      <c r="K1954"/>
      <c r="L1954"/>
      <c r="M1954"/>
      <c r="N1954"/>
      <c r="O1954"/>
    </row>
    <row r="1955" spans="1:15" x14ac:dyDescent="0.25">
      <c r="A1955"/>
      <c r="B1955"/>
      <c r="C1955"/>
      <c r="D1955"/>
      <c r="E1955"/>
      <c r="F1955"/>
      <c r="G1955"/>
      <c r="H1955"/>
      <c r="I1955"/>
      <c r="J1955"/>
      <c r="K1955"/>
      <c r="L1955"/>
      <c r="M1955"/>
      <c r="N1955"/>
      <c r="O1955"/>
    </row>
    <row r="1956" spans="1:15" x14ac:dyDescent="0.25">
      <c r="A1956"/>
      <c r="B1956"/>
      <c r="C1956"/>
      <c r="D1956"/>
      <c r="E1956"/>
      <c r="F1956"/>
      <c r="G1956"/>
      <c r="H1956"/>
      <c r="I1956"/>
      <c r="J1956"/>
      <c r="K1956"/>
      <c r="L1956"/>
      <c r="M1956"/>
      <c r="N1956"/>
      <c r="O1956"/>
    </row>
    <row r="1957" spans="1:15" x14ac:dyDescent="0.25">
      <c r="A1957"/>
      <c r="B1957"/>
      <c r="C1957"/>
      <c r="D1957"/>
      <c r="E1957"/>
      <c r="F1957"/>
      <c r="G1957"/>
      <c r="H1957"/>
      <c r="I1957"/>
      <c r="J1957"/>
      <c r="K1957"/>
      <c r="L1957"/>
      <c r="M1957"/>
      <c r="N1957"/>
      <c r="O1957"/>
    </row>
    <row r="1958" spans="1:15" x14ac:dyDescent="0.25">
      <c r="A1958"/>
      <c r="B1958"/>
      <c r="C1958"/>
      <c r="D1958"/>
      <c r="E1958"/>
      <c r="F1958"/>
      <c r="G1958"/>
      <c r="H1958"/>
      <c r="I1958"/>
      <c r="J1958"/>
      <c r="K1958"/>
      <c r="L1958"/>
      <c r="M1958"/>
      <c r="N1958"/>
      <c r="O1958"/>
    </row>
    <row r="1959" spans="1:15" x14ac:dyDescent="0.25">
      <c r="A1959"/>
      <c r="B1959"/>
      <c r="C1959"/>
      <c r="D1959"/>
      <c r="E1959"/>
      <c r="F1959"/>
      <c r="G1959"/>
      <c r="H1959"/>
      <c r="I1959"/>
      <c r="J1959"/>
      <c r="K1959"/>
      <c r="L1959"/>
      <c r="M1959"/>
      <c r="N1959"/>
      <c r="O1959"/>
    </row>
    <row r="1960" spans="1:15" x14ac:dyDescent="0.25">
      <c r="A1960"/>
      <c r="B1960"/>
      <c r="C1960"/>
      <c r="D1960"/>
      <c r="E1960"/>
      <c r="F1960"/>
      <c r="G1960"/>
      <c r="H1960"/>
      <c r="I1960"/>
      <c r="J1960"/>
      <c r="K1960"/>
      <c r="L1960"/>
      <c r="M1960"/>
      <c r="N1960"/>
      <c r="O1960"/>
    </row>
    <row r="1961" spans="1:15" x14ac:dyDescent="0.25">
      <c r="A1961"/>
      <c r="B1961"/>
      <c r="C1961"/>
      <c r="D1961"/>
      <c r="E1961"/>
      <c r="F1961"/>
      <c r="G1961"/>
      <c r="H1961"/>
      <c r="I1961"/>
      <c r="J1961"/>
      <c r="K1961"/>
      <c r="L1961"/>
      <c r="M1961"/>
      <c r="N1961"/>
      <c r="O1961"/>
    </row>
    <row r="1962" spans="1:15" x14ac:dyDescent="0.25">
      <c r="A1962"/>
      <c r="B1962"/>
      <c r="C1962"/>
      <c r="D1962"/>
      <c r="E1962"/>
      <c r="F1962"/>
      <c r="G1962"/>
      <c r="H1962"/>
      <c r="I1962"/>
      <c r="J1962"/>
      <c r="K1962"/>
      <c r="L1962"/>
      <c r="M1962"/>
      <c r="N1962"/>
      <c r="O1962"/>
    </row>
    <row r="1963" spans="1:15" x14ac:dyDescent="0.25">
      <c r="A1963"/>
      <c r="B1963"/>
      <c r="C1963"/>
      <c r="D1963"/>
      <c r="E1963"/>
      <c r="F1963"/>
      <c r="G1963"/>
      <c r="H1963"/>
      <c r="I1963"/>
      <c r="J1963"/>
      <c r="K1963"/>
      <c r="L1963"/>
      <c r="M1963"/>
      <c r="N1963"/>
      <c r="O1963"/>
    </row>
    <row r="1964" spans="1:15" x14ac:dyDescent="0.25">
      <c r="A1964"/>
      <c r="B1964"/>
      <c r="C1964"/>
      <c r="D1964"/>
      <c r="E1964"/>
      <c r="F1964"/>
      <c r="G1964"/>
      <c r="H1964"/>
      <c r="I1964"/>
      <c r="J1964"/>
      <c r="K1964"/>
      <c r="L1964"/>
      <c r="M1964"/>
      <c r="N1964"/>
      <c r="O1964"/>
    </row>
    <row r="1965" spans="1:15" x14ac:dyDescent="0.25">
      <c r="A1965"/>
      <c r="B1965"/>
      <c r="C1965"/>
      <c r="D1965"/>
      <c r="E1965"/>
      <c r="F1965"/>
      <c r="G1965"/>
      <c r="H1965"/>
      <c r="I1965"/>
      <c r="J1965"/>
      <c r="K1965"/>
      <c r="L1965"/>
      <c r="M1965"/>
      <c r="N1965"/>
      <c r="O1965"/>
    </row>
    <row r="1966" spans="1:15" x14ac:dyDescent="0.25">
      <c r="A1966"/>
      <c r="B1966"/>
      <c r="C1966"/>
      <c r="D1966"/>
      <c r="E1966"/>
      <c r="F1966"/>
      <c r="G1966"/>
      <c r="H1966"/>
      <c r="I1966"/>
      <c r="J1966"/>
      <c r="K1966"/>
      <c r="L1966"/>
      <c r="M1966"/>
      <c r="N1966"/>
      <c r="O1966"/>
    </row>
    <row r="1967" spans="1:15" x14ac:dyDescent="0.25">
      <c r="A1967"/>
      <c r="B1967"/>
      <c r="C1967"/>
      <c r="D1967"/>
      <c r="E1967"/>
      <c r="F1967"/>
      <c r="G1967"/>
      <c r="H1967"/>
      <c r="I1967"/>
      <c r="J1967"/>
      <c r="K1967"/>
      <c r="L1967"/>
      <c r="M1967"/>
      <c r="N1967"/>
      <c r="O1967"/>
    </row>
    <row r="1968" spans="1:15" x14ac:dyDescent="0.25">
      <c r="A1968"/>
      <c r="B1968"/>
      <c r="C1968"/>
      <c r="D1968"/>
      <c r="E1968"/>
      <c r="F1968"/>
      <c r="G1968"/>
      <c r="H1968"/>
      <c r="I1968"/>
      <c r="J1968"/>
      <c r="K1968"/>
      <c r="L1968"/>
      <c r="M1968"/>
      <c r="N1968"/>
      <c r="O1968"/>
    </row>
    <row r="1969" spans="1:15" x14ac:dyDescent="0.25">
      <c r="A1969"/>
      <c r="B1969"/>
      <c r="C1969"/>
      <c r="D1969"/>
      <c r="E1969"/>
      <c r="F1969"/>
      <c r="G1969"/>
      <c r="H1969"/>
      <c r="I1969"/>
      <c r="J1969"/>
      <c r="K1969"/>
      <c r="L1969"/>
      <c r="M1969"/>
      <c r="N1969"/>
      <c r="O1969"/>
    </row>
    <row r="1970" spans="1:15" x14ac:dyDescent="0.25">
      <c r="A1970"/>
      <c r="B1970"/>
      <c r="C1970"/>
      <c r="D1970"/>
      <c r="E1970"/>
      <c r="F1970"/>
      <c r="G1970"/>
      <c r="H1970"/>
      <c r="I1970"/>
      <c r="J1970"/>
      <c r="K1970"/>
      <c r="L1970"/>
      <c r="M1970"/>
      <c r="N1970"/>
      <c r="O1970"/>
    </row>
    <row r="1971" spans="1:15" x14ac:dyDescent="0.25">
      <c r="A1971"/>
      <c r="B1971"/>
      <c r="C1971"/>
      <c r="D1971"/>
      <c r="E1971"/>
      <c r="F1971"/>
      <c r="G1971"/>
      <c r="H1971"/>
      <c r="I1971"/>
      <c r="J1971"/>
      <c r="K1971"/>
      <c r="L1971"/>
      <c r="M1971"/>
      <c r="N1971"/>
      <c r="O1971"/>
    </row>
    <row r="1972" spans="1:15" x14ac:dyDescent="0.25">
      <c r="A1972"/>
      <c r="B1972"/>
      <c r="C1972"/>
      <c r="D1972"/>
      <c r="E1972"/>
      <c r="F1972"/>
      <c r="G1972"/>
      <c r="H1972"/>
      <c r="I1972"/>
      <c r="J1972"/>
      <c r="K1972"/>
      <c r="L1972"/>
      <c r="M1972"/>
      <c r="N1972"/>
      <c r="O1972"/>
    </row>
    <row r="1973" spans="1:15" x14ac:dyDescent="0.25">
      <c r="A1973"/>
      <c r="B1973"/>
      <c r="C1973"/>
      <c r="D1973"/>
      <c r="E1973"/>
      <c r="F1973"/>
      <c r="G1973"/>
      <c r="H1973"/>
      <c r="I1973"/>
      <c r="J1973"/>
      <c r="K1973"/>
      <c r="L1973"/>
      <c r="M1973"/>
      <c r="N1973"/>
      <c r="O1973"/>
    </row>
    <row r="1974" spans="1:15" x14ac:dyDescent="0.25">
      <c r="A1974"/>
      <c r="B1974"/>
      <c r="C1974"/>
      <c r="D1974"/>
      <c r="E1974"/>
      <c r="F1974"/>
      <c r="G1974"/>
      <c r="H1974"/>
      <c r="I1974"/>
      <c r="J1974"/>
      <c r="K1974"/>
      <c r="L1974"/>
      <c r="M1974"/>
      <c r="N1974"/>
      <c r="O1974"/>
    </row>
    <row r="1975" spans="1:15" x14ac:dyDescent="0.25">
      <c r="A1975"/>
      <c r="B1975"/>
      <c r="C1975"/>
      <c r="D1975"/>
      <c r="E1975"/>
      <c r="F1975"/>
      <c r="G1975"/>
      <c r="H1975"/>
      <c r="I1975"/>
      <c r="J1975"/>
      <c r="K1975"/>
      <c r="L1975"/>
      <c r="M1975"/>
      <c r="N1975"/>
      <c r="O1975"/>
    </row>
    <row r="1976" spans="1:15" x14ac:dyDescent="0.25">
      <c r="A1976"/>
      <c r="B1976"/>
      <c r="C1976"/>
      <c r="D1976"/>
      <c r="E1976"/>
      <c r="F1976"/>
      <c r="G1976"/>
      <c r="H1976"/>
      <c r="I1976"/>
      <c r="J1976"/>
      <c r="K1976"/>
      <c r="L1976"/>
      <c r="M1976"/>
      <c r="N1976"/>
      <c r="O1976"/>
    </row>
    <row r="1977" spans="1:15" x14ac:dyDescent="0.25">
      <c r="A1977"/>
      <c r="B1977"/>
      <c r="C1977"/>
      <c r="D1977"/>
      <c r="E1977"/>
      <c r="F1977"/>
      <c r="G1977"/>
      <c r="H1977"/>
      <c r="I1977"/>
      <c r="J1977"/>
      <c r="K1977"/>
      <c r="L1977"/>
      <c r="M1977"/>
      <c r="N1977"/>
      <c r="O1977"/>
    </row>
    <row r="1978" spans="1:15" x14ac:dyDescent="0.25">
      <c r="A1978"/>
      <c r="B1978"/>
      <c r="C1978"/>
      <c r="D1978"/>
      <c r="E1978"/>
      <c r="F1978"/>
      <c r="G1978"/>
      <c r="H1978"/>
      <c r="I1978"/>
      <c r="J1978"/>
      <c r="K1978"/>
      <c r="L1978"/>
      <c r="M1978"/>
      <c r="N1978"/>
      <c r="O1978"/>
    </row>
    <row r="1979" spans="1:15" x14ac:dyDescent="0.25">
      <c r="A1979"/>
      <c r="B1979"/>
      <c r="C1979"/>
      <c r="D1979"/>
      <c r="E1979"/>
      <c r="F1979"/>
      <c r="G1979"/>
      <c r="H1979"/>
      <c r="I1979"/>
      <c r="J1979"/>
      <c r="K1979"/>
      <c r="L1979"/>
      <c r="M1979"/>
      <c r="N1979"/>
      <c r="O1979"/>
    </row>
    <row r="1980" spans="1:15" x14ac:dyDescent="0.25">
      <c r="A1980"/>
      <c r="B1980"/>
      <c r="C1980"/>
      <c r="D1980"/>
      <c r="E1980"/>
      <c r="F1980"/>
      <c r="G1980"/>
      <c r="H1980"/>
      <c r="I1980"/>
      <c r="J1980"/>
      <c r="K1980"/>
      <c r="L1980"/>
      <c r="M1980"/>
      <c r="N1980"/>
      <c r="O1980"/>
    </row>
    <row r="1981" spans="1:15" x14ac:dyDescent="0.25">
      <c r="A1981"/>
      <c r="B1981"/>
      <c r="C1981"/>
      <c r="D1981"/>
      <c r="E1981"/>
      <c r="F1981"/>
      <c r="G1981"/>
      <c r="H1981"/>
      <c r="I1981"/>
      <c r="J1981"/>
      <c r="K1981"/>
      <c r="L1981"/>
      <c r="M1981"/>
      <c r="N1981"/>
      <c r="O1981"/>
    </row>
    <row r="1982" spans="1:15" x14ac:dyDescent="0.25">
      <c r="A1982"/>
      <c r="B1982"/>
      <c r="C1982"/>
      <c r="D1982"/>
      <c r="E1982"/>
      <c r="F1982"/>
      <c r="G1982"/>
      <c r="H1982"/>
      <c r="I1982"/>
      <c r="J1982"/>
      <c r="K1982"/>
      <c r="L1982"/>
      <c r="M1982"/>
      <c r="N1982"/>
      <c r="O1982"/>
    </row>
    <row r="1983" spans="1:15" x14ac:dyDescent="0.25">
      <c r="A1983"/>
      <c r="B1983"/>
      <c r="C1983"/>
      <c r="D1983"/>
      <c r="E1983"/>
      <c r="F1983"/>
      <c r="G1983"/>
      <c r="H1983"/>
      <c r="I1983"/>
      <c r="J1983"/>
      <c r="K1983"/>
      <c r="L1983"/>
      <c r="M1983"/>
      <c r="N1983"/>
      <c r="O1983"/>
    </row>
    <row r="1984" spans="1:15" x14ac:dyDescent="0.25">
      <c r="A1984"/>
      <c r="B1984"/>
      <c r="C1984"/>
      <c r="D1984"/>
      <c r="E1984"/>
      <c r="F1984"/>
      <c r="G1984"/>
      <c r="H1984"/>
      <c r="I1984"/>
      <c r="J1984"/>
      <c r="K1984"/>
      <c r="L1984"/>
      <c r="M1984"/>
      <c r="N1984"/>
      <c r="O1984"/>
    </row>
    <row r="1985" spans="1:15" x14ac:dyDescent="0.25">
      <c r="A1985"/>
      <c r="B1985"/>
      <c r="C1985"/>
      <c r="D1985"/>
      <c r="E1985"/>
      <c r="F1985"/>
      <c r="G1985"/>
      <c r="H1985"/>
      <c r="I1985"/>
      <c r="J1985"/>
      <c r="K1985"/>
      <c r="L1985"/>
      <c r="M1985"/>
      <c r="N1985"/>
      <c r="O1985"/>
    </row>
    <row r="1986" spans="1:15" x14ac:dyDescent="0.25">
      <c r="A1986"/>
      <c r="B1986"/>
      <c r="C1986"/>
      <c r="D1986"/>
      <c r="E1986"/>
      <c r="F1986"/>
      <c r="G1986"/>
      <c r="H1986"/>
      <c r="I1986"/>
      <c r="J1986"/>
      <c r="K1986"/>
      <c r="L1986"/>
      <c r="M1986"/>
      <c r="N1986"/>
      <c r="O1986"/>
    </row>
    <row r="1987" spans="1:15" x14ac:dyDescent="0.25">
      <c r="A1987"/>
      <c r="B1987"/>
      <c r="C1987"/>
      <c r="D1987"/>
      <c r="E1987"/>
      <c r="F1987"/>
      <c r="G1987"/>
      <c r="H1987"/>
      <c r="I1987"/>
      <c r="J1987"/>
      <c r="K1987"/>
      <c r="L1987"/>
      <c r="M1987"/>
      <c r="N1987"/>
      <c r="O1987"/>
    </row>
    <row r="1988" spans="1:15" x14ac:dyDescent="0.25">
      <c r="A1988"/>
      <c r="B1988"/>
      <c r="C1988"/>
      <c r="D1988"/>
      <c r="E1988"/>
      <c r="F1988"/>
      <c r="G1988"/>
      <c r="H1988"/>
      <c r="I1988"/>
      <c r="J1988"/>
      <c r="K1988"/>
      <c r="L1988"/>
      <c r="M1988"/>
      <c r="N1988"/>
      <c r="O1988"/>
    </row>
    <row r="1989" spans="1:15" x14ac:dyDescent="0.25">
      <c r="A1989"/>
      <c r="B1989"/>
      <c r="C1989"/>
      <c r="D1989"/>
      <c r="E1989"/>
      <c r="F1989"/>
      <c r="G1989"/>
      <c r="H1989"/>
      <c r="I1989"/>
      <c r="J1989"/>
      <c r="K1989"/>
      <c r="L1989"/>
      <c r="M1989"/>
      <c r="N1989"/>
      <c r="O1989"/>
    </row>
    <row r="1990" spans="1:15" x14ac:dyDescent="0.25">
      <c r="A1990"/>
      <c r="B1990"/>
      <c r="C1990"/>
      <c r="D1990"/>
      <c r="E1990"/>
      <c r="F1990"/>
      <c r="G1990"/>
      <c r="H1990"/>
      <c r="I1990"/>
      <c r="J1990"/>
      <c r="K1990"/>
      <c r="L1990"/>
      <c r="M1990"/>
      <c r="N1990"/>
      <c r="O1990"/>
    </row>
    <row r="1991" spans="1:15" x14ac:dyDescent="0.25">
      <c r="A1991"/>
      <c r="B1991"/>
      <c r="C1991"/>
      <c r="D1991"/>
      <c r="E1991"/>
      <c r="F1991"/>
      <c r="G1991"/>
      <c r="H1991"/>
      <c r="I1991"/>
      <c r="J1991"/>
      <c r="K1991"/>
      <c r="L1991"/>
      <c r="M1991"/>
      <c r="N1991"/>
      <c r="O1991"/>
    </row>
    <row r="1992" spans="1:15" x14ac:dyDescent="0.25">
      <c r="A1992"/>
      <c r="B1992"/>
      <c r="C1992"/>
      <c r="D1992"/>
      <c r="E1992"/>
      <c r="F1992"/>
      <c r="G1992"/>
      <c r="H1992"/>
      <c r="I1992"/>
      <c r="J1992"/>
      <c r="K1992"/>
      <c r="L1992"/>
      <c r="M1992"/>
      <c r="N1992"/>
      <c r="O1992"/>
    </row>
    <row r="1993" spans="1:15" x14ac:dyDescent="0.25">
      <c r="A1993"/>
      <c r="B1993"/>
      <c r="C1993"/>
      <c r="D1993"/>
      <c r="E1993"/>
      <c r="F1993"/>
      <c r="G1993"/>
      <c r="H1993"/>
      <c r="I1993"/>
      <c r="J1993"/>
      <c r="K1993"/>
      <c r="L1993"/>
      <c r="M1993"/>
      <c r="N1993"/>
      <c r="O1993"/>
    </row>
    <row r="1994" spans="1:15" x14ac:dyDescent="0.25">
      <c r="A1994"/>
      <c r="B1994"/>
      <c r="C1994"/>
      <c r="D1994"/>
      <c r="E1994"/>
      <c r="F1994"/>
      <c r="G1994"/>
      <c r="H1994"/>
      <c r="I1994"/>
      <c r="J1994"/>
      <c r="K1994"/>
      <c r="L1994"/>
      <c r="M1994"/>
      <c r="N1994"/>
      <c r="O1994"/>
    </row>
    <row r="1995" spans="1:15" x14ac:dyDescent="0.25">
      <c r="A1995"/>
      <c r="B1995"/>
      <c r="C1995"/>
      <c r="D1995"/>
      <c r="E1995"/>
      <c r="F1995"/>
      <c r="G1995"/>
      <c r="H1995"/>
      <c r="I1995"/>
      <c r="J1995"/>
      <c r="K1995"/>
      <c r="L1995"/>
      <c r="M1995"/>
      <c r="N1995"/>
      <c r="O1995"/>
    </row>
    <row r="1996" spans="1:15" x14ac:dyDescent="0.25">
      <c r="A1996"/>
      <c r="B1996"/>
      <c r="C1996"/>
      <c r="D1996"/>
      <c r="E1996"/>
      <c r="F1996"/>
      <c r="G1996"/>
      <c r="H1996"/>
      <c r="I1996"/>
      <c r="J1996"/>
      <c r="K1996"/>
      <c r="L1996"/>
      <c r="M1996"/>
      <c r="N1996"/>
      <c r="O1996"/>
    </row>
    <row r="1997" spans="1:15" x14ac:dyDescent="0.25">
      <c r="A1997"/>
      <c r="B1997"/>
      <c r="C1997"/>
      <c r="D1997"/>
      <c r="E1997"/>
      <c r="F1997"/>
      <c r="G1997"/>
      <c r="H1997"/>
      <c r="I1997"/>
      <c r="J1997"/>
      <c r="K1997"/>
      <c r="L1997"/>
      <c r="M1997"/>
      <c r="N1997"/>
      <c r="O1997"/>
    </row>
    <row r="1998" spans="1:15" x14ac:dyDescent="0.25">
      <c r="A1998"/>
      <c r="B1998"/>
      <c r="C1998"/>
      <c r="D1998"/>
      <c r="E1998"/>
      <c r="F1998"/>
      <c r="G1998"/>
      <c r="H1998"/>
      <c r="I1998"/>
      <c r="J1998"/>
      <c r="K1998"/>
      <c r="L1998"/>
      <c r="M1998"/>
      <c r="N1998"/>
      <c r="O1998"/>
    </row>
    <row r="1999" spans="1:15" x14ac:dyDescent="0.25">
      <c r="A1999"/>
      <c r="B1999"/>
      <c r="C1999"/>
      <c r="D1999"/>
      <c r="E1999"/>
      <c r="F1999"/>
      <c r="G1999"/>
      <c r="H1999"/>
      <c r="I1999"/>
      <c r="J1999"/>
      <c r="K1999"/>
      <c r="L1999"/>
      <c r="M1999"/>
      <c r="N1999"/>
      <c r="O1999"/>
    </row>
    <row r="2000" spans="1:15" x14ac:dyDescent="0.25">
      <c r="A2000"/>
      <c r="B2000"/>
      <c r="C2000"/>
      <c r="D2000"/>
      <c r="E2000"/>
      <c r="F2000"/>
      <c r="G2000"/>
      <c r="H2000"/>
      <c r="I2000"/>
      <c r="J2000"/>
      <c r="K2000"/>
      <c r="L2000"/>
      <c r="M2000"/>
      <c r="N2000"/>
      <c r="O2000"/>
    </row>
    <row r="2001" spans="1:15" x14ac:dyDescent="0.25">
      <c r="A2001"/>
      <c r="B2001"/>
      <c r="C2001"/>
      <c r="D2001"/>
      <c r="E2001"/>
      <c r="F2001"/>
      <c r="G2001"/>
      <c r="H2001"/>
      <c r="I2001"/>
      <c r="J2001"/>
      <c r="K2001"/>
      <c r="L2001"/>
      <c r="M2001"/>
      <c r="N2001"/>
      <c r="O2001"/>
    </row>
    <row r="2002" spans="1:15" x14ac:dyDescent="0.25">
      <c r="A2002"/>
      <c r="B2002"/>
      <c r="C2002"/>
      <c r="D2002"/>
      <c r="E2002"/>
      <c r="F2002"/>
      <c r="G2002"/>
      <c r="H2002"/>
      <c r="I2002"/>
      <c r="J2002"/>
      <c r="K2002"/>
      <c r="L2002"/>
      <c r="M2002"/>
      <c r="N2002"/>
      <c r="O2002"/>
    </row>
    <row r="2003" spans="1:15" x14ac:dyDescent="0.25">
      <c r="A2003"/>
      <c r="B2003"/>
      <c r="C2003"/>
      <c r="D2003"/>
      <c r="E2003"/>
      <c r="F2003"/>
      <c r="G2003"/>
      <c r="H2003"/>
      <c r="I2003"/>
      <c r="J2003"/>
      <c r="K2003"/>
      <c r="L2003"/>
      <c r="M2003"/>
      <c r="N2003"/>
      <c r="O2003"/>
    </row>
    <row r="2004" spans="1:15" x14ac:dyDescent="0.25">
      <c r="A2004"/>
      <c r="B2004"/>
      <c r="C2004"/>
      <c r="D2004"/>
      <c r="E2004"/>
      <c r="F2004"/>
      <c r="G2004"/>
      <c r="H2004"/>
      <c r="I2004"/>
      <c r="J2004"/>
      <c r="K2004"/>
      <c r="L2004"/>
      <c r="M2004"/>
      <c r="N2004"/>
      <c r="O2004"/>
    </row>
    <row r="2005" spans="1:15" x14ac:dyDescent="0.25">
      <c r="A2005"/>
      <c r="B2005"/>
      <c r="C2005"/>
      <c r="D2005"/>
      <c r="E2005"/>
      <c r="F2005"/>
      <c r="G2005"/>
      <c r="H2005"/>
      <c r="I2005"/>
      <c r="J2005"/>
      <c r="K2005"/>
      <c r="L2005"/>
      <c r="M2005"/>
      <c r="N2005"/>
      <c r="O2005"/>
    </row>
    <row r="2006" spans="1:15" x14ac:dyDescent="0.25">
      <c r="A2006"/>
      <c r="B2006"/>
      <c r="C2006"/>
      <c r="D2006"/>
      <c r="E2006"/>
      <c r="F2006"/>
      <c r="G2006"/>
      <c r="H2006"/>
      <c r="I2006"/>
      <c r="J2006"/>
      <c r="K2006"/>
      <c r="L2006"/>
      <c r="M2006"/>
      <c r="N2006"/>
      <c r="O2006"/>
    </row>
    <row r="2007" spans="1:15" x14ac:dyDescent="0.25">
      <c r="A2007"/>
      <c r="B2007"/>
      <c r="C2007"/>
      <c r="D2007"/>
      <c r="E2007"/>
      <c r="F2007"/>
      <c r="G2007"/>
      <c r="H2007"/>
      <c r="I2007"/>
      <c r="J2007"/>
      <c r="K2007"/>
      <c r="L2007"/>
      <c r="M2007"/>
      <c r="N2007"/>
      <c r="O2007"/>
    </row>
    <row r="2008" spans="1:15" x14ac:dyDescent="0.25">
      <c r="A2008"/>
      <c r="B2008"/>
      <c r="C2008"/>
      <c r="D2008"/>
      <c r="E2008"/>
      <c r="F2008"/>
      <c r="G2008"/>
      <c r="H2008"/>
      <c r="I2008"/>
      <c r="J2008"/>
      <c r="K2008"/>
      <c r="L2008"/>
      <c r="M2008"/>
      <c r="N2008"/>
      <c r="O2008"/>
    </row>
    <row r="2009" spans="1:15" x14ac:dyDescent="0.25">
      <c r="A2009"/>
      <c r="B2009"/>
      <c r="C2009"/>
      <c r="D2009"/>
      <c r="E2009"/>
      <c r="F2009"/>
      <c r="G2009"/>
      <c r="H2009"/>
      <c r="I2009"/>
      <c r="J2009"/>
      <c r="K2009"/>
      <c r="L2009"/>
      <c r="M2009"/>
      <c r="N2009"/>
      <c r="O2009"/>
    </row>
    <row r="2010" spans="1:15" x14ac:dyDescent="0.25">
      <c r="A2010"/>
      <c r="B2010"/>
      <c r="C2010"/>
      <c r="D2010"/>
      <c r="E2010"/>
      <c r="F2010"/>
      <c r="G2010"/>
      <c r="H2010"/>
      <c r="I2010"/>
      <c r="J2010"/>
      <c r="K2010"/>
      <c r="L2010"/>
      <c r="M2010"/>
      <c r="N2010"/>
      <c r="O2010"/>
    </row>
    <row r="2011" spans="1:15" x14ac:dyDescent="0.25">
      <c r="A2011"/>
      <c r="B2011"/>
      <c r="C2011"/>
      <c r="D2011"/>
      <c r="E2011"/>
      <c r="F2011"/>
      <c r="G2011"/>
      <c r="H2011"/>
      <c r="I2011"/>
      <c r="J2011"/>
      <c r="K2011"/>
      <c r="L2011"/>
      <c r="M2011"/>
      <c r="N2011"/>
      <c r="O2011"/>
    </row>
    <row r="2012" spans="1:15" x14ac:dyDescent="0.25">
      <c r="A2012"/>
      <c r="B2012"/>
      <c r="C2012"/>
      <c r="D2012"/>
      <c r="E2012"/>
      <c r="F2012"/>
      <c r="G2012"/>
      <c r="H2012"/>
      <c r="I2012"/>
      <c r="J2012"/>
      <c r="K2012"/>
      <c r="L2012"/>
      <c r="M2012"/>
      <c r="N2012"/>
      <c r="O2012"/>
    </row>
    <row r="2013" spans="1:15" x14ac:dyDescent="0.25">
      <c r="A2013"/>
      <c r="B2013"/>
      <c r="C2013"/>
      <c r="D2013"/>
      <c r="E2013"/>
      <c r="F2013"/>
      <c r="G2013"/>
      <c r="H2013"/>
      <c r="I2013"/>
      <c r="J2013"/>
      <c r="K2013"/>
      <c r="L2013"/>
      <c r="M2013"/>
      <c r="N2013"/>
      <c r="O2013"/>
    </row>
    <row r="2014" spans="1:15" x14ac:dyDescent="0.25">
      <c r="A2014"/>
      <c r="B2014"/>
      <c r="C2014"/>
      <c r="D2014"/>
      <c r="E2014"/>
      <c r="F2014"/>
      <c r="G2014"/>
      <c r="H2014"/>
      <c r="I2014"/>
      <c r="J2014"/>
      <c r="K2014"/>
      <c r="L2014"/>
      <c r="M2014"/>
      <c r="N2014"/>
      <c r="O2014"/>
    </row>
    <row r="2015" spans="1:15" x14ac:dyDescent="0.25">
      <c r="A2015"/>
      <c r="B2015"/>
      <c r="C2015"/>
      <c r="D2015"/>
      <c r="E2015"/>
      <c r="F2015"/>
      <c r="G2015"/>
      <c r="H2015"/>
      <c r="I2015"/>
      <c r="J2015"/>
      <c r="K2015"/>
      <c r="L2015"/>
      <c r="M2015"/>
      <c r="N2015"/>
      <c r="O2015"/>
    </row>
    <row r="2016" spans="1:15" x14ac:dyDescent="0.25">
      <c r="A2016"/>
      <c r="B2016"/>
      <c r="C2016"/>
      <c r="D2016"/>
      <c r="E2016"/>
      <c r="F2016"/>
      <c r="G2016"/>
      <c r="H2016"/>
      <c r="I2016"/>
      <c r="J2016"/>
      <c r="K2016"/>
      <c r="L2016"/>
      <c r="M2016"/>
      <c r="N2016"/>
      <c r="O2016"/>
    </row>
    <row r="2017" spans="1:15" x14ac:dyDescent="0.25">
      <c r="A2017"/>
      <c r="B2017"/>
      <c r="C2017"/>
      <c r="D2017"/>
      <c r="E2017"/>
      <c r="F2017"/>
      <c r="G2017"/>
      <c r="H2017"/>
      <c r="I2017"/>
      <c r="J2017"/>
      <c r="K2017"/>
      <c r="L2017"/>
      <c r="M2017"/>
      <c r="N2017"/>
      <c r="O2017"/>
    </row>
    <row r="2018" spans="1:15" x14ac:dyDescent="0.25">
      <c r="A2018"/>
      <c r="B2018"/>
      <c r="C2018"/>
      <c r="D2018"/>
      <c r="E2018"/>
      <c r="F2018"/>
      <c r="G2018"/>
      <c r="H2018"/>
      <c r="I2018"/>
      <c r="J2018"/>
      <c r="K2018"/>
      <c r="L2018"/>
      <c r="M2018"/>
      <c r="N2018"/>
      <c r="O2018"/>
    </row>
    <row r="2019" spans="1:15" x14ac:dyDescent="0.25">
      <c r="A2019"/>
      <c r="B2019"/>
      <c r="C2019"/>
      <c r="D2019"/>
      <c r="E2019"/>
      <c r="F2019"/>
      <c r="G2019"/>
      <c r="H2019"/>
      <c r="I2019"/>
      <c r="J2019"/>
      <c r="K2019"/>
      <c r="L2019"/>
      <c r="M2019"/>
      <c r="N2019"/>
      <c r="O2019"/>
    </row>
    <row r="2020" spans="1:15" x14ac:dyDescent="0.25">
      <c r="A2020"/>
      <c r="B2020"/>
      <c r="C2020"/>
      <c r="D2020"/>
      <c r="E2020"/>
      <c r="F2020"/>
      <c r="G2020"/>
      <c r="H2020"/>
      <c r="I2020"/>
      <c r="J2020"/>
      <c r="K2020"/>
      <c r="L2020"/>
      <c r="M2020"/>
      <c r="N2020"/>
      <c r="O2020"/>
    </row>
    <row r="2021" spans="1:15" x14ac:dyDescent="0.25">
      <c r="A2021"/>
      <c r="B2021"/>
      <c r="C2021"/>
      <c r="D2021"/>
      <c r="E2021"/>
      <c r="F2021"/>
      <c r="G2021"/>
      <c r="H2021"/>
      <c r="I2021"/>
      <c r="J2021"/>
      <c r="K2021"/>
      <c r="L2021"/>
      <c r="M2021"/>
      <c r="N2021"/>
      <c r="O2021"/>
    </row>
    <row r="2022" spans="1:15" x14ac:dyDescent="0.25">
      <c r="A2022"/>
      <c r="B2022"/>
      <c r="C2022"/>
      <c r="D2022"/>
      <c r="E2022"/>
      <c r="F2022"/>
      <c r="G2022"/>
      <c r="H2022"/>
      <c r="I2022"/>
      <c r="J2022"/>
      <c r="K2022"/>
      <c r="L2022"/>
      <c r="M2022"/>
      <c r="N2022"/>
      <c r="O2022"/>
    </row>
    <row r="2023" spans="1:15" x14ac:dyDescent="0.25">
      <c r="A2023"/>
      <c r="B2023"/>
      <c r="C2023"/>
      <c r="D2023"/>
      <c r="E2023"/>
      <c r="F2023"/>
      <c r="G2023"/>
      <c r="H2023"/>
      <c r="I2023"/>
      <c r="J2023"/>
      <c r="K2023"/>
      <c r="L2023"/>
      <c r="M2023"/>
      <c r="N2023"/>
      <c r="O2023"/>
    </row>
    <row r="2024" spans="1:15" x14ac:dyDescent="0.25">
      <c r="A2024"/>
      <c r="B2024"/>
      <c r="C2024"/>
      <c r="D2024"/>
      <c r="E2024"/>
      <c r="F2024"/>
      <c r="G2024"/>
      <c r="H2024"/>
      <c r="I2024"/>
      <c r="J2024"/>
      <c r="K2024"/>
      <c r="L2024"/>
      <c r="M2024"/>
      <c r="N2024"/>
      <c r="O2024"/>
    </row>
    <row r="2025" spans="1:15" x14ac:dyDescent="0.25">
      <c r="A2025"/>
      <c r="B2025"/>
      <c r="C2025"/>
      <c r="D2025"/>
      <c r="E2025"/>
      <c r="F2025"/>
      <c r="G2025"/>
      <c r="H2025"/>
      <c r="I2025"/>
      <c r="J2025"/>
      <c r="K2025"/>
      <c r="L2025"/>
      <c r="M2025"/>
      <c r="N2025"/>
      <c r="O2025"/>
    </row>
    <row r="2026" spans="1:15" x14ac:dyDescent="0.25">
      <c r="A2026"/>
      <c r="B2026"/>
      <c r="C2026"/>
      <c r="D2026"/>
      <c r="E2026"/>
      <c r="F2026"/>
      <c r="G2026"/>
      <c r="H2026"/>
      <c r="I2026"/>
      <c r="J2026"/>
      <c r="K2026"/>
      <c r="L2026"/>
      <c r="M2026"/>
      <c r="N2026"/>
      <c r="O2026"/>
    </row>
    <row r="2027" spans="1:15" x14ac:dyDescent="0.25">
      <c r="A2027"/>
      <c r="B2027"/>
      <c r="C2027"/>
      <c r="D2027"/>
      <c r="E2027"/>
      <c r="F2027"/>
      <c r="G2027"/>
      <c r="H2027"/>
      <c r="I2027"/>
      <c r="J2027"/>
      <c r="K2027"/>
      <c r="L2027"/>
      <c r="M2027"/>
      <c r="N2027"/>
      <c r="O2027"/>
    </row>
    <row r="2028" spans="1:15" x14ac:dyDescent="0.25">
      <c r="A2028"/>
      <c r="B2028"/>
      <c r="C2028"/>
      <c r="D2028"/>
      <c r="E2028"/>
      <c r="F2028"/>
      <c r="G2028"/>
      <c r="H2028"/>
      <c r="I2028"/>
      <c r="J2028"/>
      <c r="K2028"/>
      <c r="L2028"/>
      <c r="M2028"/>
      <c r="N2028"/>
      <c r="O2028"/>
    </row>
    <row r="2029" spans="1:15" x14ac:dyDescent="0.25">
      <c r="A2029"/>
      <c r="B2029"/>
      <c r="C2029"/>
      <c r="D2029"/>
      <c r="E2029"/>
      <c r="F2029"/>
      <c r="G2029"/>
      <c r="H2029"/>
      <c r="I2029"/>
      <c r="J2029"/>
      <c r="K2029"/>
      <c r="L2029"/>
      <c r="M2029"/>
      <c r="N2029"/>
      <c r="O2029"/>
    </row>
    <row r="2030" spans="1:15" x14ac:dyDescent="0.25">
      <c r="A2030"/>
      <c r="B2030"/>
      <c r="C2030"/>
      <c r="D2030"/>
      <c r="E2030"/>
      <c r="F2030"/>
      <c r="G2030"/>
      <c r="H2030"/>
      <c r="I2030"/>
      <c r="J2030"/>
      <c r="K2030"/>
      <c r="L2030"/>
      <c r="M2030"/>
      <c r="N2030"/>
      <c r="O2030"/>
    </row>
    <row r="2031" spans="1:15" x14ac:dyDescent="0.25">
      <c r="A2031"/>
      <c r="B2031"/>
      <c r="C2031"/>
      <c r="D2031"/>
      <c r="E2031"/>
      <c r="F2031"/>
      <c r="G2031"/>
      <c r="H2031"/>
      <c r="I2031"/>
      <c r="J2031"/>
      <c r="K2031"/>
      <c r="L2031"/>
      <c r="M2031"/>
      <c r="N2031"/>
      <c r="O2031"/>
    </row>
    <row r="2032" spans="1:15" x14ac:dyDescent="0.25">
      <c r="A2032"/>
      <c r="B2032"/>
      <c r="C2032"/>
      <c r="D2032"/>
      <c r="E2032"/>
      <c r="F2032"/>
      <c r="G2032"/>
      <c r="H2032"/>
      <c r="I2032"/>
      <c r="J2032"/>
      <c r="K2032"/>
      <c r="L2032"/>
      <c r="M2032"/>
      <c r="N2032"/>
      <c r="O2032"/>
    </row>
    <row r="2033" spans="1:15" x14ac:dyDescent="0.25">
      <c r="A2033"/>
      <c r="B2033"/>
      <c r="C2033"/>
      <c r="D2033"/>
      <c r="E2033"/>
      <c r="F2033"/>
      <c r="G2033"/>
      <c r="H2033"/>
      <c r="I2033"/>
      <c r="J2033"/>
      <c r="K2033"/>
      <c r="L2033"/>
      <c r="M2033"/>
      <c r="N2033"/>
      <c r="O2033"/>
    </row>
    <row r="2034" spans="1:15" x14ac:dyDescent="0.25">
      <c r="A2034"/>
      <c r="B2034"/>
      <c r="C2034"/>
      <c r="D2034"/>
      <c r="E2034"/>
      <c r="F2034"/>
      <c r="G2034"/>
      <c r="H2034"/>
      <c r="I2034"/>
      <c r="J2034"/>
      <c r="K2034"/>
      <c r="L2034"/>
      <c r="M2034"/>
      <c r="N2034"/>
      <c r="O2034"/>
    </row>
    <row r="2035" spans="1:15" x14ac:dyDescent="0.25">
      <c r="A2035"/>
      <c r="B2035"/>
      <c r="C2035"/>
      <c r="D2035"/>
      <c r="E2035"/>
      <c r="F2035"/>
      <c r="G2035"/>
      <c r="H2035"/>
      <c r="I2035"/>
      <c r="J2035"/>
      <c r="K2035"/>
      <c r="L2035"/>
      <c r="M2035"/>
      <c r="N2035"/>
      <c r="O2035"/>
    </row>
    <row r="2036" spans="1:15" x14ac:dyDescent="0.25">
      <c r="A2036"/>
      <c r="B2036"/>
      <c r="C2036"/>
      <c r="D2036"/>
      <c r="E2036"/>
      <c r="F2036"/>
      <c r="G2036"/>
      <c r="H2036"/>
      <c r="I2036"/>
      <c r="J2036"/>
      <c r="K2036"/>
      <c r="L2036"/>
      <c r="M2036"/>
      <c r="N2036"/>
      <c r="O2036"/>
    </row>
    <row r="2037" spans="1:15" x14ac:dyDescent="0.25">
      <c r="A2037"/>
      <c r="B2037"/>
      <c r="C2037"/>
      <c r="D2037"/>
      <c r="E2037"/>
      <c r="F2037"/>
      <c r="G2037"/>
      <c r="H2037"/>
      <c r="I2037"/>
      <c r="J2037"/>
      <c r="K2037"/>
      <c r="L2037"/>
      <c r="M2037"/>
      <c r="N2037"/>
      <c r="O2037"/>
    </row>
    <row r="2038" spans="1:15" x14ac:dyDescent="0.25">
      <c r="A2038"/>
      <c r="B2038"/>
      <c r="C2038"/>
      <c r="D2038"/>
      <c r="E2038"/>
      <c r="F2038"/>
      <c r="G2038"/>
      <c r="H2038"/>
      <c r="I2038"/>
      <c r="J2038"/>
      <c r="K2038"/>
      <c r="L2038"/>
      <c r="M2038"/>
      <c r="N2038"/>
      <c r="O2038"/>
    </row>
    <row r="2039" spans="1:15" x14ac:dyDescent="0.25">
      <c r="A2039"/>
      <c r="B2039"/>
      <c r="C2039"/>
      <c r="D2039"/>
      <c r="E2039"/>
      <c r="F2039"/>
      <c r="G2039"/>
      <c r="H2039"/>
      <c r="I2039"/>
      <c r="J2039"/>
      <c r="K2039"/>
      <c r="L2039"/>
      <c r="M2039"/>
      <c r="N2039"/>
      <c r="O2039"/>
    </row>
    <row r="2040" spans="1:15" x14ac:dyDescent="0.25">
      <c r="A2040"/>
      <c r="B2040"/>
      <c r="C2040"/>
      <c r="D2040"/>
      <c r="E2040"/>
      <c r="F2040"/>
      <c r="G2040"/>
      <c r="H2040"/>
      <c r="I2040"/>
      <c r="J2040"/>
      <c r="K2040"/>
      <c r="L2040"/>
      <c r="M2040"/>
      <c r="N2040"/>
      <c r="O2040"/>
    </row>
    <row r="2041" spans="1:15" x14ac:dyDescent="0.25">
      <c r="A2041"/>
      <c r="B2041"/>
      <c r="C2041"/>
      <c r="D2041"/>
      <c r="E2041"/>
      <c r="F2041"/>
      <c r="G2041"/>
      <c r="H2041"/>
      <c r="I2041"/>
      <c r="J2041"/>
      <c r="K2041"/>
      <c r="L2041"/>
      <c r="M2041"/>
      <c r="N2041"/>
      <c r="O2041"/>
    </row>
    <row r="2042" spans="1:15" x14ac:dyDescent="0.25">
      <c r="A2042"/>
      <c r="B2042"/>
      <c r="C2042"/>
      <c r="D2042"/>
      <c r="E2042"/>
      <c r="F2042"/>
      <c r="G2042"/>
      <c r="H2042"/>
      <c r="I2042"/>
      <c r="J2042"/>
      <c r="K2042"/>
      <c r="L2042"/>
      <c r="M2042"/>
      <c r="N2042"/>
      <c r="O2042"/>
    </row>
    <row r="2043" spans="1:15" x14ac:dyDescent="0.25">
      <c r="A2043"/>
      <c r="B2043"/>
      <c r="C2043"/>
      <c r="D2043"/>
      <c r="E2043"/>
      <c r="F2043"/>
      <c r="G2043"/>
      <c r="H2043"/>
      <c r="I2043"/>
      <c r="J2043"/>
      <c r="K2043"/>
      <c r="L2043"/>
      <c r="M2043"/>
      <c r="N2043"/>
      <c r="O2043"/>
    </row>
    <row r="2044" spans="1:15" x14ac:dyDescent="0.25">
      <c r="A2044"/>
      <c r="B2044"/>
      <c r="C2044"/>
      <c r="D2044"/>
      <c r="E2044"/>
      <c r="F2044"/>
      <c r="G2044"/>
      <c r="H2044"/>
      <c r="I2044"/>
      <c r="J2044"/>
      <c r="K2044"/>
      <c r="L2044"/>
      <c r="M2044"/>
      <c r="N2044"/>
      <c r="O2044"/>
    </row>
    <row r="2045" spans="1:15" x14ac:dyDescent="0.25">
      <c r="A2045"/>
      <c r="B2045"/>
      <c r="C2045"/>
      <c r="D2045"/>
      <c r="E2045"/>
      <c r="F2045"/>
      <c r="G2045"/>
      <c r="H2045"/>
      <c r="I2045"/>
      <c r="J2045"/>
      <c r="K2045"/>
      <c r="L2045"/>
      <c r="M2045"/>
      <c r="N2045"/>
      <c r="O2045"/>
    </row>
    <row r="2046" spans="1:15" x14ac:dyDescent="0.25">
      <c r="A2046"/>
      <c r="B2046"/>
      <c r="C2046"/>
      <c r="D2046"/>
      <c r="E2046"/>
      <c r="F2046"/>
      <c r="G2046"/>
      <c r="H2046"/>
      <c r="I2046"/>
      <c r="J2046"/>
      <c r="K2046"/>
      <c r="L2046"/>
      <c r="M2046"/>
      <c r="N2046"/>
      <c r="O2046"/>
    </row>
    <row r="2047" spans="1:15" x14ac:dyDescent="0.25">
      <c r="A2047"/>
      <c r="B2047"/>
      <c r="C2047"/>
      <c r="D2047"/>
      <c r="E2047"/>
      <c r="F2047"/>
      <c r="G2047"/>
      <c r="H2047"/>
      <c r="I2047"/>
      <c r="J2047"/>
      <c r="K2047"/>
      <c r="L2047"/>
      <c r="M2047"/>
      <c r="N2047"/>
      <c r="O2047"/>
    </row>
    <row r="2048" spans="1:15" x14ac:dyDescent="0.25">
      <c r="A2048"/>
      <c r="B2048"/>
      <c r="C2048"/>
      <c r="D2048"/>
      <c r="E2048"/>
      <c r="F2048"/>
      <c r="G2048"/>
      <c r="H2048"/>
      <c r="I2048"/>
      <c r="J2048"/>
      <c r="K2048"/>
      <c r="L2048"/>
      <c r="M2048"/>
      <c r="N2048"/>
      <c r="O2048"/>
    </row>
    <row r="2049" spans="1:15" x14ac:dyDescent="0.25">
      <c r="A2049"/>
      <c r="B2049"/>
      <c r="C2049"/>
      <c r="D2049"/>
      <c r="E2049"/>
      <c r="F2049"/>
      <c r="G2049"/>
      <c r="H2049"/>
      <c r="I2049"/>
      <c r="J2049"/>
      <c r="K2049"/>
      <c r="L2049"/>
      <c r="M2049"/>
      <c r="N2049"/>
      <c r="O2049"/>
    </row>
    <row r="2050" spans="1:15" x14ac:dyDescent="0.25">
      <c r="A2050"/>
      <c r="B2050"/>
      <c r="C2050"/>
      <c r="D2050"/>
      <c r="E2050"/>
      <c r="F2050"/>
      <c r="G2050"/>
      <c r="H2050"/>
      <c r="I2050"/>
      <c r="J2050"/>
      <c r="K2050"/>
      <c r="L2050"/>
      <c r="M2050"/>
      <c r="N2050"/>
      <c r="O2050"/>
    </row>
    <row r="2051" spans="1:15" x14ac:dyDescent="0.25">
      <c r="A2051"/>
      <c r="B2051"/>
      <c r="C2051"/>
      <c r="D2051"/>
      <c r="E2051"/>
      <c r="F2051"/>
      <c r="G2051"/>
      <c r="H2051"/>
      <c r="I2051"/>
      <c r="J2051"/>
      <c r="K2051"/>
      <c r="L2051"/>
      <c r="M2051"/>
      <c r="N2051"/>
      <c r="O2051"/>
    </row>
    <row r="2052" spans="1:15" x14ac:dyDescent="0.25">
      <c r="A2052"/>
      <c r="B2052"/>
      <c r="C2052"/>
      <c r="D2052"/>
      <c r="E2052"/>
      <c r="F2052"/>
      <c r="G2052"/>
      <c r="H2052"/>
      <c r="I2052"/>
      <c r="J2052"/>
      <c r="K2052"/>
      <c r="L2052"/>
      <c r="M2052"/>
      <c r="N2052"/>
      <c r="O2052"/>
    </row>
    <row r="2053" spans="1:15" x14ac:dyDescent="0.25">
      <c r="A2053"/>
      <c r="B2053"/>
      <c r="C2053"/>
      <c r="D2053"/>
      <c r="E2053"/>
      <c r="F2053"/>
      <c r="G2053"/>
      <c r="H2053"/>
      <c r="I2053"/>
      <c r="J2053"/>
      <c r="K2053"/>
      <c r="L2053"/>
      <c r="M2053"/>
      <c r="N2053"/>
      <c r="O2053"/>
    </row>
    <row r="2054" spans="1:15" x14ac:dyDescent="0.25">
      <c r="A2054"/>
      <c r="B2054"/>
      <c r="C2054"/>
      <c r="D2054"/>
      <c r="E2054"/>
      <c r="F2054"/>
      <c r="G2054"/>
      <c r="H2054"/>
      <c r="I2054"/>
      <c r="J2054"/>
      <c r="K2054"/>
      <c r="L2054"/>
      <c r="M2054"/>
      <c r="N2054"/>
      <c r="O2054"/>
    </row>
    <row r="2055" spans="1:15" x14ac:dyDescent="0.25">
      <c r="A2055"/>
      <c r="B2055"/>
      <c r="C2055"/>
      <c r="D2055"/>
      <c r="E2055"/>
      <c r="F2055"/>
      <c r="G2055"/>
      <c r="H2055"/>
      <c r="I2055"/>
      <c r="J2055"/>
      <c r="K2055"/>
      <c r="L2055"/>
      <c r="M2055"/>
      <c r="N2055"/>
      <c r="O2055"/>
    </row>
    <row r="2056" spans="1:15" x14ac:dyDescent="0.25">
      <c r="A2056"/>
      <c r="B2056"/>
      <c r="C2056"/>
      <c r="D2056"/>
      <c r="E2056"/>
      <c r="F2056"/>
      <c r="G2056"/>
      <c r="H2056"/>
      <c r="I2056"/>
      <c r="J2056"/>
      <c r="K2056"/>
      <c r="L2056"/>
      <c r="M2056"/>
      <c r="N2056"/>
      <c r="O2056"/>
    </row>
    <row r="2057" spans="1:15" x14ac:dyDescent="0.25">
      <c r="A2057"/>
      <c r="B2057"/>
      <c r="C2057"/>
      <c r="D2057"/>
      <c r="E2057"/>
      <c r="F2057"/>
      <c r="G2057"/>
      <c r="H2057"/>
      <c r="I2057"/>
      <c r="J2057"/>
      <c r="K2057"/>
      <c r="L2057"/>
      <c r="M2057"/>
      <c r="N2057"/>
      <c r="O2057"/>
    </row>
    <row r="2058" spans="1:15" x14ac:dyDescent="0.25">
      <c r="A2058"/>
      <c r="B2058"/>
      <c r="C2058"/>
      <c r="D2058"/>
      <c r="E2058"/>
      <c r="F2058"/>
      <c r="G2058"/>
      <c r="H2058"/>
      <c r="I2058"/>
      <c r="J2058"/>
      <c r="K2058"/>
      <c r="L2058"/>
      <c r="M2058"/>
      <c r="N2058"/>
      <c r="O2058"/>
    </row>
    <row r="2059" spans="1:15" x14ac:dyDescent="0.25">
      <c r="A2059"/>
      <c r="B2059"/>
      <c r="C2059"/>
      <c r="D2059"/>
      <c r="E2059"/>
      <c r="F2059"/>
      <c r="G2059"/>
      <c r="H2059"/>
      <c r="I2059"/>
      <c r="J2059"/>
      <c r="K2059"/>
      <c r="L2059"/>
      <c r="M2059"/>
      <c r="N2059"/>
      <c r="O2059"/>
    </row>
    <row r="2060" spans="1:15" x14ac:dyDescent="0.25">
      <c r="A2060"/>
      <c r="B2060"/>
      <c r="C2060"/>
      <c r="D2060"/>
      <c r="E2060"/>
      <c r="F2060"/>
      <c r="G2060"/>
      <c r="H2060"/>
      <c r="I2060"/>
      <c r="J2060"/>
      <c r="K2060"/>
      <c r="L2060"/>
      <c r="M2060"/>
      <c r="N2060"/>
      <c r="O2060"/>
    </row>
    <row r="2061" spans="1:15" x14ac:dyDescent="0.25">
      <c r="A2061"/>
      <c r="B2061"/>
      <c r="C2061"/>
      <c r="D2061"/>
      <c r="E2061"/>
      <c r="F2061"/>
      <c r="G2061"/>
      <c r="H2061"/>
      <c r="I2061"/>
      <c r="J2061"/>
      <c r="K2061"/>
      <c r="L2061"/>
      <c r="M2061"/>
      <c r="N2061"/>
      <c r="O2061"/>
    </row>
    <row r="2062" spans="1:15" x14ac:dyDescent="0.25">
      <c r="A2062"/>
      <c r="B2062"/>
      <c r="C2062"/>
      <c r="D2062"/>
      <c r="E2062"/>
      <c r="F2062"/>
      <c r="G2062"/>
      <c r="H2062"/>
      <c r="I2062"/>
      <c r="J2062"/>
      <c r="K2062"/>
      <c r="L2062"/>
      <c r="M2062"/>
      <c r="N2062"/>
      <c r="O2062"/>
    </row>
    <row r="2063" spans="1:15" x14ac:dyDescent="0.25">
      <c r="A2063"/>
      <c r="B2063"/>
      <c r="C2063"/>
      <c r="D2063"/>
      <c r="E2063"/>
      <c r="F2063"/>
      <c r="G2063"/>
      <c r="H2063"/>
      <c r="I2063"/>
      <c r="J2063"/>
      <c r="K2063"/>
      <c r="L2063"/>
      <c r="M2063"/>
      <c r="N2063"/>
      <c r="O2063"/>
    </row>
    <row r="2064" spans="1:15" x14ac:dyDescent="0.25">
      <c r="A2064"/>
      <c r="B2064"/>
      <c r="C2064"/>
      <c r="D2064"/>
      <c r="E2064"/>
      <c r="F2064"/>
      <c r="G2064"/>
      <c r="H2064"/>
      <c r="I2064"/>
      <c r="J2064"/>
      <c r="K2064"/>
      <c r="L2064"/>
      <c r="M2064"/>
      <c r="N2064"/>
      <c r="O2064"/>
    </row>
    <row r="2065" spans="1:15" x14ac:dyDescent="0.25">
      <c r="A2065"/>
      <c r="B2065"/>
      <c r="C2065"/>
      <c r="D2065"/>
      <c r="E2065"/>
      <c r="F2065"/>
      <c r="G2065"/>
      <c r="H2065"/>
      <c r="I2065"/>
      <c r="J2065"/>
      <c r="K2065"/>
      <c r="L2065"/>
      <c r="M2065"/>
      <c r="N2065"/>
      <c r="O2065"/>
    </row>
    <row r="2066" spans="1:15" x14ac:dyDescent="0.25">
      <c r="A2066"/>
      <c r="B2066"/>
      <c r="C2066"/>
      <c r="D2066"/>
      <c r="E2066"/>
      <c r="F2066"/>
      <c r="G2066"/>
      <c r="H2066"/>
      <c r="I2066"/>
      <c r="J2066"/>
      <c r="K2066"/>
      <c r="L2066"/>
      <c r="M2066"/>
      <c r="N2066"/>
      <c r="O2066"/>
    </row>
    <row r="2067" spans="1:15" x14ac:dyDescent="0.25">
      <c r="A2067"/>
      <c r="B2067"/>
      <c r="C2067"/>
      <c r="D2067"/>
      <c r="E2067"/>
      <c r="F2067"/>
      <c r="G2067"/>
      <c r="H2067"/>
      <c r="I2067"/>
      <c r="J2067"/>
      <c r="K2067"/>
      <c r="L2067"/>
      <c r="M2067"/>
      <c r="N2067"/>
      <c r="O2067"/>
    </row>
    <row r="2068" spans="1:15" x14ac:dyDescent="0.25">
      <c r="A2068"/>
      <c r="B2068"/>
      <c r="C2068"/>
      <c r="D2068"/>
      <c r="E2068"/>
      <c r="F2068"/>
      <c r="G2068"/>
      <c r="H2068"/>
      <c r="I2068"/>
      <c r="J2068"/>
      <c r="K2068"/>
      <c r="L2068"/>
      <c r="M2068"/>
      <c r="N2068"/>
      <c r="O2068"/>
    </row>
    <row r="2069" spans="1:15" x14ac:dyDescent="0.25">
      <c r="A2069"/>
      <c r="B2069"/>
      <c r="C2069"/>
      <c r="D2069"/>
      <c r="E2069"/>
      <c r="F2069"/>
      <c r="G2069"/>
      <c r="H2069"/>
      <c r="I2069"/>
      <c r="J2069"/>
      <c r="K2069"/>
      <c r="L2069"/>
      <c r="M2069"/>
      <c r="N2069"/>
      <c r="O2069"/>
    </row>
    <row r="2070" spans="1:15" x14ac:dyDescent="0.25">
      <c r="A2070"/>
      <c r="B2070"/>
      <c r="C2070"/>
      <c r="D2070"/>
      <c r="E2070"/>
      <c r="F2070"/>
      <c r="G2070"/>
      <c r="H2070"/>
      <c r="I2070"/>
      <c r="J2070"/>
      <c r="K2070"/>
      <c r="L2070"/>
      <c r="M2070"/>
      <c r="N2070"/>
      <c r="O2070"/>
    </row>
    <row r="2071" spans="1:15" x14ac:dyDescent="0.25">
      <c r="A2071"/>
      <c r="B2071"/>
      <c r="C2071"/>
      <c r="D2071"/>
      <c r="E2071"/>
      <c r="F2071"/>
      <c r="G2071"/>
      <c r="H2071"/>
      <c r="I2071"/>
      <c r="J2071"/>
      <c r="K2071"/>
      <c r="L2071"/>
      <c r="M2071"/>
      <c r="N2071"/>
      <c r="O2071"/>
    </row>
    <row r="2072" spans="1:15" x14ac:dyDescent="0.25">
      <c r="A2072"/>
      <c r="B2072"/>
      <c r="C2072"/>
      <c r="D2072"/>
      <c r="E2072"/>
      <c r="F2072"/>
      <c r="G2072"/>
      <c r="H2072"/>
      <c r="I2072"/>
      <c r="J2072"/>
      <c r="K2072"/>
      <c r="L2072"/>
      <c r="M2072"/>
      <c r="N2072"/>
      <c r="O2072"/>
    </row>
    <row r="2073" spans="1:15" x14ac:dyDescent="0.25">
      <c r="A2073"/>
      <c r="B2073"/>
      <c r="C2073"/>
      <c r="D2073"/>
      <c r="E2073"/>
      <c r="F2073"/>
      <c r="G2073"/>
      <c r="H2073"/>
      <c r="I2073"/>
      <c r="J2073"/>
      <c r="K2073"/>
      <c r="L2073"/>
      <c r="M2073"/>
      <c r="N2073"/>
      <c r="O2073"/>
    </row>
    <row r="2074" spans="1:15" x14ac:dyDescent="0.25">
      <c r="A2074"/>
      <c r="B2074"/>
      <c r="C2074"/>
      <c r="D2074"/>
      <c r="E2074"/>
      <c r="F2074"/>
      <c r="G2074"/>
      <c r="H2074"/>
      <c r="I2074"/>
      <c r="J2074"/>
      <c r="K2074"/>
      <c r="L2074"/>
      <c r="M2074"/>
      <c r="N2074"/>
      <c r="O2074"/>
    </row>
    <row r="2075" spans="1:15" x14ac:dyDescent="0.25">
      <c r="A2075"/>
      <c r="B2075"/>
      <c r="C2075"/>
      <c r="D2075"/>
      <c r="E2075"/>
      <c r="F2075"/>
      <c r="G2075"/>
      <c r="H2075"/>
      <c r="I2075"/>
      <c r="J2075"/>
      <c r="K2075"/>
      <c r="L2075"/>
      <c r="M2075"/>
      <c r="N2075"/>
      <c r="O2075"/>
    </row>
    <row r="2076" spans="1:15" x14ac:dyDescent="0.25">
      <c r="A2076"/>
      <c r="B2076"/>
      <c r="C2076"/>
      <c r="D2076"/>
      <c r="E2076"/>
      <c r="F2076"/>
      <c r="G2076"/>
      <c r="H2076"/>
      <c r="I2076"/>
      <c r="J2076"/>
      <c r="K2076"/>
      <c r="L2076"/>
      <c r="M2076"/>
      <c r="N2076"/>
      <c r="O2076"/>
    </row>
    <row r="2077" spans="1:15" x14ac:dyDescent="0.25">
      <c r="A2077"/>
      <c r="B2077"/>
      <c r="C2077"/>
      <c r="D2077"/>
      <c r="E2077"/>
      <c r="F2077"/>
      <c r="G2077"/>
      <c r="H2077"/>
      <c r="I2077"/>
      <c r="J2077"/>
      <c r="K2077"/>
      <c r="L2077"/>
      <c r="M2077"/>
      <c r="N2077"/>
      <c r="O2077"/>
    </row>
    <row r="2078" spans="1:15" x14ac:dyDescent="0.25">
      <c r="A2078"/>
      <c r="B2078"/>
      <c r="C2078"/>
      <c r="D2078"/>
      <c r="E2078"/>
      <c r="F2078"/>
      <c r="G2078"/>
      <c r="H2078"/>
      <c r="I2078"/>
      <c r="J2078"/>
      <c r="K2078"/>
      <c r="L2078"/>
      <c r="M2078"/>
      <c r="N2078"/>
      <c r="O2078"/>
    </row>
    <row r="2079" spans="1:15" x14ac:dyDescent="0.25">
      <c r="A2079"/>
      <c r="B2079"/>
      <c r="C2079"/>
      <c r="D2079"/>
      <c r="E2079"/>
      <c r="F2079"/>
      <c r="G2079"/>
      <c r="H2079"/>
      <c r="I2079"/>
      <c r="J2079"/>
      <c r="K2079"/>
      <c r="L2079"/>
      <c r="M2079"/>
      <c r="N2079"/>
      <c r="O2079"/>
    </row>
    <row r="2080" spans="1:15" x14ac:dyDescent="0.25">
      <c r="A2080"/>
      <c r="B2080"/>
      <c r="C2080"/>
      <c r="D2080"/>
      <c r="E2080"/>
      <c r="F2080"/>
      <c r="G2080"/>
      <c r="H2080"/>
      <c r="I2080"/>
      <c r="J2080"/>
      <c r="K2080"/>
      <c r="L2080"/>
      <c r="M2080"/>
      <c r="N2080"/>
      <c r="O2080"/>
    </row>
    <row r="2081" spans="1:15" x14ac:dyDescent="0.25">
      <c r="A2081"/>
      <c r="B2081"/>
      <c r="C2081"/>
      <c r="D2081"/>
      <c r="E2081"/>
      <c r="F2081"/>
      <c r="G2081"/>
      <c r="H2081"/>
      <c r="I2081"/>
      <c r="J2081"/>
      <c r="K2081"/>
      <c r="L2081"/>
      <c r="M2081"/>
      <c r="N2081"/>
      <c r="O2081"/>
    </row>
    <row r="2082" spans="1:15" x14ac:dyDescent="0.25">
      <c r="A2082"/>
      <c r="B2082"/>
      <c r="C2082"/>
      <c r="D2082"/>
      <c r="E2082"/>
      <c r="F2082"/>
      <c r="G2082"/>
      <c r="H2082"/>
      <c r="I2082"/>
      <c r="J2082"/>
      <c r="K2082"/>
      <c r="L2082"/>
      <c r="M2082"/>
      <c r="N2082"/>
      <c r="O2082"/>
    </row>
    <row r="2083" spans="1:15" x14ac:dyDescent="0.25">
      <c r="A2083"/>
      <c r="B2083"/>
      <c r="C2083"/>
      <c r="D2083"/>
      <c r="E2083"/>
      <c r="F2083"/>
      <c r="G2083"/>
      <c r="H2083"/>
      <c r="I2083"/>
      <c r="J2083"/>
      <c r="K2083"/>
      <c r="L2083"/>
      <c r="M2083"/>
      <c r="N2083"/>
      <c r="O2083"/>
    </row>
    <row r="2084" spans="1:15" x14ac:dyDescent="0.25">
      <c r="A2084"/>
      <c r="B2084"/>
      <c r="C2084"/>
      <c r="D2084"/>
      <c r="E2084"/>
      <c r="F2084"/>
      <c r="G2084"/>
      <c r="H2084"/>
      <c r="I2084"/>
      <c r="J2084"/>
      <c r="K2084"/>
      <c r="L2084"/>
      <c r="M2084"/>
      <c r="N2084"/>
      <c r="O2084"/>
    </row>
    <row r="2085" spans="1:15" x14ac:dyDescent="0.25">
      <c r="A2085"/>
      <c r="B2085"/>
      <c r="C2085"/>
      <c r="D2085"/>
      <c r="E2085"/>
      <c r="F2085"/>
      <c r="G2085"/>
      <c r="H2085"/>
      <c r="I2085"/>
      <c r="J2085"/>
      <c r="K2085"/>
      <c r="L2085"/>
      <c r="M2085"/>
      <c r="N2085"/>
      <c r="O2085"/>
    </row>
    <row r="2086" spans="1:15" x14ac:dyDescent="0.25">
      <c r="A2086"/>
      <c r="B2086"/>
      <c r="C2086"/>
      <c r="D2086"/>
      <c r="E2086"/>
      <c r="F2086"/>
      <c r="G2086"/>
      <c r="H2086"/>
      <c r="I2086"/>
      <c r="J2086"/>
      <c r="K2086"/>
      <c r="L2086"/>
      <c r="M2086"/>
      <c r="N2086"/>
      <c r="O2086"/>
    </row>
    <row r="2087" spans="1:15" x14ac:dyDescent="0.25">
      <c r="A2087"/>
      <c r="B2087"/>
      <c r="C2087"/>
      <c r="D2087"/>
      <c r="E2087"/>
      <c r="F2087"/>
      <c r="G2087"/>
      <c r="H2087"/>
      <c r="I2087"/>
      <c r="J2087"/>
      <c r="K2087"/>
      <c r="L2087"/>
      <c r="M2087"/>
      <c r="N2087"/>
      <c r="O2087"/>
    </row>
    <row r="2088" spans="1:15" x14ac:dyDescent="0.25">
      <c r="A2088"/>
      <c r="B2088"/>
      <c r="C2088"/>
      <c r="D2088"/>
      <c r="E2088"/>
      <c r="F2088"/>
      <c r="G2088"/>
      <c r="H2088"/>
      <c r="I2088"/>
      <c r="J2088"/>
      <c r="K2088"/>
      <c r="L2088"/>
      <c r="M2088"/>
      <c r="N2088"/>
      <c r="O2088"/>
    </row>
    <row r="2089" spans="1:15" x14ac:dyDescent="0.25">
      <c r="A2089"/>
      <c r="B2089"/>
      <c r="C2089"/>
      <c r="D2089"/>
      <c r="E2089"/>
      <c r="F2089"/>
      <c r="G2089"/>
      <c r="H2089"/>
      <c r="I2089"/>
      <c r="J2089"/>
      <c r="K2089"/>
      <c r="L2089"/>
      <c r="M2089"/>
      <c r="N2089"/>
      <c r="O2089"/>
    </row>
    <row r="2090" spans="1:15" x14ac:dyDescent="0.25">
      <c r="A2090"/>
      <c r="B2090"/>
      <c r="C2090"/>
      <c r="D2090"/>
      <c r="E2090"/>
      <c r="F2090"/>
      <c r="G2090"/>
      <c r="H2090"/>
      <c r="I2090"/>
      <c r="J2090"/>
      <c r="K2090"/>
      <c r="L2090"/>
      <c r="M2090"/>
      <c r="N2090"/>
      <c r="O2090"/>
    </row>
    <row r="2091" spans="1:15" x14ac:dyDescent="0.25">
      <c r="A2091"/>
      <c r="B2091"/>
      <c r="C2091"/>
      <c r="D2091"/>
      <c r="E2091"/>
      <c r="F2091"/>
      <c r="G2091"/>
      <c r="H2091"/>
      <c r="I2091"/>
      <c r="J2091"/>
      <c r="K2091"/>
      <c r="L2091"/>
      <c r="M2091"/>
      <c r="N2091"/>
      <c r="O2091"/>
    </row>
    <row r="2092" spans="1:15" x14ac:dyDescent="0.25">
      <c r="A2092"/>
      <c r="B2092"/>
      <c r="C2092"/>
      <c r="D2092"/>
      <c r="E2092"/>
      <c r="F2092"/>
      <c r="G2092"/>
      <c r="H2092"/>
      <c r="I2092"/>
      <c r="J2092"/>
      <c r="K2092"/>
      <c r="L2092"/>
      <c r="M2092"/>
      <c r="N2092"/>
      <c r="O2092"/>
    </row>
    <row r="2093" spans="1:15" x14ac:dyDescent="0.25">
      <c r="A2093"/>
      <c r="B2093"/>
      <c r="C2093"/>
      <c r="D2093"/>
      <c r="E2093"/>
      <c r="F2093"/>
      <c r="G2093"/>
      <c r="H2093"/>
      <c r="I2093"/>
      <c r="J2093"/>
      <c r="K2093"/>
      <c r="L2093"/>
      <c r="M2093"/>
      <c r="N2093"/>
      <c r="O2093"/>
    </row>
    <row r="2094" spans="1:15" x14ac:dyDescent="0.25">
      <c r="A2094"/>
      <c r="B2094"/>
      <c r="C2094"/>
      <c r="D2094"/>
      <c r="E2094"/>
      <c r="F2094"/>
      <c r="G2094"/>
      <c r="H2094"/>
      <c r="I2094"/>
      <c r="J2094"/>
      <c r="K2094"/>
      <c r="L2094"/>
      <c r="M2094"/>
      <c r="N2094"/>
      <c r="O2094"/>
    </row>
    <row r="2095" spans="1:15" x14ac:dyDescent="0.25">
      <c r="A2095"/>
      <c r="B2095"/>
      <c r="C2095"/>
      <c r="D2095"/>
      <c r="E2095"/>
      <c r="F2095"/>
      <c r="G2095"/>
      <c r="H2095"/>
      <c r="I2095"/>
      <c r="J2095"/>
      <c r="K2095"/>
      <c r="L2095"/>
      <c r="M2095"/>
      <c r="N2095"/>
      <c r="O2095"/>
    </row>
    <row r="2096" spans="1:15" x14ac:dyDescent="0.25">
      <c r="A2096"/>
      <c r="B2096"/>
      <c r="C2096"/>
      <c r="D2096"/>
      <c r="E2096"/>
      <c r="F2096"/>
      <c r="G2096"/>
      <c r="H2096"/>
      <c r="I2096"/>
      <c r="J2096"/>
      <c r="K2096"/>
      <c r="L2096"/>
      <c r="M2096"/>
      <c r="N2096"/>
      <c r="O2096"/>
    </row>
    <row r="2097" spans="1:15" x14ac:dyDescent="0.25">
      <c r="A2097"/>
      <c r="B2097"/>
      <c r="C2097"/>
      <c r="D2097"/>
      <c r="E2097"/>
      <c r="F2097"/>
      <c r="G2097"/>
      <c r="H2097"/>
      <c r="I2097"/>
      <c r="J2097"/>
      <c r="K2097"/>
      <c r="L2097"/>
      <c r="M2097"/>
      <c r="N2097"/>
      <c r="O2097"/>
    </row>
    <row r="2098" spans="1:15" x14ac:dyDescent="0.25">
      <c r="A2098"/>
      <c r="B2098"/>
      <c r="C2098"/>
      <c r="D2098"/>
      <c r="E2098"/>
      <c r="F2098"/>
      <c r="G2098"/>
      <c r="H2098"/>
      <c r="I2098"/>
      <c r="J2098"/>
      <c r="K2098"/>
      <c r="L2098"/>
      <c r="M2098"/>
      <c r="N2098"/>
      <c r="O2098"/>
    </row>
    <row r="2099" spans="1:15" x14ac:dyDescent="0.25">
      <c r="A2099"/>
      <c r="B2099"/>
      <c r="C2099"/>
      <c r="D2099"/>
      <c r="E2099"/>
      <c r="F2099"/>
      <c r="G2099"/>
      <c r="H2099"/>
      <c r="I2099"/>
      <c r="J2099"/>
      <c r="K2099"/>
      <c r="L2099"/>
      <c r="M2099"/>
      <c r="N2099"/>
      <c r="O2099"/>
    </row>
    <row r="2100" spans="1:15" x14ac:dyDescent="0.25">
      <c r="A2100"/>
      <c r="B2100"/>
      <c r="C2100"/>
      <c r="D2100"/>
      <c r="E2100"/>
      <c r="F2100"/>
      <c r="G2100"/>
      <c r="H2100"/>
      <c r="I2100"/>
      <c r="J2100"/>
      <c r="K2100"/>
      <c r="L2100"/>
      <c r="M2100"/>
      <c r="N2100"/>
      <c r="O2100"/>
    </row>
    <row r="2101" spans="1:15" x14ac:dyDescent="0.25">
      <c r="A2101"/>
      <c r="B2101"/>
      <c r="C2101"/>
      <c r="D2101"/>
      <c r="E2101"/>
      <c r="F2101"/>
      <c r="G2101"/>
      <c r="H2101"/>
      <c r="I2101"/>
      <c r="J2101"/>
      <c r="K2101"/>
      <c r="L2101"/>
      <c r="M2101"/>
      <c r="N2101"/>
      <c r="O2101"/>
    </row>
    <row r="2102" spans="1:15" x14ac:dyDescent="0.25">
      <c r="A2102"/>
      <c r="B2102"/>
      <c r="C2102"/>
      <c r="D2102"/>
      <c r="E2102"/>
      <c r="F2102"/>
      <c r="G2102"/>
      <c r="H2102"/>
      <c r="I2102"/>
      <c r="J2102"/>
      <c r="K2102"/>
      <c r="L2102"/>
      <c r="M2102"/>
      <c r="N2102"/>
      <c r="O2102"/>
    </row>
    <row r="2103" spans="1:15" x14ac:dyDescent="0.25">
      <c r="A2103"/>
      <c r="B2103"/>
      <c r="C2103"/>
      <c r="D2103"/>
      <c r="E2103"/>
      <c r="F2103"/>
      <c r="G2103"/>
      <c r="H2103"/>
      <c r="I2103"/>
      <c r="J2103"/>
      <c r="K2103"/>
      <c r="L2103"/>
      <c r="M2103"/>
      <c r="N2103"/>
      <c r="O2103"/>
    </row>
    <row r="2104" spans="1:15" x14ac:dyDescent="0.25">
      <c r="A2104"/>
      <c r="B2104"/>
      <c r="C2104"/>
      <c r="D2104"/>
      <c r="E2104"/>
      <c r="F2104"/>
      <c r="G2104"/>
      <c r="H2104"/>
      <c r="I2104"/>
      <c r="J2104"/>
      <c r="K2104"/>
      <c r="L2104"/>
      <c r="M2104"/>
      <c r="N2104"/>
      <c r="O2104"/>
    </row>
    <row r="2105" spans="1:15" x14ac:dyDescent="0.25">
      <c r="A2105"/>
      <c r="B2105"/>
      <c r="C2105"/>
      <c r="D2105"/>
      <c r="E2105"/>
      <c r="F2105"/>
      <c r="G2105"/>
      <c r="H2105"/>
      <c r="I2105"/>
      <c r="J2105"/>
      <c r="K2105"/>
      <c r="L2105"/>
      <c r="M2105"/>
      <c r="N2105"/>
      <c r="O2105"/>
    </row>
    <row r="2106" spans="1:15" x14ac:dyDescent="0.25">
      <c r="A2106"/>
      <c r="B2106"/>
      <c r="C2106"/>
      <c r="D2106"/>
      <c r="E2106"/>
      <c r="F2106"/>
      <c r="G2106"/>
      <c r="H2106"/>
      <c r="I2106"/>
      <c r="J2106"/>
      <c r="K2106"/>
      <c r="L2106"/>
      <c r="M2106"/>
      <c r="N2106"/>
      <c r="O2106"/>
    </row>
    <row r="2107" spans="1:15" x14ac:dyDescent="0.25">
      <c r="A2107"/>
      <c r="B2107"/>
      <c r="C2107"/>
      <c r="D2107"/>
      <c r="E2107"/>
      <c r="F2107"/>
      <c r="G2107"/>
      <c r="H2107"/>
      <c r="I2107"/>
      <c r="J2107"/>
      <c r="K2107"/>
      <c r="L2107"/>
      <c r="M2107"/>
      <c r="N2107"/>
      <c r="O2107"/>
    </row>
    <row r="2108" spans="1:15" x14ac:dyDescent="0.25">
      <c r="A2108"/>
      <c r="B2108"/>
      <c r="C2108"/>
      <c r="D2108"/>
      <c r="E2108"/>
      <c r="F2108"/>
      <c r="G2108"/>
      <c r="H2108"/>
      <c r="I2108"/>
      <c r="J2108"/>
      <c r="K2108"/>
      <c r="L2108"/>
      <c r="M2108"/>
      <c r="N2108"/>
      <c r="O2108"/>
    </row>
    <row r="2109" spans="1:15" x14ac:dyDescent="0.25">
      <c r="A2109"/>
      <c r="B2109"/>
      <c r="C2109"/>
      <c r="D2109"/>
      <c r="E2109"/>
      <c r="F2109"/>
      <c r="G2109"/>
      <c r="H2109"/>
      <c r="I2109"/>
      <c r="J2109"/>
      <c r="K2109"/>
      <c r="L2109"/>
      <c r="M2109"/>
      <c r="N2109"/>
      <c r="O2109"/>
    </row>
    <row r="2110" spans="1:15" x14ac:dyDescent="0.25">
      <c r="A2110"/>
      <c r="B2110"/>
      <c r="C2110"/>
      <c r="D2110"/>
      <c r="E2110"/>
      <c r="F2110"/>
      <c r="G2110"/>
      <c r="H2110"/>
      <c r="I2110"/>
      <c r="J2110"/>
      <c r="K2110"/>
      <c r="L2110"/>
      <c r="M2110"/>
      <c r="N2110"/>
      <c r="O2110"/>
    </row>
    <row r="2111" spans="1:15" x14ac:dyDescent="0.25">
      <c r="A2111"/>
      <c r="B2111"/>
      <c r="C2111"/>
      <c r="D2111"/>
      <c r="E2111"/>
      <c r="F2111"/>
      <c r="G2111"/>
      <c r="H2111"/>
      <c r="I2111"/>
      <c r="J2111"/>
      <c r="K2111"/>
      <c r="L2111"/>
      <c r="M2111"/>
      <c r="N2111"/>
      <c r="O2111"/>
    </row>
    <row r="2112" spans="1:15" x14ac:dyDescent="0.25">
      <c r="A2112"/>
      <c r="B2112"/>
      <c r="C2112"/>
      <c r="D2112"/>
      <c r="E2112"/>
      <c r="F2112"/>
      <c r="G2112"/>
      <c r="H2112"/>
      <c r="I2112"/>
      <c r="J2112"/>
      <c r="K2112"/>
      <c r="L2112"/>
      <c r="M2112"/>
      <c r="N2112"/>
      <c r="O2112"/>
    </row>
    <row r="2113" spans="1:15" x14ac:dyDescent="0.25">
      <c r="A2113"/>
      <c r="B2113"/>
      <c r="C2113"/>
      <c r="D2113"/>
      <c r="E2113"/>
      <c r="F2113"/>
      <c r="G2113"/>
      <c r="H2113"/>
      <c r="I2113"/>
      <c r="J2113"/>
      <c r="K2113"/>
      <c r="L2113"/>
      <c r="M2113"/>
      <c r="N2113"/>
      <c r="O2113"/>
    </row>
    <row r="2114" spans="1:15" x14ac:dyDescent="0.25">
      <c r="A2114"/>
      <c r="B2114"/>
      <c r="C2114"/>
      <c r="D2114"/>
      <c r="E2114"/>
      <c r="F2114"/>
      <c r="G2114"/>
      <c r="H2114"/>
      <c r="I2114"/>
      <c r="J2114"/>
      <c r="K2114"/>
      <c r="L2114"/>
      <c r="M2114"/>
      <c r="N2114"/>
      <c r="O2114"/>
    </row>
    <row r="2115" spans="1:15" x14ac:dyDescent="0.25">
      <c r="A2115"/>
      <c r="B2115"/>
      <c r="C2115"/>
      <c r="D2115"/>
      <c r="E2115"/>
      <c r="F2115"/>
      <c r="G2115"/>
      <c r="H2115"/>
      <c r="I2115"/>
      <c r="J2115"/>
      <c r="K2115"/>
      <c r="L2115"/>
      <c r="M2115"/>
      <c r="N2115"/>
      <c r="O2115"/>
    </row>
    <row r="2116" spans="1:15" x14ac:dyDescent="0.25">
      <c r="A2116"/>
      <c r="B2116"/>
      <c r="C2116"/>
      <c r="D2116"/>
      <c r="E2116"/>
      <c r="F2116"/>
      <c r="G2116"/>
      <c r="H2116"/>
      <c r="I2116"/>
      <c r="J2116"/>
      <c r="K2116"/>
      <c r="L2116"/>
      <c r="M2116"/>
      <c r="N2116"/>
      <c r="O2116"/>
    </row>
    <row r="2117" spans="1:15" x14ac:dyDescent="0.25">
      <c r="A2117"/>
      <c r="B2117"/>
      <c r="C2117"/>
      <c r="D2117"/>
      <c r="E2117"/>
      <c r="F2117"/>
      <c r="G2117"/>
      <c r="H2117"/>
      <c r="I2117"/>
      <c r="J2117"/>
      <c r="K2117"/>
      <c r="L2117"/>
      <c r="M2117"/>
      <c r="N2117"/>
      <c r="O2117"/>
    </row>
    <row r="2118" spans="1:15" x14ac:dyDescent="0.25">
      <c r="A2118"/>
      <c r="B2118"/>
      <c r="C2118"/>
      <c r="D2118"/>
      <c r="E2118"/>
      <c r="F2118"/>
      <c r="G2118"/>
      <c r="H2118"/>
      <c r="I2118"/>
      <c r="J2118"/>
      <c r="K2118"/>
      <c r="L2118"/>
      <c r="M2118"/>
      <c r="N2118"/>
      <c r="O2118"/>
    </row>
    <row r="2119" spans="1:15" x14ac:dyDescent="0.25">
      <c r="A2119"/>
      <c r="B2119"/>
      <c r="C2119"/>
      <c r="D2119"/>
      <c r="E2119"/>
      <c r="F2119"/>
      <c r="G2119"/>
      <c r="H2119"/>
      <c r="I2119"/>
      <c r="J2119"/>
      <c r="K2119"/>
      <c r="L2119"/>
      <c r="M2119"/>
      <c r="N2119"/>
      <c r="O2119"/>
    </row>
    <row r="2120" spans="1:15" x14ac:dyDescent="0.25">
      <c r="A2120"/>
      <c r="B2120"/>
      <c r="C2120"/>
      <c r="D2120"/>
      <c r="E2120"/>
      <c r="F2120"/>
      <c r="G2120"/>
      <c r="H2120"/>
      <c r="I2120"/>
      <c r="J2120"/>
      <c r="K2120"/>
      <c r="L2120"/>
      <c r="M2120"/>
      <c r="N2120"/>
      <c r="O2120"/>
    </row>
    <row r="2121" spans="1:15" x14ac:dyDescent="0.25">
      <c r="A2121"/>
      <c r="B2121"/>
      <c r="C2121"/>
      <c r="D2121"/>
      <c r="E2121"/>
      <c r="F2121"/>
      <c r="G2121"/>
      <c r="H2121"/>
      <c r="I2121"/>
      <c r="J2121"/>
      <c r="K2121"/>
      <c r="L2121"/>
      <c r="M2121"/>
      <c r="N2121"/>
      <c r="O2121"/>
    </row>
    <row r="2122" spans="1:15" x14ac:dyDescent="0.25">
      <c r="A2122"/>
      <c r="B2122"/>
      <c r="C2122"/>
      <c r="D2122"/>
      <c r="E2122"/>
      <c r="F2122"/>
      <c r="G2122"/>
      <c r="H2122"/>
      <c r="I2122"/>
      <c r="J2122"/>
      <c r="K2122"/>
      <c r="L2122"/>
      <c r="M2122"/>
      <c r="N2122"/>
      <c r="O2122"/>
    </row>
    <row r="2123" spans="1:15" x14ac:dyDescent="0.25">
      <c r="A2123"/>
      <c r="B2123"/>
      <c r="C2123"/>
      <c r="D2123"/>
      <c r="E2123"/>
      <c r="F2123"/>
      <c r="G2123"/>
      <c r="H2123"/>
      <c r="I2123"/>
      <c r="J2123"/>
      <c r="K2123"/>
      <c r="L2123"/>
      <c r="M2123"/>
      <c r="N2123"/>
      <c r="O2123"/>
    </row>
    <row r="2124" spans="1:15" x14ac:dyDescent="0.25">
      <c r="A2124"/>
      <c r="B2124"/>
      <c r="C2124"/>
      <c r="D2124"/>
      <c r="E2124"/>
      <c r="F2124"/>
      <c r="G2124"/>
      <c r="H2124"/>
      <c r="I2124"/>
      <c r="J2124"/>
      <c r="K2124"/>
      <c r="L2124"/>
      <c r="M2124"/>
      <c r="N2124"/>
      <c r="O2124"/>
    </row>
    <row r="2125" spans="1:15" x14ac:dyDescent="0.25">
      <c r="A2125"/>
      <c r="B2125"/>
      <c r="C2125"/>
      <c r="D2125"/>
      <c r="E2125"/>
      <c r="F2125"/>
      <c r="G2125"/>
      <c r="H2125"/>
      <c r="I2125"/>
      <c r="J2125"/>
      <c r="K2125"/>
      <c r="L2125"/>
      <c r="M2125"/>
      <c r="N2125"/>
      <c r="O2125"/>
    </row>
    <row r="2126" spans="1:15" x14ac:dyDescent="0.25">
      <c r="A2126"/>
      <c r="B2126"/>
      <c r="C2126"/>
      <c r="D2126"/>
      <c r="E2126"/>
      <c r="F2126"/>
      <c r="G2126"/>
      <c r="H2126"/>
      <c r="I2126"/>
      <c r="J2126"/>
      <c r="K2126"/>
      <c r="L2126"/>
      <c r="M2126"/>
      <c r="N2126"/>
      <c r="O2126"/>
    </row>
    <row r="2127" spans="1:15" x14ac:dyDescent="0.25">
      <c r="A2127"/>
      <c r="B2127"/>
      <c r="C2127"/>
      <c r="D2127"/>
      <c r="E2127"/>
      <c r="F2127"/>
      <c r="G2127"/>
      <c r="H2127"/>
      <c r="I2127"/>
      <c r="J2127"/>
      <c r="K2127"/>
      <c r="L2127"/>
      <c r="M2127"/>
      <c r="N2127"/>
      <c r="O2127"/>
    </row>
    <row r="2128" spans="1:15" x14ac:dyDescent="0.25">
      <c r="A2128"/>
      <c r="B2128"/>
      <c r="C2128"/>
      <c r="D2128"/>
      <c r="E2128"/>
      <c r="F2128"/>
      <c r="G2128"/>
      <c r="H2128"/>
      <c r="I2128"/>
      <c r="J2128"/>
      <c r="K2128"/>
      <c r="L2128"/>
      <c r="M2128"/>
      <c r="N2128"/>
      <c r="O2128"/>
    </row>
    <row r="2129" spans="1:15" x14ac:dyDescent="0.25">
      <c r="A2129"/>
      <c r="B2129"/>
      <c r="C2129"/>
      <c r="D2129"/>
      <c r="E2129"/>
      <c r="F2129"/>
      <c r="G2129"/>
      <c r="H2129"/>
      <c r="I2129"/>
      <c r="J2129"/>
      <c r="K2129"/>
      <c r="L2129"/>
      <c r="M2129"/>
      <c r="N2129"/>
      <c r="O2129"/>
    </row>
    <row r="2130" spans="1:15" x14ac:dyDescent="0.25">
      <c r="A2130"/>
      <c r="B2130"/>
      <c r="C2130"/>
      <c r="D2130"/>
      <c r="E2130"/>
      <c r="F2130"/>
      <c r="G2130"/>
      <c r="H2130"/>
      <c r="I2130"/>
      <c r="J2130"/>
      <c r="K2130"/>
      <c r="L2130"/>
      <c r="M2130"/>
      <c r="N2130"/>
      <c r="O2130"/>
    </row>
    <row r="2131" spans="1:15" x14ac:dyDescent="0.25">
      <c r="A2131"/>
      <c r="B2131"/>
      <c r="C2131"/>
      <c r="D2131"/>
      <c r="E2131"/>
      <c r="F2131"/>
      <c r="G2131"/>
      <c r="H2131"/>
      <c r="I2131"/>
      <c r="J2131"/>
      <c r="K2131"/>
      <c r="L2131"/>
      <c r="M2131"/>
      <c r="N2131"/>
      <c r="O2131"/>
    </row>
    <row r="2132" spans="1:15" x14ac:dyDescent="0.25">
      <c r="A2132"/>
      <c r="B2132"/>
      <c r="C2132"/>
      <c r="D2132"/>
      <c r="E2132"/>
      <c r="F2132"/>
      <c r="G2132"/>
      <c r="H2132"/>
      <c r="I2132"/>
      <c r="J2132"/>
      <c r="K2132"/>
      <c r="L2132"/>
      <c r="M2132"/>
      <c r="N2132"/>
      <c r="O2132"/>
    </row>
    <row r="2133" spans="1:15" x14ac:dyDescent="0.25">
      <c r="A2133"/>
      <c r="B2133"/>
      <c r="C2133"/>
      <c r="D2133"/>
      <c r="E2133"/>
      <c r="F2133"/>
      <c r="G2133"/>
      <c r="H2133"/>
      <c r="I2133"/>
      <c r="J2133"/>
      <c r="K2133"/>
      <c r="L2133"/>
      <c r="M2133"/>
      <c r="N2133"/>
      <c r="O2133"/>
    </row>
    <row r="2134" spans="1:15" x14ac:dyDescent="0.25">
      <c r="A2134"/>
      <c r="B2134"/>
      <c r="C2134"/>
      <c r="D2134"/>
      <c r="E2134"/>
      <c r="F2134"/>
      <c r="G2134"/>
      <c r="H2134"/>
      <c r="I2134"/>
      <c r="J2134"/>
      <c r="K2134"/>
      <c r="L2134"/>
      <c r="M2134"/>
      <c r="N2134"/>
      <c r="O2134"/>
    </row>
    <row r="2135" spans="1:15" x14ac:dyDescent="0.25">
      <c r="A2135"/>
      <c r="B2135"/>
      <c r="C2135"/>
      <c r="D2135"/>
      <c r="E2135"/>
      <c r="F2135"/>
      <c r="G2135"/>
      <c r="H2135"/>
      <c r="I2135"/>
      <c r="J2135"/>
      <c r="K2135"/>
      <c r="L2135"/>
      <c r="M2135"/>
      <c r="N2135"/>
      <c r="O2135"/>
    </row>
    <row r="2136" spans="1:15" x14ac:dyDescent="0.25">
      <c r="A2136"/>
      <c r="B2136"/>
      <c r="C2136"/>
      <c r="D2136"/>
      <c r="E2136"/>
      <c r="F2136"/>
      <c r="G2136"/>
      <c r="H2136"/>
      <c r="I2136"/>
      <c r="J2136"/>
      <c r="K2136"/>
      <c r="L2136"/>
      <c r="M2136"/>
      <c r="N2136"/>
      <c r="O2136"/>
    </row>
    <row r="2137" spans="1:15" x14ac:dyDescent="0.25">
      <c r="A2137"/>
      <c r="B2137"/>
      <c r="C2137"/>
      <c r="D2137"/>
      <c r="E2137"/>
      <c r="F2137"/>
      <c r="G2137"/>
      <c r="H2137"/>
      <c r="I2137"/>
      <c r="J2137"/>
      <c r="K2137"/>
      <c r="L2137"/>
      <c r="M2137"/>
      <c r="N2137"/>
      <c r="O2137"/>
    </row>
    <row r="2138" spans="1:15" x14ac:dyDescent="0.25">
      <c r="A2138"/>
      <c r="B2138"/>
      <c r="C2138"/>
      <c r="D2138"/>
      <c r="E2138"/>
      <c r="F2138"/>
      <c r="G2138"/>
      <c r="H2138"/>
      <c r="I2138"/>
      <c r="J2138"/>
      <c r="K2138"/>
      <c r="L2138"/>
      <c r="M2138"/>
      <c r="N2138"/>
      <c r="O2138"/>
    </row>
    <row r="2139" spans="1:15" x14ac:dyDescent="0.25">
      <c r="A2139"/>
      <c r="B2139"/>
      <c r="C2139"/>
      <c r="D2139"/>
      <c r="E2139"/>
      <c r="F2139"/>
      <c r="G2139"/>
      <c r="H2139"/>
      <c r="I2139"/>
      <c r="J2139"/>
      <c r="K2139"/>
      <c r="L2139"/>
      <c r="M2139"/>
      <c r="N2139"/>
      <c r="O2139"/>
    </row>
    <row r="2140" spans="1:15" x14ac:dyDescent="0.25">
      <c r="A2140"/>
      <c r="B2140"/>
      <c r="C2140"/>
      <c r="D2140"/>
      <c r="E2140"/>
      <c r="F2140"/>
      <c r="G2140"/>
      <c r="H2140"/>
      <c r="I2140"/>
      <c r="J2140"/>
      <c r="K2140"/>
      <c r="L2140"/>
      <c r="M2140"/>
      <c r="N2140"/>
      <c r="O2140"/>
    </row>
    <row r="2141" spans="1:15" x14ac:dyDescent="0.25">
      <c r="A2141"/>
      <c r="B2141"/>
      <c r="C2141"/>
      <c r="D2141"/>
      <c r="E2141"/>
      <c r="F2141"/>
      <c r="G2141"/>
      <c r="H2141"/>
      <c r="I2141"/>
      <c r="J2141"/>
      <c r="K2141"/>
      <c r="L2141"/>
      <c r="M2141"/>
      <c r="N2141"/>
      <c r="O2141"/>
    </row>
    <row r="2142" spans="1:15" x14ac:dyDescent="0.25">
      <c r="A2142"/>
      <c r="B2142"/>
      <c r="C2142"/>
      <c r="D2142"/>
      <c r="E2142"/>
      <c r="F2142"/>
      <c r="G2142"/>
      <c r="H2142"/>
      <c r="I2142"/>
      <c r="J2142"/>
      <c r="K2142"/>
      <c r="L2142"/>
      <c r="M2142"/>
      <c r="N2142"/>
      <c r="O2142"/>
    </row>
    <row r="2143" spans="1:15" x14ac:dyDescent="0.25">
      <c r="A2143"/>
      <c r="B2143"/>
      <c r="C2143"/>
      <c r="D2143"/>
      <c r="E2143"/>
      <c r="F2143"/>
      <c r="G2143"/>
      <c r="H2143"/>
      <c r="I2143"/>
      <c r="J2143"/>
      <c r="K2143"/>
      <c r="L2143"/>
      <c r="M2143"/>
      <c r="N2143"/>
      <c r="O2143"/>
    </row>
    <row r="2144" spans="1:15" x14ac:dyDescent="0.25">
      <c r="A2144"/>
      <c r="B2144"/>
      <c r="C2144"/>
      <c r="D2144"/>
      <c r="E2144"/>
      <c r="F2144"/>
      <c r="G2144"/>
      <c r="H2144"/>
      <c r="I2144"/>
      <c r="J2144"/>
      <c r="K2144"/>
      <c r="L2144"/>
      <c r="M2144"/>
      <c r="N2144"/>
      <c r="O2144"/>
    </row>
    <row r="2145" spans="1:15" x14ac:dyDescent="0.25">
      <c r="A2145"/>
      <c r="B2145"/>
      <c r="C2145"/>
      <c r="D2145"/>
      <c r="E2145"/>
      <c r="F2145"/>
      <c r="G2145"/>
      <c r="H2145"/>
      <c r="I2145"/>
      <c r="J2145"/>
      <c r="K2145"/>
      <c r="L2145"/>
      <c r="M2145"/>
      <c r="N2145"/>
      <c r="O2145"/>
    </row>
    <row r="2146" spans="1:15" x14ac:dyDescent="0.25">
      <c r="A2146"/>
      <c r="B2146"/>
      <c r="C2146"/>
      <c r="D2146"/>
      <c r="E2146"/>
      <c r="F2146"/>
      <c r="G2146"/>
      <c r="H2146"/>
      <c r="I2146"/>
      <c r="J2146"/>
      <c r="K2146"/>
      <c r="L2146"/>
      <c r="M2146"/>
      <c r="N2146"/>
      <c r="O2146"/>
    </row>
    <row r="2147" spans="1:15" x14ac:dyDescent="0.25">
      <c r="A2147"/>
      <c r="B2147"/>
      <c r="C2147"/>
      <c r="D2147"/>
      <c r="E2147"/>
      <c r="F2147"/>
      <c r="G2147"/>
      <c r="H2147"/>
      <c r="I2147"/>
      <c r="J2147"/>
      <c r="K2147"/>
      <c r="L2147"/>
      <c r="M2147"/>
      <c r="N2147"/>
      <c r="O2147"/>
    </row>
    <row r="2148" spans="1:15" x14ac:dyDescent="0.25">
      <c r="A2148"/>
      <c r="B2148"/>
      <c r="C2148"/>
      <c r="D2148"/>
      <c r="E2148"/>
      <c r="F2148"/>
      <c r="G2148"/>
      <c r="H2148"/>
      <c r="I2148"/>
      <c r="J2148"/>
      <c r="K2148"/>
      <c r="L2148"/>
      <c r="M2148"/>
      <c r="N2148"/>
      <c r="O2148"/>
    </row>
    <row r="2149" spans="1:15" x14ac:dyDescent="0.25">
      <c r="A2149"/>
      <c r="B2149"/>
      <c r="C2149"/>
      <c r="D2149"/>
      <c r="E2149"/>
      <c r="F2149"/>
      <c r="G2149"/>
      <c r="H2149"/>
      <c r="I2149"/>
      <c r="J2149"/>
      <c r="K2149"/>
      <c r="L2149"/>
      <c r="M2149"/>
      <c r="N2149"/>
      <c r="O2149"/>
    </row>
    <row r="2150" spans="1:15" x14ac:dyDescent="0.25">
      <c r="A2150"/>
      <c r="B2150"/>
      <c r="C2150"/>
      <c r="D2150"/>
      <c r="E2150"/>
      <c r="F2150"/>
      <c r="G2150"/>
      <c r="H2150"/>
      <c r="I2150"/>
      <c r="J2150"/>
      <c r="K2150"/>
      <c r="L2150"/>
      <c r="M2150"/>
      <c r="N2150"/>
      <c r="O2150"/>
    </row>
    <row r="2151" spans="1:15" x14ac:dyDescent="0.25">
      <c r="A2151"/>
      <c r="B2151"/>
      <c r="C2151"/>
      <c r="D2151"/>
      <c r="E2151"/>
      <c r="F2151"/>
      <c r="G2151"/>
      <c r="H2151"/>
      <c r="I2151"/>
      <c r="J2151"/>
      <c r="K2151"/>
      <c r="L2151"/>
      <c r="M2151"/>
      <c r="N2151"/>
      <c r="O2151"/>
    </row>
    <row r="2152" spans="1:15" x14ac:dyDescent="0.25">
      <c r="A2152"/>
      <c r="B2152"/>
      <c r="C2152"/>
      <c r="D2152"/>
      <c r="E2152"/>
      <c r="F2152"/>
      <c r="G2152"/>
      <c r="H2152"/>
      <c r="I2152"/>
      <c r="J2152"/>
      <c r="K2152"/>
      <c r="L2152"/>
      <c r="M2152"/>
      <c r="N2152"/>
      <c r="O2152"/>
    </row>
    <row r="2153" spans="1:15" x14ac:dyDescent="0.25">
      <c r="A2153"/>
      <c r="B2153"/>
      <c r="C2153"/>
      <c r="D2153"/>
      <c r="E2153"/>
      <c r="F2153"/>
      <c r="G2153"/>
      <c r="H2153"/>
      <c r="I2153"/>
      <c r="J2153"/>
      <c r="K2153"/>
      <c r="L2153"/>
      <c r="M2153"/>
      <c r="N2153"/>
      <c r="O2153"/>
    </row>
    <row r="2154" spans="1:15" x14ac:dyDescent="0.25">
      <c r="A2154"/>
      <c r="B2154"/>
      <c r="C2154"/>
      <c r="D2154"/>
      <c r="E2154"/>
      <c r="F2154"/>
      <c r="G2154"/>
      <c r="H2154"/>
      <c r="I2154"/>
      <c r="J2154"/>
      <c r="K2154"/>
      <c r="L2154"/>
      <c r="M2154"/>
      <c r="N2154"/>
      <c r="O2154"/>
    </row>
    <row r="2155" spans="1:15" x14ac:dyDescent="0.25">
      <c r="A2155"/>
      <c r="B2155"/>
      <c r="C2155"/>
      <c r="D2155"/>
      <c r="E2155"/>
      <c r="F2155"/>
      <c r="G2155"/>
      <c r="H2155"/>
      <c r="I2155"/>
      <c r="J2155"/>
      <c r="K2155"/>
      <c r="L2155"/>
      <c r="M2155"/>
      <c r="N2155"/>
      <c r="O2155"/>
    </row>
    <row r="2156" spans="1:15" x14ac:dyDescent="0.25">
      <c r="A2156"/>
      <c r="B2156"/>
      <c r="C2156"/>
      <c r="D2156"/>
      <c r="E2156"/>
      <c r="F2156"/>
      <c r="G2156"/>
      <c r="H2156"/>
      <c r="I2156"/>
      <c r="J2156"/>
      <c r="K2156"/>
      <c r="L2156"/>
      <c r="M2156"/>
      <c r="N2156"/>
      <c r="O2156"/>
    </row>
    <row r="2157" spans="1:15" x14ac:dyDescent="0.25">
      <c r="A2157"/>
      <c r="B2157"/>
      <c r="C2157"/>
      <c r="D2157"/>
      <c r="E2157"/>
      <c r="F2157"/>
      <c r="G2157"/>
      <c r="H2157"/>
      <c r="I2157"/>
      <c r="J2157"/>
      <c r="K2157"/>
      <c r="L2157"/>
      <c r="M2157"/>
      <c r="N2157"/>
      <c r="O2157"/>
    </row>
    <row r="2158" spans="1:15" x14ac:dyDescent="0.25">
      <c r="A2158"/>
      <c r="B2158"/>
      <c r="C2158"/>
      <c r="D2158"/>
      <c r="E2158"/>
      <c r="F2158"/>
      <c r="G2158"/>
      <c r="H2158"/>
      <c r="I2158"/>
      <c r="J2158"/>
      <c r="K2158"/>
      <c r="L2158"/>
      <c r="M2158"/>
      <c r="N2158"/>
      <c r="O2158"/>
    </row>
    <row r="2159" spans="1:15" x14ac:dyDescent="0.25">
      <c r="A2159"/>
      <c r="B2159"/>
      <c r="C2159"/>
      <c r="D2159"/>
      <c r="E2159"/>
      <c r="F2159"/>
      <c r="G2159"/>
      <c r="H2159"/>
      <c r="I2159"/>
      <c r="J2159"/>
      <c r="K2159"/>
      <c r="L2159"/>
      <c r="M2159"/>
      <c r="N2159"/>
      <c r="O2159"/>
    </row>
    <row r="2160" spans="1:15" x14ac:dyDescent="0.25">
      <c r="A2160"/>
      <c r="B2160"/>
      <c r="C2160"/>
      <c r="D2160"/>
      <c r="E2160"/>
      <c r="F2160"/>
      <c r="G2160"/>
      <c r="H2160"/>
      <c r="I2160"/>
      <c r="J2160"/>
      <c r="K2160"/>
      <c r="L2160"/>
      <c r="M2160"/>
      <c r="N2160"/>
      <c r="O2160"/>
    </row>
    <row r="2161" spans="1:15" x14ac:dyDescent="0.25">
      <c r="A2161"/>
      <c r="B2161"/>
      <c r="C2161"/>
      <c r="D2161"/>
      <c r="E2161"/>
      <c r="F2161"/>
      <c r="G2161"/>
      <c r="H2161"/>
      <c r="I2161"/>
      <c r="J2161"/>
      <c r="K2161"/>
      <c r="L2161"/>
      <c r="M2161"/>
      <c r="N2161"/>
      <c r="O2161"/>
    </row>
    <row r="2162" spans="1:15" x14ac:dyDescent="0.25">
      <c r="A2162"/>
      <c r="B2162"/>
      <c r="C2162"/>
      <c r="D2162"/>
      <c r="E2162"/>
      <c r="F2162"/>
      <c r="G2162"/>
      <c r="H2162"/>
      <c r="I2162"/>
      <c r="J2162"/>
      <c r="K2162"/>
      <c r="L2162"/>
      <c r="M2162"/>
      <c r="N2162"/>
      <c r="O2162"/>
    </row>
    <row r="2163" spans="1:15" x14ac:dyDescent="0.25">
      <c r="A2163"/>
      <c r="B2163"/>
      <c r="C2163"/>
      <c r="D2163"/>
      <c r="E2163"/>
      <c r="F2163"/>
      <c r="G2163"/>
      <c r="H2163"/>
      <c r="I2163"/>
      <c r="J2163"/>
      <c r="K2163"/>
      <c r="L2163"/>
      <c r="M2163"/>
      <c r="N2163"/>
      <c r="O2163"/>
    </row>
    <row r="2164" spans="1:15" x14ac:dyDescent="0.25">
      <c r="A2164"/>
      <c r="B2164"/>
      <c r="C2164"/>
      <c r="D2164"/>
      <c r="E2164"/>
      <c r="F2164"/>
      <c r="G2164"/>
      <c r="H2164"/>
      <c r="I2164"/>
      <c r="J2164"/>
      <c r="K2164"/>
      <c r="L2164"/>
      <c r="M2164"/>
      <c r="N2164"/>
      <c r="O2164"/>
    </row>
    <row r="2165" spans="1:15" x14ac:dyDescent="0.25">
      <c r="A2165"/>
      <c r="B2165"/>
      <c r="C2165"/>
      <c r="D2165"/>
      <c r="E2165"/>
      <c r="F2165"/>
      <c r="G2165"/>
      <c r="H2165"/>
      <c r="I2165"/>
      <c r="J2165"/>
      <c r="K2165"/>
      <c r="L2165"/>
      <c r="M2165"/>
      <c r="N2165"/>
      <c r="O2165"/>
    </row>
    <row r="2166" spans="1:15" x14ac:dyDescent="0.25">
      <c r="A2166"/>
      <c r="B2166"/>
      <c r="C2166"/>
      <c r="D2166"/>
      <c r="E2166"/>
      <c r="F2166"/>
      <c r="G2166"/>
      <c r="H2166"/>
      <c r="I2166"/>
      <c r="J2166"/>
      <c r="K2166"/>
      <c r="L2166"/>
      <c r="M2166"/>
      <c r="N2166"/>
      <c r="O2166"/>
    </row>
    <row r="2167" spans="1:15" x14ac:dyDescent="0.25">
      <c r="A2167"/>
      <c r="B2167"/>
      <c r="C2167"/>
      <c r="D2167"/>
      <c r="E2167"/>
      <c r="F2167"/>
      <c r="G2167"/>
      <c r="H2167"/>
      <c r="I2167"/>
      <c r="J2167"/>
      <c r="K2167"/>
      <c r="L2167"/>
      <c r="M2167"/>
      <c r="N2167"/>
      <c r="O2167"/>
    </row>
    <row r="2168" spans="1:15" x14ac:dyDescent="0.25">
      <c r="A2168"/>
      <c r="B2168"/>
      <c r="C2168"/>
      <c r="D2168"/>
      <c r="E2168"/>
      <c r="F2168"/>
      <c r="G2168"/>
      <c r="H2168"/>
      <c r="I2168"/>
      <c r="J2168"/>
      <c r="K2168"/>
      <c r="L2168"/>
      <c r="M2168"/>
      <c r="N2168"/>
      <c r="O2168"/>
    </row>
    <row r="2169" spans="1:15" x14ac:dyDescent="0.25">
      <c r="A2169"/>
      <c r="B2169"/>
      <c r="C2169"/>
      <c r="D2169"/>
      <c r="E2169"/>
      <c r="F2169"/>
      <c r="G2169"/>
      <c r="H2169"/>
      <c r="I2169"/>
      <c r="J2169"/>
      <c r="K2169"/>
      <c r="L2169"/>
      <c r="M2169"/>
      <c r="N2169"/>
      <c r="O2169"/>
    </row>
    <row r="2170" spans="1:15" x14ac:dyDescent="0.25">
      <c r="A2170"/>
      <c r="B2170"/>
      <c r="C2170"/>
      <c r="D2170"/>
      <c r="E2170"/>
      <c r="F2170"/>
      <c r="G2170"/>
      <c r="H2170"/>
      <c r="I2170"/>
      <c r="J2170"/>
      <c r="K2170"/>
      <c r="L2170"/>
      <c r="M2170"/>
      <c r="N2170"/>
      <c r="O2170"/>
    </row>
    <row r="2171" spans="1:15" x14ac:dyDescent="0.25">
      <c r="A2171"/>
      <c r="B2171"/>
      <c r="C2171"/>
      <c r="D2171"/>
      <c r="E2171"/>
      <c r="F2171"/>
      <c r="G2171"/>
      <c r="H2171"/>
      <c r="I2171"/>
      <c r="J2171"/>
      <c r="K2171"/>
      <c r="L2171"/>
      <c r="M2171"/>
      <c r="N2171"/>
      <c r="O2171"/>
    </row>
    <row r="2172" spans="1:15" x14ac:dyDescent="0.25">
      <c r="A2172"/>
      <c r="B2172"/>
      <c r="C2172"/>
      <c r="D2172"/>
      <c r="E2172"/>
      <c r="F2172"/>
      <c r="G2172"/>
      <c r="H2172"/>
      <c r="I2172"/>
      <c r="J2172"/>
      <c r="K2172"/>
      <c r="L2172"/>
      <c r="M2172"/>
      <c r="N2172"/>
      <c r="O2172"/>
    </row>
    <row r="2173" spans="1:15" x14ac:dyDescent="0.25">
      <c r="A2173"/>
      <c r="B2173"/>
      <c r="C2173"/>
      <c r="D2173"/>
      <c r="E2173"/>
      <c r="F2173"/>
      <c r="G2173"/>
      <c r="H2173"/>
      <c r="I2173"/>
      <c r="J2173"/>
      <c r="K2173"/>
      <c r="L2173"/>
      <c r="M2173"/>
      <c r="N2173"/>
      <c r="O2173"/>
    </row>
    <row r="2174" spans="1:15" x14ac:dyDescent="0.25">
      <c r="A2174"/>
      <c r="B2174"/>
      <c r="C2174"/>
      <c r="D2174"/>
      <c r="E2174"/>
      <c r="F2174"/>
      <c r="G2174"/>
      <c r="H2174"/>
      <c r="I2174"/>
      <c r="J2174"/>
      <c r="K2174"/>
      <c r="L2174"/>
      <c r="M2174"/>
      <c r="N2174"/>
      <c r="O2174"/>
    </row>
    <row r="2175" spans="1:15" x14ac:dyDescent="0.25">
      <c r="A2175"/>
      <c r="B2175"/>
      <c r="C2175"/>
      <c r="D2175"/>
      <c r="E2175"/>
      <c r="F2175"/>
      <c r="G2175"/>
      <c r="H2175"/>
      <c r="I2175"/>
      <c r="J2175"/>
      <c r="K2175"/>
      <c r="L2175"/>
      <c r="M2175"/>
      <c r="N2175"/>
      <c r="O2175"/>
    </row>
    <row r="2176" spans="1:15" x14ac:dyDescent="0.25">
      <c r="A2176"/>
      <c r="B2176"/>
      <c r="C2176"/>
      <c r="D2176"/>
      <c r="E2176"/>
      <c r="F2176"/>
      <c r="G2176"/>
      <c r="H2176"/>
      <c r="I2176"/>
      <c r="J2176"/>
      <c r="K2176"/>
      <c r="L2176"/>
      <c r="M2176"/>
      <c r="N2176"/>
      <c r="O2176"/>
    </row>
    <row r="2177" spans="1:15" x14ac:dyDescent="0.25">
      <c r="A2177"/>
      <c r="B2177"/>
      <c r="C2177"/>
      <c r="D2177"/>
      <c r="E2177"/>
      <c r="F2177"/>
      <c r="G2177"/>
      <c r="H2177"/>
      <c r="I2177"/>
      <c r="J2177"/>
      <c r="K2177"/>
      <c r="L2177"/>
      <c r="M2177"/>
      <c r="N2177"/>
      <c r="O2177"/>
    </row>
    <row r="2178" spans="1:15" x14ac:dyDescent="0.25">
      <c r="A2178"/>
      <c r="B2178"/>
      <c r="C2178"/>
      <c r="D2178"/>
      <c r="E2178"/>
      <c r="F2178"/>
      <c r="G2178"/>
      <c r="H2178"/>
      <c r="I2178"/>
      <c r="J2178"/>
      <c r="K2178"/>
      <c r="L2178"/>
      <c r="M2178"/>
      <c r="N2178"/>
      <c r="O2178"/>
    </row>
    <row r="2179" spans="1:15" x14ac:dyDescent="0.25">
      <c r="A2179"/>
      <c r="B2179"/>
      <c r="C2179"/>
      <c r="D2179"/>
      <c r="E2179"/>
      <c r="F2179"/>
      <c r="G2179"/>
      <c r="H2179"/>
      <c r="I2179"/>
      <c r="J2179"/>
      <c r="K2179"/>
      <c r="L2179"/>
      <c r="M2179"/>
      <c r="N2179"/>
      <c r="O2179"/>
    </row>
    <row r="2180" spans="1:15" x14ac:dyDescent="0.25">
      <c r="A2180"/>
      <c r="B2180"/>
      <c r="C2180"/>
      <c r="D2180"/>
      <c r="E2180"/>
      <c r="F2180"/>
      <c r="G2180"/>
      <c r="H2180"/>
      <c r="I2180"/>
      <c r="J2180"/>
      <c r="K2180"/>
      <c r="L2180"/>
      <c r="M2180"/>
      <c r="N2180"/>
      <c r="O2180"/>
    </row>
    <row r="2181" spans="1:15" x14ac:dyDescent="0.25">
      <c r="A2181"/>
      <c r="B2181"/>
      <c r="C2181"/>
      <c r="D2181"/>
      <c r="E2181"/>
      <c r="F2181"/>
      <c r="G2181"/>
      <c r="H2181"/>
      <c r="I2181"/>
      <c r="J2181"/>
      <c r="K2181"/>
      <c r="L2181"/>
      <c r="M2181"/>
      <c r="N2181"/>
      <c r="O2181"/>
    </row>
    <row r="2182" spans="1:15" x14ac:dyDescent="0.25">
      <c r="A2182"/>
      <c r="B2182"/>
      <c r="C2182"/>
      <c r="D2182"/>
      <c r="E2182"/>
      <c r="F2182"/>
      <c r="G2182"/>
      <c r="H2182"/>
      <c r="I2182"/>
      <c r="J2182"/>
      <c r="K2182"/>
      <c r="L2182"/>
      <c r="M2182"/>
      <c r="N2182"/>
      <c r="O2182"/>
    </row>
    <row r="2183" spans="1:15" x14ac:dyDescent="0.25">
      <c r="A2183"/>
      <c r="B2183"/>
      <c r="C2183"/>
      <c r="D2183"/>
      <c r="E2183"/>
      <c r="F2183"/>
      <c r="G2183"/>
      <c r="H2183"/>
      <c r="I2183"/>
      <c r="J2183"/>
      <c r="K2183"/>
      <c r="L2183"/>
      <c r="M2183"/>
      <c r="N2183"/>
      <c r="O2183"/>
    </row>
    <row r="2184" spans="1:15" x14ac:dyDescent="0.25">
      <c r="A2184"/>
      <c r="B2184"/>
      <c r="C2184"/>
      <c r="D2184"/>
      <c r="E2184"/>
      <c r="F2184"/>
      <c r="G2184"/>
      <c r="H2184"/>
      <c r="I2184"/>
      <c r="J2184"/>
      <c r="K2184"/>
      <c r="L2184"/>
      <c r="M2184"/>
      <c r="N2184"/>
      <c r="O2184"/>
    </row>
    <row r="2185" spans="1:15" x14ac:dyDescent="0.25">
      <c r="A2185"/>
      <c r="B2185"/>
      <c r="C2185"/>
      <c r="D2185"/>
      <c r="E2185"/>
      <c r="F2185"/>
      <c r="G2185"/>
      <c r="H2185"/>
      <c r="I2185"/>
      <c r="J2185"/>
      <c r="K2185"/>
      <c r="L2185"/>
      <c r="M2185"/>
      <c r="N2185"/>
      <c r="O2185"/>
    </row>
    <row r="2186" spans="1:15" x14ac:dyDescent="0.25">
      <c r="A2186"/>
      <c r="B2186"/>
      <c r="C2186"/>
      <c r="D2186"/>
      <c r="E2186"/>
      <c r="F2186"/>
      <c r="G2186"/>
      <c r="H2186"/>
      <c r="I2186"/>
      <c r="J2186"/>
      <c r="K2186"/>
      <c r="L2186"/>
      <c r="M2186"/>
      <c r="N2186"/>
      <c r="O2186"/>
    </row>
    <row r="2187" spans="1:15" x14ac:dyDescent="0.25">
      <c r="A2187"/>
      <c r="B2187"/>
      <c r="C2187"/>
      <c r="D2187"/>
      <c r="E2187"/>
      <c r="F2187"/>
      <c r="G2187"/>
      <c r="H2187"/>
      <c r="I2187"/>
      <c r="J2187"/>
      <c r="K2187"/>
      <c r="L2187"/>
      <c r="M2187"/>
      <c r="N2187"/>
      <c r="O2187"/>
    </row>
    <row r="2188" spans="1:15" x14ac:dyDescent="0.25">
      <c r="A2188"/>
      <c r="B2188"/>
      <c r="C2188"/>
      <c r="D2188"/>
      <c r="E2188"/>
      <c r="F2188"/>
      <c r="G2188"/>
      <c r="H2188"/>
      <c r="I2188"/>
      <c r="J2188"/>
      <c r="K2188"/>
      <c r="L2188"/>
      <c r="M2188"/>
      <c r="N2188"/>
      <c r="O2188"/>
    </row>
    <row r="2189" spans="1:15" x14ac:dyDescent="0.25">
      <c r="A2189"/>
      <c r="B2189"/>
      <c r="C2189"/>
      <c r="D2189"/>
      <c r="E2189"/>
      <c r="F2189"/>
      <c r="G2189"/>
      <c r="H2189"/>
      <c r="I2189"/>
      <c r="J2189"/>
      <c r="K2189"/>
      <c r="L2189"/>
      <c r="M2189"/>
      <c r="N2189"/>
      <c r="O2189"/>
    </row>
    <row r="2190" spans="1:15" x14ac:dyDescent="0.25">
      <c r="A2190"/>
      <c r="B2190"/>
      <c r="C2190"/>
      <c r="D2190"/>
      <c r="E2190"/>
      <c r="F2190"/>
      <c r="G2190"/>
      <c r="H2190"/>
      <c r="I2190"/>
      <c r="J2190"/>
      <c r="K2190"/>
      <c r="L2190"/>
      <c r="M2190"/>
      <c r="N2190"/>
      <c r="O2190"/>
    </row>
    <row r="2191" spans="1:15" x14ac:dyDescent="0.25">
      <c r="A2191"/>
      <c r="B2191"/>
      <c r="C2191"/>
      <c r="D2191"/>
      <c r="E2191"/>
      <c r="F2191"/>
      <c r="G2191"/>
      <c r="H2191"/>
      <c r="I2191"/>
      <c r="J2191"/>
      <c r="K2191"/>
      <c r="L2191"/>
      <c r="M2191"/>
      <c r="N2191"/>
      <c r="O2191"/>
    </row>
    <row r="2192" spans="1:15" x14ac:dyDescent="0.25">
      <c r="A2192"/>
      <c r="B2192"/>
      <c r="C2192"/>
      <c r="D2192"/>
      <c r="E2192"/>
      <c r="F2192"/>
      <c r="G2192"/>
      <c r="H2192"/>
      <c r="I2192"/>
      <c r="J2192"/>
      <c r="K2192"/>
      <c r="L2192"/>
      <c r="M2192"/>
      <c r="N2192"/>
      <c r="O2192"/>
    </row>
    <row r="2193" spans="1:15" x14ac:dyDescent="0.25">
      <c r="A2193"/>
      <c r="B2193"/>
      <c r="C2193"/>
      <c r="D2193"/>
      <c r="E2193"/>
      <c r="F2193"/>
      <c r="G2193"/>
      <c r="H2193"/>
      <c r="I2193"/>
      <c r="J2193"/>
      <c r="K2193"/>
      <c r="L2193"/>
      <c r="M2193"/>
      <c r="N2193"/>
      <c r="O2193"/>
    </row>
    <row r="2194" spans="1:15" x14ac:dyDescent="0.25">
      <c r="A2194"/>
      <c r="B2194"/>
      <c r="C2194"/>
      <c r="D2194"/>
      <c r="E2194"/>
      <c r="F2194"/>
      <c r="G2194"/>
      <c r="H2194"/>
      <c r="I2194"/>
      <c r="J2194"/>
      <c r="K2194"/>
      <c r="L2194"/>
      <c r="M2194"/>
      <c r="N2194"/>
      <c r="O2194"/>
    </row>
    <row r="2195" spans="1:15" x14ac:dyDescent="0.25">
      <c r="A2195"/>
      <c r="B2195"/>
      <c r="C2195"/>
      <c r="D2195"/>
      <c r="E2195"/>
      <c r="F2195"/>
      <c r="G2195"/>
      <c r="H2195"/>
      <c r="I2195"/>
      <c r="J2195"/>
      <c r="K2195"/>
      <c r="L2195"/>
      <c r="M2195"/>
      <c r="N2195"/>
      <c r="O2195"/>
    </row>
    <row r="2196" spans="1:15" x14ac:dyDescent="0.25">
      <c r="A2196"/>
      <c r="B2196"/>
      <c r="C2196"/>
      <c r="D2196"/>
      <c r="E2196"/>
      <c r="F2196"/>
      <c r="G2196"/>
      <c r="H2196"/>
      <c r="I2196"/>
      <c r="J2196"/>
      <c r="K2196"/>
      <c r="L2196"/>
      <c r="M2196"/>
      <c r="N2196"/>
      <c r="O2196"/>
    </row>
    <row r="2197" spans="1:15" x14ac:dyDescent="0.25">
      <c r="A2197"/>
      <c r="B2197"/>
      <c r="C2197"/>
      <c r="D2197"/>
      <c r="E2197"/>
      <c r="F2197"/>
      <c r="G2197"/>
      <c r="H2197"/>
      <c r="I2197"/>
      <c r="J2197"/>
      <c r="K2197"/>
      <c r="L2197"/>
      <c r="M2197"/>
      <c r="N2197"/>
      <c r="O2197"/>
    </row>
    <row r="2198" spans="1:15" x14ac:dyDescent="0.25">
      <c r="A2198"/>
      <c r="B2198"/>
      <c r="C2198"/>
      <c r="D2198"/>
      <c r="E2198"/>
      <c r="F2198"/>
      <c r="G2198"/>
      <c r="H2198"/>
      <c r="I2198"/>
      <c r="J2198"/>
      <c r="K2198"/>
      <c r="L2198"/>
      <c r="M2198"/>
      <c r="N2198"/>
      <c r="O2198"/>
    </row>
    <row r="2199" spans="1:15" x14ac:dyDescent="0.25">
      <c r="A2199"/>
      <c r="B2199"/>
      <c r="C2199"/>
      <c r="D2199"/>
      <c r="E2199"/>
      <c r="F2199"/>
      <c r="G2199"/>
      <c r="H2199"/>
      <c r="I2199"/>
      <c r="J2199"/>
      <c r="K2199"/>
      <c r="L2199"/>
      <c r="M2199"/>
      <c r="N2199"/>
      <c r="O2199"/>
    </row>
    <row r="2200" spans="1:15" x14ac:dyDescent="0.25">
      <c r="A2200"/>
      <c r="B2200"/>
      <c r="C2200"/>
      <c r="D2200"/>
      <c r="E2200"/>
      <c r="F2200"/>
      <c r="G2200"/>
      <c r="H2200"/>
      <c r="I2200"/>
      <c r="J2200"/>
      <c r="K2200"/>
      <c r="L2200"/>
      <c r="M2200"/>
      <c r="N2200"/>
      <c r="O2200"/>
    </row>
    <row r="2201" spans="1:15" x14ac:dyDescent="0.25">
      <c r="A2201"/>
      <c r="B2201"/>
      <c r="C2201"/>
      <c r="D2201"/>
      <c r="E2201"/>
      <c r="F2201"/>
      <c r="G2201"/>
      <c r="H2201"/>
      <c r="I2201"/>
      <c r="J2201"/>
      <c r="K2201"/>
      <c r="L2201"/>
      <c r="M2201"/>
      <c r="N2201"/>
      <c r="O2201"/>
    </row>
    <row r="2202" spans="1:15" x14ac:dyDescent="0.25">
      <c r="A2202"/>
      <c r="B2202"/>
      <c r="C2202"/>
      <c r="D2202"/>
      <c r="E2202"/>
      <c r="F2202"/>
      <c r="G2202"/>
      <c r="H2202"/>
      <c r="I2202"/>
      <c r="J2202"/>
      <c r="K2202"/>
      <c r="L2202"/>
      <c r="M2202"/>
      <c r="N2202"/>
      <c r="O2202"/>
    </row>
    <row r="2203" spans="1:15" x14ac:dyDescent="0.25">
      <c r="A2203"/>
      <c r="B2203"/>
      <c r="C2203"/>
      <c r="D2203"/>
      <c r="E2203"/>
      <c r="F2203"/>
      <c r="G2203"/>
      <c r="H2203"/>
      <c r="I2203"/>
      <c r="J2203"/>
      <c r="K2203"/>
      <c r="L2203"/>
      <c r="M2203"/>
      <c r="N2203"/>
      <c r="O2203"/>
    </row>
    <row r="2204" spans="1:15" x14ac:dyDescent="0.25">
      <c r="A2204"/>
      <c r="B2204"/>
      <c r="C2204"/>
      <c r="D2204"/>
      <c r="E2204"/>
      <c r="F2204"/>
      <c r="G2204"/>
      <c r="H2204"/>
      <c r="I2204"/>
      <c r="J2204"/>
      <c r="K2204"/>
      <c r="L2204"/>
      <c r="M2204"/>
      <c r="N2204"/>
      <c r="O2204"/>
    </row>
    <row r="2205" spans="1:15" x14ac:dyDescent="0.25">
      <c r="A2205"/>
      <c r="B2205"/>
      <c r="C2205"/>
      <c r="D2205"/>
      <c r="E2205"/>
      <c r="F2205"/>
      <c r="G2205"/>
      <c r="H2205"/>
      <c r="I2205"/>
      <c r="J2205"/>
      <c r="K2205"/>
      <c r="L2205"/>
      <c r="M2205"/>
      <c r="N2205"/>
      <c r="O2205"/>
    </row>
    <row r="2206" spans="1:15" x14ac:dyDescent="0.25">
      <c r="A2206"/>
      <c r="B2206"/>
      <c r="C2206"/>
      <c r="D2206"/>
      <c r="E2206"/>
      <c r="F2206"/>
      <c r="G2206"/>
      <c r="H2206"/>
      <c r="I2206"/>
      <c r="J2206"/>
      <c r="K2206"/>
      <c r="L2206"/>
      <c r="M2206"/>
      <c r="N2206"/>
      <c r="O2206"/>
    </row>
    <row r="2207" spans="1:15" x14ac:dyDescent="0.25">
      <c r="A2207"/>
      <c r="B2207"/>
      <c r="C2207"/>
      <c r="D2207"/>
      <c r="E2207"/>
      <c r="F2207"/>
      <c r="G2207"/>
      <c r="H2207"/>
      <c r="I2207"/>
      <c r="J2207"/>
      <c r="K2207"/>
      <c r="L2207"/>
      <c r="M2207"/>
      <c r="N2207"/>
      <c r="O2207"/>
    </row>
    <row r="2208" spans="1:15" x14ac:dyDescent="0.25">
      <c r="A2208"/>
      <c r="B2208"/>
      <c r="C2208"/>
      <c r="D2208"/>
      <c r="E2208"/>
      <c r="F2208"/>
      <c r="G2208"/>
      <c r="H2208"/>
      <c r="I2208"/>
      <c r="J2208"/>
      <c r="K2208"/>
      <c r="L2208"/>
      <c r="M2208"/>
      <c r="N2208"/>
      <c r="O2208"/>
    </row>
    <row r="2209" spans="1:15" x14ac:dyDescent="0.25">
      <c r="A2209"/>
      <c r="B2209"/>
      <c r="C2209"/>
      <c r="D2209"/>
      <c r="E2209"/>
      <c r="F2209"/>
      <c r="G2209"/>
      <c r="H2209"/>
      <c r="I2209"/>
      <c r="J2209"/>
      <c r="K2209"/>
      <c r="L2209"/>
      <c r="M2209"/>
      <c r="N2209"/>
      <c r="O2209"/>
    </row>
    <row r="2210" spans="1:15" x14ac:dyDescent="0.25">
      <c r="A2210"/>
      <c r="B2210"/>
      <c r="C2210"/>
      <c r="D2210"/>
      <c r="E2210"/>
      <c r="F2210"/>
      <c r="G2210"/>
      <c r="H2210"/>
      <c r="I2210"/>
      <c r="J2210"/>
      <c r="K2210"/>
      <c r="L2210"/>
      <c r="M2210"/>
      <c r="N2210"/>
      <c r="O2210"/>
    </row>
    <row r="2211" spans="1:15" x14ac:dyDescent="0.25">
      <c r="A2211"/>
      <c r="B2211"/>
      <c r="C2211"/>
      <c r="D2211"/>
      <c r="E2211"/>
      <c r="F2211"/>
      <c r="G2211"/>
      <c r="H2211"/>
      <c r="I2211"/>
      <c r="J2211"/>
      <c r="K2211"/>
      <c r="L2211"/>
      <c r="M2211"/>
      <c r="N2211"/>
      <c r="O2211"/>
    </row>
    <row r="2212" spans="1:15" x14ac:dyDescent="0.25">
      <c r="A2212"/>
      <c r="B2212"/>
      <c r="C2212"/>
      <c r="D2212"/>
      <c r="E2212"/>
      <c r="F2212"/>
      <c r="G2212"/>
      <c r="H2212"/>
      <c r="I2212"/>
      <c r="J2212"/>
      <c r="K2212"/>
      <c r="L2212"/>
      <c r="M2212"/>
      <c r="N2212"/>
      <c r="O2212"/>
    </row>
    <row r="2213" spans="1:15" x14ac:dyDescent="0.25">
      <c r="A2213"/>
      <c r="B2213"/>
      <c r="C2213"/>
      <c r="D2213"/>
      <c r="E2213"/>
      <c r="F2213"/>
      <c r="G2213"/>
      <c r="H2213"/>
      <c r="I2213"/>
      <c r="J2213"/>
      <c r="K2213"/>
      <c r="L2213"/>
      <c r="M2213"/>
      <c r="N2213"/>
      <c r="O2213"/>
    </row>
    <row r="2214" spans="1:15" x14ac:dyDescent="0.25">
      <c r="A2214"/>
      <c r="B2214"/>
      <c r="C2214"/>
      <c r="D2214"/>
      <c r="E2214"/>
      <c r="F2214"/>
      <c r="G2214"/>
      <c r="H2214"/>
      <c r="I2214"/>
      <c r="J2214"/>
      <c r="K2214"/>
      <c r="L2214"/>
      <c r="M2214"/>
      <c r="N2214"/>
      <c r="O2214"/>
    </row>
    <row r="2215" spans="1:15" x14ac:dyDescent="0.25">
      <c r="A2215"/>
      <c r="B2215"/>
      <c r="C2215"/>
      <c r="D2215"/>
      <c r="E2215"/>
      <c r="F2215"/>
      <c r="G2215"/>
      <c r="H2215"/>
      <c r="I2215"/>
      <c r="J2215"/>
      <c r="K2215"/>
      <c r="L2215"/>
      <c r="M2215"/>
      <c r="N2215"/>
      <c r="O2215"/>
    </row>
    <row r="2216" spans="1:15" x14ac:dyDescent="0.25">
      <c r="A2216"/>
      <c r="B2216"/>
      <c r="C2216"/>
      <c r="D2216"/>
      <c r="E2216"/>
      <c r="F2216"/>
      <c r="G2216"/>
      <c r="H2216"/>
      <c r="I2216"/>
      <c r="J2216"/>
      <c r="K2216"/>
      <c r="L2216"/>
      <c r="M2216"/>
      <c r="N2216"/>
      <c r="O2216"/>
    </row>
    <row r="2217" spans="1:15" x14ac:dyDescent="0.25">
      <c r="A2217"/>
      <c r="B2217"/>
      <c r="C2217"/>
      <c r="D2217"/>
      <c r="E2217"/>
      <c r="F2217"/>
      <c r="G2217"/>
      <c r="H2217"/>
      <c r="I2217"/>
      <c r="J2217"/>
      <c r="K2217"/>
      <c r="L2217"/>
      <c r="M2217"/>
      <c r="N2217"/>
      <c r="O2217"/>
    </row>
    <row r="2218" spans="1:15" x14ac:dyDescent="0.25">
      <c r="A2218"/>
      <c r="B2218"/>
      <c r="C2218"/>
      <c r="D2218"/>
      <c r="E2218"/>
      <c r="F2218"/>
      <c r="G2218"/>
      <c r="H2218"/>
      <c r="I2218"/>
      <c r="J2218"/>
      <c r="K2218"/>
      <c r="L2218"/>
      <c r="M2218"/>
      <c r="N2218"/>
      <c r="O2218"/>
    </row>
    <row r="2219" spans="1:15" x14ac:dyDescent="0.25">
      <c r="A2219"/>
      <c r="B2219"/>
      <c r="C2219"/>
      <c r="D2219"/>
      <c r="E2219"/>
      <c r="F2219"/>
      <c r="G2219"/>
      <c r="H2219"/>
      <c r="I2219"/>
      <c r="J2219"/>
      <c r="K2219"/>
      <c r="L2219"/>
      <c r="M2219"/>
      <c r="N2219"/>
      <c r="O2219"/>
    </row>
    <row r="2220" spans="1:15" x14ac:dyDescent="0.25">
      <c r="A2220"/>
      <c r="B2220"/>
      <c r="C2220"/>
      <c r="D2220"/>
      <c r="E2220"/>
      <c r="F2220"/>
      <c r="G2220"/>
      <c r="H2220"/>
      <c r="I2220"/>
      <c r="J2220"/>
      <c r="K2220"/>
      <c r="L2220"/>
      <c r="M2220"/>
      <c r="N2220"/>
      <c r="O2220"/>
    </row>
    <row r="2221" spans="1:15" x14ac:dyDescent="0.25">
      <c r="A2221"/>
      <c r="B2221"/>
      <c r="C2221"/>
      <c r="D2221"/>
      <c r="E2221"/>
      <c r="F2221"/>
      <c r="G2221"/>
      <c r="H2221"/>
      <c r="I2221"/>
      <c r="J2221"/>
      <c r="K2221"/>
      <c r="L2221"/>
      <c r="M2221"/>
      <c r="N2221"/>
      <c r="O2221"/>
    </row>
    <row r="2222" spans="1:15" x14ac:dyDescent="0.25">
      <c r="A2222"/>
      <c r="B2222"/>
      <c r="C2222"/>
      <c r="D2222"/>
      <c r="E2222"/>
      <c r="F2222"/>
      <c r="G2222"/>
      <c r="H2222"/>
      <c r="I2222"/>
      <c r="J2222"/>
      <c r="K2222"/>
      <c r="L2222"/>
      <c r="M2222"/>
      <c r="N2222"/>
      <c r="O2222"/>
    </row>
    <row r="2223" spans="1:15" x14ac:dyDescent="0.25">
      <c r="A2223"/>
      <c r="B2223"/>
      <c r="C2223"/>
      <c r="D2223"/>
      <c r="E2223"/>
      <c r="F2223"/>
      <c r="G2223"/>
      <c r="H2223"/>
      <c r="I2223"/>
      <c r="J2223"/>
      <c r="K2223"/>
      <c r="L2223"/>
      <c r="M2223"/>
      <c r="N2223"/>
      <c r="O2223"/>
    </row>
    <row r="2224" spans="1:15" x14ac:dyDescent="0.25">
      <c r="A2224"/>
      <c r="B2224"/>
      <c r="C2224"/>
      <c r="D2224"/>
      <c r="E2224"/>
      <c r="F2224"/>
      <c r="G2224"/>
      <c r="H2224"/>
      <c r="I2224"/>
      <c r="J2224"/>
      <c r="K2224"/>
      <c r="L2224"/>
      <c r="M2224"/>
      <c r="N2224"/>
      <c r="O2224"/>
    </row>
    <row r="2225" spans="1:15" x14ac:dyDescent="0.25">
      <c r="A2225"/>
      <c r="B2225"/>
      <c r="C2225"/>
      <c r="D2225"/>
      <c r="E2225"/>
      <c r="F2225"/>
      <c r="G2225"/>
      <c r="H2225"/>
      <c r="I2225"/>
      <c r="J2225"/>
      <c r="K2225"/>
      <c r="L2225"/>
      <c r="M2225"/>
      <c r="N2225"/>
      <c r="O2225"/>
    </row>
    <row r="2226" spans="1:15" x14ac:dyDescent="0.25">
      <c r="A2226"/>
      <c r="B2226"/>
      <c r="C2226"/>
      <c r="D2226"/>
      <c r="E2226"/>
      <c r="F2226"/>
      <c r="G2226"/>
      <c r="H2226"/>
      <c r="I2226"/>
      <c r="J2226"/>
      <c r="K2226"/>
      <c r="L2226"/>
      <c r="M2226"/>
      <c r="N2226"/>
      <c r="O2226"/>
    </row>
    <row r="2227" spans="1:15" x14ac:dyDescent="0.25">
      <c r="A2227"/>
      <c r="B2227"/>
      <c r="C2227"/>
      <c r="D2227"/>
      <c r="E2227"/>
      <c r="F2227"/>
      <c r="G2227"/>
      <c r="H2227"/>
      <c r="I2227"/>
      <c r="J2227"/>
      <c r="K2227"/>
      <c r="L2227"/>
      <c r="M2227"/>
      <c r="N2227"/>
      <c r="O2227"/>
    </row>
    <row r="2228" spans="1:15" x14ac:dyDescent="0.25">
      <c r="A2228"/>
      <c r="B2228"/>
      <c r="C2228"/>
      <c r="D2228"/>
      <c r="E2228"/>
      <c r="F2228"/>
      <c r="G2228"/>
      <c r="H2228"/>
      <c r="I2228"/>
      <c r="J2228"/>
      <c r="K2228"/>
      <c r="L2228"/>
      <c r="M2228"/>
      <c r="N2228"/>
      <c r="O2228"/>
    </row>
    <row r="2229" spans="1:15" x14ac:dyDescent="0.25">
      <c r="A2229"/>
      <c r="B2229"/>
      <c r="C2229"/>
      <c r="D2229"/>
      <c r="E2229"/>
      <c r="F2229"/>
      <c r="G2229"/>
      <c r="H2229"/>
      <c r="I2229"/>
      <c r="J2229"/>
      <c r="K2229"/>
      <c r="L2229"/>
      <c r="M2229"/>
      <c r="N2229"/>
      <c r="O2229"/>
    </row>
    <row r="2230" spans="1:15" x14ac:dyDescent="0.25">
      <c r="A2230"/>
      <c r="B2230"/>
      <c r="C2230"/>
      <c r="D2230"/>
      <c r="E2230"/>
      <c r="F2230"/>
      <c r="G2230"/>
      <c r="H2230"/>
      <c r="I2230"/>
      <c r="J2230"/>
      <c r="K2230"/>
      <c r="L2230"/>
      <c r="M2230"/>
      <c r="N2230"/>
      <c r="O2230"/>
    </row>
    <row r="2231" spans="1:15" x14ac:dyDescent="0.25">
      <c r="A2231"/>
      <c r="B2231"/>
      <c r="C2231"/>
      <c r="D2231"/>
      <c r="E2231"/>
      <c r="F2231"/>
      <c r="G2231"/>
      <c r="H2231"/>
      <c r="I2231"/>
      <c r="J2231"/>
      <c r="K2231"/>
      <c r="L2231"/>
      <c r="M2231"/>
      <c r="N2231"/>
      <c r="O2231"/>
    </row>
    <row r="2232" spans="1:15" x14ac:dyDescent="0.25">
      <c r="A2232"/>
      <c r="B2232"/>
      <c r="C2232"/>
      <c r="D2232"/>
      <c r="E2232"/>
      <c r="F2232"/>
      <c r="G2232"/>
      <c r="H2232"/>
      <c r="I2232"/>
      <c r="J2232"/>
      <c r="K2232"/>
      <c r="L2232"/>
      <c r="M2232"/>
      <c r="N2232"/>
      <c r="O2232"/>
    </row>
    <row r="2233" spans="1:15" x14ac:dyDescent="0.25">
      <c r="A2233"/>
      <c r="B2233"/>
      <c r="C2233"/>
      <c r="D2233"/>
      <c r="E2233"/>
      <c r="F2233"/>
      <c r="G2233"/>
      <c r="H2233"/>
      <c r="I2233"/>
      <c r="J2233"/>
      <c r="K2233"/>
      <c r="L2233"/>
      <c r="M2233"/>
      <c r="N2233"/>
      <c r="O2233"/>
    </row>
    <row r="2234" spans="1:15" x14ac:dyDescent="0.25">
      <c r="A2234"/>
      <c r="B2234"/>
      <c r="C2234"/>
      <c r="D2234"/>
      <c r="E2234"/>
      <c r="F2234"/>
      <c r="G2234"/>
      <c r="H2234"/>
      <c r="I2234"/>
      <c r="J2234"/>
      <c r="K2234"/>
      <c r="L2234"/>
      <c r="M2234"/>
      <c r="N2234"/>
      <c r="O2234"/>
    </row>
    <row r="2235" spans="1:15" x14ac:dyDescent="0.25">
      <c r="A2235"/>
      <c r="B2235"/>
      <c r="C2235"/>
      <c r="D2235"/>
      <c r="E2235"/>
      <c r="F2235"/>
      <c r="G2235"/>
      <c r="H2235"/>
      <c r="I2235"/>
      <c r="J2235"/>
      <c r="K2235"/>
      <c r="L2235"/>
      <c r="M2235"/>
      <c r="N2235"/>
      <c r="O2235"/>
    </row>
    <row r="2236" spans="1:15" x14ac:dyDescent="0.25">
      <c r="A2236"/>
      <c r="B2236"/>
      <c r="C2236"/>
      <c r="D2236"/>
      <c r="E2236"/>
      <c r="F2236"/>
      <c r="G2236"/>
      <c r="H2236"/>
      <c r="I2236"/>
      <c r="J2236"/>
      <c r="K2236"/>
      <c r="L2236"/>
      <c r="M2236"/>
      <c r="N2236"/>
      <c r="O2236"/>
    </row>
    <row r="2237" spans="1:15" x14ac:dyDescent="0.25">
      <c r="A2237"/>
      <c r="B2237"/>
      <c r="C2237"/>
      <c r="D2237"/>
      <c r="E2237"/>
      <c r="F2237"/>
      <c r="G2237"/>
      <c r="H2237"/>
      <c r="I2237"/>
      <c r="J2237"/>
      <c r="K2237"/>
      <c r="L2237"/>
      <c r="M2237"/>
      <c r="N2237"/>
      <c r="O2237"/>
    </row>
    <row r="2238" spans="1:15" x14ac:dyDescent="0.25">
      <c r="A2238"/>
      <c r="B2238"/>
      <c r="C2238"/>
      <c r="D2238"/>
      <c r="E2238"/>
      <c r="F2238"/>
      <c r="G2238"/>
      <c r="H2238"/>
      <c r="I2238"/>
      <c r="J2238"/>
      <c r="K2238"/>
      <c r="L2238"/>
      <c r="M2238"/>
      <c r="N2238"/>
      <c r="O2238"/>
    </row>
    <row r="2239" spans="1:15" x14ac:dyDescent="0.25">
      <c r="A2239"/>
      <c r="B2239"/>
      <c r="C2239"/>
      <c r="D2239"/>
      <c r="E2239"/>
      <c r="F2239"/>
      <c r="G2239"/>
      <c r="H2239"/>
      <c r="I2239"/>
      <c r="J2239"/>
      <c r="K2239"/>
      <c r="L2239"/>
      <c r="M2239"/>
      <c r="N2239"/>
      <c r="O2239"/>
    </row>
    <row r="2240" spans="1:15" x14ac:dyDescent="0.25">
      <c r="A2240"/>
      <c r="B2240"/>
      <c r="C2240"/>
      <c r="D2240"/>
      <c r="E2240"/>
      <c r="F2240"/>
      <c r="G2240"/>
      <c r="H2240"/>
      <c r="I2240"/>
      <c r="J2240"/>
      <c r="K2240"/>
      <c r="L2240"/>
      <c r="M2240"/>
      <c r="N2240"/>
      <c r="O2240"/>
    </row>
    <row r="2241" spans="1:15" x14ac:dyDescent="0.25">
      <c r="A2241"/>
      <c r="B2241"/>
      <c r="C2241"/>
      <c r="D2241"/>
      <c r="E2241"/>
      <c r="F2241"/>
      <c r="G2241"/>
      <c r="H2241"/>
      <c r="I2241"/>
      <c r="J2241"/>
      <c r="K2241"/>
      <c r="L2241"/>
      <c r="M2241"/>
      <c r="N2241"/>
      <c r="O2241"/>
    </row>
    <row r="2242" spans="1:15" x14ac:dyDescent="0.25">
      <c r="A2242"/>
      <c r="B2242"/>
      <c r="C2242"/>
      <c r="D2242"/>
      <c r="E2242"/>
      <c r="F2242"/>
      <c r="G2242"/>
      <c r="H2242"/>
      <c r="I2242"/>
      <c r="J2242"/>
      <c r="K2242"/>
      <c r="L2242"/>
      <c r="M2242"/>
      <c r="N2242"/>
      <c r="O2242"/>
    </row>
    <row r="2243" spans="1:15" x14ac:dyDescent="0.25">
      <c r="A2243"/>
      <c r="B2243"/>
      <c r="C2243"/>
      <c r="D2243"/>
      <c r="E2243"/>
      <c r="F2243"/>
      <c r="G2243"/>
      <c r="H2243"/>
      <c r="I2243"/>
      <c r="J2243"/>
      <c r="K2243"/>
      <c r="L2243"/>
      <c r="M2243"/>
      <c r="N2243"/>
      <c r="O2243"/>
    </row>
    <row r="2244" spans="1:15" x14ac:dyDescent="0.25">
      <c r="A2244"/>
      <c r="B2244"/>
      <c r="C2244"/>
      <c r="D2244"/>
      <c r="E2244"/>
      <c r="F2244"/>
      <c r="G2244"/>
      <c r="H2244"/>
      <c r="I2244"/>
      <c r="J2244"/>
      <c r="K2244"/>
      <c r="L2244"/>
      <c r="M2244"/>
      <c r="N2244"/>
      <c r="O2244"/>
    </row>
    <row r="2245" spans="1:15" x14ac:dyDescent="0.25">
      <c r="A2245"/>
      <c r="B2245"/>
      <c r="C2245"/>
      <c r="D2245"/>
      <c r="E2245"/>
      <c r="F2245"/>
      <c r="G2245"/>
      <c r="H2245"/>
      <c r="I2245"/>
      <c r="J2245"/>
      <c r="K2245"/>
      <c r="L2245"/>
      <c r="M2245"/>
      <c r="N2245"/>
      <c r="O2245"/>
    </row>
    <row r="2246" spans="1:15" x14ac:dyDescent="0.25">
      <c r="A2246"/>
      <c r="B2246"/>
      <c r="C2246"/>
      <c r="D2246"/>
      <c r="E2246"/>
      <c r="F2246"/>
      <c r="G2246"/>
      <c r="H2246"/>
      <c r="I2246"/>
      <c r="J2246"/>
      <c r="K2246"/>
      <c r="L2246"/>
      <c r="M2246"/>
      <c r="N2246"/>
      <c r="O2246"/>
    </row>
    <row r="2247" spans="1:15" x14ac:dyDescent="0.25">
      <c r="A2247"/>
      <c r="B2247"/>
      <c r="C2247"/>
      <c r="D2247"/>
      <c r="E2247"/>
      <c r="F2247"/>
      <c r="G2247"/>
      <c r="H2247"/>
      <c r="I2247"/>
      <c r="J2247"/>
      <c r="K2247"/>
      <c r="L2247"/>
      <c r="M2247"/>
      <c r="N2247"/>
      <c r="O2247"/>
    </row>
    <row r="2248" spans="1:15" x14ac:dyDescent="0.25">
      <c r="A2248"/>
      <c r="B2248"/>
      <c r="C2248"/>
      <c r="D2248"/>
      <c r="E2248"/>
      <c r="F2248"/>
      <c r="G2248"/>
      <c r="H2248"/>
      <c r="I2248"/>
      <c r="J2248"/>
      <c r="K2248"/>
      <c r="L2248"/>
      <c r="M2248"/>
      <c r="N2248"/>
      <c r="O2248"/>
    </row>
    <row r="2249" spans="1:15" x14ac:dyDescent="0.25">
      <c r="A2249"/>
      <c r="B2249"/>
      <c r="C2249"/>
      <c r="D2249"/>
      <c r="E2249"/>
      <c r="F2249"/>
      <c r="G2249"/>
      <c r="H2249"/>
      <c r="I2249"/>
      <c r="J2249"/>
      <c r="K2249"/>
      <c r="L2249"/>
      <c r="M2249"/>
      <c r="N2249"/>
      <c r="O2249"/>
    </row>
    <row r="2250" spans="1:15" x14ac:dyDescent="0.25">
      <c r="A2250"/>
      <c r="B2250"/>
      <c r="C2250"/>
      <c r="D2250"/>
      <c r="E2250"/>
      <c r="F2250"/>
      <c r="G2250"/>
      <c r="H2250"/>
      <c r="I2250"/>
      <c r="J2250"/>
      <c r="K2250"/>
      <c r="L2250"/>
      <c r="M2250"/>
      <c r="N2250"/>
      <c r="O2250"/>
    </row>
    <row r="2251" spans="1:15" x14ac:dyDescent="0.25">
      <c r="A2251"/>
      <c r="B2251"/>
      <c r="C2251"/>
      <c r="D2251"/>
      <c r="E2251"/>
      <c r="F2251"/>
      <c r="G2251"/>
      <c r="H2251"/>
      <c r="I2251"/>
      <c r="J2251"/>
      <c r="K2251"/>
      <c r="L2251"/>
      <c r="M2251"/>
      <c r="N2251"/>
      <c r="O2251"/>
    </row>
    <row r="2252" spans="1:15" x14ac:dyDescent="0.25">
      <c r="A2252"/>
      <c r="B2252"/>
      <c r="C2252"/>
      <c r="D2252"/>
      <c r="E2252"/>
      <c r="F2252"/>
      <c r="G2252"/>
      <c r="H2252"/>
      <c r="I2252"/>
      <c r="J2252"/>
      <c r="K2252"/>
      <c r="L2252"/>
      <c r="M2252"/>
      <c r="N2252"/>
      <c r="O2252"/>
    </row>
    <row r="2253" spans="1:15" x14ac:dyDescent="0.25">
      <c r="A2253"/>
      <c r="B2253"/>
      <c r="C2253"/>
      <c r="D2253"/>
      <c r="E2253"/>
      <c r="F2253"/>
      <c r="G2253"/>
      <c r="H2253"/>
      <c r="I2253"/>
      <c r="J2253"/>
      <c r="K2253"/>
      <c r="L2253"/>
      <c r="M2253"/>
      <c r="N2253"/>
      <c r="O2253"/>
    </row>
    <row r="2254" spans="1:15" x14ac:dyDescent="0.25">
      <c r="A2254"/>
      <c r="B2254"/>
      <c r="C2254"/>
      <c r="D2254"/>
      <c r="E2254"/>
      <c r="F2254"/>
      <c r="G2254"/>
      <c r="H2254"/>
      <c r="I2254"/>
      <c r="J2254"/>
      <c r="K2254"/>
      <c r="L2254"/>
      <c r="M2254"/>
      <c r="N2254"/>
      <c r="O2254"/>
    </row>
    <row r="2255" spans="1:15" x14ac:dyDescent="0.25">
      <c r="A2255"/>
      <c r="B2255"/>
      <c r="C2255"/>
      <c r="D2255"/>
      <c r="E2255"/>
      <c r="F2255"/>
      <c r="G2255"/>
      <c r="H2255"/>
      <c r="I2255"/>
      <c r="J2255"/>
      <c r="K2255"/>
      <c r="L2255"/>
      <c r="M2255"/>
      <c r="N2255"/>
      <c r="O2255"/>
    </row>
    <row r="2256" spans="1:15" x14ac:dyDescent="0.25">
      <c r="A2256"/>
      <c r="B2256"/>
      <c r="C2256"/>
      <c r="D2256"/>
      <c r="E2256"/>
      <c r="F2256"/>
      <c r="G2256"/>
      <c r="H2256"/>
      <c r="I2256"/>
      <c r="J2256"/>
      <c r="K2256"/>
      <c r="L2256"/>
      <c r="M2256"/>
      <c r="N2256"/>
      <c r="O2256"/>
    </row>
    <row r="2257" spans="1:15" x14ac:dyDescent="0.25">
      <c r="A2257"/>
      <c r="B2257"/>
      <c r="C2257"/>
      <c r="D2257"/>
      <c r="E2257"/>
      <c r="F2257"/>
      <c r="G2257"/>
      <c r="H2257"/>
      <c r="I2257"/>
      <c r="J2257"/>
      <c r="K2257"/>
      <c r="L2257"/>
      <c r="M2257"/>
      <c r="N2257"/>
      <c r="O2257"/>
    </row>
    <row r="2258" spans="1:15" x14ac:dyDescent="0.25">
      <c r="A2258"/>
      <c r="B2258"/>
      <c r="C2258"/>
      <c r="D2258"/>
      <c r="E2258"/>
      <c r="F2258"/>
      <c r="G2258"/>
      <c r="H2258"/>
      <c r="I2258"/>
      <c r="J2258"/>
      <c r="K2258"/>
      <c r="L2258"/>
      <c r="M2258"/>
      <c r="N2258"/>
      <c r="O2258"/>
    </row>
    <row r="2259" spans="1:15" x14ac:dyDescent="0.25">
      <c r="A2259"/>
      <c r="B2259"/>
      <c r="C2259"/>
      <c r="D2259"/>
      <c r="E2259"/>
      <c r="F2259"/>
      <c r="G2259"/>
      <c r="H2259"/>
      <c r="I2259"/>
      <c r="J2259"/>
      <c r="K2259"/>
      <c r="L2259"/>
      <c r="M2259"/>
      <c r="N2259"/>
      <c r="O2259"/>
    </row>
    <row r="2260" spans="1:15" x14ac:dyDescent="0.25">
      <c r="A2260"/>
      <c r="B2260"/>
      <c r="C2260"/>
      <c r="D2260"/>
      <c r="E2260"/>
      <c r="F2260"/>
      <c r="G2260"/>
      <c r="H2260"/>
      <c r="I2260"/>
      <c r="J2260"/>
      <c r="K2260"/>
      <c r="L2260"/>
      <c r="M2260"/>
      <c r="N2260"/>
      <c r="O2260"/>
    </row>
    <row r="2261" spans="1:15" x14ac:dyDescent="0.25">
      <c r="A2261"/>
      <c r="B2261"/>
      <c r="C2261"/>
      <c r="D2261"/>
      <c r="E2261"/>
      <c r="F2261"/>
      <c r="G2261"/>
      <c r="H2261"/>
      <c r="I2261"/>
      <c r="J2261"/>
      <c r="K2261"/>
      <c r="L2261"/>
      <c r="M2261"/>
      <c r="N2261"/>
      <c r="O2261"/>
    </row>
    <row r="2262" spans="1:15" x14ac:dyDescent="0.25">
      <c r="A2262"/>
      <c r="B2262"/>
      <c r="C2262"/>
      <c r="D2262"/>
      <c r="E2262"/>
      <c r="F2262"/>
      <c r="G2262"/>
      <c r="H2262"/>
      <c r="I2262"/>
      <c r="J2262"/>
      <c r="K2262"/>
      <c r="L2262"/>
      <c r="M2262"/>
      <c r="N2262"/>
      <c r="O2262"/>
    </row>
    <row r="2263" spans="1:15" x14ac:dyDescent="0.25">
      <c r="A2263"/>
      <c r="B2263"/>
      <c r="C2263"/>
      <c r="D2263"/>
      <c r="E2263"/>
      <c r="F2263"/>
      <c r="G2263"/>
      <c r="H2263"/>
      <c r="I2263"/>
      <c r="J2263"/>
      <c r="K2263"/>
      <c r="L2263"/>
      <c r="M2263"/>
      <c r="N2263"/>
      <c r="O2263"/>
    </row>
    <row r="2264" spans="1:15" x14ac:dyDescent="0.25">
      <c r="A2264"/>
      <c r="B2264"/>
      <c r="C2264"/>
      <c r="D2264"/>
      <c r="E2264"/>
      <c r="F2264"/>
      <c r="G2264"/>
      <c r="H2264"/>
      <c r="I2264"/>
      <c r="J2264"/>
      <c r="K2264"/>
      <c r="L2264"/>
      <c r="M2264"/>
      <c r="N2264"/>
      <c r="O2264"/>
    </row>
    <row r="2265" spans="1:15" x14ac:dyDescent="0.25">
      <c r="A2265"/>
      <c r="B2265"/>
      <c r="C2265"/>
      <c r="D2265"/>
      <c r="E2265"/>
      <c r="F2265"/>
      <c r="G2265"/>
      <c r="H2265"/>
      <c r="I2265"/>
      <c r="J2265"/>
      <c r="K2265"/>
      <c r="L2265"/>
      <c r="M2265"/>
      <c r="N2265"/>
      <c r="O2265"/>
    </row>
    <row r="2266" spans="1:15" x14ac:dyDescent="0.25">
      <c r="A2266"/>
      <c r="B2266"/>
      <c r="C2266"/>
      <c r="D2266"/>
      <c r="E2266"/>
      <c r="F2266"/>
      <c r="G2266"/>
      <c r="H2266"/>
      <c r="I2266"/>
      <c r="J2266"/>
      <c r="K2266"/>
      <c r="L2266"/>
      <c r="M2266"/>
      <c r="N2266"/>
      <c r="O2266"/>
    </row>
    <row r="2267" spans="1:15" x14ac:dyDescent="0.25">
      <c r="A2267"/>
      <c r="B2267"/>
      <c r="C2267"/>
      <c r="D2267"/>
      <c r="E2267"/>
      <c r="F2267"/>
      <c r="G2267"/>
      <c r="H2267"/>
      <c r="I2267"/>
      <c r="J2267"/>
      <c r="K2267"/>
      <c r="L2267"/>
      <c r="M2267"/>
      <c r="N2267"/>
      <c r="O2267"/>
    </row>
    <row r="2268" spans="1:15" x14ac:dyDescent="0.25">
      <c r="A2268"/>
      <c r="B2268"/>
      <c r="C2268"/>
      <c r="D2268"/>
      <c r="E2268"/>
      <c r="F2268"/>
      <c r="G2268"/>
      <c r="H2268"/>
      <c r="I2268"/>
      <c r="J2268"/>
      <c r="K2268"/>
      <c r="L2268"/>
      <c r="M2268"/>
      <c r="N2268"/>
      <c r="O2268"/>
    </row>
    <row r="2269" spans="1:15" x14ac:dyDescent="0.25">
      <c r="A2269"/>
      <c r="B2269"/>
      <c r="C2269"/>
      <c r="D2269"/>
      <c r="E2269"/>
      <c r="F2269"/>
      <c r="G2269"/>
      <c r="H2269"/>
      <c r="I2269"/>
      <c r="J2269"/>
      <c r="K2269"/>
      <c r="L2269"/>
      <c r="M2269"/>
      <c r="N2269"/>
      <c r="O2269"/>
    </row>
    <row r="2270" spans="1:15" x14ac:dyDescent="0.25">
      <c r="A2270"/>
      <c r="B2270"/>
      <c r="C2270"/>
      <c r="D2270"/>
      <c r="E2270"/>
      <c r="F2270"/>
      <c r="G2270"/>
      <c r="H2270"/>
      <c r="I2270"/>
      <c r="J2270"/>
      <c r="K2270"/>
      <c r="L2270"/>
      <c r="M2270"/>
      <c r="N2270"/>
      <c r="O2270"/>
    </row>
    <row r="2271" spans="1:15" x14ac:dyDescent="0.25">
      <c r="A2271"/>
      <c r="B2271"/>
      <c r="C2271"/>
      <c r="D2271"/>
      <c r="E2271"/>
      <c r="F2271"/>
      <c r="G2271"/>
      <c r="H2271"/>
      <c r="I2271"/>
      <c r="J2271"/>
      <c r="K2271"/>
      <c r="L2271"/>
      <c r="M2271"/>
      <c r="N2271"/>
      <c r="O2271"/>
    </row>
    <row r="2272" spans="1:15" x14ac:dyDescent="0.25">
      <c r="A2272"/>
      <c r="B2272"/>
      <c r="C2272"/>
      <c r="D2272"/>
      <c r="E2272"/>
      <c r="F2272"/>
      <c r="G2272"/>
      <c r="H2272"/>
      <c r="I2272"/>
      <c r="J2272"/>
      <c r="K2272"/>
      <c r="L2272"/>
      <c r="M2272"/>
      <c r="N2272"/>
      <c r="O2272"/>
    </row>
    <row r="2273" spans="1:15" x14ac:dyDescent="0.25">
      <c r="A2273"/>
      <c r="B2273"/>
      <c r="C2273"/>
      <c r="D2273"/>
      <c r="E2273"/>
      <c r="F2273"/>
      <c r="G2273"/>
      <c r="H2273"/>
      <c r="I2273"/>
      <c r="J2273"/>
      <c r="K2273"/>
      <c r="L2273"/>
      <c r="M2273"/>
      <c r="N2273"/>
      <c r="O2273"/>
    </row>
    <row r="2274" spans="1:15" x14ac:dyDescent="0.25">
      <c r="A2274"/>
      <c r="B2274"/>
      <c r="C2274"/>
      <c r="D2274"/>
      <c r="E2274"/>
      <c r="F2274"/>
      <c r="G2274"/>
      <c r="H2274"/>
      <c r="I2274"/>
      <c r="J2274"/>
      <c r="K2274"/>
      <c r="L2274"/>
      <c r="M2274"/>
      <c r="N2274"/>
      <c r="O2274"/>
    </row>
    <row r="2275" spans="1:15" x14ac:dyDescent="0.25">
      <c r="A2275"/>
      <c r="B2275"/>
      <c r="C2275"/>
      <c r="D2275"/>
      <c r="E2275"/>
      <c r="F2275"/>
      <c r="G2275"/>
      <c r="H2275"/>
      <c r="I2275"/>
      <c r="J2275"/>
      <c r="K2275"/>
      <c r="L2275"/>
      <c r="M2275"/>
      <c r="N2275"/>
      <c r="O2275"/>
    </row>
    <row r="2276" spans="1:15" x14ac:dyDescent="0.25">
      <c r="A2276"/>
      <c r="B2276"/>
      <c r="C2276"/>
      <c r="D2276"/>
      <c r="E2276"/>
      <c r="F2276"/>
      <c r="G2276"/>
      <c r="H2276"/>
      <c r="I2276"/>
      <c r="J2276"/>
      <c r="K2276"/>
      <c r="L2276"/>
      <c r="M2276"/>
      <c r="N2276"/>
      <c r="O2276"/>
    </row>
    <row r="2277" spans="1:15" x14ac:dyDescent="0.25">
      <c r="A2277"/>
      <c r="B2277"/>
      <c r="C2277"/>
      <c r="D2277"/>
      <c r="E2277"/>
      <c r="F2277"/>
      <c r="G2277"/>
      <c r="H2277"/>
      <c r="I2277"/>
      <c r="J2277"/>
      <c r="K2277"/>
      <c r="L2277"/>
      <c r="M2277"/>
      <c r="N2277"/>
      <c r="O2277"/>
    </row>
    <row r="2278" spans="1:15" x14ac:dyDescent="0.25">
      <c r="A2278"/>
      <c r="B2278"/>
      <c r="C2278"/>
      <c r="D2278"/>
      <c r="E2278"/>
      <c r="F2278"/>
      <c r="G2278"/>
      <c r="H2278"/>
      <c r="I2278"/>
      <c r="J2278"/>
      <c r="K2278"/>
      <c r="L2278"/>
      <c r="M2278"/>
      <c r="N2278"/>
      <c r="O2278"/>
    </row>
    <row r="2279" spans="1:15" x14ac:dyDescent="0.25">
      <c r="A2279"/>
      <c r="B2279"/>
      <c r="C2279"/>
      <c r="D2279"/>
      <c r="E2279"/>
      <c r="F2279"/>
      <c r="G2279"/>
      <c r="H2279"/>
      <c r="I2279"/>
      <c r="J2279"/>
      <c r="K2279"/>
      <c r="L2279"/>
      <c r="M2279"/>
      <c r="N2279"/>
      <c r="O2279"/>
    </row>
    <row r="2280" spans="1:15" x14ac:dyDescent="0.25">
      <c r="A2280"/>
      <c r="B2280"/>
      <c r="C2280"/>
      <c r="D2280"/>
      <c r="E2280"/>
      <c r="F2280"/>
      <c r="G2280"/>
      <c r="H2280"/>
      <c r="I2280"/>
      <c r="J2280"/>
      <c r="K2280"/>
      <c r="L2280"/>
      <c r="M2280"/>
      <c r="N2280"/>
      <c r="O2280"/>
    </row>
    <row r="2281" spans="1:15" x14ac:dyDescent="0.25">
      <c r="A2281"/>
      <c r="B2281"/>
      <c r="C2281"/>
      <c r="D2281"/>
      <c r="E2281"/>
      <c r="F2281"/>
      <c r="G2281"/>
      <c r="H2281"/>
      <c r="I2281"/>
      <c r="J2281"/>
      <c r="K2281"/>
      <c r="L2281"/>
      <c r="M2281"/>
      <c r="N2281"/>
      <c r="O2281"/>
    </row>
    <row r="2282" spans="1:15" x14ac:dyDescent="0.25">
      <c r="A2282"/>
      <c r="B2282"/>
      <c r="C2282"/>
      <c r="D2282"/>
      <c r="E2282"/>
      <c r="F2282"/>
      <c r="G2282"/>
      <c r="H2282"/>
      <c r="I2282"/>
      <c r="J2282"/>
      <c r="K2282"/>
      <c r="L2282"/>
      <c r="M2282"/>
      <c r="N2282"/>
      <c r="O2282"/>
    </row>
    <row r="2283" spans="1:15" x14ac:dyDescent="0.25">
      <c r="A2283"/>
      <c r="B2283"/>
      <c r="C2283"/>
      <c r="D2283"/>
      <c r="E2283"/>
      <c r="F2283"/>
      <c r="G2283"/>
      <c r="H2283"/>
      <c r="I2283"/>
      <c r="J2283"/>
      <c r="K2283"/>
      <c r="L2283"/>
      <c r="M2283"/>
      <c r="N2283"/>
      <c r="O2283"/>
    </row>
    <row r="2284" spans="1:15" x14ac:dyDescent="0.25">
      <c r="A2284"/>
      <c r="B2284"/>
      <c r="C2284"/>
      <c r="D2284"/>
      <c r="E2284"/>
      <c r="F2284"/>
      <c r="G2284"/>
      <c r="H2284"/>
      <c r="I2284"/>
      <c r="J2284"/>
      <c r="K2284"/>
      <c r="L2284"/>
      <c r="M2284"/>
      <c r="N2284"/>
      <c r="O2284"/>
    </row>
    <row r="2285" spans="1:15" x14ac:dyDescent="0.25">
      <c r="A2285"/>
      <c r="B2285"/>
      <c r="C2285"/>
      <c r="D2285"/>
      <c r="E2285"/>
      <c r="F2285"/>
      <c r="G2285"/>
      <c r="H2285"/>
      <c r="I2285"/>
      <c r="J2285"/>
      <c r="K2285"/>
      <c r="L2285"/>
      <c r="M2285"/>
      <c r="N2285"/>
      <c r="O2285"/>
    </row>
    <row r="2286" spans="1:15" x14ac:dyDescent="0.25">
      <c r="A2286"/>
      <c r="B2286"/>
      <c r="C2286"/>
      <c r="D2286"/>
      <c r="E2286"/>
      <c r="F2286"/>
      <c r="G2286"/>
      <c r="H2286"/>
      <c r="I2286"/>
      <c r="J2286"/>
      <c r="K2286"/>
      <c r="L2286"/>
      <c r="M2286"/>
      <c r="N2286"/>
      <c r="O2286"/>
    </row>
    <row r="2287" spans="1:15" x14ac:dyDescent="0.25">
      <c r="A2287"/>
      <c r="B2287"/>
      <c r="C2287"/>
      <c r="D2287"/>
      <c r="E2287"/>
      <c r="F2287"/>
      <c r="G2287"/>
      <c r="H2287"/>
      <c r="I2287"/>
      <c r="J2287"/>
      <c r="K2287"/>
      <c r="L2287"/>
      <c r="M2287"/>
      <c r="N2287"/>
      <c r="O2287"/>
    </row>
    <row r="2288" spans="1:15" x14ac:dyDescent="0.25">
      <c r="A2288"/>
      <c r="B2288"/>
      <c r="C2288"/>
      <c r="D2288"/>
      <c r="E2288"/>
      <c r="F2288"/>
      <c r="G2288"/>
      <c r="H2288"/>
      <c r="I2288"/>
      <c r="J2288"/>
      <c r="K2288"/>
      <c r="L2288"/>
      <c r="M2288"/>
      <c r="N2288"/>
      <c r="O2288"/>
    </row>
    <row r="2289" spans="1:15" x14ac:dyDescent="0.25">
      <c r="A2289"/>
      <c r="B2289"/>
      <c r="C2289"/>
      <c r="D2289"/>
      <c r="E2289"/>
      <c r="F2289"/>
      <c r="G2289"/>
      <c r="H2289"/>
      <c r="I2289"/>
      <c r="J2289"/>
      <c r="K2289"/>
      <c r="L2289"/>
      <c r="M2289"/>
      <c r="N2289"/>
      <c r="O2289"/>
    </row>
    <row r="2290" spans="1:15" x14ac:dyDescent="0.25">
      <c r="A2290"/>
      <c r="B2290"/>
      <c r="C2290"/>
      <c r="D2290"/>
      <c r="E2290"/>
      <c r="F2290"/>
      <c r="G2290"/>
      <c r="H2290"/>
      <c r="I2290"/>
      <c r="J2290"/>
      <c r="K2290"/>
      <c r="L2290"/>
      <c r="M2290"/>
      <c r="N2290"/>
      <c r="O2290"/>
    </row>
    <row r="2291" spans="1:15" x14ac:dyDescent="0.25">
      <c r="A2291"/>
      <c r="B2291"/>
      <c r="C2291"/>
      <c r="D2291"/>
      <c r="E2291"/>
      <c r="F2291"/>
      <c r="G2291"/>
      <c r="H2291"/>
      <c r="I2291"/>
      <c r="J2291"/>
      <c r="K2291"/>
      <c r="L2291"/>
      <c r="M2291"/>
      <c r="N2291"/>
      <c r="O2291"/>
    </row>
    <row r="2292" spans="1:15" x14ac:dyDescent="0.25">
      <c r="A2292"/>
      <c r="B2292"/>
      <c r="C2292"/>
      <c r="D2292"/>
      <c r="E2292"/>
      <c r="F2292"/>
      <c r="G2292"/>
      <c r="H2292"/>
      <c r="I2292"/>
      <c r="J2292"/>
      <c r="K2292"/>
      <c r="L2292"/>
      <c r="M2292"/>
      <c r="N2292"/>
      <c r="O2292"/>
    </row>
    <row r="2293" spans="1:15" x14ac:dyDescent="0.25">
      <c r="A2293"/>
      <c r="B2293"/>
      <c r="C2293"/>
      <c r="D2293"/>
      <c r="E2293"/>
      <c r="F2293"/>
      <c r="G2293"/>
      <c r="H2293"/>
      <c r="I2293"/>
      <c r="J2293"/>
      <c r="K2293"/>
      <c r="L2293"/>
      <c r="M2293"/>
      <c r="N2293"/>
      <c r="O2293"/>
    </row>
    <row r="2294" spans="1:15" x14ac:dyDescent="0.25">
      <c r="A2294"/>
      <c r="B2294"/>
      <c r="C2294"/>
      <c r="D2294"/>
      <c r="E2294"/>
      <c r="F2294"/>
      <c r="G2294"/>
      <c r="H2294"/>
      <c r="I2294"/>
      <c r="J2294"/>
      <c r="K2294"/>
      <c r="L2294"/>
      <c r="M2294"/>
      <c r="N2294"/>
      <c r="O2294"/>
    </row>
    <row r="2295" spans="1:15" x14ac:dyDescent="0.25">
      <c r="A2295"/>
      <c r="B2295"/>
      <c r="C2295"/>
      <c r="D2295"/>
      <c r="E2295"/>
      <c r="F2295"/>
      <c r="G2295"/>
      <c r="H2295"/>
      <c r="I2295"/>
      <c r="J2295"/>
      <c r="K2295"/>
      <c r="L2295"/>
      <c r="M2295"/>
      <c r="N2295"/>
      <c r="O2295"/>
    </row>
    <row r="2296" spans="1:15" x14ac:dyDescent="0.25">
      <c r="A2296"/>
      <c r="B2296"/>
      <c r="C2296"/>
      <c r="D2296"/>
      <c r="E2296"/>
      <c r="F2296"/>
      <c r="G2296"/>
      <c r="H2296"/>
      <c r="I2296"/>
      <c r="J2296"/>
      <c r="K2296"/>
      <c r="L2296"/>
      <c r="M2296"/>
      <c r="N2296"/>
      <c r="O2296"/>
    </row>
    <row r="2297" spans="1:15" x14ac:dyDescent="0.25">
      <c r="A2297"/>
      <c r="B2297"/>
      <c r="C2297"/>
      <c r="D2297"/>
      <c r="E2297"/>
      <c r="F2297"/>
      <c r="G2297"/>
      <c r="H2297"/>
      <c r="I2297"/>
      <c r="J2297"/>
      <c r="K2297"/>
      <c r="L2297"/>
      <c r="M2297"/>
      <c r="N2297"/>
      <c r="O2297"/>
    </row>
    <row r="2298" spans="1:15" x14ac:dyDescent="0.25">
      <c r="A2298"/>
      <c r="B2298"/>
      <c r="C2298"/>
      <c r="D2298"/>
      <c r="E2298"/>
      <c r="F2298"/>
      <c r="G2298"/>
      <c r="H2298"/>
      <c r="I2298"/>
      <c r="J2298"/>
      <c r="K2298"/>
      <c r="L2298"/>
      <c r="M2298"/>
      <c r="N2298"/>
      <c r="O2298"/>
    </row>
    <row r="2299" spans="1:15" x14ac:dyDescent="0.25">
      <c r="A2299"/>
      <c r="B2299"/>
      <c r="C2299"/>
      <c r="D2299"/>
      <c r="E2299"/>
      <c r="F2299"/>
      <c r="G2299"/>
      <c r="H2299"/>
      <c r="I2299"/>
      <c r="J2299"/>
      <c r="K2299"/>
      <c r="L2299"/>
      <c r="M2299"/>
      <c r="N2299"/>
      <c r="O2299"/>
    </row>
    <row r="2300" spans="1:15" x14ac:dyDescent="0.25">
      <c r="A2300"/>
      <c r="B2300"/>
      <c r="C2300"/>
      <c r="D2300"/>
      <c r="E2300"/>
      <c r="F2300"/>
      <c r="G2300"/>
      <c r="H2300"/>
      <c r="I2300"/>
      <c r="J2300"/>
      <c r="K2300"/>
      <c r="L2300"/>
      <c r="M2300"/>
      <c r="N2300"/>
      <c r="O2300"/>
    </row>
    <row r="2301" spans="1:15" x14ac:dyDescent="0.25">
      <c r="A2301"/>
      <c r="B2301"/>
      <c r="C2301"/>
      <c r="D2301"/>
      <c r="E2301"/>
      <c r="F2301"/>
      <c r="G2301"/>
      <c r="H2301"/>
      <c r="I2301"/>
      <c r="J2301"/>
      <c r="K2301"/>
      <c r="L2301"/>
      <c r="M2301"/>
      <c r="N2301"/>
      <c r="O2301"/>
    </row>
    <row r="2302" spans="1:15" x14ac:dyDescent="0.25">
      <c r="A2302"/>
      <c r="B2302"/>
      <c r="C2302"/>
      <c r="D2302"/>
      <c r="E2302"/>
      <c r="F2302"/>
      <c r="G2302"/>
      <c r="H2302"/>
      <c r="I2302"/>
      <c r="J2302"/>
      <c r="K2302"/>
      <c r="L2302"/>
      <c r="M2302"/>
      <c r="N2302"/>
      <c r="O2302"/>
    </row>
    <row r="2303" spans="1:15" x14ac:dyDescent="0.25">
      <c r="A2303"/>
      <c r="B2303"/>
      <c r="C2303"/>
      <c r="D2303"/>
      <c r="E2303"/>
      <c r="F2303"/>
      <c r="G2303"/>
      <c r="H2303"/>
      <c r="I2303"/>
      <c r="J2303"/>
      <c r="K2303"/>
      <c r="L2303"/>
      <c r="M2303"/>
      <c r="N2303"/>
      <c r="O2303"/>
    </row>
    <row r="2304" spans="1:15" x14ac:dyDescent="0.25">
      <c r="A2304"/>
      <c r="B2304"/>
      <c r="C2304"/>
      <c r="D2304"/>
      <c r="E2304"/>
      <c r="F2304"/>
      <c r="G2304"/>
      <c r="H2304"/>
      <c r="I2304"/>
      <c r="J2304"/>
      <c r="K2304"/>
      <c r="L2304"/>
      <c r="M2304"/>
      <c r="N2304"/>
      <c r="O2304"/>
    </row>
    <row r="2305" spans="1:15" x14ac:dyDescent="0.25">
      <c r="A2305"/>
      <c r="B2305"/>
      <c r="C2305"/>
      <c r="D2305"/>
      <c r="E2305"/>
      <c r="F2305"/>
      <c r="G2305"/>
      <c r="H2305"/>
      <c r="I2305"/>
      <c r="J2305"/>
      <c r="K2305"/>
      <c r="L2305"/>
      <c r="M2305"/>
      <c r="N2305"/>
      <c r="O2305"/>
    </row>
    <row r="2306" spans="1:15" x14ac:dyDescent="0.25">
      <c r="A2306"/>
      <c r="B2306"/>
      <c r="C2306"/>
      <c r="D2306"/>
      <c r="E2306"/>
      <c r="F2306"/>
      <c r="G2306"/>
      <c r="H2306"/>
      <c r="I2306"/>
      <c r="J2306"/>
      <c r="K2306"/>
      <c r="L2306"/>
      <c r="M2306"/>
      <c r="N2306"/>
      <c r="O2306"/>
    </row>
    <row r="2307" spans="1:15" x14ac:dyDescent="0.25">
      <c r="A2307"/>
      <c r="B2307"/>
      <c r="C2307"/>
      <c r="D2307"/>
      <c r="E2307"/>
      <c r="F2307"/>
      <c r="G2307"/>
      <c r="H2307"/>
      <c r="I2307"/>
      <c r="J2307"/>
      <c r="K2307"/>
      <c r="L2307"/>
      <c r="M2307"/>
      <c r="N2307"/>
      <c r="O2307"/>
    </row>
    <row r="2308" spans="1:15" x14ac:dyDescent="0.25">
      <c r="A2308"/>
      <c r="B2308"/>
      <c r="C2308"/>
      <c r="D2308"/>
      <c r="E2308"/>
      <c r="F2308"/>
      <c r="G2308"/>
      <c r="H2308"/>
      <c r="I2308"/>
      <c r="J2308"/>
      <c r="K2308"/>
      <c r="L2308"/>
      <c r="M2308"/>
      <c r="N2308"/>
      <c r="O2308"/>
    </row>
    <row r="2309" spans="1:15" x14ac:dyDescent="0.25">
      <c r="A2309"/>
      <c r="B2309"/>
      <c r="C2309"/>
      <c r="D2309"/>
      <c r="E2309"/>
      <c r="F2309"/>
      <c r="G2309"/>
      <c r="H2309"/>
      <c r="I2309"/>
      <c r="J2309"/>
      <c r="K2309"/>
      <c r="L2309"/>
      <c r="M2309"/>
      <c r="N2309"/>
      <c r="O2309"/>
    </row>
    <row r="2310" spans="1:15" x14ac:dyDescent="0.25">
      <c r="A2310"/>
      <c r="B2310"/>
      <c r="C2310"/>
      <c r="D2310"/>
      <c r="E2310"/>
      <c r="F2310"/>
      <c r="G2310"/>
      <c r="H2310"/>
      <c r="I2310"/>
      <c r="J2310"/>
      <c r="K2310"/>
      <c r="L2310"/>
      <c r="M2310"/>
      <c r="N2310"/>
      <c r="O2310"/>
    </row>
    <row r="2311" spans="1:15" x14ac:dyDescent="0.25">
      <c r="A2311"/>
      <c r="B2311"/>
      <c r="C2311"/>
      <c r="D2311"/>
      <c r="E2311"/>
      <c r="F2311"/>
      <c r="G2311"/>
      <c r="H2311"/>
      <c r="I2311"/>
      <c r="J2311"/>
      <c r="K2311"/>
      <c r="L2311"/>
      <c r="M2311"/>
      <c r="N2311"/>
      <c r="O2311"/>
    </row>
    <row r="2312" spans="1:15" x14ac:dyDescent="0.25">
      <c r="A2312"/>
      <c r="B2312"/>
      <c r="C2312"/>
      <c r="D2312"/>
      <c r="E2312"/>
      <c r="F2312"/>
      <c r="G2312"/>
      <c r="H2312"/>
      <c r="I2312"/>
      <c r="J2312"/>
      <c r="K2312"/>
      <c r="L2312"/>
      <c r="M2312"/>
      <c r="N2312"/>
      <c r="O2312"/>
    </row>
    <row r="2313" spans="1:15" x14ac:dyDescent="0.25">
      <c r="A2313"/>
      <c r="B2313"/>
      <c r="C2313"/>
      <c r="D2313"/>
      <c r="E2313"/>
      <c r="F2313"/>
      <c r="G2313"/>
      <c r="H2313"/>
      <c r="I2313"/>
      <c r="J2313"/>
      <c r="K2313"/>
      <c r="L2313"/>
      <c r="M2313"/>
      <c r="N2313"/>
      <c r="O2313"/>
    </row>
    <row r="2314" spans="1:15" x14ac:dyDescent="0.25">
      <c r="A2314"/>
      <c r="B2314"/>
      <c r="C2314"/>
      <c r="D2314"/>
      <c r="E2314"/>
      <c r="F2314"/>
      <c r="G2314"/>
      <c r="H2314"/>
      <c r="I2314"/>
      <c r="J2314"/>
      <c r="K2314"/>
      <c r="L2314"/>
      <c r="M2314"/>
      <c r="N2314"/>
      <c r="O2314"/>
    </row>
    <row r="2315" spans="1:15" x14ac:dyDescent="0.25">
      <c r="A2315"/>
      <c r="B2315"/>
      <c r="C2315"/>
      <c r="D2315"/>
      <c r="E2315"/>
      <c r="F2315"/>
      <c r="G2315"/>
      <c r="H2315"/>
      <c r="I2315"/>
      <c r="J2315"/>
      <c r="K2315"/>
      <c r="L2315"/>
      <c r="M2315"/>
      <c r="N2315"/>
      <c r="O2315"/>
    </row>
    <row r="2316" spans="1:15" x14ac:dyDescent="0.25">
      <c r="A2316"/>
      <c r="B2316"/>
      <c r="C2316"/>
      <c r="D2316"/>
      <c r="E2316"/>
      <c r="F2316"/>
      <c r="G2316"/>
      <c r="H2316"/>
      <c r="I2316"/>
      <c r="J2316"/>
      <c r="K2316"/>
      <c r="L2316"/>
      <c r="M2316"/>
      <c r="N2316"/>
      <c r="O2316"/>
    </row>
    <row r="2317" spans="1:15" x14ac:dyDescent="0.25">
      <c r="A2317"/>
      <c r="B2317"/>
      <c r="C2317"/>
      <c r="D2317"/>
      <c r="E2317"/>
      <c r="F2317"/>
      <c r="G2317"/>
      <c r="H2317"/>
      <c r="I2317"/>
      <c r="J2317"/>
      <c r="K2317"/>
      <c r="L2317"/>
      <c r="M2317"/>
      <c r="N2317"/>
      <c r="O2317"/>
    </row>
    <row r="2318" spans="1:15" x14ac:dyDescent="0.25">
      <c r="A2318"/>
      <c r="B2318"/>
      <c r="C2318"/>
      <c r="D2318"/>
      <c r="E2318"/>
      <c r="F2318"/>
      <c r="G2318"/>
      <c r="H2318"/>
      <c r="I2318"/>
      <c r="J2318"/>
      <c r="K2318"/>
      <c r="L2318"/>
      <c r="M2318"/>
      <c r="N2318"/>
      <c r="O2318"/>
    </row>
    <row r="2319" spans="1:15" x14ac:dyDescent="0.25">
      <c r="A2319"/>
      <c r="B2319"/>
      <c r="C2319"/>
      <c r="D2319"/>
      <c r="E2319"/>
      <c r="F2319"/>
      <c r="G2319"/>
      <c r="H2319"/>
      <c r="I2319"/>
      <c r="J2319"/>
      <c r="K2319"/>
      <c r="L2319"/>
      <c r="M2319"/>
      <c r="N2319"/>
      <c r="O2319"/>
    </row>
    <row r="2320" spans="1:15" x14ac:dyDescent="0.25">
      <c r="A2320"/>
      <c r="B2320"/>
      <c r="C2320"/>
      <c r="D2320"/>
      <c r="E2320"/>
      <c r="F2320"/>
      <c r="G2320"/>
      <c r="H2320"/>
      <c r="I2320"/>
      <c r="J2320"/>
      <c r="K2320"/>
      <c r="L2320"/>
      <c r="M2320"/>
      <c r="N2320"/>
      <c r="O2320"/>
    </row>
    <row r="2321" spans="1:15" x14ac:dyDescent="0.25">
      <c r="A2321"/>
      <c r="B2321"/>
      <c r="C2321"/>
      <c r="D2321"/>
      <c r="E2321"/>
      <c r="F2321"/>
      <c r="G2321"/>
      <c r="H2321"/>
      <c r="I2321"/>
      <c r="J2321"/>
      <c r="K2321"/>
      <c r="L2321"/>
      <c r="M2321"/>
      <c r="N2321"/>
      <c r="O2321"/>
    </row>
    <row r="2322" spans="1:15" x14ac:dyDescent="0.25">
      <c r="A2322"/>
      <c r="B2322"/>
      <c r="C2322"/>
      <c r="D2322"/>
      <c r="E2322"/>
      <c r="F2322"/>
      <c r="G2322"/>
      <c r="H2322"/>
      <c r="I2322"/>
      <c r="J2322"/>
      <c r="K2322"/>
      <c r="L2322"/>
      <c r="M2322"/>
      <c r="N2322"/>
      <c r="O2322"/>
    </row>
    <row r="2323" spans="1:15" x14ac:dyDescent="0.25">
      <c r="A2323"/>
      <c r="B2323"/>
      <c r="C2323"/>
      <c r="D2323"/>
      <c r="E2323"/>
      <c r="F2323"/>
      <c r="G2323"/>
      <c r="H2323"/>
      <c r="I2323"/>
      <c r="J2323"/>
      <c r="K2323"/>
      <c r="L2323"/>
      <c r="M2323"/>
      <c r="N2323"/>
      <c r="O2323"/>
    </row>
    <row r="2324" spans="1:15" x14ac:dyDescent="0.25">
      <c r="A2324"/>
      <c r="B2324"/>
      <c r="C2324"/>
      <c r="D2324"/>
      <c r="E2324"/>
      <c r="F2324"/>
      <c r="G2324"/>
      <c r="H2324"/>
      <c r="I2324"/>
      <c r="J2324"/>
      <c r="K2324"/>
      <c r="L2324"/>
      <c r="M2324"/>
      <c r="N2324"/>
      <c r="O2324"/>
    </row>
    <row r="2325" spans="1:15" x14ac:dyDescent="0.25">
      <c r="A2325"/>
      <c r="B2325"/>
      <c r="C2325"/>
      <c r="D2325"/>
      <c r="E2325"/>
      <c r="F2325"/>
      <c r="G2325"/>
      <c r="H2325"/>
      <c r="I2325"/>
      <c r="J2325"/>
      <c r="K2325"/>
      <c r="L2325"/>
      <c r="M2325"/>
      <c r="N2325"/>
      <c r="O2325"/>
    </row>
    <row r="2326" spans="1:15" x14ac:dyDescent="0.25">
      <c r="A2326"/>
      <c r="B2326"/>
      <c r="C2326"/>
      <c r="D2326"/>
      <c r="E2326"/>
      <c r="F2326"/>
      <c r="G2326"/>
      <c r="H2326"/>
      <c r="I2326"/>
      <c r="J2326"/>
      <c r="K2326"/>
      <c r="L2326"/>
      <c r="M2326"/>
      <c r="N2326"/>
      <c r="O2326"/>
    </row>
    <row r="2327" spans="1:15" x14ac:dyDescent="0.25">
      <c r="A2327"/>
      <c r="B2327"/>
      <c r="C2327"/>
      <c r="D2327"/>
      <c r="E2327"/>
      <c r="F2327"/>
      <c r="G2327"/>
      <c r="H2327"/>
      <c r="I2327"/>
      <c r="J2327"/>
      <c r="K2327"/>
      <c r="L2327"/>
      <c r="M2327"/>
      <c r="N2327"/>
      <c r="O2327"/>
    </row>
    <row r="2328" spans="1:15" x14ac:dyDescent="0.25">
      <c r="A2328"/>
      <c r="B2328"/>
      <c r="C2328"/>
      <c r="D2328"/>
      <c r="E2328"/>
      <c r="F2328"/>
      <c r="G2328"/>
      <c r="H2328"/>
      <c r="I2328"/>
      <c r="J2328"/>
      <c r="K2328"/>
      <c r="L2328"/>
      <c r="M2328"/>
      <c r="N2328"/>
      <c r="O2328"/>
    </row>
    <row r="2329" spans="1:15" x14ac:dyDescent="0.25">
      <c r="A2329"/>
      <c r="B2329"/>
      <c r="C2329"/>
      <c r="D2329"/>
      <c r="E2329"/>
      <c r="F2329"/>
      <c r="G2329"/>
      <c r="H2329"/>
      <c r="I2329"/>
      <c r="J2329"/>
      <c r="K2329"/>
      <c r="L2329"/>
      <c r="M2329"/>
      <c r="N2329"/>
      <c r="O2329"/>
    </row>
    <row r="2330" spans="1:15" x14ac:dyDescent="0.25">
      <c r="A2330"/>
      <c r="B2330"/>
      <c r="C2330"/>
      <c r="D2330"/>
      <c r="E2330"/>
      <c r="F2330"/>
      <c r="G2330"/>
      <c r="H2330"/>
      <c r="I2330"/>
      <c r="J2330"/>
      <c r="K2330"/>
      <c r="L2330"/>
      <c r="M2330"/>
      <c r="N2330"/>
      <c r="O2330"/>
    </row>
    <row r="2331" spans="1:15" x14ac:dyDescent="0.25">
      <c r="A2331"/>
      <c r="B2331"/>
      <c r="C2331"/>
      <c r="D2331"/>
      <c r="E2331"/>
      <c r="F2331"/>
      <c r="G2331"/>
      <c r="H2331"/>
      <c r="I2331"/>
      <c r="J2331"/>
      <c r="K2331"/>
      <c r="L2331"/>
      <c r="M2331"/>
      <c r="N2331"/>
      <c r="O2331"/>
    </row>
    <row r="2332" spans="1:15" x14ac:dyDescent="0.25">
      <c r="A2332"/>
      <c r="B2332"/>
      <c r="C2332"/>
      <c r="D2332"/>
      <c r="E2332"/>
      <c r="F2332"/>
      <c r="G2332"/>
      <c r="H2332"/>
      <c r="I2332"/>
      <c r="J2332"/>
      <c r="K2332"/>
      <c r="L2332"/>
      <c r="M2332"/>
      <c r="N2332"/>
      <c r="O2332"/>
    </row>
    <row r="2333" spans="1:15" x14ac:dyDescent="0.25">
      <c r="A2333"/>
      <c r="B2333"/>
      <c r="C2333"/>
      <c r="D2333"/>
      <c r="E2333"/>
      <c r="F2333"/>
      <c r="G2333"/>
      <c r="H2333"/>
      <c r="I2333"/>
      <c r="J2333"/>
      <c r="K2333"/>
      <c r="L2333"/>
      <c r="M2333"/>
      <c r="N2333"/>
      <c r="O2333"/>
    </row>
    <row r="2334" spans="1:15" x14ac:dyDescent="0.25">
      <c r="A2334"/>
      <c r="B2334"/>
      <c r="C2334"/>
      <c r="D2334"/>
      <c r="E2334"/>
      <c r="F2334"/>
      <c r="G2334"/>
      <c r="H2334"/>
      <c r="I2334"/>
      <c r="J2334"/>
      <c r="K2334"/>
      <c r="L2334"/>
      <c r="M2334"/>
      <c r="N2334"/>
      <c r="O2334"/>
    </row>
    <row r="2335" spans="1:15" x14ac:dyDescent="0.25">
      <c r="A2335"/>
      <c r="B2335"/>
      <c r="C2335"/>
      <c r="D2335"/>
      <c r="E2335"/>
      <c r="F2335"/>
      <c r="G2335"/>
      <c r="H2335"/>
      <c r="I2335"/>
      <c r="J2335"/>
      <c r="K2335"/>
      <c r="L2335"/>
      <c r="M2335"/>
      <c r="N2335"/>
      <c r="O2335"/>
    </row>
    <row r="2336" spans="1:15" x14ac:dyDescent="0.25">
      <c r="A2336"/>
      <c r="B2336"/>
      <c r="C2336"/>
      <c r="D2336"/>
      <c r="E2336"/>
      <c r="F2336"/>
      <c r="G2336"/>
      <c r="H2336"/>
      <c r="I2336"/>
      <c r="J2336"/>
      <c r="K2336"/>
      <c r="L2336"/>
      <c r="M2336"/>
      <c r="N2336"/>
      <c r="O2336"/>
    </row>
    <row r="2337" spans="1:15" x14ac:dyDescent="0.25">
      <c r="A2337"/>
      <c r="B2337"/>
      <c r="C2337"/>
      <c r="D2337"/>
      <c r="E2337"/>
      <c r="F2337"/>
      <c r="G2337"/>
      <c r="H2337"/>
      <c r="I2337"/>
      <c r="J2337"/>
      <c r="K2337"/>
      <c r="L2337"/>
      <c r="M2337"/>
      <c r="N2337"/>
      <c r="O2337"/>
    </row>
    <row r="2338" spans="1:15" x14ac:dyDescent="0.25">
      <c r="A2338"/>
      <c r="B2338"/>
      <c r="C2338"/>
      <c r="D2338"/>
      <c r="E2338"/>
      <c r="F2338"/>
      <c r="G2338"/>
      <c r="H2338"/>
      <c r="I2338"/>
      <c r="J2338"/>
      <c r="K2338"/>
      <c r="L2338"/>
      <c r="M2338"/>
      <c r="N2338"/>
      <c r="O2338"/>
    </row>
    <row r="2339" spans="1:15" x14ac:dyDescent="0.25">
      <c r="A2339"/>
      <c r="B2339"/>
      <c r="C2339"/>
      <c r="D2339"/>
      <c r="E2339"/>
      <c r="F2339"/>
      <c r="G2339"/>
      <c r="H2339"/>
      <c r="I2339"/>
      <c r="J2339"/>
      <c r="K2339"/>
      <c r="L2339"/>
      <c r="M2339"/>
      <c r="N2339"/>
      <c r="O2339"/>
    </row>
    <row r="2340" spans="1:15" x14ac:dyDescent="0.25">
      <c r="A2340"/>
      <c r="B2340"/>
      <c r="C2340"/>
      <c r="D2340"/>
      <c r="E2340"/>
      <c r="F2340"/>
      <c r="G2340"/>
      <c r="H2340"/>
      <c r="I2340"/>
      <c r="J2340"/>
      <c r="K2340"/>
      <c r="L2340"/>
      <c r="M2340"/>
      <c r="N2340"/>
      <c r="O2340"/>
    </row>
    <row r="2341" spans="1:15" x14ac:dyDescent="0.25">
      <c r="A2341"/>
      <c r="B2341"/>
      <c r="C2341"/>
      <c r="D2341"/>
      <c r="E2341"/>
      <c r="F2341"/>
      <c r="G2341"/>
      <c r="H2341"/>
      <c r="I2341"/>
      <c r="J2341"/>
      <c r="K2341"/>
      <c r="L2341"/>
      <c r="M2341"/>
      <c r="N2341"/>
      <c r="O2341"/>
    </row>
    <row r="2342" spans="1:15" x14ac:dyDescent="0.25">
      <c r="A2342"/>
      <c r="B2342"/>
      <c r="C2342"/>
      <c r="D2342"/>
      <c r="E2342"/>
      <c r="F2342"/>
      <c r="G2342"/>
      <c r="H2342"/>
      <c r="I2342"/>
      <c r="J2342"/>
      <c r="K2342"/>
      <c r="L2342"/>
      <c r="M2342"/>
      <c r="N2342"/>
      <c r="O2342"/>
    </row>
    <row r="2343" spans="1:15" x14ac:dyDescent="0.25">
      <c r="A2343"/>
      <c r="B2343"/>
      <c r="C2343"/>
      <c r="D2343"/>
      <c r="E2343"/>
      <c r="F2343"/>
      <c r="G2343"/>
      <c r="H2343"/>
      <c r="I2343"/>
      <c r="J2343"/>
      <c r="K2343"/>
      <c r="L2343"/>
      <c r="M2343"/>
      <c r="N2343"/>
      <c r="O2343"/>
    </row>
    <row r="2344" spans="1:15" x14ac:dyDescent="0.25">
      <c r="A2344"/>
      <c r="B2344"/>
      <c r="C2344"/>
      <c r="D2344"/>
      <c r="E2344"/>
      <c r="F2344"/>
      <c r="G2344"/>
      <c r="H2344"/>
      <c r="I2344"/>
      <c r="J2344"/>
      <c r="K2344"/>
      <c r="L2344"/>
      <c r="M2344"/>
      <c r="N2344"/>
      <c r="O2344"/>
    </row>
    <row r="2345" spans="1:15" x14ac:dyDescent="0.25">
      <c r="A2345"/>
      <c r="B2345"/>
      <c r="C2345"/>
      <c r="D2345"/>
      <c r="E2345"/>
      <c r="F2345"/>
      <c r="G2345"/>
      <c r="H2345"/>
      <c r="I2345"/>
      <c r="J2345"/>
      <c r="K2345"/>
      <c r="L2345"/>
      <c r="M2345"/>
      <c r="N2345"/>
      <c r="O2345"/>
    </row>
    <row r="2346" spans="1:15" x14ac:dyDescent="0.25">
      <c r="A2346"/>
      <c r="B2346"/>
      <c r="C2346"/>
      <c r="D2346"/>
      <c r="E2346"/>
      <c r="F2346"/>
      <c r="G2346"/>
      <c r="H2346"/>
      <c r="I2346"/>
      <c r="J2346"/>
      <c r="K2346"/>
      <c r="L2346"/>
      <c r="M2346"/>
      <c r="N2346"/>
      <c r="O2346"/>
    </row>
    <row r="2347" spans="1:15" x14ac:dyDescent="0.25">
      <c r="A2347"/>
      <c r="B2347"/>
      <c r="C2347"/>
      <c r="D2347"/>
      <c r="E2347"/>
      <c r="F2347"/>
      <c r="G2347"/>
      <c r="H2347"/>
      <c r="I2347"/>
      <c r="J2347"/>
      <c r="K2347"/>
      <c r="L2347"/>
      <c r="M2347"/>
      <c r="N2347"/>
      <c r="O2347"/>
    </row>
    <row r="2348" spans="1:15" x14ac:dyDescent="0.25">
      <c r="A2348"/>
      <c r="B2348"/>
      <c r="C2348"/>
      <c r="D2348"/>
      <c r="E2348"/>
      <c r="F2348"/>
      <c r="G2348"/>
      <c r="H2348"/>
      <c r="I2348"/>
      <c r="J2348"/>
      <c r="K2348"/>
      <c r="L2348"/>
      <c r="M2348"/>
      <c r="N2348"/>
      <c r="O2348"/>
    </row>
    <row r="2349" spans="1:15" x14ac:dyDescent="0.25">
      <c r="A2349"/>
      <c r="B2349"/>
      <c r="C2349"/>
      <c r="D2349"/>
      <c r="E2349"/>
      <c r="F2349"/>
      <c r="G2349"/>
      <c r="H2349"/>
      <c r="I2349"/>
      <c r="J2349"/>
      <c r="K2349"/>
      <c r="L2349"/>
      <c r="M2349"/>
      <c r="N2349"/>
      <c r="O2349"/>
    </row>
    <row r="2350" spans="1:15" x14ac:dyDescent="0.25">
      <c r="A2350"/>
      <c r="B2350"/>
      <c r="C2350"/>
      <c r="D2350"/>
      <c r="E2350"/>
      <c r="F2350"/>
      <c r="G2350"/>
      <c r="H2350"/>
      <c r="I2350"/>
      <c r="J2350"/>
      <c r="K2350"/>
      <c r="L2350"/>
      <c r="M2350"/>
      <c r="N2350"/>
      <c r="O2350"/>
    </row>
    <row r="2351" spans="1:15" x14ac:dyDescent="0.25">
      <c r="A2351"/>
      <c r="B2351"/>
      <c r="C2351"/>
      <c r="D2351"/>
      <c r="E2351"/>
      <c r="F2351"/>
      <c r="G2351"/>
      <c r="H2351"/>
      <c r="I2351"/>
      <c r="J2351"/>
      <c r="K2351"/>
      <c r="L2351"/>
      <c r="M2351"/>
      <c r="N2351"/>
      <c r="O2351"/>
    </row>
    <row r="2352" spans="1:15" x14ac:dyDescent="0.25">
      <c r="A2352"/>
      <c r="B2352"/>
      <c r="C2352"/>
      <c r="D2352"/>
      <c r="E2352"/>
      <c r="F2352"/>
      <c r="G2352"/>
      <c r="H2352"/>
      <c r="I2352"/>
      <c r="J2352"/>
      <c r="K2352"/>
      <c r="L2352"/>
      <c r="M2352"/>
      <c r="N2352"/>
      <c r="O2352"/>
    </row>
    <row r="2353" spans="1:15" x14ac:dyDescent="0.25">
      <c r="A2353"/>
      <c r="B2353"/>
      <c r="C2353"/>
      <c r="D2353"/>
      <c r="E2353"/>
      <c r="F2353"/>
      <c r="G2353"/>
      <c r="H2353"/>
      <c r="I2353"/>
      <c r="J2353"/>
      <c r="K2353"/>
      <c r="L2353"/>
      <c r="M2353"/>
      <c r="N2353"/>
      <c r="O2353"/>
    </row>
    <row r="2354" spans="1:15" x14ac:dyDescent="0.25">
      <c r="A2354"/>
      <c r="B2354"/>
      <c r="C2354"/>
      <c r="D2354"/>
      <c r="E2354"/>
      <c r="F2354"/>
      <c r="G2354"/>
      <c r="H2354"/>
      <c r="I2354"/>
      <c r="J2354"/>
      <c r="K2354"/>
      <c r="L2354"/>
      <c r="M2354"/>
      <c r="N2354"/>
      <c r="O2354"/>
    </row>
    <row r="2355" spans="1:15" x14ac:dyDescent="0.25">
      <c r="A2355"/>
      <c r="B2355"/>
      <c r="C2355"/>
      <c r="D2355"/>
      <c r="E2355"/>
      <c r="F2355"/>
      <c r="G2355"/>
      <c r="H2355"/>
      <c r="I2355"/>
      <c r="J2355"/>
      <c r="K2355"/>
      <c r="L2355"/>
      <c r="M2355"/>
      <c r="N2355"/>
      <c r="O2355"/>
    </row>
    <row r="2356" spans="1:15" x14ac:dyDescent="0.25">
      <c r="A2356"/>
      <c r="B2356"/>
      <c r="C2356"/>
      <c r="D2356"/>
      <c r="E2356"/>
      <c r="F2356"/>
      <c r="G2356"/>
      <c r="H2356"/>
      <c r="I2356"/>
      <c r="J2356"/>
      <c r="K2356"/>
      <c r="L2356"/>
      <c r="M2356"/>
      <c r="N2356"/>
      <c r="O2356"/>
    </row>
    <row r="2357" spans="1:15" x14ac:dyDescent="0.25">
      <c r="A2357"/>
      <c r="B2357"/>
      <c r="C2357"/>
      <c r="D2357"/>
      <c r="E2357"/>
      <c r="F2357"/>
      <c r="G2357"/>
      <c r="H2357"/>
      <c r="I2357"/>
      <c r="J2357"/>
      <c r="K2357"/>
      <c r="L2357"/>
      <c r="M2357"/>
      <c r="N2357"/>
      <c r="O2357"/>
    </row>
    <row r="2358" spans="1:15" x14ac:dyDescent="0.25">
      <c r="A2358"/>
      <c r="B2358"/>
      <c r="C2358"/>
      <c r="D2358"/>
      <c r="E2358"/>
      <c r="F2358"/>
      <c r="G2358"/>
      <c r="H2358"/>
      <c r="I2358"/>
      <c r="J2358"/>
      <c r="K2358"/>
      <c r="L2358"/>
      <c r="M2358"/>
      <c r="N2358"/>
      <c r="O2358"/>
    </row>
    <row r="2359" spans="1:15" x14ac:dyDescent="0.25">
      <c r="A2359"/>
      <c r="B2359"/>
      <c r="C2359"/>
      <c r="D2359"/>
      <c r="E2359"/>
      <c r="F2359"/>
      <c r="G2359"/>
      <c r="H2359"/>
      <c r="I2359"/>
      <c r="J2359"/>
      <c r="K2359"/>
      <c r="L2359"/>
      <c r="M2359"/>
      <c r="N2359"/>
      <c r="O2359"/>
    </row>
    <row r="2360" spans="1:15" x14ac:dyDescent="0.25">
      <c r="A2360"/>
      <c r="B2360"/>
      <c r="C2360"/>
      <c r="D2360"/>
      <c r="E2360"/>
      <c r="F2360"/>
      <c r="G2360"/>
      <c r="H2360"/>
      <c r="I2360"/>
      <c r="J2360"/>
      <c r="K2360"/>
      <c r="L2360"/>
      <c r="M2360"/>
      <c r="N2360"/>
      <c r="O2360"/>
    </row>
    <row r="2361" spans="1:15" x14ac:dyDescent="0.25">
      <c r="A2361"/>
      <c r="B2361"/>
      <c r="C2361"/>
      <c r="D2361"/>
      <c r="E2361"/>
      <c r="F2361"/>
      <c r="G2361"/>
      <c r="H2361"/>
      <c r="I2361"/>
      <c r="J2361"/>
      <c r="K2361"/>
      <c r="L2361"/>
      <c r="M2361"/>
      <c r="N2361"/>
      <c r="O2361"/>
    </row>
    <row r="2362" spans="1:15" x14ac:dyDescent="0.25">
      <c r="A2362"/>
      <c r="B2362"/>
      <c r="C2362"/>
      <c r="D2362"/>
      <c r="E2362"/>
      <c r="F2362"/>
      <c r="G2362"/>
      <c r="H2362"/>
      <c r="I2362"/>
      <c r="J2362"/>
      <c r="K2362"/>
      <c r="L2362"/>
      <c r="M2362"/>
      <c r="N2362"/>
      <c r="O2362"/>
    </row>
    <row r="2363" spans="1:15" x14ac:dyDescent="0.25">
      <c r="A2363"/>
      <c r="B2363"/>
      <c r="C2363"/>
      <c r="D2363"/>
      <c r="E2363"/>
      <c r="F2363"/>
      <c r="G2363"/>
      <c r="H2363"/>
      <c r="I2363"/>
      <c r="J2363"/>
      <c r="K2363"/>
      <c r="L2363"/>
      <c r="M2363"/>
      <c r="N2363"/>
      <c r="O2363"/>
    </row>
    <row r="2364" spans="1:15" x14ac:dyDescent="0.25">
      <c r="A2364"/>
      <c r="B2364"/>
      <c r="C2364"/>
      <c r="D2364"/>
      <c r="E2364"/>
      <c r="F2364"/>
      <c r="G2364"/>
      <c r="H2364"/>
      <c r="I2364"/>
      <c r="J2364"/>
      <c r="K2364"/>
      <c r="L2364"/>
      <c r="M2364"/>
      <c r="N2364"/>
      <c r="O2364"/>
    </row>
    <row r="2365" spans="1:15" x14ac:dyDescent="0.25">
      <c r="A2365"/>
      <c r="B2365"/>
      <c r="C2365"/>
      <c r="D2365"/>
      <c r="E2365"/>
      <c r="F2365"/>
      <c r="G2365"/>
      <c r="H2365"/>
      <c r="I2365"/>
      <c r="J2365"/>
      <c r="K2365"/>
      <c r="L2365"/>
      <c r="M2365"/>
      <c r="N2365"/>
      <c r="O2365"/>
    </row>
    <row r="2366" spans="1:15" x14ac:dyDescent="0.25">
      <c r="A2366"/>
      <c r="B2366"/>
      <c r="C2366"/>
      <c r="D2366"/>
      <c r="E2366"/>
      <c r="F2366"/>
      <c r="G2366"/>
      <c r="H2366"/>
      <c r="I2366"/>
      <c r="J2366"/>
      <c r="K2366"/>
      <c r="L2366"/>
      <c r="M2366"/>
      <c r="N2366"/>
      <c r="O2366"/>
    </row>
    <row r="2367" spans="1:15" x14ac:dyDescent="0.25">
      <c r="A2367"/>
      <c r="B2367"/>
      <c r="C2367"/>
      <c r="D2367"/>
      <c r="E2367"/>
      <c r="F2367"/>
      <c r="G2367"/>
      <c r="H2367"/>
      <c r="I2367"/>
      <c r="J2367"/>
      <c r="K2367"/>
      <c r="L2367"/>
      <c r="M2367"/>
      <c r="N2367"/>
      <c r="O2367"/>
    </row>
    <row r="2368" spans="1:15" x14ac:dyDescent="0.25">
      <c r="A2368"/>
      <c r="B2368"/>
      <c r="C2368"/>
      <c r="D2368"/>
      <c r="E2368"/>
      <c r="F2368"/>
      <c r="G2368"/>
      <c r="H2368"/>
      <c r="I2368"/>
      <c r="J2368"/>
      <c r="K2368"/>
      <c r="L2368"/>
      <c r="M2368"/>
      <c r="N2368"/>
      <c r="O2368"/>
    </row>
    <row r="2369" spans="1:15" x14ac:dyDescent="0.25">
      <c r="A2369"/>
      <c r="B2369"/>
      <c r="C2369"/>
      <c r="D2369"/>
      <c r="E2369"/>
      <c r="F2369"/>
      <c r="G2369"/>
      <c r="H2369"/>
      <c r="I2369"/>
      <c r="J2369"/>
      <c r="K2369"/>
      <c r="L2369"/>
      <c r="M2369"/>
      <c r="N2369"/>
      <c r="O2369"/>
    </row>
    <row r="2370" spans="1:15" x14ac:dyDescent="0.25">
      <c r="A2370"/>
      <c r="B2370"/>
      <c r="C2370"/>
      <c r="D2370"/>
      <c r="E2370"/>
      <c r="F2370"/>
      <c r="G2370"/>
      <c r="H2370"/>
      <c r="I2370"/>
      <c r="J2370"/>
      <c r="K2370"/>
      <c r="L2370"/>
      <c r="M2370"/>
      <c r="N2370"/>
      <c r="O2370"/>
    </row>
    <row r="2371" spans="1:15" x14ac:dyDescent="0.25">
      <c r="A2371"/>
      <c r="B2371"/>
      <c r="C2371"/>
      <c r="D2371"/>
      <c r="E2371"/>
      <c r="F2371"/>
      <c r="G2371"/>
      <c r="H2371"/>
      <c r="I2371"/>
      <c r="J2371"/>
      <c r="K2371"/>
      <c r="L2371"/>
      <c r="M2371"/>
      <c r="N2371"/>
      <c r="O2371"/>
    </row>
    <row r="2372" spans="1:15" x14ac:dyDescent="0.25">
      <c r="A2372"/>
      <c r="B2372"/>
      <c r="C2372"/>
      <c r="D2372"/>
      <c r="E2372"/>
      <c r="F2372"/>
      <c r="G2372"/>
      <c r="H2372"/>
      <c r="I2372"/>
      <c r="J2372"/>
      <c r="K2372"/>
      <c r="L2372"/>
      <c r="M2372"/>
      <c r="N2372"/>
      <c r="O2372"/>
    </row>
    <row r="2373" spans="1:15" x14ac:dyDescent="0.25">
      <c r="A2373"/>
      <c r="B2373"/>
      <c r="C2373"/>
      <c r="D2373"/>
      <c r="E2373"/>
      <c r="F2373"/>
      <c r="G2373"/>
      <c r="H2373"/>
      <c r="I2373"/>
      <c r="J2373"/>
      <c r="K2373"/>
      <c r="L2373"/>
      <c r="M2373"/>
      <c r="N2373"/>
      <c r="O2373"/>
    </row>
    <row r="2374" spans="1:15" x14ac:dyDescent="0.25">
      <c r="A2374"/>
      <c r="B2374"/>
      <c r="C2374"/>
      <c r="D2374"/>
      <c r="E2374"/>
      <c r="F2374"/>
      <c r="G2374"/>
      <c r="H2374"/>
      <c r="I2374"/>
      <c r="J2374"/>
      <c r="K2374"/>
      <c r="L2374"/>
      <c r="M2374"/>
      <c r="N2374"/>
      <c r="O2374"/>
    </row>
    <row r="2375" spans="1:15" x14ac:dyDescent="0.25">
      <c r="A2375"/>
      <c r="B2375"/>
      <c r="C2375"/>
      <c r="D2375"/>
      <c r="E2375"/>
      <c r="F2375"/>
      <c r="G2375"/>
      <c r="H2375"/>
      <c r="I2375"/>
      <c r="J2375"/>
      <c r="K2375"/>
      <c r="L2375"/>
      <c r="M2375"/>
      <c r="N2375"/>
      <c r="O2375"/>
    </row>
    <row r="2376" spans="1:15" x14ac:dyDescent="0.25">
      <c r="A2376"/>
      <c r="B2376"/>
      <c r="C2376"/>
      <c r="D2376"/>
      <c r="E2376"/>
      <c r="F2376"/>
      <c r="G2376"/>
      <c r="H2376"/>
      <c r="I2376"/>
      <c r="J2376"/>
      <c r="K2376"/>
      <c r="L2376"/>
      <c r="M2376"/>
      <c r="N2376"/>
      <c r="O2376"/>
    </row>
    <row r="2377" spans="1:15" x14ac:dyDescent="0.25">
      <c r="A2377"/>
      <c r="B2377"/>
      <c r="C2377"/>
      <c r="D2377"/>
      <c r="E2377"/>
      <c r="F2377"/>
      <c r="G2377"/>
      <c r="H2377"/>
      <c r="I2377"/>
      <c r="J2377"/>
      <c r="K2377"/>
      <c r="L2377"/>
      <c r="M2377"/>
      <c r="N2377"/>
      <c r="O2377"/>
    </row>
    <row r="2378" spans="1:15" x14ac:dyDescent="0.25">
      <c r="A2378"/>
      <c r="B2378"/>
      <c r="C2378"/>
      <c r="D2378"/>
      <c r="E2378"/>
      <c r="F2378"/>
      <c r="G2378"/>
      <c r="H2378"/>
      <c r="I2378"/>
      <c r="J2378"/>
      <c r="K2378"/>
      <c r="L2378"/>
      <c r="M2378"/>
      <c r="N2378"/>
      <c r="O2378"/>
    </row>
    <row r="2379" spans="1:15" x14ac:dyDescent="0.25">
      <c r="A2379"/>
      <c r="B2379"/>
      <c r="C2379"/>
      <c r="D2379"/>
      <c r="E2379"/>
      <c r="F2379"/>
      <c r="G2379"/>
      <c r="H2379"/>
      <c r="I2379"/>
      <c r="J2379"/>
      <c r="K2379"/>
      <c r="L2379"/>
      <c r="M2379"/>
      <c r="N2379"/>
      <c r="O2379"/>
    </row>
    <row r="2380" spans="1:15" x14ac:dyDescent="0.25">
      <c r="A2380"/>
      <c r="B2380"/>
      <c r="C2380"/>
      <c r="D2380"/>
      <c r="E2380"/>
      <c r="F2380"/>
      <c r="G2380"/>
      <c r="H2380"/>
      <c r="I2380"/>
      <c r="J2380"/>
      <c r="K2380"/>
      <c r="L2380"/>
      <c r="M2380"/>
      <c r="N2380"/>
      <c r="O2380"/>
    </row>
    <row r="2381" spans="1:15" x14ac:dyDescent="0.25">
      <c r="A2381"/>
      <c r="B2381"/>
      <c r="C2381"/>
      <c r="D2381"/>
      <c r="E2381"/>
      <c r="F2381"/>
      <c r="G2381"/>
      <c r="H2381"/>
      <c r="I2381"/>
      <c r="J2381"/>
      <c r="K2381"/>
      <c r="L2381"/>
      <c r="M2381"/>
      <c r="N2381"/>
      <c r="O2381"/>
    </row>
    <row r="2382" spans="1:15" x14ac:dyDescent="0.25">
      <c r="A2382"/>
      <c r="B2382"/>
      <c r="C2382"/>
      <c r="D2382"/>
      <c r="E2382"/>
      <c r="F2382"/>
      <c r="G2382"/>
      <c r="H2382"/>
      <c r="I2382"/>
      <c r="J2382"/>
      <c r="K2382"/>
      <c r="L2382"/>
      <c r="M2382"/>
      <c r="N2382"/>
      <c r="O2382"/>
    </row>
    <row r="2383" spans="1:15" x14ac:dyDescent="0.25">
      <c r="A2383"/>
      <c r="B2383"/>
      <c r="C2383"/>
      <c r="D2383"/>
      <c r="E2383"/>
      <c r="F2383"/>
      <c r="G2383"/>
      <c r="H2383"/>
      <c r="I2383"/>
      <c r="J2383"/>
      <c r="K2383"/>
      <c r="L2383"/>
      <c r="M2383"/>
      <c r="N2383"/>
      <c r="O2383"/>
    </row>
    <row r="2384" spans="1:15" x14ac:dyDescent="0.25">
      <c r="A2384"/>
      <c r="B2384"/>
      <c r="C2384"/>
      <c r="D2384"/>
      <c r="E2384"/>
      <c r="F2384"/>
      <c r="G2384"/>
      <c r="H2384"/>
      <c r="I2384"/>
      <c r="J2384"/>
      <c r="K2384"/>
      <c r="L2384"/>
      <c r="M2384"/>
      <c r="N2384"/>
      <c r="O2384"/>
    </row>
    <row r="2385" spans="1:15" x14ac:dyDescent="0.25">
      <c r="A2385"/>
      <c r="B2385"/>
      <c r="C2385"/>
      <c r="D2385"/>
      <c r="E2385"/>
      <c r="F2385"/>
      <c r="G2385"/>
      <c r="H2385"/>
      <c r="I2385"/>
      <c r="J2385"/>
      <c r="K2385"/>
      <c r="L2385"/>
      <c r="M2385"/>
      <c r="N2385"/>
      <c r="O2385"/>
    </row>
    <row r="2386" spans="1:15" x14ac:dyDescent="0.25">
      <c r="A2386"/>
      <c r="B2386"/>
      <c r="C2386"/>
      <c r="D2386"/>
      <c r="E2386"/>
      <c r="F2386"/>
      <c r="G2386"/>
      <c r="H2386"/>
      <c r="I2386"/>
      <c r="J2386"/>
      <c r="K2386"/>
      <c r="L2386"/>
      <c r="M2386"/>
      <c r="N2386"/>
      <c r="O2386"/>
    </row>
    <row r="2387" spans="1:15" x14ac:dyDescent="0.25">
      <c r="A2387"/>
      <c r="B2387"/>
      <c r="C2387"/>
      <c r="D2387"/>
      <c r="E2387"/>
      <c r="F2387"/>
      <c r="G2387"/>
      <c r="H2387"/>
      <c r="I2387"/>
      <c r="J2387"/>
      <c r="K2387"/>
      <c r="L2387"/>
      <c r="M2387"/>
      <c r="N2387"/>
      <c r="O2387"/>
    </row>
    <row r="2388" spans="1:15" x14ac:dyDescent="0.25">
      <c r="A2388"/>
      <c r="B2388"/>
      <c r="C2388"/>
      <c r="D2388"/>
      <c r="E2388"/>
      <c r="F2388"/>
      <c r="G2388"/>
      <c r="H2388"/>
      <c r="I2388"/>
      <c r="J2388"/>
      <c r="K2388"/>
      <c r="L2388"/>
      <c r="M2388"/>
      <c r="N2388"/>
      <c r="O2388"/>
    </row>
    <row r="2389" spans="1:15" x14ac:dyDescent="0.25">
      <c r="A2389"/>
      <c r="B2389"/>
      <c r="C2389"/>
      <c r="D2389"/>
      <c r="E2389"/>
      <c r="F2389"/>
      <c r="G2389"/>
      <c r="H2389"/>
      <c r="I2389"/>
      <c r="J2389"/>
      <c r="K2389"/>
      <c r="L2389"/>
      <c r="M2389"/>
      <c r="N2389"/>
      <c r="O2389"/>
    </row>
    <row r="2390" spans="1:15" x14ac:dyDescent="0.25">
      <c r="A2390"/>
      <c r="B2390"/>
      <c r="C2390"/>
      <c r="D2390"/>
      <c r="E2390"/>
      <c r="F2390"/>
      <c r="G2390"/>
      <c r="H2390"/>
      <c r="I2390"/>
      <c r="J2390"/>
      <c r="K2390"/>
      <c r="L2390"/>
      <c r="M2390"/>
      <c r="N2390"/>
      <c r="O2390"/>
    </row>
    <row r="2391" spans="1:15" x14ac:dyDescent="0.25">
      <c r="A2391"/>
      <c r="B2391"/>
      <c r="C2391"/>
      <c r="D2391"/>
      <c r="E2391"/>
      <c r="F2391"/>
      <c r="G2391"/>
      <c r="H2391"/>
      <c r="I2391"/>
      <c r="J2391"/>
      <c r="K2391"/>
      <c r="L2391"/>
      <c r="M2391"/>
      <c r="N2391"/>
      <c r="O2391"/>
    </row>
    <row r="2392" spans="1:15" x14ac:dyDescent="0.25">
      <c r="A2392"/>
      <c r="B2392"/>
      <c r="C2392"/>
      <c r="D2392"/>
      <c r="E2392"/>
      <c r="F2392"/>
      <c r="G2392"/>
      <c r="H2392"/>
      <c r="I2392"/>
      <c r="J2392"/>
      <c r="K2392"/>
      <c r="L2392"/>
      <c r="M2392"/>
      <c r="N2392"/>
      <c r="O2392"/>
    </row>
    <row r="2393" spans="1:15" x14ac:dyDescent="0.25">
      <c r="A2393"/>
      <c r="B2393"/>
      <c r="C2393"/>
      <c r="D2393"/>
      <c r="E2393"/>
      <c r="F2393"/>
      <c r="G2393"/>
      <c r="H2393"/>
      <c r="I2393"/>
      <c r="J2393"/>
      <c r="K2393"/>
      <c r="L2393"/>
      <c r="M2393"/>
      <c r="N2393"/>
      <c r="O2393"/>
    </row>
    <row r="2394" spans="1:15" x14ac:dyDescent="0.25">
      <c r="A2394"/>
      <c r="B2394"/>
      <c r="C2394"/>
      <c r="D2394"/>
      <c r="E2394"/>
      <c r="F2394"/>
      <c r="G2394"/>
      <c r="H2394"/>
      <c r="I2394"/>
      <c r="J2394"/>
      <c r="K2394"/>
      <c r="L2394"/>
      <c r="M2394"/>
      <c r="N2394"/>
      <c r="O2394"/>
    </row>
    <row r="2395" spans="1:15" x14ac:dyDescent="0.25">
      <c r="A2395"/>
      <c r="B2395"/>
      <c r="C2395"/>
      <c r="D2395"/>
      <c r="E2395"/>
      <c r="F2395"/>
      <c r="G2395"/>
      <c r="H2395"/>
      <c r="I2395"/>
      <c r="J2395"/>
      <c r="K2395"/>
      <c r="L2395"/>
      <c r="M2395"/>
      <c r="N2395"/>
      <c r="O2395"/>
    </row>
    <row r="2396" spans="1:15" x14ac:dyDescent="0.25">
      <c r="A2396"/>
      <c r="B2396"/>
      <c r="C2396"/>
      <c r="D2396"/>
      <c r="E2396"/>
      <c r="F2396"/>
      <c r="G2396"/>
      <c r="H2396"/>
      <c r="I2396"/>
      <c r="J2396"/>
      <c r="K2396"/>
      <c r="L2396"/>
      <c r="M2396"/>
      <c r="N2396"/>
      <c r="O2396"/>
    </row>
    <row r="2397" spans="1:15" x14ac:dyDescent="0.25">
      <c r="A2397"/>
      <c r="B2397"/>
      <c r="C2397"/>
      <c r="D2397"/>
      <c r="E2397"/>
      <c r="F2397"/>
      <c r="G2397"/>
      <c r="H2397"/>
      <c r="I2397"/>
      <c r="J2397"/>
      <c r="K2397"/>
      <c r="L2397"/>
      <c r="M2397"/>
      <c r="N2397"/>
      <c r="O2397"/>
    </row>
    <row r="2398" spans="1:15" x14ac:dyDescent="0.25">
      <c r="A2398"/>
      <c r="B2398"/>
      <c r="C2398"/>
      <c r="D2398"/>
      <c r="E2398"/>
      <c r="F2398"/>
      <c r="G2398"/>
      <c r="H2398"/>
      <c r="I2398"/>
      <c r="J2398"/>
      <c r="K2398"/>
      <c r="L2398"/>
      <c r="M2398"/>
      <c r="N2398"/>
      <c r="O2398"/>
    </row>
    <row r="2399" spans="1:15" x14ac:dyDescent="0.25">
      <c r="A2399"/>
      <c r="B2399"/>
      <c r="C2399"/>
      <c r="D2399"/>
      <c r="E2399"/>
      <c r="F2399"/>
      <c r="G2399"/>
      <c r="H2399"/>
      <c r="I2399"/>
      <c r="J2399"/>
      <c r="K2399"/>
      <c r="L2399"/>
      <c r="M2399"/>
      <c r="N2399"/>
      <c r="O2399"/>
    </row>
    <row r="2400" spans="1:15" x14ac:dyDescent="0.25">
      <c r="A2400"/>
      <c r="B2400"/>
      <c r="C2400"/>
      <c r="D2400"/>
      <c r="E2400"/>
      <c r="F2400"/>
      <c r="G2400"/>
      <c r="H2400"/>
      <c r="I2400"/>
      <c r="J2400"/>
      <c r="K2400"/>
      <c r="L2400"/>
      <c r="M2400"/>
      <c r="N2400"/>
      <c r="O2400"/>
    </row>
    <row r="2401" spans="1:15" x14ac:dyDescent="0.25">
      <c r="A2401"/>
      <c r="B2401"/>
      <c r="C2401"/>
      <c r="D2401"/>
      <c r="E2401"/>
      <c r="F2401"/>
      <c r="G2401"/>
      <c r="H2401"/>
      <c r="I2401"/>
      <c r="J2401"/>
      <c r="K2401"/>
      <c r="L2401"/>
      <c r="M2401"/>
      <c r="N2401"/>
      <c r="O2401"/>
    </row>
    <row r="2402" spans="1:15" x14ac:dyDescent="0.25">
      <c r="A2402"/>
      <c r="B2402"/>
      <c r="C2402"/>
      <c r="D2402"/>
      <c r="E2402"/>
      <c r="F2402"/>
      <c r="G2402"/>
      <c r="H2402"/>
      <c r="I2402"/>
      <c r="J2402"/>
      <c r="K2402"/>
      <c r="L2402"/>
      <c r="M2402"/>
      <c r="N2402"/>
      <c r="O2402"/>
    </row>
    <row r="2403" spans="1:15" x14ac:dyDescent="0.25">
      <c r="A2403"/>
      <c r="B2403"/>
      <c r="C2403"/>
      <c r="D2403"/>
      <c r="E2403"/>
      <c r="F2403"/>
      <c r="G2403"/>
      <c r="H2403"/>
      <c r="I2403"/>
      <c r="J2403"/>
      <c r="K2403"/>
      <c r="L2403"/>
      <c r="M2403"/>
      <c r="N2403"/>
      <c r="O2403"/>
    </row>
    <row r="2404" spans="1:15" x14ac:dyDescent="0.25">
      <c r="A2404"/>
      <c r="B2404"/>
      <c r="C2404"/>
      <c r="D2404"/>
      <c r="E2404"/>
      <c r="F2404"/>
      <c r="G2404"/>
      <c r="H2404"/>
      <c r="I2404"/>
      <c r="J2404"/>
      <c r="K2404"/>
      <c r="L2404"/>
      <c r="M2404"/>
      <c r="N2404"/>
      <c r="O2404"/>
    </row>
    <row r="2405" spans="1:15" x14ac:dyDescent="0.25">
      <c r="A2405"/>
      <c r="B2405"/>
      <c r="C2405"/>
      <c r="D2405"/>
      <c r="E2405"/>
      <c r="F2405"/>
      <c r="G2405"/>
      <c r="H2405"/>
      <c r="I2405"/>
      <c r="J2405"/>
      <c r="K2405"/>
      <c r="L2405"/>
      <c r="M2405"/>
      <c r="N2405"/>
      <c r="O2405"/>
    </row>
    <row r="2406" spans="1:15" x14ac:dyDescent="0.25">
      <c r="A2406"/>
      <c r="B2406"/>
      <c r="C2406"/>
      <c r="D2406"/>
      <c r="E2406"/>
      <c r="F2406"/>
      <c r="G2406"/>
      <c r="H2406"/>
      <c r="I2406"/>
      <c r="J2406"/>
      <c r="K2406"/>
      <c r="L2406"/>
      <c r="M2406"/>
      <c r="N2406"/>
      <c r="O2406"/>
    </row>
    <row r="2407" spans="1:15" x14ac:dyDescent="0.25">
      <c r="A2407"/>
      <c r="B2407"/>
      <c r="C2407"/>
      <c r="D2407"/>
      <c r="E2407"/>
      <c r="F2407"/>
      <c r="G2407"/>
      <c r="H2407"/>
      <c r="I2407"/>
      <c r="J2407"/>
      <c r="K2407"/>
      <c r="L2407"/>
      <c r="M2407"/>
      <c r="N2407"/>
      <c r="O2407"/>
    </row>
    <row r="2408" spans="1:15" x14ac:dyDescent="0.25">
      <c r="A2408"/>
      <c r="B2408"/>
      <c r="C2408"/>
      <c r="D2408"/>
      <c r="E2408"/>
      <c r="F2408"/>
      <c r="G2408"/>
      <c r="H2408"/>
      <c r="I2408"/>
      <c r="J2408"/>
      <c r="K2408"/>
      <c r="L2408"/>
      <c r="M2408"/>
      <c r="N2408"/>
      <c r="O2408"/>
    </row>
    <row r="2409" spans="1:15" x14ac:dyDescent="0.25">
      <c r="A2409"/>
      <c r="B2409"/>
      <c r="C2409"/>
      <c r="D2409"/>
      <c r="E2409"/>
      <c r="F2409"/>
      <c r="G2409"/>
      <c r="H2409"/>
      <c r="I2409"/>
      <c r="J2409"/>
      <c r="K2409"/>
      <c r="L2409"/>
      <c r="M2409"/>
      <c r="N2409"/>
      <c r="O2409"/>
    </row>
    <row r="2410" spans="1:15" x14ac:dyDescent="0.25">
      <c r="A2410"/>
      <c r="B2410"/>
      <c r="C2410"/>
      <c r="D2410"/>
      <c r="E2410"/>
      <c r="F2410"/>
      <c r="G2410"/>
      <c r="H2410"/>
      <c r="I2410"/>
      <c r="J2410"/>
      <c r="K2410"/>
      <c r="L2410"/>
      <c r="M2410"/>
      <c r="N2410"/>
      <c r="O2410"/>
    </row>
    <row r="2411" spans="1:15" x14ac:dyDescent="0.25">
      <c r="A2411"/>
      <c r="B2411"/>
      <c r="C2411"/>
      <c r="D2411"/>
      <c r="E2411"/>
      <c r="F2411"/>
      <c r="G2411"/>
      <c r="H2411"/>
      <c r="I2411"/>
      <c r="J2411"/>
      <c r="K2411"/>
      <c r="L2411"/>
      <c r="M2411"/>
      <c r="N2411"/>
      <c r="O2411"/>
    </row>
    <row r="2412" spans="1:15" x14ac:dyDescent="0.25">
      <c r="A2412"/>
      <c r="B2412"/>
      <c r="C2412"/>
      <c r="D2412"/>
      <c r="E2412"/>
      <c r="F2412"/>
      <c r="G2412"/>
      <c r="H2412"/>
      <c r="I2412"/>
      <c r="J2412"/>
      <c r="K2412"/>
      <c r="L2412"/>
      <c r="M2412"/>
      <c r="N2412"/>
      <c r="O2412"/>
    </row>
    <row r="2413" spans="1:15" x14ac:dyDescent="0.25">
      <c r="A2413"/>
      <c r="B2413"/>
      <c r="C2413"/>
      <c r="D2413"/>
      <c r="E2413"/>
      <c r="F2413"/>
      <c r="G2413"/>
      <c r="H2413"/>
      <c r="I2413"/>
      <c r="J2413"/>
      <c r="K2413"/>
      <c r="L2413"/>
      <c r="M2413"/>
      <c r="N2413"/>
      <c r="O2413"/>
    </row>
    <row r="2414" spans="1:15" x14ac:dyDescent="0.25">
      <c r="A2414"/>
      <c r="B2414"/>
      <c r="C2414"/>
      <c r="D2414"/>
      <c r="E2414"/>
      <c r="F2414"/>
      <c r="G2414"/>
      <c r="H2414"/>
      <c r="I2414"/>
      <c r="J2414"/>
      <c r="K2414"/>
      <c r="L2414"/>
      <c r="M2414"/>
      <c r="N2414"/>
      <c r="O2414"/>
    </row>
    <row r="2415" spans="1:15" x14ac:dyDescent="0.25">
      <c r="A2415"/>
      <c r="B2415"/>
      <c r="C2415"/>
      <c r="D2415"/>
      <c r="E2415"/>
      <c r="F2415"/>
      <c r="G2415"/>
      <c r="H2415"/>
      <c r="I2415"/>
      <c r="J2415"/>
      <c r="K2415"/>
      <c r="L2415"/>
      <c r="M2415"/>
      <c r="N2415"/>
      <c r="O2415"/>
    </row>
    <row r="2416" spans="1:15" x14ac:dyDescent="0.25">
      <c r="A2416"/>
      <c r="B2416"/>
      <c r="C2416"/>
      <c r="D2416"/>
      <c r="E2416"/>
      <c r="F2416"/>
      <c r="G2416"/>
      <c r="H2416"/>
      <c r="I2416"/>
      <c r="J2416"/>
      <c r="K2416"/>
      <c r="L2416"/>
      <c r="M2416"/>
      <c r="N2416"/>
      <c r="O2416"/>
    </row>
    <row r="2417" spans="1:15" x14ac:dyDescent="0.25">
      <c r="A2417"/>
      <c r="B2417"/>
      <c r="C2417"/>
      <c r="D2417"/>
      <c r="E2417"/>
      <c r="F2417"/>
      <c r="G2417"/>
      <c r="H2417"/>
      <c r="I2417"/>
      <c r="J2417"/>
      <c r="K2417"/>
      <c r="L2417"/>
      <c r="M2417"/>
      <c r="N2417"/>
      <c r="O2417"/>
    </row>
    <row r="2418" spans="1:15" x14ac:dyDescent="0.25">
      <c r="A2418"/>
      <c r="B2418"/>
      <c r="C2418"/>
      <c r="D2418"/>
      <c r="E2418"/>
      <c r="F2418"/>
      <c r="G2418"/>
      <c r="H2418"/>
      <c r="I2418"/>
      <c r="J2418"/>
      <c r="K2418"/>
      <c r="L2418"/>
      <c r="M2418"/>
      <c r="N2418"/>
      <c r="O2418"/>
    </row>
    <row r="2419" spans="1:15" x14ac:dyDescent="0.25">
      <c r="A2419"/>
      <c r="B2419"/>
      <c r="C2419"/>
      <c r="D2419"/>
      <c r="E2419"/>
      <c r="F2419"/>
      <c r="G2419"/>
      <c r="H2419"/>
      <c r="I2419"/>
      <c r="J2419"/>
      <c r="K2419"/>
      <c r="L2419"/>
      <c r="M2419"/>
      <c r="N2419"/>
      <c r="O2419"/>
    </row>
    <row r="2420" spans="1:15" x14ac:dyDescent="0.25">
      <c r="A2420"/>
      <c r="B2420"/>
      <c r="C2420"/>
      <c r="D2420"/>
      <c r="E2420"/>
      <c r="F2420"/>
      <c r="G2420"/>
      <c r="H2420"/>
      <c r="I2420"/>
      <c r="J2420"/>
      <c r="K2420"/>
      <c r="L2420"/>
      <c r="M2420"/>
      <c r="N2420"/>
      <c r="O2420"/>
    </row>
    <row r="2421" spans="1:15" x14ac:dyDescent="0.25">
      <c r="A2421"/>
      <c r="B2421"/>
      <c r="C2421"/>
      <c r="D2421"/>
      <c r="E2421"/>
      <c r="F2421"/>
      <c r="G2421"/>
      <c r="H2421"/>
      <c r="I2421"/>
      <c r="J2421"/>
      <c r="K2421"/>
      <c r="L2421"/>
      <c r="M2421"/>
      <c r="N2421"/>
      <c r="O2421"/>
    </row>
    <row r="2422" spans="1:15" x14ac:dyDescent="0.25">
      <c r="A2422"/>
      <c r="B2422"/>
      <c r="C2422"/>
      <c r="D2422"/>
      <c r="E2422"/>
      <c r="F2422"/>
      <c r="G2422"/>
      <c r="H2422"/>
      <c r="I2422"/>
      <c r="J2422"/>
      <c r="K2422"/>
      <c r="L2422"/>
      <c r="M2422"/>
      <c r="N2422"/>
      <c r="O2422"/>
    </row>
    <row r="2423" spans="1:15" x14ac:dyDescent="0.25">
      <c r="A2423"/>
      <c r="B2423"/>
      <c r="C2423"/>
      <c r="D2423"/>
      <c r="E2423"/>
      <c r="F2423"/>
      <c r="G2423"/>
      <c r="H2423"/>
      <c r="I2423"/>
      <c r="J2423"/>
      <c r="K2423"/>
      <c r="L2423"/>
      <c r="M2423"/>
      <c r="N2423"/>
      <c r="O2423"/>
    </row>
    <row r="2424" spans="1:15" x14ac:dyDescent="0.25">
      <c r="A2424"/>
      <c r="B2424"/>
      <c r="C2424"/>
      <c r="D2424"/>
      <c r="E2424"/>
      <c r="F2424"/>
      <c r="G2424"/>
      <c r="H2424"/>
      <c r="I2424"/>
      <c r="J2424"/>
      <c r="K2424"/>
      <c r="L2424"/>
      <c r="M2424"/>
      <c r="N2424"/>
      <c r="O2424"/>
    </row>
    <row r="2425" spans="1:15" x14ac:dyDescent="0.25">
      <c r="A2425"/>
      <c r="B2425"/>
      <c r="C2425"/>
      <c r="D2425"/>
      <c r="E2425"/>
      <c r="F2425"/>
      <c r="G2425"/>
      <c r="H2425"/>
      <c r="I2425"/>
      <c r="J2425"/>
      <c r="K2425"/>
      <c r="L2425"/>
      <c r="M2425"/>
      <c r="N2425"/>
      <c r="O2425"/>
    </row>
    <row r="2426" spans="1:15" x14ac:dyDescent="0.25">
      <c r="A2426"/>
      <c r="B2426"/>
      <c r="C2426"/>
      <c r="D2426"/>
      <c r="E2426"/>
      <c r="F2426"/>
      <c r="G2426"/>
      <c r="H2426"/>
      <c r="I2426"/>
      <c r="J2426"/>
      <c r="K2426"/>
      <c r="L2426"/>
      <c r="M2426"/>
      <c r="N2426"/>
      <c r="O2426"/>
    </row>
    <row r="2427" spans="1:15" x14ac:dyDescent="0.25">
      <c r="A2427"/>
      <c r="B2427"/>
      <c r="C2427"/>
      <c r="D2427"/>
      <c r="E2427"/>
      <c r="F2427"/>
      <c r="G2427"/>
      <c r="H2427"/>
      <c r="I2427"/>
      <c r="J2427"/>
      <c r="K2427"/>
      <c r="L2427"/>
      <c r="M2427"/>
      <c r="N2427"/>
      <c r="O2427"/>
    </row>
    <row r="2428" spans="1:15" x14ac:dyDescent="0.25">
      <c r="A2428"/>
      <c r="B2428"/>
      <c r="C2428"/>
      <c r="D2428"/>
      <c r="E2428"/>
      <c r="F2428"/>
      <c r="G2428"/>
      <c r="H2428"/>
      <c r="I2428"/>
      <c r="J2428"/>
      <c r="K2428"/>
      <c r="L2428"/>
      <c r="M2428"/>
      <c r="N2428"/>
      <c r="O2428"/>
    </row>
    <row r="2429" spans="1:15" x14ac:dyDescent="0.25">
      <c r="A2429"/>
      <c r="B2429"/>
      <c r="C2429"/>
      <c r="D2429"/>
      <c r="E2429"/>
      <c r="F2429"/>
      <c r="G2429"/>
      <c r="H2429"/>
      <c r="I2429"/>
      <c r="J2429"/>
      <c r="K2429"/>
      <c r="L2429"/>
      <c r="M2429"/>
      <c r="N2429"/>
      <c r="O2429"/>
    </row>
    <row r="2430" spans="1:15" x14ac:dyDescent="0.25">
      <c r="A2430"/>
      <c r="B2430"/>
      <c r="C2430"/>
      <c r="D2430"/>
      <c r="E2430"/>
      <c r="F2430"/>
      <c r="G2430"/>
      <c r="H2430"/>
      <c r="I2430"/>
      <c r="J2430"/>
      <c r="K2430"/>
      <c r="L2430"/>
      <c r="M2430"/>
      <c r="N2430"/>
      <c r="O2430"/>
    </row>
    <row r="2431" spans="1:15" x14ac:dyDescent="0.25">
      <c r="A2431"/>
      <c r="B2431"/>
      <c r="C2431"/>
      <c r="D2431"/>
      <c r="E2431"/>
      <c r="F2431"/>
      <c r="G2431"/>
      <c r="H2431"/>
      <c r="I2431"/>
      <c r="J2431"/>
      <c r="K2431"/>
      <c r="L2431"/>
      <c r="M2431"/>
      <c r="N2431"/>
      <c r="O2431"/>
    </row>
    <row r="2432" spans="1:15" x14ac:dyDescent="0.25">
      <c r="A2432"/>
      <c r="B2432"/>
      <c r="C2432"/>
      <c r="D2432"/>
      <c r="E2432"/>
      <c r="F2432"/>
      <c r="G2432"/>
      <c r="H2432"/>
      <c r="I2432"/>
      <c r="J2432"/>
      <c r="K2432"/>
      <c r="L2432"/>
      <c r="M2432"/>
      <c r="N2432"/>
      <c r="O2432"/>
    </row>
    <row r="2433" spans="1:15" x14ac:dyDescent="0.25">
      <c r="A2433"/>
      <c r="B2433"/>
      <c r="C2433"/>
      <c r="D2433"/>
      <c r="E2433"/>
      <c r="F2433"/>
      <c r="G2433"/>
      <c r="H2433"/>
      <c r="I2433"/>
      <c r="J2433"/>
      <c r="K2433"/>
      <c r="L2433"/>
      <c r="M2433"/>
      <c r="N2433"/>
      <c r="O2433"/>
    </row>
    <row r="2434" spans="1:15" x14ac:dyDescent="0.25">
      <c r="A2434"/>
      <c r="B2434"/>
      <c r="C2434"/>
      <c r="D2434"/>
      <c r="E2434"/>
      <c r="F2434"/>
      <c r="G2434"/>
      <c r="H2434"/>
      <c r="I2434"/>
      <c r="J2434"/>
      <c r="K2434"/>
      <c r="L2434"/>
      <c r="M2434"/>
      <c r="N2434"/>
      <c r="O2434"/>
    </row>
    <row r="2435" spans="1:15" x14ac:dyDescent="0.25">
      <c r="A2435"/>
      <c r="B2435"/>
      <c r="C2435"/>
      <c r="D2435"/>
      <c r="E2435"/>
      <c r="F2435"/>
      <c r="G2435"/>
      <c r="H2435"/>
      <c r="I2435"/>
      <c r="J2435"/>
      <c r="K2435"/>
      <c r="L2435"/>
      <c r="M2435"/>
      <c r="N2435"/>
      <c r="O2435"/>
    </row>
    <row r="2436" spans="1:15" x14ac:dyDescent="0.25">
      <c r="A2436"/>
      <c r="B2436"/>
      <c r="C2436"/>
      <c r="D2436"/>
      <c r="E2436"/>
      <c r="F2436"/>
      <c r="G2436"/>
      <c r="H2436"/>
      <c r="I2436"/>
      <c r="J2436"/>
      <c r="K2436"/>
      <c r="L2436"/>
      <c r="M2436"/>
      <c r="N2436"/>
      <c r="O2436"/>
    </row>
    <row r="2437" spans="1:15" x14ac:dyDescent="0.25">
      <c r="A2437"/>
      <c r="B2437"/>
      <c r="C2437"/>
      <c r="D2437"/>
      <c r="E2437"/>
      <c r="F2437"/>
      <c r="G2437"/>
      <c r="H2437"/>
      <c r="I2437"/>
      <c r="J2437"/>
      <c r="K2437"/>
      <c r="L2437"/>
      <c r="M2437"/>
      <c r="N2437"/>
      <c r="O2437"/>
    </row>
    <row r="2438" spans="1:15" x14ac:dyDescent="0.25">
      <c r="A2438"/>
      <c r="B2438"/>
      <c r="C2438"/>
      <c r="D2438"/>
      <c r="E2438"/>
      <c r="F2438"/>
      <c r="G2438"/>
      <c r="H2438"/>
      <c r="I2438"/>
      <c r="J2438"/>
      <c r="K2438"/>
      <c r="L2438"/>
      <c r="M2438"/>
      <c r="N2438"/>
      <c r="O2438"/>
    </row>
    <row r="2439" spans="1:15" x14ac:dyDescent="0.25">
      <c r="A2439"/>
      <c r="B2439"/>
      <c r="C2439"/>
      <c r="D2439"/>
      <c r="E2439"/>
      <c r="F2439"/>
      <c r="G2439"/>
      <c r="H2439"/>
      <c r="I2439"/>
      <c r="J2439"/>
      <c r="K2439"/>
      <c r="L2439"/>
      <c r="M2439"/>
      <c r="N2439"/>
      <c r="O2439"/>
    </row>
    <row r="2440" spans="1:15" x14ac:dyDescent="0.25">
      <c r="A2440"/>
      <c r="B2440"/>
      <c r="C2440"/>
      <c r="D2440"/>
      <c r="E2440"/>
      <c r="F2440"/>
      <c r="G2440"/>
      <c r="H2440"/>
      <c r="I2440"/>
      <c r="J2440"/>
      <c r="K2440"/>
      <c r="L2440"/>
      <c r="M2440"/>
      <c r="N2440"/>
      <c r="O2440"/>
    </row>
    <row r="2441" spans="1:15" x14ac:dyDescent="0.25">
      <c r="A2441"/>
      <c r="B2441"/>
      <c r="C2441"/>
      <c r="D2441"/>
      <c r="E2441"/>
      <c r="F2441"/>
      <c r="G2441"/>
      <c r="H2441"/>
      <c r="I2441"/>
      <c r="J2441"/>
      <c r="K2441"/>
      <c r="L2441"/>
      <c r="M2441"/>
      <c r="N2441"/>
      <c r="O2441"/>
    </row>
    <row r="2442" spans="1:15" x14ac:dyDescent="0.25">
      <c r="A2442"/>
      <c r="B2442"/>
      <c r="C2442"/>
      <c r="D2442"/>
      <c r="E2442"/>
      <c r="F2442"/>
      <c r="G2442"/>
      <c r="H2442"/>
      <c r="I2442"/>
      <c r="J2442"/>
      <c r="K2442"/>
      <c r="L2442"/>
      <c r="M2442"/>
      <c r="N2442"/>
      <c r="O2442"/>
    </row>
    <row r="2443" spans="1:15" x14ac:dyDescent="0.25">
      <c r="A2443"/>
      <c r="B2443"/>
      <c r="C2443"/>
      <c r="D2443"/>
      <c r="E2443"/>
      <c r="F2443"/>
      <c r="G2443"/>
      <c r="H2443"/>
      <c r="I2443"/>
      <c r="J2443"/>
      <c r="K2443"/>
      <c r="L2443"/>
      <c r="M2443"/>
      <c r="N2443"/>
      <c r="O2443"/>
    </row>
    <row r="2444" spans="1:15" x14ac:dyDescent="0.25">
      <c r="A2444"/>
      <c r="B2444"/>
      <c r="C2444"/>
      <c r="D2444"/>
      <c r="E2444"/>
      <c r="F2444"/>
      <c r="G2444"/>
      <c r="H2444"/>
      <c r="I2444"/>
      <c r="J2444"/>
      <c r="K2444"/>
      <c r="L2444"/>
      <c r="M2444"/>
      <c r="N2444"/>
      <c r="O2444"/>
    </row>
    <row r="2445" spans="1:15" x14ac:dyDescent="0.25">
      <c r="A2445"/>
      <c r="B2445"/>
      <c r="C2445"/>
      <c r="D2445"/>
      <c r="E2445"/>
      <c r="F2445"/>
      <c r="G2445"/>
      <c r="H2445"/>
      <c r="I2445"/>
      <c r="J2445"/>
      <c r="K2445"/>
      <c r="L2445"/>
      <c r="M2445"/>
      <c r="N2445"/>
      <c r="O2445"/>
    </row>
    <row r="2446" spans="1:15" x14ac:dyDescent="0.25">
      <c r="A2446"/>
      <c r="B2446"/>
      <c r="C2446"/>
      <c r="D2446"/>
      <c r="E2446"/>
      <c r="F2446"/>
      <c r="G2446"/>
      <c r="H2446"/>
      <c r="I2446"/>
      <c r="J2446"/>
      <c r="K2446"/>
      <c r="L2446"/>
      <c r="M2446"/>
      <c r="N2446"/>
      <c r="O2446"/>
    </row>
    <row r="2447" spans="1:15" x14ac:dyDescent="0.25">
      <c r="A2447"/>
      <c r="B2447"/>
      <c r="C2447"/>
      <c r="D2447"/>
      <c r="E2447"/>
      <c r="F2447"/>
      <c r="G2447"/>
      <c r="H2447"/>
      <c r="I2447"/>
      <c r="J2447"/>
      <c r="K2447"/>
      <c r="L2447"/>
      <c r="M2447"/>
      <c r="N2447"/>
      <c r="O2447"/>
    </row>
    <row r="2448" spans="1:15" x14ac:dyDescent="0.25">
      <c r="A2448"/>
      <c r="B2448"/>
      <c r="C2448"/>
      <c r="D2448"/>
      <c r="E2448"/>
      <c r="F2448"/>
      <c r="G2448"/>
      <c r="H2448"/>
      <c r="I2448"/>
      <c r="J2448"/>
      <c r="K2448"/>
      <c r="L2448"/>
      <c r="M2448"/>
      <c r="N2448"/>
      <c r="O2448"/>
    </row>
    <row r="2449" spans="1:15" x14ac:dyDescent="0.25">
      <c r="A2449"/>
      <c r="B2449"/>
      <c r="C2449"/>
      <c r="D2449"/>
      <c r="E2449"/>
      <c r="F2449"/>
      <c r="G2449"/>
      <c r="H2449"/>
      <c r="I2449"/>
      <c r="J2449"/>
      <c r="K2449"/>
      <c r="L2449"/>
      <c r="M2449"/>
      <c r="N2449"/>
      <c r="O2449"/>
    </row>
    <row r="2450" spans="1:15" x14ac:dyDescent="0.25">
      <c r="A2450"/>
      <c r="B2450"/>
      <c r="C2450"/>
      <c r="D2450"/>
      <c r="E2450"/>
      <c r="F2450"/>
      <c r="G2450"/>
      <c r="H2450"/>
      <c r="I2450"/>
      <c r="J2450"/>
      <c r="K2450"/>
      <c r="L2450"/>
      <c r="M2450"/>
      <c r="N2450"/>
      <c r="O2450"/>
    </row>
    <row r="2451" spans="1:15" x14ac:dyDescent="0.25">
      <c r="A2451"/>
      <c r="B2451"/>
      <c r="C2451"/>
      <c r="D2451"/>
      <c r="E2451"/>
      <c r="F2451"/>
      <c r="G2451"/>
      <c r="H2451"/>
      <c r="I2451"/>
      <c r="J2451"/>
      <c r="K2451"/>
      <c r="L2451"/>
      <c r="M2451"/>
      <c r="N2451"/>
      <c r="O2451"/>
    </row>
    <row r="2452" spans="1:15" x14ac:dyDescent="0.25">
      <c r="A2452"/>
      <c r="B2452"/>
      <c r="C2452"/>
      <c r="D2452"/>
      <c r="E2452"/>
      <c r="F2452"/>
      <c r="G2452"/>
      <c r="H2452"/>
      <c r="I2452"/>
      <c r="J2452"/>
      <c r="K2452"/>
      <c r="L2452"/>
      <c r="M2452"/>
      <c r="N2452"/>
      <c r="O2452"/>
    </row>
    <row r="2453" spans="1:15" x14ac:dyDescent="0.25">
      <c r="A2453"/>
      <c r="B2453"/>
      <c r="C2453"/>
      <c r="D2453"/>
      <c r="E2453"/>
      <c r="F2453"/>
      <c r="G2453"/>
      <c r="H2453"/>
      <c r="I2453"/>
      <c r="J2453"/>
      <c r="K2453"/>
      <c r="L2453"/>
      <c r="M2453"/>
      <c r="N2453"/>
      <c r="O2453"/>
    </row>
    <row r="2454" spans="1:15" x14ac:dyDescent="0.25">
      <c r="A2454"/>
      <c r="B2454"/>
      <c r="C2454"/>
      <c r="D2454"/>
      <c r="E2454"/>
      <c r="F2454"/>
      <c r="G2454"/>
      <c r="H2454"/>
      <c r="I2454"/>
      <c r="J2454"/>
      <c r="K2454"/>
      <c r="L2454"/>
      <c r="M2454"/>
      <c r="N2454"/>
      <c r="O2454"/>
    </row>
    <row r="2455" spans="1:15" x14ac:dyDescent="0.25">
      <c r="A2455"/>
      <c r="B2455"/>
      <c r="C2455"/>
      <c r="D2455"/>
      <c r="E2455"/>
      <c r="F2455"/>
      <c r="G2455"/>
      <c r="H2455"/>
      <c r="I2455"/>
      <c r="J2455"/>
      <c r="K2455"/>
      <c r="L2455"/>
      <c r="M2455"/>
      <c r="N2455"/>
      <c r="O2455"/>
    </row>
    <row r="2456" spans="1:15" x14ac:dyDescent="0.25">
      <c r="A2456"/>
      <c r="B2456"/>
      <c r="C2456"/>
      <c r="D2456"/>
      <c r="E2456"/>
      <c r="F2456"/>
      <c r="G2456"/>
      <c r="H2456"/>
      <c r="I2456"/>
      <c r="J2456"/>
      <c r="K2456"/>
      <c r="L2456"/>
      <c r="M2456"/>
      <c r="N2456"/>
      <c r="O2456"/>
    </row>
    <row r="2457" spans="1:15" x14ac:dyDescent="0.25">
      <c r="A2457"/>
      <c r="B2457"/>
      <c r="C2457"/>
      <c r="D2457"/>
      <c r="E2457"/>
      <c r="F2457"/>
      <c r="G2457"/>
      <c r="H2457"/>
      <c r="I2457"/>
      <c r="J2457"/>
      <c r="K2457"/>
      <c r="L2457"/>
      <c r="M2457"/>
      <c r="N2457"/>
      <c r="O2457"/>
    </row>
    <row r="2458" spans="1:15" x14ac:dyDescent="0.25">
      <c r="A2458"/>
      <c r="B2458"/>
      <c r="C2458"/>
      <c r="D2458"/>
      <c r="E2458"/>
      <c r="F2458"/>
      <c r="G2458"/>
      <c r="H2458"/>
      <c r="I2458"/>
      <c r="J2458"/>
      <c r="K2458"/>
      <c r="L2458"/>
      <c r="M2458"/>
      <c r="N2458"/>
      <c r="O2458"/>
    </row>
    <row r="2459" spans="1:15" x14ac:dyDescent="0.25">
      <c r="A2459"/>
      <c r="B2459"/>
      <c r="C2459"/>
      <c r="D2459"/>
      <c r="E2459"/>
      <c r="F2459"/>
      <c r="G2459"/>
      <c r="H2459"/>
      <c r="I2459"/>
      <c r="J2459"/>
      <c r="K2459"/>
      <c r="L2459"/>
      <c r="M2459"/>
      <c r="N2459"/>
      <c r="O2459"/>
    </row>
    <row r="2460" spans="1:15" x14ac:dyDescent="0.25">
      <c r="A2460"/>
      <c r="B2460"/>
      <c r="C2460"/>
      <c r="D2460"/>
      <c r="E2460"/>
      <c r="F2460"/>
      <c r="G2460"/>
      <c r="H2460"/>
      <c r="I2460"/>
      <c r="J2460"/>
      <c r="K2460"/>
      <c r="L2460"/>
      <c r="M2460"/>
      <c r="N2460"/>
      <c r="O2460"/>
    </row>
    <row r="2461" spans="1:15" x14ac:dyDescent="0.25">
      <c r="A2461"/>
      <c r="B2461"/>
      <c r="C2461"/>
      <c r="D2461"/>
      <c r="E2461"/>
      <c r="F2461"/>
      <c r="G2461"/>
      <c r="H2461"/>
      <c r="I2461"/>
      <c r="J2461"/>
      <c r="K2461"/>
      <c r="L2461"/>
      <c r="M2461"/>
      <c r="N2461"/>
      <c r="O2461"/>
    </row>
    <row r="2462" spans="1:15" x14ac:dyDescent="0.25">
      <c r="A2462"/>
      <c r="B2462"/>
      <c r="C2462"/>
      <c r="D2462"/>
      <c r="E2462"/>
      <c r="F2462"/>
      <c r="G2462"/>
      <c r="H2462"/>
      <c r="I2462"/>
      <c r="J2462"/>
      <c r="K2462"/>
      <c r="L2462"/>
      <c r="M2462"/>
      <c r="N2462"/>
      <c r="O2462"/>
    </row>
    <row r="2463" spans="1:15" x14ac:dyDescent="0.25">
      <c r="A2463"/>
      <c r="B2463"/>
      <c r="C2463"/>
      <c r="D2463"/>
      <c r="E2463"/>
      <c r="F2463"/>
      <c r="G2463"/>
      <c r="H2463"/>
      <c r="I2463"/>
      <c r="J2463"/>
      <c r="K2463"/>
      <c r="L2463"/>
      <c r="M2463"/>
      <c r="N2463"/>
      <c r="O2463"/>
    </row>
    <row r="2464" spans="1:15" x14ac:dyDescent="0.25">
      <c r="A2464"/>
      <c r="B2464"/>
      <c r="C2464"/>
      <c r="D2464"/>
      <c r="E2464"/>
      <c r="F2464"/>
      <c r="G2464"/>
      <c r="H2464"/>
      <c r="I2464"/>
      <c r="J2464"/>
      <c r="K2464"/>
      <c r="L2464"/>
      <c r="M2464"/>
      <c r="N2464"/>
      <c r="O2464"/>
    </row>
    <row r="2465" spans="1:15" x14ac:dyDescent="0.25">
      <c r="A2465"/>
      <c r="B2465"/>
      <c r="C2465"/>
      <c r="D2465"/>
      <c r="E2465"/>
      <c r="F2465"/>
      <c r="G2465"/>
      <c r="H2465"/>
      <c r="I2465"/>
      <c r="J2465"/>
      <c r="K2465"/>
      <c r="L2465"/>
      <c r="M2465"/>
      <c r="N2465"/>
      <c r="O2465"/>
    </row>
    <row r="2466" spans="1:15" x14ac:dyDescent="0.25">
      <c r="A2466"/>
      <c r="B2466"/>
      <c r="C2466"/>
      <c r="D2466"/>
      <c r="E2466"/>
      <c r="F2466"/>
      <c r="G2466"/>
      <c r="H2466"/>
      <c r="I2466"/>
      <c r="J2466"/>
      <c r="K2466"/>
      <c r="L2466"/>
      <c r="M2466"/>
      <c r="N2466"/>
      <c r="O2466"/>
    </row>
    <row r="2467" spans="1:15" x14ac:dyDescent="0.25">
      <c r="A2467"/>
      <c r="B2467"/>
      <c r="C2467"/>
      <c r="D2467"/>
      <c r="E2467"/>
      <c r="F2467"/>
      <c r="G2467"/>
      <c r="H2467"/>
      <c r="I2467"/>
      <c r="J2467"/>
      <c r="K2467"/>
      <c r="L2467"/>
      <c r="M2467"/>
      <c r="N2467"/>
      <c r="O2467"/>
    </row>
    <row r="2468" spans="1:15" x14ac:dyDescent="0.25">
      <c r="A2468"/>
      <c r="B2468"/>
      <c r="C2468"/>
      <c r="D2468"/>
      <c r="E2468"/>
      <c r="F2468"/>
      <c r="G2468"/>
      <c r="H2468"/>
      <c r="I2468"/>
      <c r="J2468"/>
      <c r="K2468"/>
      <c r="L2468"/>
      <c r="M2468"/>
      <c r="N2468"/>
      <c r="O2468"/>
    </row>
    <row r="2469" spans="1:15" x14ac:dyDescent="0.25">
      <c r="A2469"/>
      <c r="B2469"/>
      <c r="C2469"/>
      <c r="D2469"/>
      <c r="E2469"/>
      <c r="F2469"/>
      <c r="G2469"/>
      <c r="H2469"/>
      <c r="I2469"/>
      <c r="J2469"/>
      <c r="K2469"/>
      <c r="L2469"/>
      <c r="M2469"/>
      <c r="N2469"/>
      <c r="O2469"/>
    </row>
    <row r="2470" spans="1:15" x14ac:dyDescent="0.25">
      <c r="A2470"/>
      <c r="B2470"/>
      <c r="C2470"/>
      <c r="D2470"/>
      <c r="E2470"/>
      <c r="F2470"/>
      <c r="G2470"/>
      <c r="H2470"/>
      <c r="I2470"/>
      <c r="J2470"/>
      <c r="K2470"/>
      <c r="L2470"/>
      <c r="M2470"/>
      <c r="N2470"/>
      <c r="O2470"/>
    </row>
    <row r="2471" spans="1:15" x14ac:dyDescent="0.25">
      <c r="A2471"/>
      <c r="B2471"/>
      <c r="C2471"/>
      <c r="D2471"/>
      <c r="E2471"/>
      <c r="F2471"/>
      <c r="G2471"/>
      <c r="H2471"/>
      <c r="I2471"/>
      <c r="J2471"/>
      <c r="K2471"/>
      <c r="L2471"/>
      <c r="M2471"/>
      <c r="N2471"/>
      <c r="O2471"/>
    </row>
    <row r="2472" spans="1:15" x14ac:dyDescent="0.25">
      <c r="A2472"/>
      <c r="B2472"/>
      <c r="C2472"/>
      <c r="D2472"/>
      <c r="E2472"/>
      <c r="F2472"/>
      <c r="G2472"/>
      <c r="H2472"/>
      <c r="I2472"/>
      <c r="J2472"/>
      <c r="K2472"/>
      <c r="L2472"/>
      <c r="M2472"/>
      <c r="N2472"/>
      <c r="O2472"/>
    </row>
    <row r="2473" spans="1:15" x14ac:dyDescent="0.25">
      <c r="A2473"/>
      <c r="B2473"/>
      <c r="C2473"/>
      <c r="D2473"/>
      <c r="E2473"/>
      <c r="F2473"/>
      <c r="G2473"/>
      <c r="H2473"/>
      <c r="I2473"/>
      <c r="J2473"/>
      <c r="K2473"/>
      <c r="L2473"/>
      <c r="M2473"/>
      <c r="N2473"/>
      <c r="O2473"/>
    </row>
    <row r="2474" spans="1:15" x14ac:dyDescent="0.25">
      <c r="A2474"/>
      <c r="B2474"/>
      <c r="C2474"/>
      <c r="D2474"/>
      <c r="E2474"/>
      <c r="F2474"/>
      <c r="G2474"/>
      <c r="H2474"/>
      <c r="I2474"/>
      <c r="J2474"/>
      <c r="K2474"/>
      <c r="L2474"/>
      <c r="M2474"/>
      <c r="N2474"/>
      <c r="O2474"/>
    </row>
    <row r="2475" spans="1:15" x14ac:dyDescent="0.25">
      <c r="A2475"/>
      <c r="B2475"/>
      <c r="C2475"/>
      <c r="D2475"/>
      <c r="E2475"/>
      <c r="F2475"/>
      <c r="G2475"/>
      <c r="H2475"/>
      <c r="I2475"/>
      <c r="J2475"/>
      <c r="K2475"/>
      <c r="L2475"/>
      <c r="M2475"/>
      <c r="N2475"/>
      <c r="O2475"/>
    </row>
    <row r="2476" spans="1:15" x14ac:dyDescent="0.25">
      <c r="A2476"/>
      <c r="B2476"/>
      <c r="C2476"/>
      <c r="D2476"/>
      <c r="E2476"/>
      <c r="F2476"/>
      <c r="G2476"/>
      <c r="H2476"/>
      <c r="I2476"/>
      <c r="J2476"/>
      <c r="K2476"/>
      <c r="L2476"/>
      <c r="M2476"/>
      <c r="N2476"/>
      <c r="O2476"/>
    </row>
    <row r="2477" spans="1:15" x14ac:dyDescent="0.25">
      <c r="A2477"/>
      <c r="B2477"/>
      <c r="C2477"/>
      <c r="D2477"/>
      <c r="E2477"/>
      <c r="F2477"/>
      <c r="G2477"/>
      <c r="H2477"/>
      <c r="I2477"/>
      <c r="J2477"/>
      <c r="K2477"/>
      <c r="L2477"/>
      <c r="M2477"/>
      <c r="N2477"/>
      <c r="O2477"/>
    </row>
    <row r="2478" spans="1:15" x14ac:dyDescent="0.25">
      <c r="A2478"/>
      <c r="B2478"/>
      <c r="C2478"/>
      <c r="D2478"/>
      <c r="E2478"/>
      <c r="F2478"/>
      <c r="G2478"/>
      <c r="H2478"/>
      <c r="I2478"/>
      <c r="J2478"/>
      <c r="K2478"/>
      <c r="L2478"/>
      <c r="M2478"/>
      <c r="N2478"/>
      <c r="O2478"/>
    </row>
    <row r="2479" spans="1:15" x14ac:dyDescent="0.25">
      <c r="A2479"/>
      <c r="B2479"/>
      <c r="C2479"/>
      <c r="D2479"/>
      <c r="E2479"/>
      <c r="F2479"/>
      <c r="G2479"/>
      <c r="H2479"/>
      <c r="I2479"/>
      <c r="J2479"/>
      <c r="K2479"/>
      <c r="L2479"/>
      <c r="M2479"/>
      <c r="N2479"/>
      <c r="O2479"/>
    </row>
    <row r="2480" spans="1:15" x14ac:dyDescent="0.25">
      <c r="A2480"/>
      <c r="B2480"/>
      <c r="C2480"/>
      <c r="D2480"/>
      <c r="E2480"/>
      <c r="F2480"/>
      <c r="G2480"/>
      <c r="H2480"/>
      <c r="I2480"/>
      <c r="J2480"/>
      <c r="K2480"/>
      <c r="L2480"/>
      <c r="M2480"/>
      <c r="N2480"/>
      <c r="O2480"/>
    </row>
    <row r="2481" spans="1:15" x14ac:dyDescent="0.25">
      <c r="A2481"/>
      <c r="B2481"/>
      <c r="C2481"/>
      <c r="D2481"/>
      <c r="E2481"/>
      <c r="F2481"/>
      <c r="G2481"/>
      <c r="H2481"/>
      <c r="I2481"/>
      <c r="J2481"/>
      <c r="K2481"/>
      <c r="L2481"/>
      <c r="M2481"/>
      <c r="N2481"/>
      <c r="O2481"/>
    </row>
    <row r="2482" spans="1:15" x14ac:dyDescent="0.25">
      <c r="A2482"/>
      <c r="B2482"/>
      <c r="C2482"/>
      <c r="D2482"/>
      <c r="E2482"/>
      <c r="F2482"/>
      <c r="G2482"/>
      <c r="H2482"/>
      <c r="I2482"/>
      <c r="J2482"/>
      <c r="K2482"/>
      <c r="L2482"/>
      <c r="M2482"/>
      <c r="N2482"/>
      <c r="O2482"/>
    </row>
    <row r="2483" spans="1:15" x14ac:dyDescent="0.25">
      <c r="A2483"/>
      <c r="B2483"/>
      <c r="C2483"/>
      <c r="D2483"/>
      <c r="E2483"/>
      <c r="F2483"/>
      <c r="G2483"/>
      <c r="H2483"/>
      <c r="I2483"/>
      <c r="J2483"/>
      <c r="K2483"/>
      <c r="L2483"/>
      <c r="M2483"/>
      <c r="N2483"/>
      <c r="O2483"/>
    </row>
    <row r="2484" spans="1:15" x14ac:dyDescent="0.25">
      <c r="A2484"/>
      <c r="B2484"/>
      <c r="C2484"/>
      <c r="D2484"/>
      <c r="E2484"/>
      <c r="F2484"/>
      <c r="G2484"/>
      <c r="H2484"/>
      <c r="I2484"/>
      <c r="J2484"/>
      <c r="K2484"/>
      <c r="L2484"/>
      <c r="M2484"/>
      <c r="N2484"/>
      <c r="O2484"/>
    </row>
    <row r="2485" spans="1:15" x14ac:dyDescent="0.25">
      <c r="A2485"/>
      <c r="B2485"/>
      <c r="C2485"/>
      <c r="D2485"/>
      <c r="E2485"/>
      <c r="F2485"/>
      <c r="G2485"/>
      <c r="H2485"/>
      <c r="I2485"/>
      <c r="J2485"/>
      <c r="K2485"/>
      <c r="L2485"/>
      <c r="M2485"/>
      <c r="N2485"/>
      <c r="O2485"/>
    </row>
    <row r="2486" spans="1:15" x14ac:dyDescent="0.25">
      <c r="A2486"/>
      <c r="B2486"/>
      <c r="C2486"/>
      <c r="D2486"/>
      <c r="E2486"/>
      <c r="F2486"/>
      <c r="G2486"/>
      <c r="H2486"/>
      <c r="I2486"/>
      <c r="J2486"/>
      <c r="K2486"/>
      <c r="L2486"/>
      <c r="M2486"/>
      <c r="N2486"/>
      <c r="O2486"/>
    </row>
    <row r="2487" spans="1:15" x14ac:dyDescent="0.25">
      <c r="A2487"/>
      <c r="B2487"/>
      <c r="C2487"/>
      <c r="D2487"/>
      <c r="E2487"/>
      <c r="F2487"/>
      <c r="G2487"/>
      <c r="H2487"/>
      <c r="I2487"/>
      <c r="J2487"/>
      <c r="K2487"/>
      <c r="L2487"/>
      <c r="M2487"/>
      <c r="N2487"/>
      <c r="O2487"/>
    </row>
    <row r="2488" spans="1:15" x14ac:dyDescent="0.25">
      <c r="A2488"/>
      <c r="B2488"/>
      <c r="C2488"/>
      <c r="D2488"/>
      <c r="E2488"/>
      <c r="F2488"/>
      <c r="G2488"/>
      <c r="H2488"/>
      <c r="I2488"/>
      <c r="J2488"/>
      <c r="K2488"/>
      <c r="L2488"/>
      <c r="M2488"/>
      <c r="N2488"/>
      <c r="O2488"/>
    </row>
    <row r="2489" spans="1:15" x14ac:dyDescent="0.25">
      <c r="A2489"/>
      <c r="B2489"/>
      <c r="C2489"/>
      <c r="D2489"/>
      <c r="E2489"/>
      <c r="F2489"/>
      <c r="G2489"/>
      <c r="H2489"/>
      <c r="I2489"/>
      <c r="J2489"/>
      <c r="K2489"/>
      <c r="L2489"/>
      <c r="M2489"/>
      <c r="N2489"/>
      <c r="O2489"/>
    </row>
    <row r="2490" spans="1:15" x14ac:dyDescent="0.25">
      <c r="A2490"/>
      <c r="B2490"/>
      <c r="C2490"/>
      <c r="D2490"/>
      <c r="E2490"/>
      <c r="F2490"/>
      <c r="G2490"/>
      <c r="H2490"/>
      <c r="I2490"/>
      <c r="J2490"/>
      <c r="K2490"/>
      <c r="L2490"/>
      <c r="M2490"/>
      <c r="N2490"/>
      <c r="O2490"/>
    </row>
    <row r="2491" spans="1:15" x14ac:dyDescent="0.25">
      <c r="A2491"/>
      <c r="B2491"/>
      <c r="C2491"/>
      <c r="D2491"/>
      <c r="E2491"/>
      <c r="F2491"/>
      <c r="G2491"/>
      <c r="H2491"/>
      <c r="I2491"/>
      <c r="J2491"/>
      <c r="K2491"/>
      <c r="L2491"/>
      <c r="M2491"/>
      <c r="N2491"/>
      <c r="O2491"/>
    </row>
    <row r="2492" spans="1:15" x14ac:dyDescent="0.25">
      <c r="A2492"/>
      <c r="B2492"/>
      <c r="C2492"/>
      <c r="D2492"/>
      <c r="E2492"/>
      <c r="F2492"/>
      <c r="G2492"/>
      <c r="H2492"/>
      <c r="I2492"/>
      <c r="J2492"/>
      <c r="K2492"/>
      <c r="L2492"/>
      <c r="M2492"/>
      <c r="N2492"/>
      <c r="O2492"/>
    </row>
    <row r="2493" spans="1:15" x14ac:dyDescent="0.25">
      <c r="A2493"/>
      <c r="B2493"/>
      <c r="C2493"/>
      <c r="D2493"/>
      <c r="E2493"/>
      <c r="F2493"/>
      <c r="G2493"/>
      <c r="H2493"/>
      <c r="I2493"/>
      <c r="J2493"/>
      <c r="K2493"/>
      <c r="L2493"/>
      <c r="M2493"/>
      <c r="N2493"/>
      <c r="O2493"/>
    </row>
    <row r="2494" spans="1:15" x14ac:dyDescent="0.25">
      <c r="A2494"/>
      <c r="B2494"/>
      <c r="C2494"/>
      <c r="D2494"/>
      <c r="E2494"/>
      <c r="F2494"/>
      <c r="G2494"/>
      <c r="H2494"/>
      <c r="I2494"/>
      <c r="J2494"/>
      <c r="K2494"/>
      <c r="L2494"/>
      <c r="M2494"/>
      <c r="N2494"/>
      <c r="O2494"/>
    </row>
    <row r="2495" spans="1:15" x14ac:dyDescent="0.25">
      <c r="A2495"/>
      <c r="B2495"/>
      <c r="C2495"/>
      <c r="D2495"/>
      <c r="E2495"/>
      <c r="F2495"/>
      <c r="G2495"/>
      <c r="H2495"/>
      <c r="I2495"/>
      <c r="J2495"/>
      <c r="K2495"/>
      <c r="L2495"/>
      <c r="M2495"/>
      <c r="N2495"/>
      <c r="O2495"/>
    </row>
    <row r="2496" spans="1:15" x14ac:dyDescent="0.25">
      <c r="A2496"/>
      <c r="B2496"/>
      <c r="C2496"/>
      <c r="D2496"/>
      <c r="E2496"/>
      <c r="F2496"/>
      <c r="G2496"/>
      <c r="H2496"/>
      <c r="I2496"/>
      <c r="J2496"/>
      <c r="K2496"/>
      <c r="L2496"/>
      <c r="M2496"/>
      <c r="N2496"/>
      <c r="O2496"/>
    </row>
    <row r="2497" spans="1:15" x14ac:dyDescent="0.25">
      <c r="A2497"/>
      <c r="B2497"/>
      <c r="C2497"/>
      <c r="D2497"/>
      <c r="E2497"/>
      <c r="F2497"/>
      <c r="G2497"/>
      <c r="H2497"/>
      <c r="I2497"/>
      <c r="J2497"/>
      <c r="K2497"/>
      <c r="L2497"/>
      <c r="M2497"/>
      <c r="N2497"/>
      <c r="O2497"/>
    </row>
    <row r="2498" spans="1:15" x14ac:dyDescent="0.25">
      <c r="A2498"/>
      <c r="B2498"/>
      <c r="C2498"/>
      <c r="D2498"/>
      <c r="E2498"/>
      <c r="F2498"/>
      <c r="G2498"/>
      <c r="H2498"/>
      <c r="I2498"/>
      <c r="J2498"/>
      <c r="K2498"/>
      <c r="L2498"/>
      <c r="M2498"/>
      <c r="N2498"/>
      <c r="O2498"/>
    </row>
    <row r="2499" spans="1:15" x14ac:dyDescent="0.25">
      <c r="A2499"/>
      <c r="B2499"/>
      <c r="C2499"/>
      <c r="D2499"/>
      <c r="E2499"/>
      <c r="F2499"/>
      <c r="G2499"/>
      <c r="H2499"/>
      <c r="I2499"/>
      <c r="J2499"/>
      <c r="K2499"/>
      <c r="L2499"/>
      <c r="M2499"/>
      <c r="N2499"/>
      <c r="O2499"/>
    </row>
    <row r="2500" spans="1:15" x14ac:dyDescent="0.25">
      <c r="A2500"/>
      <c r="B2500"/>
      <c r="C2500"/>
      <c r="D2500"/>
      <c r="E2500"/>
      <c r="F2500"/>
      <c r="G2500"/>
      <c r="H2500"/>
      <c r="I2500"/>
      <c r="J2500"/>
      <c r="K2500"/>
      <c r="L2500"/>
      <c r="M2500"/>
      <c r="N2500"/>
      <c r="O2500"/>
    </row>
    <row r="2501" spans="1:15" x14ac:dyDescent="0.25">
      <c r="A2501"/>
      <c r="B2501"/>
      <c r="C2501"/>
      <c r="D2501"/>
      <c r="E2501"/>
      <c r="F2501"/>
      <c r="G2501"/>
      <c r="H2501"/>
      <c r="I2501"/>
      <c r="J2501"/>
      <c r="K2501"/>
      <c r="L2501"/>
      <c r="M2501"/>
      <c r="N2501"/>
      <c r="O2501"/>
    </row>
    <row r="2502" spans="1:15" x14ac:dyDescent="0.25">
      <c r="A2502"/>
      <c r="B2502"/>
      <c r="C2502"/>
      <c r="D2502"/>
      <c r="E2502"/>
      <c r="F2502"/>
      <c r="G2502"/>
      <c r="H2502"/>
      <c r="I2502"/>
      <c r="J2502"/>
      <c r="K2502"/>
      <c r="L2502"/>
      <c r="M2502"/>
      <c r="N2502"/>
      <c r="O2502"/>
    </row>
    <row r="2503" spans="1:15" x14ac:dyDescent="0.25">
      <c r="A2503"/>
      <c r="B2503"/>
      <c r="C2503"/>
      <c r="D2503"/>
      <c r="E2503"/>
      <c r="F2503"/>
      <c r="G2503"/>
      <c r="H2503"/>
      <c r="I2503"/>
      <c r="J2503"/>
      <c r="K2503"/>
      <c r="L2503"/>
      <c r="M2503"/>
      <c r="N2503"/>
      <c r="O2503"/>
    </row>
    <row r="2504" spans="1:15" x14ac:dyDescent="0.25">
      <c r="A2504"/>
      <c r="B2504"/>
      <c r="C2504"/>
      <c r="D2504"/>
      <c r="E2504"/>
      <c r="F2504"/>
      <c r="G2504"/>
      <c r="H2504"/>
      <c r="I2504"/>
      <c r="J2504"/>
      <c r="K2504"/>
      <c r="L2504"/>
      <c r="M2504"/>
      <c r="N2504"/>
      <c r="O2504"/>
    </row>
    <row r="2505" spans="1:15" x14ac:dyDescent="0.25">
      <c r="A2505"/>
      <c r="B2505"/>
      <c r="C2505"/>
      <c r="D2505"/>
      <c r="E2505"/>
      <c r="F2505"/>
      <c r="G2505"/>
      <c r="H2505"/>
      <c r="I2505"/>
      <c r="J2505"/>
      <c r="K2505"/>
      <c r="L2505"/>
      <c r="M2505"/>
      <c r="N2505"/>
      <c r="O2505"/>
    </row>
    <row r="2506" spans="1:15" x14ac:dyDescent="0.25">
      <c r="A2506"/>
      <c r="B2506"/>
      <c r="C2506"/>
      <c r="D2506"/>
      <c r="E2506"/>
      <c r="F2506"/>
      <c r="G2506"/>
      <c r="H2506"/>
      <c r="I2506"/>
      <c r="J2506"/>
      <c r="K2506"/>
      <c r="L2506"/>
      <c r="M2506"/>
      <c r="N2506"/>
      <c r="O2506"/>
    </row>
    <row r="2507" spans="1:15" x14ac:dyDescent="0.25">
      <c r="A2507"/>
      <c r="B2507"/>
      <c r="C2507"/>
      <c r="D2507"/>
      <c r="E2507"/>
      <c r="F2507"/>
      <c r="G2507"/>
      <c r="H2507"/>
      <c r="I2507"/>
      <c r="J2507"/>
      <c r="K2507"/>
      <c r="L2507"/>
      <c r="M2507"/>
      <c r="N2507"/>
      <c r="O2507"/>
    </row>
    <row r="2508" spans="1:15" x14ac:dyDescent="0.25">
      <c r="A2508"/>
      <c r="B2508"/>
      <c r="C2508"/>
      <c r="D2508"/>
      <c r="E2508"/>
      <c r="F2508"/>
      <c r="G2508"/>
      <c r="H2508"/>
      <c r="I2508"/>
      <c r="J2508"/>
      <c r="K2508"/>
      <c r="L2508"/>
      <c r="M2508"/>
      <c r="N2508"/>
      <c r="O2508"/>
    </row>
    <row r="2509" spans="1:15" x14ac:dyDescent="0.25">
      <c r="A2509"/>
      <c r="B2509"/>
      <c r="C2509"/>
      <c r="D2509"/>
      <c r="E2509"/>
      <c r="F2509"/>
      <c r="G2509"/>
      <c r="H2509"/>
      <c r="I2509"/>
      <c r="J2509"/>
      <c r="K2509"/>
      <c r="L2509"/>
      <c r="M2509"/>
      <c r="N2509"/>
      <c r="O2509"/>
    </row>
    <row r="2510" spans="1:15" x14ac:dyDescent="0.25">
      <c r="A2510"/>
      <c r="B2510"/>
      <c r="C2510"/>
      <c r="D2510"/>
      <c r="E2510"/>
      <c r="F2510"/>
      <c r="G2510"/>
      <c r="H2510"/>
      <c r="I2510"/>
      <c r="J2510"/>
      <c r="K2510"/>
      <c r="L2510"/>
      <c r="M2510"/>
      <c r="N2510"/>
      <c r="O2510"/>
    </row>
    <row r="2511" spans="1:15" x14ac:dyDescent="0.25">
      <c r="A2511"/>
      <c r="B2511"/>
      <c r="C2511"/>
      <c r="D2511"/>
      <c r="E2511"/>
      <c r="F2511"/>
      <c r="G2511"/>
      <c r="H2511"/>
      <c r="I2511"/>
      <c r="J2511"/>
      <c r="K2511"/>
      <c r="L2511"/>
      <c r="M2511"/>
      <c r="N2511"/>
      <c r="O2511"/>
    </row>
    <row r="2512" spans="1:15" x14ac:dyDescent="0.25">
      <c r="A2512"/>
      <c r="B2512"/>
      <c r="C2512"/>
      <c r="D2512"/>
      <c r="E2512"/>
      <c r="F2512"/>
      <c r="G2512"/>
      <c r="H2512"/>
      <c r="I2512"/>
      <c r="J2512"/>
      <c r="K2512"/>
      <c r="L2512"/>
      <c r="M2512"/>
      <c r="N2512"/>
      <c r="O2512"/>
    </row>
    <row r="2513" spans="1:15" x14ac:dyDescent="0.25">
      <c r="A2513"/>
      <c r="B2513"/>
      <c r="C2513"/>
      <c r="D2513"/>
      <c r="E2513"/>
      <c r="F2513"/>
      <c r="G2513"/>
      <c r="H2513"/>
      <c r="I2513"/>
      <c r="J2513"/>
      <c r="K2513"/>
      <c r="L2513"/>
      <c r="M2513"/>
      <c r="N2513"/>
      <c r="O2513"/>
    </row>
    <row r="2514" spans="1:15" x14ac:dyDescent="0.25">
      <c r="A2514"/>
      <c r="B2514"/>
      <c r="C2514"/>
      <c r="D2514"/>
      <c r="E2514"/>
      <c r="F2514"/>
      <c r="G2514"/>
      <c r="H2514"/>
      <c r="I2514"/>
      <c r="J2514"/>
      <c r="K2514"/>
      <c r="L2514"/>
      <c r="M2514"/>
      <c r="N2514"/>
      <c r="O2514"/>
    </row>
    <row r="2515" spans="1:15" x14ac:dyDescent="0.25">
      <c r="A2515"/>
      <c r="B2515"/>
      <c r="C2515"/>
      <c r="D2515"/>
      <c r="E2515"/>
      <c r="F2515"/>
      <c r="G2515"/>
      <c r="H2515"/>
      <c r="I2515"/>
      <c r="J2515"/>
      <c r="K2515"/>
      <c r="L2515"/>
      <c r="M2515"/>
      <c r="N2515"/>
      <c r="O2515"/>
    </row>
    <row r="2516" spans="1:15" x14ac:dyDescent="0.25">
      <c r="A2516"/>
      <c r="B2516"/>
      <c r="C2516"/>
      <c r="D2516"/>
      <c r="E2516"/>
      <c r="F2516"/>
      <c r="G2516"/>
      <c r="H2516"/>
      <c r="I2516"/>
      <c r="J2516"/>
      <c r="K2516"/>
      <c r="L2516"/>
      <c r="M2516"/>
      <c r="N2516"/>
      <c r="O2516"/>
    </row>
    <row r="2517" spans="1:15" x14ac:dyDescent="0.25">
      <c r="A2517"/>
      <c r="B2517"/>
      <c r="C2517"/>
      <c r="D2517"/>
      <c r="E2517"/>
      <c r="F2517"/>
      <c r="G2517"/>
      <c r="H2517"/>
      <c r="I2517"/>
      <c r="J2517"/>
      <c r="K2517"/>
      <c r="L2517"/>
      <c r="M2517"/>
      <c r="N2517"/>
      <c r="O2517"/>
    </row>
    <row r="2518" spans="1:15" x14ac:dyDescent="0.25">
      <c r="A2518"/>
      <c r="B2518"/>
      <c r="C2518"/>
      <c r="D2518"/>
      <c r="E2518"/>
      <c r="F2518"/>
      <c r="G2518"/>
      <c r="H2518"/>
      <c r="I2518"/>
      <c r="J2518"/>
      <c r="K2518"/>
      <c r="L2518"/>
      <c r="M2518"/>
      <c r="N2518"/>
      <c r="O2518"/>
    </row>
    <row r="2519" spans="1:15" x14ac:dyDescent="0.25">
      <c r="A2519"/>
      <c r="B2519"/>
      <c r="C2519"/>
      <c r="D2519"/>
      <c r="E2519"/>
      <c r="F2519"/>
      <c r="G2519"/>
      <c r="H2519"/>
      <c r="I2519"/>
      <c r="J2519"/>
      <c r="K2519"/>
      <c r="L2519"/>
      <c r="M2519"/>
      <c r="N2519"/>
      <c r="O2519"/>
    </row>
    <row r="2520" spans="1:15" x14ac:dyDescent="0.25">
      <c r="A2520"/>
      <c r="B2520"/>
      <c r="C2520"/>
      <c r="D2520"/>
      <c r="E2520"/>
      <c r="F2520"/>
      <c r="G2520"/>
      <c r="H2520"/>
      <c r="I2520"/>
      <c r="J2520"/>
      <c r="K2520"/>
      <c r="L2520"/>
      <c r="M2520"/>
      <c r="N2520"/>
      <c r="O2520"/>
    </row>
    <row r="2521" spans="1:15" x14ac:dyDescent="0.25">
      <c r="A2521"/>
      <c r="B2521"/>
      <c r="C2521"/>
      <c r="D2521"/>
      <c r="E2521"/>
      <c r="F2521"/>
      <c r="G2521"/>
      <c r="H2521"/>
      <c r="I2521"/>
      <c r="J2521"/>
      <c r="K2521"/>
      <c r="L2521"/>
      <c r="M2521"/>
      <c r="N2521"/>
      <c r="O2521"/>
    </row>
    <row r="2522" spans="1:15" x14ac:dyDescent="0.25">
      <c r="A2522"/>
      <c r="B2522"/>
      <c r="C2522"/>
      <c r="D2522"/>
      <c r="E2522"/>
      <c r="F2522"/>
      <c r="G2522"/>
      <c r="H2522"/>
      <c r="I2522"/>
      <c r="J2522"/>
      <c r="K2522"/>
      <c r="L2522"/>
      <c r="M2522"/>
      <c r="N2522"/>
      <c r="O2522"/>
    </row>
    <row r="2523" spans="1:15" x14ac:dyDescent="0.25">
      <c r="A2523"/>
      <c r="B2523"/>
      <c r="C2523"/>
      <c r="D2523"/>
      <c r="E2523"/>
      <c r="F2523"/>
      <c r="G2523"/>
      <c r="H2523"/>
      <c r="I2523"/>
      <c r="J2523"/>
      <c r="K2523"/>
      <c r="L2523"/>
      <c r="M2523"/>
      <c r="N2523"/>
      <c r="O2523"/>
    </row>
    <row r="2524" spans="1:15" x14ac:dyDescent="0.25">
      <c r="A2524"/>
      <c r="B2524"/>
      <c r="C2524"/>
      <c r="D2524"/>
      <c r="E2524"/>
      <c r="F2524"/>
      <c r="G2524"/>
      <c r="H2524"/>
      <c r="I2524"/>
      <c r="J2524"/>
      <c r="K2524"/>
      <c r="L2524"/>
      <c r="M2524"/>
      <c r="N2524"/>
      <c r="O2524"/>
    </row>
    <row r="2525" spans="1:15" x14ac:dyDescent="0.25">
      <c r="A2525"/>
      <c r="B2525"/>
      <c r="C2525"/>
      <c r="D2525"/>
      <c r="E2525"/>
      <c r="F2525"/>
      <c r="G2525"/>
      <c r="H2525"/>
      <c r="I2525"/>
      <c r="J2525"/>
      <c r="K2525"/>
      <c r="L2525"/>
      <c r="M2525"/>
      <c r="N2525"/>
      <c r="O2525"/>
    </row>
    <row r="2526" spans="1:15" x14ac:dyDescent="0.25">
      <c r="A2526"/>
      <c r="B2526"/>
      <c r="C2526"/>
      <c r="D2526"/>
      <c r="E2526"/>
      <c r="F2526"/>
      <c r="G2526"/>
      <c r="H2526"/>
      <c r="I2526"/>
      <c r="J2526"/>
      <c r="K2526"/>
      <c r="L2526"/>
      <c r="M2526"/>
      <c r="N2526"/>
      <c r="O2526"/>
    </row>
    <row r="2527" spans="1:15" x14ac:dyDescent="0.25">
      <c r="A2527"/>
      <c r="B2527"/>
      <c r="C2527"/>
      <c r="D2527"/>
      <c r="E2527"/>
      <c r="F2527"/>
      <c r="G2527"/>
      <c r="H2527"/>
      <c r="I2527"/>
      <c r="J2527"/>
      <c r="K2527"/>
      <c r="L2527"/>
      <c r="M2527"/>
      <c r="N2527"/>
      <c r="O2527"/>
    </row>
    <row r="2528" spans="1:15" x14ac:dyDescent="0.25">
      <c r="A2528"/>
      <c r="B2528"/>
      <c r="C2528"/>
      <c r="D2528"/>
      <c r="E2528"/>
      <c r="F2528"/>
      <c r="G2528"/>
      <c r="H2528"/>
      <c r="I2528"/>
      <c r="J2528"/>
      <c r="K2528"/>
      <c r="L2528"/>
      <c r="M2528"/>
      <c r="N2528"/>
      <c r="O2528"/>
    </row>
    <row r="2529" spans="1:15" x14ac:dyDescent="0.25">
      <c r="A2529"/>
      <c r="B2529"/>
      <c r="C2529"/>
      <c r="D2529"/>
      <c r="E2529"/>
      <c r="F2529"/>
      <c r="G2529"/>
      <c r="H2529"/>
      <c r="I2529"/>
      <c r="J2529"/>
      <c r="K2529"/>
      <c r="L2529"/>
      <c r="M2529"/>
      <c r="N2529"/>
      <c r="O2529"/>
    </row>
    <row r="2530" spans="1:15" x14ac:dyDescent="0.25">
      <c r="A2530"/>
      <c r="B2530"/>
      <c r="C2530"/>
      <c r="D2530"/>
      <c r="E2530"/>
      <c r="F2530"/>
      <c r="G2530"/>
      <c r="H2530"/>
      <c r="I2530"/>
      <c r="J2530"/>
      <c r="K2530"/>
      <c r="L2530"/>
      <c r="M2530"/>
      <c r="N2530"/>
      <c r="O2530"/>
    </row>
    <row r="2531" spans="1:15" x14ac:dyDescent="0.25">
      <c r="A2531"/>
      <c r="B2531"/>
      <c r="C2531"/>
      <c r="D2531"/>
      <c r="E2531"/>
      <c r="F2531"/>
      <c r="G2531"/>
      <c r="H2531"/>
      <c r="I2531"/>
      <c r="J2531"/>
      <c r="K2531"/>
      <c r="L2531"/>
      <c r="M2531"/>
      <c r="N2531"/>
      <c r="O2531"/>
    </row>
    <row r="2532" spans="1:15" x14ac:dyDescent="0.25">
      <c r="A2532"/>
      <c r="B2532"/>
      <c r="C2532"/>
      <c r="D2532"/>
      <c r="E2532"/>
      <c r="F2532"/>
      <c r="G2532"/>
      <c r="H2532"/>
      <c r="I2532"/>
      <c r="J2532"/>
      <c r="K2532"/>
      <c r="L2532"/>
      <c r="M2532"/>
      <c r="N2532"/>
      <c r="O2532"/>
    </row>
    <row r="2533" spans="1:15" x14ac:dyDescent="0.25">
      <c r="A2533"/>
      <c r="B2533"/>
      <c r="C2533"/>
      <c r="D2533"/>
      <c r="E2533"/>
      <c r="F2533"/>
      <c r="G2533"/>
      <c r="H2533"/>
      <c r="I2533"/>
      <c r="J2533"/>
      <c r="K2533"/>
      <c r="L2533"/>
      <c r="M2533"/>
      <c r="N2533"/>
      <c r="O2533"/>
    </row>
    <row r="2534" spans="1:15" x14ac:dyDescent="0.25">
      <c r="A2534"/>
      <c r="B2534"/>
      <c r="C2534"/>
      <c r="D2534"/>
      <c r="E2534"/>
      <c r="F2534"/>
      <c r="G2534"/>
      <c r="H2534"/>
      <c r="I2534"/>
      <c r="J2534"/>
      <c r="K2534"/>
      <c r="L2534"/>
      <c r="M2534"/>
      <c r="N2534"/>
      <c r="O2534"/>
    </row>
    <row r="2535" spans="1:15" x14ac:dyDescent="0.25">
      <c r="A2535"/>
      <c r="B2535"/>
      <c r="C2535"/>
      <c r="D2535"/>
      <c r="E2535"/>
      <c r="F2535"/>
      <c r="G2535"/>
      <c r="H2535"/>
      <c r="I2535"/>
      <c r="J2535"/>
      <c r="K2535"/>
      <c r="L2535"/>
      <c r="M2535"/>
      <c r="N2535"/>
      <c r="O2535"/>
    </row>
    <row r="2536" spans="1:15" x14ac:dyDescent="0.25">
      <c r="A2536"/>
      <c r="B2536"/>
      <c r="C2536"/>
      <c r="D2536"/>
      <c r="E2536"/>
      <c r="F2536"/>
      <c r="G2536"/>
      <c r="H2536"/>
      <c r="I2536"/>
      <c r="J2536"/>
      <c r="K2536"/>
      <c r="L2536"/>
      <c r="M2536"/>
      <c r="N2536"/>
      <c r="O2536"/>
    </row>
    <row r="2537" spans="1:15" x14ac:dyDescent="0.25">
      <c r="A2537"/>
      <c r="B2537"/>
      <c r="C2537"/>
      <c r="D2537"/>
      <c r="E2537"/>
      <c r="F2537"/>
      <c r="G2537"/>
      <c r="H2537"/>
      <c r="I2537"/>
      <c r="J2537"/>
      <c r="K2537"/>
      <c r="L2537"/>
      <c r="M2537"/>
      <c r="N2537"/>
      <c r="O2537"/>
    </row>
    <row r="2538" spans="1:15" x14ac:dyDescent="0.25">
      <c r="A2538"/>
      <c r="B2538"/>
      <c r="C2538"/>
      <c r="D2538"/>
      <c r="E2538"/>
      <c r="F2538"/>
      <c r="G2538"/>
      <c r="H2538"/>
      <c r="I2538"/>
      <c r="J2538"/>
      <c r="K2538"/>
      <c r="L2538"/>
      <c r="M2538"/>
      <c r="N2538"/>
      <c r="O2538"/>
    </row>
    <row r="2539" spans="1:15" x14ac:dyDescent="0.25">
      <c r="A2539"/>
      <c r="B2539"/>
      <c r="C2539"/>
      <c r="D2539"/>
      <c r="E2539"/>
      <c r="F2539"/>
      <c r="G2539"/>
      <c r="H2539"/>
      <c r="I2539"/>
      <c r="J2539"/>
      <c r="K2539"/>
      <c r="L2539"/>
      <c r="M2539"/>
      <c r="N2539"/>
      <c r="O2539"/>
    </row>
    <row r="2540" spans="1:15" x14ac:dyDescent="0.25">
      <c r="A2540"/>
      <c r="B2540"/>
      <c r="C2540"/>
      <c r="D2540"/>
      <c r="E2540"/>
      <c r="F2540"/>
      <c r="G2540"/>
      <c r="H2540"/>
      <c r="I2540"/>
      <c r="J2540"/>
      <c r="K2540"/>
      <c r="L2540"/>
      <c r="M2540"/>
      <c r="N2540"/>
      <c r="O2540"/>
    </row>
    <row r="2541" spans="1:15" x14ac:dyDescent="0.25">
      <c r="A2541"/>
      <c r="B2541"/>
      <c r="C2541"/>
      <c r="D2541"/>
      <c r="E2541"/>
      <c r="F2541"/>
      <c r="G2541"/>
      <c r="H2541"/>
      <c r="I2541"/>
      <c r="J2541"/>
      <c r="K2541"/>
      <c r="L2541"/>
      <c r="M2541"/>
      <c r="N2541"/>
      <c r="O2541"/>
    </row>
    <row r="2542" spans="1:15" x14ac:dyDescent="0.25">
      <c r="A2542"/>
      <c r="B2542"/>
      <c r="C2542"/>
      <c r="D2542"/>
      <c r="E2542"/>
      <c r="F2542"/>
      <c r="G2542"/>
      <c r="H2542"/>
      <c r="I2542"/>
      <c r="J2542"/>
      <c r="K2542"/>
      <c r="L2542"/>
      <c r="M2542"/>
      <c r="N2542"/>
      <c r="O2542"/>
    </row>
    <row r="2543" spans="1:15" x14ac:dyDescent="0.25">
      <c r="A2543"/>
      <c r="B2543"/>
      <c r="C2543"/>
      <c r="D2543"/>
      <c r="E2543"/>
      <c r="F2543"/>
      <c r="G2543"/>
      <c r="H2543"/>
      <c r="I2543"/>
      <c r="J2543"/>
      <c r="K2543"/>
      <c r="L2543"/>
      <c r="M2543"/>
      <c r="N2543"/>
      <c r="O2543"/>
    </row>
    <row r="2544" spans="1:15" x14ac:dyDescent="0.25">
      <c r="A2544"/>
      <c r="B2544"/>
      <c r="C2544"/>
      <c r="D2544"/>
      <c r="E2544"/>
      <c r="F2544"/>
      <c r="G2544"/>
      <c r="H2544"/>
      <c r="I2544"/>
      <c r="J2544"/>
      <c r="K2544"/>
      <c r="L2544"/>
      <c r="M2544"/>
      <c r="N2544"/>
      <c r="O2544"/>
    </row>
    <row r="2545" spans="1:15" x14ac:dyDescent="0.25">
      <c r="A2545"/>
      <c r="B2545"/>
      <c r="C2545"/>
      <c r="D2545"/>
      <c r="E2545"/>
      <c r="F2545"/>
      <c r="G2545"/>
      <c r="H2545"/>
      <c r="I2545"/>
      <c r="J2545"/>
      <c r="K2545"/>
      <c r="L2545"/>
      <c r="M2545"/>
      <c r="N2545"/>
      <c r="O2545"/>
    </row>
    <row r="2546" spans="1:15" x14ac:dyDescent="0.25">
      <c r="A2546"/>
      <c r="B2546"/>
      <c r="C2546"/>
      <c r="D2546"/>
      <c r="E2546"/>
      <c r="F2546"/>
      <c r="G2546"/>
      <c r="H2546"/>
      <c r="I2546"/>
      <c r="J2546"/>
      <c r="K2546"/>
      <c r="L2546"/>
      <c r="M2546"/>
      <c r="N2546"/>
      <c r="O2546"/>
    </row>
    <row r="2547" spans="1:15" x14ac:dyDescent="0.25">
      <c r="A2547"/>
      <c r="B2547"/>
      <c r="C2547"/>
      <c r="D2547"/>
      <c r="E2547"/>
      <c r="F2547"/>
      <c r="G2547"/>
      <c r="H2547"/>
      <c r="I2547"/>
      <c r="J2547"/>
      <c r="K2547"/>
      <c r="L2547"/>
      <c r="M2547"/>
      <c r="N2547"/>
      <c r="O2547"/>
    </row>
    <row r="2548" spans="1:15" x14ac:dyDescent="0.25">
      <c r="A2548"/>
      <c r="B2548"/>
      <c r="C2548"/>
      <c r="D2548"/>
      <c r="E2548"/>
      <c r="F2548"/>
      <c r="G2548"/>
      <c r="H2548"/>
      <c r="I2548"/>
      <c r="J2548"/>
      <c r="K2548"/>
      <c r="L2548"/>
      <c r="M2548"/>
      <c r="N2548"/>
      <c r="O2548"/>
    </row>
    <row r="2549" spans="1:15" x14ac:dyDescent="0.25">
      <c r="A2549"/>
      <c r="B2549"/>
      <c r="C2549"/>
      <c r="D2549"/>
      <c r="E2549"/>
      <c r="F2549"/>
      <c r="G2549"/>
      <c r="H2549"/>
      <c r="I2549"/>
      <c r="J2549"/>
      <c r="K2549"/>
      <c r="L2549"/>
      <c r="M2549"/>
      <c r="N2549"/>
      <c r="O2549"/>
    </row>
    <row r="2550" spans="1:15" x14ac:dyDescent="0.25">
      <c r="A2550"/>
      <c r="B2550"/>
      <c r="C2550"/>
      <c r="D2550"/>
      <c r="E2550"/>
      <c r="F2550"/>
      <c r="G2550"/>
      <c r="H2550"/>
      <c r="I2550"/>
      <c r="J2550"/>
      <c r="K2550"/>
      <c r="L2550"/>
      <c r="M2550"/>
      <c r="N2550"/>
      <c r="O2550"/>
    </row>
    <row r="2551" spans="1:15" x14ac:dyDescent="0.25">
      <c r="A2551"/>
      <c r="B2551"/>
      <c r="C2551"/>
      <c r="D2551"/>
      <c r="E2551"/>
      <c r="F2551"/>
      <c r="G2551"/>
      <c r="H2551"/>
      <c r="I2551"/>
      <c r="J2551"/>
      <c r="K2551"/>
      <c r="L2551"/>
      <c r="M2551"/>
      <c r="N2551"/>
      <c r="O2551"/>
    </row>
    <row r="2552" spans="1:15" x14ac:dyDescent="0.25">
      <c r="A2552"/>
      <c r="B2552"/>
      <c r="C2552"/>
      <c r="D2552"/>
      <c r="E2552"/>
      <c r="F2552"/>
      <c r="G2552"/>
      <c r="H2552"/>
      <c r="I2552"/>
      <c r="J2552"/>
      <c r="K2552"/>
      <c r="L2552"/>
      <c r="M2552"/>
      <c r="N2552"/>
      <c r="O2552"/>
    </row>
    <row r="2553" spans="1:15" x14ac:dyDescent="0.25">
      <c r="A2553"/>
      <c r="B2553"/>
      <c r="C2553"/>
      <c r="D2553"/>
      <c r="E2553"/>
      <c r="F2553"/>
      <c r="G2553"/>
      <c r="H2553"/>
      <c r="I2553"/>
      <c r="J2553"/>
      <c r="K2553"/>
      <c r="L2553"/>
      <c r="M2553"/>
      <c r="N2553"/>
      <c r="O2553"/>
    </row>
    <row r="2554" spans="1:15" x14ac:dyDescent="0.25">
      <c r="A2554"/>
      <c r="B2554"/>
      <c r="C2554"/>
      <c r="D2554"/>
      <c r="E2554"/>
      <c r="F2554"/>
      <c r="G2554"/>
      <c r="H2554"/>
      <c r="I2554"/>
      <c r="J2554"/>
      <c r="K2554"/>
      <c r="L2554"/>
      <c r="M2554"/>
      <c r="N2554"/>
      <c r="O2554"/>
    </row>
    <row r="2555" spans="1:15" x14ac:dyDescent="0.25">
      <c r="A2555"/>
      <c r="B2555"/>
      <c r="C2555"/>
      <c r="D2555"/>
      <c r="E2555"/>
      <c r="F2555"/>
      <c r="G2555"/>
      <c r="H2555"/>
      <c r="I2555"/>
      <c r="J2555"/>
      <c r="K2555"/>
      <c r="L2555"/>
      <c r="M2555"/>
      <c r="N2555"/>
      <c r="O2555"/>
    </row>
    <row r="2556" spans="1:15" x14ac:dyDescent="0.25">
      <c r="A2556"/>
      <c r="B2556"/>
      <c r="C2556"/>
      <c r="D2556"/>
      <c r="E2556"/>
      <c r="F2556"/>
      <c r="G2556"/>
      <c r="H2556"/>
      <c r="I2556"/>
      <c r="J2556"/>
      <c r="K2556"/>
      <c r="L2556"/>
      <c r="M2556"/>
      <c r="N2556"/>
      <c r="O2556"/>
    </row>
    <row r="2557" spans="1:15" x14ac:dyDescent="0.25">
      <c r="A2557"/>
      <c r="B2557"/>
      <c r="C2557"/>
      <c r="D2557"/>
      <c r="E2557"/>
      <c r="F2557"/>
      <c r="G2557"/>
      <c r="H2557"/>
      <c r="I2557"/>
      <c r="J2557"/>
      <c r="K2557"/>
      <c r="L2557"/>
      <c r="M2557"/>
      <c r="N2557"/>
      <c r="O2557"/>
    </row>
    <row r="2558" spans="1:15" x14ac:dyDescent="0.25">
      <c r="A2558"/>
      <c r="B2558"/>
      <c r="C2558"/>
      <c r="D2558"/>
      <c r="E2558"/>
      <c r="F2558"/>
      <c r="G2558"/>
      <c r="H2558"/>
      <c r="I2558"/>
      <c r="J2558"/>
      <c r="K2558"/>
      <c r="L2558"/>
      <c r="M2558"/>
      <c r="N2558"/>
      <c r="O2558"/>
    </row>
    <row r="2559" spans="1:15" x14ac:dyDescent="0.25">
      <c r="A2559"/>
      <c r="B2559"/>
      <c r="C2559"/>
      <c r="D2559"/>
      <c r="E2559"/>
      <c r="F2559"/>
      <c r="G2559"/>
      <c r="H2559"/>
      <c r="I2559"/>
      <c r="J2559"/>
      <c r="K2559"/>
      <c r="L2559"/>
      <c r="M2559"/>
      <c r="N2559"/>
      <c r="O2559"/>
    </row>
    <row r="2560" spans="1:15" x14ac:dyDescent="0.25">
      <c r="A2560"/>
      <c r="B2560"/>
      <c r="C2560"/>
      <c r="D2560"/>
      <c r="E2560"/>
      <c r="F2560"/>
      <c r="G2560"/>
      <c r="H2560"/>
      <c r="I2560"/>
      <c r="J2560"/>
      <c r="K2560"/>
      <c r="L2560"/>
      <c r="M2560"/>
      <c r="N2560"/>
      <c r="O2560"/>
    </row>
    <row r="2561" spans="1:15" x14ac:dyDescent="0.25">
      <c r="A2561"/>
      <c r="B2561"/>
      <c r="C2561"/>
      <c r="D2561"/>
      <c r="E2561"/>
      <c r="F2561"/>
      <c r="G2561"/>
      <c r="H2561"/>
      <c r="I2561"/>
      <c r="J2561"/>
      <c r="K2561"/>
      <c r="L2561"/>
      <c r="M2561"/>
      <c r="N2561"/>
      <c r="O2561"/>
    </row>
    <row r="2562" spans="1:15" x14ac:dyDescent="0.25">
      <c r="A2562"/>
      <c r="B2562"/>
      <c r="C2562"/>
      <c r="D2562"/>
      <c r="E2562"/>
      <c r="F2562"/>
      <c r="G2562"/>
      <c r="H2562"/>
      <c r="I2562"/>
      <c r="J2562"/>
      <c r="K2562"/>
      <c r="L2562"/>
      <c r="M2562"/>
      <c r="N2562"/>
      <c r="O2562"/>
    </row>
    <row r="2563" spans="1:15" x14ac:dyDescent="0.25">
      <c r="A2563"/>
      <c r="B2563"/>
      <c r="C2563"/>
      <c r="D2563"/>
      <c r="E2563"/>
      <c r="F2563"/>
      <c r="G2563"/>
      <c r="H2563"/>
      <c r="I2563"/>
      <c r="J2563"/>
      <c r="K2563"/>
      <c r="L2563"/>
      <c r="M2563"/>
      <c r="N2563"/>
      <c r="O2563"/>
    </row>
    <row r="2564" spans="1:15" x14ac:dyDescent="0.25">
      <c r="A2564"/>
      <c r="B2564"/>
      <c r="C2564"/>
      <c r="D2564"/>
      <c r="E2564"/>
      <c r="F2564"/>
      <c r="G2564"/>
      <c r="H2564"/>
      <c r="I2564"/>
      <c r="J2564"/>
      <c r="K2564"/>
      <c r="L2564"/>
      <c r="M2564"/>
      <c r="N2564"/>
      <c r="O2564"/>
    </row>
    <row r="2565" spans="1:15" x14ac:dyDescent="0.25">
      <c r="A2565"/>
      <c r="B2565"/>
      <c r="C2565"/>
      <c r="D2565"/>
      <c r="E2565"/>
      <c r="F2565"/>
      <c r="G2565"/>
      <c r="H2565"/>
      <c r="I2565"/>
      <c r="J2565"/>
      <c r="K2565"/>
      <c r="L2565"/>
      <c r="M2565"/>
      <c r="N2565"/>
      <c r="O2565"/>
    </row>
    <row r="2566" spans="1:15" x14ac:dyDescent="0.25">
      <c r="A2566"/>
      <c r="B2566"/>
      <c r="C2566"/>
      <c r="D2566"/>
      <c r="E2566"/>
      <c r="F2566"/>
      <c r="G2566"/>
      <c r="H2566"/>
      <c r="I2566"/>
      <c r="J2566"/>
      <c r="K2566"/>
      <c r="L2566"/>
      <c r="M2566"/>
      <c r="N2566"/>
      <c r="O2566"/>
    </row>
    <row r="2567" spans="1:15" x14ac:dyDescent="0.25">
      <c r="A2567"/>
      <c r="B2567"/>
      <c r="C2567"/>
      <c r="D2567"/>
      <c r="E2567"/>
      <c r="F2567"/>
      <c r="G2567"/>
      <c r="H2567"/>
      <c r="I2567"/>
      <c r="J2567"/>
      <c r="K2567"/>
      <c r="L2567"/>
      <c r="M2567"/>
      <c r="N2567"/>
      <c r="O2567"/>
    </row>
    <row r="2568" spans="1:15" x14ac:dyDescent="0.25">
      <c r="A2568"/>
      <c r="B2568"/>
      <c r="C2568"/>
      <c r="D2568"/>
      <c r="E2568"/>
      <c r="F2568"/>
      <c r="G2568"/>
      <c r="H2568"/>
      <c r="I2568"/>
      <c r="J2568"/>
      <c r="K2568"/>
      <c r="L2568"/>
      <c r="M2568"/>
      <c r="N2568"/>
      <c r="O2568"/>
    </row>
    <row r="2569" spans="1:15" x14ac:dyDescent="0.25">
      <c r="A2569"/>
      <c r="B2569"/>
      <c r="C2569"/>
      <c r="D2569"/>
      <c r="E2569"/>
      <c r="F2569"/>
      <c r="G2569"/>
      <c r="H2569"/>
      <c r="I2569"/>
      <c r="J2569"/>
      <c r="K2569"/>
      <c r="L2569"/>
      <c r="M2569"/>
      <c r="N2569"/>
      <c r="O2569"/>
    </row>
    <row r="2570" spans="1:15" x14ac:dyDescent="0.25">
      <c r="A2570"/>
      <c r="B2570"/>
      <c r="C2570"/>
      <c r="D2570"/>
      <c r="E2570"/>
      <c r="F2570"/>
      <c r="G2570"/>
      <c r="H2570"/>
      <c r="I2570"/>
      <c r="J2570"/>
      <c r="K2570"/>
      <c r="L2570"/>
      <c r="M2570"/>
      <c r="N2570"/>
      <c r="O2570"/>
    </row>
    <row r="2571" spans="1:15" x14ac:dyDescent="0.25">
      <c r="A2571"/>
      <c r="B2571"/>
      <c r="C2571"/>
      <c r="D2571"/>
      <c r="E2571"/>
      <c r="F2571"/>
      <c r="G2571"/>
      <c r="H2571"/>
      <c r="I2571"/>
      <c r="J2571"/>
      <c r="K2571"/>
      <c r="L2571"/>
      <c r="M2571"/>
      <c r="N2571"/>
      <c r="O2571"/>
    </row>
    <row r="2572" spans="1:15" x14ac:dyDescent="0.25">
      <c r="A2572"/>
      <c r="B2572"/>
      <c r="C2572"/>
      <c r="D2572"/>
      <c r="E2572"/>
      <c r="F2572"/>
      <c r="G2572"/>
      <c r="H2572"/>
      <c r="I2572"/>
      <c r="J2572"/>
      <c r="K2572"/>
      <c r="L2572"/>
      <c r="M2572"/>
      <c r="N2572"/>
      <c r="O2572"/>
    </row>
    <row r="2573" spans="1:15" x14ac:dyDescent="0.25">
      <c r="A2573"/>
      <c r="B2573"/>
      <c r="C2573"/>
      <c r="D2573"/>
      <c r="E2573"/>
      <c r="F2573"/>
      <c r="G2573"/>
      <c r="H2573"/>
      <c r="I2573"/>
      <c r="J2573"/>
      <c r="K2573"/>
      <c r="L2573"/>
      <c r="M2573"/>
      <c r="N2573"/>
      <c r="O2573"/>
    </row>
    <row r="2574" spans="1:15" x14ac:dyDescent="0.25">
      <c r="A2574"/>
      <c r="B2574"/>
      <c r="C2574"/>
      <c r="D2574"/>
      <c r="E2574"/>
      <c r="F2574"/>
      <c r="G2574"/>
      <c r="H2574"/>
      <c r="I2574"/>
      <c r="J2574"/>
      <c r="K2574"/>
      <c r="L2574"/>
      <c r="M2574"/>
      <c r="N2574"/>
      <c r="O2574"/>
    </row>
    <row r="2575" spans="1:15" x14ac:dyDescent="0.25">
      <c r="A2575"/>
      <c r="B2575"/>
      <c r="C2575"/>
      <c r="D2575"/>
      <c r="E2575"/>
      <c r="F2575"/>
      <c r="G2575"/>
      <c r="H2575"/>
      <c r="I2575"/>
      <c r="J2575"/>
      <c r="K2575"/>
      <c r="L2575"/>
      <c r="M2575"/>
      <c r="N2575"/>
      <c r="O2575"/>
    </row>
    <row r="2576" spans="1:15" x14ac:dyDescent="0.25">
      <c r="A2576"/>
      <c r="B2576"/>
      <c r="C2576"/>
      <c r="D2576"/>
      <c r="E2576"/>
      <c r="F2576"/>
      <c r="G2576"/>
      <c r="H2576"/>
      <c r="I2576"/>
      <c r="J2576"/>
      <c r="K2576"/>
      <c r="L2576"/>
      <c r="M2576"/>
      <c r="N2576"/>
      <c r="O2576"/>
    </row>
    <row r="2577" spans="1:15" x14ac:dyDescent="0.25">
      <c r="A2577"/>
      <c r="B2577"/>
      <c r="C2577"/>
      <c r="D2577"/>
      <c r="E2577"/>
      <c r="F2577"/>
      <c r="G2577"/>
      <c r="H2577"/>
      <c r="I2577"/>
      <c r="J2577"/>
      <c r="K2577"/>
      <c r="L2577"/>
      <c r="M2577"/>
      <c r="N2577"/>
      <c r="O2577"/>
    </row>
    <row r="2578" spans="1:15" x14ac:dyDescent="0.25">
      <c r="A2578"/>
      <c r="B2578"/>
      <c r="C2578"/>
      <c r="D2578"/>
      <c r="E2578"/>
      <c r="F2578"/>
      <c r="G2578"/>
      <c r="H2578"/>
      <c r="I2578"/>
      <c r="J2578"/>
      <c r="K2578"/>
      <c r="L2578"/>
      <c r="M2578"/>
      <c r="N2578"/>
      <c r="O2578"/>
    </row>
    <row r="2579" spans="1:15" x14ac:dyDescent="0.25">
      <c r="A2579"/>
      <c r="B2579"/>
      <c r="C2579"/>
      <c r="D2579"/>
      <c r="E2579"/>
      <c r="F2579"/>
      <c r="G2579"/>
      <c r="H2579"/>
      <c r="I2579"/>
      <c r="J2579"/>
      <c r="K2579"/>
      <c r="L2579"/>
      <c r="M2579"/>
      <c r="N2579"/>
      <c r="O2579"/>
    </row>
    <row r="2580" spans="1:15" x14ac:dyDescent="0.25">
      <c r="A2580"/>
      <c r="B2580"/>
      <c r="C2580"/>
      <c r="D2580"/>
      <c r="E2580"/>
      <c r="F2580"/>
      <c r="G2580"/>
      <c r="H2580"/>
      <c r="I2580"/>
      <c r="J2580"/>
      <c r="K2580"/>
      <c r="L2580"/>
      <c r="M2580"/>
      <c r="N2580"/>
      <c r="O2580"/>
    </row>
    <row r="2581" spans="1:15" x14ac:dyDescent="0.25">
      <c r="A2581"/>
      <c r="B2581"/>
      <c r="C2581"/>
      <c r="D2581"/>
      <c r="E2581"/>
      <c r="F2581"/>
      <c r="G2581"/>
      <c r="H2581"/>
      <c r="I2581"/>
      <c r="J2581"/>
      <c r="K2581"/>
      <c r="L2581"/>
      <c r="M2581"/>
      <c r="N2581"/>
      <c r="O2581"/>
    </row>
    <row r="2582" spans="1:15" x14ac:dyDescent="0.25">
      <c r="A2582"/>
      <c r="B2582"/>
      <c r="C2582"/>
      <c r="D2582"/>
      <c r="E2582"/>
      <c r="F2582"/>
      <c r="G2582"/>
      <c r="H2582"/>
      <c r="I2582"/>
      <c r="J2582"/>
      <c r="K2582"/>
      <c r="L2582"/>
      <c r="M2582"/>
      <c r="N2582"/>
      <c r="O2582"/>
    </row>
    <row r="2583" spans="1:15" x14ac:dyDescent="0.25">
      <c r="A2583"/>
      <c r="B2583"/>
      <c r="C2583"/>
      <c r="D2583"/>
      <c r="E2583"/>
      <c r="F2583"/>
      <c r="G2583"/>
      <c r="H2583"/>
      <c r="I2583"/>
      <c r="J2583"/>
      <c r="K2583"/>
      <c r="L2583"/>
      <c r="M2583"/>
      <c r="N2583"/>
      <c r="O2583"/>
    </row>
    <row r="2584" spans="1:15" x14ac:dyDescent="0.25">
      <c r="A2584"/>
      <c r="B2584"/>
      <c r="C2584"/>
      <c r="D2584"/>
      <c r="E2584"/>
      <c r="F2584"/>
      <c r="G2584"/>
      <c r="H2584"/>
      <c r="I2584"/>
      <c r="J2584"/>
      <c r="K2584"/>
      <c r="L2584"/>
      <c r="M2584"/>
      <c r="N2584"/>
      <c r="O2584"/>
    </row>
    <row r="2585" spans="1:15" x14ac:dyDescent="0.25">
      <c r="A2585"/>
      <c r="B2585"/>
      <c r="C2585"/>
      <c r="D2585"/>
      <c r="E2585"/>
      <c r="F2585"/>
      <c r="G2585"/>
      <c r="H2585"/>
      <c r="I2585"/>
      <c r="J2585"/>
      <c r="K2585"/>
      <c r="L2585"/>
      <c r="M2585"/>
      <c r="N2585"/>
      <c r="O2585"/>
    </row>
    <row r="2586" spans="1:15" x14ac:dyDescent="0.25">
      <c r="A2586"/>
      <c r="B2586"/>
      <c r="C2586"/>
      <c r="D2586"/>
      <c r="E2586"/>
      <c r="F2586"/>
      <c r="G2586"/>
      <c r="H2586"/>
      <c r="I2586"/>
      <c r="J2586"/>
      <c r="K2586"/>
      <c r="L2586"/>
      <c r="M2586"/>
      <c r="N2586"/>
      <c r="O2586"/>
    </row>
    <row r="2587" spans="1:15" x14ac:dyDescent="0.25">
      <c r="A2587"/>
      <c r="B2587"/>
      <c r="C2587"/>
      <c r="D2587"/>
      <c r="E2587"/>
      <c r="F2587"/>
      <c r="G2587"/>
      <c r="H2587"/>
      <c r="I2587"/>
      <c r="J2587"/>
      <c r="K2587"/>
      <c r="L2587"/>
      <c r="M2587"/>
      <c r="N2587"/>
      <c r="O2587"/>
    </row>
    <row r="2588" spans="1:15" x14ac:dyDescent="0.25">
      <c r="A2588"/>
      <c r="B2588"/>
      <c r="C2588"/>
      <c r="D2588"/>
      <c r="E2588"/>
      <c r="F2588"/>
      <c r="G2588"/>
      <c r="H2588"/>
      <c r="I2588"/>
      <c r="J2588"/>
      <c r="K2588"/>
      <c r="L2588"/>
      <c r="M2588"/>
      <c r="N2588"/>
      <c r="O2588"/>
    </row>
    <row r="2589" spans="1:15" x14ac:dyDescent="0.25">
      <c r="A2589"/>
      <c r="B2589"/>
      <c r="C2589"/>
      <c r="D2589"/>
      <c r="E2589"/>
      <c r="F2589"/>
      <c r="G2589"/>
      <c r="H2589"/>
      <c r="I2589"/>
      <c r="J2589"/>
      <c r="K2589"/>
      <c r="L2589"/>
      <c r="M2589"/>
      <c r="N2589"/>
      <c r="O2589"/>
    </row>
    <row r="2590" spans="1:15" x14ac:dyDescent="0.25">
      <c r="A2590"/>
      <c r="B2590"/>
      <c r="C2590"/>
      <c r="D2590"/>
      <c r="E2590"/>
      <c r="F2590"/>
      <c r="G2590"/>
      <c r="H2590"/>
      <c r="I2590"/>
      <c r="J2590"/>
      <c r="K2590"/>
      <c r="L2590"/>
      <c r="M2590"/>
      <c r="N2590"/>
      <c r="O2590"/>
    </row>
    <row r="2591" spans="1:15" x14ac:dyDescent="0.25">
      <c r="A2591"/>
      <c r="B2591"/>
      <c r="C2591"/>
      <c r="D2591"/>
      <c r="E2591"/>
      <c r="F2591"/>
      <c r="G2591"/>
      <c r="H2591"/>
      <c r="I2591"/>
      <c r="J2591"/>
      <c r="K2591"/>
      <c r="L2591"/>
      <c r="M2591"/>
      <c r="N2591"/>
      <c r="O2591"/>
    </row>
    <row r="2592" spans="1:15" x14ac:dyDescent="0.25">
      <c r="A2592"/>
      <c r="B2592"/>
      <c r="C2592"/>
      <c r="D2592"/>
      <c r="E2592"/>
      <c r="F2592"/>
      <c r="G2592"/>
      <c r="H2592"/>
      <c r="I2592"/>
      <c r="J2592"/>
      <c r="K2592"/>
      <c r="L2592"/>
      <c r="M2592"/>
      <c r="N2592"/>
      <c r="O2592"/>
    </row>
    <row r="2593" spans="1:15" x14ac:dyDescent="0.25">
      <c r="A2593"/>
      <c r="B2593"/>
      <c r="C2593"/>
      <c r="D2593"/>
      <c r="E2593"/>
      <c r="F2593"/>
      <c r="G2593"/>
      <c r="H2593"/>
      <c r="I2593"/>
      <c r="J2593"/>
      <c r="K2593"/>
      <c r="L2593"/>
      <c r="M2593"/>
      <c r="N2593"/>
      <c r="O2593"/>
    </row>
    <row r="2594" spans="1:15" x14ac:dyDescent="0.25">
      <c r="A2594"/>
      <c r="B2594"/>
      <c r="C2594"/>
      <c r="D2594"/>
      <c r="E2594"/>
      <c r="F2594"/>
      <c r="G2594"/>
      <c r="H2594"/>
      <c r="I2594"/>
      <c r="J2594"/>
      <c r="K2594"/>
      <c r="L2594"/>
      <c r="M2594"/>
      <c r="N2594"/>
      <c r="O2594"/>
    </row>
    <row r="2595" spans="1:15" x14ac:dyDescent="0.25">
      <c r="A2595"/>
      <c r="B2595"/>
      <c r="C2595"/>
      <c r="D2595"/>
      <c r="E2595"/>
      <c r="F2595"/>
      <c r="G2595"/>
      <c r="H2595"/>
      <c r="I2595"/>
      <c r="J2595"/>
      <c r="K2595"/>
      <c r="L2595"/>
      <c r="M2595"/>
      <c r="N2595"/>
      <c r="O2595"/>
    </row>
    <row r="2596" spans="1:15" x14ac:dyDescent="0.25">
      <c r="A2596"/>
      <c r="B2596"/>
      <c r="C2596"/>
      <c r="D2596"/>
      <c r="E2596"/>
      <c r="F2596"/>
      <c r="G2596"/>
      <c r="H2596"/>
      <c r="I2596"/>
      <c r="J2596"/>
      <c r="K2596"/>
      <c r="L2596"/>
      <c r="M2596"/>
      <c r="N2596"/>
      <c r="O2596"/>
    </row>
    <row r="2597" spans="1:15" x14ac:dyDescent="0.25">
      <c r="A2597"/>
      <c r="B2597"/>
      <c r="C2597"/>
      <c r="D2597"/>
      <c r="E2597"/>
      <c r="F2597"/>
      <c r="G2597"/>
      <c r="H2597"/>
      <c r="I2597"/>
      <c r="J2597"/>
      <c r="K2597"/>
      <c r="L2597"/>
      <c r="M2597"/>
      <c r="N2597"/>
      <c r="O2597"/>
    </row>
    <row r="2598" spans="1:15" x14ac:dyDescent="0.25">
      <c r="A2598"/>
      <c r="B2598"/>
      <c r="C2598"/>
      <c r="D2598"/>
      <c r="E2598"/>
      <c r="F2598"/>
      <c r="G2598"/>
      <c r="H2598"/>
      <c r="I2598"/>
      <c r="J2598"/>
      <c r="K2598"/>
      <c r="L2598"/>
      <c r="M2598"/>
      <c r="N2598"/>
      <c r="O2598"/>
    </row>
    <row r="2599" spans="1:15" x14ac:dyDescent="0.25">
      <c r="A2599"/>
      <c r="B2599"/>
      <c r="C2599"/>
      <c r="D2599"/>
      <c r="E2599"/>
      <c r="F2599"/>
      <c r="G2599"/>
      <c r="H2599"/>
      <c r="I2599"/>
      <c r="J2599"/>
      <c r="K2599"/>
      <c r="L2599"/>
      <c r="M2599"/>
      <c r="N2599"/>
      <c r="O2599"/>
    </row>
    <row r="2600" spans="1:15" x14ac:dyDescent="0.25">
      <c r="A2600"/>
      <c r="B2600"/>
      <c r="C2600"/>
      <c r="D2600"/>
      <c r="E2600"/>
      <c r="F2600"/>
      <c r="G2600"/>
      <c r="H2600"/>
      <c r="I2600"/>
      <c r="J2600"/>
      <c r="K2600"/>
      <c r="L2600"/>
      <c r="M2600"/>
      <c r="N2600"/>
      <c r="O2600"/>
    </row>
    <row r="2601" spans="1:15" x14ac:dyDescent="0.25">
      <c r="A2601"/>
      <c r="B2601"/>
      <c r="C2601"/>
      <c r="D2601"/>
      <c r="E2601"/>
      <c r="F2601"/>
      <c r="G2601"/>
      <c r="H2601"/>
      <c r="I2601"/>
      <c r="J2601"/>
      <c r="K2601"/>
      <c r="L2601"/>
      <c r="M2601"/>
      <c r="N2601"/>
      <c r="O2601"/>
    </row>
    <row r="2602" spans="1:15" x14ac:dyDescent="0.25">
      <c r="A2602"/>
      <c r="B2602"/>
      <c r="C2602"/>
      <c r="D2602"/>
      <c r="E2602"/>
      <c r="F2602"/>
      <c r="G2602"/>
      <c r="H2602"/>
      <c r="I2602"/>
      <c r="J2602"/>
      <c r="K2602"/>
      <c r="L2602"/>
      <c r="M2602"/>
      <c r="N2602"/>
      <c r="O2602"/>
    </row>
    <row r="2603" spans="1:15" x14ac:dyDescent="0.25">
      <c r="A2603"/>
      <c r="B2603"/>
      <c r="C2603"/>
      <c r="D2603"/>
      <c r="E2603"/>
      <c r="F2603"/>
      <c r="G2603"/>
      <c r="H2603"/>
      <c r="I2603"/>
      <c r="J2603"/>
      <c r="K2603"/>
      <c r="L2603"/>
      <c r="M2603"/>
      <c r="N2603"/>
      <c r="O2603"/>
    </row>
    <row r="2604" spans="1:15" x14ac:dyDescent="0.25">
      <c r="A2604"/>
      <c r="B2604"/>
      <c r="C2604"/>
      <c r="D2604"/>
      <c r="E2604"/>
      <c r="F2604"/>
      <c r="G2604"/>
      <c r="H2604"/>
      <c r="I2604"/>
      <c r="J2604"/>
      <c r="K2604"/>
      <c r="L2604"/>
      <c r="M2604"/>
      <c r="N2604"/>
      <c r="O2604"/>
    </row>
    <row r="2605" spans="1:15" x14ac:dyDescent="0.25">
      <c r="A2605"/>
      <c r="B2605"/>
      <c r="C2605"/>
      <c r="D2605"/>
      <c r="E2605"/>
      <c r="F2605"/>
      <c r="G2605"/>
      <c r="H2605"/>
      <c r="I2605"/>
      <c r="J2605"/>
      <c r="K2605"/>
      <c r="L2605"/>
      <c r="M2605"/>
      <c r="N2605"/>
      <c r="O2605"/>
    </row>
    <row r="2606" spans="1:15" x14ac:dyDescent="0.25">
      <c r="A2606"/>
      <c r="B2606"/>
      <c r="C2606"/>
      <c r="D2606"/>
      <c r="E2606"/>
      <c r="F2606"/>
      <c r="G2606"/>
      <c r="H2606"/>
      <c r="I2606"/>
      <c r="J2606"/>
      <c r="K2606"/>
      <c r="L2606"/>
      <c r="M2606"/>
      <c r="N2606"/>
      <c r="O2606"/>
    </row>
    <row r="2607" spans="1:15" x14ac:dyDescent="0.25">
      <c r="A2607"/>
      <c r="B2607"/>
      <c r="C2607"/>
      <c r="D2607"/>
      <c r="E2607"/>
      <c r="F2607"/>
      <c r="G2607"/>
      <c r="H2607"/>
      <c r="I2607"/>
      <c r="J2607"/>
      <c r="K2607"/>
      <c r="L2607"/>
      <c r="M2607"/>
      <c r="N2607"/>
      <c r="O2607"/>
    </row>
    <row r="2608" spans="1:15" x14ac:dyDescent="0.25">
      <c r="A2608"/>
      <c r="B2608"/>
      <c r="C2608"/>
      <c r="D2608"/>
      <c r="E2608"/>
      <c r="F2608"/>
      <c r="G2608"/>
      <c r="H2608"/>
      <c r="I2608"/>
      <c r="J2608"/>
      <c r="K2608"/>
      <c r="L2608"/>
      <c r="M2608"/>
      <c r="N2608"/>
      <c r="O2608"/>
    </row>
    <row r="2609" spans="1:15" x14ac:dyDescent="0.25">
      <c r="A2609"/>
      <c r="B2609"/>
      <c r="C2609"/>
      <c r="D2609"/>
      <c r="E2609"/>
      <c r="F2609"/>
      <c r="G2609"/>
      <c r="H2609"/>
      <c r="I2609"/>
      <c r="J2609"/>
      <c r="K2609"/>
      <c r="L2609"/>
      <c r="M2609"/>
      <c r="N2609"/>
      <c r="O2609"/>
    </row>
    <row r="2610" spans="1:15" x14ac:dyDescent="0.25">
      <c r="A2610"/>
      <c r="B2610"/>
      <c r="C2610"/>
      <c r="D2610"/>
      <c r="E2610"/>
      <c r="F2610"/>
      <c r="G2610"/>
      <c r="H2610"/>
      <c r="I2610"/>
      <c r="J2610"/>
      <c r="K2610"/>
      <c r="L2610"/>
      <c r="M2610"/>
      <c r="N2610"/>
      <c r="O2610"/>
    </row>
    <row r="2611" spans="1:15" x14ac:dyDescent="0.25">
      <c r="A2611"/>
      <c r="B2611"/>
      <c r="C2611"/>
      <c r="D2611"/>
      <c r="E2611"/>
      <c r="F2611"/>
      <c r="G2611"/>
      <c r="H2611"/>
      <c r="I2611"/>
      <c r="J2611"/>
      <c r="K2611"/>
      <c r="L2611"/>
      <c r="M2611"/>
      <c r="N2611"/>
      <c r="O2611"/>
    </row>
    <row r="2612" spans="1:15" x14ac:dyDescent="0.25">
      <c r="A2612"/>
      <c r="B2612"/>
      <c r="C2612"/>
      <c r="D2612"/>
      <c r="E2612"/>
      <c r="F2612"/>
      <c r="G2612"/>
      <c r="H2612"/>
      <c r="I2612"/>
      <c r="J2612"/>
      <c r="K2612"/>
      <c r="L2612"/>
      <c r="M2612"/>
      <c r="N2612"/>
      <c r="O2612"/>
    </row>
    <row r="2613" spans="1:15" x14ac:dyDescent="0.25">
      <c r="A2613"/>
      <c r="B2613"/>
      <c r="C2613"/>
      <c r="D2613"/>
      <c r="E2613"/>
      <c r="F2613"/>
      <c r="G2613"/>
      <c r="H2613"/>
      <c r="I2613"/>
      <c r="J2613"/>
      <c r="K2613"/>
      <c r="L2613"/>
      <c r="M2613"/>
      <c r="N2613"/>
      <c r="O2613"/>
    </row>
    <row r="2614" spans="1:15" x14ac:dyDescent="0.25">
      <c r="A2614"/>
      <c r="B2614"/>
      <c r="C2614"/>
      <c r="D2614"/>
      <c r="E2614"/>
      <c r="F2614"/>
      <c r="G2614"/>
      <c r="H2614"/>
      <c r="I2614"/>
      <c r="J2614"/>
      <c r="K2614"/>
      <c r="L2614"/>
      <c r="M2614"/>
      <c r="N2614"/>
      <c r="O2614"/>
    </row>
    <row r="2615" spans="1:15" x14ac:dyDescent="0.25">
      <c r="A2615"/>
      <c r="B2615"/>
      <c r="C2615"/>
      <c r="D2615"/>
      <c r="E2615"/>
      <c r="F2615"/>
      <c r="G2615"/>
      <c r="H2615"/>
      <c r="I2615"/>
      <c r="J2615"/>
      <c r="K2615"/>
      <c r="L2615"/>
      <c r="M2615"/>
      <c r="N2615"/>
      <c r="O2615"/>
    </row>
    <row r="2616" spans="1:15" x14ac:dyDescent="0.25">
      <c r="A2616"/>
      <c r="B2616"/>
      <c r="C2616"/>
      <c r="D2616"/>
      <c r="E2616"/>
      <c r="F2616"/>
      <c r="G2616"/>
      <c r="H2616"/>
      <c r="I2616"/>
      <c r="J2616"/>
      <c r="K2616"/>
      <c r="L2616"/>
      <c r="M2616"/>
      <c r="N2616"/>
      <c r="O2616"/>
    </row>
    <row r="2617" spans="1:15" x14ac:dyDescent="0.25">
      <c r="A2617"/>
      <c r="B2617"/>
      <c r="C2617"/>
      <c r="D2617"/>
      <c r="E2617"/>
      <c r="F2617"/>
      <c r="G2617"/>
      <c r="H2617"/>
      <c r="I2617"/>
      <c r="J2617"/>
      <c r="K2617"/>
      <c r="L2617"/>
      <c r="M2617"/>
      <c r="N2617"/>
      <c r="O2617"/>
    </row>
    <row r="2618" spans="1:15" x14ac:dyDescent="0.25">
      <c r="A2618"/>
      <c r="B2618"/>
      <c r="C2618"/>
      <c r="D2618"/>
      <c r="E2618"/>
      <c r="F2618"/>
      <c r="G2618"/>
      <c r="H2618"/>
      <c r="I2618"/>
      <c r="J2618"/>
      <c r="K2618"/>
      <c r="L2618"/>
      <c r="M2618"/>
      <c r="N2618"/>
      <c r="O2618"/>
    </row>
    <row r="2619" spans="1:15" x14ac:dyDescent="0.25">
      <c r="A2619"/>
      <c r="B2619"/>
      <c r="C2619"/>
      <c r="D2619"/>
      <c r="E2619"/>
      <c r="F2619"/>
      <c r="G2619"/>
      <c r="H2619"/>
      <c r="I2619"/>
      <c r="J2619"/>
      <c r="K2619"/>
      <c r="L2619"/>
      <c r="M2619"/>
      <c r="N2619"/>
      <c r="O2619"/>
    </row>
    <row r="2620" spans="1:15" x14ac:dyDescent="0.25">
      <c r="A2620"/>
      <c r="B2620"/>
      <c r="C2620"/>
      <c r="D2620"/>
      <c r="E2620"/>
      <c r="F2620"/>
      <c r="G2620"/>
      <c r="H2620"/>
      <c r="I2620"/>
      <c r="J2620"/>
      <c r="K2620"/>
      <c r="L2620"/>
      <c r="M2620"/>
      <c r="N2620"/>
      <c r="O2620"/>
    </row>
    <row r="2621" spans="1:15" x14ac:dyDescent="0.25">
      <c r="A2621"/>
      <c r="B2621"/>
      <c r="C2621"/>
      <c r="D2621"/>
      <c r="E2621"/>
      <c r="F2621"/>
      <c r="G2621"/>
      <c r="H2621"/>
      <c r="I2621"/>
      <c r="J2621"/>
      <c r="K2621"/>
      <c r="L2621"/>
      <c r="M2621"/>
      <c r="N2621"/>
      <c r="O2621"/>
    </row>
    <row r="2622" spans="1:15" x14ac:dyDescent="0.25">
      <c r="A2622"/>
      <c r="B2622"/>
      <c r="C2622"/>
      <c r="D2622"/>
      <c r="E2622"/>
      <c r="F2622"/>
      <c r="G2622"/>
      <c r="H2622"/>
      <c r="I2622"/>
      <c r="J2622"/>
      <c r="K2622"/>
      <c r="L2622"/>
      <c r="M2622"/>
      <c r="N2622"/>
      <c r="O2622"/>
    </row>
    <row r="2623" spans="1:15" x14ac:dyDescent="0.25">
      <c r="A2623"/>
      <c r="B2623"/>
      <c r="C2623"/>
      <c r="D2623"/>
      <c r="E2623"/>
      <c r="F2623"/>
      <c r="G2623"/>
      <c r="H2623"/>
      <c r="I2623"/>
      <c r="J2623"/>
      <c r="K2623"/>
      <c r="L2623"/>
      <c r="M2623"/>
      <c r="N2623"/>
      <c r="O2623"/>
    </row>
    <row r="2624" spans="1:15" x14ac:dyDescent="0.25">
      <c r="A2624"/>
      <c r="B2624"/>
      <c r="C2624"/>
      <c r="D2624"/>
      <c r="E2624"/>
      <c r="F2624"/>
      <c r="G2624"/>
      <c r="H2624"/>
      <c r="I2624"/>
      <c r="J2624"/>
      <c r="K2624"/>
      <c r="L2624"/>
      <c r="M2624"/>
      <c r="N2624"/>
      <c r="O2624"/>
    </row>
    <row r="2625" spans="1:15" x14ac:dyDescent="0.25">
      <c r="A2625"/>
      <c r="B2625"/>
      <c r="C2625"/>
      <c r="D2625"/>
      <c r="E2625"/>
      <c r="F2625"/>
      <c r="G2625"/>
      <c r="H2625"/>
      <c r="I2625"/>
      <c r="J2625"/>
      <c r="K2625"/>
      <c r="L2625"/>
      <c r="M2625"/>
      <c r="N2625"/>
      <c r="O2625"/>
    </row>
    <row r="2626" spans="1:15" x14ac:dyDescent="0.25">
      <c r="A2626"/>
      <c r="B2626"/>
      <c r="C2626"/>
      <c r="D2626"/>
      <c r="E2626"/>
      <c r="F2626"/>
      <c r="G2626"/>
      <c r="H2626"/>
      <c r="I2626"/>
      <c r="J2626"/>
      <c r="K2626"/>
      <c r="L2626"/>
      <c r="M2626"/>
      <c r="N2626"/>
      <c r="O2626"/>
    </row>
    <row r="2627" spans="1:15" x14ac:dyDescent="0.25">
      <c r="A2627"/>
      <c r="B2627"/>
      <c r="C2627"/>
      <c r="D2627"/>
      <c r="E2627"/>
      <c r="F2627"/>
      <c r="G2627"/>
      <c r="H2627"/>
      <c r="I2627"/>
      <c r="J2627"/>
      <c r="K2627"/>
      <c r="L2627"/>
      <c r="M2627"/>
      <c r="N2627"/>
      <c r="O2627"/>
    </row>
    <row r="2628" spans="1:15" x14ac:dyDescent="0.25">
      <c r="A2628"/>
      <c r="B2628"/>
      <c r="C2628"/>
      <c r="D2628"/>
      <c r="E2628"/>
      <c r="F2628"/>
      <c r="G2628"/>
      <c r="H2628"/>
      <c r="I2628"/>
      <c r="J2628"/>
      <c r="K2628"/>
      <c r="L2628"/>
      <c r="M2628"/>
      <c r="N2628"/>
      <c r="O2628"/>
    </row>
    <row r="2629" spans="1:15" x14ac:dyDescent="0.25">
      <c r="A2629"/>
      <c r="B2629"/>
      <c r="C2629"/>
      <c r="D2629"/>
      <c r="E2629"/>
      <c r="F2629"/>
      <c r="G2629"/>
      <c r="H2629"/>
      <c r="I2629"/>
      <c r="J2629"/>
      <c r="K2629"/>
      <c r="L2629"/>
      <c r="M2629"/>
      <c r="N2629"/>
      <c r="O2629"/>
    </row>
    <row r="2630" spans="1:15" x14ac:dyDescent="0.25">
      <c r="A2630"/>
      <c r="B2630"/>
      <c r="C2630"/>
      <c r="D2630"/>
      <c r="E2630"/>
      <c r="F2630"/>
      <c r="G2630"/>
      <c r="H2630"/>
      <c r="I2630"/>
      <c r="J2630"/>
      <c r="K2630"/>
      <c r="L2630"/>
      <c r="M2630"/>
      <c r="N2630"/>
      <c r="O2630"/>
    </row>
    <row r="2631" spans="1:15" x14ac:dyDescent="0.25">
      <c r="A2631"/>
      <c r="B2631"/>
      <c r="C2631"/>
      <c r="D2631"/>
      <c r="E2631"/>
      <c r="F2631"/>
      <c r="G2631"/>
      <c r="H2631"/>
      <c r="I2631"/>
      <c r="J2631"/>
      <c r="K2631"/>
      <c r="L2631"/>
      <c r="M2631"/>
      <c r="N2631"/>
      <c r="O2631"/>
    </row>
    <row r="2632" spans="1:15" x14ac:dyDescent="0.25">
      <c r="A2632"/>
      <c r="B2632"/>
      <c r="C2632"/>
      <c r="D2632"/>
      <c r="E2632"/>
      <c r="F2632"/>
      <c r="G2632"/>
      <c r="H2632"/>
      <c r="I2632"/>
      <c r="J2632"/>
      <c r="K2632"/>
      <c r="L2632"/>
      <c r="M2632"/>
      <c r="N2632"/>
      <c r="O2632"/>
    </row>
    <row r="2633" spans="1:15" x14ac:dyDescent="0.25">
      <c r="A2633"/>
      <c r="B2633"/>
      <c r="C2633"/>
      <c r="D2633"/>
      <c r="E2633"/>
      <c r="F2633"/>
      <c r="G2633"/>
      <c r="H2633"/>
      <c r="I2633"/>
      <c r="J2633"/>
      <c r="K2633"/>
      <c r="L2633"/>
      <c r="M2633"/>
      <c r="N2633"/>
      <c r="O2633"/>
    </row>
    <row r="2634" spans="1:15" x14ac:dyDescent="0.25">
      <c r="A2634"/>
      <c r="B2634"/>
      <c r="C2634"/>
      <c r="D2634"/>
      <c r="E2634"/>
      <c r="F2634"/>
      <c r="G2634"/>
      <c r="H2634"/>
      <c r="I2634"/>
      <c r="J2634"/>
      <c r="K2634"/>
      <c r="L2634"/>
      <c r="M2634"/>
      <c r="N2634"/>
      <c r="O2634"/>
    </row>
    <row r="2635" spans="1:15" x14ac:dyDescent="0.25">
      <c r="A2635"/>
      <c r="B2635"/>
      <c r="C2635"/>
      <c r="D2635"/>
      <c r="E2635"/>
      <c r="F2635"/>
      <c r="G2635"/>
      <c r="H2635"/>
      <c r="I2635"/>
      <c r="J2635"/>
      <c r="K2635"/>
      <c r="L2635"/>
      <c r="M2635"/>
      <c r="N2635"/>
      <c r="O2635"/>
    </row>
    <row r="2636" spans="1:15" x14ac:dyDescent="0.25">
      <c r="A2636"/>
      <c r="B2636"/>
      <c r="C2636"/>
      <c r="D2636"/>
      <c r="E2636"/>
      <c r="F2636"/>
      <c r="G2636"/>
      <c r="H2636"/>
      <c r="I2636"/>
      <c r="J2636"/>
      <c r="K2636"/>
      <c r="L2636"/>
      <c r="M2636"/>
      <c r="N2636"/>
      <c r="O2636"/>
    </row>
    <row r="2637" spans="1:15" x14ac:dyDescent="0.25">
      <c r="A2637"/>
      <c r="B2637"/>
      <c r="C2637"/>
      <c r="D2637"/>
      <c r="E2637"/>
      <c r="F2637"/>
      <c r="G2637"/>
      <c r="H2637"/>
      <c r="I2637"/>
      <c r="J2637"/>
      <c r="K2637"/>
      <c r="L2637"/>
      <c r="M2637"/>
      <c r="N2637"/>
      <c r="O2637"/>
    </row>
    <row r="2638" spans="1:15" x14ac:dyDescent="0.25">
      <c r="A2638"/>
      <c r="B2638"/>
      <c r="C2638"/>
      <c r="D2638"/>
      <c r="E2638"/>
      <c r="F2638"/>
      <c r="G2638"/>
      <c r="H2638"/>
      <c r="I2638"/>
      <c r="J2638"/>
      <c r="K2638"/>
      <c r="L2638"/>
      <c r="M2638"/>
      <c r="N2638"/>
      <c r="O2638"/>
    </row>
    <row r="2639" spans="1:15" x14ac:dyDescent="0.25">
      <c r="A2639"/>
      <c r="B2639"/>
      <c r="C2639"/>
      <c r="D2639"/>
      <c r="E2639"/>
      <c r="F2639"/>
      <c r="G2639"/>
      <c r="H2639"/>
      <c r="I2639"/>
      <c r="J2639"/>
      <c r="K2639"/>
      <c r="L2639"/>
      <c r="M2639"/>
      <c r="N2639"/>
      <c r="O2639"/>
    </row>
    <row r="2640" spans="1:15" x14ac:dyDescent="0.25">
      <c r="A2640"/>
      <c r="B2640"/>
      <c r="C2640"/>
      <c r="D2640"/>
      <c r="E2640"/>
      <c r="F2640"/>
      <c r="G2640"/>
      <c r="H2640"/>
      <c r="I2640"/>
      <c r="J2640"/>
      <c r="K2640"/>
      <c r="L2640"/>
      <c r="M2640"/>
      <c r="N2640"/>
      <c r="O2640"/>
    </row>
    <row r="2641" spans="1:15" x14ac:dyDescent="0.25">
      <c r="A2641"/>
      <c r="B2641"/>
      <c r="C2641"/>
      <c r="D2641"/>
      <c r="E2641"/>
      <c r="F2641"/>
      <c r="G2641"/>
      <c r="H2641"/>
      <c r="I2641"/>
      <c r="J2641"/>
      <c r="K2641"/>
      <c r="L2641"/>
      <c r="M2641"/>
      <c r="N2641"/>
      <c r="O2641"/>
    </row>
    <row r="2642" spans="1:15" x14ac:dyDescent="0.25">
      <c r="A2642"/>
      <c r="B2642"/>
      <c r="C2642"/>
      <c r="D2642"/>
      <c r="E2642"/>
      <c r="F2642"/>
      <c r="G2642"/>
      <c r="H2642"/>
      <c r="I2642"/>
      <c r="J2642"/>
      <c r="K2642"/>
      <c r="L2642"/>
      <c r="M2642"/>
      <c r="N2642"/>
      <c r="O2642"/>
    </row>
    <row r="2643" spans="1:15" x14ac:dyDescent="0.25">
      <c r="A2643"/>
      <c r="B2643"/>
      <c r="C2643"/>
      <c r="D2643"/>
      <c r="E2643"/>
      <c r="F2643"/>
      <c r="G2643"/>
      <c r="H2643"/>
      <c r="I2643"/>
      <c r="J2643"/>
      <c r="K2643"/>
      <c r="L2643"/>
      <c r="M2643"/>
      <c r="N2643"/>
      <c r="O2643"/>
    </row>
    <row r="2644" spans="1:15" x14ac:dyDescent="0.25">
      <c r="A2644"/>
      <c r="B2644"/>
      <c r="C2644"/>
      <c r="D2644"/>
      <c r="E2644"/>
      <c r="F2644"/>
      <c r="G2644"/>
      <c r="H2644"/>
      <c r="I2644"/>
      <c r="J2644"/>
      <c r="K2644"/>
      <c r="L2644"/>
      <c r="M2644"/>
      <c r="N2644"/>
      <c r="O2644"/>
    </row>
    <row r="2645" spans="1:15" x14ac:dyDescent="0.25">
      <c r="A2645"/>
      <c r="B2645"/>
      <c r="C2645"/>
      <c r="D2645"/>
      <c r="E2645"/>
      <c r="F2645"/>
      <c r="G2645"/>
      <c r="H2645"/>
      <c r="I2645"/>
      <c r="J2645"/>
      <c r="K2645"/>
      <c r="L2645"/>
      <c r="M2645"/>
      <c r="N2645"/>
      <c r="O2645"/>
    </row>
    <row r="2646" spans="1:15" x14ac:dyDescent="0.25">
      <c r="A2646"/>
      <c r="B2646"/>
      <c r="C2646"/>
      <c r="D2646"/>
      <c r="E2646"/>
      <c r="F2646"/>
      <c r="G2646"/>
      <c r="H2646"/>
      <c r="I2646"/>
      <c r="J2646"/>
      <c r="K2646"/>
      <c r="L2646"/>
      <c r="M2646"/>
      <c r="N2646"/>
      <c r="O2646"/>
    </row>
    <row r="2647" spans="1:15" x14ac:dyDescent="0.25">
      <c r="A2647"/>
      <c r="B2647"/>
      <c r="C2647"/>
      <c r="D2647"/>
      <c r="E2647"/>
      <c r="F2647"/>
      <c r="G2647"/>
      <c r="H2647"/>
      <c r="I2647"/>
      <c r="J2647"/>
      <c r="K2647"/>
      <c r="L2647"/>
      <c r="M2647"/>
      <c r="N2647"/>
      <c r="O2647"/>
    </row>
    <row r="2648" spans="1:15" x14ac:dyDescent="0.25">
      <c r="A2648"/>
      <c r="B2648"/>
      <c r="C2648"/>
      <c r="D2648"/>
      <c r="E2648"/>
      <c r="F2648"/>
      <c r="G2648"/>
      <c r="H2648"/>
      <c r="I2648"/>
      <c r="J2648"/>
      <c r="K2648"/>
      <c r="L2648"/>
      <c r="M2648"/>
      <c r="N2648"/>
      <c r="O2648"/>
    </row>
    <row r="2649" spans="1:15" x14ac:dyDescent="0.25">
      <c r="A2649"/>
      <c r="B2649"/>
      <c r="C2649"/>
      <c r="D2649"/>
      <c r="E2649"/>
      <c r="F2649"/>
      <c r="G2649"/>
      <c r="H2649"/>
      <c r="I2649"/>
      <c r="J2649"/>
      <c r="K2649"/>
      <c r="L2649"/>
      <c r="M2649"/>
      <c r="N2649"/>
      <c r="O2649"/>
    </row>
    <row r="2650" spans="1:15" x14ac:dyDescent="0.25">
      <c r="A2650"/>
      <c r="B2650"/>
      <c r="C2650"/>
      <c r="D2650"/>
      <c r="E2650"/>
      <c r="F2650"/>
      <c r="G2650"/>
      <c r="H2650"/>
      <c r="I2650"/>
      <c r="J2650"/>
      <c r="K2650"/>
      <c r="L2650"/>
      <c r="M2650"/>
      <c r="N2650"/>
      <c r="O2650"/>
    </row>
    <row r="2651" spans="1:15" x14ac:dyDescent="0.25">
      <c r="A2651"/>
      <c r="B2651"/>
      <c r="C2651"/>
      <c r="D2651"/>
      <c r="E2651"/>
      <c r="F2651"/>
      <c r="G2651"/>
      <c r="H2651"/>
      <c r="I2651"/>
      <c r="J2651"/>
      <c r="K2651"/>
      <c r="L2651"/>
      <c r="M2651"/>
      <c r="N2651"/>
      <c r="O2651"/>
    </row>
    <row r="2652" spans="1:15" x14ac:dyDescent="0.25">
      <c r="A2652"/>
      <c r="B2652"/>
      <c r="C2652"/>
      <c r="D2652"/>
      <c r="E2652"/>
      <c r="F2652"/>
      <c r="G2652"/>
      <c r="H2652"/>
      <c r="I2652"/>
      <c r="J2652"/>
      <c r="K2652"/>
      <c r="L2652"/>
      <c r="M2652"/>
      <c r="N2652"/>
      <c r="O2652"/>
    </row>
    <row r="2653" spans="1:15" x14ac:dyDescent="0.25">
      <c r="A2653"/>
      <c r="B2653"/>
      <c r="C2653"/>
      <c r="D2653"/>
      <c r="E2653"/>
      <c r="F2653"/>
      <c r="G2653"/>
      <c r="H2653"/>
      <c r="I2653"/>
      <c r="J2653"/>
      <c r="K2653"/>
      <c r="L2653"/>
      <c r="M2653"/>
      <c r="N2653"/>
      <c r="O2653"/>
    </row>
    <row r="2654" spans="1:15" x14ac:dyDescent="0.25">
      <c r="A2654"/>
      <c r="B2654"/>
      <c r="C2654"/>
      <c r="D2654"/>
      <c r="E2654"/>
      <c r="F2654"/>
      <c r="G2654"/>
      <c r="H2654"/>
      <c r="I2654"/>
      <c r="J2654"/>
      <c r="K2654"/>
      <c r="L2654"/>
      <c r="M2654"/>
      <c r="N2654"/>
      <c r="O2654"/>
    </row>
    <row r="2655" spans="1:15" x14ac:dyDescent="0.25">
      <c r="A2655"/>
      <c r="B2655"/>
      <c r="C2655"/>
      <c r="D2655"/>
      <c r="E2655"/>
      <c r="F2655"/>
      <c r="G2655"/>
      <c r="H2655"/>
      <c r="I2655"/>
      <c r="J2655"/>
      <c r="K2655"/>
      <c r="L2655"/>
      <c r="M2655"/>
      <c r="N2655"/>
      <c r="O2655"/>
    </row>
    <row r="2656" spans="1:15" x14ac:dyDescent="0.25">
      <c r="A2656"/>
      <c r="B2656"/>
      <c r="C2656"/>
      <c r="D2656"/>
      <c r="E2656"/>
      <c r="F2656"/>
      <c r="G2656"/>
      <c r="H2656"/>
      <c r="I2656"/>
      <c r="J2656"/>
      <c r="K2656"/>
      <c r="L2656"/>
      <c r="M2656"/>
      <c r="N2656"/>
      <c r="O2656"/>
    </row>
    <row r="2657" spans="1:15" x14ac:dyDescent="0.25">
      <c r="A2657"/>
      <c r="B2657"/>
      <c r="C2657"/>
      <c r="D2657"/>
      <c r="E2657"/>
      <c r="F2657"/>
      <c r="G2657"/>
      <c r="H2657"/>
      <c r="I2657"/>
      <c r="J2657"/>
      <c r="K2657"/>
      <c r="L2657"/>
      <c r="M2657"/>
      <c r="N2657"/>
      <c r="O2657"/>
    </row>
    <row r="2658" spans="1:15" x14ac:dyDescent="0.25">
      <c r="A2658"/>
      <c r="B2658"/>
      <c r="C2658"/>
      <c r="D2658"/>
      <c r="E2658"/>
      <c r="F2658"/>
      <c r="G2658"/>
      <c r="H2658"/>
      <c r="I2658"/>
      <c r="J2658"/>
      <c r="K2658"/>
      <c r="L2658"/>
      <c r="M2658"/>
      <c r="N2658"/>
      <c r="O2658"/>
    </row>
    <row r="2659" spans="1:15" x14ac:dyDescent="0.25">
      <c r="A2659"/>
      <c r="B2659"/>
      <c r="C2659"/>
      <c r="D2659"/>
      <c r="E2659"/>
      <c r="F2659"/>
      <c r="G2659"/>
      <c r="H2659"/>
      <c r="I2659"/>
      <c r="J2659"/>
      <c r="K2659"/>
      <c r="L2659"/>
      <c r="M2659"/>
      <c r="N2659"/>
      <c r="O2659"/>
    </row>
    <row r="2660" spans="1:15" x14ac:dyDescent="0.25">
      <c r="A2660"/>
      <c r="B2660"/>
      <c r="C2660"/>
      <c r="D2660"/>
      <c r="E2660"/>
      <c r="F2660"/>
      <c r="G2660"/>
      <c r="H2660"/>
      <c r="I2660"/>
      <c r="J2660"/>
      <c r="K2660"/>
      <c r="L2660"/>
      <c r="M2660"/>
      <c r="N2660"/>
      <c r="O2660"/>
    </row>
    <row r="2661" spans="1:15" x14ac:dyDescent="0.25">
      <c r="A2661"/>
      <c r="B2661"/>
      <c r="C2661"/>
      <c r="D2661"/>
      <c r="E2661"/>
      <c r="F2661"/>
      <c r="G2661"/>
      <c r="H2661"/>
      <c r="I2661"/>
      <c r="J2661"/>
      <c r="K2661"/>
      <c r="L2661"/>
      <c r="M2661"/>
      <c r="N2661"/>
      <c r="O2661"/>
    </row>
    <row r="2662" spans="1:15" x14ac:dyDescent="0.25">
      <c r="A2662"/>
      <c r="B2662"/>
      <c r="C2662"/>
      <c r="D2662"/>
      <c r="E2662"/>
      <c r="F2662"/>
      <c r="G2662"/>
      <c r="H2662"/>
      <c r="I2662"/>
      <c r="J2662"/>
      <c r="K2662"/>
      <c r="L2662"/>
      <c r="M2662"/>
      <c r="N2662"/>
      <c r="O2662"/>
    </row>
    <row r="2663" spans="1:15" x14ac:dyDescent="0.25">
      <c r="A2663"/>
      <c r="B2663"/>
      <c r="C2663"/>
      <c r="D2663"/>
      <c r="E2663"/>
      <c r="F2663"/>
      <c r="G2663"/>
      <c r="H2663"/>
      <c r="I2663"/>
      <c r="J2663"/>
      <c r="K2663"/>
      <c r="L2663"/>
      <c r="M2663"/>
      <c r="N2663"/>
      <c r="O2663"/>
    </row>
    <row r="2664" spans="1:15" x14ac:dyDescent="0.25">
      <c r="A2664"/>
      <c r="B2664"/>
      <c r="C2664"/>
      <c r="D2664"/>
      <c r="E2664"/>
      <c r="F2664"/>
      <c r="G2664"/>
      <c r="H2664"/>
      <c r="I2664"/>
      <c r="J2664"/>
      <c r="K2664"/>
      <c r="L2664"/>
      <c r="M2664"/>
      <c r="N2664"/>
      <c r="O2664"/>
    </row>
    <row r="2665" spans="1:15" x14ac:dyDescent="0.25">
      <c r="A2665"/>
      <c r="B2665"/>
      <c r="C2665"/>
      <c r="D2665"/>
      <c r="E2665"/>
      <c r="F2665"/>
      <c r="G2665"/>
      <c r="H2665"/>
      <c r="I2665"/>
      <c r="J2665"/>
      <c r="K2665"/>
      <c r="L2665"/>
      <c r="M2665"/>
      <c r="N2665"/>
      <c r="O2665"/>
    </row>
    <row r="2666" spans="1:15" x14ac:dyDescent="0.25">
      <c r="A2666"/>
      <c r="B2666"/>
      <c r="C2666"/>
      <c r="D2666"/>
      <c r="E2666"/>
      <c r="F2666"/>
      <c r="G2666"/>
      <c r="H2666"/>
      <c r="I2666"/>
      <c r="J2666"/>
      <c r="K2666"/>
      <c r="L2666"/>
      <c r="M2666"/>
      <c r="N2666"/>
      <c r="O2666"/>
    </row>
    <row r="2667" spans="1:15" x14ac:dyDescent="0.25">
      <c r="A2667"/>
      <c r="B2667"/>
      <c r="C2667"/>
      <c r="D2667"/>
      <c r="E2667"/>
      <c r="F2667"/>
      <c r="G2667"/>
      <c r="H2667"/>
      <c r="I2667"/>
      <c r="J2667"/>
      <c r="K2667"/>
      <c r="L2667"/>
      <c r="M2667"/>
      <c r="N2667"/>
      <c r="O2667"/>
    </row>
    <row r="2668" spans="1:15" x14ac:dyDescent="0.25">
      <c r="A2668"/>
      <c r="B2668"/>
      <c r="C2668"/>
      <c r="D2668"/>
      <c r="E2668"/>
      <c r="F2668"/>
      <c r="G2668"/>
      <c r="H2668"/>
      <c r="I2668"/>
      <c r="J2668"/>
      <c r="K2668"/>
      <c r="L2668"/>
      <c r="M2668"/>
      <c r="N2668"/>
      <c r="O2668"/>
    </row>
    <row r="2669" spans="1:15" x14ac:dyDescent="0.25">
      <c r="A2669"/>
      <c r="B2669"/>
      <c r="C2669"/>
      <c r="D2669"/>
      <c r="E2669"/>
      <c r="F2669"/>
      <c r="G2669"/>
      <c r="H2669"/>
      <c r="I2669"/>
      <c r="J2669"/>
      <c r="K2669"/>
      <c r="L2669"/>
      <c r="M2669"/>
      <c r="N2669"/>
      <c r="O2669"/>
    </row>
    <row r="2670" spans="1:15" x14ac:dyDescent="0.25">
      <c r="A2670"/>
      <c r="B2670"/>
      <c r="C2670"/>
      <c r="D2670"/>
      <c r="E2670"/>
      <c r="F2670"/>
      <c r="G2670"/>
      <c r="H2670"/>
      <c r="I2670"/>
      <c r="J2670"/>
      <c r="K2670"/>
      <c r="L2670"/>
      <c r="M2670"/>
      <c r="N2670"/>
      <c r="O2670"/>
    </row>
    <row r="2671" spans="1:15" x14ac:dyDescent="0.25">
      <c r="A2671"/>
      <c r="B2671"/>
      <c r="C2671"/>
      <c r="D2671"/>
      <c r="E2671"/>
      <c r="F2671"/>
      <c r="G2671"/>
      <c r="H2671"/>
      <c r="I2671"/>
      <c r="J2671"/>
      <c r="K2671"/>
      <c r="L2671"/>
      <c r="M2671"/>
      <c r="N2671"/>
      <c r="O2671"/>
    </row>
    <row r="2672" spans="1:15" x14ac:dyDescent="0.25">
      <c r="A2672"/>
      <c r="B2672"/>
      <c r="C2672"/>
      <c r="D2672"/>
      <c r="E2672"/>
      <c r="F2672"/>
      <c r="G2672"/>
      <c r="H2672"/>
      <c r="I2672"/>
      <c r="J2672"/>
      <c r="K2672"/>
      <c r="L2672"/>
      <c r="M2672"/>
      <c r="N2672"/>
      <c r="O2672"/>
    </row>
    <row r="2673" spans="1:15" x14ac:dyDescent="0.25">
      <c r="A2673"/>
      <c r="B2673"/>
      <c r="C2673"/>
      <c r="D2673"/>
      <c r="E2673"/>
      <c r="F2673"/>
      <c r="G2673"/>
      <c r="H2673"/>
      <c r="I2673"/>
      <c r="J2673"/>
      <c r="K2673"/>
      <c r="L2673"/>
      <c r="M2673"/>
      <c r="N2673"/>
      <c r="O2673"/>
    </row>
    <row r="2674" spans="1:15" x14ac:dyDescent="0.25">
      <c r="A2674"/>
      <c r="B2674"/>
      <c r="C2674"/>
      <c r="D2674"/>
      <c r="E2674"/>
      <c r="F2674"/>
      <c r="G2674"/>
      <c r="H2674"/>
      <c r="I2674"/>
      <c r="J2674"/>
      <c r="K2674"/>
      <c r="L2674"/>
      <c r="M2674"/>
      <c r="N2674"/>
      <c r="O2674"/>
    </row>
    <row r="2675" spans="1:15" x14ac:dyDescent="0.25">
      <c r="A2675"/>
      <c r="B2675"/>
      <c r="C2675"/>
      <c r="D2675"/>
      <c r="E2675"/>
      <c r="F2675"/>
      <c r="G2675"/>
      <c r="H2675"/>
      <c r="I2675"/>
      <c r="J2675"/>
      <c r="K2675"/>
      <c r="L2675"/>
      <c r="M2675"/>
      <c r="N2675"/>
      <c r="O2675"/>
    </row>
    <row r="2676" spans="1:15" x14ac:dyDescent="0.25">
      <c r="A2676"/>
      <c r="B2676"/>
      <c r="C2676"/>
      <c r="D2676"/>
      <c r="E2676"/>
      <c r="F2676"/>
      <c r="G2676"/>
      <c r="H2676"/>
      <c r="I2676"/>
      <c r="J2676"/>
      <c r="K2676"/>
      <c r="L2676"/>
      <c r="M2676"/>
      <c r="N2676"/>
      <c r="O2676"/>
    </row>
    <row r="2677" spans="1:15" x14ac:dyDescent="0.25">
      <c r="A2677"/>
      <c r="B2677"/>
      <c r="C2677"/>
      <c r="D2677"/>
      <c r="E2677"/>
      <c r="F2677"/>
      <c r="G2677"/>
      <c r="H2677"/>
      <c r="I2677"/>
      <c r="J2677"/>
      <c r="K2677"/>
      <c r="L2677"/>
      <c r="M2677"/>
      <c r="N2677"/>
      <c r="O2677"/>
    </row>
    <row r="2678" spans="1:15" x14ac:dyDescent="0.25">
      <c r="A2678"/>
      <c r="B2678"/>
      <c r="C2678"/>
      <c r="D2678"/>
      <c r="E2678"/>
      <c r="F2678"/>
      <c r="G2678"/>
      <c r="H2678"/>
      <c r="I2678"/>
      <c r="J2678"/>
      <c r="K2678"/>
      <c r="L2678"/>
      <c r="M2678"/>
      <c r="N2678"/>
      <c r="O2678"/>
    </row>
    <row r="2679" spans="1:15" x14ac:dyDescent="0.25">
      <c r="A2679"/>
      <c r="B2679"/>
      <c r="C2679"/>
      <c r="D2679"/>
      <c r="E2679"/>
      <c r="F2679"/>
      <c r="G2679"/>
      <c r="H2679"/>
      <c r="I2679"/>
      <c r="J2679"/>
      <c r="K2679"/>
      <c r="L2679"/>
      <c r="M2679"/>
      <c r="N2679"/>
      <c r="O2679"/>
    </row>
    <row r="2680" spans="1:15" x14ac:dyDescent="0.25">
      <c r="A2680"/>
      <c r="B2680"/>
      <c r="C2680"/>
      <c r="D2680"/>
      <c r="E2680"/>
      <c r="F2680"/>
      <c r="G2680"/>
      <c r="H2680"/>
      <c r="I2680"/>
      <c r="J2680"/>
      <c r="K2680"/>
      <c r="L2680"/>
      <c r="M2680"/>
      <c r="N2680"/>
      <c r="O2680"/>
    </row>
    <row r="2681" spans="1:15" x14ac:dyDescent="0.25">
      <c r="A2681"/>
      <c r="B2681"/>
      <c r="C2681"/>
      <c r="D2681"/>
      <c r="E2681"/>
      <c r="F2681"/>
      <c r="G2681"/>
      <c r="H2681"/>
      <c r="I2681"/>
      <c r="J2681"/>
      <c r="K2681"/>
      <c r="L2681"/>
      <c r="M2681"/>
      <c r="N2681"/>
      <c r="O2681"/>
    </row>
    <row r="2682" spans="1:15" x14ac:dyDescent="0.25">
      <c r="A2682"/>
      <c r="B2682"/>
      <c r="C2682"/>
      <c r="D2682"/>
      <c r="E2682"/>
      <c r="F2682"/>
      <c r="G2682"/>
      <c r="H2682"/>
      <c r="I2682"/>
      <c r="J2682"/>
      <c r="K2682"/>
      <c r="L2682"/>
      <c r="M2682"/>
      <c r="N2682"/>
      <c r="O2682"/>
    </row>
    <row r="2683" spans="1:15" x14ac:dyDescent="0.25">
      <c r="A2683"/>
      <c r="B2683"/>
      <c r="C2683"/>
      <c r="D2683"/>
      <c r="E2683"/>
      <c r="F2683"/>
      <c r="G2683"/>
      <c r="H2683"/>
      <c r="I2683"/>
      <c r="J2683"/>
      <c r="K2683"/>
      <c r="L2683"/>
      <c r="M2683"/>
      <c r="N2683"/>
      <c r="O2683"/>
    </row>
    <row r="2684" spans="1:15" x14ac:dyDescent="0.25">
      <c r="A2684"/>
      <c r="B2684"/>
      <c r="C2684"/>
      <c r="D2684"/>
      <c r="E2684"/>
      <c r="F2684"/>
      <c r="G2684"/>
      <c r="H2684"/>
      <c r="I2684"/>
      <c r="J2684"/>
      <c r="K2684"/>
      <c r="L2684"/>
      <c r="M2684"/>
      <c r="N2684"/>
      <c r="O2684"/>
    </row>
    <row r="2685" spans="1:15" x14ac:dyDescent="0.25">
      <c r="A2685"/>
      <c r="B2685"/>
      <c r="C2685"/>
      <c r="D2685"/>
      <c r="E2685"/>
      <c r="F2685"/>
      <c r="G2685"/>
      <c r="H2685"/>
      <c r="I2685"/>
      <c r="J2685"/>
      <c r="K2685"/>
      <c r="L2685"/>
      <c r="M2685"/>
      <c r="N2685"/>
      <c r="O2685"/>
    </row>
    <row r="2686" spans="1:15" x14ac:dyDescent="0.25">
      <c r="A2686"/>
      <c r="B2686"/>
      <c r="C2686"/>
      <c r="D2686"/>
      <c r="E2686"/>
      <c r="F2686"/>
      <c r="G2686"/>
      <c r="H2686"/>
      <c r="I2686"/>
      <c r="J2686"/>
      <c r="K2686"/>
      <c r="L2686"/>
      <c r="M2686"/>
      <c r="N2686"/>
      <c r="O2686"/>
    </row>
    <row r="2687" spans="1:15" x14ac:dyDescent="0.25">
      <c r="A2687"/>
      <c r="B2687"/>
      <c r="C2687"/>
      <c r="D2687"/>
      <c r="E2687"/>
      <c r="F2687"/>
      <c r="G2687"/>
      <c r="H2687"/>
      <c r="I2687"/>
      <c r="J2687"/>
      <c r="K2687"/>
      <c r="L2687"/>
      <c r="M2687"/>
      <c r="N2687"/>
      <c r="O2687"/>
    </row>
    <row r="2688" spans="1:15" x14ac:dyDescent="0.25">
      <c r="A2688"/>
      <c r="B2688"/>
      <c r="C2688"/>
      <c r="D2688"/>
      <c r="E2688"/>
      <c r="F2688"/>
      <c r="G2688"/>
      <c r="H2688"/>
      <c r="I2688"/>
      <c r="J2688"/>
      <c r="K2688"/>
      <c r="L2688"/>
      <c r="M2688"/>
      <c r="N2688"/>
      <c r="O2688"/>
    </row>
    <row r="2689" spans="1:15" x14ac:dyDescent="0.25">
      <c r="A2689"/>
      <c r="B2689"/>
      <c r="C2689"/>
      <c r="D2689"/>
      <c r="E2689"/>
      <c r="F2689"/>
      <c r="G2689"/>
      <c r="H2689"/>
      <c r="I2689"/>
      <c r="J2689"/>
      <c r="K2689"/>
      <c r="L2689"/>
      <c r="M2689"/>
      <c r="N2689"/>
      <c r="O2689"/>
    </row>
    <row r="2690" spans="1:15" x14ac:dyDescent="0.25">
      <c r="A2690"/>
      <c r="B2690"/>
      <c r="C2690"/>
      <c r="D2690"/>
      <c r="E2690"/>
      <c r="F2690"/>
      <c r="G2690"/>
      <c r="H2690"/>
      <c r="I2690"/>
      <c r="J2690"/>
      <c r="K2690"/>
      <c r="L2690"/>
      <c r="M2690"/>
      <c r="N2690"/>
      <c r="O2690"/>
    </row>
    <row r="2691" spans="1:15" x14ac:dyDescent="0.25">
      <c r="A2691"/>
      <c r="B2691"/>
      <c r="C2691"/>
      <c r="D2691"/>
      <c r="E2691"/>
      <c r="F2691"/>
      <c r="G2691"/>
      <c r="H2691"/>
      <c r="I2691"/>
      <c r="J2691"/>
      <c r="K2691"/>
      <c r="L2691"/>
      <c r="M2691"/>
      <c r="N2691"/>
      <c r="O2691"/>
    </row>
    <row r="2692" spans="1:15" x14ac:dyDescent="0.25">
      <c r="A2692"/>
      <c r="B2692"/>
      <c r="C2692"/>
      <c r="D2692"/>
      <c r="E2692"/>
      <c r="F2692"/>
      <c r="G2692"/>
      <c r="H2692"/>
      <c r="I2692"/>
      <c r="J2692"/>
      <c r="K2692"/>
      <c r="L2692"/>
      <c r="M2692"/>
      <c r="N2692"/>
      <c r="O2692"/>
    </row>
    <row r="2693" spans="1:15" x14ac:dyDescent="0.25">
      <c r="A2693"/>
      <c r="B2693"/>
      <c r="C2693"/>
      <c r="D2693"/>
      <c r="E2693"/>
      <c r="F2693"/>
      <c r="G2693"/>
      <c r="H2693"/>
      <c r="I2693"/>
      <c r="J2693"/>
      <c r="K2693"/>
      <c r="L2693"/>
      <c r="M2693"/>
      <c r="N2693"/>
      <c r="O2693"/>
    </row>
    <row r="2694" spans="1:15" x14ac:dyDescent="0.25">
      <c r="A2694"/>
      <c r="B2694"/>
      <c r="C2694"/>
      <c r="D2694"/>
      <c r="E2694"/>
      <c r="F2694"/>
      <c r="G2694"/>
      <c r="H2694"/>
      <c r="I2694"/>
      <c r="J2694"/>
      <c r="K2694"/>
      <c r="L2694"/>
      <c r="M2694"/>
      <c r="N2694"/>
      <c r="O2694"/>
    </row>
    <row r="2695" spans="1:15" x14ac:dyDescent="0.25">
      <c r="A2695"/>
      <c r="B2695"/>
      <c r="C2695"/>
      <c r="D2695"/>
      <c r="E2695"/>
      <c r="F2695"/>
      <c r="G2695"/>
      <c r="H2695"/>
      <c r="I2695"/>
      <c r="J2695"/>
      <c r="K2695"/>
      <c r="L2695"/>
      <c r="M2695"/>
      <c r="N2695"/>
      <c r="O2695"/>
    </row>
    <row r="2696" spans="1:15" x14ac:dyDescent="0.25">
      <c r="A2696"/>
      <c r="B2696"/>
      <c r="C2696"/>
      <c r="D2696"/>
      <c r="E2696"/>
      <c r="F2696"/>
      <c r="G2696"/>
      <c r="H2696"/>
      <c r="I2696"/>
      <c r="J2696"/>
      <c r="K2696"/>
      <c r="L2696"/>
      <c r="M2696"/>
      <c r="N2696"/>
      <c r="O2696"/>
    </row>
    <row r="2697" spans="1:15" x14ac:dyDescent="0.25">
      <c r="A2697"/>
      <c r="B2697"/>
      <c r="C2697"/>
      <c r="D2697"/>
      <c r="E2697"/>
      <c r="F2697"/>
      <c r="G2697"/>
      <c r="H2697"/>
      <c r="I2697"/>
      <c r="J2697"/>
      <c r="K2697"/>
      <c r="L2697"/>
      <c r="M2697"/>
      <c r="N2697"/>
      <c r="O2697"/>
    </row>
    <row r="2698" spans="1:15" x14ac:dyDescent="0.25">
      <c r="A2698"/>
      <c r="B2698"/>
      <c r="C2698"/>
      <c r="D2698"/>
      <c r="E2698"/>
      <c r="F2698"/>
      <c r="G2698"/>
      <c r="H2698"/>
      <c r="I2698"/>
      <c r="J2698"/>
      <c r="K2698"/>
      <c r="L2698"/>
      <c r="M2698"/>
      <c r="N2698"/>
      <c r="O2698"/>
    </row>
    <row r="2699" spans="1:15" x14ac:dyDescent="0.25">
      <c r="A2699"/>
      <c r="B2699"/>
      <c r="C2699"/>
      <c r="D2699"/>
      <c r="E2699"/>
      <c r="F2699"/>
      <c r="G2699"/>
      <c r="H2699"/>
      <c r="I2699"/>
      <c r="J2699"/>
      <c r="K2699"/>
      <c r="L2699"/>
      <c r="M2699"/>
      <c r="N2699"/>
      <c r="O2699"/>
    </row>
    <row r="2700" spans="1:15" x14ac:dyDescent="0.25">
      <c r="A2700"/>
      <c r="B2700"/>
      <c r="C2700"/>
      <c r="D2700"/>
      <c r="E2700"/>
      <c r="F2700"/>
      <c r="G2700"/>
      <c r="H2700"/>
      <c r="I2700"/>
      <c r="J2700"/>
      <c r="K2700"/>
      <c r="L2700"/>
      <c r="M2700"/>
      <c r="N2700"/>
      <c r="O2700"/>
    </row>
    <row r="2701" spans="1:15" x14ac:dyDescent="0.25">
      <c r="A2701"/>
      <c r="B2701"/>
      <c r="C2701"/>
      <c r="D2701"/>
      <c r="E2701"/>
      <c r="F2701"/>
      <c r="G2701"/>
      <c r="H2701"/>
      <c r="I2701"/>
      <c r="J2701"/>
      <c r="K2701"/>
      <c r="L2701"/>
      <c r="M2701"/>
      <c r="N2701"/>
      <c r="O2701"/>
    </row>
    <row r="2702" spans="1:15" x14ac:dyDescent="0.25">
      <c r="A2702"/>
      <c r="B2702"/>
      <c r="C2702"/>
      <c r="D2702"/>
      <c r="E2702"/>
      <c r="F2702"/>
      <c r="G2702"/>
      <c r="H2702"/>
      <c r="I2702"/>
      <c r="J2702"/>
      <c r="K2702"/>
      <c r="L2702"/>
      <c r="M2702"/>
      <c r="N2702"/>
      <c r="O2702"/>
    </row>
    <row r="2703" spans="1:15" x14ac:dyDescent="0.25">
      <c r="A2703"/>
      <c r="B2703"/>
      <c r="C2703"/>
      <c r="D2703"/>
      <c r="E2703"/>
      <c r="F2703"/>
      <c r="G2703"/>
      <c r="H2703"/>
      <c r="I2703"/>
      <c r="J2703"/>
      <c r="K2703"/>
      <c r="L2703"/>
      <c r="M2703"/>
      <c r="N2703"/>
      <c r="O2703"/>
    </row>
    <row r="2704" spans="1:15" x14ac:dyDescent="0.25">
      <c r="A2704"/>
      <c r="B2704"/>
      <c r="C2704"/>
      <c r="D2704"/>
      <c r="E2704"/>
      <c r="F2704"/>
      <c r="G2704"/>
      <c r="H2704"/>
      <c r="I2704"/>
      <c r="J2704"/>
      <c r="K2704"/>
      <c r="L2704"/>
      <c r="M2704"/>
      <c r="N2704"/>
      <c r="O2704"/>
    </row>
    <row r="2705" spans="1:15" x14ac:dyDescent="0.25">
      <c r="A2705"/>
      <c r="B2705"/>
      <c r="C2705"/>
      <c r="D2705"/>
      <c r="E2705"/>
      <c r="F2705"/>
      <c r="G2705"/>
      <c r="H2705"/>
      <c r="I2705"/>
      <c r="J2705"/>
      <c r="K2705"/>
      <c r="L2705"/>
      <c r="M2705"/>
      <c r="N2705"/>
      <c r="O2705"/>
    </row>
    <row r="2706" spans="1:15" x14ac:dyDescent="0.25">
      <c r="A2706"/>
      <c r="B2706"/>
      <c r="C2706"/>
      <c r="D2706"/>
      <c r="E2706"/>
      <c r="F2706"/>
      <c r="G2706"/>
      <c r="H2706"/>
      <c r="I2706"/>
      <c r="J2706"/>
      <c r="K2706"/>
      <c r="L2706"/>
      <c r="M2706"/>
      <c r="N2706"/>
      <c r="O2706"/>
    </row>
    <row r="2707" spans="1:15" x14ac:dyDescent="0.25">
      <c r="A2707"/>
      <c r="B2707"/>
      <c r="C2707"/>
      <c r="D2707"/>
      <c r="E2707"/>
      <c r="F2707"/>
      <c r="G2707"/>
      <c r="H2707"/>
      <c r="I2707"/>
      <c r="J2707"/>
      <c r="K2707"/>
      <c r="L2707"/>
      <c r="M2707"/>
      <c r="N2707"/>
      <c r="O2707"/>
    </row>
    <row r="2708" spans="1:15" x14ac:dyDescent="0.25">
      <c r="A2708"/>
      <c r="B2708"/>
      <c r="C2708"/>
      <c r="D2708"/>
      <c r="E2708"/>
      <c r="F2708"/>
      <c r="G2708"/>
      <c r="H2708"/>
      <c r="I2708"/>
      <c r="J2708"/>
      <c r="K2708"/>
      <c r="L2708"/>
      <c r="M2708"/>
      <c r="N2708"/>
      <c r="O2708"/>
    </row>
    <row r="2709" spans="1:15" x14ac:dyDescent="0.25">
      <c r="A2709"/>
      <c r="B2709"/>
      <c r="C2709"/>
      <c r="D2709"/>
      <c r="E2709"/>
      <c r="F2709"/>
      <c r="G2709"/>
      <c r="H2709"/>
      <c r="I2709"/>
      <c r="J2709"/>
      <c r="K2709"/>
      <c r="L2709"/>
      <c r="M2709"/>
      <c r="N2709"/>
      <c r="O2709"/>
    </row>
    <row r="2710" spans="1:15" x14ac:dyDescent="0.25">
      <c r="A2710"/>
      <c r="B2710"/>
      <c r="C2710"/>
      <c r="D2710"/>
      <c r="E2710"/>
      <c r="F2710"/>
      <c r="G2710"/>
      <c r="H2710"/>
      <c r="I2710"/>
      <c r="J2710"/>
      <c r="K2710"/>
      <c r="L2710"/>
      <c r="M2710"/>
      <c r="N2710"/>
      <c r="O2710"/>
    </row>
    <row r="2711" spans="1:15" x14ac:dyDescent="0.25">
      <c r="A2711"/>
      <c r="B2711"/>
      <c r="C2711"/>
      <c r="D2711"/>
      <c r="E2711"/>
      <c r="F2711"/>
      <c r="G2711"/>
      <c r="H2711"/>
      <c r="I2711"/>
      <c r="J2711"/>
      <c r="K2711"/>
      <c r="L2711"/>
      <c r="M2711"/>
      <c r="N2711"/>
      <c r="O2711"/>
    </row>
    <row r="2712" spans="1:15" x14ac:dyDescent="0.25">
      <c r="A2712"/>
      <c r="B2712"/>
      <c r="C2712"/>
      <c r="D2712"/>
      <c r="E2712"/>
      <c r="F2712"/>
      <c r="G2712"/>
      <c r="H2712"/>
      <c r="I2712"/>
      <c r="J2712"/>
      <c r="K2712"/>
      <c r="L2712"/>
      <c r="M2712"/>
      <c r="N2712"/>
      <c r="O2712"/>
    </row>
    <row r="2713" spans="1:15" x14ac:dyDescent="0.25">
      <c r="A2713"/>
      <c r="B2713"/>
      <c r="C2713"/>
      <c r="D2713"/>
      <c r="E2713"/>
      <c r="F2713"/>
      <c r="G2713"/>
      <c r="H2713"/>
      <c r="I2713"/>
      <c r="J2713"/>
      <c r="K2713"/>
      <c r="L2713"/>
      <c r="M2713"/>
      <c r="N2713"/>
      <c r="O2713"/>
    </row>
    <row r="2714" spans="1:15" x14ac:dyDescent="0.25">
      <c r="A2714"/>
      <c r="B2714"/>
      <c r="C2714"/>
      <c r="D2714"/>
      <c r="E2714"/>
      <c r="F2714"/>
      <c r="G2714"/>
      <c r="H2714"/>
      <c r="I2714"/>
      <c r="J2714"/>
      <c r="K2714"/>
      <c r="L2714"/>
      <c r="M2714"/>
      <c r="N2714"/>
      <c r="O2714"/>
    </row>
    <row r="2715" spans="1:15" x14ac:dyDescent="0.25">
      <c r="A2715"/>
      <c r="B2715"/>
      <c r="C2715"/>
      <c r="D2715"/>
      <c r="E2715"/>
      <c r="F2715"/>
      <c r="G2715"/>
      <c r="H2715"/>
      <c r="I2715"/>
      <c r="J2715"/>
      <c r="K2715"/>
      <c r="L2715"/>
      <c r="M2715"/>
      <c r="N2715"/>
      <c r="O2715"/>
    </row>
    <row r="2716" spans="1:15" x14ac:dyDescent="0.25">
      <c r="A2716"/>
      <c r="B2716"/>
      <c r="C2716"/>
      <c r="D2716"/>
      <c r="E2716"/>
      <c r="F2716"/>
      <c r="G2716"/>
      <c r="H2716"/>
      <c r="I2716"/>
      <c r="J2716"/>
      <c r="K2716"/>
      <c r="L2716"/>
      <c r="M2716"/>
      <c r="N2716"/>
      <c r="O2716"/>
    </row>
    <row r="2717" spans="1:15" x14ac:dyDescent="0.25">
      <c r="A2717"/>
      <c r="B2717"/>
      <c r="C2717"/>
      <c r="D2717"/>
      <c r="E2717"/>
      <c r="F2717"/>
      <c r="G2717"/>
      <c r="H2717"/>
      <c r="I2717"/>
      <c r="J2717"/>
      <c r="K2717"/>
      <c r="L2717"/>
      <c r="M2717"/>
      <c r="N2717"/>
      <c r="O2717"/>
    </row>
    <row r="2718" spans="1:15" x14ac:dyDescent="0.25">
      <c r="A2718"/>
      <c r="B2718"/>
      <c r="C2718"/>
      <c r="D2718"/>
      <c r="E2718"/>
      <c r="F2718"/>
      <c r="G2718"/>
      <c r="H2718"/>
      <c r="I2718"/>
      <c r="J2718"/>
      <c r="K2718"/>
      <c r="L2718"/>
      <c r="M2718"/>
      <c r="N2718"/>
      <c r="O2718"/>
    </row>
    <row r="2719" spans="1:15" x14ac:dyDescent="0.25">
      <c r="A2719"/>
      <c r="B2719"/>
      <c r="C2719"/>
      <c r="D2719"/>
      <c r="E2719"/>
      <c r="F2719"/>
      <c r="G2719"/>
      <c r="H2719"/>
      <c r="I2719"/>
      <c r="J2719"/>
      <c r="K2719"/>
      <c r="L2719"/>
      <c r="M2719"/>
      <c r="N2719"/>
      <c r="O2719"/>
    </row>
    <row r="2720" spans="1:15" x14ac:dyDescent="0.25">
      <c r="A2720"/>
      <c r="B2720"/>
      <c r="C2720"/>
      <c r="D2720"/>
      <c r="E2720"/>
      <c r="F2720"/>
      <c r="G2720"/>
      <c r="H2720"/>
      <c r="I2720"/>
      <c r="J2720"/>
      <c r="K2720"/>
      <c r="L2720"/>
      <c r="M2720"/>
      <c r="N2720"/>
      <c r="O2720"/>
    </row>
    <row r="2721" spans="1:15" x14ac:dyDescent="0.25">
      <c r="A2721"/>
      <c r="B2721"/>
      <c r="C2721"/>
      <c r="D2721"/>
      <c r="E2721"/>
      <c r="F2721"/>
      <c r="G2721"/>
      <c r="H2721"/>
      <c r="I2721"/>
      <c r="J2721"/>
      <c r="K2721"/>
      <c r="L2721"/>
      <c r="M2721"/>
      <c r="N2721"/>
      <c r="O2721"/>
    </row>
    <row r="2722" spans="1:15" x14ac:dyDescent="0.25">
      <c r="A2722"/>
      <c r="B2722"/>
      <c r="C2722"/>
      <c r="D2722"/>
      <c r="E2722"/>
      <c r="F2722"/>
      <c r="G2722"/>
      <c r="H2722"/>
      <c r="I2722"/>
      <c r="J2722"/>
      <c r="K2722"/>
      <c r="L2722"/>
      <c r="M2722"/>
      <c r="N2722"/>
      <c r="O2722"/>
    </row>
    <row r="2723" spans="1:15" x14ac:dyDescent="0.25">
      <c r="A2723"/>
      <c r="B2723"/>
      <c r="C2723"/>
      <c r="D2723"/>
      <c r="E2723"/>
      <c r="F2723"/>
      <c r="G2723"/>
      <c r="H2723"/>
      <c r="I2723"/>
      <c r="J2723"/>
      <c r="K2723"/>
      <c r="L2723"/>
      <c r="M2723"/>
      <c r="N2723"/>
      <c r="O2723"/>
    </row>
    <row r="2724" spans="1:15" x14ac:dyDescent="0.25">
      <c r="A2724"/>
      <c r="B2724"/>
      <c r="C2724"/>
      <c r="D2724"/>
      <c r="E2724"/>
      <c r="F2724"/>
      <c r="G2724"/>
      <c r="H2724"/>
      <c r="I2724"/>
      <c r="J2724"/>
      <c r="K2724"/>
      <c r="L2724"/>
      <c r="M2724"/>
      <c r="N2724"/>
      <c r="O2724"/>
    </row>
    <row r="2725" spans="1:15" x14ac:dyDescent="0.25">
      <c r="A2725"/>
      <c r="B2725"/>
      <c r="C2725"/>
      <c r="D2725"/>
      <c r="E2725"/>
      <c r="F2725"/>
      <c r="G2725"/>
      <c r="H2725"/>
      <c r="I2725"/>
      <c r="J2725"/>
      <c r="K2725"/>
      <c r="L2725"/>
      <c r="M2725"/>
      <c r="N2725"/>
      <c r="O2725"/>
    </row>
    <row r="2726" spans="1:15" x14ac:dyDescent="0.25">
      <c r="A2726"/>
      <c r="B2726"/>
      <c r="C2726"/>
      <c r="D2726"/>
      <c r="E2726"/>
      <c r="F2726"/>
      <c r="G2726"/>
      <c r="H2726"/>
      <c r="I2726"/>
      <c r="J2726"/>
      <c r="K2726"/>
      <c r="L2726"/>
      <c r="M2726"/>
      <c r="N2726"/>
      <c r="O2726"/>
    </row>
    <row r="2727" spans="1:15" x14ac:dyDescent="0.25">
      <c r="A2727"/>
      <c r="B2727"/>
      <c r="C2727"/>
      <c r="D2727"/>
      <c r="E2727"/>
      <c r="F2727"/>
      <c r="G2727"/>
      <c r="H2727"/>
      <c r="I2727"/>
      <c r="J2727"/>
      <c r="K2727"/>
      <c r="L2727"/>
      <c r="M2727"/>
      <c r="N2727"/>
      <c r="O2727"/>
    </row>
    <row r="2728" spans="1:15" x14ac:dyDescent="0.25">
      <c r="A2728"/>
      <c r="B2728"/>
      <c r="C2728"/>
      <c r="D2728"/>
      <c r="E2728"/>
      <c r="F2728"/>
      <c r="G2728"/>
      <c r="H2728"/>
      <c r="I2728"/>
      <c r="J2728"/>
      <c r="K2728"/>
      <c r="L2728"/>
      <c r="M2728"/>
      <c r="N2728"/>
      <c r="O2728"/>
    </row>
    <row r="2729" spans="1:15" x14ac:dyDescent="0.25">
      <c r="A2729"/>
      <c r="B2729"/>
      <c r="C2729"/>
      <c r="D2729"/>
      <c r="E2729"/>
      <c r="F2729"/>
      <c r="G2729"/>
      <c r="H2729"/>
      <c r="I2729"/>
      <c r="J2729"/>
      <c r="K2729"/>
      <c r="L2729"/>
      <c r="M2729"/>
      <c r="N2729"/>
      <c r="O2729"/>
    </row>
    <row r="2730" spans="1:15" x14ac:dyDescent="0.25">
      <c r="A2730"/>
      <c r="B2730"/>
      <c r="C2730"/>
      <c r="D2730"/>
      <c r="E2730"/>
      <c r="F2730"/>
      <c r="G2730"/>
      <c r="H2730"/>
      <c r="I2730"/>
      <c r="J2730"/>
      <c r="K2730"/>
      <c r="L2730"/>
      <c r="M2730"/>
      <c r="N2730"/>
      <c r="O2730"/>
    </row>
    <row r="2731" spans="1:15" x14ac:dyDescent="0.25">
      <c r="A2731"/>
      <c r="B2731"/>
      <c r="C2731"/>
      <c r="D2731"/>
      <c r="E2731"/>
      <c r="F2731"/>
      <c r="G2731"/>
      <c r="H2731"/>
      <c r="I2731"/>
      <c r="J2731"/>
      <c r="K2731"/>
      <c r="L2731"/>
      <c r="M2731"/>
      <c r="N2731"/>
      <c r="O2731"/>
    </row>
    <row r="2732" spans="1:15" x14ac:dyDescent="0.25">
      <c r="A2732"/>
      <c r="B2732"/>
      <c r="C2732"/>
      <c r="D2732"/>
      <c r="E2732"/>
      <c r="F2732"/>
      <c r="G2732"/>
      <c r="H2732"/>
      <c r="I2732"/>
      <c r="J2732"/>
      <c r="K2732"/>
      <c r="L2732"/>
      <c r="M2732"/>
      <c r="N2732"/>
      <c r="O2732"/>
    </row>
    <row r="2733" spans="1:15" x14ac:dyDescent="0.25">
      <c r="A2733"/>
      <c r="B2733"/>
      <c r="C2733"/>
      <c r="D2733"/>
      <c r="E2733"/>
      <c r="F2733"/>
      <c r="G2733"/>
      <c r="H2733"/>
      <c r="I2733"/>
      <c r="J2733"/>
      <c r="K2733"/>
      <c r="L2733"/>
      <c r="M2733"/>
      <c r="N2733"/>
      <c r="O2733"/>
    </row>
    <row r="2734" spans="1:15" x14ac:dyDescent="0.25">
      <c r="A2734"/>
      <c r="B2734"/>
      <c r="C2734"/>
      <c r="D2734"/>
      <c r="E2734"/>
      <c r="F2734"/>
      <c r="G2734"/>
      <c r="H2734"/>
      <c r="I2734"/>
      <c r="J2734"/>
      <c r="K2734"/>
      <c r="L2734"/>
      <c r="M2734"/>
      <c r="N2734"/>
      <c r="O2734"/>
    </row>
    <row r="2735" spans="1:15" x14ac:dyDescent="0.25">
      <c r="A2735"/>
      <c r="B2735"/>
      <c r="C2735"/>
      <c r="D2735"/>
      <c r="E2735"/>
      <c r="F2735"/>
      <c r="G2735"/>
      <c r="H2735"/>
      <c r="I2735"/>
      <c r="J2735"/>
      <c r="K2735"/>
      <c r="L2735"/>
      <c r="M2735"/>
      <c r="N2735"/>
      <c r="O2735"/>
    </row>
    <row r="2736" spans="1:15" x14ac:dyDescent="0.25">
      <c r="A2736"/>
      <c r="B2736"/>
      <c r="C2736"/>
      <c r="D2736"/>
      <c r="E2736"/>
      <c r="F2736"/>
      <c r="G2736"/>
      <c r="H2736"/>
      <c r="I2736"/>
      <c r="J2736"/>
      <c r="K2736"/>
      <c r="L2736"/>
      <c r="M2736"/>
      <c r="N2736"/>
      <c r="O2736"/>
    </row>
    <row r="2737" spans="1:15" x14ac:dyDescent="0.25">
      <c r="A2737"/>
      <c r="B2737"/>
      <c r="C2737"/>
      <c r="D2737"/>
      <c r="E2737"/>
      <c r="F2737"/>
      <c r="G2737"/>
      <c r="H2737"/>
      <c r="I2737"/>
      <c r="J2737"/>
      <c r="K2737"/>
      <c r="L2737"/>
      <c r="M2737"/>
      <c r="N2737"/>
      <c r="O2737"/>
    </row>
    <row r="2738" spans="1:15" x14ac:dyDescent="0.25">
      <c r="A2738"/>
      <c r="B2738"/>
      <c r="C2738"/>
      <c r="D2738"/>
      <c r="E2738"/>
      <c r="F2738"/>
      <c r="G2738"/>
      <c r="H2738"/>
      <c r="I2738"/>
      <c r="J2738"/>
      <c r="K2738"/>
      <c r="L2738"/>
      <c r="M2738"/>
      <c r="N2738"/>
      <c r="O2738"/>
    </row>
    <row r="2739" spans="1:15" x14ac:dyDescent="0.25">
      <c r="A2739"/>
      <c r="B2739"/>
      <c r="C2739"/>
      <c r="D2739"/>
      <c r="E2739"/>
      <c r="F2739"/>
      <c r="G2739"/>
      <c r="H2739"/>
      <c r="I2739"/>
      <c r="J2739"/>
      <c r="K2739"/>
      <c r="L2739"/>
      <c r="M2739"/>
      <c r="N2739"/>
      <c r="O2739"/>
    </row>
    <row r="2740" spans="1:15" x14ac:dyDescent="0.25">
      <c r="A2740"/>
      <c r="B2740"/>
      <c r="C2740"/>
      <c r="D2740"/>
      <c r="E2740"/>
      <c r="F2740"/>
      <c r="G2740"/>
      <c r="H2740"/>
      <c r="I2740"/>
      <c r="J2740"/>
      <c r="K2740"/>
      <c r="L2740"/>
      <c r="M2740"/>
      <c r="N2740"/>
      <c r="O2740"/>
    </row>
    <row r="2741" spans="1:15" x14ac:dyDescent="0.25">
      <c r="A2741"/>
      <c r="B2741"/>
      <c r="C2741"/>
      <c r="D2741"/>
      <c r="E2741"/>
      <c r="F2741"/>
      <c r="G2741"/>
      <c r="H2741"/>
      <c r="I2741"/>
      <c r="J2741"/>
      <c r="K2741"/>
      <c r="L2741"/>
      <c r="M2741"/>
      <c r="N2741"/>
      <c r="O2741"/>
    </row>
    <row r="2742" spans="1:15" x14ac:dyDescent="0.25">
      <c r="A2742"/>
      <c r="B2742"/>
      <c r="C2742"/>
      <c r="D2742"/>
      <c r="E2742"/>
      <c r="F2742"/>
      <c r="G2742"/>
      <c r="H2742"/>
      <c r="I2742"/>
      <c r="J2742"/>
      <c r="K2742"/>
      <c r="L2742"/>
      <c r="M2742"/>
      <c r="N2742"/>
      <c r="O2742"/>
    </row>
    <row r="2743" spans="1:15" x14ac:dyDescent="0.25">
      <c r="A2743"/>
      <c r="B2743"/>
      <c r="C2743"/>
      <c r="D2743"/>
      <c r="E2743"/>
      <c r="F2743"/>
      <c r="G2743"/>
      <c r="H2743"/>
      <c r="I2743"/>
      <c r="J2743"/>
      <c r="K2743"/>
      <c r="L2743"/>
      <c r="M2743"/>
      <c r="N2743"/>
      <c r="O2743"/>
    </row>
    <row r="2744" spans="1:15" x14ac:dyDescent="0.25">
      <c r="A2744"/>
      <c r="B2744"/>
      <c r="C2744"/>
      <c r="D2744"/>
      <c r="E2744"/>
      <c r="F2744"/>
      <c r="G2744"/>
      <c r="H2744"/>
      <c r="I2744"/>
      <c r="J2744"/>
      <c r="K2744"/>
      <c r="L2744"/>
      <c r="M2744"/>
      <c r="N2744"/>
      <c r="O2744"/>
    </row>
    <row r="2745" spans="1:15" x14ac:dyDescent="0.25">
      <c r="A2745"/>
      <c r="B2745"/>
      <c r="C2745"/>
      <c r="D2745"/>
      <c r="E2745"/>
      <c r="F2745"/>
      <c r="G2745"/>
      <c r="H2745"/>
      <c r="I2745"/>
      <c r="J2745"/>
      <c r="K2745"/>
      <c r="L2745"/>
      <c r="M2745"/>
      <c r="N2745"/>
      <c r="O2745"/>
    </row>
    <row r="2746" spans="1:15" x14ac:dyDescent="0.25">
      <c r="A2746"/>
      <c r="B2746"/>
      <c r="C2746"/>
      <c r="D2746"/>
      <c r="E2746"/>
      <c r="F2746"/>
      <c r="G2746"/>
      <c r="H2746"/>
      <c r="I2746"/>
      <c r="J2746"/>
      <c r="K2746"/>
      <c r="L2746"/>
      <c r="M2746"/>
      <c r="N2746"/>
      <c r="O2746"/>
    </row>
    <row r="2747" spans="1:15" x14ac:dyDescent="0.25">
      <c r="A2747"/>
      <c r="B2747"/>
      <c r="C2747"/>
      <c r="D2747"/>
      <c r="E2747"/>
      <c r="F2747"/>
      <c r="G2747"/>
      <c r="H2747"/>
      <c r="I2747"/>
      <c r="J2747"/>
      <c r="K2747"/>
      <c r="L2747"/>
      <c r="M2747"/>
      <c r="N2747"/>
      <c r="O2747"/>
    </row>
    <row r="2748" spans="1:15" x14ac:dyDescent="0.25">
      <c r="A2748"/>
      <c r="B2748"/>
      <c r="C2748"/>
      <c r="D2748"/>
      <c r="E2748"/>
      <c r="F2748"/>
      <c r="G2748"/>
      <c r="H2748"/>
      <c r="I2748"/>
      <c r="J2748"/>
      <c r="K2748"/>
      <c r="L2748"/>
      <c r="M2748"/>
      <c r="N2748"/>
      <c r="O2748"/>
    </row>
    <row r="2749" spans="1:15" x14ac:dyDescent="0.25">
      <c r="A2749"/>
      <c r="B2749"/>
      <c r="C2749"/>
      <c r="D2749"/>
      <c r="E2749"/>
      <c r="F2749"/>
      <c r="G2749"/>
      <c r="H2749"/>
      <c r="I2749"/>
      <c r="J2749"/>
      <c r="K2749"/>
      <c r="L2749"/>
      <c r="M2749"/>
      <c r="N2749"/>
      <c r="O2749"/>
    </row>
    <row r="2750" spans="1:15" x14ac:dyDescent="0.25">
      <c r="A2750"/>
      <c r="B2750"/>
      <c r="C2750"/>
      <c r="D2750"/>
      <c r="E2750"/>
      <c r="F2750"/>
      <c r="G2750"/>
      <c r="H2750"/>
      <c r="I2750"/>
      <c r="J2750"/>
      <c r="K2750"/>
      <c r="L2750"/>
      <c r="M2750"/>
      <c r="N2750"/>
      <c r="O2750"/>
    </row>
    <row r="2751" spans="1:15" x14ac:dyDescent="0.25">
      <c r="A2751"/>
      <c r="B2751"/>
      <c r="C2751"/>
      <c r="D2751"/>
      <c r="E2751"/>
      <c r="F2751"/>
      <c r="G2751"/>
      <c r="H2751"/>
      <c r="I2751"/>
      <c r="J2751"/>
      <c r="K2751"/>
      <c r="L2751"/>
      <c r="M2751"/>
      <c r="N2751"/>
      <c r="O2751"/>
    </row>
    <row r="2752" spans="1:15" x14ac:dyDescent="0.25">
      <c r="A2752"/>
      <c r="B2752"/>
      <c r="C2752"/>
      <c r="D2752"/>
      <c r="E2752"/>
      <c r="F2752"/>
      <c r="G2752"/>
      <c r="H2752"/>
      <c r="I2752"/>
      <c r="J2752"/>
      <c r="K2752"/>
      <c r="L2752"/>
      <c r="M2752"/>
      <c r="N2752"/>
      <c r="O2752"/>
    </row>
    <row r="2753" spans="1:15" x14ac:dyDescent="0.25">
      <c r="A2753"/>
      <c r="B2753"/>
      <c r="C2753"/>
      <c r="D2753"/>
      <c r="E2753"/>
      <c r="F2753"/>
      <c r="G2753"/>
      <c r="H2753"/>
      <c r="I2753"/>
      <c r="J2753"/>
      <c r="K2753"/>
      <c r="L2753"/>
      <c r="M2753"/>
      <c r="N2753"/>
      <c r="O2753"/>
    </row>
    <row r="2754" spans="1:15" x14ac:dyDescent="0.25">
      <c r="A2754"/>
      <c r="B2754"/>
      <c r="C2754"/>
      <c r="D2754"/>
      <c r="E2754"/>
      <c r="F2754"/>
      <c r="G2754"/>
      <c r="H2754"/>
      <c r="I2754"/>
      <c r="J2754"/>
      <c r="K2754"/>
      <c r="L2754"/>
      <c r="M2754"/>
      <c r="N2754"/>
      <c r="O2754"/>
    </row>
    <row r="2755" spans="1:15" x14ac:dyDescent="0.25">
      <c r="A2755"/>
      <c r="B2755"/>
      <c r="C2755"/>
      <c r="D2755"/>
      <c r="E2755"/>
      <c r="F2755"/>
      <c r="G2755"/>
      <c r="H2755"/>
      <c r="I2755"/>
      <c r="J2755"/>
      <c r="K2755"/>
      <c r="L2755"/>
      <c r="M2755"/>
      <c r="N2755"/>
      <c r="O2755"/>
    </row>
    <row r="2756" spans="1:15" x14ac:dyDescent="0.25">
      <c r="A2756"/>
      <c r="B2756"/>
      <c r="C2756"/>
      <c r="D2756"/>
      <c r="E2756"/>
      <c r="F2756"/>
      <c r="G2756"/>
      <c r="H2756"/>
      <c r="I2756"/>
      <c r="J2756"/>
      <c r="K2756"/>
      <c r="L2756"/>
      <c r="M2756"/>
      <c r="N2756"/>
      <c r="O2756"/>
    </row>
    <row r="2757" spans="1:15" x14ac:dyDescent="0.25">
      <c r="A2757"/>
      <c r="B2757"/>
      <c r="C2757"/>
      <c r="D2757"/>
      <c r="E2757"/>
      <c r="F2757"/>
      <c r="G2757"/>
      <c r="H2757"/>
      <c r="I2757"/>
      <c r="J2757"/>
      <c r="K2757"/>
      <c r="L2757"/>
      <c r="M2757"/>
      <c r="N2757"/>
      <c r="O2757"/>
    </row>
    <row r="2758" spans="1:15" x14ac:dyDescent="0.25">
      <c r="A2758"/>
      <c r="B2758"/>
      <c r="C2758"/>
      <c r="D2758"/>
      <c r="E2758"/>
      <c r="F2758"/>
      <c r="G2758"/>
      <c r="H2758"/>
      <c r="I2758"/>
      <c r="J2758"/>
      <c r="K2758"/>
      <c r="L2758"/>
      <c r="M2758"/>
      <c r="N2758"/>
      <c r="O2758"/>
    </row>
    <row r="2759" spans="1:15" x14ac:dyDescent="0.25">
      <c r="A2759"/>
      <c r="B2759"/>
      <c r="C2759"/>
      <c r="D2759"/>
      <c r="E2759"/>
      <c r="F2759"/>
      <c r="G2759"/>
      <c r="H2759"/>
      <c r="I2759"/>
      <c r="J2759"/>
      <c r="K2759"/>
      <c r="L2759"/>
      <c r="M2759"/>
      <c r="N2759"/>
      <c r="O2759"/>
    </row>
    <row r="2760" spans="1:15" x14ac:dyDescent="0.25">
      <c r="A2760"/>
      <c r="B2760"/>
      <c r="C2760"/>
      <c r="D2760"/>
      <c r="E2760"/>
      <c r="F2760"/>
      <c r="G2760"/>
      <c r="H2760"/>
      <c r="I2760"/>
      <c r="J2760"/>
      <c r="K2760"/>
      <c r="L2760"/>
      <c r="M2760"/>
      <c r="N2760"/>
      <c r="O2760"/>
    </row>
    <row r="2761" spans="1:15" x14ac:dyDescent="0.25">
      <c r="A2761"/>
      <c r="B2761"/>
      <c r="C2761"/>
      <c r="D2761"/>
      <c r="E2761"/>
      <c r="F2761"/>
      <c r="G2761"/>
      <c r="H2761"/>
      <c r="I2761"/>
      <c r="J2761"/>
      <c r="K2761"/>
      <c r="L2761"/>
      <c r="M2761"/>
      <c r="N2761"/>
      <c r="O2761"/>
    </row>
    <row r="2762" spans="1:15" x14ac:dyDescent="0.25">
      <c r="A2762"/>
      <c r="B2762"/>
      <c r="C2762"/>
      <c r="D2762"/>
      <c r="E2762"/>
      <c r="F2762"/>
      <c r="G2762"/>
      <c r="H2762"/>
      <c r="I2762"/>
      <c r="J2762"/>
      <c r="K2762"/>
      <c r="L2762"/>
      <c r="M2762"/>
      <c r="N2762"/>
      <c r="O2762"/>
    </row>
    <row r="2763" spans="1:15" x14ac:dyDescent="0.25">
      <c r="A2763"/>
      <c r="B2763"/>
      <c r="C2763"/>
      <c r="D2763"/>
      <c r="E2763"/>
      <c r="F2763"/>
      <c r="G2763"/>
      <c r="H2763"/>
      <c r="I2763"/>
      <c r="J2763"/>
      <c r="K2763"/>
      <c r="L2763"/>
      <c r="M2763"/>
      <c r="N2763"/>
      <c r="O2763"/>
    </row>
    <row r="2764" spans="1:15" x14ac:dyDescent="0.25">
      <c r="A2764"/>
      <c r="B2764"/>
      <c r="C2764"/>
      <c r="D2764"/>
      <c r="E2764"/>
      <c r="F2764"/>
      <c r="G2764"/>
      <c r="H2764"/>
      <c r="I2764"/>
      <c r="J2764"/>
      <c r="K2764"/>
      <c r="L2764"/>
      <c r="M2764"/>
      <c r="N2764"/>
      <c r="O2764"/>
    </row>
    <row r="2765" spans="1:15" x14ac:dyDescent="0.25">
      <c r="A2765"/>
      <c r="B2765"/>
      <c r="C2765"/>
      <c r="D2765"/>
      <c r="E2765"/>
      <c r="F2765"/>
      <c r="G2765"/>
      <c r="H2765"/>
      <c r="I2765"/>
      <c r="J2765"/>
      <c r="K2765"/>
      <c r="L2765"/>
      <c r="M2765"/>
      <c r="N2765"/>
      <c r="O2765"/>
    </row>
    <row r="2766" spans="1:15" x14ac:dyDescent="0.25">
      <c r="A2766"/>
      <c r="B2766"/>
      <c r="C2766"/>
      <c r="D2766"/>
      <c r="E2766"/>
      <c r="F2766"/>
      <c r="G2766"/>
      <c r="H2766"/>
      <c r="I2766"/>
      <c r="J2766"/>
      <c r="K2766"/>
      <c r="L2766"/>
      <c r="M2766"/>
      <c r="N2766"/>
      <c r="O2766"/>
    </row>
    <row r="2767" spans="1:15" x14ac:dyDescent="0.25">
      <c r="A2767"/>
      <c r="B2767"/>
      <c r="C2767"/>
      <c r="D2767"/>
      <c r="E2767"/>
      <c r="F2767"/>
      <c r="G2767"/>
      <c r="H2767"/>
      <c r="I2767"/>
      <c r="J2767"/>
      <c r="K2767"/>
      <c r="L2767"/>
      <c r="M2767"/>
      <c r="N2767"/>
      <c r="O2767"/>
    </row>
    <row r="2768" spans="1:15" x14ac:dyDescent="0.25">
      <c r="A2768"/>
      <c r="B2768"/>
      <c r="C2768"/>
      <c r="D2768"/>
      <c r="E2768"/>
      <c r="F2768"/>
      <c r="G2768"/>
      <c r="H2768"/>
      <c r="I2768"/>
      <c r="J2768"/>
      <c r="K2768"/>
      <c r="L2768"/>
      <c r="M2768"/>
      <c r="N2768"/>
      <c r="O2768"/>
    </row>
    <row r="2769" spans="1:15" x14ac:dyDescent="0.25">
      <c r="A2769"/>
      <c r="B2769"/>
      <c r="C2769"/>
      <c r="D2769"/>
      <c r="E2769"/>
      <c r="F2769"/>
      <c r="G2769"/>
      <c r="H2769"/>
      <c r="I2769"/>
      <c r="J2769"/>
      <c r="K2769"/>
      <c r="L2769"/>
      <c r="M2769"/>
      <c r="N2769"/>
      <c r="O2769"/>
    </row>
    <row r="2770" spans="1:15" x14ac:dyDescent="0.25">
      <c r="A2770"/>
      <c r="B2770"/>
      <c r="C2770"/>
      <c r="D2770"/>
      <c r="E2770"/>
      <c r="F2770"/>
      <c r="G2770"/>
      <c r="H2770"/>
      <c r="I2770"/>
      <c r="J2770"/>
      <c r="K2770"/>
      <c r="L2770"/>
      <c r="M2770"/>
      <c r="N2770"/>
      <c r="O2770"/>
    </row>
    <row r="2771" spans="1:15" x14ac:dyDescent="0.25">
      <c r="A2771"/>
      <c r="B2771"/>
      <c r="C2771"/>
      <c r="D2771"/>
      <c r="E2771"/>
      <c r="F2771"/>
      <c r="G2771"/>
      <c r="H2771"/>
      <c r="I2771"/>
      <c r="J2771"/>
      <c r="K2771"/>
      <c r="L2771"/>
      <c r="M2771"/>
      <c r="N2771"/>
      <c r="O2771"/>
    </row>
    <row r="2772" spans="1:15" x14ac:dyDescent="0.25">
      <c r="A2772"/>
      <c r="B2772"/>
      <c r="C2772"/>
      <c r="D2772"/>
      <c r="E2772"/>
      <c r="F2772"/>
      <c r="G2772"/>
      <c r="H2772"/>
      <c r="I2772"/>
      <c r="J2772"/>
      <c r="K2772"/>
      <c r="L2772"/>
      <c r="M2772"/>
      <c r="N2772"/>
      <c r="O2772"/>
    </row>
    <row r="2773" spans="1:15" x14ac:dyDescent="0.25">
      <c r="A2773"/>
      <c r="B2773"/>
      <c r="C2773"/>
      <c r="D2773"/>
      <c r="E2773"/>
      <c r="F2773"/>
      <c r="G2773"/>
      <c r="H2773"/>
      <c r="I2773"/>
      <c r="J2773"/>
      <c r="K2773"/>
      <c r="L2773"/>
      <c r="M2773"/>
      <c r="N2773"/>
      <c r="O2773"/>
    </row>
    <row r="2774" spans="1:15" x14ac:dyDescent="0.25">
      <c r="A2774"/>
      <c r="B2774"/>
      <c r="C2774"/>
      <c r="D2774"/>
      <c r="E2774"/>
      <c r="F2774"/>
      <c r="G2774"/>
      <c r="H2774"/>
      <c r="I2774"/>
      <c r="J2774"/>
      <c r="K2774"/>
      <c r="L2774"/>
      <c r="M2774"/>
      <c r="N2774"/>
      <c r="O2774"/>
    </row>
    <row r="2775" spans="1:15" x14ac:dyDescent="0.25">
      <c r="A2775"/>
      <c r="B2775"/>
      <c r="C2775"/>
      <c r="D2775"/>
      <c r="E2775"/>
      <c r="F2775"/>
      <c r="G2775"/>
      <c r="H2775"/>
      <c r="I2775"/>
      <c r="J2775"/>
      <c r="K2775"/>
      <c r="L2775"/>
      <c r="M2775"/>
      <c r="N2775"/>
      <c r="O2775"/>
    </row>
    <row r="2776" spans="1:15" x14ac:dyDescent="0.25">
      <c r="A2776"/>
      <c r="B2776"/>
      <c r="C2776"/>
      <c r="D2776"/>
      <c r="E2776"/>
      <c r="F2776"/>
      <c r="G2776"/>
      <c r="H2776"/>
      <c r="I2776"/>
      <c r="J2776"/>
      <c r="K2776"/>
      <c r="L2776"/>
      <c r="M2776"/>
      <c r="N2776"/>
      <c r="O2776"/>
    </row>
    <row r="2777" spans="1:15" x14ac:dyDescent="0.25">
      <c r="A2777"/>
      <c r="B2777"/>
      <c r="C2777"/>
      <c r="D2777"/>
      <c r="E2777"/>
      <c r="F2777"/>
      <c r="G2777"/>
      <c r="H2777"/>
      <c r="I2777"/>
      <c r="J2777"/>
      <c r="K2777"/>
      <c r="L2777"/>
      <c r="M2777"/>
      <c r="N2777"/>
      <c r="O2777"/>
    </row>
    <row r="2778" spans="1:15" x14ac:dyDescent="0.25">
      <c r="A2778"/>
      <c r="B2778"/>
      <c r="C2778"/>
      <c r="D2778"/>
      <c r="E2778"/>
      <c r="F2778"/>
      <c r="G2778"/>
      <c r="H2778"/>
      <c r="I2778"/>
      <c r="J2778"/>
      <c r="K2778"/>
      <c r="L2778"/>
      <c r="M2778"/>
      <c r="N2778"/>
      <c r="O2778"/>
    </row>
    <row r="2779" spans="1:15" x14ac:dyDescent="0.25">
      <c r="A2779"/>
      <c r="B2779"/>
      <c r="C2779"/>
      <c r="D2779"/>
      <c r="E2779"/>
      <c r="F2779"/>
      <c r="G2779"/>
      <c r="H2779"/>
      <c r="I2779"/>
      <c r="J2779"/>
      <c r="K2779"/>
      <c r="L2779"/>
      <c r="M2779"/>
      <c r="N2779"/>
      <c r="O2779"/>
    </row>
    <row r="2780" spans="1:15" x14ac:dyDescent="0.25">
      <c r="A2780"/>
      <c r="B2780"/>
      <c r="C2780"/>
      <c r="D2780"/>
      <c r="E2780"/>
      <c r="F2780"/>
      <c r="G2780"/>
      <c r="H2780"/>
      <c r="I2780"/>
      <c r="J2780"/>
      <c r="K2780"/>
      <c r="L2780"/>
      <c r="M2780"/>
      <c r="N2780"/>
      <c r="O2780"/>
    </row>
    <row r="2781" spans="1:15" x14ac:dyDescent="0.25">
      <c r="A2781"/>
      <c r="B2781"/>
      <c r="C2781"/>
      <c r="D2781"/>
      <c r="E2781"/>
      <c r="F2781"/>
      <c r="G2781"/>
      <c r="H2781"/>
      <c r="I2781"/>
      <c r="J2781"/>
      <c r="K2781"/>
      <c r="L2781"/>
      <c r="M2781"/>
      <c r="N2781"/>
      <c r="O2781"/>
    </row>
    <row r="2782" spans="1:15" x14ac:dyDescent="0.25">
      <c r="A2782"/>
      <c r="B2782"/>
      <c r="C2782"/>
      <c r="D2782"/>
      <c r="E2782"/>
      <c r="F2782"/>
      <c r="G2782"/>
      <c r="H2782"/>
      <c r="I2782"/>
      <c r="J2782"/>
      <c r="K2782"/>
      <c r="L2782"/>
      <c r="M2782"/>
      <c r="N2782"/>
      <c r="O2782"/>
    </row>
    <row r="2783" spans="1:15" x14ac:dyDescent="0.25">
      <c r="A2783"/>
      <c r="B2783"/>
      <c r="C2783"/>
      <c r="D2783"/>
      <c r="E2783"/>
      <c r="F2783"/>
      <c r="G2783"/>
      <c r="H2783"/>
      <c r="I2783"/>
      <c r="J2783"/>
      <c r="K2783"/>
      <c r="L2783"/>
      <c r="M2783"/>
      <c r="N2783"/>
      <c r="O2783"/>
    </row>
    <row r="2784" spans="1:15" x14ac:dyDescent="0.25">
      <c r="A2784"/>
      <c r="B2784"/>
      <c r="C2784"/>
      <c r="D2784"/>
      <c r="E2784"/>
      <c r="F2784"/>
      <c r="G2784"/>
      <c r="H2784"/>
      <c r="I2784"/>
      <c r="J2784"/>
      <c r="K2784"/>
      <c r="L2784"/>
      <c r="M2784"/>
      <c r="N2784"/>
      <c r="O2784"/>
    </row>
    <row r="2785" spans="1:15" x14ac:dyDescent="0.25">
      <c r="A2785"/>
      <c r="B2785"/>
      <c r="C2785"/>
      <c r="D2785"/>
      <c r="E2785"/>
      <c r="F2785"/>
      <c r="G2785"/>
      <c r="H2785"/>
      <c r="I2785"/>
      <c r="J2785"/>
      <c r="K2785"/>
      <c r="L2785"/>
      <c r="M2785"/>
      <c r="N2785"/>
      <c r="O2785"/>
    </row>
    <row r="2786" spans="1:15" x14ac:dyDescent="0.25">
      <c r="A2786"/>
      <c r="B2786"/>
      <c r="C2786"/>
      <c r="D2786"/>
      <c r="E2786"/>
      <c r="F2786"/>
      <c r="G2786"/>
      <c r="H2786"/>
      <c r="I2786"/>
      <c r="J2786"/>
      <c r="K2786"/>
      <c r="L2786"/>
      <c r="M2786"/>
      <c r="N2786"/>
      <c r="O2786"/>
    </row>
    <row r="2787" spans="1:15" x14ac:dyDescent="0.25">
      <c r="A2787"/>
      <c r="B2787"/>
      <c r="C2787"/>
      <c r="D2787"/>
      <c r="E2787"/>
      <c r="F2787"/>
      <c r="G2787"/>
      <c r="H2787"/>
      <c r="I2787"/>
      <c r="J2787"/>
      <c r="K2787"/>
      <c r="L2787"/>
      <c r="M2787"/>
      <c r="N2787"/>
      <c r="O2787"/>
    </row>
    <row r="2788" spans="1:15" x14ac:dyDescent="0.25">
      <c r="A2788"/>
      <c r="B2788"/>
      <c r="C2788"/>
      <c r="D2788"/>
      <c r="E2788"/>
      <c r="F2788"/>
      <c r="G2788"/>
      <c r="H2788"/>
      <c r="I2788"/>
      <c r="J2788"/>
      <c r="K2788"/>
      <c r="L2788"/>
      <c r="M2788"/>
      <c r="N2788"/>
      <c r="O2788"/>
    </row>
    <row r="2789" spans="1:15" x14ac:dyDescent="0.25">
      <c r="A2789"/>
      <c r="B2789"/>
      <c r="C2789"/>
      <c r="D2789"/>
      <c r="E2789"/>
      <c r="F2789"/>
      <c r="G2789"/>
      <c r="H2789"/>
      <c r="I2789"/>
      <c r="J2789"/>
      <c r="K2789"/>
      <c r="L2789"/>
      <c r="M2789"/>
      <c r="N2789"/>
      <c r="O2789"/>
    </row>
    <row r="2790" spans="1:15" x14ac:dyDescent="0.25">
      <c r="A2790"/>
      <c r="B2790"/>
      <c r="C2790"/>
      <c r="D2790"/>
      <c r="E2790"/>
      <c r="F2790"/>
      <c r="G2790"/>
      <c r="H2790"/>
      <c r="I2790"/>
      <c r="J2790"/>
      <c r="K2790"/>
      <c r="L2790"/>
      <c r="M2790"/>
      <c r="N2790"/>
      <c r="O2790"/>
    </row>
    <row r="2791" spans="1:15" x14ac:dyDescent="0.25">
      <c r="A2791"/>
      <c r="B2791"/>
      <c r="C2791"/>
      <c r="D2791"/>
      <c r="E2791"/>
      <c r="F2791"/>
      <c r="G2791"/>
      <c r="H2791"/>
      <c r="I2791"/>
      <c r="J2791"/>
      <c r="K2791"/>
      <c r="L2791"/>
      <c r="M2791"/>
      <c r="N2791"/>
      <c r="O2791"/>
    </row>
    <row r="2792" spans="1:15" x14ac:dyDescent="0.25">
      <c r="A2792"/>
      <c r="B2792"/>
      <c r="C2792"/>
      <c r="D2792"/>
      <c r="E2792"/>
      <c r="F2792"/>
      <c r="G2792"/>
      <c r="H2792"/>
      <c r="I2792"/>
      <c r="J2792"/>
      <c r="K2792"/>
      <c r="L2792"/>
      <c r="M2792"/>
      <c r="N2792"/>
      <c r="O2792"/>
    </row>
    <row r="2793" spans="1:15" x14ac:dyDescent="0.25">
      <c r="A2793"/>
      <c r="B2793"/>
      <c r="C2793"/>
      <c r="D2793"/>
      <c r="E2793"/>
      <c r="F2793"/>
      <c r="G2793"/>
      <c r="H2793"/>
      <c r="I2793"/>
      <c r="J2793"/>
      <c r="K2793"/>
      <c r="L2793"/>
      <c r="M2793"/>
      <c r="N2793"/>
      <c r="O2793"/>
    </row>
    <row r="2794" spans="1:15" x14ac:dyDescent="0.25">
      <c r="A2794"/>
      <c r="B2794"/>
      <c r="C2794"/>
      <c r="D2794"/>
      <c r="E2794"/>
      <c r="F2794"/>
      <c r="G2794"/>
      <c r="H2794"/>
      <c r="I2794"/>
      <c r="J2794"/>
      <c r="K2794"/>
      <c r="L2794"/>
      <c r="M2794"/>
      <c r="N2794"/>
      <c r="O2794"/>
    </row>
    <row r="2795" spans="1:15" x14ac:dyDescent="0.25">
      <c r="A2795"/>
      <c r="B2795"/>
      <c r="C2795"/>
      <c r="D2795"/>
      <c r="E2795"/>
      <c r="F2795"/>
      <c r="G2795"/>
      <c r="H2795"/>
      <c r="I2795"/>
      <c r="J2795"/>
      <c r="K2795"/>
      <c r="L2795"/>
      <c r="M2795"/>
      <c r="N2795"/>
      <c r="O2795"/>
    </row>
    <row r="2796" spans="1:15" x14ac:dyDescent="0.25">
      <c r="A2796"/>
      <c r="B2796"/>
      <c r="C2796"/>
      <c r="D2796"/>
      <c r="E2796"/>
      <c r="F2796"/>
      <c r="G2796"/>
      <c r="H2796"/>
      <c r="I2796"/>
      <c r="J2796"/>
      <c r="K2796"/>
      <c r="L2796"/>
      <c r="M2796"/>
      <c r="N2796"/>
      <c r="O2796"/>
    </row>
    <row r="2797" spans="1:15" x14ac:dyDescent="0.25">
      <c r="A2797"/>
      <c r="B2797"/>
      <c r="C2797"/>
      <c r="D2797"/>
      <c r="E2797"/>
      <c r="F2797"/>
      <c r="G2797"/>
      <c r="H2797"/>
      <c r="I2797"/>
      <c r="J2797"/>
      <c r="K2797"/>
      <c r="L2797"/>
      <c r="M2797"/>
      <c r="N2797"/>
      <c r="O2797"/>
    </row>
    <row r="2798" spans="1:15" x14ac:dyDescent="0.25">
      <c r="A2798"/>
      <c r="B2798"/>
      <c r="C2798"/>
      <c r="D2798"/>
      <c r="E2798"/>
      <c r="F2798"/>
      <c r="G2798"/>
      <c r="H2798"/>
      <c r="I2798"/>
      <c r="J2798"/>
      <c r="K2798"/>
      <c r="L2798"/>
      <c r="M2798"/>
      <c r="N2798"/>
      <c r="O2798"/>
    </row>
    <row r="2799" spans="1:15" x14ac:dyDescent="0.25">
      <c r="A2799"/>
      <c r="B2799"/>
      <c r="C2799"/>
      <c r="D2799"/>
      <c r="E2799"/>
      <c r="F2799"/>
      <c r="G2799"/>
      <c r="H2799"/>
      <c r="I2799"/>
      <c r="J2799"/>
      <c r="K2799"/>
      <c r="L2799"/>
      <c r="M2799"/>
      <c r="N2799"/>
      <c r="O2799"/>
    </row>
    <row r="2800" spans="1:15" x14ac:dyDescent="0.25">
      <c r="A2800"/>
      <c r="B2800"/>
      <c r="C2800"/>
      <c r="D2800"/>
      <c r="E2800"/>
      <c r="F2800"/>
      <c r="G2800"/>
      <c r="H2800"/>
      <c r="I2800"/>
      <c r="J2800"/>
      <c r="K2800"/>
      <c r="L2800"/>
      <c r="M2800"/>
      <c r="N2800"/>
      <c r="O2800"/>
    </row>
    <row r="2801" spans="1:15" x14ac:dyDescent="0.25">
      <c r="A2801"/>
      <c r="B2801"/>
      <c r="C2801"/>
      <c r="D2801"/>
      <c r="E2801"/>
      <c r="F2801"/>
      <c r="G2801"/>
      <c r="H2801"/>
      <c r="I2801"/>
      <c r="J2801"/>
      <c r="K2801"/>
      <c r="L2801"/>
      <c r="M2801"/>
      <c r="N2801"/>
      <c r="O2801"/>
    </row>
    <row r="2802" spans="1:15" x14ac:dyDescent="0.25">
      <c r="A2802"/>
      <c r="B2802"/>
      <c r="C2802"/>
      <c r="D2802"/>
      <c r="E2802"/>
      <c r="F2802"/>
      <c r="G2802"/>
      <c r="H2802"/>
      <c r="I2802"/>
      <c r="J2802"/>
      <c r="K2802"/>
      <c r="L2802"/>
      <c r="M2802"/>
      <c r="N2802"/>
      <c r="O2802"/>
    </row>
    <row r="2803" spans="1:15" x14ac:dyDescent="0.25">
      <c r="A2803"/>
      <c r="B2803"/>
      <c r="C2803"/>
      <c r="D2803"/>
      <c r="E2803"/>
      <c r="F2803"/>
      <c r="G2803"/>
      <c r="H2803"/>
      <c r="I2803"/>
      <c r="J2803"/>
      <c r="K2803"/>
      <c r="L2803"/>
      <c r="M2803"/>
      <c r="N2803"/>
      <c r="O2803"/>
    </row>
    <row r="2804" spans="1:15" x14ac:dyDescent="0.25">
      <c r="A2804"/>
      <c r="B2804"/>
      <c r="C2804"/>
      <c r="D2804"/>
      <c r="E2804"/>
      <c r="F2804"/>
      <c r="G2804"/>
      <c r="H2804"/>
      <c r="I2804"/>
      <c r="J2804"/>
      <c r="K2804"/>
      <c r="L2804"/>
      <c r="M2804"/>
      <c r="N2804"/>
      <c r="O2804"/>
    </row>
    <row r="2805" spans="1:15" x14ac:dyDescent="0.25">
      <c r="A2805"/>
      <c r="B2805"/>
      <c r="C2805"/>
      <c r="D2805"/>
      <c r="E2805"/>
      <c r="F2805"/>
      <c r="G2805"/>
      <c r="H2805"/>
      <c r="I2805"/>
      <c r="J2805"/>
      <c r="K2805"/>
      <c r="L2805"/>
      <c r="M2805"/>
      <c r="N2805"/>
      <c r="O2805"/>
    </row>
    <row r="2806" spans="1:15" x14ac:dyDescent="0.25">
      <c r="A2806"/>
      <c r="B2806"/>
      <c r="C2806"/>
      <c r="D2806"/>
      <c r="E2806"/>
      <c r="F2806"/>
      <c r="G2806"/>
      <c r="H2806"/>
      <c r="I2806"/>
      <c r="J2806"/>
      <c r="K2806"/>
      <c r="L2806"/>
      <c r="M2806"/>
      <c r="N2806"/>
      <c r="O2806"/>
    </row>
    <row r="2807" spans="1:15" x14ac:dyDescent="0.25">
      <c r="A2807"/>
      <c r="B2807"/>
      <c r="C2807"/>
      <c r="D2807"/>
      <c r="E2807"/>
      <c r="F2807"/>
      <c r="G2807"/>
      <c r="H2807"/>
      <c r="I2807"/>
      <c r="J2807"/>
      <c r="K2807"/>
      <c r="L2807"/>
      <c r="M2807"/>
      <c r="N2807"/>
      <c r="O2807"/>
    </row>
    <row r="2808" spans="1:15" x14ac:dyDescent="0.25">
      <c r="A2808"/>
      <c r="B2808"/>
      <c r="C2808"/>
      <c r="D2808"/>
      <c r="E2808"/>
      <c r="F2808"/>
      <c r="G2808"/>
      <c r="H2808"/>
      <c r="I2808"/>
      <c r="J2808"/>
      <c r="K2808"/>
      <c r="L2808"/>
      <c r="M2808"/>
      <c r="N2808"/>
      <c r="O2808"/>
    </row>
    <row r="2809" spans="1:15" x14ac:dyDescent="0.25">
      <c r="A2809"/>
      <c r="B2809"/>
      <c r="C2809"/>
      <c r="D2809"/>
      <c r="E2809"/>
      <c r="F2809"/>
      <c r="G2809"/>
      <c r="H2809"/>
      <c r="I2809"/>
      <c r="J2809"/>
      <c r="K2809"/>
      <c r="L2809"/>
      <c r="M2809"/>
      <c r="N2809"/>
      <c r="O2809"/>
    </row>
    <row r="2810" spans="1:15" x14ac:dyDescent="0.25">
      <c r="A2810"/>
      <c r="B2810"/>
      <c r="C2810"/>
      <c r="D2810"/>
      <c r="E2810"/>
      <c r="F2810"/>
      <c r="G2810"/>
      <c r="H2810"/>
      <c r="I2810"/>
      <c r="J2810"/>
      <c r="K2810"/>
      <c r="L2810"/>
      <c r="M2810"/>
      <c r="N2810"/>
      <c r="O2810"/>
    </row>
    <row r="2811" spans="1:15" x14ac:dyDescent="0.25">
      <c r="A2811"/>
      <c r="B2811"/>
      <c r="C2811"/>
      <c r="D2811"/>
      <c r="E2811"/>
      <c r="F2811"/>
      <c r="G2811"/>
      <c r="H2811"/>
      <c r="I2811"/>
      <c r="J2811"/>
      <c r="K2811"/>
      <c r="L2811"/>
      <c r="M2811"/>
      <c r="N2811"/>
      <c r="O2811"/>
    </row>
    <row r="2812" spans="1:15" x14ac:dyDescent="0.25">
      <c r="A2812"/>
      <c r="B2812"/>
      <c r="C2812"/>
      <c r="D2812"/>
      <c r="E2812"/>
      <c r="F2812"/>
      <c r="G2812"/>
      <c r="H2812"/>
      <c r="I2812"/>
      <c r="J2812"/>
      <c r="K2812"/>
      <c r="L2812"/>
      <c r="M2812"/>
      <c r="N2812"/>
      <c r="O2812"/>
    </row>
    <row r="2813" spans="1:15" x14ac:dyDescent="0.25">
      <c r="A2813"/>
      <c r="B2813"/>
      <c r="C2813"/>
      <c r="D2813"/>
      <c r="E2813"/>
      <c r="F2813"/>
      <c r="G2813"/>
      <c r="H2813"/>
      <c r="I2813"/>
      <c r="J2813"/>
      <c r="K2813"/>
      <c r="L2813"/>
      <c r="M2813"/>
      <c r="N2813"/>
      <c r="O2813"/>
    </row>
    <row r="2814" spans="1:15" x14ac:dyDescent="0.25">
      <c r="A2814"/>
      <c r="B2814"/>
      <c r="C2814"/>
      <c r="D2814"/>
      <c r="E2814"/>
      <c r="F2814"/>
      <c r="G2814"/>
      <c r="H2814"/>
      <c r="I2814"/>
      <c r="J2814"/>
      <c r="K2814"/>
      <c r="L2814"/>
      <c r="M2814"/>
      <c r="N2814"/>
      <c r="O2814"/>
    </row>
    <row r="2815" spans="1:15" x14ac:dyDescent="0.25">
      <c r="A2815"/>
      <c r="B2815"/>
      <c r="C2815"/>
      <c r="D2815"/>
      <c r="E2815"/>
      <c r="F2815"/>
      <c r="G2815"/>
      <c r="H2815"/>
      <c r="I2815"/>
      <c r="J2815"/>
      <c r="K2815"/>
      <c r="L2815"/>
      <c r="M2815"/>
      <c r="N2815"/>
      <c r="O2815"/>
    </row>
    <row r="2816" spans="1:15" x14ac:dyDescent="0.25">
      <c r="A2816"/>
      <c r="B2816"/>
      <c r="C2816"/>
      <c r="D2816"/>
      <c r="E2816"/>
      <c r="F2816"/>
      <c r="G2816"/>
      <c r="H2816"/>
      <c r="I2816"/>
      <c r="J2816"/>
      <c r="K2816"/>
      <c r="L2816"/>
      <c r="M2816"/>
      <c r="N2816"/>
      <c r="O2816"/>
    </row>
    <row r="2817" spans="1:15" x14ac:dyDescent="0.25">
      <c r="A2817"/>
      <c r="B2817"/>
      <c r="C2817"/>
      <c r="D2817"/>
      <c r="E2817"/>
      <c r="F2817"/>
      <c r="G2817"/>
      <c r="H2817"/>
      <c r="I2817"/>
      <c r="J2817"/>
      <c r="K2817"/>
      <c r="L2817"/>
      <c r="M2817"/>
      <c r="N2817"/>
      <c r="O2817"/>
    </row>
    <row r="2818" spans="1:15" x14ac:dyDescent="0.25">
      <c r="A2818"/>
      <c r="B2818"/>
      <c r="C2818"/>
      <c r="D2818"/>
      <c r="E2818"/>
      <c r="F2818"/>
      <c r="G2818"/>
      <c r="H2818"/>
      <c r="I2818"/>
      <c r="J2818"/>
      <c r="K2818"/>
      <c r="L2818"/>
      <c r="M2818"/>
      <c r="N2818"/>
      <c r="O2818"/>
    </row>
    <row r="2819" spans="1:15" x14ac:dyDescent="0.25">
      <c r="A2819"/>
      <c r="B2819"/>
      <c r="C2819"/>
      <c r="D2819"/>
      <c r="E2819"/>
      <c r="F2819"/>
      <c r="G2819"/>
      <c r="H2819"/>
      <c r="I2819"/>
      <c r="J2819"/>
      <c r="K2819"/>
      <c r="L2819"/>
      <c r="M2819"/>
      <c r="N2819"/>
      <c r="O2819"/>
    </row>
    <row r="2820" spans="1:15" x14ac:dyDescent="0.25">
      <c r="A2820"/>
      <c r="B2820"/>
      <c r="C2820"/>
      <c r="D2820"/>
      <c r="E2820"/>
      <c r="F2820"/>
      <c r="G2820"/>
      <c r="H2820"/>
      <c r="I2820"/>
      <c r="J2820"/>
      <c r="K2820"/>
      <c r="L2820"/>
      <c r="M2820"/>
      <c r="N2820"/>
      <c r="O2820"/>
    </row>
    <row r="2821" spans="1:15" x14ac:dyDescent="0.25">
      <c r="A2821"/>
      <c r="B2821"/>
      <c r="C2821"/>
      <c r="D2821"/>
      <c r="E2821"/>
      <c r="F2821"/>
      <c r="G2821"/>
      <c r="H2821"/>
      <c r="I2821"/>
      <c r="J2821"/>
      <c r="K2821"/>
      <c r="L2821"/>
      <c r="M2821"/>
      <c r="N2821"/>
      <c r="O2821"/>
    </row>
    <row r="2822" spans="1:15" x14ac:dyDescent="0.25">
      <c r="A2822"/>
      <c r="B2822"/>
      <c r="C2822"/>
      <c r="D2822"/>
      <c r="E2822"/>
      <c r="F2822"/>
      <c r="G2822"/>
      <c r="H2822"/>
      <c r="I2822"/>
      <c r="J2822"/>
      <c r="K2822"/>
      <c r="L2822"/>
      <c r="M2822"/>
      <c r="N2822"/>
      <c r="O2822"/>
    </row>
    <row r="2823" spans="1:15" x14ac:dyDescent="0.25">
      <c r="A2823"/>
      <c r="B2823"/>
      <c r="C2823"/>
      <c r="D2823"/>
      <c r="E2823"/>
      <c r="F2823"/>
      <c r="G2823"/>
      <c r="H2823"/>
      <c r="I2823"/>
      <c r="J2823"/>
      <c r="K2823"/>
      <c r="L2823"/>
      <c r="M2823"/>
      <c r="N2823"/>
      <c r="O2823"/>
    </row>
    <row r="2824" spans="1:15" x14ac:dyDescent="0.25">
      <c r="A2824"/>
      <c r="B2824"/>
      <c r="C2824"/>
      <c r="D2824"/>
      <c r="E2824"/>
      <c r="F2824"/>
      <c r="G2824"/>
      <c r="H2824"/>
      <c r="I2824"/>
      <c r="J2824"/>
      <c r="K2824"/>
      <c r="L2824"/>
      <c r="M2824"/>
      <c r="N2824"/>
      <c r="O2824"/>
    </row>
    <row r="2825" spans="1:15" x14ac:dyDescent="0.25">
      <c r="A2825"/>
      <c r="B2825"/>
      <c r="C2825"/>
      <c r="D2825"/>
      <c r="E2825"/>
      <c r="F2825"/>
      <c r="G2825"/>
      <c r="H2825"/>
      <c r="I2825"/>
      <c r="J2825"/>
      <c r="K2825"/>
      <c r="L2825"/>
      <c r="M2825"/>
      <c r="N2825"/>
      <c r="O2825"/>
    </row>
    <row r="2826" spans="1:15" x14ac:dyDescent="0.25">
      <c r="A2826"/>
      <c r="B2826"/>
      <c r="C2826"/>
      <c r="D2826"/>
      <c r="E2826"/>
      <c r="F2826"/>
      <c r="G2826"/>
      <c r="H2826"/>
      <c r="I2826"/>
      <c r="J2826"/>
      <c r="K2826"/>
      <c r="L2826"/>
      <c r="M2826"/>
      <c r="N2826"/>
      <c r="O2826"/>
    </row>
    <row r="2827" spans="1:15" x14ac:dyDescent="0.25">
      <c r="A2827"/>
      <c r="B2827"/>
      <c r="C2827"/>
      <c r="D2827"/>
      <c r="E2827"/>
      <c r="F2827"/>
      <c r="G2827"/>
      <c r="H2827"/>
      <c r="I2827"/>
      <c r="J2827"/>
      <c r="K2827"/>
      <c r="L2827"/>
      <c r="M2827"/>
      <c r="N2827"/>
      <c r="O2827"/>
    </row>
    <row r="2828" spans="1:15" x14ac:dyDescent="0.25">
      <c r="A2828"/>
      <c r="B2828"/>
      <c r="C2828"/>
      <c r="D2828"/>
      <c r="E2828"/>
      <c r="F2828"/>
      <c r="G2828"/>
      <c r="H2828"/>
      <c r="I2828"/>
      <c r="J2828"/>
      <c r="K2828"/>
      <c r="L2828"/>
      <c r="M2828"/>
      <c r="N2828"/>
      <c r="O2828"/>
    </row>
    <row r="2829" spans="1:15" x14ac:dyDescent="0.25">
      <c r="A2829"/>
      <c r="B2829"/>
      <c r="C2829"/>
      <c r="D2829"/>
      <c r="E2829"/>
      <c r="F2829"/>
      <c r="G2829"/>
      <c r="H2829"/>
      <c r="I2829"/>
      <c r="J2829"/>
      <c r="K2829"/>
      <c r="L2829"/>
      <c r="M2829"/>
      <c r="N2829"/>
      <c r="O2829"/>
    </row>
    <row r="2830" spans="1:15" x14ac:dyDescent="0.25">
      <c r="A2830"/>
      <c r="B2830"/>
      <c r="C2830"/>
      <c r="D2830"/>
      <c r="E2830"/>
      <c r="F2830"/>
      <c r="G2830"/>
      <c r="H2830"/>
      <c r="I2830"/>
      <c r="J2830"/>
      <c r="K2830"/>
      <c r="L2830"/>
      <c r="M2830"/>
      <c r="N2830"/>
      <c r="O2830"/>
    </row>
    <row r="2831" spans="1:15" x14ac:dyDescent="0.25">
      <c r="A2831"/>
      <c r="B2831"/>
      <c r="C2831"/>
      <c r="D2831"/>
      <c r="E2831"/>
      <c r="F2831"/>
      <c r="G2831"/>
      <c r="H2831"/>
      <c r="I2831"/>
      <c r="J2831"/>
      <c r="K2831"/>
      <c r="L2831"/>
      <c r="M2831"/>
      <c r="N2831"/>
      <c r="O2831"/>
    </row>
    <row r="2832" spans="1:15" x14ac:dyDescent="0.25">
      <c r="A2832"/>
      <c r="B2832"/>
      <c r="C2832"/>
      <c r="D2832"/>
      <c r="E2832"/>
      <c r="F2832"/>
      <c r="G2832"/>
      <c r="H2832"/>
      <c r="I2832"/>
      <c r="J2832"/>
      <c r="K2832"/>
      <c r="L2832"/>
      <c r="M2832"/>
      <c r="N2832"/>
      <c r="O2832"/>
    </row>
    <row r="2833" spans="1:15" x14ac:dyDescent="0.25">
      <c r="A2833"/>
      <c r="B2833"/>
      <c r="C2833"/>
      <c r="D2833"/>
      <c r="E2833"/>
      <c r="F2833"/>
      <c r="G2833"/>
      <c r="H2833"/>
      <c r="I2833"/>
      <c r="J2833"/>
      <c r="K2833"/>
      <c r="L2833"/>
      <c r="M2833"/>
      <c r="N2833"/>
      <c r="O2833"/>
    </row>
    <row r="2834" spans="1:15" x14ac:dyDescent="0.25">
      <c r="A2834"/>
      <c r="B2834"/>
      <c r="C2834"/>
      <c r="D2834"/>
      <c r="E2834"/>
      <c r="F2834"/>
      <c r="G2834"/>
      <c r="H2834"/>
      <c r="I2834"/>
      <c r="J2834"/>
      <c r="K2834"/>
      <c r="L2834"/>
      <c r="M2834"/>
      <c r="N2834"/>
      <c r="O2834"/>
    </row>
    <row r="2835" spans="1:15" x14ac:dyDescent="0.25">
      <c r="A2835"/>
      <c r="B2835"/>
      <c r="C2835"/>
      <c r="D2835"/>
      <c r="E2835"/>
      <c r="F2835"/>
      <c r="G2835"/>
      <c r="H2835"/>
      <c r="I2835"/>
      <c r="J2835"/>
      <c r="K2835"/>
      <c r="L2835"/>
      <c r="M2835"/>
      <c r="N2835"/>
      <c r="O2835"/>
    </row>
    <row r="2836" spans="1:15" x14ac:dyDescent="0.25">
      <c r="A2836"/>
      <c r="B2836"/>
      <c r="C2836"/>
      <c r="D2836"/>
      <c r="E2836"/>
      <c r="F2836"/>
      <c r="G2836"/>
      <c r="H2836"/>
      <c r="I2836"/>
      <c r="J2836"/>
      <c r="K2836"/>
      <c r="L2836"/>
      <c r="M2836"/>
      <c r="N2836"/>
      <c r="O2836"/>
    </row>
    <row r="2837" spans="1:15" x14ac:dyDescent="0.25">
      <c r="A2837"/>
      <c r="B2837"/>
      <c r="C2837"/>
      <c r="D2837"/>
      <c r="E2837"/>
      <c r="F2837"/>
      <c r="G2837"/>
      <c r="H2837"/>
      <c r="I2837"/>
      <c r="J2837"/>
      <c r="K2837"/>
      <c r="L2837"/>
      <c r="M2837"/>
      <c r="N2837"/>
      <c r="O2837"/>
    </row>
    <row r="2838" spans="1:15" x14ac:dyDescent="0.25">
      <c r="A2838"/>
      <c r="B2838"/>
      <c r="C2838"/>
      <c r="D2838"/>
      <c r="E2838"/>
      <c r="F2838"/>
      <c r="G2838"/>
      <c r="H2838"/>
      <c r="I2838"/>
      <c r="J2838"/>
      <c r="K2838"/>
      <c r="L2838"/>
      <c r="M2838"/>
      <c r="N2838"/>
      <c r="O2838"/>
    </row>
    <row r="2839" spans="1:15" x14ac:dyDescent="0.25">
      <c r="A2839"/>
      <c r="B2839"/>
      <c r="C2839"/>
      <c r="D2839"/>
      <c r="E2839"/>
      <c r="F2839"/>
      <c r="G2839"/>
      <c r="H2839"/>
      <c r="I2839"/>
      <c r="J2839"/>
      <c r="K2839"/>
      <c r="L2839"/>
      <c r="M2839"/>
      <c r="N2839"/>
      <c r="O2839"/>
    </row>
    <row r="2840" spans="1:15" x14ac:dyDescent="0.25">
      <c r="A2840"/>
      <c r="B2840"/>
      <c r="C2840"/>
      <c r="D2840"/>
      <c r="E2840"/>
      <c r="F2840"/>
      <c r="G2840"/>
      <c r="H2840"/>
      <c r="I2840"/>
      <c r="J2840"/>
      <c r="K2840"/>
      <c r="L2840"/>
      <c r="M2840"/>
      <c r="N2840"/>
      <c r="O2840"/>
    </row>
    <row r="2841" spans="1:15" x14ac:dyDescent="0.25">
      <c r="A2841"/>
      <c r="B2841"/>
      <c r="C2841"/>
      <c r="D2841"/>
      <c r="E2841"/>
      <c r="F2841"/>
      <c r="G2841"/>
      <c r="H2841"/>
      <c r="I2841"/>
      <c r="J2841"/>
      <c r="K2841"/>
      <c r="L2841"/>
      <c r="M2841"/>
      <c r="N2841"/>
      <c r="O2841"/>
    </row>
    <row r="2842" spans="1:15" x14ac:dyDescent="0.25">
      <c r="A2842"/>
      <c r="B2842"/>
      <c r="C2842"/>
      <c r="D2842"/>
      <c r="E2842"/>
      <c r="F2842"/>
      <c r="G2842"/>
      <c r="H2842"/>
      <c r="I2842"/>
      <c r="J2842"/>
      <c r="K2842"/>
      <c r="L2842"/>
      <c r="M2842"/>
      <c r="N2842"/>
      <c r="O2842"/>
    </row>
    <row r="2843" spans="1:15" x14ac:dyDescent="0.25">
      <c r="A2843"/>
      <c r="B2843"/>
      <c r="C2843"/>
      <c r="D2843"/>
      <c r="E2843"/>
      <c r="F2843"/>
      <c r="G2843"/>
      <c r="H2843"/>
      <c r="I2843"/>
      <c r="J2843"/>
      <c r="K2843"/>
      <c r="L2843"/>
      <c r="M2843"/>
      <c r="N2843"/>
      <c r="O2843"/>
    </row>
    <row r="2844" spans="1:15" x14ac:dyDescent="0.25">
      <c r="A2844"/>
      <c r="B2844"/>
      <c r="C2844"/>
      <c r="D2844"/>
      <c r="E2844"/>
      <c r="F2844"/>
      <c r="G2844"/>
      <c r="H2844"/>
      <c r="I2844"/>
      <c r="J2844"/>
      <c r="K2844"/>
      <c r="L2844"/>
      <c r="M2844"/>
      <c r="N2844"/>
      <c r="O2844"/>
    </row>
    <row r="2845" spans="1:15" x14ac:dyDescent="0.25">
      <c r="A2845"/>
      <c r="B2845"/>
      <c r="C2845"/>
      <c r="D2845"/>
      <c r="E2845"/>
      <c r="F2845"/>
      <c r="G2845"/>
      <c r="H2845"/>
      <c r="I2845"/>
      <c r="J2845"/>
      <c r="K2845"/>
      <c r="L2845"/>
      <c r="M2845"/>
      <c r="N2845"/>
      <c r="O2845"/>
    </row>
    <row r="2846" spans="1:15" x14ac:dyDescent="0.25">
      <c r="A2846"/>
      <c r="B2846"/>
      <c r="C2846"/>
      <c r="D2846"/>
      <c r="E2846"/>
      <c r="F2846"/>
      <c r="G2846"/>
      <c r="H2846"/>
      <c r="I2846"/>
      <c r="J2846"/>
      <c r="K2846"/>
      <c r="L2846"/>
      <c r="M2846"/>
      <c r="N2846"/>
      <c r="O2846"/>
    </row>
    <row r="2847" spans="1:15" x14ac:dyDescent="0.25">
      <c r="A2847"/>
      <c r="B2847"/>
      <c r="C2847"/>
      <c r="D2847"/>
      <c r="E2847"/>
      <c r="F2847"/>
      <c r="G2847"/>
      <c r="H2847"/>
      <c r="I2847"/>
      <c r="J2847"/>
      <c r="K2847"/>
      <c r="L2847"/>
      <c r="M2847"/>
      <c r="N2847"/>
      <c r="O2847"/>
    </row>
    <row r="2848" spans="1:15" x14ac:dyDescent="0.25">
      <c r="A2848"/>
      <c r="B2848"/>
      <c r="C2848"/>
      <c r="D2848"/>
      <c r="E2848"/>
      <c r="F2848"/>
      <c r="G2848"/>
      <c r="H2848"/>
      <c r="I2848"/>
      <c r="J2848"/>
      <c r="K2848"/>
      <c r="L2848"/>
      <c r="M2848"/>
      <c r="N2848"/>
      <c r="O2848"/>
    </row>
    <row r="2849" spans="1:15" x14ac:dyDescent="0.25">
      <c r="A2849"/>
      <c r="B2849"/>
      <c r="C2849"/>
      <c r="D2849"/>
      <c r="E2849"/>
      <c r="F2849"/>
      <c r="G2849"/>
      <c r="H2849"/>
      <c r="I2849"/>
      <c r="J2849"/>
      <c r="K2849"/>
      <c r="L2849"/>
      <c r="M2849"/>
      <c r="N2849"/>
      <c r="O2849"/>
    </row>
    <row r="2850" spans="1:15" x14ac:dyDescent="0.25">
      <c r="A2850"/>
      <c r="B2850"/>
      <c r="C2850"/>
      <c r="D2850"/>
      <c r="E2850"/>
      <c r="F2850"/>
      <c r="G2850"/>
      <c r="H2850"/>
      <c r="I2850"/>
      <c r="J2850"/>
      <c r="K2850"/>
      <c r="L2850"/>
      <c r="M2850"/>
      <c r="N2850"/>
      <c r="O2850"/>
    </row>
    <row r="2851" spans="1:15" x14ac:dyDescent="0.25">
      <c r="A2851"/>
      <c r="B2851"/>
      <c r="C2851"/>
      <c r="D2851"/>
      <c r="E2851"/>
      <c r="F2851"/>
      <c r="G2851"/>
      <c r="H2851"/>
      <c r="I2851"/>
      <c r="J2851"/>
      <c r="K2851"/>
      <c r="L2851"/>
      <c r="M2851"/>
      <c r="N2851"/>
      <c r="O2851"/>
    </row>
    <row r="2852" spans="1:15" x14ac:dyDescent="0.25">
      <c r="A2852"/>
      <c r="B2852"/>
      <c r="C2852"/>
      <c r="D2852"/>
      <c r="E2852"/>
      <c r="F2852"/>
      <c r="G2852"/>
      <c r="H2852"/>
      <c r="I2852"/>
      <c r="J2852"/>
      <c r="K2852"/>
      <c r="L2852"/>
      <c r="M2852"/>
      <c r="N2852"/>
      <c r="O2852"/>
    </row>
    <row r="2853" spans="1:15" x14ac:dyDescent="0.25">
      <c r="A2853"/>
      <c r="B2853"/>
      <c r="C2853"/>
      <c r="D2853"/>
      <c r="E2853"/>
      <c r="F2853"/>
      <c r="G2853"/>
      <c r="H2853"/>
      <c r="I2853"/>
      <c r="J2853"/>
      <c r="K2853"/>
      <c r="L2853"/>
      <c r="M2853"/>
      <c r="N2853"/>
      <c r="O2853"/>
    </row>
    <row r="2854" spans="1:15" x14ac:dyDescent="0.25">
      <c r="A2854"/>
      <c r="B2854"/>
      <c r="C2854"/>
      <c r="D2854"/>
      <c r="E2854"/>
      <c r="F2854"/>
      <c r="G2854"/>
      <c r="H2854"/>
      <c r="I2854"/>
      <c r="J2854"/>
      <c r="K2854"/>
      <c r="L2854"/>
      <c r="M2854"/>
      <c r="N2854"/>
      <c r="O2854"/>
    </row>
    <row r="2855" spans="1:15" x14ac:dyDescent="0.25">
      <c r="A2855"/>
      <c r="B2855"/>
      <c r="C2855"/>
      <c r="D2855"/>
      <c r="E2855"/>
      <c r="F2855"/>
      <c r="G2855"/>
      <c r="H2855"/>
      <c r="I2855"/>
      <c r="J2855"/>
      <c r="K2855"/>
      <c r="L2855"/>
      <c r="M2855"/>
      <c r="N2855"/>
      <c r="O2855"/>
    </row>
    <row r="2856" spans="1:15" x14ac:dyDescent="0.25">
      <c r="A2856"/>
      <c r="B2856"/>
      <c r="C2856"/>
      <c r="D2856"/>
      <c r="E2856"/>
      <c r="F2856"/>
      <c r="G2856"/>
      <c r="H2856"/>
      <c r="I2856"/>
      <c r="J2856"/>
      <c r="K2856"/>
      <c r="L2856"/>
      <c r="M2856"/>
      <c r="N2856"/>
      <c r="O2856"/>
    </row>
    <row r="2857" spans="1:15" x14ac:dyDescent="0.25">
      <c r="A2857"/>
      <c r="B2857"/>
      <c r="C2857"/>
      <c r="D2857"/>
      <c r="E2857"/>
      <c r="F2857"/>
      <c r="G2857"/>
      <c r="H2857"/>
      <c r="I2857"/>
      <c r="J2857"/>
      <c r="K2857"/>
      <c r="L2857"/>
      <c r="M2857"/>
      <c r="N2857"/>
      <c r="O2857"/>
    </row>
    <row r="2858" spans="1:15" x14ac:dyDescent="0.25">
      <c r="A2858"/>
      <c r="B2858"/>
      <c r="C2858"/>
      <c r="D2858"/>
      <c r="E2858"/>
      <c r="F2858"/>
      <c r="G2858"/>
      <c r="H2858"/>
      <c r="I2858"/>
      <c r="J2858"/>
      <c r="K2858"/>
      <c r="L2858"/>
      <c r="M2858"/>
      <c r="N2858"/>
      <c r="O2858"/>
    </row>
    <row r="2859" spans="1:15" x14ac:dyDescent="0.25">
      <c r="A2859"/>
      <c r="B2859"/>
      <c r="C2859"/>
      <c r="D2859"/>
      <c r="E2859"/>
      <c r="F2859"/>
      <c r="G2859"/>
      <c r="H2859"/>
      <c r="I2859"/>
      <c r="J2859"/>
      <c r="K2859"/>
      <c r="L2859"/>
      <c r="M2859"/>
      <c r="N2859"/>
      <c r="O2859"/>
    </row>
    <row r="2860" spans="1:15" x14ac:dyDescent="0.25">
      <c r="A2860"/>
      <c r="B2860"/>
      <c r="C2860"/>
      <c r="D2860"/>
      <c r="E2860"/>
      <c r="F2860"/>
      <c r="G2860"/>
      <c r="H2860"/>
      <c r="I2860"/>
      <c r="J2860"/>
      <c r="K2860"/>
      <c r="L2860"/>
      <c r="M2860"/>
      <c r="N2860"/>
      <c r="O2860"/>
    </row>
    <row r="2861" spans="1:15" x14ac:dyDescent="0.25">
      <c r="A2861"/>
      <c r="B2861"/>
      <c r="C2861"/>
      <c r="D2861"/>
      <c r="E2861"/>
      <c r="F2861"/>
      <c r="G2861"/>
      <c r="H2861"/>
      <c r="I2861"/>
      <c r="J2861"/>
      <c r="K2861"/>
      <c r="L2861"/>
      <c r="M2861"/>
      <c r="N2861"/>
      <c r="O2861"/>
    </row>
    <row r="2862" spans="1:15" x14ac:dyDescent="0.25">
      <c r="A2862"/>
      <c r="B2862"/>
      <c r="C2862"/>
      <c r="D2862"/>
      <c r="E2862"/>
      <c r="F2862"/>
      <c r="G2862"/>
      <c r="H2862"/>
      <c r="I2862"/>
      <c r="J2862"/>
      <c r="K2862"/>
      <c r="L2862"/>
      <c r="M2862"/>
      <c r="N2862"/>
      <c r="O2862"/>
    </row>
    <row r="2863" spans="1:15" x14ac:dyDescent="0.25">
      <c r="A2863"/>
      <c r="B2863"/>
      <c r="C2863"/>
      <c r="D2863"/>
      <c r="E2863"/>
      <c r="F2863"/>
      <c r="G2863"/>
      <c r="H2863"/>
      <c r="I2863"/>
      <c r="J2863"/>
      <c r="K2863"/>
      <c r="L2863"/>
      <c r="M2863"/>
      <c r="N2863"/>
      <c r="O2863"/>
    </row>
    <row r="2864" spans="1:15" x14ac:dyDescent="0.25">
      <c r="A2864"/>
      <c r="B2864"/>
      <c r="C2864"/>
      <c r="D2864"/>
      <c r="E2864"/>
      <c r="F2864"/>
      <c r="G2864"/>
      <c r="H2864"/>
      <c r="I2864"/>
      <c r="J2864"/>
      <c r="K2864"/>
      <c r="L2864"/>
      <c r="M2864"/>
      <c r="N2864"/>
      <c r="O2864"/>
    </row>
    <row r="2865" spans="1:15" x14ac:dyDescent="0.25">
      <c r="A2865"/>
      <c r="B2865"/>
      <c r="C2865"/>
      <c r="D2865"/>
      <c r="E2865"/>
      <c r="F2865"/>
      <c r="G2865"/>
      <c r="H2865"/>
      <c r="I2865"/>
      <c r="J2865"/>
      <c r="K2865"/>
      <c r="L2865"/>
      <c r="M2865"/>
      <c r="N2865"/>
      <c r="O2865"/>
    </row>
    <row r="2866" spans="1:15" x14ac:dyDescent="0.25">
      <c r="A2866"/>
      <c r="B2866"/>
      <c r="C2866"/>
      <c r="D2866"/>
      <c r="E2866"/>
      <c r="F2866"/>
      <c r="G2866"/>
      <c r="H2866"/>
      <c r="I2866"/>
      <c r="J2866"/>
      <c r="K2866"/>
      <c r="L2866"/>
      <c r="M2866"/>
      <c r="N2866"/>
      <c r="O2866"/>
    </row>
    <row r="2867" spans="1:15" x14ac:dyDescent="0.25">
      <c r="A2867"/>
      <c r="B2867"/>
      <c r="C2867"/>
      <c r="D2867"/>
      <c r="E2867"/>
      <c r="F2867"/>
      <c r="G2867"/>
      <c r="H2867"/>
      <c r="I2867"/>
      <c r="J2867"/>
      <c r="K2867"/>
      <c r="L2867"/>
      <c r="M2867"/>
      <c r="N2867"/>
      <c r="O2867"/>
    </row>
    <row r="2868" spans="1:15" x14ac:dyDescent="0.25">
      <c r="A2868"/>
      <c r="B2868"/>
      <c r="C2868"/>
      <c r="D2868"/>
      <c r="E2868"/>
      <c r="F2868"/>
      <c r="G2868"/>
      <c r="H2868"/>
      <c r="I2868"/>
      <c r="J2868"/>
      <c r="K2868"/>
      <c r="L2868"/>
      <c r="M2868"/>
      <c r="N2868"/>
      <c r="O2868"/>
    </row>
    <row r="2869" spans="1:15" x14ac:dyDescent="0.25">
      <c r="A2869"/>
      <c r="B2869"/>
      <c r="C2869"/>
      <c r="D2869"/>
      <c r="E2869"/>
      <c r="F2869"/>
      <c r="G2869"/>
      <c r="H2869"/>
      <c r="I2869"/>
      <c r="J2869"/>
      <c r="K2869"/>
      <c r="L2869"/>
      <c r="M2869"/>
      <c r="N2869"/>
      <c r="O2869"/>
    </row>
    <row r="2870" spans="1:15" x14ac:dyDescent="0.25">
      <c r="A2870"/>
      <c r="B2870"/>
      <c r="C2870"/>
      <c r="D2870"/>
      <c r="E2870"/>
      <c r="F2870"/>
      <c r="G2870"/>
      <c r="H2870"/>
      <c r="I2870"/>
      <c r="J2870"/>
      <c r="K2870"/>
      <c r="L2870"/>
      <c r="M2870"/>
      <c r="N2870"/>
      <c r="O2870"/>
    </row>
    <row r="2871" spans="1:15" x14ac:dyDescent="0.25">
      <c r="A2871"/>
      <c r="B2871"/>
      <c r="C2871"/>
      <c r="D2871"/>
      <c r="E2871"/>
      <c r="F2871"/>
      <c r="G2871"/>
      <c r="H2871"/>
      <c r="I2871"/>
      <c r="J2871"/>
      <c r="K2871"/>
      <c r="L2871"/>
      <c r="M2871"/>
      <c r="N2871"/>
      <c r="O2871"/>
    </row>
    <row r="2872" spans="1:15" x14ac:dyDescent="0.25">
      <c r="A2872"/>
      <c r="B2872"/>
      <c r="C2872"/>
      <c r="D2872"/>
      <c r="E2872"/>
      <c r="F2872"/>
      <c r="G2872"/>
      <c r="H2872"/>
      <c r="I2872"/>
      <c r="J2872"/>
      <c r="K2872"/>
      <c r="L2872"/>
      <c r="M2872"/>
      <c r="N2872"/>
      <c r="O2872"/>
    </row>
    <row r="2873" spans="1:15" x14ac:dyDescent="0.25">
      <c r="A2873"/>
      <c r="B2873"/>
      <c r="C2873"/>
      <c r="D2873"/>
      <c r="E2873"/>
      <c r="F2873"/>
      <c r="G2873"/>
      <c r="H2873"/>
      <c r="I2873"/>
      <c r="J2873"/>
      <c r="K2873"/>
      <c r="L2873"/>
      <c r="M2873"/>
      <c r="N2873"/>
      <c r="O2873"/>
    </row>
    <row r="2874" spans="1:15" x14ac:dyDescent="0.25">
      <c r="A2874"/>
      <c r="B2874"/>
      <c r="C2874"/>
      <c r="D2874"/>
      <c r="E2874"/>
      <c r="F2874"/>
      <c r="G2874"/>
      <c r="H2874"/>
      <c r="I2874"/>
      <c r="J2874"/>
      <c r="K2874"/>
      <c r="L2874"/>
      <c r="M2874"/>
      <c r="N2874"/>
      <c r="O2874"/>
    </row>
    <row r="2875" spans="1:15" x14ac:dyDescent="0.25">
      <c r="A2875"/>
      <c r="B2875"/>
      <c r="C2875"/>
      <c r="D2875"/>
      <c r="E2875"/>
      <c r="F2875"/>
      <c r="G2875"/>
      <c r="H2875"/>
      <c r="I2875"/>
      <c r="J2875"/>
      <c r="K2875"/>
      <c r="L2875"/>
      <c r="M2875"/>
      <c r="N2875"/>
      <c r="O2875"/>
    </row>
    <row r="2876" spans="1:15" x14ac:dyDescent="0.25">
      <c r="A2876"/>
      <c r="B2876"/>
      <c r="C2876"/>
      <c r="D2876"/>
      <c r="E2876"/>
      <c r="F2876"/>
      <c r="G2876"/>
      <c r="H2876"/>
      <c r="I2876"/>
      <c r="J2876"/>
      <c r="K2876"/>
      <c r="L2876"/>
      <c r="M2876"/>
      <c r="N2876"/>
      <c r="O2876"/>
    </row>
    <row r="2877" spans="1:15" x14ac:dyDescent="0.25">
      <c r="A2877"/>
      <c r="B2877"/>
      <c r="C2877"/>
      <c r="D2877"/>
      <c r="E2877"/>
      <c r="F2877"/>
      <c r="G2877"/>
      <c r="H2877"/>
      <c r="I2877"/>
      <c r="J2877"/>
      <c r="K2877"/>
      <c r="L2877"/>
      <c r="M2877"/>
      <c r="N2877"/>
      <c r="O2877"/>
    </row>
    <row r="2878" spans="1:15" x14ac:dyDescent="0.25">
      <c r="A2878"/>
      <c r="B2878"/>
      <c r="C2878"/>
      <c r="D2878"/>
      <c r="E2878"/>
      <c r="F2878"/>
      <c r="G2878"/>
      <c r="H2878"/>
      <c r="I2878"/>
      <c r="J2878"/>
      <c r="K2878"/>
      <c r="L2878"/>
      <c r="M2878"/>
      <c r="N2878"/>
      <c r="O2878"/>
    </row>
    <row r="2879" spans="1:15" x14ac:dyDescent="0.25">
      <c r="A2879"/>
      <c r="B2879"/>
      <c r="C2879"/>
      <c r="D2879"/>
      <c r="E2879"/>
      <c r="F2879"/>
      <c r="G2879"/>
      <c r="H2879"/>
      <c r="I2879"/>
      <c r="J2879"/>
      <c r="K2879"/>
      <c r="L2879"/>
      <c r="M2879"/>
      <c r="N2879"/>
      <c r="O2879"/>
    </row>
    <row r="2880" spans="1:15" x14ac:dyDescent="0.25">
      <c r="A2880"/>
      <c r="B2880"/>
      <c r="C2880"/>
      <c r="D2880"/>
      <c r="E2880"/>
      <c r="F2880"/>
      <c r="G2880"/>
      <c r="H2880"/>
      <c r="I2880"/>
      <c r="J2880"/>
      <c r="K2880"/>
      <c r="L2880"/>
      <c r="M2880"/>
      <c r="N2880"/>
      <c r="O2880"/>
    </row>
    <row r="2881" spans="1:15" x14ac:dyDescent="0.25">
      <c r="A2881"/>
      <c r="B2881"/>
      <c r="C2881"/>
      <c r="D2881"/>
      <c r="E2881"/>
      <c r="F2881"/>
      <c r="G2881"/>
      <c r="H2881"/>
      <c r="I2881"/>
      <c r="J2881"/>
      <c r="K2881"/>
      <c r="L2881"/>
      <c r="M2881"/>
      <c r="N2881"/>
      <c r="O2881"/>
    </row>
    <row r="2882" spans="1:15" x14ac:dyDescent="0.25">
      <c r="A2882"/>
      <c r="B2882"/>
      <c r="C2882"/>
      <c r="D2882"/>
      <c r="E2882"/>
      <c r="F2882"/>
      <c r="G2882"/>
      <c r="H2882"/>
      <c r="I2882"/>
      <c r="J2882"/>
      <c r="K2882"/>
      <c r="L2882"/>
      <c r="M2882"/>
      <c r="N2882"/>
      <c r="O2882"/>
    </row>
    <row r="2883" spans="1:15" x14ac:dyDescent="0.25">
      <c r="A2883"/>
      <c r="B2883"/>
      <c r="C2883"/>
      <c r="D2883"/>
      <c r="E2883"/>
      <c r="F2883"/>
      <c r="G2883"/>
      <c r="H2883"/>
      <c r="I2883"/>
      <c r="J2883"/>
      <c r="K2883"/>
      <c r="L2883"/>
      <c r="M2883"/>
      <c r="N2883"/>
      <c r="O2883"/>
    </row>
    <row r="2884" spans="1:15" x14ac:dyDescent="0.25">
      <c r="A2884"/>
      <c r="B2884"/>
      <c r="C2884"/>
      <c r="D2884"/>
      <c r="E2884"/>
      <c r="F2884"/>
      <c r="G2884"/>
      <c r="H2884"/>
      <c r="I2884"/>
      <c r="J2884"/>
      <c r="K2884"/>
      <c r="L2884"/>
      <c r="M2884"/>
      <c r="N2884"/>
      <c r="O2884"/>
    </row>
    <row r="2885" spans="1:15" x14ac:dyDescent="0.25">
      <c r="A2885"/>
      <c r="B2885"/>
      <c r="C2885"/>
      <c r="D2885"/>
      <c r="E2885"/>
      <c r="F2885"/>
      <c r="G2885"/>
      <c r="H2885"/>
      <c r="I2885"/>
      <c r="J2885"/>
      <c r="K2885"/>
      <c r="L2885"/>
      <c r="M2885"/>
      <c r="N2885"/>
      <c r="O2885"/>
    </row>
    <row r="2886" spans="1:15" x14ac:dyDescent="0.25">
      <c r="A2886"/>
      <c r="B2886"/>
      <c r="C2886"/>
      <c r="D2886"/>
      <c r="E2886"/>
      <c r="F2886"/>
      <c r="G2886"/>
      <c r="H2886"/>
      <c r="I2886"/>
      <c r="J2886"/>
      <c r="K2886"/>
      <c r="L2886"/>
      <c r="M2886"/>
      <c r="N2886"/>
      <c r="O2886"/>
    </row>
    <row r="2887" spans="1:15" x14ac:dyDescent="0.25">
      <c r="A2887"/>
      <c r="B2887"/>
      <c r="C2887"/>
      <c r="D2887"/>
      <c r="E2887"/>
      <c r="F2887"/>
      <c r="G2887"/>
      <c r="H2887"/>
      <c r="I2887"/>
      <c r="J2887"/>
      <c r="K2887"/>
      <c r="L2887"/>
      <c r="M2887"/>
      <c r="N2887"/>
      <c r="O2887"/>
    </row>
    <row r="2888" spans="1:15" x14ac:dyDescent="0.25">
      <c r="A2888"/>
      <c r="B2888"/>
      <c r="C2888"/>
      <c r="D2888"/>
      <c r="E2888"/>
      <c r="F2888"/>
      <c r="G2888"/>
      <c r="H2888"/>
      <c r="I2888"/>
      <c r="J2888"/>
      <c r="K2888"/>
      <c r="L2888"/>
      <c r="M2888"/>
      <c r="N2888"/>
      <c r="O2888"/>
    </row>
    <row r="2889" spans="1:15" x14ac:dyDescent="0.25">
      <c r="A2889"/>
      <c r="B2889"/>
      <c r="C2889"/>
      <c r="D2889"/>
      <c r="E2889"/>
      <c r="F2889"/>
      <c r="G2889"/>
      <c r="H2889"/>
      <c r="I2889"/>
      <c r="J2889"/>
      <c r="K2889"/>
      <c r="L2889"/>
      <c r="M2889"/>
      <c r="N2889"/>
      <c r="O2889"/>
    </row>
    <row r="2890" spans="1:15" x14ac:dyDescent="0.25">
      <c r="A2890"/>
      <c r="B2890"/>
      <c r="C2890"/>
      <c r="D2890"/>
      <c r="E2890"/>
      <c r="F2890"/>
      <c r="G2890"/>
      <c r="H2890"/>
      <c r="I2890"/>
      <c r="J2890"/>
      <c r="K2890"/>
      <c r="L2890"/>
      <c r="M2890"/>
      <c r="N2890"/>
      <c r="O2890"/>
    </row>
    <row r="2891" spans="1:15" x14ac:dyDescent="0.25">
      <c r="A2891"/>
      <c r="B2891"/>
      <c r="C2891"/>
      <c r="D2891"/>
      <c r="E2891"/>
      <c r="F2891"/>
      <c r="G2891"/>
      <c r="H2891"/>
      <c r="I2891"/>
      <c r="J2891"/>
      <c r="K2891"/>
      <c r="L2891"/>
      <c r="M2891"/>
      <c r="N2891"/>
      <c r="O2891"/>
    </row>
    <row r="2892" spans="1:15" x14ac:dyDescent="0.25">
      <c r="A2892"/>
      <c r="B2892"/>
      <c r="C2892"/>
      <c r="D2892"/>
      <c r="E2892"/>
      <c r="F2892"/>
      <c r="G2892"/>
      <c r="H2892"/>
      <c r="I2892"/>
      <c r="J2892"/>
      <c r="K2892"/>
      <c r="L2892"/>
      <c r="M2892"/>
      <c r="N2892"/>
      <c r="O2892"/>
    </row>
    <row r="2893" spans="1:15" x14ac:dyDescent="0.25">
      <c r="A2893"/>
      <c r="B2893"/>
      <c r="C2893"/>
      <c r="D2893"/>
      <c r="E2893"/>
      <c r="F2893"/>
      <c r="G2893"/>
      <c r="H2893"/>
      <c r="I2893"/>
      <c r="J2893"/>
      <c r="K2893"/>
      <c r="L2893"/>
      <c r="M2893"/>
      <c r="N2893"/>
      <c r="O2893"/>
    </row>
    <row r="2894" spans="1:15" x14ac:dyDescent="0.25">
      <c r="A2894"/>
      <c r="B2894"/>
      <c r="C2894"/>
      <c r="D2894"/>
      <c r="E2894"/>
      <c r="F2894"/>
      <c r="G2894"/>
      <c r="H2894"/>
      <c r="I2894"/>
      <c r="J2894"/>
      <c r="K2894"/>
      <c r="L2894"/>
      <c r="M2894"/>
      <c r="N2894"/>
      <c r="O2894"/>
    </row>
    <row r="2895" spans="1:15" x14ac:dyDescent="0.25">
      <c r="A2895"/>
      <c r="B2895"/>
      <c r="C2895"/>
      <c r="D2895"/>
      <c r="E2895"/>
      <c r="F2895"/>
      <c r="G2895"/>
      <c r="H2895"/>
      <c r="I2895"/>
      <c r="J2895"/>
      <c r="K2895"/>
      <c r="L2895"/>
      <c r="M2895"/>
      <c r="N2895"/>
      <c r="O2895"/>
    </row>
    <row r="2896" spans="1:15" x14ac:dyDescent="0.25">
      <c r="A2896"/>
      <c r="B2896"/>
      <c r="C2896"/>
      <c r="D2896"/>
      <c r="E2896"/>
      <c r="F2896"/>
      <c r="G2896"/>
      <c r="H2896"/>
      <c r="I2896"/>
      <c r="J2896"/>
      <c r="K2896"/>
      <c r="L2896"/>
      <c r="M2896"/>
      <c r="N2896"/>
      <c r="O2896"/>
    </row>
    <row r="2897" spans="1:15" x14ac:dyDescent="0.25">
      <c r="A2897"/>
      <c r="B2897"/>
      <c r="C2897"/>
      <c r="D2897"/>
      <c r="E2897"/>
      <c r="F2897"/>
      <c r="G2897"/>
      <c r="H2897"/>
      <c r="I2897"/>
      <c r="J2897"/>
      <c r="K2897"/>
      <c r="L2897"/>
      <c r="M2897"/>
      <c r="N2897"/>
      <c r="O2897"/>
    </row>
    <row r="2898" spans="1:15" x14ac:dyDescent="0.25">
      <c r="A2898"/>
      <c r="B2898"/>
      <c r="C2898"/>
      <c r="D2898"/>
      <c r="E2898"/>
      <c r="F2898"/>
      <c r="G2898"/>
      <c r="H2898"/>
      <c r="I2898"/>
      <c r="J2898"/>
      <c r="K2898"/>
      <c r="L2898"/>
      <c r="M2898"/>
      <c r="N2898"/>
      <c r="O2898"/>
    </row>
    <row r="2899" spans="1:15" x14ac:dyDescent="0.25">
      <c r="A2899"/>
      <c r="B2899"/>
      <c r="C2899"/>
      <c r="D2899"/>
      <c r="E2899"/>
      <c r="F2899"/>
      <c r="G2899"/>
      <c r="H2899"/>
      <c r="I2899"/>
      <c r="J2899"/>
      <c r="K2899"/>
      <c r="L2899"/>
      <c r="M2899"/>
      <c r="N2899"/>
      <c r="O2899"/>
    </row>
    <row r="2900" spans="1:15" x14ac:dyDescent="0.25">
      <c r="A2900"/>
      <c r="B2900"/>
      <c r="C2900"/>
      <c r="D2900"/>
      <c r="E2900"/>
      <c r="F2900"/>
      <c r="G2900"/>
      <c r="H2900"/>
      <c r="I2900"/>
      <c r="J2900"/>
      <c r="K2900"/>
      <c r="L2900"/>
      <c r="M2900"/>
      <c r="N2900"/>
      <c r="O2900"/>
    </row>
    <row r="2901" spans="1:15" x14ac:dyDescent="0.25">
      <c r="A2901"/>
      <c r="B2901"/>
      <c r="C2901"/>
      <c r="D2901"/>
      <c r="E2901"/>
      <c r="F2901"/>
      <c r="G2901"/>
      <c r="H2901"/>
      <c r="I2901"/>
      <c r="J2901"/>
      <c r="K2901"/>
      <c r="L2901"/>
      <c r="M2901"/>
      <c r="N2901"/>
      <c r="O2901"/>
    </row>
    <row r="2902" spans="1:15" x14ac:dyDescent="0.25">
      <c r="A2902"/>
      <c r="B2902"/>
      <c r="C2902"/>
      <c r="D2902"/>
      <c r="E2902"/>
      <c r="F2902"/>
      <c r="G2902"/>
      <c r="H2902"/>
      <c r="I2902"/>
      <c r="J2902"/>
      <c r="K2902"/>
      <c r="L2902"/>
      <c r="M2902"/>
      <c r="N2902"/>
      <c r="O2902"/>
    </row>
    <row r="2903" spans="1:15" x14ac:dyDescent="0.25">
      <c r="A2903"/>
      <c r="B2903"/>
      <c r="C2903"/>
      <c r="D2903"/>
      <c r="E2903"/>
      <c r="F2903"/>
      <c r="G2903"/>
      <c r="H2903"/>
      <c r="I2903"/>
      <c r="J2903"/>
      <c r="K2903"/>
      <c r="L2903"/>
      <c r="M2903"/>
      <c r="N2903"/>
      <c r="O2903"/>
    </row>
    <row r="2904" spans="1:15" x14ac:dyDescent="0.25">
      <c r="A2904"/>
      <c r="B2904"/>
      <c r="C2904"/>
      <c r="D2904"/>
      <c r="E2904"/>
      <c r="F2904"/>
      <c r="G2904"/>
      <c r="H2904"/>
      <c r="I2904"/>
      <c r="J2904"/>
      <c r="K2904"/>
      <c r="L2904"/>
      <c r="M2904"/>
      <c r="N2904"/>
      <c r="O2904"/>
    </row>
    <row r="2905" spans="1:15" x14ac:dyDescent="0.25">
      <c r="A2905"/>
      <c r="B2905"/>
      <c r="C2905"/>
      <c r="D2905"/>
      <c r="E2905"/>
      <c r="F2905"/>
      <c r="G2905"/>
      <c r="H2905"/>
      <c r="I2905"/>
      <c r="J2905"/>
      <c r="K2905"/>
      <c r="L2905"/>
      <c r="M2905"/>
      <c r="N2905"/>
      <c r="O2905"/>
    </row>
    <row r="2906" spans="1:15" x14ac:dyDescent="0.25">
      <c r="A2906"/>
      <c r="B2906"/>
      <c r="C2906"/>
      <c r="D2906"/>
      <c r="E2906"/>
      <c r="F2906"/>
      <c r="G2906"/>
      <c r="H2906"/>
      <c r="I2906"/>
      <c r="J2906"/>
      <c r="K2906"/>
      <c r="L2906"/>
      <c r="M2906"/>
      <c r="N2906"/>
      <c r="O2906"/>
    </row>
    <row r="2907" spans="1:15" x14ac:dyDescent="0.25">
      <c r="A2907"/>
      <c r="B2907"/>
      <c r="C2907"/>
      <c r="D2907"/>
      <c r="E2907"/>
      <c r="F2907"/>
      <c r="G2907"/>
      <c r="H2907"/>
      <c r="I2907"/>
      <c r="J2907"/>
      <c r="K2907"/>
      <c r="L2907"/>
      <c r="M2907"/>
      <c r="N2907"/>
      <c r="O2907"/>
    </row>
    <row r="2908" spans="1:15" x14ac:dyDescent="0.25">
      <c r="A2908"/>
      <c r="B2908"/>
      <c r="C2908"/>
      <c r="D2908"/>
      <c r="E2908"/>
      <c r="F2908"/>
      <c r="G2908"/>
      <c r="H2908"/>
      <c r="I2908"/>
      <c r="J2908"/>
      <c r="K2908"/>
      <c r="L2908"/>
      <c r="M2908"/>
      <c r="N2908"/>
      <c r="O2908"/>
    </row>
    <row r="2909" spans="1:15" x14ac:dyDescent="0.25">
      <c r="A2909"/>
      <c r="B2909"/>
      <c r="C2909"/>
      <c r="D2909"/>
      <c r="E2909"/>
      <c r="F2909"/>
      <c r="G2909"/>
      <c r="H2909"/>
      <c r="I2909"/>
      <c r="J2909"/>
      <c r="K2909"/>
      <c r="L2909"/>
      <c r="M2909"/>
      <c r="N2909"/>
      <c r="O2909"/>
    </row>
    <row r="2910" spans="1:15" x14ac:dyDescent="0.25">
      <c r="A2910"/>
      <c r="B2910"/>
      <c r="C2910"/>
      <c r="D2910"/>
      <c r="E2910"/>
      <c r="F2910"/>
      <c r="G2910"/>
      <c r="H2910"/>
      <c r="I2910"/>
      <c r="J2910"/>
      <c r="K2910"/>
      <c r="L2910"/>
      <c r="M2910"/>
      <c r="N2910"/>
      <c r="O2910"/>
    </row>
    <row r="2911" spans="1:15" x14ac:dyDescent="0.25">
      <c r="A2911"/>
      <c r="B2911"/>
      <c r="C2911"/>
      <c r="D2911"/>
      <c r="E2911"/>
      <c r="F2911"/>
      <c r="G2911"/>
      <c r="H2911"/>
      <c r="I2911"/>
      <c r="J2911"/>
      <c r="K2911"/>
      <c r="L2911"/>
      <c r="M2911"/>
      <c r="N2911"/>
      <c r="O2911"/>
    </row>
    <row r="2912" spans="1:15" x14ac:dyDescent="0.25">
      <c r="A2912"/>
      <c r="B2912"/>
      <c r="C2912"/>
      <c r="D2912"/>
      <c r="E2912"/>
      <c r="F2912"/>
      <c r="G2912"/>
      <c r="H2912"/>
      <c r="I2912"/>
      <c r="J2912"/>
      <c r="K2912"/>
      <c r="L2912"/>
      <c r="M2912"/>
      <c r="N2912"/>
      <c r="O2912"/>
    </row>
    <row r="2913" spans="1:15" x14ac:dyDescent="0.25">
      <c r="A2913"/>
      <c r="B2913"/>
      <c r="C2913"/>
      <c r="D2913"/>
      <c r="E2913"/>
      <c r="F2913"/>
      <c r="G2913"/>
      <c r="H2913"/>
      <c r="I2913"/>
      <c r="J2913"/>
      <c r="K2913"/>
      <c r="L2913"/>
      <c r="M2913"/>
      <c r="N2913"/>
      <c r="O2913"/>
    </row>
    <row r="2914" spans="1:15" x14ac:dyDescent="0.25">
      <c r="A2914"/>
      <c r="B2914"/>
      <c r="C2914"/>
      <c r="D2914"/>
      <c r="E2914"/>
      <c r="F2914"/>
      <c r="G2914"/>
      <c r="H2914"/>
      <c r="I2914"/>
      <c r="J2914"/>
      <c r="K2914"/>
      <c r="L2914"/>
      <c r="M2914"/>
      <c r="N2914"/>
      <c r="O2914"/>
    </row>
    <row r="2915" spans="1:15" x14ac:dyDescent="0.25">
      <c r="A2915"/>
      <c r="B2915"/>
      <c r="C2915"/>
      <c r="D2915"/>
      <c r="E2915"/>
      <c r="F2915"/>
      <c r="G2915"/>
      <c r="H2915"/>
      <c r="I2915"/>
      <c r="J2915"/>
      <c r="K2915"/>
      <c r="L2915"/>
      <c r="M2915"/>
      <c r="N2915"/>
      <c r="O2915"/>
    </row>
    <row r="2916" spans="1:15" x14ac:dyDescent="0.25">
      <c r="A2916"/>
      <c r="B2916"/>
      <c r="C2916"/>
      <c r="D2916"/>
      <c r="E2916"/>
      <c r="F2916"/>
      <c r="G2916"/>
      <c r="H2916"/>
      <c r="I2916"/>
      <c r="J2916"/>
      <c r="K2916"/>
      <c r="L2916"/>
      <c r="M2916"/>
      <c r="N2916"/>
      <c r="O2916"/>
    </row>
    <row r="2917" spans="1:15" x14ac:dyDescent="0.25">
      <c r="A2917"/>
      <c r="B2917"/>
      <c r="C2917"/>
      <c r="D2917"/>
      <c r="E2917"/>
      <c r="F2917"/>
      <c r="G2917"/>
      <c r="H2917"/>
      <c r="I2917"/>
      <c r="J2917"/>
      <c r="K2917"/>
      <c r="L2917"/>
      <c r="M2917"/>
      <c r="N2917"/>
      <c r="O2917"/>
    </row>
    <row r="2918" spans="1:15" x14ac:dyDescent="0.25">
      <c r="A2918"/>
      <c r="B2918"/>
      <c r="C2918"/>
      <c r="D2918"/>
      <c r="E2918"/>
      <c r="F2918"/>
      <c r="G2918"/>
      <c r="H2918"/>
      <c r="I2918"/>
      <c r="J2918"/>
      <c r="K2918"/>
      <c r="L2918"/>
      <c r="M2918"/>
      <c r="N2918"/>
      <c r="O2918"/>
    </row>
    <row r="2919" spans="1:15" x14ac:dyDescent="0.25">
      <c r="A2919"/>
      <c r="B2919"/>
      <c r="C2919"/>
      <c r="D2919"/>
      <c r="E2919"/>
      <c r="F2919"/>
      <c r="G2919"/>
      <c r="H2919"/>
      <c r="I2919"/>
      <c r="J2919"/>
      <c r="K2919"/>
      <c r="L2919"/>
      <c r="M2919"/>
      <c r="N2919"/>
      <c r="O2919"/>
    </row>
    <row r="2920" spans="1:15" x14ac:dyDescent="0.25">
      <c r="A2920"/>
      <c r="B2920"/>
      <c r="C2920"/>
      <c r="D2920"/>
      <c r="E2920"/>
      <c r="F2920"/>
      <c r="G2920"/>
      <c r="H2920"/>
      <c r="I2920"/>
      <c r="J2920"/>
      <c r="K2920"/>
      <c r="L2920"/>
      <c r="M2920"/>
      <c r="N2920"/>
      <c r="O2920"/>
    </row>
    <row r="2921" spans="1:15" x14ac:dyDescent="0.25">
      <c r="A2921"/>
      <c r="B2921"/>
      <c r="C2921"/>
      <c r="D2921"/>
      <c r="E2921"/>
      <c r="F2921"/>
      <c r="G2921"/>
      <c r="H2921"/>
      <c r="I2921"/>
      <c r="J2921"/>
      <c r="K2921"/>
      <c r="L2921"/>
      <c r="M2921"/>
      <c r="N2921"/>
      <c r="O2921"/>
    </row>
    <row r="2922" spans="1:15" x14ac:dyDescent="0.25">
      <c r="A2922"/>
      <c r="B2922"/>
      <c r="C2922"/>
      <c r="D2922"/>
      <c r="E2922"/>
      <c r="F2922"/>
      <c r="G2922"/>
      <c r="H2922"/>
      <c r="I2922"/>
      <c r="J2922"/>
      <c r="K2922"/>
      <c r="L2922"/>
      <c r="M2922"/>
      <c r="N2922"/>
      <c r="O2922"/>
    </row>
    <row r="2923" spans="1:15" x14ac:dyDescent="0.25">
      <c r="A2923"/>
      <c r="B2923"/>
      <c r="C2923"/>
      <c r="D2923"/>
      <c r="E2923"/>
      <c r="F2923"/>
      <c r="G2923"/>
      <c r="H2923"/>
      <c r="I2923"/>
      <c r="J2923"/>
      <c r="K2923"/>
      <c r="L2923"/>
      <c r="M2923"/>
      <c r="N2923"/>
      <c r="O2923"/>
    </row>
    <row r="2924" spans="1:15" x14ac:dyDescent="0.25">
      <c r="A2924"/>
      <c r="B2924"/>
      <c r="C2924"/>
      <c r="D2924"/>
      <c r="E2924"/>
      <c r="F2924"/>
      <c r="G2924"/>
      <c r="H2924"/>
      <c r="I2924"/>
      <c r="J2924"/>
      <c r="K2924"/>
      <c r="L2924"/>
      <c r="M2924"/>
      <c r="N2924"/>
      <c r="O2924"/>
    </row>
    <row r="2925" spans="1:15" x14ac:dyDescent="0.25">
      <c r="A2925"/>
      <c r="B2925"/>
      <c r="C2925"/>
      <c r="D2925"/>
      <c r="E2925"/>
      <c r="F2925"/>
      <c r="G2925"/>
      <c r="H2925"/>
      <c r="I2925"/>
      <c r="J2925"/>
      <c r="K2925"/>
      <c r="L2925"/>
      <c r="M2925"/>
      <c r="N2925"/>
      <c r="O2925"/>
    </row>
    <row r="2926" spans="1:15" x14ac:dyDescent="0.25">
      <c r="A2926"/>
      <c r="B2926"/>
      <c r="C2926"/>
      <c r="D2926"/>
      <c r="E2926"/>
      <c r="F2926"/>
      <c r="G2926"/>
      <c r="H2926"/>
      <c r="I2926"/>
      <c r="J2926"/>
      <c r="K2926"/>
      <c r="L2926"/>
      <c r="M2926"/>
      <c r="N2926"/>
      <c r="O2926"/>
    </row>
    <row r="2927" spans="1:15" x14ac:dyDescent="0.25">
      <c r="A2927"/>
      <c r="B2927"/>
      <c r="C2927"/>
      <c r="D2927"/>
      <c r="E2927"/>
      <c r="F2927"/>
      <c r="G2927"/>
      <c r="H2927"/>
      <c r="I2927"/>
      <c r="J2927"/>
      <c r="K2927"/>
      <c r="L2927"/>
      <c r="M2927"/>
      <c r="N2927"/>
      <c r="O2927"/>
    </row>
    <row r="2928" spans="1:15" x14ac:dyDescent="0.25">
      <c r="A2928"/>
      <c r="B2928"/>
      <c r="C2928"/>
      <c r="D2928"/>
      <c r="E2928"/>
      <c r="F2928"/>
      <c r="G2928"/>
      <c r="H2928"/>
      <c r="I2928"/>
      <c r="J2928"/>
      <c r="K2928"/>
      <c r="L2928"/>
      <c r="M2928"/>
      <c r="N2928"/>
      <c r="O2928"/>
    </row>
    <row r="2929" spans="1:15" x14ac:dyDescent="0.25">
      <c r="A2929"/>
      <c r="B2929"/>
      <c r="C2929"/>
      <c r="D2929"/>
      <c r="E2929"/>
      <c r="F2929"/>
      <c r="G2929"/>
      <c r="H2929"/>
      <c r="I2929"/>
      <c r="J2929"/>
      <c r="K2929"/>
      <c r="L2929"/>
      <c r="M2929"/>
      <c r="N2929"/>
      <c r="O2929"/>
    </row>
    <row r="2930" spans="1:15" x14ac:dyDescent="0.25">
      <c r="A2930"/>
      <c r="B2930"/>
      <c r="C2930"/>
      <c r="D2930"/>
      <c r="E2930"/>
      <c r="F2930"/>
      <c r="G2930"/>
      <c r="H2930"/>
      <c r="I2930"/>
      <c r="J2930"/>
      <c r="K2930"/>
      <c r="L2930"/>
      <c r="M2930"/>
      <c r="N2930"/>
      <c r="O2930"/>
    </row>
    <row r="2931" spans="1:15" x14ac:dyDescent="0.25">
      <c r="A2931"/>
      <c r="B2931"/>
      <c r="C2931"/>
      <c r="D2931"/>
      <c r="E2931"/>
      <c r="F2931"/>
      <c r="G2931"/>
      <c r="H2931"/>
      <c r="I2931"/>
      <c r="J2931"/>
      <c r="K2931"/>
      <c r="L2931"/>
      <c r="M2931"/>
      <c r="N2931"/>
      <c r="O2931"/>
    </row>
    <row r="2932" spans="1:15" x14ac:dyDescent="0.25">
      <c r="A2932"/>
      <c r="B2932"/>
      <c r="C2932"/>
      <c r="D2932"/>
      <c r="E2932"/>
      <c r="F2932"/>
      <c r="G2932"/>
      <c r="H2932"/>
      <c r="I2932"/>
      <c r="J2932"/>
      <c r="K2932"/>
      <c r="L2932"/>
      <c r="M2932"/>
      <c r="N2932"/>
      <c r="O2932"/>
    </row>
    <row r="2933" spans="1:15" x14ac:dyDescent="0.25">
      <c r="A2933"/>
      <c r="B2933"/>
      <c r="C2933"/>
      <c r="D2933"/>
      <c r="E2933"/>
      <c r="F2933"/>
      <c r="G2933"/>
      <c r="H2933"/>
      <c r="I2933"/>
      <c r="J2933"/>
      <c r="K2933"/>
      <c r="L2933"/>
      <c r="M2933"/>
      <c r="N2933"/>
      <c r="O2933"/>
    </row>
    <row r="2934" spans="1:15" x14ac:dyDescent="0.25">
      <c r="A2934"/>
      <c r="B2934"/>
      <c r="C2934"/>
      <c r="D2934"/>
      <c r="E2934"/>
      <c r="F2934"/>
      <c r="G2934"/>
      <c r="H2934"/>
      <c r="I2934"/>
      <c r="J2934"/>
      <c r="K2934"/>
      <c r="L2934"/>
      <c r="M2934"/>
      <c r="N2934"/>
      <c r="O2934"/>
    </row>
    <row r="2935" spans="1:15" x14ac:dyDescent="0.25">
      <c r="A2935"/>
      <c r="B2935"/>
      <c r="C2935"/>
      <c r="D2935"/>
      <c r="E2935"/>
      <c r="F2935"/>
      <c r="G2935"/>
      <c r="H2935"/>
      <c r="I2935"/>
      <c r="J2935"/>
      <c r="K2935"/>
      <c r="L2935"/>
      <c r="M2935"/>
      <c r="N2935"/>
      <c r="O2935"/>
    </row>
    <row r="2936" spans="1:15" x14ac:dyDescent="0.25">
      <c r="A2936"/>
      <c r="B2936"/>
      <c r="C2936"/>
      <c r="D2936"/>
      <c r="E2936"/>
      <c r="F2936"/>
      <c r="G2936"/>
      <c r="H2936"/>
      <c r="I2936"/>
      <c r="J2936"/>
      <c r="K2936"/>
      <c r="L2936"/>
      <c r="M2936"/>
      <c r="N2936"/>
      <c r="O2936"/>
    </row>
    <row r="2937" spans="1:15" x14ac:dyDescent="0.25">
      <c r="A2937"/>
      <c r="B2937"/>
      <c r="C2937"/>
      <c r="D2937"/>
      <c r="E2937"/>
      <c r="F2937"/>
      <c r="G2937"/>
      <c r="H2937"/>
      <c r="I2937"/>
      <c r="J2937"/>
      <c r="K2937"/>
      <c r="L2937"/>
      <c r="M2937"/>
      <c r="N2937"/>
      <c r="O2937"/>
    </row>
    <row r="2938" spans="1:15" x14ac:dyDescent="0.25">
      <c r="A2938"/>
      <c r="B2938"/>
      <c r="C2938"/>
      <c r="D2938"/>
      <c r="E2938"/>
      <c r="F2938"/>
      <c r="G2938"/>
      <c r="H2938"/>
      <c r="I2938"/>
      <c r="J2938"/>
      <c r="K2938"/>
      <c r="L2938"/>
      <c r="M2938"/>
      <c r="N2938"/>
      <c r="O2938"/>
    </row>
    <row r="2939" spans="1:15" x14ac:dyDescent="0.25">
      <c r="A2939"/>
      <c r="B2939"/>
      <c r="C2939"/>
      <c r="D2939"/>
      <c r="E2939"/>
      <c r="F2939"/>
      <c r="G2939"/>
      <c r="H2939"/>
      <c r="I2939"/>
      <c r="J2939"/>
      <c r="K2939"/>
      <c r="L2939"/>
      <c r="M2939"/>
      <c r="N2939"/>
      <c r="O2939"/>
    </row>
    <row r="2940" spans="1:15" x14ac:dyDescent="0.25">
      <c r="A2940"/>
      <c r="B2940"/>
      <c r="C2940"/>
      <c r="D2940"/>
      <c r="E2940"/>
      <c r="F2940"/>
      <c r="G2940"/>
      <c r="H2940"/>
      <c r="I2940"/>
      <c r="J2940"/>
      <c r="K2940"/>
      <c r="L2940"/>
      <c r="M2940"/>
      <c r="N2940"/>
      <c r="O2940"/>
    </row>
    <row r="2941" spans="1:15" x14ac:dyDescent="0.25">
      <c r="A2941"/>
      <c r="B2941"/>
      <c r="C2941"/>
      <c r="D2941"/>
      <c r="E2941"/>
      <c r="F2941"/>
      <c r="G2941"/>
      <c r="H2941"/>
      <c r="I2941"/>
      <c r="J2941"/>
      <c r="K2941"/>
      <c r="L2941"/>
      <c r="M2941"/>
      <c r="N2941"/>
      <c r="O2941"/>
    </row>
    <row r="2942" spans="1:15" x14ac:dyDescent="0.25">
      <c r="A2942"/>
      <c r="B2942"/>
      <c r="C2942"/>
      <c r="D2942"/>
      <c r="E2942"/>
      <c r="F2942"/>
      <c r="G2942"/>
      <c r="H2942"/>
      <c r="I2942"/>
      <c r="J2942"/>
      <c r="K2942"/>
      <c r="L2942"/>
      <c r="M2942"/>
      <c r="N2942"/>
      <c r="O2942"/>
    </row>
    <row r="2943" spans="1:15" x14ac:dyDescent="0.25">
      <c r="A2943"/>
      <c r="B2943"/>
      <c r="C2943"/>
      <c r="D2943"/>
      <c r="E2943"/>
      <c r="F2943"/>
      <c r="G2943"/>
      <c r="H2943"/>
      <c r="I2943"/>
      <c r="J2943"/>
      <c r="K2943"/>
      <c r="L2943"/>
      <c r="M2943"/>
      <c r="N2943"/>
      <c r="O2943"/>
    </row>
    <row r="2944" spans="1:15" x14ac:dyDescent="0.25">
      <c r="A2944"/>
      <c r="B2944"/>
      <c r="C2944"/>
      <c r="D2944"/>
      <c r="E2944"/>
      <c r="F2944"/>
      <c r="G2944"/>
      <c r="H2944"/>
      <c r="I2944"/>
      <c r="J2944"/>
      <c r="K2944"/>
      <c r="L2944"/>
      <c r="M2944"/>
      <c r="N2944"/>
      <c r="O2944"/>
    </row>
    <row r="2945" spans="1:15" x14ac:dyDescent="0.25">
      <c r="A2945"/>
      <c r="B2945"/>
      <c r="C2945"/>
      <c r="D2945"/>
      <c r="E2945"/>
      <c r="F2945"/>
      <c r="G2945"/>
      <c r="H2945"/>
      <c r="I2945"/>
      <c r="J2945"/>
      <c r="K2945"/>
      <c r="L2945"/>
      <c r="M2945"/>
      <c r="N2945"/>
      <c r="O2945"/>
    </row>
    <row r="2946" spans="1:15" x14ac:dyDescent="0.25">
      <c r="A2946"/>
      <c r="B2946"/>
      <c r="C2946"/>
      <c r="D2946"/>
      <c r="E2946"/>
      <c r="F2946"/>
      <c r="G2946"/>
      <c r="H2946"/>
      <c r="I2946"/>
      <c r="J2946"/>
      <c r="K2946"/>
      <c r="L2946"/>
      <c r="M2946"/>
      <c r="N2946"/>
      <c r="O2946"/>
    </row>
    <row r="2947" spans="1:15" x14ac:dyDescent="0.25">
      <c r="A2947"/>
      <c r="B2947"/>
      <c r="C2947"/>
      <c r="D2947"/>
      <c r="E2947"/>
      <c r="F2947"/>
      <c r="G2947"/>
      <c r="H2947"/>
      <c r="I2947"/>
      <c r="J2947"/>
      <c r="K2947"/>
      <c r="L2947"/>
      <c r="M2947"/>
      <c r="N2947"/>
      <c r="O2947"/>
    </row>
    <row r="2948" spans="1:15" x14ac:dyDescent="0.25">
      <c r="A2948"/>
      <c r="B2948"/>
      <c r="C2948"/>
      <c r="D2948"/>
      <c r="E2948"/>
      <c r="F2948"/>
      <c r="G2948"/>
      <c r="H2948"/>
      <c r="I2948"/>
      <c r="J2948"/>
      <c r="K2948"/>
      <c r="L2948"/>
      <c r="M2948"/>
      <c r="N2948"/>
      <c r="O2948"/>
    </row>
    <row r="2949" spans="1:15" x14ac:dyDescent="0.25">
      <c r="A2949"/>
      <c r="B2949"/>
      <c r="C2949"/>
      <c r="D2949"/>
      <c r="E2949"/>
      <c r="F2949"/>
      <c r="G2949"/>
      <c r="H2949"/>
      <c r="I2949"/>
      <c r="J2949"/>
      <c r="K2949"/>
      <c r="L2949"/>
      <c r="M2949"/>
      <c r="N2949"/>
      <c r="O2949"/>
    </row>
    <row r="2950" spans="1:15" x14ac:dyDescent="0.25">
      <c r="A2950"/>
      <c r="B2950"/>
      <c r="C2950"/>
      <c r="D2950"/>
      <c r="E2950"/>
      <c r="F2950"/>
      <c r="G2950"/>
      <c r="H2950"/>
      <c r="I2950"/>
      <c r="J2950"/>
      <c r="K2950"/>
      <c r="L2950"/>
      <c r="M2950"/>
      <c r="N2950"/>
      <c r="O2950"/>
    </row>
    <row r="2951" spans="1:15" x14ac:dyDescent="0.25">
      <c r="A2951"/>
      <c r="B2951"/>
      <c r="C2951"/>
      <c r="D2951"/>
      <c r="E2951"/>
      <c r="F2951"/>
      <c r="G2951"/>
      <c r="H2951"/>
      <c r="I2951"/>
      <c r="J2951"/>
      <c r="K2951"/>
      <c r="L2951"/>
      <c r="M2951"/>
      <c r="N2951"/>
      <c r="O2951"/>
    </row>
    <row r="2952" spans="1:15" x14ac:dyDescent="0.25">
      <c r="A2952"/>
      <c r="B2952"/>
      <c r="C2952"/>
      <c r="D2952"/>
      <c r="E2952"/>
      <c r="F2952"/>
      <c r="G2952"/>
      <c r="H2952"/>
      <c r="I2952"/>
      <c r="J2952"/>
      <c r="K2952"/>
      <c r="L2952"/>
      <c r="M2952"/>
      <c r="N2952"/>
      <c r="O2952"/>
    </row>
    <row r="2953" spans="1:15" x14ac:dyDescent="0.25">
      <c r="A2953"/>
      <c r="B2953"/>
      <c r="C2953"/>
      <c r="D2953"/>
      <c r="E2953"/>
      <c r="F2953"/>
      <c r="G2953"/>
      <c r="H2953"/>
      <c r="I2953"/>
      <c r="J2953"/>
      <c r="K2953"/>
      <c r="L2953"/>
      <c r="M2953"/>
      <c r="N2953"/>
      <c r="O2953"/>
    </row>
    <row r="2954" spans="1:15" x14ac:dyDescent="0.25">
      <c r="A2954"/>
      <c r="B2954"/>
      <c r="C2954"/>
      <c r="D2954"/>
      <c r="E2954"/>
      <c r="F2954"/>
      <c r="G2954"/>
      <c r="H2954"/>
      <c r="I2954"/>
      <c r="J2954"/>
      <c r="K2954"/>
      <c r="L2954"/>
      <c r="M2954"/>
      <c r="N2954"/>
      <c r="O2954"/>
    </row>
    <row r="2955" spans="1:15" x14ac:dyDescent="0.25">
      <c r="A2955"/>
      <c r="B2955"/>
      <c r="C2955"/>
      <c r="D2955"/>
      <c r="E2955"/>
      <c r="F2955"/>
      <c r="G2955"/>
      <c r="H2955"/>
      <c r="I2955"/>
      <c r="J2955"/>
      <c r="K2955"/>
      <c r="L2955"/>
      <c r="M2955"/>
      <c r="N2955"/>
      <c r="O2955"/>
    </row>
    <row r="2956" spans="1:15" x14ac:dyDescent="0.25">
      <c r="A2956"/>
      <c r="B2956"/>
      <c r="C2956"/>
      <c r="D2956"/>
      <c r="E2956"/>
      <c r="F2956"/>
      <c r="G2956"/>
      <c r="H2956"/>
      <c r="I2956"/>
      <c r="J2956"/>
      <c r="K2956"/>
      <c r="L2956"/>
      <c r="M2956"/>
      <c r="N2956"/>
      <c r="O2956"/>
    </row>
    <row r="2957" spans="1:15" x14ac:dyDescent="0.25">
      <c r="A2957"/>
      <c r="B2957"/>
      <c r="C2957"/>
      <c r="D2957"/>
      <c r="E2957"/>
      <c r="F2957"/>
      <c r="G2957"/>
      <c r="H2957"/>
      <c r="I2957"/>
      <c r="J2957"/>
      <c r="K2957"/>
      <c r="L2957"/>
      <c r="M2957"/>
      <c r="N2957"/>
      <c r="O2957"/>
    </row>
    <row r="2958" spans="1:15" x14ac:dyDescent="0.25">
      <c r="A2958"/>
      <c r="B2958"/>
      <c r="C2958"/>
      <c r="D2958"/>
      <c r="E2958"/>
      <c r="F2958"/>
      <c r="G2958"/>
      <c r="H2958"/>
      <c r="I2958"/>
      <c r="J2958"/>
      <c r="K2958"/>
      <c r="L2958"/>
      <c r="M2958"/>
      <c r="N2958"/>
      <c r="O2958"/>
    </row>
    <row r="2959" spans="1:15" x14ac:dyDescent="0.25">
      <c r="A2959"/>
      <c r="B2959"/>
      <c r="C2959"/>
      <c r="D2959"/>
      <c r="E2959"/>
      <c r="F2959"/>
      <c r="G2959"/>
      <c r="H2959"/>
      <c r="I2959"/>
      <c r="J2959"/>
      <c r="K2959"/>
      <c r="L2959"/>
      <c r="M2959"/>
      <c r="N2959"/>
      <c r="O2959"/>
    </row>
  </sheetData>
  <sheetProtection insertRows="0" deleteRows="0" sort="0" autoFilter="0" pivotTables="0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3F3172-BE27-48D6-A82A-DFEAE547A639}">
  <sheetPr codeName="Sheet3"/>
  <dimension ref="A1:B43"/>
  <sheetViews>
    <sheetView workbookViewId="0">
      <selection activeCell="F26" sqref="F26"/>
    </sheetView>
  </sheetViews>
  <sheetFormatPr defaultRowHeight="15" x14ac:dyDescent="0.25"/>
  <cols>
    <col min="1" max="1" width="14.140625" bestFit="1" customWidth="1"/>
    <col min="2" max="2" width="15.28515625" bestFit="1" customWidth="1"/>
    <col min="3" max="3" width="11.7109375" bestFit="1" customWidth="1"/>
    <col min="4" max="4" width="12.28515625" bestFit="1" customWidth="1"/>
    <col min="5" max="5" width="12.5703125" bestFit="1" customWidth="1"/>
    <col min="6" max="6" width="17" bestFit="1" customWidth="1"/>
    <col min="7" max="7" width="10.140625" bestFit="1" customWidth="1"/>
    <col min="8" max="8" width="15.5703125" bestFit="1" customWidth="1"/>
  </cols>
  <sheetData>
    <row r="1" spans="1:2" x14ac:dyDescent="0.25">
      <c r="A1"/>
      <c r="B1"/>
    </row>
    <row r="2" spans="1:2" x14ac:dyDescent="0.25">
      <c r="A2"/>
      <c r="B2"/>
    </row>
    <row r="3" spans="1:2" x14ac:dyDescent="0.25">
      <c r="A3"/>
      <c r="B3"/>
    </row>
    <row r="4" spans="1:2" x14ac:dyDescent="0.25">
      <c r="A4"/>
      <c r="B4"/>
    </row>
    <row r="5" spans="1:2" x14ac:dyDescent="0.25">
      <c r="A5"/>
      <c r="B5"/>
    </row>
    <row r="6" spans="1:2" x14ac:dyDescent="0.25">
      <c r="A6"/>
      <c r="B6"/>
    </row>
    <row r="7" spans="1:2" x14ac:dyDescent="0.25">
      <c r="A7"/>
      <c r="B7"/>
    </row>
    <row r="8" spans="1:2" x14ac:dyDescent="0.25">
      <c r="A8"/>
      <c r="B8"/>
    </row>
    <row r="9" spans="1:2" x14ac:dyDescent="0.25">
      <c r="A9"/>
      <c r="B9"/>
    </row>
    <row r="10" spans="1:2" x14ac:dyDescent="0.25">
      <c r="A10"/>
      <c r="B10"/>
    </row>
    <row r="11" spans="1:2" x14ac:dyDescent="0.25">
      <c r="A11"/>
      <c r="B11"/>
    </row>
    <row r="12" spans="1:2" x14ac:dyDescent="0.25">
      <c r="A12"/>
      <c r="B12"/>
    </row>
    <row r="13" spans="1:2" x14ac:dyDescent="0.25">
      <c r="A13"/>
      <c r="B13"/>
    </row>
    <row r="14" spans="1:2" x14ac:dyDescent="0.25">
      <c r="A14"/>
      <c r="B14"/>
    </row>
    <row r="15" spans="1:2" x14ac:dyDescent="0.25">
      <c r="A15"/>
      <c r="B15"/>
    </row>
    <row r="16" spans="1:2" x14ac:dyDescent="0.25">
      <c r="A16"/>
      <c r="B16"/>
    </row>
    <row r="17" spans="1:2" x14ac:dyDescent="0.25">
      <c r="A17"/>
      <c r="B17"/>
    </row>
    <row r="18" spans="1:2" x14ac:dyDescent="0.25">
      <c r="A18"/>
      <c r="B18"/>
    </row>
    <row r="19" spans="1:2" x14ac:dyDescent="0.25">
      <c r="A19"/>
      <c r="B19"/>
    </row>
    <row r="20" spans="1:2" x14ac:dyDescent="0.25">
      <c r="A20"/>
      <c r="B20"/>
    </row>
    <row r="21" spans="1:2" x14ac:dyDescent="0.25">
      <c r="A21"/>
      <c r="B21"/>
    </row>
    <row r="22" spans="1:2" x14ac:dyDescent="0.25">
      <c r="A22"/>
      <c r="B22"/>
    </row>
    <row r="23" spans="1:2" x14ac:dyDescent="0.25">
      <c r="A23"/>
      <c r="B23"/>
    </row>
    <row r="24" spans="1:2" x14ac:dyDescent="0.25">
      <c r="A24"/>
      <c r="B24"/>
    </row>
    <row r="25" spans="1:2" x14ac:dyDescent="0.25">
      <c r="A25"/>
      <c r="B25"/>
    </row>
    <row r="26" spans="1:2" x14ac:dyDescent="0.25">
      <c r="A26"/>
      <c r="B26"/>
    </row>
    <row r="27" spans="1:2" x14ac:dyDescent="0.25">
      <c r="A27"/>
      <c r="B27"/>
    </row>
    <row r="28" spans="1:2" x14ac:dyDescent="0.25">
      <c r="A28"/>
      <c r="B28"/>
    </row>
    <row r="29" spans="1:2" x14ac:dyDescent="0.25">
      <c r="A29"/>
      <c r="B29"/>
    </row>
    <row r="30" spans="1:2" x14ac:dyDescent="0.25">
      <c r="A30"/>
      <c r="B30"/>
    </row>
    <row r="31" spans="1:2" x14ac:dyDescent="0.25">
      <c r="A31"/>
      <c r="B31"/>
    </row>
    <row r="32" spans="1:2" x14ac:dyDescent="0.25">
      <c r="A32"/>
      <c r="B32"/>
    </row>
    <row r="33" spans="1:2" x14ac:dyDescent="0.25">
      <c r="A33"/>
      <c r="B33"/>
    </row>
    <row r="34" spans="1:2" x14ac:dyDescent="0.25">
      <c r="A34"/>
      <c r="B34"/>
    </row>
    <row r="35" spans="1:2" x14ac:dyDescent="0.25">
      <c r="A35"/>
      <c r="B35"/>
    </row>
    <row r="36" spans="1:2" x14ac:dyDescent="0.25">
      <c r="A36"/>
      <c r="B36"/>
    </row>
    <row r="37" spans="1:2" x14ac:dyDescent="0.25">
      <c r="A37"/>
      <c r="B37"/>
    </row>
    <row r="38" spans="1:2" x14ac:dyDescent="0.25">
      <c r="A38"/>
      <c r="B38"/>
    </row>
    <row r="39" spans="1:2" x14ac:dyDescent="0.25">
      <c r="A39"/>
      <c r="B39"/>
    </row>
    <row r="40" spans="1:2" x14ac:dyDescent="0.25">
      <c r="A40"/>
      <c r="B40"/>
    </row>
    <row r="41" spans="1:2" x14ac:dyDescent="0.25">
      <c r="A41"/>
      <c r="B41"/>
    </row>
    <row r="42" spans="1:2" x14ac:dyDescent="0.25">
      <c r="A42"/>
      <c r="B42"/>
    </row>
    <row r="43" spans="1:2" x14ac:dyDescent="0.25">
      <c r="A43"/>
      <c r="B43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777E128-C149-4D21-BD57-295BB01393E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Print</vt:lpstr>
      <vt:lpstr>Worksheet</vt:lpstr>
      <vt:lpstr>Unc. Lookup</vt:lpstr>
      <vt:lpstr>Items</vt:lpstr>
      <vt:lpstr>Print!Print_Area</vt:lpstr>
      <vt:lpstr>Worksheet!Print_Area</vt:lpstr>
      <vt:lpstr>Print!Print_Titles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JGI</dc:creator>
  <cp:lastModifiedBy>Jeff Hall</cp:lastModifiedBy>
  <cp:lastPrinted>2023-08-29T19:15:18Z</cp:lastPrinted>
  <dcterms:created xsi:type="dcterms:W3CDTF">2006-09-16T00:00:00Z</dcterms:created>
  <dcterms:modified xsi:type="dcterms:W3CDTF">2025-02-14T01:59:38Z</dcterms:modified>
</cp:coreProperties>
</file>