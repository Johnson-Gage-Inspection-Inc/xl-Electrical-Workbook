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Electrical-Workbook\"/>
    </mc:Choice>
  </mc:AlternateContent>
  <xr:revisionPtr revIDLastSave="0" documentId="13_ncr:1_{C0BD7815-D1F1-49E4-9CB1-A9BC54097C5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3" l="1" a="1"/>
  <c r="H22" i="3" a="1"/>
  <c r="H23" i="3" a="1"/>
  <c r="H12" i="3" a="1"/>
  <c r="H30" i="3" a="1"/>
  <c r="H26" i="3" a="1"/>
  <c r="H27" i="3" a="1"/>
  <c r="H28" i="3" a="1"/>
  <c r="H18" i="3" a="1"/>
  <c r="H25" i="3" a="1"/>
  <c r="H9" i="3" a="1"/>
  <c r="H11" i="3" a="1"/>
  <c r="H29" i="3" a="1"/>
  <c r="H24" i="3" a="1"/>
  <c r="H21" i="3" a="1"/>
  <c r="H13" i="3" a="1"/>
  <c r="H20" i="3" a="1"/>
  <c r="H19" i="3" a="1"/>
  <c r="H7" i="3" a="1"/>
  <c r="H10" i="3" a="1"/>
  <c r="H17" i="3" a="1"/>
  <c r="H14" i="3" a="1"/>
  <c r="H15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78" i="3" a="1"/>
  <c r="C108" i="3" a="1"/>
  <c r="C97" i="3" a="1"/>
  <c r="C56" i="3" a="1"/>
  <c r="C98" i="3" a="1"/>
  <c r="C39" i="3" a="1"/>
  <c r="C93" i="3" a="1"/>
  <c r="C83" i="3" a="1"/>
  <c r="C66" i="3" a="1"/>
  <c r="C90" i="3" a="1"/>
  <c r="C91" i="3" a="1"/>
  <c r="C62" i="3" a="1"/>
  <c r="C110" i="3" a="1"/>
  <c r="C69" i="3" a="1"/>
  <c r="C99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9" i="3" a="1"/>
  <c r="C95" i="3" a="1"/>
  <c r="C101" i="3" a="1"/>
  <c r="C107" i="3" a="1"/>
  <c r="C54" i="3" a="1"/>
  <c r="C84" i="3" a="1"/>
  <c r="C85" i="3" a="1"/>
  <c r="C32" i="3" a="1"/>
  <c r="C104" i="3" a="1"/>
  <c r="C63" i="3" a="1"/>
  <c r="C105" i="3" a="1"/>
  <c r="C18" i="3" a="1"/>
  <c r="C60" i="3" a="1"/>
  <c r="C96" i="3" a="1"/>
  <c r="C109" i="3" a="1"/>
  <c r="C68" i="3" a="1"/>
  <c r="C21" i="3" a="1"/>
  <c r="C87" i="3" a="1"/>
  <c r="C12" i="3" a="1"/>
  <c r="C24" i="3" a="1"/>
  <c r="C30" i="3" a="1"/>
  <c r="C36" i="3" a="1"/>
  <c r="C42" i="3" a="1"/>
  <c r="C48" i="3" a="1"/>
  <c r="C72" i="3" a="1"/>
  <c r="C102" i="3" a="1"/>
  <c r="C44" i="3" a="1"/>
  <c r="C92" i="3" a="1"/>
  <c r="C51" i="3" a="1"/>
  <c r="C61" i="3" a="1"/>
  <c r="C86" i="3" a="1"/>
  <c r="C33" i="3" a="1"/>
  <c r="C13" i="3" a="1"/>
  <c r="C19" i="3" a="1"/>
  <c r="C25" i="3" a="1"/>
  <c r="C31" i="3" a="1"/>
  <c r="C37" i="3" a="1"/>
  <c r="C43" i="3" a="1"/>
  <c r="C49" i="3" a="1"/>
  <c r="C55" i="3" a="1"/>
  <c r="C67" i="3" a="1"/>
  <c r="C73" i="3" a="1"/>
  <c r="C79" i="3" a="1"/>
  <c r="C103" i="3" a="1"/>
  <c r="C74" i="3" a="1"/>
  <c r="C27" i="3" a="1"/>
  <c r="C20" i="3" a="1"/>
  <c r="C26" i="3" a="1"/>
  <c r="C50" i="3" a="1"/>
  <c r="C80" i="3" a="1"/>
  <c r="C45" i="3" a="1"/>
  <c r="C38" i="3" a="1"/>
  <c r="C57" i="3" a="1"/>
  <c r="C75" i="3" a="1"/>
  <c r="C15" i="3" a="1"/>
  <c r="C81" i="3" a="1"/>
  <c r="C8" i="3" a="1"/>
  <c r="C9" i="3" a="1"/>
  <c r="C81" i="3" l="1"/>
  <c r="C15" i="3"/>
  <c r="C75" i="3"/>
  <c r="C57" i="3"/>
  <c r="C38" i="3"/>
  <c r="C45" i="3"/>
  <c r="C80" i="3"/>
  <c r="C50" i="3"/>
  <c r="C26" i="3"/>
  <c r="C20" i="3"/>
  <c r="C27" i="3"/>
  <c r="C74" i="3"/>
  <c r="C103" i="3"/>
  <c r="C79" i="3"/>
  <c r="C73" i="3"/>
  <c r="C67" i="3"/>
  <c r="C55" i="3"/>
  <c r="C49" i="3"/>
  <c r="C43" i="3"/>
  <c r="C37" i="3"/>
  <c r="C31" i="3"/>
  <c r="C25" i="3"/>
  <c r="C19" i="3"/>
  <c r="C13" i="3"/>
  <c r="C33" i="3"/>
  <c r="C86" i="3"/>
  <c r="C61" i="3"/>
  <c r="C51" i="3"/>
  <c r="C92" i="3"/>
  <c r="C44" i="3"/>
  <c r="C102" i="3"/>
  <c r="C72" i="3"/>
  <c r="C48" i="3"/>
  <c r="C42" i="3"/>
  <c r="C36" i="3"/>
  <c r="C30" i="3"/>
  <c r="C24" i="3"/>
  <c r="C12" i="3"/>
  <c r="C87" i="3"/>
  <c r="C21" i="3"/>
  <c r="C68" i="3"/>
  <c r="C109" i="3"/>
  <c r="C96" i="3"/>
  <c r="C60" i="3"/>
  <c r="C18" i="3"/>
  <c r="C105" i="3"/>
  <c r="C63" i="3"/>
  <c r="C104" i="3"/>
  <c r="C32" i="3"/>
  <c r="C85" i="3"/>
  <c r="C84" i="3"/>
  <c r="C54" i="3"/>
  <c r="C107" i="3"/>
  <c r="C101" i="3"/>
  <c r="C95" i="3"/>
  <c r="C89" i="3"/>
  <c r="C77" i="3"/>
  <c r="C71" i="3"/>
  <c r="C65" i="3"/>
  <c r="C59" i="3"/>
  <c r="C53" i="3"/>
  <c r="C47" i="3"/>
  <c r="C41" i="3"/>
  <c r="C35" i="3"/>
  <c r="C29" i="3"/>
  <c r="C23" i="3"/>
  <c r="C17" i="3"/>
  <c r="C11" i="3"/>
  <c r="C99" i="3"/>
  <c r="C69" i="3"/>
  <c r="C110" i="3"/>
  <c r="C62" i="3"/>
  <c r="C91" i="3"/>
  <c r="C90" i="3"/>
  <c r="C66" i="3"/>
  <c r="C83" i="3"/>
  <c r="C93" i="3"/>
  <c r="C39" i="3"/>
  <c r="C98" i="3"/>
  <c r="C56" i="3"/>
  <c r="C97" i="3"/>
  <c r="C108" i="3"/>
  <c r="C78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8" i="3"/>
  <c r="C9" i="3"/>
  <c r="H15" i="3"/>
  <c r="H19" i="3"/>
  <c r="H20" i="3"/>
  <c r="H13" i="3"/>
  <c r="H21" i="3"/>
  <c r="H14" i="3"/>
  <c r="H24" i="3"/>
  <c r="H29" i="3"/>
  <c r="H17" i="3"/>
  <c r="H11" i="3"/>
  <c r="H9" i="3"/>
  <c r="H25" i="3"/>
  <c r="H18" i="3"/>
  <c r="H28" i="3"/>
  <c r="H10" i="3"/>
  <c r="H27" i="3"/>
  <c r="H26" i="3"/>
  <c r="H30" i="3"/>
  <c r="H12" i="3"/>
  <c r="H23" i="3"/>
  <c r="H22" i="3"/>
  <c r="H16" i="3"/>
  <c r="H7" i="3"/>
  <c r="H8" i="3" a="1"/>
  <c r="H8" i="3"/>
  <c r="H6" i="3" a="1"/>
  <c r="H6" i="3" l="1"/>
  <c r="AB6" i="3" l="1"/>
  <c r="AC6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AB7" i="3" l="1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Y49" i="3" a="1"/>
  <c r="Y57" i="3" a="1"/>
  <c r="Y65" i="3" a="1"/>
  <c r="Y73" i="3" a="1"/>
  <c r="Y81" i="3" a="1"/>
  <c r="Y89" i="3" a="1"/>
  <c r="Y97" i="3" a="1"/>
  <c r="Y105" i="3" a="1"/>
  <c r="Y108" i="3" a="1"/>
  <c r="Y46" i="3" a="1"/>
  <c r="Y54" i="3" a="1"/>
  <c r="Y62" i="3" a="1"/>
  <c r="Y70" i="3" a="1"/>
  <c r="Y78" i="3" a="1"/>
  <c r="Y86" i="3" a="1"/>
  <c r="Y96" i="3" a="1"/>
  <c r="Y104" i="3" a="1"/>
  <c r="AG86" i="3" a="1"/>
  <c r="AG59" i="3" a="1"/>
  <c r="AG48" i="3" a="1"/>
  <c r="AG56" i="3" a="1"/>
  <c r="AG64" i="3" a="1"/>
  <c r="AG72" i="3" a="1"/>
  <c r="AG80" i="3" a="1"/>
  <c r="AG90" i="3" a="1"/>
  <c r="AG98" i="3" a="1"/>
  <c r="AG106" i="3" a="1"/>
  <c r="AG55" i="3" a="1"/>
  <c r="AG69" i="3" a="1"/>
  <c r="AG83" i="3" a="1"/>
  <c r="AG85" i="3" a="1"/>
  <c r="AG75" i="3" a="1"/>
  <c r="AG81" i="3" a="1"/>
  <c r="H46" i="3" a="1"/>
  <c r="H54" i="3" a="1"/>
  <c r="H62" i="3" a="1"/>
  <c r="H70" i="3" a="1"/>
  <c r="H78" i="3" a="1"/>
  <c r="H86" i="3" a="1"/>
  <c r="H94" i="3" a="1"/>
  <c r="H102" i="3" a="1"/>
  <c r="H110" i="3" a="1"/>
  <c r="H81" i="3" a="1"/>
  <c r="H97" i="3" a="1"/>
  <c r="Y51" i="3" a="1"/>
  <c r="Y59" i="3" a="1"/>
  <c r="Y67" i="3" a="1"/>
  <c r="Y75" i="3" a="1"/>
  <c r="Y83" i="3" a="1"/>
  <c r="Y91" i="3" a="1"/>
  <c r="Y99" i="3" a="1"/>
  <c r="Y107" i="3" a="1"/>
  <c r="Y48" i="3" a="1"/>
  <c r="Y56" i="3" a="1"/>
  <c r="Y64" i="3" a="1"/>
  <c r="Y72" i="3" a="1"/>
  <c r="Y80" i="3" a="1"/>
  <c r="Y88" i="3" a="1"/>
  <c r="Y98" i="3" a="1"/>
  <c r="Y106" i="3" a="1"/>
  <c r="AG45" i="3" a="1"/>
  <c r="AG63" i="3" a="1"/>
  <c r="AG50" i="3" a="1"/>
  <c r="AG58" i="3" a="1"/>
  <c r="AG66" i="3" a="1"/>
  <c r="AG74" i="3" a="1"/>
  <c r="AG82" i="3" a="1"/>
  <c r="AG92" i="3" a="1"/>
  <c r="AG100" i="3" a="1"/>
  <c r="AG108" i="3" a="1"/>
  <c r="AG57" i="3" a="1"/>
  <c r="AG73" i="3" a="1"/>
  <c r="AG91" i="3" a="1"/>
  <c r="AG93" i="3" a="1"/>
  <c r="AG87" i="3" a="1"/>
  <c r="AG89" i="3" a="1"/>
  <c r="H48" i="3" a="1"/>
  <c r="H56" i="3" a="1"/>
  <c r="H64" i="3" a="1"/>
  <c r="H72" i="3" a="1"/>
  <c r="H80" i="3" a="1"/>
  <c r="H88" i="3" a="1"/>
  <c r="H96" i="3" a="1"/>
  <c r="H104" i="3" a="1"/>
  <c r="H85" i="3" a="1"/>
  <c r="H101" i="3" a="1"/>
  <c r="H51" i="3" a="1"/>
  <c r="H59" i="3" a="1"/>
  <c r="H67" i="3" a="1"/>
  <c r="H79" i="3" a="1"/>
  <c r="H95" i="3" a="1"/>
  <c r="Y45" i="3" a="1"/>
  <c r="Y58" i="3" a="1"/>
  <c r="Y74" i="3" a="1"/>
  <c r="Y82" i="3" a="1"/>
  <c r="Y100" i="3" a="1"/>
  <c r="AG49" i="3" a="1"/>
  <c r="AG52" i="3" a="1"/>
  <c r="AG68" i="3" a="1"/>
  <c r="AG84" i="3" a="1"/>
  <c r="Y53" i="3" a="1"/>
  <c r="Y61" i="3" a="1"/>
  <c r="Y69" i="3" a="1"/>
  <c r="Y77" i="3" a="1"/>
  <c r="Y85" i="3" a="1"/>
  <c r="Y93" i="3" a="1"/>
  <c r="Y101" i="3" a="1"/>
  <c r="Y109" i="3" a="1"/>
  <c r="Y50" i="3" a="1"/>
  <c r="Y66" i="3" a="1"/>
  <c r="Y90" i="3" a="1"/>
  <c r="Y110" i="3" a="1"/>
  <c r="AG67" i="3" a="1"/>
  <c r="AG60" i="3" a="1"/>
  <c r="AG76" i="3" a="1"/>
  <c r="AG94" i="3" a="1"/>
  <c r="AG110" i="3" a="1"/>
  <c r="Y55" i="3" a="1"/>
  <c r="Y87" i="3" a="1"/>
  <c r="Y76" i="3" a="1"/>
  <c r="AG71" i="3" a="1"/>
  <c r="AG70" i="3" a="1"/>
  <c r="AG102" i="3" a="1"/>
  <c r="AG51" i="3" a="1"/>
  <c r="AG79" i="3" a="1"/>
  <c r="AG109" i="3" a="1"/>
  <c r="AG105" i="3" a="1"/>
  <c r="H52" i="3" a="1"/>
  <c r="H68" i="3" a="1"/>
  <c r="H84" i="3" a="1"/>
  <c r="H100" i="3" a="1"/>
  <c r="H77" i="3" a="1"/>
  <c r="H109" i="3" a="1"/>
  <c r="H53" i="3" a="1"/>
  <c r="H63" i="3" a="1"/>
  <c r="H75" i="3" a="1"/>
  <c r="H99" i="3" a="1"/>
  <c r="H93" i="3" a="1"/>
  <c r="H47" i="3" a="1"/>
  <c r="H87" i="3" a="1"/>
  <c r="Y92" i="3" a="1"/>
  <c r="AG47" i="3" a="1"/>
  <c r="AG97" i="3" a="1"/>
  <c r="H50" i="3" a="1"/>
  <c r="H98" i="3" a="1"/>
  <c r="H49" i="3" a="1"/>
  <c r="H91" i="3" a="1"/>
  <c r="Y63" i="3" a="1"/>
  <c r="Y95" i="3" a="1"/>
  <c r="Y52" i="3" a="1"/>
  <c r="Y84" i="3" a="1"/>
  <c r="AG46" i="3" a="1"/>
  <c r="AG78" i="3" a="1"/>
  <c r="AG104" i="3" a="1"/>
  <c r="AG61" i="3" a="1"/>
  <c r="AG99" i="3" a="1"/>
  <c r="AG95" i="3" a="1"/>
  <c r="H58" i="3" a="1"/>
  <c r="H74" i="3" a="1"/>
  <c r="H90" i="3" a="1"/>
  <c r="H106" i="3" a="1"/>
  <c r="H89" i="3" a="1"/>
  <c r="H45" i="3" a="1"/>
  <c r="H55" i="3" a="1"/>
  <c r="H65" i="3" a="1"/>
  <c r="H83" i="3" a="1"/>
  <c r="H103" i="3" a="1"/>
  <c r="H60" i="3" a="1"/>
  <c r="H92" i="3" a="1"/>
  <c r="H69" i="3" a="1"/>
  <c r="H107" i="3" a="1"/>
  <c r="Y47" i="3" a="1"/>
  <c r="Y102" i="3" a="1"/>
  <c r="AG62" i="3" a="1"/>
  <c r="AG101" i="3" a="1"/>
  <c r="H66" i="3" a="1"/>
  <c r="H73" i="3" a="1"/>
  <c r="H61" i="3" a="1"/>
  <c r="Y71" i="3" a="1"/>
  <c r="Y103" i="3" a="1"/>
  <c r="Y60" i="3" a="1"/>
  <c r="Y94" i="3" a="1"/>
  <c r="AG54" i="3" a="1"/>
  <c r="AG88" i="3" a="1"/>
  <c r="AG65" i="3" a="1"/>
  <c r="AG107" i="3" a="1"/>
  <c r="AG103" i="3" a="1"/>
  <c r="H76" i="3" a="1"/>
  <c r="H108" i="3" a="1"/>
  <c r="H57" i="3" a="1"/>
  <c r="Y79" i="3" a="1"/>
  <c r="Y68" i="3" a="1"/>
  <c r="AG53" i="3" a="1"/>
  <c r="AG96" i="3" a="1"/>
  <c r="AG77" i="3" a="1"/>
  <c r="H82" i="3" a="1"/>
  <c r="H105" i="3" a="1"/>
  <c r="H71" i="3" a="1"/>
  <c r="F1" i="29" a="1"/>
  <c r="H43" i="3" a="1"/>
  <c r="H34" i="3" a="1"/>
  <c r="H31" i="3" a="1"/>
  <c r="H44" i="3" a="1"/>
  <c r="H41" i="3" a="1"/>
  <c r="H37" i="3" a="1"/>
  <c r="H39" i="3" a="1"/>
  <c r="H36" i="3" a="1"/>
  <c r="H33" i="3" a="1"/>
  <c r="H32" i="3" a="1"/>
  <c r="H40" i="3" a="1"/>
  <c r="H42" i="3" a="1"/>
  <c r="H38" i="3" a="1"/>
  <c r="H35" i="3" a="1"/>
  <c r="AG34" i="3" a="1"/>
  <c r="AG42" i="3" a="1"/>
  <c r="AG32" i="3" a="1"/>
  <c r="AG31" i="3" a="1"/>
  <c r="AG9" i="3" a="1"/>
  <c r="AG19" i="3" a="1"/>
  <c r="AG41" i="3" a="1"/>
  <c r="AG17" i="3" a="1"/>
  <c r="AG8" i="3" a="1"/>
  <c r="AG39" i="3" a="1"/>
  <c r="AG18" i="3" a="1"/>
  <c r="AG20" i="3" a="1"/>
  <c r="AG30" i="3" a="1"/>
  <c r="AG44" i="3" a="1"/>
  <c r="AG7" i="3" a="1"/>
  <c r="AG29" i="3" a="1"/>
  <c r="AG13" i="3" a="1"/>
  <c r="AG16" i="3" a="1"/>
  <c r="AG27" i="3" a="1"/>
  <c r="AG21" i="3" a="1"/>
  <c r="AG36" i="3" a="1"/>
  <c r="AG6" i="3" a="1"/>
  <c r="AG26" i="3" a="1"/>
  <c r="AG38" i="3" a="1"/>
  <c r="AG24" i="3" a="1"/>
  <c r="AG15" i="3" a="1"/>
  <c r="AG14" i="3" a="1"/>
  <c r="AG40" i="3" a="1"/>
  <c r="AG11" i="3" a="1"/>
  <c r="AG37" i="3" a="1"/>
  <c r="AG28" i="3" a="1"/>
  <c r="AG23" i="3" a="1"/>
  <c r="AG43" i="3" a="1"/>
  <c r="AG10" i="3" a="1"/>
  <c r="AG25" i="3" a="1"/>
  <c r="AG12" i="3" a="1"/>
  <c r="AG22" i="3" a="1"/>
  <c r="AG35" i="3" a="1"/>
  <c r="AG33" i="3" a="1"/>
  <c r="B39" i="3" l="1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10" i="3" a="1"/>
  <c r="C14" i="3" a="1"/>
  <c r="C6" i="3" a="1"/>
  <c r="C7" i="3" l="1"/>
  <c r="C10" i="3"/>
  <c r="C14" i="3"/>
  <c r="C6" i="3"/>
  <c r="AH6" i="3"/>
  <c r="D6" i="3"/>
  <c r="G1" i="29"/>
  <c r="G6" i="3" l="1"/>
  <c r="E6" i="3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G22" i="3" l="1"/>
  <c r="F22" i="3"/>
  <c r="G21" i="3"/>
  <c r="F21" i="3"/>
  <c r="F29" i="3"/>
  <c r="G29" i="3"/>
  <c r="G15" i="3"/>
  <c r="F15" i="3"/>
  <c r="F16" i="3"/>
  <c r="G16" i="3"/>
  <c r="F30" i="3"/>
  <c r="G30" i="3"/>
  <c r="E30" i="3"/>
  <c r="D30" i="3"/>
  <c r="E109" i="3"/>
  <c r="D109" i="3"/>
  <c r="E50" i="3"/>
  <c r="D50" i="3"/>
  <c r="E79" i="3"/>
  <c r="D79" i="3"/>
  <c r="E16" i="3"/>
  <c r="D16" i="3"/>
  <c r="E89" i="3"/>
  <c r="D89" i="3"/>
  <c r="E83" i="3"/>
  <c r="D83" i="3"/>
  <c r="E100" i="3"/>
  <c r="D100" i="3"/>
  <c r="E74" i="3"/>
  <c r="D74" i="3"/>
  <c r="E55" i="3"/>
  <c r="D55" i="3"/>
  <c r="E103" i="3"/>
  <c r="D103" i="3"/>
  <c r="E72" i="3"/>
  <c r="D72" i="3"/>
  <c r="E67" i="3"/>
  <c r="D67" i="3"/>
  <c r="E60" i="3"/>
  <c r="D60" i="3"/>
  <c r="E49" i="3"/>
  <c r="D49" i="3"/>
  <c r="E107" i="3"/>
  <c r="D107" i="3"/>
  <c r="E71" i="3"/>
  <c r="D71" i="3"/>
  <c r="E64" i="3"/>
  <c r="D64" i="3"/>
  <c r="E87" i="3"/>
  <c r="D87" i="3"/>
  <c r="E54" i="3"/>
  <c r="D54" i="3"/>
  <c r="E62" i="3"/>
  <c r="D62" i="3"/>
  <c r="E58" i="3"/>
  <c r="D58" i="3"/>
  <c r="E73" i="3"/>
  <c r="D73" i="3"/>
  <c r="E90" i="3"/>
  <c r="D90" i="3"/>
  <c r="E69" i="3"/>
  <c r="D69" i="3"/>
  <c r="E22" i="3"/>
  <c r="D22" i="3"/>
  <c r="E84" i="3"/>
  <c r="D84" i="3"/>
  <c r="E45" i="3"/>
  <c r="D45" i="3"/>
  <c r="E94" i="3"/>
  <c r="D94" i="3"/>
  <c r="E102" i="3"/>
  <c r="D102" i="3"/>
  <c r="E15" i="3"/>
  <c r="D15" i="3"/>
  <c r="E86" i="3"/>
  <c r="D86" i="3"/>
  <c r="E85" i="3"/>
  <c r="D85" i="3"/>
  <c r="E66" i="3"/>
  <c r="D66" i="3"/>
  <c r="E70" i="3"/>
  <c r="D70" i="3"/>
  <c r="E92" i="3"/>
  <c r="D92" i="3"/>
  <c r="E99" i="3"/>
  <c r="D99" i="3"/>
  <c r="E88" i="3"/>
  <c r="D88" i="3"/>
  <c r="E76" i="3"/>
  <c r="D76" i="3"/>
  <c r="E75" i="3"/>
  <c r="D75" i="3"/>
  <c r="E95" i="3"/>
  <c r="D95" i="3"/>
  <c r="E47" i="3"/>
  <c r="D47" i="3"/>
  <c r="E53" i="3"/>
  <c r="D53" i="3"/>
  <c r="E63" i="3"/>
  <c r="D63" i="3"/>
  <c r="E65" i="3"/>
  <c r="D65" i="3"/>
  <c r="E110" i="3"/>
  <c r="D110" i="3"/>
  <c r="E98" i="3"/>
  <c r="D98" i="3"/>
  <c r="E51" i="3"/>
  <c r="D51" i="3"/>
  <c r="E104" i="3"/>
  <c r="D104" i="3"/>
  <c r="E82" i="3"/>
  <c r="D82" i="3"/>
  <c r="E21" i="3"/>
  <c r="D21" i="3"/>
  <c r="E105" i="3"/>
  <c r="D105" i="3"/>
  <c r="E101" i="3"/>
  <c r="D101" i="3"/>
  <c r="E108" i="3"/>
  <c r="D108" i="3"/>
  <c r="E68" i="3"/>
  <c r="D68" i="3"/>
  <c r="E91" i="3"/>
  <c r="D91" i="3"/>
  <c r="E96" i="3"/>
  <c r="D96" i="3"/>
  <c r="E93" i="3"/>
  <c r="D93" i="3"/>
  <c r="E97" i="3"/>
  <c r="D97" i="3"/>
  <c r="E57" i="3"/>
  <c r="D57" i="3"/>
  <c r="E81" i="3"/>
  <c r="D81" i="3"/>
  <c r="E59" i="3"/>
  <c r="D59" i="3"/>
  <c r="E77" i="3"/>
  <c r="D77" i="3"/>
  <c r="E29" i="3"/>
  <c r="D29" i="3"/>
  <c r="E48" i="3"/>
  <c r="D48" i="3"/>
  <c r="E46" i="3"/>
  <c r="D46" i="3"/>
  <c r="E78" i="3"/>
  <c r="D78" i="3"/>
  <c r="E106" i="3"/>
  <c r="D106" i="3"/>
  <c r="E80" i="3"/>
  <c r="D80" i="3"/>
  <c r="E61" i="3"/>
  <c r="D61" i="3"/>
  <c r="E56" i="3"/>
  <c r="D56" i="3"/>
  <c r="E52" i="3"/>
  <c r="D52" i="3"/>
  <c r="G19" i="3"/>
  <c r="E19" i="3"/>
  <c r="F19" i="3"/>
  <c r="F10" i="3"/>
  <c r="E10" i="3"/>
  <c r="G10" i="3"/>
  <c r="E32" i="3"/>
  <c r="F32" i="3"/>
  <c r="G32" i="3"/>
  <c r="E44" i="3"/>
  <c r="F44" i="3"/>
  <c r="G44" i="3"/>
  <c r="G7" i="3"/>
  <c r="F7" i="3"/>
  <c r="E7" i="3"/>
  <c r="E24" i="3"/>
  <c r="F24" i="3"/>
  <c r="G24" i="3"/>
  <c r="E20" i="3"/>
  <c r="F20" i="3"/>
  <c r="G20" i="3"/>
  <c r="G39" i="3"/>
  <c r="E39" i="3"/>
  <c r="F39" i="3"/>
  <c r="E33" i="3"/>
  <c r="G33" i="3"/>
  <c r="F33" i="3"/>
  <c r="E28" i="3"/>
  <c r="F28" i="3"/>
  <c r="G28" i="3"/>
  <c r="G27" i="3"/>
  <c r="E27" i="3"/>
  <c r="F27" i="3"/>
  <c r="F34" i="3"/>
  <c r="E34" i="3"/>
  <c r="G34" i="3"/>
  <c r="E9" i="3"/>
  <c r="G9" i="3"/>
  <c r="F9" i="3"/>
  <c r="F26" i="3"/>
  <c r="E26" i="3"/>
  <c r="G26" i="3"/>
  <c r="E8" i="3"/>
  <c r="F8" i="3"/>
  <c r="G8" i="3"/>
  <c r="F18" i="3"/>
  <c r="E18" i="3"/>
  <c r="G18" i="3"/>
  <c r="G23" i="3"/>
  <c r="E23" i="3"/>
  <c r="F23" i="3"/>
  <c r="E17" i="3"/>
  <c r="G17" i="3"/>
  <c r="F17" i="3"/>
  <c r="F14" i="3"/>
  <c r="E14" i="3"/>
  <c r="G14" i="3"/>
  <c r="F38" i="3"/>
  <c r="E38" i="3"/>
  <c r="G38" i="3"/>
  <c r="E37" i="3"/>
  <c r="F37" i="3"/>
  <c r="G37" i="3"/>
  <c r="F42" i="3"/>
  <c r="E42" i="3"/>
  <c r="G42" i="3"/>
  <c r="G11" i="3"/>
  <c r="E11" i="3"/>
  <c r="F11" i="3"/>
  <c r="G35" i="3"/>
  <c r="E35" i="3"/>
  <c r="F35" i="3"/>
  <c r="E40" i="3"/>
  <c r="F40" i="3"/>
  <c r="G40" i="3"/>
  <c r="G43" i="3"/>
  <c r="E43" i="3"/>
  <c r="F43" i="3"/>
  <c r="E25" i="3"/>
  <c r="G25" i="3"/>
  <c r="F25" i="3"/>
  <c r="E36" i="3"/>
  <c r="F36" i="3"/>
  <c r="G36" i="3"/>
  <c r="E12" i="3"/>
  <c r="F12" i="3"/>
  <c r="G12" i="3"/>
  <c r="G31" i="3"/>
  <c r="E31" i="3"/>
  <c r="F31" i="3"/>
  <c r="E13" i="3"/>
  <c r="F13" i="3"/>
  <c r="G13" i="3"/>
  <c r="AH41" i="3"/>
  <c r="D41" i="3" s="1"/>
  <c r="A74" i="3" a="1"/>
  <c r="A70" i="3" a="1"/>
  <c r="A81" i="3" a="1"/>
  <c r="A110" i="3" a="1"/>
  <c r="A107" i="3" a="1"/>
  <c r="A105" i="3" a="1"/>
  <c r="A104" i="3" a="1"/>
  <c r="A85" i="3" a="1"/>
  <c r="A103" i="3" a="1"/>
  <c r="A99" i="3" a="1"/>
  <c r="A77" i="3" a="1"/>
  <c r="A108" i="3" a="1"/>
  <c r="A64" i="3" a="1"/>
  <c r="A91" i="3" a="1"/>
  <c r="A55" i="3" a="1"/>
  <c r="A67" i="3" a="1"/>
  <c r="A76" i="3" a="1"/>
  <c r="A48" i="3" a="1"/>
  <c r="A57" i="3" a="1"/>
  <c r="A54" i="3" a="1"/>
  <c r="A59" i="3" a="1"/>
  <c r="A63" i="3" a="1"/>
  <c r="A83" i="3" a="1"/>
  <c r="A49" i="3" a="1"/>
  <c r="A95" i="3" a="1"/>
  <c r="A78" i="3" a="1"/>
  <c r="A46" i="3" a="1"/>
  <c r="A58" i="3" a="1"/>
  <c r="A106" i="3" a="1"/>
  <c r="A89" i="3" a="1"/>
  <c r="A51" i="3" a="1"/>
  <c r="A71" i="3" a="1"/>
  <c r="A53" i="3" a="1"/>
  <c r="A80" i="3" a="1"/>
  <c r="A52" i="3" a="1"/>
  <c r="A90" i="3" a="1"/>
  <c r="A79" i="3" a="1"/>
  <c r="A92" i="3" a="1"/>
  <c r="A75" i="3" a="1"/>
  <c r="A87" i="3" a="1"/>
  <c r="A65" i="3" a="1"/>
  <c r="A56" i="3" a="1"/>
  <c r="A109" i="3" a="1"/>
  <c r="A45" i="3" a="1"/>
  <c r="A102" i="3" a="1"/>
  <c r="A68" i="3" a="1"/>
  <c r="A97" i="3" a="1"/>
  <c r="A62" i="3" a="1"/>
  <c r="A98" i="3" a="1"/>
  <c r="A66" i="3" a="1"/>
  <c r="A73" i="3" a="1"/>
  <c r="A60" i="3" a="1"/>
  <c r="A69" i="3" a="1"/>
  <c r="A101" i="3" a="1"/>
  <c r="A82" i="3" a="1"/>
  <c r="A100" i="3" a="1"/>
  <c r="A88" i="3" a="1"/>
  <c r="A84" i="3" a="1"/>
  <c r="A93" i="3" a="1"/>
  <c r="A50" i="3" a="1"/>
  <c r="A94" i="3" a="1"/>
  <c r="A96" i="3" a="1"/>
  <c r="A61" i="3" a="1"/>
  <c r="A72" i="3" a="1"/>
  <c r="A47" i="3" a="1"/>
  <c r="A86" i="3" a="1"/>
  <c r="A36" i="3" a="1"/>
  <c r="A24" i="3" a="1"/>
  <c r="A19" i="3" a="1"/>
  <c r="A26" i="3" a="1"/>
  <c r="A33" i="3" a="1"/>
  <c r="A43" i="3" a="1"/>
  <c r="A28" i="3" a="1"/>
  <c r="A17" i="3" a="1"/>
  <c r="A10" i="3" a="1"/>
  <c r="A31" i="3" a="1"/>
  <c r="A29" i="3" a="1"/>
  <c r="A30" i="3" a="1"/>
  <c r="A23" i="3" a="1"/>
  <c r="A21" i="3" a="1"/>
  <c r="A40" i="3" a="1"/>
  <c r="A42" i="3" a="1"/>
  <c r="A25" i="3" a="1"/>
  <c r="A22" i="3" a="1"/>
  <c r="A32" i="3" a="1"/>
  <c r="A34" i="3" a="1"/>
  <c r="A16" i="3" a="1"/>
  <c r="A15" i="3" a="1"/>
  <c r="A8" i="3" a="1"/>
  <c r="A7" i="3" a="1"/>
  <c r="A18" i="3" a="1"/>
  <c r="A27" i="3" a="1"/>
  <c r="A35" i="3" a="1"/>
  <c r="A20" i="3" a="1"/>
  <c r="A44" i="3" a="1"/>
  <c r="A9" i="3" a="1"/>
  <c r="A13" i="3" a="1"/>
  <c r="A38" i="3" a="1"/>
  <c r="A14" i="3" a="1"/>
  <c r="A12" i="3" a="1"/>
  <c r="A11" i="3" a="1"/>
  <c r="A37" i="3" a="1"/>
  <c r="A39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E41" i="3"/>
  <c r="G41" i="3"/>
  <c r="F41" i="3"/>
  <c r="A41" i="3" a="1"/>
  <c r="A41" i="3" l="1"/>
  <c r="H45" i="29" s="1"/>
  <c r="C12" i="29"/>
  <c r="E20" i="29"/>
  <c r="C6" i="29" l="1"/>
  <c r="E19" i="29"/>
  <c r="E6" i="29"/>
  <c r="D43" i="29"/>
  <c r="G36" i="29"/>
  <c r="B14" i="29"/>
  <c r="F38" i="29"/>
  <c r="G19" i="29"/>
  <c r="F9" i="29"/>
  <c r="H14" i="29"/>
  <c r="B19" i="29"/>
  <c r="D41" i="29"/>
  <c r="F32" i="29"/>
  <c r="G29" i="29"/>
  <c r="H20" i="29"/>
  <c r="C37" i="29"/>
  <c r="B20" i="29"/>
  <c r="F40" i="29"/>
  <c r="G18" i="29"/>
  <c r="H29" i="29"/>
  <c r="D32" i="29"/>
  <c r="E36" i="29"/>
  <c r="B15" i="29"/>
  <c r="E24" i="29"/>
  <c r="H34" i="29"/>
  <c r="E14" i="29"/>
  <c r="D19" i="29"/>
  <c r="E41" i="29"/>
  <c r="B24" i="29"/>
  <c r="E43" i="29"/>
  <c r="D27" i="29"/>
  <c r="F7" i="29"/>
  <c r="C36" i="29"/>
  <c r="G22" i="29"/>
  <c r="H6" i="29"/>
  <c r="G28" i="29"/>
  <c r="H37" i="29"/>
  <c r="E7" i="29"/>
  <c r="F18" i="29"/>
  <c r="G25" i="29"/>
  <c r="D10" i="29"/>
  <c r="E25" i="29"/>
  <c r="F22" i="29"/>
  <c r="E10" i="29"/>
  <c r="D8" i="29"/>
  <c r="E18" i="29"/>
  <c r="F29" i="29"/>
  <c r="H43" i="29"/>
  <c r="C18" i="29"/>
  <c r="F19" i="29"/>
  <c r="G32" i="29"/>
  <c r="F8" i="29"/>
  <c r="C15" i="29"/>
  <c r="D25" i="29"/>
  <c r="F13" i="29"/>
  <c r="H7" i="29"/>
  <c r="H33" i="29"/>
  <c r="C9" i="29"/>
  <c r="H18" i="29"/>
  <c r="E45" i="29"/>
  <c r="G14" i="29"/>
  <c r="H27" i="29"/>
  <c r="H36" i="29"/>
  <c r="B38" i="29"/>
  <c r="D30" i="29"/>
  <c r="G8" i="29"/>
  <c r="C22" i="29"/>
  <c r="G41" i="29"/>
  <c r="E13" i="29"/>
  <c r="B39" i="29"/>
  <c r="H25" i="29"/>
  <c r="D24" i="29"/>
  <c r="C27" i="29"/>
  <c r="H15" i="29"/>
  <c r="C7" i="29"/>
  <c r="G24" i="29"/>
  <c r="E42" i="29"/>
  <c r="C34" i="29"/>
  <c r="F36" i="29"/>
  <c r="D28" i="29"/>
  <c r="B18" i="29"/>
  <c r="F28" i="29"/>
  <c r="F25" i="29"/>
  <c r="B16" i="29"/>
  <c r="G9" i="29"/>
  <c r="F27" i="29"/>
  <c r="D16" i="29"/>
  <c r="B8" i="29"/>
  <c r="B28" i="29"/>
  <c r="H42" i="29"/>
  <c r="F34" i="29"/>
  <c r="E37" i="29"/>
  <c r="H38" i="29"/>
  <c r="F30" i="29"/>
  <c r="D20" i="29"/>
  <c r="C10" i="29"/>
  <c r="E28" i="29"/>
  <c r="G13" i="29"/>
  <c r="E15" i="29"/>
  <c r="B40" i="29"/>
  <c r="G31" i="29"/>
  <c r="E22" i="29"/>
  <c r="G12" i="29"/>
  <c r="E40" i="29"/>
  <c r="F12" i="29"/>
  <c r="G39" i="29"/>
  <c r="B31" i="29"/>
  <c r="G20" i="29"/>
  <c r="E12" i="29"/>
  <c r="B45" i="29"/>
  <c r="G45" i="29"/>
  <c r="D42" i="29"/>
  <c r="H8" i="29"/>
  <c r="G6" i="29"/>
  <c r="C40" i="29"/>
  <c r="B42" i="29"/>
  <c r="D33" i="29"/>
  <c r="B33" i="29"/>
  <c r="G42" i="29"/>
  <c r="F31" i="29"/>
  <c r="B34" i="29"/>
  <c r="H31" i="29"/>
  <c r="F10" i="29"/>
  <c r="B25" i="29"/>
  <c r="C28" i="29"/>
  <c r="B10" i="29"/>
  <c r="B6" i="29"/>
  <c r="B37" i="29"/>
  <c r="B13" i="29"/>
  <c r="C32" i="29"/>
  <c r="D38" i="29"/>
  <c r="H12" i="29"/>
  <c r="E33" i="29"/>
  <c r="F41" i="29"/>
  <c r="G30" i="29"/>
  <c r="C43" i="29"/>
  <c r="E34" i="29"/>
  <c r="D37" i="29"/>
  <c r="B29" i="29"/>
  <c r="D18" i="29"/>
  <c r="B9" i="29"/>
  <c r="H30" i="29"/>
  <c r="F37" i="29"/>
  <c r="D9" i="29"/>
  <c r="E38" i="29"/>
  <c r="C30" i="29"/>
  <c r="F43" i="29"/>
  <c r="D15" i="29"/>
  <c r="H40" i="29"/>
  <c r="B7" i="29"/>
  <c r="G37" i="29"/>
  <c r="E29" i="29"/>
  <c r="C19" i="29"/>
  <c r="E9" i="29"/>
  <c r="B32" i="29"/>
  <c r="C38" i="29"/>
  <c r="B12" i="29"/>
  <c r="F16" i="29"/>
  <c r="G40" i="29"/>
  <c r="E32" i="29"/>
  <c r="G33" i="29"/>
  <c r="B27" i="29"/>
  <c r="E39" i="29"/>
  <c r="F6" i="29"/>
  <c r="B22" i="29"/>
  <c r="H41" i="29"/>
  <c r="F33" i="29"/>
  <c r="H24" i="29"/>
  <c r="F14" i="29"/>
  <c r="D6" i="29"/>
  <c r="H19" i="29"/>
  <c r="C41" i="29"/>
  <c r="H32" i="29"/>
  <c r="F24" i="29"/>
  <c r="D45" i="29"/>
  <c r="C45" i="29"/>
  <c r="D22" i="29"/>
  <c r="H16" i="29"/>
  <c r="D34" i="29"/>
  <c r="H22" i="29"/>
  <c r="H28" i="29"/>
  <c r="C8" i="29"/>
  <c r="G10" i="29"/>
  <c r="B30" i="29"/>
  <c r="H39" i="29"/>
  <c r="C25" i="29"/>
  <c r="D39" i="29"/>
  <c r="C16" i="29"/>
  <c r="C33" i="29"/>
  <c r="G38" i="29"/>
  <c r="H9" i="29"/>
  <c r="C39" i="29"/>
  <c r="E30" i="29"/>
  <c r="C20" i="29"/>
  <c r="H10" i="29"/>
  <c r="D13" i="29"/>
  <c r="C42" i="29"/>
  <c r="D14" i="29"/>
  <c r="D40" i="29"/>
  <c r="D36" i="29"/>
  <c r="H13" i="29"/>
  <c r="D29" i="29"/>
  <c r="B41" i="29"/>
  <c r="C13" i="29"/>
  <c r="F39" i="29"/>
  <c r="D31" i="29"/>
  <c r="F20" i="29"/>
  <c r="D12" i="29"/>
  <c r="C14" i="29"/>
  <c r="F15" i="29"/>
  <c r="D7" i="29"/>
  <c r="C24" i="29"/>
  <c r="F42" i="29"/>
  <c r="E31" i="29"/>
  <c r="G15" i="29"/>
  <c r="C31" i="29"/>
  <c r="G16" i="29"/>
  <c r="E8" i="29"/>
  <c r="C29" i="29"/>
  <c r="G43" i="29"/>
  <c r="B36" i="29"/>
  <c r="G27" i="29"/>
  <c r="E16" i="29"/>
  <c r="G7" i="29"/>
  <c r="E27" i="29"/>
  <c r="B43" i="29"/>
  <c r="G34" i="29"/>
  <c r="F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<sst xmlns="http://schemas.openxmlformats.org/spreadsheetml/2006/main" count="17908" uniqueCount="3091">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</sst>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4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6" fillId="12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8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5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9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8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/>
    <xf numFmtId="0" fontId="23" fillId="13" borderId="0" xfId="0" applyFont="1" applyFill="1"/>
    <xf numFmtId="0" fontId="21" fillId="11" borderId="0" xfId="0" applyFont="1" applyFill="1"/>
    <xf numFmtId="0" fontId="22" fillId="10" borderId="0" xfId="0" applyFont="1" applyFill="1"/>
    <xf numFmtId="0" fontId="9" fillId="0" borderId="0" xfId="0" applyFont="1" applyAlignment="1">
      <alignment horizontal="right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  <protection locked="0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4662430555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n v="-231948203"/>
        <n v="-30303541"/>
        <n v="-236979795"/>
        <n v="-118925506"/>
        <n v="-365743965"/>
        <n v="286695292"/>
        <n v="-55344214"/>
        <n v="486644484"/>
        <n v="496180124"/>
        <s v=""/>
        <n v="276562491"/>
        <n v="-306398606"/>
        <n v="-110541820"/>
        <n v="184256789"/>
        <n v="410564501"/>
        <n v="269398838"/>
        <n v="77639596"/>
        <n v="226361642"/>
        <n v="120236181"/>
        <n v="-57753614"/>
        <n v="126680872"/>
        <n v="21873872"/>
        <n v="143224241"/>
        <n v="-360402523"/>
        <n v="-306201852"/>
        <n v="86489172"/>
        <n v="424483030"/>
        <n v="-459222896"/>
        <n v="-86683844"/>
        <n v="308163671"/>
        <n v="135938866"/>
        <n v="36563959"/>
        <n v="-66073833"/>
        <n v="465457095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x="31"/>
        <item x="32"/>
        <item x="33"/>
        <item m="1" x="100"/>
        <item h="1" x="9"/>
        <item m="1" x="105"/>
        <item x="17"/>
        <item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103"/>
    </i>
    <i r="1">
      <x v="104"/>
    </i>
    <i r="1">
      <x v="105"/>
    </i>
    <i r="1">
      <x v="106"/>
    </i>
    <i r="1">
      <x v="107"/>
    </i>
    <i>
      <x v="1"/>
    </i>
    <i r="1">
      <x v="98"/>
    </i>
    <i r="1">
      <x v="99"/>
    </i>
    <i r="1">
      <x v="100"/>
    </i>
    <i r="1">
      <x v="101"/>
    </i>
    <i r="1">
      <x v="102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>
      <x v="8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>
      <x v="12"/>
    </i>
    <i r="1">
      <x v="81"/>
    </i>
  </rowItems>
  <colItems count="1">
    <i/>
  </colItems>
  <formats count="458">
    <format dxfId="466">
      <pivotArea dataOnly="0" labelOnly="1" fieldPosition="0">
        <references count="1">
          <reference field="1" count="1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0">
      <pivotArea dataOnly="0" labelOnly="1" fieldPosition="0">
        <references count="1">
          <reference field="1" count="1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4">
      <pivotArea dataOnly="0" labelOnly="1" fieldPosition="0">
        <references count="1">
          <reference field="1" count="1">
            <x v="3"/>
          </reference>
        </references>
      </pivotArea>
    </format>
    <format dxfId="45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2">
      <pivotArea dataOnly="0" labelOnly="1" fieldPosition="0">
        <references count="1">
          <reference field="1" count="1">
            <x v="4"/>
          </reference>
        </references>
      </pivotArea>
    </format>
    <format dxfId="45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0">
      <pivotArea dataOnly="0" labelOnly="1" fieldPosition="0">
        <references count="1">
          <reference field="1" count="1">
            <x v="6"/>
          </reference>
        </references>
      </pivotArea>
    </format>
    <format dxfId="44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7">
      <pivotArea dataOnly="0" labelOnly="1" fieldPosition="0">
        <references count="1">
          <reference field="1" count="1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3">
      <pivotArea dataOnly="0" labelOnly="1" fieldPosition="0">
        <references count="1">
          <reference field="1" count="1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4">
      <pivotArea dataOnly="0" labelOnly="1" fieldPosition="0">
        <references count="1">
          <reference field="1" count="1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29">
      <pivotArea dataOnly="0" labelOnly="1" fieldPosition="0">
        <references count="1">
          <reference field="1" count="1">
            <x v="9"/>
          </reference>
        </references>
      </pivotArea>
    </format>
    <format dxfId="428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6">
      <pivotArea dataOnly="0" labelOnly="1" fieldPosition="0">
        <references count="1">
          <reference field="1" count="1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1">
      <pivotArea dataOnly="0" labelOnly="1" fieldPosition="0">
        <references count="1">
          <reference field="1" count="1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1">
          <reference field="1" count="1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1">
          <reference field="1" count="1">
            <x v="0"/>
          </reference>
        </references>
      </pivotArea>
    </format>
    <format dxfId="41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1">
      <pivotArea dataOnly="0" labelOnly="1" fieldPosition="0">
        <references count="1">
          <reference field="1" count="1">
            <x v="3"/>
          </reference>
        </references>
      </pivotArea>
    </format>
    <format dxfId="410">
      <pivotArea dataOnly="0" labelOnly="1" fieldPosition="0">
        <references count="1">
          <reference field="1" count="1">
            <x v="0"/>
          </reference>
        </references>
      </pivotArea>
    </format>
    <format dxfId="4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7">
      <pivotArea dataOnly="0" labelOnly="1" fieldPosition="0">
        <references count="1">
          <reference field="1" count="1">
            <x v="4"/>
          </reference>
        </references>
      </pivotArea>
    </format>
    <format dxfId="40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5">
      <pivotArea dataOnly="0" labelOnly="1" fieldPosition="0">
        <references count="1">
          <reference field="1" count="1">
            <x v="6"/>
          </reference>
        </references>
      </pivotArea>
    </format>
    <format dxfId="40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0">
      <pivotArea dataOnly="0" labelOnly="1" fieldPosition="0">
        <references count="1">
          <reference field="1" count="1">
            <x v="3"/>
          </reference>
        </references>
      </pivotArea>
    </format>
    <format dxfId="399">
      <pivotArea dataOnly="0" labelOnly="1" fieldPosition="0">
        <references count="1">
          <reference field="1" count="1">
            <x v="3"/>
          </reference>
        </references>
      </pivotArea>
    </format>
    <format dxfId="3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4">
      <pivotArea dataOnly="0" labelOnly="1" fieldPosition="0">
        <references count="1">
          <reference field="1" count="1">
            <x v="4"/>
          </reference>
        </references>
      </pivotArea>
    </format>
    <format dxfId="39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2">
      <pivotArea dataOnly="0" labelOnly="1" fieldPosition="0">
        <references count="1">
          <reference field="1" count="1">
            <x v="6"/>
          </reference>
        </references>
      </pivotArea>
    </format>
    <format dxfId="39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0">
      <pivotArea dataOnly="0" labelOnly="1" fieldPosition="0">
        <references count="1">
          <reference field="1" count="1">
            <x v="3"/>
          </reference>
        </references>
      </pivotArea>
    </format>
    <format dxfId="389">
      <pivotArea dataOnly="0" labelOnly="1" fieldPosition="0">
        <references count="1"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6">
      <pivotArea dataOnly="0" labelOnly="1" fieldPosition="0">
        <references count="1"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4">
      <pivotArea dataOnly="0" labelOnly="1" fieldPosition="0">
        <references count="1">
          <reference field="1" count="1">
            <x v="8"/>
          </reference>
        </references>
      </pivotArea>
    </format>
    <format dxfId="38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2">
      <pivotArea dataOnly="0" labelOnly="1" fieldPosition="0">
        <references count="1">
          <reference field="1" count="1">
            <x v="9"/>
          </reference>
        </references>
      </pivotArea>
    </format>
    <format dxfId="38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0">
      <pivotArea dataOnly="0" labelOnly="1" fieldPosition="0">
        <references count="1">
          <reference field="1" count="1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7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5">
      <pivotArea dataOnly="0" labelOnly="1" fieldPosition="0">
        <references count="1">
          <reference field="1" count="1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1">
          <reference field="1" count="1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1">
          <reference field="1" count="1">
            <x v="11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3">
      <pivotArea type="all" dataOnly="0" outline="0" fieldPosition="0"/>
    </format>
    <format dxfId="362">
      <pivotArea field="1" type="button" dataOnly="0" labelOnly="1" outline="0" axis="axisRow" fieldPosition="0"/>
    </format>
    <format dxfId="361">
      <pivotArea dataOnly="0" labelOnly="1" fieldPosition="0">
        <references count="1">
          <reference field="1" count="0"/>
        </references>
      </pivotArea>
    </format>
    <format dxfId="36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2">
      <pivotArea type="all" dataOnly="0" outline="0" fieldPosition="0"/>
    </format>
    <format dxfId="351">
      <pivotArea field="1" type="button" dataOnly="0" labelOnly="1" outline="0" axis="axisRow" fieldPosition="0"/>
    </format>
    <format dxfId="350">
      <pivotArea dataOnly="0" labelOnly="1" fieldPosition="0">
        <references count="1">
          <reference field="1" count="0"/>
        </references>
      </pivotArea>
    </format>
    <format dxfId="34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0">
      <pivotArea dataOnly="0" labelOnly="1" fieldPosition="0">
        <references count="1">
          <reference field="1" count="1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18">
      <pivotArea dataOnly="0" labelOnly="1" fieldPosition="0">
        <references count="1">
          <reference field="1" count="1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4">
      <pivotArea dataOnly="0" labelOnly="1" fieldPosition="0">
        <references count="1">
          <reference field="1" count="1">
            <x v="3"/>
          </reference>
        </references>
      </pivotArea>
    </format>
    <format dxfId="31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2">
      <pivotArea dataOnly="0" labelOnly="1" fieldPosition="0">
        <references count="1">
          <reference field="1" count="1">
            <x v="6"/>
          </reference>
        </references>
      </pivotArea>
    </format>
    <format dxfId="31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09">
      <pivotArea dataOnly="0" labelOnly="1" fieldPosition="0">
        <references count="1">
          <reference field="1" count="1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0">
      <pivotArea dataOnly="0" labelOnly="1" fieldPosition="0">
        <references count="1">
          <reference field="1" count="1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1">
      <pivotArea dataOnly="0" labelOnly="1" fieldPosition="0">
        <references count="1">
          <reference field="1" count="1">
            <x v="11"/>
          </reference>
        </references>
      </pivotArea>
    </format>
    <format dxfId="2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9">
      <pivotArea dataOnly="0" labelOnly="1" fieldPosition="0">
        <references count="1">
          <reference field="1" count="1">
            <x v="0"/>
          </reference>
        </references>
      </pivotArea>
    </format>
    <format dxfId="288">
      <pivotArea dataOnly="0" labelOnly="1" fieldPosition="0">
        <references count="1">
          <reference field="1" count="1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7">
      <pivotArea dataOnly="0" labelOnly="1" fieldPosition="0">
        <references count="1">
          <reference field="1" count="1">
            <x v="1"/>
          </reference>
        </references>
      </pivotArea>
    </format>
    <format dxfId="276">
      <pivotArea dataOnly="0" labelOnly="1" fieldPosition="0">
        <references count="1">
          <reference field="1" count="1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5">
      <pivotArea dataOnly="0" labelOnly="1" fieldPosition="0">
        <references count="1">
          <reference field="1" count="1">
            <x v="2"/>
          </reference>
        </references>
      </pivotArea>
    </format>
    <format dxfId="264">
      <pivotArea dataOnly="0" labelOnly="1" fieldPosition="0">
        <references count="1"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7">
      <pivotArea dataOnly="0" labelOnly="1" fieldPosition="0">
        <references count="1">
          <reference field="1" count="1">
            <x v="3"/>
          </reference>
        </references>
      </pivotArea>
    </format>
    <format dxfId="256">
      <pivotArea dataOnly="0" labelOnly="1" fieldPosition="0">
        <references count="1"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3">
      <pivotArea dataOnly="0" labelOnly="1" fieldPosition="0">
        <references count="1">
          <reference field="1" count="1">
            <x v="6"/>
          </reference>
        </references>
      </pivotArea>
    </format>
    <format dxfId="252">
      <pivotArea dataOnly="0" labelOnly="1" fieldPosition="0">
        <references count="1">
          <reference field="1" count="1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7">
      <pivotArea dataOnly="0" labelOnly="1" fieldPosition="0">
        <references count="1">
          <reference field="1" count="1">
            <x v="7"/>
          </reference>
        </references>
      </pivotArea>
    </format>
    <format dxfId="246">
      <pivotArea dataOnly="0" labelOnly="1" fieldPosition="0">
        <references count="1">
          <reference field="1" count="1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29">
      <pivotArea dataOnly="0" labelOnly="1" fieldPosition="0">
        <references count="1">
          <reference field="1" count="1">
            <x v="8"/>
          </reference>
        </references>
      </pivotArea>
    </format>
    <format dxfId="228">
      <pivotArea dataOnly="0" labelOnly="1" fieldPosition="0">
        <references count="1">
          <reference field="1" count="1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11"/>
          </reference>
        </references>
      </pivotArea>
    </format>
    <format dxfId="210">
      <pivotArea dataOnly="0" labelOnly="1" fieldPosition="0">
        <references count="1">
          <reference field="1" count="1">
            <x v="11"/>
          </reference>
        </references>
      </pivotArea>
    </format>
    <format dxfId="20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7">
      <pivotArea dataOnly="0" labelOnly="1" fieldPosition="0">
        <references count="1">
          <reference field="1" count="1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1">
          <reference field="1" count="1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5">
      <pivotArea dataOnly="0" labelOnly="1" fieldPosition="0">
        <references count="1">
          <reference field="1" count="1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1">
          <reference field="1" count="1">
            <x v="6"/>
          </reference>
        </references>
      </pivotArea>
    </format>
    <format dxfId="18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6">
      <pivotArea dataOnly="0" labelOnly="1" fieldPosition="0">
        <references count="1">
          <reference field="1" count="1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1">
          <reference field="1" count="1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6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68">
      <pivotArea dataOnly="0" labelOnly="1" fieldPosition="0">
        <references count="1">
          <reference field="1" count="1">
            <x v="11"/>
          </reference>
        </references>
      </pivotArea>
    </format>
    <format dxfId="1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1">
          <reference field="1" count="1">
            <x v="11"/>
          </reference>
        </references>
      </pivotArea>
    </format>
    <format dxfId="13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1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4">
      <pivotArea dataOnly="0" labelOnly="1" fieldPosition="0">
        <references count="1">
          <reference field="1" count="1">
            <x v="12"/>
          </reference>
        </references>
      </pivotArea>
    </format>
    <format dxfId="12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2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78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7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6">
      <pivotArea dataOnly="0" labelOnly="1" fieldPosition="0">
        <references count="1">
          <reference field="1" count="1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1">
          <reference field="1" count="1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1">
          <reference field="1" count="1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1">
          <reference field="1" count="1">
            <x v="12"/>
          </reference>
        </references>
      </pivotArea>
    </format>
    <format dxfId="10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9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92"/>
      <c r="B1" s="92"/>
      <c r="C1" s="133" t="s">
        <v>63</v>
      </c>
      <c r="D1" s="134"/>
      <c r="E1" s="134"/>
      <c r="F1" s="91" t="str" cm="1">
        <f t="array" ref="F1">IfZero(Worksheet!F2)</f>
        <v/>
      </c>
      <c r="G1" s="93">
        <f>Worksheet!F3</f>
        <v>0</v>
      </c>
    </row>
    <row r="2" spans="1:8" x14ac:dyDescent="0.25">
      <c r="A2" s="92"/>
      <c r="B2" s="92"/>
      <c r="C2" s="80"/>
      <c r="D2" s="80"/>
      <c r="E2" s="80"/>
      <c r="F2" s="80"/>
      <c r="G2" s="81"/>
    </row>
    <row r="3" spans="1:8" ht="25.5" x14ac:dyDescent="0.25">
      <c r="A3" s="90"/>
      <c r="B3" s="82" t="s">
        <v>18</v>
      </c>
      <c r="C3" s="82" t="s">
        <v>30</v>
      </c>
      <c r="D3" s="94" t="s">
        <v>31</v>
      </c>
      <c r="E3" s="82" t="s">
        <v>32</v>
      </c>
      <c r="F3" s="82" t="s">
        <v>33</v>
      </c>
      <c r="G3" s="83" t="s">
        <v>34</v>
      </c>
    </row>
    <row r="4" spans="1:8" hidden="1" x14ac:dyDescent="0.25">
      <c r="A4" s="123" t="s">
        <v>2185</v>
      </c>
      <c r="B4" s="76">
        <v>3</v>
      </c>
      <c r="C4" s="76">
        <v>4</v>
      </c>
      <c r="D4" s="76">
        <v>5</v>
      </c>
      <c r="E4" s="76">
        <v>6</v>
      </c>
      <c r="F4" s="76">
        <v>7</v>
      </c>
      <c r="G4" s="76">
        <v>8</v>
      </c>
    </row>
    <row r="5" spans="1:8" x14ac:dyDescent="0.25">
      <c r="A5" s="124" t="s">
        <v>100</v>
      </c>
      <c r="B5" s="84"/>
      <c r="C5" s="84"/>
      <c r="D5" s="84"/>
      <c r="E5" s="84"/>
      <c r="F5" s="84"/>
      <c r="G5" s="84"/>
    </row>
    <row r="6" spans="1:8" x14ac:dyDescent="0.25">
      <c r="A6" s="126">
        <v>424483030</v>
      </c>
      <c r="B6" s="78" t="str">
        <f>IFERROR(VLOOKUP($A6,Worksheet!$A$5:$I$110,B$4,FALSE),"")</f>
        <v/>
      </c>
      <c r="C6" s="78" t="str">
        <f>IFERROR(VLOOKUP($A6,Worksheet!$A$5:$I$110,C$4,FALSE),"")</f>
        <v/>
      </c>
      <c r="D6" s="78" t="str">
        <f>IFERROR(VLOOKUP($A6,Worksheet!$A$5:$I$110,D$4,FALSE),"")</f>
        <v/>
      </c>
      <c r="E6" s="78" t="str">
        <f>IFERROR(VLOOKUP($A6,Worksheet!$A$5:$I$110,E$4,FALSE),"")</f>
        <v/>
      </c>
      <c r="F6" s="78" t="str">
        <f>IFERROR(VLOOKUP($A6,Worksheet!$A$5:$I$110,F$4,FALSE),"")</f>
        <v/>
      </c>
      <c r="G6" s="78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25">
        <v>-459222896</v>
      </c>
      <c r="B7" s="77" t="str">
        <f>IFERROR(VLOOKUP($A7,Worksheet!$A$5:$I$110,B$4,FALSE),"")</f>
        <v/>
      </c>
      <c r="C7" s="77" t="str">
        <f>IFERROR(VLOOKUP($A7,Worksheet!$A$5:$I$110,C$4,FALSE),"")</f>
        <v/>
      </c>
      <c r="D7" s="77" t="str">
        <f>IFERROR(VLOOKUP($A7,Worksheet!$A$5:$I$110,D$4,FALSE),"")</f>
        <v/>
      </c>
      <c r="E7" s="77" t="str">
        <f>IFERROR(VLOOKUP($A7,Worksheet!$A$5:$I$110,E$4,FALSE),"")</f>
        <v/>
      </c>
      <c r="F7" s="77" t="str">
        <f>IFERROR(VLOOKUP($A7,Worksheet!$A$5:$I$110,F$4,FALSE),"")</f>
        <v/>
      </c>
      <c r="G7" s="77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26">
        <v>-86683844</v>
      </c>
      <c r="B8" s="78" t="str">
        <f>IFERROR(VLOOKUP($A8,Worksheet!$A$5:$I$110,B$4,FALSE),"")</f>
        <v/>
      </c>
      <c r="C8" s="78" t="str">
        <f>IFERROR(VLOOKUP($A8,Worksheet!$A$5:$I$110,C$4,FALSE),"")</f>
        <v/>
      </c>
      <c r="D8" s="78" t="str">
        <f>IFERROR(VLOOKUP($A8,Worksheet!$A$5:$I$110,D$4,FALSE),"")</f>
        <v/>
      </c>
      <c r="E8" s="78" t="str">
        <f>IFERROR(VLOOKUP($A8,Worksheet!$A$5:$I$110,E$4,FALSE),"")</f>
        <v/>
      </c>
      <c r="F8" s="78" t="str">
        <f>IFERROR(VLOOKUP($A8,Worksheet!$A$5:$I$110,F$4,FALSE),"")</f>
        <v/>
      </c>
      <c r="G8" s="78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25">
        <v>308163671</v>
      </c>
      <c r="B9" s="77" t="str">
        <f>IFERROR(VLOOKUP($A9,Worksheet!$A$5:$I$110,B$4,FALSE),"")</f>
        <v/>
      </c>
      <c r="C9" s="77" t="str">
        <f>IFERROR(VLOOKUP($A9,Worksheet!$A$5:$I$110,C$4,FALSE),"")</f>
        <v/>
      </c>
      <c r="D9" s="77" t="str">
        <f>IFERROR(VLOOKUP($A9,Worksheet!$A$5:$I$110,D$4,FALSE),"")</f>
        <v/>
      </c>
      <c r="E9" s="77" t="str">
        <f>IFERROR(VLOOKUP($A9,Worksheet!$A$5:$I$110,E$4,FALSE),"")</f>
        <v/>
      </c>
      <c r="F9" s="77" t="str">
        <f>IFERROR(VLOOKUP($A9,Worksheet!$A$5:$I$110,F$4,FALSE),"")</f>
        <v/>
      </c>
      <c r="G9" s="77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26">
        <v>135938866</v>
      </c>
      <c r="B10" s="78" t="str">
        <f>IFERROR(VLOOKUP($A10,Worksheet!$A$5:$I$110,B$4,FALSE),"")</f>
        <v/>
      </c>
      <c r="C10" s="78" t="str">
        <f>IFERROR(VLOOKUP($A10,Worksheet!$A$5:$I$110,C$4,FALSE),"")</f>
        <v/>
      </c>
      <c r="D10" s="78" t="str">
        <f>IFERROR(VLOOKUP($A10,Worksheet!$A$5:$I$110,D$4,FALSE),"")</f>
        <v/>
      </c>
      <c r="E10" s="78" t="str">
        <f>IFERROR(VLOOKUP($A10,Worksheet!$A$5:$I$110,E$4,FALSE),"")</f>
        <v/>
      </c>
      <c r="F10" s="78" t="str">
        <f>IFERROR(VLOOKUP($A10,Worksheet!$A$5:$I$110,F$4,FALSE),"")</f>
        <v/>
      </c>
      <c r="G10" s="78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24" t="s">
        <v>99</v>
      </c>
      <c r="B11" s="84"/>
      <c r="C11" s="84"/>
      <c r="D11" s="84"/>
      <c r="E11" s="84"/>
      <c r="F11" s="84"/>
      <c r="G11" s="84"/>
    </row>
    <row r="12" spans="1:8" x14ac:dyDescent="0.25">
      <c r="A12" s="126">
        <v>21873872</v>
      </c>
      <c r="B12" s="78" t="str">
        <f>IFERROR(VLOOKUP($A12,Worksheet!$A$5:$I$110,B$4,FALSE),"")</f>
        <v/>
      </c>
      <c r="C12" s="78" t="str">
        <f>IFERROR(VLOOKUP($A12,Worksheet!$A$5:$I$110,C$4,FALSE),"")</f>
        <v/>
      </c>
      <c r="D12" s="78" t="str">
        <f>IFERROR(VLOOKUP($A12,Worksheet!$A$5:$I$110,D$4,FALSE),"")</f>
        <v/>
      </c>
      <c r="E12" s="78" t="str">
        <f>IFERROR(VLOOKUP($A12,Worksheet!$A$5:$I$110,E$4,FALSE),"")</f>
        <v/>
      </c>
      <c r="F12" s="78" t="str">
        <f>IFERROR(VLOOKUP($A12,Worksheet!$A$5:$I$110,F$4,FALSE),"")</f>
        <v/>
      </c>
      <c r="G12" s="78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25">
        <v>143224241</v>
      </c>
      <c r="B13" s="77" t="str">
        <f>IFERROR(VLOOKUP($A13,Worksheet!$A$5:$I$110,B$4,FALSE),"")</f>
        <v/>
      </c>
      <c r="C13" s="77" t="str">
        <f>IFERROR(VLOOKUP($A13,Worksheet!$A$5:$I$110,C$4,FALSE),"")</f>
        <v/>
      </c>
      <c r="D13" s="77" t="str">
        <f>IFERROR(VLOOKUP($A13,Worksheet!$A$5:$I$110,D$4,FALSE),"")</f>
        <v/>
      </c>
      <c r="E13" s="77" t="str">
        <f>IFERROR(VLOOKUP($A13,Worksheet!$A$5:$I$110,E$4,FALSE),"")</f>
        <v/>
      </c>
      <c r="F13" s="77" t="str">
        <f>IFERROR(VLOOKUP($A13,Worksheet!$A$5:$I$110,F$4,FALSE),"")</f>
        <v/>
      </c>
      <c r="G13" s="77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26">
        <v>-360402523</v>
      </c>
      <c r="B14" s="78" t="str">
        <f>IFERROR(VLOOKUP($A14,Worksheet!$A$5:$I$110,B$4,FALSE),"")</f>
        <v/>
      </c>
      <c r="C14" s="78" t="str">
        <f>IFERROR(VLOOKUP($A14,Worksheet!$A$5:$I$110,C$4,FALSE),"")</f>
        <v/>
      </c>
      <c r="D14" s="78" t="str">
        <f>IFERROR(VLOOKUP($A14,Worksheet!$A$5:$I$110,D$4,FALSE),"")</f>
        <v/>
      </c>
      <c r="E14" s="78" t="str">
        <f>IFERROR(VLOOKUP($A14,Worksheet!$A$5:$I$110,E$4,FALSE),"")</f>
        <v/>
      </c>
      <c r="F14" s="78" t="str">
        <f>IFERROR(VLOOKUP($A14,Worksheet!$A$5:$I$110,F$4,FALSE),"")</f>
        <v/>
      </c>
      <c r="G14" s="78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25">
        <v>-306201852</v>
      </c>
      <c r="B15" s="77" t="str">
        <f>IFERROR(VLOOKUP($A15,Worksheet!$A$5:$I$110,B$4,FALSE),"")</f>
        <v/>
      </c>
      <c r="C15" s="77" t="str">
        <f>IFERROR(VLOOKUP($A15,Worksheet!$A$5:$I$110,C$4,FALSE),"")</f>
        <v/>
      </c>
      <c r="D15" s="77" t="str">
        <f>IFERROR(VLOOKUP($A15,Worksheet!$A$5:$I$110,D$4,FALSE),"")</f>
        <v/>
      </c>
      <c r="E15" s="77" t="str">
        <f>IFERROR(VLOOKUP($A15,Worksheet!$A$5:$I$110,E$4,FALSE),"")</f>
        <v/>
      </c>
      <c r="F15" s="77" t="str">
        <f>IFERROR(VLOOKUP($A15,Worksheet!$A$5:$I$110,F$4,FALSE),"")</f>
        <v/>
      </c>
      <c r="G15" s="77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26">
        <v>86489172</v>
      </c>
      <c r="B16" s="78" t="str">
        <f>IFERROR(VLOOKUP($A16,Worksheet!$A$5:$I$110,B$4,FALSE),"")</f>
        <v/>
      </c>
      <c r="C16" s="78" t="str">
        <f>IFERROR(VLOOKUP($A16,Worksheet!$A$5:$I$110,C$4,FALSE),"")</f>
        <v/>
      </c>
      <c r="D16" s="78" t="str">
        <f>IFERROR(VLOOKUP($A16,Worksheet!$A$5:$I$110,D$4,FALSE),"")</f>
        <v/>
      </c>
      <c r="E16" s="78" t="str">
        <f>IFERROR(VLOOKUP($A16,Worksheet!$A$5:$I$110,E$4,FALSE),"")</f>
        <v/>
      </c>
      <c r="F16" s="78" t="str">
        <f>IFERROR(VLOOKUP($A16,Worksheet!$A$5:$I$110,F$4,FALSE),"")</f>
        <v/>
      </c>
      <c r="G16" s="78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24" t="s">
        <v>101</v>
      </c>
      <c r="B17" s="84"/>
      <c r="C17" s="84"/>
      <c r="D17" s="84"/>
      <c r="E17" s="84"/>
      <c r="F17" s="84"/>
      <c r="G17" s="84"/>
    </row>
    <row r="18" spans="1:8" x14ac:dyDescent="0.25">
      <c r="A18" s="126">
        <v>36563959</v>
      </c>
      <c r="B18" s="78" t="str">
        <f>IFERROR(VLOOKUP($A18,Worksheet!$A$5:$I$110,B$4,FALSE),"")</f>
        <v/>
      </c>
      <c r="C18" s="78" t="str">
        <f>IFERROR(VLOOKUP($A18,Worksheet!$A$5:$I$110,C$4,FALSE),"")</f>
        <v/>
      </c>
      <c r="D18" s="78" t="str">
        <f>IFERROR(VLOOKUP($A18,Worksheet!$A$5:$I$110,D$4,FALSE),"")</f>
        <v/>
      </c>
      <c r="E18" s="78" t="str">
        <f>IFERROR(VLOOKUP($A18,Worksheet!$A$5:$I$110,E$4,FALSE),"")</f>
        <v/>
      </c>
      <c r="F18" s="78" t="str">
        <f>IFERROR(VLOOKUP($A18,Worksheet!$A$5:$I$110,F$4,FALSE),"")</f>
        <v/>
      </c>
      <c r="G18" s="78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25">
        <v>-66073833</v>
      </c>
      <c r="B19" s="77" t="str">
        <f>IFERROR(VLOOKUP($A19,Worksheet!$A$5:$I$110,B$4,FALSE),"")</f>
        <v/>
      </c>
      <c r="C19" s="77" t="str">
        <f>IFERROR(VLOOKUP($A19,Worksheet!$A$5:$I$110,C$4,FALSE),"")</f>
        <v/>
      </c>
      <c r="D19" s="77" t="str">
        <f>IFERROR(VLOOKUP($A19,Worksheet!$A$5:$I$110,D$4,FALSE),"")</f>
        <v/>
      </c>
      <c r="E19" s="77" t="str">
        <f>IFERROR(VLOOKUP($A19,Worksheet!$A$5:$I$110,E$4,FALSE),"")</f>
        <v/>
      </c>
      <c r="F19" s="77" t="str">
        <f>IFERROR(VLOOKUP($A19,Worksheet!$A$5:$I$110,F$4,FALSE),"")</f>
        <v/>
      </c>
      <c r="G19" s="77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26">
        <v>465457095</v>
      </c>
      <c r="B20" s="78" t="str">
        <f>IFERROR(VLOOKUP($A20,Worksheet!$A$5:$I$110,B$4,FALSE),"")</f>
        <v/>
      </c>
      <c r="C20" s="78" t="str">
        <f>IFERROR(VLOOKUP($A20,Worksheet!$A$5:$I$110,C$4,FALSE),"")</f>
        <v/>
      </c>
      <c r="D20" s="78" t="str">
        <f>IFERROR(VLOOKUP($A20,Worksheet!$A$5:$I$110,D$4,FALSE),"")</f>
        <v/>
      </c>
      <c r="E20" s="78" t="str">
        <f>IFERROR(VLOOKUP($A20,Worksheet!$A$5:$I$110,E$4,FALSE),"")</f>
        <v/>
      </c>
      <c r="F20" s="78" t="str">
        <f>IFERROR(VLOOKUP($A20,Worksheet!$A$5:$I$110,F$4,FALSE),"")</f>
        <v/>
      </c>
      <c r="G20" s="78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24" t="s">
        <v>14</v>
      </c>
      <c r="B21" s="84"/>
      <c r="C21" s="84"/>
      <c r="D21" s="84"/>
      <c r="E21" s="84"/>
      <c r="F21" s="84"/>
      <c r="G21" s="84"/>
    </row>
    <row r="22" spans="1:8" x14ac:dyDescent="0.25">
      <c r="A22" s="126">
        <v>-57753614</v>
      </c>
      <c r="B22" s="78" t="str">
        <f>IFERROR(VLOOKUP($A22,Worksheet!$A$5:$I$110,B$4,FALSE),"")</f>
        <v/>
      </c>
      <c r="C22" s="78" t="str">
        <f>IFERROR(VLOOKUP($A22,Worksheet!$A$5:$I$110,C$4,FALSE),"")</f>
        <v/>
      </c>
      <c r="D22" s="78" t="str">
        <f>IFERROR(VLOOKUP($A22,Worksheet!$A$5:$I$110,D$4,FALSE),"")</f>
        <v/>
      </c>
      <c r="E22" s="78" t="str">
        <f>IFERROR(VLOOKUP($A22,Worksheet!$A$5:$I$110,E$4,FALSE),"")</f>
        <v/>
      </c>
      <c r="F22" s="78" t="str">
        <f>IFERROR(VLOOKUP($A22,Worksheet!$A$5:$I$110,F$4,FALSE),"")</f>
        <v/>
      </c>
      <c r="G22" s="78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24" t="s">
        <v>7</v>
      </c>
      <c r="B23" s="84"/>
      <c r="C23" s="84"/>
      <c r="D23" s="84"/>
      <c r="E23" s="84"/>
      <c r="F23" s="84"/>
      <c r="G23" s="84"/>
    </row>
    <row r="24" spans="1:8" x14ac:dyDescent="0.25">
      <c r="A24" s="126">
        <v>226361642</v>
      </c>
      <c r="B24" s="78" t="str">
        <f>IFERROR(VLOOKUP($A24,Worksheet!$A$5:$I$110,B$4,FALSE),"")</f>
        <v/>
      </c>
      <c r="C24" s="78" t="str">
        <f>IFERROR(VLOOKUP($A24,Worksheet!$A$5:$I$110,C$4,FALSE),"")</f>
        <v/>
      </c>
      <c r="D24" s="78" t="str">
        <f>IFERROR(VLOOKUP($A24,Worksheet!$A$5:$I$110,D$4,FALSE),"")</f>
        <v/>
      </c>
      <c r="E24" s="78" t="str">
        <f>IFERROR(VLOOKUP($A24,Worksheet!$A$5:$I$110,E$4,FALSE),"")</f>
        <v/>
      </c>
      <c r="F24" s="78" t="str">
        <f>IFERROR(VLOOKUP($A24,Worksheet!$A$5:$I$110,F$4,FALSE),"")</f>
        <v/>
      </c>
      <c r="G24" s="78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25">
        <v>120236181</v>
      </c>
      <c r="B25" s="77" t="str">
        <f>IFERROR(VLOOKUP($A25,Worksheet!$A$5:$I$110,B$4,FALSE),"")</f>
        <v/>
      </c>
      <c r="C25" s="77" t="str">
        <f>IFERROR(VLOOKUP($A25,Worksheet!$A$5:$I$110,C$4,FALSE),"")</f>
        <v/>
      </c>
      <c r="D25" s="77" t="str">
        <f>IFERROR(VLOOKUP($A25,Worksheet!$A$5:$I$110,D$4,FALSE),"")</f>
        <v/>
      </c>
      <c r="E25" s="77" t="str">
        <f>IFERROR(VLOOKUP($A25,Worksheet!$A$5:$I$110,E$4,FALSE),"")</f>
        <v/>
      </c>
      <c r="F25" s="77" t="str">
        <f>IFERROR(VLOOKUP($A25,Worksheet!$A$5:$I$110,F$4,FALSE),"")</f>
        <v/>
      </c>
      <c r="G25" s="77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24" t="s">
        <v>97</v>
      </c>
      <c r="B26" s="84"/>
      <c r="C26" s="84"/>
      <c r="D26" s="84"/>
      <c r="E26" s="84"/>
      <c r="F26" s="84"/>
      <c r="G26" s="84"/>
    </row>
    <row r="27" spans="1:8" x14ac:dyDescent="0.25">
      <c r="A27" s="125">
        <v>-30303541</v>
      </c>
      <c r="B27" s="77" t="str">
        <f>IFERROR(VLOOKUP($A27,Worksheet!$A$5:$I$110,B$4,FALSE),"")</f>
        <v/>
      </c>
      <c r="C27" s="77" t="str">
        <f>IFERROR(VLOOKUP($A27,Worksheet!$A$5:$I$110,C$4,FALSE),"")</f>
        <v/>
      </c>
      <c r="D27" s="77" t="str">
        <f>IFERROR(VLOOKUP($A27,Worksheet!$A$5:$I$110,D$4,FALSE),"")</f>
        <v/>
      </c>
      <c r="E27" s="77" t="str">
        <f>IFERROR(VLOOKUP($A27,Worksheet!$A$5:$I$110,E$4,FALSE),"")</f>
        <v/>
      </c>
      <c r="F27" s="77" t="str">
        <f>IFERROR(VLOOKUP($A27,Worksheet!$A$5:$I$110,F$4,FALSE),"")</f>
        <v/>
      </c>
      <c r="G27" s="77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26">
        <v>-236979795</v>
      </c>
      <c r="B28" s="78" t="str">
        <f>IFERROR(VLOOKUP($A28,Worksheet!$A$5:$I$110,B$4,FALSE),"")</f>
        <v/>
      </c>
      <c r="C28" s="78" t="str">
        <f>IFERROR(VLOOKUP($A28,Worksheet!$A$5:$I$110,C$4,FALSE),"")</f>
        <v/>
      </c>
      <c r="D28" s="78" t="str">
        <f>IFERROR(VLOOKUP($A28,Worksheet!$A$5:$I$110,D$4,FALSE),"")</f>
        <v/>
      </c>
      <c r="E28" s="78" t="str">
        <f>IFERROR(VLOOKUP($A28,Worksheet!$A$5:$I$110,E$4,FALSE),"")</f>
        <v/>
      </c>
      <c r="F28" s="78" t="str">
        <f>IFERROR(VLOOKUP($A28,Worksheet!$A$5:$I$110,F$4,FALSE),"")</f>
        <v/>
      </c>
      <c r="G28" s="78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25">
        <v>-118925506</v>
      </c>
      <c r="B29" s="77" t="str">
        <f>IFERROR(VLOOKUP($A29,Worksheet!$A$5:$I$110,B$4,FALSE),"")</f>
        <v/>
      </c>
      <c r="C29" s="77" t="str">
        <f>IFERROR(VLOOKUP($A29,Worksheet!$A$5:$I$110,C$4,FALSE),"")</f>
        <v/>
      </c>
      <c r="D29" s="77" t="str">
        <f>IFERROR(VLOOKUP($A29,Worksheet!$A$5:$I$110,D$4,FALSE),"")</f>
        <v/>
      </c>
      <c r="E29" s="77" t="str">
        <f>IFERROR(VLOOKUP($A29,Worksheet!$A$5:$I$110,E$4,FALSE),"")</f>
        <v/>
      </c>
      <c r="F29" s="77" t="str">
        <f>IFERROR(VLOOKUP($A29,Worksheet!$A$5:$I$110,F$4,FALSE),"")</f>
        <v/>
      </c>
      <c r="G29" s="77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26">
        <v>-365743965</v>
      </c>
      <c r="B30" s="78" t="str">
        <f>IFERROR(VLOOKUP($A30,Worksheet!$A$5:$I$110,B$4,FALSE),"")</f>
        <v/>
      </c>
      <c r="C30" s="78" t="str">
        <f>IFERROR(VLOOKUP($A30,Worksheet!$A$5:$I$110,C$4,FALSE),"")</f>
        <v/>
      </c>
      <c r="D30" s="78" t="str">
        <f>IFERROR(VLOOKUP($A30,Worksheet!$A$5:$I$110,D$4,FALSE),"")</f>
        <v/>
      </c>
      <c r="E30" s="78" t="str">
        <f>IFERROR(VLOOKUP($A30,Worksheet!$A$5:$I$110,E$4,FALSE),"")</f>
        <v/>
      </c>
      <c r="F30" s="78" t="str">
        <f>IFERROR(VLOOKUP($A30,Worksheet!$A$5:$I$110,F$4,FALSE),"")</f>
        <v/>
      </c>
      <c r="G30" s="78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25">
        <v>286695292</v>
      </c>
      <c r="B31" s="77" t="str">
        <f>IFERROR(VLOOKUP($A31,Worksheet!$A$5:$I$110,B$4,FALSE),"")</f>
        <v/>
      </c>
      <c r="C31" s="77" t="str">
        <f>IFERROR(VLOOKUP($A31,Worksheet!$A$5:$I$110,C$4,FALSE),"")</f>
        <v/>
      </c>
      <c r="D31" s="77" t="str">
        <f>IFERROR(VLOOKUP($A31,Worksheet!$A$5:$I$110,D$4,FALSE),"")</f>
        <v/>
      </c>
      <c r="E31" s="77" t="str">
        <f>IFERROR(VLOOKUP($A31,Worksheet!$A$5:$I$110,E$4,FALSE),"")</f>
        <v/>
      </c>
      <c r="F31" s="77" t="str">
        <f>IFERROR(VLOOKUP($A31,Worksheet!$A$5:$I$110,F$4,FALSE),"")</f>
        <v/>
      </c>
      <c r="G31" s="77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26">
        <v>-55344214</v>
      </c>
      <c r="B32" s="78" t="str">
        <f>IFERROR(VLOOKUP($A32,Worksheet!$A$5:$I$110,B$4,FALSE),"")</f>
        <v/>
      </c>
      <c r="C32" s="78" t="str">
        <f>IFERROR(VLOOKUP($A32,Worksheet!$A$5:$I$110,C$4,FALSE),"")</f>
        <v/>
      </c>
      <c r="D32" s="78" t="str">
        <f>IFERROR(VLOOKUP($A32,Worksheet!$A$5:$I$110,D$4,FALSE),"")</f>
        <v/>
      </c>
      <c r="E32" s="78" t="str">
        <f>IFERROR(VLOOKUP($A32,Worksheet!$A$5:$I$110,E$4,FALSE),"")</f>
        <v/>
      </c>
      <c r="F32" s="78" t="str">
        <f>IFERROR(VLOOKUP($A32,Worksheet!$A$5:$I$110,F$4,FALSE),"")</f>
        <v/>
      </c>
      <c r="G32" s="78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25">
        <v>486644484</v>
      </c>
      <c r="B33" s="77" t="str">
        <f>IFERROR(VLOOKUP($A33,Worksheet!$A$5:$I$110,B$4,FALSE),"")</f>
        <v/>
      </c>
      <c r="C33" s="77" t="str">
        <f>IFERROR(VLOOKUP($A33,Worksheet!$A$5:$I$110,C$4,FALSE),"")</f>
        <v/>
      </c>
      <c r="D33" s="77" t="str">
        <f>IFERROR(VLOOKUP($A33,Worksheet!$A$5:$I$110,D$4,FALSE),"")</f>
        <v/>
      </c>
      <c r="E33" s="77" t="str">
        <f>IFERROR(VLOOKUP($A33,Worksheet!$A$5:$I$110,E$4,FALSE),"")</f>
        <v/>
      </c>
      <c r="F33" s="77" t="str">
        <f>IFERROR(VLOOKUP($A33,Worksheet!$A$5:$I$110,F$4,FALSE),"")</f>
        <v/>
      </c>
      <c r="G33" s="77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26">
        <v>496180124</v>
      </c>
      <c r="B34" s="78" t="str">
        <f>IFERROR(VLOOKUP($A34,Worksheet!$A$5:$I$110,B$4,FALSE),"")</f>
        <v/>
      </c>
      <c r="C34" s="78" t="str">
        <f>IFERROR(VLOOKUP($A34,Worksheet!$A$5:$I$110,C$4,FALSE),"")</f>
        <v/>
      </c>
      <c r="D34" s="78" t="str">
        <f>IFERROR(VLOOKUP($A34,Worksheet!$A$5:$I$110,D$4,FALSE),"")</f>
        <v/>
      </c>
      <c r="E34" s="78" t="str">
        <f>IFERROR(VLOOKUP($A34,Worksheet!$A$5:$I$110,E$4,FALSE),"")</f>
        <v/>
      </c>
      <c r="F34" s="78" t="str">
        <f>IFERROR(VLOOKUP($A34,Worksheet!$A$5:$I$110,F$4,FALSE),"")</f>
        <v/>
      </c>
      <c r="G34" s="78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24" t="s">
        <v>98</v>
      </c>
      <c r="B35" s="84"/>
      <c r="C35" s="84"/>
      <c r="D35" s="84"/>
      <c r="E35" s="84"/>
      <c r="F35" s="84"/>
      <c r="G35" s="84"/>
    </row>
    <row r="36" spans="1:8" x14ac:dyDescent="0.25">
      <c r="A36" s="126">
        <v>276562491</v>
      </c>
      <c r="B36" s="78" t="str">
        <f>IFERROR(VLOOKUP($A36,Worksheet!$A$5:$I$110,B$4,FALSE),"")</f>
        <v/>
      </c>
      <c r="C36" s="78" t="str">
        <f>IFERROR(VLOOKUP($A36,Worksheet!$A$5:$I$110,C$4,FALSE),"")</f>
        <v/>
      </c>
      <c r="D36" s="78" t="str">
        <f>IFERROR(VLOOKUP($A36,Worksheet!$A$5:$I$110,D$4,FALSE),"")</f>
        <v/>
      </c>
      <c r="E36" s="78" t="str">
        <f>IFERROR(VLOOKUP($A36,Worksheet!$A$5:$I$110,E$4,FALSE),"")</f>
        <v/>
      </c>
      <c r="F36" s="78" t="str">
        <f>IFERROR(VLOOKUP($A36,Worksheet!$A$5:$I$110,F$4,FALSE),"")</f>
        <v/>
      </c>
      <c r="G36" s="78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25">
        <v>-306398606</v>
      </c>
      <c r="B37" s="77" t="str">
        <f>IFERROR(VLOOKUP($A37,Worksheet!$A$5:$I$110,B$4,FALSE),"")</f>
        <v/>
      </c>
      <c r="C37" s="77" t="str">
        <f>IFERROR(VLOOKUP($A37,Worksheet!$A$5:$I$110,C$4,FALSE),"")</f>
        <v/>
      </c>
      <c r="D37" s="77" t="str">
        <f>IFERROR(VLOOKUP($A37,Worksheet!$A$5:$I$110,D$4,FALSE),"")</f>
        <v/>
      </c>
      <c r="E37" s="77" t="str">
        <f>IFERROR(VLOOKUP($A37,Worksheet!$A$5:$I$110,E$4,FALSE),"")</f>
        <v/>
      </c>
      <c r="F37" s="77" t="str">
        <f>IFERROR(VLOOKUP($A37,Worksheet!$A$5:$I$110,F$4,FALSE),"")</f>
        <v/>
      </c>
      <c r="G37" s="77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26">
        <v>-110541820</v>
      </c>
      <c r="B38" s="78" t="str">
        <f>IFERROR(VLOOKUP($A38,Worksheet!$A$5:$I$110,B$4,FALSE),"")</f>
        <v/>
      </c>
      <c r="C38" s="78" t="str">
        <f>IFERROR(VLOOKUP($A38,Worksheet!$A$5:$I$110,C$4,FALSE),"")</f>
        <v/>
      </c>
      <c r="D38" s="78" t="str">
        <f>IFERROR(VLOOKUP($A38,Worksheet!$A$5:$I$110,D$4,FALSE),"")</f>
        <v/>
      </c>
      <c r="E38" s="78" t="str">
        <f>IFERROR(VLOOKUP($A38,Worksheet!$A$5:$I$110,E$4,FALSE),"")</f>
        <v/>
      </c>
      <c r="F38" s="78" t="str">
        <f>IFERROR(VLOOKUP($A38,Worksheet!$A$5:$I$110,F$4,FALSE),"")</f>
        <v/>
      </c>
      <c r="G38" s="78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25">
        <v>184256789</v>
      </c>
      <c r="B39" s="77" t="str">
        <f>IFERROR(VLOOKUP($A39,Worksheet!$A$5:$I$110,B$4,FALSE),"")</f>
        <v/>
      </c>
      <c r="C39" s="77" t="str">
        <f>IFERROR(VLOOKUP($A39,Worksheet!$A$5:$I$110,C$4,FALSE),"")</f>
        <v/>
      </c>
      <c r="D39" s="77" t="str">
        <f>IFERROR(VLOOKUP($A39,Worksheet!$A$5:$I$110,D$4,FALSE),"")</f>
        <v/>
      </c>
      <c r="E39" s="77" t="str">
        <f>IFERROR(VLOOKUP($A39,Worksheet!$A$5:$I$110,E$4,FALSE),"")</f>
        <v/>
      </c>
      <c r="F39" s="77" t="str">
        <f>IFERROR(VLOOKUP($A39,Worksheet!$A$5:$I$110,F$4,FALSE),"")</f>
        <v/>
      </c>
      <c r="G39" s="77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26">
        <v>410564501</v>
      </c>
      <c r="B40" s="78" t="str">
        <f>IFERROR(VLOOKUP($A40,Worksheet!$A$5:$I$110,B$4,FALSE),"")</f>
        <v/>
      </c>
      <c r="C40" s="78" t="str">
        <f>IFERROR(VLOOKUP($A40,Worksheet!$A$5:$I$110,C$4,FALSE),"")</f>
        <v/>
      </c>
      <c r="D40" s="78" t="str">
        <f>IFERROR(VLOOKUP($A40,Worksheet!$A$5:$I$110,D$4,FALSE),"")</f>
        <v/>
      </c>
      <c r="E40" s="78" t="str">
        <f>IFERROR(VLOOKUP($A40,Worksheet!$A$5:$I$110,E$4,FALSE),"")</f>
        <v/>
      </c>
      <c r="F40" s="78" t="str">
        <f>IFERROR(VLOOKUP($A40,Worksheet!$A$5:$I$110,F$4,FALSE),"")</f>
        <v/>
      </c>
      <c r="G40" s="78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25">
        <v>269398838</v>
      </c>
      <c r="B41" s="77" t="str">
        <f>IFERROR(VLOOKUP($A41,Worksheet!$A$5:$I$110,B$4,FALSE),"")</f>
        <v/>
      </c>
      <c r="C41" s="77" t="str">
        <f>IFERROR(VLOOKUP($A41,Worksheet!$A$5:$I$110,C$4,FALSE),"")</f>
        <v/>
      </c>
      <c r="D41" s="77" t="str">
        <f>IFERROR(VLOOKUP($A41,Worksheet!$A$5:$I$110,D$4,FALSE),"")</f>
        <v/>
      </c>
      <c r="E41" s="77" t="str">
        <f>IFERROR(VLOOKUP($A41,Worksheet!$A$5:$I$110,E$4,FALSE),"")</f>
        <v/>
      </c>
      <c r="F41" s="77" t="str">
        <f>IFERROR(VLOOKUP($A41,Worksheet!$A$5:$I$110,F$4,FALSE),"")</f>
        <v/>
      </c>
      <c r="G41" s="77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26">
        <v>77639596</v>
      </c>
      <c r="B42" s="78" t="str">
        <f>IFERROR(VLOOKUP($A42,Worksheet!$A$5:$I$110,B$4,FALSE),"")</f>
        <v/>
      </c>
      <c r="C42" s="78" t="str">
        <f>IFERROR(VLOOKUP($A42,Worksheet!$A$5:$I$110,C$4,FALSE),"")</f>
        <v/>
      </c>
      <c r="D42" s="78" t="str">
        <f>IFERROR(VLOOKUP($A42,Worksheet!$A$5:$I$110,D$4,FALSE),"")</f>
        <v/>
      </c>
      <c r="E42" s="78" t="str">
        <f>IFERROR(VLOOKUP($A42,Worksheet!$A$5:$I$110,E$4,FALSE),"")</f>
        <v/>
      </c>
      <c r="F42" s="78" t="str">
        <f>IFERROR(VLOOKUP($A42,Worksheet!$A$5:$I$110,F$4,FALSE),"")</f>
        <v/>
      </c>
      <c r="G42" s="78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25">
        <v>126680872</v>
      </c>
      <c r="B43" s="77" t="str">
        <f>IFERROR(VLOOKUP($A43,Worksheet!$A$5:$I$110,B$4,FALSE),"")</f>
        <v/>
      </c>
      <c r="C43" s="77" t="str">
        <f>IFERROR(VLOOKUP($A43,Worksheet!$A$5:$I$110,C$4,FALSE),"")</f>
        <v/>
      </c>
      <c r="D43" s="77" t="str">
        <f>IFERROR(VLOOKUP($A43,Worksheet!$A$5:$I$110,D$4,FALSE),"")</f>
        <v/>
      </c>
      <c r="E43" s="77" t="str">
        <f>IFERROR(VLOOKUP($A43,Worksheet!$A$5:$I$110,E$4,FALSE),"")</f>
        <v/>
      </c>
      <c r="F43" s="77" t="str">
        <f>IFERROR(VLOOKUP($A43,Worksheet!$A$5:$I$110,F$4,FALSE),"")</f>
        <v/>
      </c>
      <c r="G43" s="77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24" t="s">
        <v>115</v>
      </c>
      <c r="B44" s="84"/>
      <c r="C44" s="84"/>
      <c r="D44" s="84"/>
      <c r="E44" s="84"/>
      <c r="F44" s="84"/>
      <c r="G44" s="84"/>
    </row>
    <row r="45" spans="1:8" x14ac:dyDescent="0.25">
      <c r="A45" s="125">
        <v>-231948203</v>
      </c>
      <c r="B45" s="77" t="str">
        <f>IFERROR(VLOOKUP($A45,Worksheet!$A$5:$I$110,B$4,FALSE),"")</f>
        <v/>
      </c>
      <c r="C45" s="77" t="str">
        <f>IFERROR(VLOOKUP($A45,Worksheet!$A$5:$I$110,C$4,FALSE),"")</f>
        <v/>
      </c>
      <c r="D45" s="77" t="str">
        <f>IFERROR(VLOOKUP($A45,Worksheet!$A$5:$I$110,D$4,FALSE),"")</f>
        <v/>
      </c>
      <c r="E45" s="77" t="str">
        <f>IFERROR(VLOOKUP($A45,Worksheet!$A$5:$I$110,E$4,FALSE),"")</f>
        <v/>
      </c>
      <c r="F45" s="77" t="str">
        <f>IFERROR(VLOOKUP($A45,Worksheet!$A$5:$I$110,F$4,FALSE),"")</f>
        <v/>
      </c>
      <c r="G45" s="77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27"/>
      <c r="C46" s="127"/>
      <c r="D46" s="127"/>
      <c r="E46" s="127"/>
      <c r="F46" s="127"/>
      <c r="G46" s="127"/>
    </row>
    <row r="47" spans="1:8" x14ac:dyDescent="0.25">
      <c r="B47" s="127"/>
      <c r="C47" s="127"/>
      <c r="D47" s="127"/>
      <c r="E47" s="127"/>
      <c r="F47" s="127"/>
      <c r="G47" s="127"/>
    </row>
    <row r="48" spans="1:8" x14ac:dyDescent="0.25">
      <c r="B48" s="127"/>
      <c r="C48" s="127"/>
      <c r="D48" s="127"/>
      <c r="E48" s="127"/>
      <c r="F48" s="127"/>
      <c r="G48" s="127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opLeftCell="L1" zoomScaleNormal="100" workbookViewId="0">
      <selection activeCell="AL14" sqref="AL14"/>
    </sheetView>
  </sheetViews>
  <sheetFormatPr defaultColWidth="9.28515625" defaultRowHeight="15" x14ac:dyDescent="0.25"/>
  <cols>
    <col min="1" max="1" width="10.7109375" style="12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86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0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1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87"/>
      <c r="K1" s="44"/>
      <c r="L1" s="30"/>
      <c r="M1" s="139"/>
      <c r="N1" s="4"/>
      <c r="O1" s="5"/>
      <c r="P1" s="5"/>
      <c r="Q1" s="5"/>
      <c r="R1" s="5"/>
      <c r="S1" s="10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19"/>
      <c r="B2" s="10"/>
      <c r="C2" s="137" t="s">
        <v>63</v>
      </c>
      <c r="D2" s="138"/>
      <c r="E2" s="138"/>
      <c r="F2" s="45"/>
      <c r="G2" s="11"/>
      <c r="H2" s="24"/>
      <c r="I2" s="48"/>
      <c r="J2" s="85"/>
      <c r="K2" s="42"/>
      <c r="L2" s="31"/>
      <c r="M2" s="139"/>
      <c r="N2" s="12"/>
      <c r="O2" s="5"/>
      <c r="P2" s="5"/>
      <c r="Q2" s="5"/>
      <c r="R2" s="5"/>
      <c r="S2" s="100"/>
      <c r="T2" s="7"/>
      <c r="U2" s="10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19"/>
      <c r="B3" s="10"/>
      <c r="C3" s="13"/>
      <c r="D3" s="14"/>
      <c r="E3" s="96"/>
      <c r="F3" s="68"/>
      <c r="G3" s="15"/>
      <c r="H3" s="24"/>
      <c r="I3" s="48"/>
      <c r="J3" s="85"/>
      <c r="K3" s="95"/>
      <c r="L3" s="31"/>
      <c r="M3" s="51"/>
      <c r="N3" s="5"/>
      <c r="O3" s="5"/>
      <c r="P3" s="5"/>
      <c r="Q3" s="5"/>
      <c r="R3" s="5"/>
      <c r="S3" s="100"/>
      <c r="T3" s="7"/>
      <c r="U3" s="10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35" t="s">
        <v>50</v>
      </c>
      <c r="AH3" s="75"/>
    </row>
    <row r="4" spans="1:38" ht="15.75" x14ac:dyDescent="0.25">
      <c r="A4" s="119"/>
      <c r="B4" s="1"/>
      <c r="C4" s="14"/>
      <c r="E4" s="14"/>
      <c r="F4" s="14"/>
      <c r="G4" s="14"/>
      <c r="H4" s="24"/>
      <c r="I4" s="48"/>
      <c r="J4" s="85"/>
      <c r="K4" s="42"/>
      <c r="L4" s="31"/>
      <c r="M4" s="16"/>
      <c r="N4" s="79" t="s">
        <v>2184</v>
      </c>
      <c r="O4" s="5"/>
      <c r="P4" s="5"/>
      <c r="Q4" s="5"/>
      <c r="R4" s="5"/>
      <c r="S4" s="108"/>
      <c r="T4" s="109"/>
      <c r="U4" s="140" t="s">
        <v>27</v>
      </c>
      <c r="V4" s="105"/>
      <c r="W4" s="109"/>
      <c r="X4" s="109"/>
      <c r="Y4" s="110"/>
      <c r="Z4" s="7" t="s">
        <v>61</v>
      </c>
      <c r="AA4" s="7"/>
      <c r="AB4" s="7"/>
      <c r="AC4" s="7"/>
      <c r="AD4" s="17"/>
      <c r="AE4" s="17"/>
      <c r="AF4" s="6"/>
      <c r="AG4" s="135"/>
      <c r="AH4" s="75"/>
    </row>
    <row r="5" spans="1:38" ht="39" customHeight="1" x14ac:dyDescent="0.25">
      <c r="A5" s="120" t="s">
        <v>2186</v>
      </c>
      <c r="B5" s="128" t="s">
        <v>29</v>
      </c>
      <c r="C5" s="129" t="s">
        <v>18</v>
      </c>
      <c r="D5" s="130" t="s">
        <v>30</v>
      </c>
      <c r="E5" s="129" t="s">
        <v>31</v>
      </c>
      <c r="F5" s="129" t="s">
        <v>32</v>
      </c>
      <c r="G5" s="129" t="s">
        <v>33</v>
      </c>
      <c r="H5" s="131" t="s">
        <v>34</v>
      </c>
      <c r="I5" s="49" t="s">
        <v>96</v>
      </c>
      <c r="J5" s="88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06" t="s">
        <v>112</v>
      </c>
      <c r="T5" s="107" t="s">
        <v>113</v>
      </c>
      <c r="U5" s="141"/>
      <c r="V5" s="97" t="s">
        <v>28</v>
      </c>
      <c r="W5" s="111" t="s">
        <v>18</v>
      </c>
      <c r="X5" s="10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12" t="s">
        <v>17</v>
      </c>
      <c r="AE5" s="97" t="s">
        <v>42</v>
      </c>
      <c r="AF5" s="117"/>
      <c r="AG5" s="136"/>
      <c r="AH5" s="75" t="s">
        <v>2187</v>
      </c>
      <c r="AI5" s="25"/>
      <c r="AJ5" s="46"/>
      <c r="AK5" s="25"/>
      <c r="AL5" s="25"/>
    </row>
    <row r="6" spans="1:38" x14ac:dyDescent="0.25">
      <c r="A6" s="12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IFERROR(ROUND(AVERAGE(N6:R6),-LOG10(V6))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9" t="str">
        <v/>
      </c>
      <c r="K6" s="55"/>
      <c r="L6" s="56"/>
      <c r="M6" s="22"/>
      <c r="N6" s="52"/>
      <c r="O6" s="53"/>
      <c r="P6" s="53"/>
      <c r="Q6" s="98"/>
      <c r="R6" s="98"/>
      <c r="S6" s="101"/>
      <c r="T6" s="113"/>
      <c r="U6" s="59"/>
      <c r="V6" s="60"/>
      <c r="W6" s="61"/>
      <c r="X6" s="115"/>
      <c r="Y6" s="132"/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2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IFERROR(ROUND(AVERAGE(N7:R7),-LOG10(V7))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9" t="str">
        <v/>
      </c>
      <c r="K7" s="55"/>
      <c r="L7" s="56"/>
      <c r="M7" s="22"/>
      <c r="N7" s="52"/>
      <c r="O7" s="53"/>
      <c r="P7" s="53"/>
      <c r="Q7" s="98"/>
      <c r="R7" s="98"/>
      <c r="S7" s="101"/>
      <c r="T7" s="114"/>
      <c r="U7" s="59"/>
      <c r="V7" s="60"/>
      <c r="W7" s="61"/>
      <c r="X7" s="116"/>
      <c r="Y7" s="132"/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2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 t="shared" ref="E8:E71" si="7">IFERROR(ROUND(AVERAGE(N8:R8),-LOG10(V8)) &amp; AH8,"")</f>
        <v/>
      </c>
      <c r="F8" s="41" t="str">
        <f t="shared" ref="F8:F71" si="8">IF(AB8="","",AB8 &amp; $AH8)</f>
        <v/>
      </c>
      <c r="G8" s="41" t="str">
        <f t="shared" ref="G8:G71" si="9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9" t="str">
        <v/>
      </c>
      <c r="K8" s="55"/>
      <c r="L8" s="56"/>
      <c r="M8" s="22"/>
      <c r="N8" s="52"/>
      <c r="O8" s="53"/>
      <c r="P8" s="53"/>
      <c r="Q8" s="98"/>
      <c r="R8" s="98"/>
      <c r="S8" s="101"/>
      <c r="T8" s="114"/>
      <c r="U8" s="59"/>
      <c r="V8" s="60"/>
      <c r="W8" s="61"/>
      <c r="X8" s="116"/>
      <c r="Y8" s="132"/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2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FilterSpecialCharacters(X9))</f>
        <v xml:space="preserve"> </v>
      </c>
      <c r="D9" s="37" t="str">
        <f t="shared" si="6"/>
        <v xml:space="preserve">  </v>
      </c>
      <c r="E9" s="58" t="str">
        <f t="shared" si="7"/>
        <v/>
      </c>
      <c r="F9" s="42" t="str">
        <f t="shared" si="8"/>
        <v/>
      </c>
      <c r="G9" s="42" t="str">
        <f t="shared" si="9"/>
        <v/>
      </c>
      <c r="H9" s="38" t="str" cm="1">
        <f t="array" ref="H9:J9">IFERROR(CalcUnc(K9,L9,S9,T9,V9,X9,AD9,AE9,N9:R9,Z9,AA9),"")</f>
        <v/>
      </c>
      <c r="I9" s="50" t="str">
        <v/>
      </c>
      <c r="J9" s="89" t="str">
        <v/>
      </c>
      <c r="K9" s="55"/>
      <c r="L9" s="56"/>
      <c r="M9" s="22"/>
      <c r="N9" s="52"/>
      <c r="O9" s="53"/>
      <c r="P9" s="53"/>
      <c r="Q9" s="98"/>
      <c r="R9" s="98"/>
      <c r="S9" s="101"/>
      <c r="T9" s="114"/>
      <c r="U9" s="59"/>
      <c r="V9" s="60"/>
      <c r="W9" s="61"/>
      <c r="X9" s="116"/>
      <c r="Y9" s="132"/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2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si="7"/>
        <v/>
      </c>
      <c r="F10" s="41" t="str">
        <f t="shared" si="8"/>
        <v/>
      </c>
      <c r="G10" s="41" t="str">
        <f t="shared" si="9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9" t="str">
        <v/>
      </c>
      <c r="K10" s="55"/>
      <c r="L10" s="56"/>
      <c r="M10" s="22"/>
      <c r="N10" s="52"/>
      <c r="O10" s="53"/>
      <c r="P10" s="53"/>
      <c r="Q10" s="98"/>
      <c r="R10" s="98"/>
      <c r="S10" s="101"/>
      <c r="T10" s="114"/>
      <c r="U10" s="59"/>
      <c r="V10" s="60"/>
      <c r="W10" s="61"/>
      <c r="X10" s="116"/>
      <c r="Y10" s="132"/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2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FilterSpecialCharacters(X11))</f>
        <v xml:space="preserve"> </v>
      </c>
      <c r="D11" s="37" t="str">
        <f t="shared" si="6"/>
        <v xml:space="preserve">  </v>
      </c>
      <c r="E11" s="58" t="str">
        <f t="shared" si="7"/>
        <v/>
      </c>
      <c r="F11" s="42" t="str">
        <f t="shared" si="8"/>
        <v/>
      </c>
      <c r="G11" s="42" t="str">
        <f t="shared" si="9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9" t="str">
        <v/>
      </c>
      <c r="K11" s="55"/>
      <c r="L11" s="56"/>
      <c r="M11" s="22"/>
      <c r="N11" s="52"/>
      <c r="O11" s="53"/>
      <c r="P11" s="53"/>
      <c r="Q11" s="98"/>
      <c r="R11" s="98"/>
      <c r="S11" s="101"/>
      <c r="T11" s="114"/>
      <c r="U11" s="59"/>
      <c r="V11" s="60"/>
      <c r="W11" s="61"/>
      <c r="X11" s="116"/>
      <c r="Y11" s="132"/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2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7"/>
        <v/>
      </c>
      <c r="F12" s="41" t="str">
        <f t="shared" si="8"/>
        <v/>
      </c>
      <c r="G12" s="41" t="str">
        <f t="shared" si="9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9" t="str">
        <v/>
      </c>
      <c r="K12" s="55"/>
      <c r="L12" s="56"/>
      <c r="M12" s="22"/>
      <c r="N12" s="52"/>
      <c r="O12" s="52"/>
      <c r="P12" s="53"/>
      <c r="Q12" s="98"/>
      <c r="R12" s="98"/>
      <c r="S12" s="101"/>
      <c r="T12" s="114"/>
      <c r="U12" s="59"/>
      <c r="V12" s="60"/>
      <c r="W12" s="61"/>
      <c r="X12" s="116"/>
      <c r="Y12" s="132"/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2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FilterSpecialCharacters(X13))</f>
        <v xml:space="preserve"> </v>
      </c>
      <c r="D13" s="37" t="str">
        <f t="shared" si="6"/>
        <v xml:space="preserve">  </v>
      </c>
      <c r="E13" s="58" t="str">
        <f t="shared" si="7"/>
        <v/>
      </c>
      <c r="F13" s="42" t="str">
        <f t="shared" si="8"/>
        <v/>
      </c>
      <c r="G13" s="42" t="str">
        <f t="shared" si="9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9" t="str">
        <v/>
      </c>
      <c r="K13" s="55"/>
      <c r="L13" s="56"/>
      <c r="M13" s="22"/>
      <c r="N13" s="52"/>
      <c r="O13" s="53"/>
      <c r="P13" s="53"/>
      <c r="Q13" s="98"/>
      <c r="R13" s="98"/>
      <c r="S13" s="101"/>
      <c r="T13" s="114"/>
      <c r="U13" s="59"/>
      <c r="V13" s="60"/>
      <c r="W13" s="61"/>
      <c r="X13" s="116"/>
      <c r="Y13" s="132"/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2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7"/>
        <v/>
      </c>
      <c r="F14" s="41" t="str">
        <f t="shared" si="8"/>
        <v/>
      </c>
      <c r="G14" s="41" t="str">
        <f t="shared" si="9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9" t="str">
        <v/>
      </c>
      <c r="K14" s="55"/>
      <c r="L14" s="56"/>
      <c r="M14" s="22"/>
      <c r="N14" s="52"/>
      <c r="O14" s="53"/>
      <c r="P14" s="53"/>
      <c r="Q14" s="98"/>
      <c r="R14" s="98"/>
      <c r="S14" s="101"/>
      <c r="T14" s="114"/>
      <c r="U14" s="59"/>
      <c r="V14" s="60"/>
      <c r="W14" s="61"/>
      <c r="X14" s="116"/>
      <c r="Y14" s="132"/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2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FilterSpecialCharacters(X15))</f>
        <v xml:space="preserve"> </v>
      </c>
      <c r="D15" s="37" t="str">
        <f t="shared" si="6"/>
        <v xml:space="preserve">  </v>
      </c>
      <c r="E15" s="58" t="str">
        <f t="shared" si="7"/>
        <v/>
      </c>
      <c r="F15" s="42" t="str">
        <f t="shared" si="8"/>
        <v/>
      </c>
      <c r="G15" s="42" t="str">
        <f t="shared" si="9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9" t="str">
        <v/>
      </c>
      <c r="K15" s="55"/>
      <c r="L15" s="56"/>
      <c r="M15" s="22"/>
      <c r="N15" s="52"/>
      <c r="O15" s="53"/>
      <c r="P15" s="53"/>
      <c r="Q15" s="98"/>
      <c r="R15" s="98"/>
      <c r="S15" s="101"/>
      <c r="T15" s="114"/>
      <c r="U15" s="59"/>
      <c r="V15" s="60"/>
      <c r="W15" s="61"/>
      <c r="X15" s="116"/>
      <c r="Y15" s="132"/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2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7"/>
        <v/>
      </c>
      <c r="F16" s="41" t="str">
        <f t="shared" si="8"/>
        <v/>
      </c>
      <c r="G16" s="41" t="str">
        <f t="shared" si="9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9" t="str">
        <v/>
      </c>
      <c r="K16" s="55"/>
      <c r="L16" s="56"/>
      <c r="M16" s="22"/>
      <c r="N16" s="52"/>
      <c r="O16" s="53"/>
      <c r="P16" s="53"/>
      <c r="Q16" s="98"/>
      <c r="R16" s="98"/>
      <c r="S16" s="101"/>
      <c r="T16" s="114"/>
      <c r="U16" s="59"/>
      <c r="V16" s="60"/>
      <c r="W16" s="61"/>
      <c r="X16" s="116"/>
      <c r="Y16" s="132"/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2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FilterSpecialCharacters(X17))</f>
        <v xml:space="preserve"> </v>
      </c>
      <c r="D17" s="37" t="str">
        <f t="shared" si="6"/>
        <v xml:space="preserve">  </v>
      </c>
      <c r="E17" s="58" t="str">
        <f t="shared" si="7"/>
        <v/>
      </c>
      <c r="F17" s="42" t="str">
        <f t="shared" si="8"/>
        <v/>
      </c>
      <c r="G17" s="42" t="str">
        <f t="shared" si="9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9" t="str">
        <v/>
      </c>
      <c r="K17" s="55"/>
      <c r="L17" s="56"/>
      <c r="M17" s="22"/>
      <c r="N17" s="52"/>
      <c r="O17" s="53"/>
      <c r="P17" s="53"/>
      <c r="Q17" s="98"/>
      <c r="R17" s="98"/>
      <c r="S17" s="101"/>
      <c r="T17" s="114"/>
      <c r="U17" s="59"/>
      <c r="V17" s="59"/>
      <c r="W17" s="61"/>
      <c r="X17" s="116"/>
      <c r="Y17" s="132"/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2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7"/>
        <v/>
      </c>
      <c r="F18" s="41" t="str">
        <f t="shared" si="8"/>
        <v/>
      </c>
      <c r="G18" s="41" t="str">
        <f t="shared" si="9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9" t="str">
        <v/>
      </c>
      <c r="K18" s="55"/>
      <c r="L18" s="56"/>
      <c r="M18" s="22"/>
      <c r="N18" s="52"/>
      <c r="O18" s="53"/>
      <c r="P18" s="53"/>
      <c r="Q18" s="98"/>
      <c r="R18" s="98"/>
      <c r="S18" s="101"/>
      <c r="T18" s="114"/>
      <c r="U18" s="59"/>
      <c r="V18" s="60"/>
      <c r="W18" s="61"/>
      <c r="X18" s="116"/>
      <c r="Y18" s="132"/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2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FilterSpecialCharacters(X19))</f>
        <v xml:space="preserve"> </v>
      </c>
      <c r="D19" s="37" t="str">
        <f t="shared" si="6"/>
        <v xml:space="preserve">  </v>
      </c>
      <c r="E19" s="58" t="str">
        <f t="shared" si="7"/>
        <v/>
      </c>
      <c r="F19" s="42" t="str">
        <f t="shared" si="8"/>
        <v/>
      </c>
      <c r="G19" s="42" t="str">
        <f t="shared" si="9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9" t="str">
        <v/>
      </c>
      <c r="K19" s="55"/>
      <c r="L19" s="56"/>
      <c r="M19" s="22"/>
      <c r="N19" s="52"/>
      <c r="O19" s="53"/>
      <c r="P19" s="53"/>
      <c r="Q19" s="98"/>
      <c r="R19" s="98"/>
      <c r="S19" s="101"/>
      <c r="T19" s="114"/>
      <c r="U19" s="59"/>
      <c r="V19" s="60"/>
      <c r="W19" s="61"/>
      <c r="X19" s="116"/>
      <c r="Y19" s="132"/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2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7"/>
        <v/>
      </c>
      <c r="F20" s="41" t="str">
        <f t="shared" si="8"/>
        <v/>
      </c>
      <c r="G20" s="41" t="str">
        <f t="shared" si="9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9" t="str">
        <v/>
      </c>
      <c r="K20" s="55"/>
      <c r="L20" s="56"/>
      <c r="M20" s="22"/>
      <c r="N20" s="52"/>
      <c r="O20" s="53"/>
      <c r="P20" s="53"/>
      <c r="Q20" s="98"/>
      <c r="R20" s="98"/>
      <c r="S20" s="101"/>
      <c r="T20" s="114"/>
      <c r="U20" s="59"/>
      <c r="V20" s="60"/>
      <c r="W20" s="61"/>
      <c r="X20" s="116"/>
      <c r="Y20" s="132"/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2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FilterSpecialCharacters(X21))</f>
        <v xml:space="preserve"> </v>
      </c>
      <c r="D21" s="37" t="str">
        <f t="shared" si="6"/>
        <v xml:space="preserve">  </v>
      </c>
      <c r="E21" s="58" t="str">
        <f t="shared" si="7"/>
        <v/>
      </c>
      <c r="F21" s="42" t="str">
        <f t="shared" si="8"/>
        <v/>
      </c>
      <c r="G21" s="42" t="str">
        <f t="shared" si="9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9" t="str">
        <v/>
      </c>
      <c r="K21" s="55"/>
      <c r="L21" s="56"/>
      <c r="M21" s="22"/>
      <c r="N21" s="52"/>
      <c r="O21" s="53"/>
      <c r="P21" s="53"/>
      <c r="Q21" s="98"/>
      <c r="R21" s="98"/>
      <c r="S21" s="101"/>
      <c r="T21" s="114"/>
      <c r="U21" s="59"/>
      <c r="V21" s="60"/>
      <c r="W21" s="61"/>
      <c r="X21" s="116"/>
      <c r="Y21" s="132"/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2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7"/>
        <v/>
      </c>
      <c r="F22" s="41" t="str">
        <f t="shared" si="8"/>
        <v/>
      </c>
      <c r="G22" s="41" t="str">
        <f t="shared" si="9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9" t="str">
        <v/>
      </c>
      <c r="K22" s="55"/>
      <c r="L22" s="56"/>
      <c r="M22" s="22"/>
      <c r="N22" s="52"/>
      <c r="O22" s="53"/>
      <c r="P22" s="53"/>
      <c r="Q22" s="98"/>
      <c r="R22" s="98"/>
      <c r="S22" s="101"/>
      <c r="T22" s="114"/>
      <c r="U22" s="59"/>
      <c r="V22" s="60"/>
      <c r="W22" s="61"/>
      <c r="X22" s="116"/>
      <c r="Y22" s="132"/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2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FilterSpecialCharacters(X23))</f>
        <v xml:space="preserve"> </v>
      </c>
      <c r="D23" s="37" t="str">
        <f t="shared" si="6"/>
        <v xml:space="preserve">  </v>
      </c>
      <c r="E23" s="58" t="str">
        <f t="shared" si="7"/>
        <v/>
      </c>
      <c r="F23" s="42" t="str">
        <f t="shared" si="8"/>
        <v/>
      </c>
      <c r="G23" s="42" t="str">
        <f t="shared" si="9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9" t="str">
        <v/>
      </c>
      <c r="K23" s="55"/>
      <c r="L23" s="56"/>
      <c r="M23" s="22"/>
      <c r="N23" s="52"/>
      <c r="O23" s="53"/>
      <c r="P23" s="53"/>
      <c r="Q23" s="98"/>
      <c r="R23" s="98"/>
      <c r="S23" s="101"/>
      <c r="T23" s="114"/>
      <c r="U23" s="59"/>
      <c r="V23" s="60"/>
      <c r="W23" s="61"/>
      <c r="X23" s="116"/>
      <c r="Y23" s="132"/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2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7"/>
        <v/>
      </c>
      <c r="F24" s="41" t="str">
        <f t="shared" si="8"/>
        <v/>
      </c>
      <c r="G24" s="41" t="str">
        <f t="shared" si="9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9" t="str">
        <v/>
      </c>
      <c r="K24" s="55"/>
      <c r="L24" s="56"/>
      <c r="M24" s="22"/>
      <c r="N24" s="52"/>
      <c r="O24" s="53"/>
      <c r="P24" s="53"/>
      <c r="Q24" s="98"/>
      <c r="R24" s="98"/>
      <c r="S24" s="101"/>
      <c r="T24" s="114"/>
      <c r="U24" s="59"/>
      <c r="V24" s="60"/>
      <c r="W24" s="61"/>
      <c r="X24" s="116"/>
      <c r="Y24" s="132"/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2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FilterSpecialCharacters(X25))</f>
        <v xml:space="preserve"> </v>
      </c>
      <c r="D25" s="37" t="str">
        <f t="shared" si="6"/>
        <v xml:space="preserve">  </v>
      </c>
      <c r="E25" s="58" t="str">
        <f t="shared" si="7"/>
        <v/>
      </c>
      <c r="F25" s="42" t="str">
        <f t="shared" si="8"/>
        <v/>
      </c>
      <c r="G25" s="42" t="str">
        <f t="shared" si="9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9" t="str">
        <v/>
      </c>
      <c r="K25" s="55"/>
      <c r="L25" s="56"/>
      <c r="M25" s="22"/>
      <c r="N25" s="52"/>
      <c r="O25" s="53"/>
      <c r="P25" s="53"/>
      <c r="Q25" s="98"/>
      <c r="R25" s="98"/>
      <c r="S25" s="101"/>
      <c r="T25" s="114"/>
      <c r="U25" s="59"/>
      <c r="V25" s="64"/>
      <c r="W25" s="61"/>
      <c r="X25" s="115"/>
      <c r="Y25" s="132"/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2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7"/>
        <v/>
      </c>
      <c r="F26" s="41" t="str">
        <f t="shared" si="8"/>
        <v/>
      </c>
      <c r="G26" s="41" t="str">
        <f t="shared" si="9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9" t="str">
        <v/>
      </c>
      <c r="K26" s="55"/>
      <c r="L26" s="56"/>
      <c r="M26" s="22"/>
      <c r="N26" s="52"/>
      <c r="O26" s="53"/>
      <c r="P26" s="53"/>
      <c r="Q26" s="98"/>
      <c r="R26" s="98"/>
      <c r="S26" s="101"/>
      <c r="T26" s="114"/>
      <c r="U26" s="59"/>
      <c r="V26" s="64"/>
      <c r="W26" s="61"/>
      <c r="X26" s="115"/>
      <c r="Y26" s="132"/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2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FilterSpecialCharacters(X27))</f>
        <v xml:space="preserve"> </v>
      </c>
      <c r="D27" s="37" t="str">
        <f t="shared" si="6"/>
        <v xml:space="preserve">  </v>
      </c>
      <c r="E27" s="58" t="str">
        <f t="shared" si="7"/>
        <v/>
      </c>
      <c r="F27" s="42" t="str">
        <f t="shared" si="8"/>
        <v/>
      </c>
      <c r="G27" s="42" t="str">
        <f t="shared" si="9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9" t="str">
        <v/>
      </c>
      <c r="K27" s="55"/>
      <c r="L27" s="56"/>
      <c r="M27" s="22"/>
      <c r="N27" s="52"/>
      <c r="O27" s="53"/>
      <c r="P27" s="53"/>
      <c r="Q27" s="98"/>
      <c r="R27" s="98"/>
      <c r="S27" s="101"/>
      <c r="T27" s="114"/>
      <c r="U27" s="59"/>
      <c r="V27" s="64"/>
      <c r="W27" s="61"/>
      <c r="X27" s="115"/>
      <c r="Y27" s="132"/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2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7"/>
        <v/>
      </c>
      <c r="F28" s="41" t="str">
        <f t="shared" si="8"/>
        <v/>
      </c>
      <c r="G28" s="41" t="str">
        <f t="shared" si="9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9" t="str">
        <v/>
      </c>
      <c r="K28" s="55"/>
      <c r="L28" s="56"/>
      <c r="M28" s="22"/>
      <c r="N28" s="52"/>
      <c r="O28" s="53"/>
      <c r="P28" s="53"/>
      <c r="Q28" s="98"/>
      <c r="R28" s="98"/>
      <c r="S28" s="101"/>
      <c r="T28" s="114"/>
      <c r="U28" s="59"/>
      <c r="V28" s="64"/>
      <c r="W28" s="61"/>
      <c r="X28" s="115"/>
      <c r="Y28" s="132"/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2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FilterSpecialCharacters(X29))</f>
        <v xml:space="preserve"> </v>
      </c>
      <c r="D29" s="37" t="str">
        <f t="shared" si="6"/>
        <v xml:space="preserve">  </v>
      </c>
      <c r="E29" s="58" t="str">
        <f t="shared" si="7"/>
        <v/>
      </c>
      <c r="F29" s="42" t="str">
        <f t="shared" si="8"/>
        <v/>
      </c>
      <c r="G29" s="42" t="str">
        <f t="shared" si="9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9" t="str">
        <v/>
      </c>
      <c r="K29" s="55"/>
      <c r="L29" s="56"/>
      <c r="M29" s="22"/>
      <c r="N29" s="52"/>
      <c r="O29" s="53"/>
      <c r="P29" s="53"/>
      <c r="Q29" s="98"/>
      <c r="R29" s="98"/>
      <c r="S29" s="101"/>
      <c r="T29" s="114"/>
      <c r="U29" s="59"/>
      <c r="V29" s="64"/>
      <c r="W29" s="61"/>
      <c r="X29" s="115"/>
      <c r="Y29" s="132"/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2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7"/>
        <v/>
      </c>
      <c r="F30" s="41" t="str">
        <f t="shared" si="8"/>
        <v/>
      </c>
      <c r="G30" s="41" t="str">
        <f t="shared" si="9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9" t="str">
        <v/>
      </c>
      <c r="K30" s="55"/>
      <c r="L30" s="56"/>
      <c r="M30" s="22"/>
      <c r="N30" s="52"/>
      <c r="O30" s="53"/>
      <c r="P30" s="53"/>
      <c r="Q30" s="98"/>
      <c r="R30" s="98"/>
      <c r="S30" s="101"/>
      <c r="T30" s="114"/>
      <c r="U30" s="59"/>
      <c r="V30" s="64"/>
      <c r="W30" s="61"/>
      <c r="X30" s="115"/>
      <c r="Y30" s="132"/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2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FilterSpecialCharacters(X31))</f>
        <v xml:space="preserve"> </v>
      </c>
      <c r="D31" s="37" t="str">
        <f t="shared" si="6"/>
        <v xml:space="preserve">  </v>
      </c>
      <c r="E31" s="58" t="str">
        <f t="shared" si="7"/>
        <v/>
      </c>
      <c r="F31" s="42" t="str">
        <f t="shared" si="8"/>
        <v/>
      </c>
      <c r="G31" s="42" t="str">
        <f t="shared" si="9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9" t="str">
        <v/>
      </c>
      <c r="K31" s="55"/>
      <c r="L31" s="56"/>
      <c r="M31" s="22"/>
      <c r="N31" s="52"/>
      <c r="O31" s="53"/>
      <c r="P31" s="53"/>
      <c r="Q31" s="98"/>
      <c r="R31" s="98"/>
      <c r="S31" s="101"/>
      <c r="T31" s="114"/>
      <c r="U31" s="59"/>
      <c r="V31" s="64"/>
      <c r="W31" s="61"/>
      <c r="X31" s="115"/>
      <c r="Y31" s="132"/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2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7"/>
        <v/>
      </c>
      <c r="F32" s="41" t="str">
        <f t="shared" si="8"/>
        <v/>
      </c>
      <c r="G32" s="41" t="str">
        <f t="shared" si="9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9" t="str">
        <v/>
      </c>
      <c r="K32" s="55"/>
      <c r="L32" s="56"/>
      <c r="M32" s="22"/>
      <c r="N32" s="52"/>
      <c r="O32" s="53"/>
      <c r="P32" s="53"/>
      <c r="Q32" s="98"/>
      <c r="R32" s="98"/>
      <c r="S32" s="101"/>
      <c r="T32" s="114"/>
      <c r="U32" s="59"/>
      <c r="V32" s="64"/>
      <c r="W32" s="61"/>
      <c r="X32" s="115"/>
      <c r="Y32" s="132"/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2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FilterSpecialCharacters(X33))</f>
        <v xml:space="preserve"> </v>
      </c>
      <c r="D33" s="37" t="str">
        <f t="shared" si="6"/>
        <v xml:space="preserve">  </v>
      </c>
      <c r="E33" s="58" t="str">
        <f t="shared" si="7"/>
        <v/>
      </c>
      <c r="F33" s="42" t="str">
        <f t="shared" si="8"/>
        <v/>
      </c>
      <c r="G33" s="42" t="str">
        <f t="shared" si="9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9" t="str">
        <v/>
      </c>
      <c r="K33" s="55"/>
      <c r="L33" s="56"/>
      <c r="M33" s="22"/>
      <c r="N33" s="52"/>
      <c r="O33" s="53"/>
      <c r="P33" s="53"/>
      <c r="Q33" s="98"/>
      <c r="R33" s="98"/>
      <c r="S33" s="101"/>
      <c r="T33" s="114"/>
      <c r="U33" s="59"/>
      <c r="V33" s="64"/>
      <c r="W33" s="61"/>
      <c r="X33" s="115"/>
      <c r="Y33" s="132"/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2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7"/>
        <v/>
      </c>
      <c r="F34" s="41" t="str">
        <f t="shared" si="8"/>
        <v/>
      </c>
      <c r="G34" s="41" t="str">
        <f t="shared" si="9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9" t="str">
        <v/>
      </c>
      <c r="K34" s="55"/>
      <c r="L34" s="56"/>
      <c r="M34" s="22"/>
      <c r="N34" s="52"/>
      <c r="O34" s="53"/>
      <c r="P34" s="53"/>
      <c r="Q34" s="98"/>
      <c r="R34" s="98"/>
      <c r="S34" s="101"/>
      <c r="T34" s="114"/>
      <c r="U34" s="59"/>
      <c r="V34" s="64"/>
      <c r="W34" s="61"/>
      <c r="X34" s="115"/>
      <c r="Y34" s="132"/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2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FilterSpecialCharacters(X35))</f>
        <v xml:space="preserve"> </v>
      </c>
      <c r="D35" s="37" t="str">
        <f t="shared" si="6"/>
        <v xml:space="preserve">  </v>
      </c>
      <c r="E35" s="58" t="str">
        <f t="shared" si="7"/>
        <v/>
      </c>
      <c r="F35" s="42" t="str">
        <f t="shared" si="8"/>
        <v/>
      </c>
      <c r="G35" s="42" t="str">
        <f t="shared" si="9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9" t="str">
        <v/>
      </c>
      <c r="K35" s="55"/>
      <c r="L35" s="56"/>
      <c r="M35" s="22"/>
      <c r="N35" s="52"/>
      <c r="O35" s="53"/>
      <c r="P35" s="53"/>
      <c r="Q35" s="98"/>
      <c r="R35" s="98"/>
      <c r="S35" s="101"/>
      <c r="T35" s="114"/>
      <c r="U35" s="59"/>
      <c r="V35" s="64"/>
      <c r="W35" s="61"/>
      <c r="X35" s="115"/>
      <c r="Y35" s="132"/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2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7"/>
        <v/>
      </c>
      <c r="F36" s="41" t="str">
        <f t="shared" si="8"/>
        <v/>
      </c>
      <c r="G36" s="41" t="str">
        <f t="shared" si="9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9" t="str">
        <v/>
      </c>
      <c r="K36" s="55"/>
      <c r="L36" s="56"/>
      <c r="M36" s="22"/>
      <c r="N36" s="52"/>
      <c r="O36" s="53"/>
      <c r="P36" s="53"/>
      <c r="Q36" s="98"/>
      <c r="R36" s="98"/>
      <c r="S36" s="101"/>
      <c r="T36" s="114"/>
      <c r="U36" s="59"/>
      <c r="V36" s="64"/>
      <c r="W36" s="61"/>
      <c r="X36" s="115"/>
      <c r="Y36" s="132"/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2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FilterSpecialCharacters(X37))</f>
        <v xml:space="preserve"> </v>
      </c>
      <c r="D37" s="37" t="str">
        <f t="shared" si="6"/>
        <v xml:space="preserve">  </v>
      </c>
      <c r="E37" s="58" t="str">
        <f t="shared" si="7"/>
        <v/>
      </c>
      <c r="F37" s="42" t="str">
        <f t="shared" si="8"/>
        <v/>
      </c>
      <c r="G37" s="42" t="str">
        <f t="shared" si="9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9" t="str">
        <v/>
      </c>
      <c r="K37" s="55"/>
      <c r="L37" s="56"/>
      <c r="M37" s="22"/>
      <c r="N37" s="52"/>
      <c r="O37" s="53"/>
      <c r="P37" s="53"/>
      <c r="Q37" s="98"/>
      <c r="R37" s="98"/>
      <c r="S37" s="101"/>
      <c r="T37" s="114"/>
      <c r="U37" s="59"/>
      <c r="V37" s="64"/>
      <c r="W37" s="61"/>
      <c r="X37" s="115"/>
      <c r="Y37" s="132"/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2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7"/>
        <v/>
      </c>
      <c r="F38" s="41" t="str">
        <f t="shared" si="8"/>
        <v/>
      </c>
      <c r="G38" s="41" t="str">
        <f t="shared" si="9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9" t="str">
        <v/>
      </c>
      <c r="K38" s="55"/>
      <c r="L38" s="56"/>
      <c r="M38" s="22"/>
      <c r="N38" s="52"/>
      <c r="O38" s="53"/>
      <c r="P38" s="53"/>
      <c r="Q38" s="98"/>
      <c r="R38" s="98"/>
      <c r="S38" s="101"/>
      <c r="T38" s="114"/>
      <c r="U38" s="59"/>
      <c r="V38" s="64"/>
      <c r="W38" s="61"/>
      <c r="X38" s="115"/>
      <c r="Y38" s="132"/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2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FilterSpecialCharacters(X39))</f>
        <v xml:space="preserve"> </v>
      </c>
      <c r="D39" s="37" t="str">
        <f t="shared" si="6"/>
        <v xml:space="preserve">  </v>
      </c>
      <c r="E39" s="58" t="str">
        <f t="shared" si="7"/>
        <v/>
      </c>
      <c r="F39" s="42" t="str">
        <f t="shared" si="8"/>
        <v/>
      </c>
      <c r="G39" s="42" t="str">
        <f t="shared" si="9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9" t="str">
        <v/>
      </c>
      <c r="K39" s="55"/>
      <c r="L39" s="56"/>
      <c r="M39" s="22"/>
      <c r="N39" s="52"/>
      <c r="O39" s="53"/>
      <c r="P39" s="53"/>
      <c r="Q39" s="98"/>
      <c r="R39" s="98"/>
      <c r="S39" s="101"/>
      <c r="T39" s="114"/>
      <c r="U39" s="59"/>
      <c r="V39" s="64"/>
      <c r="W39" s="61"/>
      <c r="X39" s="115"/>
      <c r="Y39" s="132"/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2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7"/>
        <v/>
      </c>
      <c r="F40" s="41" t="str">
        <f t="shared" si="8"/>
        <v/>
      </c>
      <c r="G40" s="41" t="str">
        <f t="shared" si="9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9" t="str">
        <v/>
      </c>
      <c r="K40" s="55"/>
      <c r="L40" s="56"/>
      <c r="M40" s="22"/>
      <c r="N40" s="52"/>
      <c r="O40" s="53"/>
      <c r="P40" s="53"/>
      <c r="Q40" s="98"/>
      <c r="R40" s="98"/>
      <c r="S40" s="101"/>
      <c r="T40" s="114"/>
      <c r="U40" s="59"/>
      <c r="V40" s="64"/>
      <c r="W40" s="61"/>
      <c r="X40" s="115"/>
      <c r="Y40" s="132"/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2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FilterSpecialCharacters(X41))</f>
        <v xml:space="preserve"> </v>
      </c>
      <c r="D41" s="37" t="str">
        <f t="shared" si="6"/>
        <v xml:space="preserve">  </v>
      </c>
      <c r="E41" s="58" t="str">
        <f t="shared" si="7"/>
        <v/>
      </c>
      <c r="F41" s="42" t="str">
        <f t="shared" si="8"/>
        <v/>
      </c>
      <c r="G41" s="42" t="str">
        <f t="shared" si="9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9" t="str">
        <v/>
      </c>
      <c r="K41" s="55"/>
      <c r="L41" s="56"/>
      <c r="M41" s="22"/>
      <c r="N41" s="52"/>
      <c r="O41" s="53"/>
      <c r="P41" s="53"/>
      <c r="Q41" s="98"/>
      <c r="R41" s="98"/>
      <c r="S41" s="101"/>
      <c r="T41" s="114"/>
      <c r="U41" s="59"/>
      <c r="V41" s="64"/>
      <c r="W41" s="61"/>
      <c r="X41" s="115"/>
      <c r="Y41" s="132"/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2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7"/>
        <v/>
      </c>
      <c r="F42" s="41" t="str">
        <f t="shared" si="8"/>
        <v/>
      </c>
      <c r="G42" s="41" t="str">
        <f t="shared" si="9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9" t="str">
        <v/>
      </c>
      <c r="K42" s="55"/>
      <c r="L42" s="56"/>
      <c r="M42" s="22"/>
      <c r="N42" s="52"/>
      <c r="O42" s="53"/>
      <c r="P42" s="53"/>
      <c r="Q42" s="98"/>
      <c r="R42" s="98"/>
      <c r="S42" s="101"/>
      <c r="T42" s="114"/>
      <c r="U42" s="59"/>
      <c r="V42" s="64"/>
      <c r="W42" s="61"/>
      <c r="X42" s="115"/>
      <c r="Y42" s="132"/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2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FilterSpecialCharacters(X43))</f>
        <v xml:space="preserve"> </v>
      </c>
      <c r="D43" s="37" t="str">
        <f t="shared" si="6"/>
        <v xml:space="preserve">  </v>
      </c>
      <c r="E43" s="58" t="str">
        <f t="shared" si="7"/>
        <v/>
      </c>
      <c r="F43" s="42" t="str">
        <f t="shared" si="8"/>
        <v/>
      </c>
      <c r="G43" s="42" t="str">
        <f t="shared" si="9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9" t="str">
        <v/>
      </c>
      <c r="K43" s="55"/>
      <c r="L43" s="56"/>
      <c r="M43" s="22"/>
      <c r="N43" s="52"/>
      <c r="O43" s="53"/>
      <c r="P43" s="53"/>
      <c r="Q43" s="98"/>
      <c r="R43" s="98"/>
      <c r="S43" s="101"/>
      <c r="T43" s="114"/>
      <c r="U43" s="59"/>
      <c r="V43" s="64"/>
      <c r="W43" s="61"/>
      <c r="X43" s="115"/>
      <c r="Y43" s="132"/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2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7"/>
        <v/>
      </c>
      <c r="F44" s="41" t="str">
        <f t="shared" si="8"/>
        <v/>
      </c>
      <c r="G44" s="41" t="str">
        <f t="shared" si="9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9" t="str">
        <v/>
      </c>
      <c r="K44" s="55"/>
      <c r="L44" s="56"/>
      <c r="M44" s="22"/>
      <c r="N44" s="52"/>
      <c r="O44" s="53"/>
      <c r="P44" s="53"/>
      <c r="Q44" s="98"/>
      <c r="R44" s="98"/>
      <c r="S44" s="101"/>
      <c r="T44" s="114"/>
      <c r="U44" s="59"/>
      <c r="V44" s="64"/>
      <c r="W44" s="61"/>
      <c r="X44" s="115"/>
      <c r="Y44" s="132"/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2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FilterSpecialCharacters(X45))</f>
        <v xml:space="preserve"> </v>
      </c>
      <c r="D45" s="37" t="str">
        <f t="shared" si="6"/>
        <v xml:space="preserve">  </v>
      </c>
      <c r="E45" s="58" t="str">
        <f t="shared" si="7"/>
        <v/>
      </c>
      <c r="F45" s="42" t="str">
        <f t="shared" si="8"/>
        <v/>
      </c>
      <c r="G45" s="42" t="str">
        <f t="shared" si="9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9" t="str">
        <v/>
      </c>
      <c r="K45" s="55"/>
      <c r="L45" s="56"/>
      <c r="M45" s="22"/>
      <c r="N45" s="52"/>
      <c r="O45" s="53"/>
      <c r="P45" s="53"/>
      <c r="Q45" s="98"/>
      <c r="R45" s="98"/>
      <c r="S45" s="101"/>
      <c r="T45" s="114"/>
      <c r="U45" s="59"/>
      <c r="V45" s="64"/>
      <c r="W45" s="61"/>
      <c r="X45" s="115"/>
      <c r="Y45" s="132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2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7"/>
        <v/>
      </c>
      <c r="F46" s="41" t="str">
        <f t="shared" si="8"/>
        <v/>
      </c>
      <c r="G46" s="41" t="str">
        <f t="shared" si="9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9" t="str">
        <v/>
      </c>
      <c r="K46" s="55"/>
      <c r="L46" s="56"/>
      <c r="M46" s="22"/>
      <c r="N46" s="52"/>
      <c r="O46" s="53"/>
      <c r="P46" s="53"/>
      <c r="Q46" s="98"/>
      <c r="R46" s="98"/>
      <c r="S46" s="101"/>
      <c r="T46" s="114"/>
      <c r="U46" s="59"/>
      <c r="V46" s="64"/>
      <c r="W46" s="61"/>
      <c r="X46" s="115"/>
      <c r="Y46" s="132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2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FilterSpecialCharacters(X47))</f>
        <v xml:space="preserve"> </v>
      </c>
      <c r="D47" s="37" t="str">
        <f t="shared" si="6"/>
        <v xml:space="preserve">  </v>
      </c>
      <c r="E47" s="58" t="str">
        <f t="shared" si="7"/>
        <v/>
      </c>
      <c r="F47" s="42" t="str">
        <f t="shared" si="8"/>
        <v/>
      </c>
      <c r="G47" s="42" t="str">
        <f t="shared" si="9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9" t="str">
        <v/>
      </c>
      <c r="K47" s="55"/>
      <c r="L47" s="56"/>
      <c r="M47" s="22"/>
      <c r="N47" s="52"/>
      <c r="O47" s="53"/>
      <c r="P47" s="53"/>
      <c r="Q47" s="98"/>
      <c r="R47" s="98"/>
      <c r="S47" s="101"/>
      <c r="T47" s="114"/>
      <c r="U47" s="59"/>
      <c r="V47" s="64"/>
      <c r="W47" s="61"/>
      <c r="X47" s="115"/>
      <c r="Y47" s="132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2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7"/>
        <v/>
      </c>
      <c r="F48" s="41" t="str">
        <f t="shared" si="8"/>
        <v/>
      </c>
      <c r="G48" s="41" t="str">
        <f t="shared" si="9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9" t="str">
        <v/>
      </c>
      <c r="K48" s="55"/>
      <c r="L48" s="56"/>
      <c r="M48" s="22"/>
      <c r="N48" s="52"/>
      <c r="O48" s="53"/>
      <c r="P48" s="53"/>
      <c r="Q48" s="98"/>
      <c r="R48" s="98"/>
      <c r="S48" s="101"/>
      <c r="T48" s="114"/>
      <c r="U48" s="59"/>
      <c r="V48" s="64"/>
      <c r="W48" s="61"/>
      <c r="X48" s="115"/>
      <c r="Y48" s="132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2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FilterSpecialCharacters(X49))</f>
        <v xml:space="preserve"> </v>
      </c>
      <c r="D49" s="37" t="str">
        <f t="shared" si="6"/>
        <v xml:space="preserve">  </v>
      </c>
      <c r="E49" s="58" t="str">
        <f t="shared" si="7"/>
        <v/>
      </c>
      <c r="F49" s="42" t="str">
        <f t="shared" si="8"/>
        <v/>
      </c>
      <c r="G49" s="42" t="str">
        <f t="shared" si="9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9" t="str">
        <v/>
      </c>
      <c r="K49" s="55"/>
      <c r="L49" s="56"/>
      <c r="M49" s="22"/>
      <c r="N49" s="52"/>
      <c r="O49" s="53"/>
      <c r="P49" s="53"/>
      <c r="Q49" s="98"/>
      <c r="R49" s="98"/>
      <c r="S49" s="101"/>
      <c r="T49" s="114"/>
      <c r="U49" s="59"/>
      <c r="V49" s="64"/>
      <c r="W49" s="61"/>
      <c r="X49" s="115"/>
      <c r="Y49" s="132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2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7"/>
        <v/>
      </c>
      <c r="F50" s="41" t="str">
        <f t="shared" si="8"/>
        <v/>
      </c>
      <c r="G50" s="41" t="str">
        <f t="shared" si="9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9" t="str">
        <v/>
      </c>
      <c r="K50" s="55"/>
      <c r="L50" s="56"/>
      <c r="M50" s="22"/>
      <c r="N50" s="52"/>
      <c r="O50" s="53"/>
      <c r="P50" s="53"/>
      <c r="Q50" s="98"/>
      <c r="R50" s="98"/>
      <c r="S50" s="101"/>
      <c r="T50" s="114"/>
      <c r="U50" s="59"/>
      <c r="V50" s="64"/>
      <c r="W50" s="61"/>
      <c r="X50" s="115"/>
      <c r="Y50" s="132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2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FilterSpecialCharacters(X51))</f>
        <v xml:space="preserve"> </v>
      </c>
      <c r="D51" s="37" t="str">
        <f t="shared" si="6"/>
        <v xml:space="preserve">  </v>
      </c>
      <c r="E51" s="58" t="str">
        <f t="shared" si="7"/>
        <v/>
      </c>
      <c r="F51" s="42" t="str">
        <f t="shared" si="8"/>
        <v/>
      </c>
      <c r="G51" s="42" t="str">
        <f t="shared" si="9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9" t="str">
        <v/>
      </c>
      <c r="K51" s="55"/>
      <c r="L51" s="56"/>
      <c r="M51" s="22"/>
      <c r="N51" s="52"/>
      <c r="O51" s="53"/>
      <c r="P51" s="53"/>
      <c r="Q51" s="98"/>
      <c r="R51" s="98"/>
      <c r="S51" s="101"/>
      <c r="T51" s="114"/>
      <c r="U51" s="59"/>
      <c r="V51" s="64"/>
      <c r="W51" s="61"/>
      <c r="X51" s="115"/>
      <c r="Y51" s="132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2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7"/>
        <v/>
      </c>
      <c r="F52" s="41" t="str">
        <f t="shared" si="8"/>
        <v/>
      </c>
      <c r="G52" s="41" t="str">
        <f t="shared" si="9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9" t="str">
        <v/>
      </c>
      <c r="K52" s="55"/>
      <c r="L52" s="56"/>
      <c r="M52" s="22"/>
      <c r="N52" s="52"/>
      <c r="O52" s="53"/>
      <c r="P52" s="53"/>
      <c r="Q52" s="98"/>
      <c r="R52" s="98"/>
      <c r="S52" s="101"/>
      <c r="T52" s="114"/>
      <c r="U52" s="59"/>
      <c r="V52" s="64"/>
      <c r="W52" s="61"/>
      <c r="X52" s="115"/>
      <c r="Y52" s="132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2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FilterSpecialCharacters(X53))</f>
        <v xml:space="preserve"> </v>
      </c>
      <c r="D53" s="37" t="str">
        <f t="shared" si="6"/>
        <v xml:space="preserve">  </v>
      </c>
      <c r="E53" s="58" t="str">
        <f t="shared" si="7"/>
        <v/>
      </c>
      <c r="F53" s="42" t="str">
        <f t="shared" si="8"/>
        <v/>
      </c>
      <c r="G53" s="42" t="str">
        <f t="shared" si="9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9" t="str">
        <v/>
      </c>
      <c r="K53" s="55"/>
      <c r="L53" s="56"/>
      <c r="M53" s="22"/>
      <c r="N53" s="52"/>
      <c r="O53" s="53"/>
      <c r="P53" s="53"/>
      <c r="Q53" s="98"/>
      <c r="R53" s="98"/>
      <c r="S53" s="101"/>
      <c r="T53" s="114"/>
      <c r="U53" s="59"/>
      <c r="V53" s="64"/>
      <c r="W53" s="61"/>
      <c r="X53" s="115"/>
      <c r="Y53" s="132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2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7"/>
        <v/>
      </c>
      <c r="F54" s="41" t="str">
        <f t="shared" si="8"/>
        <v/>
      </c>
      <c r="G54" s="41" t="str">
        <f t="shared" si="9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9" t="str">
        <v/>
      </c>
      <c r="K54" s="55"/>
      <c r="L54" s="56"/>
      <c r="M54" s="22"/>
      <c r="N54" s="52"/>
      <c r="O54" s="53"/>
      <c r="P54" s="53"/>
      <c r="Q54" s="98"/>
      <c r="R54" s="98"/>
      <c r="S54" s="101"/>
      <c r="T54" s="114"/>
      <c r="U54" s="59"/>
      <c r="V54" s="64"/>
      <c r="W54" s="61"/>
      <c r="X54" s="115"/>
      <c r="Y54" s="132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2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FilterSpecialCharacters(X55))</f>
        <v xml:space="preserve"> </v>
      </c>
      <c r="D55" s="37" t="str">
        <f t="shared" si="6"/>
        <v xml:space="preserve">  </v>
      </c>
      <c r="E55" s="58" t="str">
        <f t="shared" si="7"/>
        <v/>
      </c>
      <c r="F55" s="42" t="str">
        <f t="shared" si="8"/>
        <v/>
      </c>
      <c r="G55" s="42" t="str">
        <f t="shared" si="9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9" t="str">
        <v/>
      </c>
      <c r="K55" s="55"/>
      <c r="L55" s="56"/>
      <c r="M55" s="22"/>
      <c r="N55" s="52"/>
      <c r="O55" s="53"/>
      <c r="P55" s="53"/>
      <c r="Q55" s="98"/>
      <c r="R55" s="98"/>
      <c r="S55" s="101"/>
      <c r="T55" s="114"/>
      <c r="U55" s="59"/>
      <c r="V55" s="64"/>
      <c r="W55" s="61"/>
      <c r="X55" s="115"/>
      <c r="Y55" s="132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2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7"/>
        <v/>
      </c>
      <c r="F56" s="41" t="str">
        <f t="shared" si="8"/>
        <v/>
      </c>
      <c r="G56" s="41" t="str">
        <f t="shared" si="9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9" t="str">
        <v/>
      </c>
      <c r="K56" s="55"/>
      <c r="L56" s="56"/>
      <c r="M56" s="22"/>
      <c r="N56" s="52"/>
      <c r="O56" s="53"/>
      <c r="P56" s="53"/>
      <c r="Q56" s="98"/>
      <c r="R56" s="98"/>
      <c r="S56" s="101"/>
      <c r="T56" s="114"/>
      <c r="U56" s="59"/>
      <c r="V56" s="64"/>
      <c r="W56" s="61"/>
      <c r="X56" s="115"/>
      <c r="Y56" s="132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2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FilterSpecialCharacters(X57))</f>
        <v xml:space="preserve"> </v>
      </c>
      <c r="D57" s="37" t="str">
        <f t="shared" si="6"/>
        <v xml:space="preserve">  </v>
      </c>
      <c r="E57" s="58" t="str">
        <f t="shared" si="7"/>
        <v/>
      </c>
      <c r="F57" s="42" t="str">
        <f t="shared" si="8"/>
        <v/>
      </c>
      <c r="G57" s="42" t="str">
        <f t="shared" si="9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9" t="str">
        <v/>
      </c>
      <c r="K57" s="55"/>
      <c r="L57" s="56"/>
      <c r="M57" s="22"/>
      <c r="N57" s="52"/>
      <c r="O57" s="53"/>
      <c r="P57" s="53"/>
      <c r="Q57" s="98"/>
      <c r="R57" s="98"/>
      <c r="S57" s="101"/>
      <c r="T57" s="114"/>
      <c r="U57" s="59"/>
      <c r="V57" s="64"/>
      <c r="W57" s="61"/>
      <c r="X57" s="115"/>
      <c r="Y57" s="132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2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7"/>
        <v/>
      </c>
      <c r="F58" s="41" t="str">
        <f t="shared" si="8"/>
        <v/>
      </c>
      <c r="G58" s="41" t="str">
        <f t="shared" si="9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9" t="str">
        <v/>
      </c>
      <c r="K58" s="55"/>
      <c r="L58" s="56"/>
      <c r="M58" s="22"/>
      <c r="N58" s="52"/>
      <c r="O58" s="53"/>
      <c r="P58" s="53"/>
      <c r="Q58" s="98"/>
      <c r="R58" s="98"/>
      <c r="S58" s="101"/>
      <c r="T58" s="114"/>
      <c r="U58" s="59"/>
      <c r="V58" s="64"/>
      <c r="W58" s="61"/>
      <c r="X58" s="115"/>
      <c r="Y58" s="132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2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FilterSpecialCharacters(X59))</f>
        <v xml:space="preserve"> </v>
      </c>
      <c r="D59" s="37" t="str">
        <f t="shared" si="6"/>
        <v xml:space="preserve">  </v>
      </c>
      <c r="E59" s="58" t="str">
        <f t="shared" si="7"/>
        <v/>
      </c>
      <c r="F59" s="42" t="str">
        <f t="shared" si="8"/>
        <v/>
      </c>
      <c r="G59" s="42" t="str">
        <f t="shared" si="9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9" t="str">
        <v/>
      </c>
      <c r="K59" s="55"/>
      <c r="L59" s="56"/>
      <c r="M59" s="22"/>
      <c r="N59" s="52"/>
      <c r="O59" s="53"/>
      <c r="P59" s="53"/>
      <c r="Q59" s="98"/>
      <c r="R59" s="98"/>
      <c r="S59" s="101"/>
      <c r="T59" s="114"/>
      <c r="U59" s="59"/>
      <c r="V59" s="64"/>
      <c r="W59" s="61"/>
      <c r="X59" s="115"/>
      <c r="Y59" s="132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2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7"/>
        <v/>
      </c>
      <c r="F60" s="41" t="str">
        <f t="shared" si="8"/>
        <v/>
      </c>
      <c r="G60" s="41" t="str">
        <f t="shared" si="9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9" t="str">
        <v/>
      </c>
      <c r="K60" s="55"/>
      <c r="L60" s="56"/>
      <c r="M60" s="22"/>
      <c r="N60" s="52"/>
      <c r="O60" s="53"/>
      <c r="P60" s="53"/>
      <c r="Q60" s="98"/>
      <c r="R60" s="98"/>
      <c r="S60" s="101"/>
      <c r="T60" s="114"/>
      <c r="U60" s="59"/>
      <c r="V60" s="64"/>
      <c r="W60" s="61"/>
      <c r="X60" s="115"/>
      <c r="Y60" s="132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2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FilterSpecialCharacters(X61))</f>
        <v xml:space="preserve"> </v>
      </c>
      <c r="D61" s="37" t="str">
        <f t="shared" si="6"/>
        <v xml:space="preserve">  </v>
      </c>
      <c r="E61" s="58" t="str">
        <f t="shared" si="7"/>
        <v/>
      </c>
      <c r="F61" s="42" t="str">
        <f t="shared" si="8"/>
        <v/>
      </c>
      <c r="G61" s="42" t="str">
        <f t="shared" si="9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9" t="str">
        <v/>
      </c>
      <c r="K61" s="55"/>
      <c r="L61" s="56"/>
      <c r="M61" s="22"/>
      <c r="N61" s="52"/>
      <c r="O61" s="53"/>
      <c r="P61" s="53"/>
      <c r="Q61" s="98"/>
      <c r="R61" s="98"/>
      <c r="S61" s="101"/>
      <c r="T61" s="114"/>
      <c r="U61" s="59"/>
      <c r="V61" s="64"/>
      <c r="W61" s="61"/>
      <c r="X61" s="115"/>
      <c r="Y61" s="132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2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7"/>
        <v/>
      </c>
      <c r="F62" s="41" t="str">
        <f t="shared" si="8"/>
        <v/>
      </c>
      <c r="G62" s="41" t="str">
        <f t="shared" si="9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9" t="str">
        <v/>
      </c>
      <c r="K62" s="55"/>
      <c r="L62" s="56"/>
      <c r="M62" s="22"/>
      <c r="N62" s="52"/>
      <c r="O62" s="53"/>
      <c r="P62" s="53"/>
      <c r="Q62" s="98"/>
      <c r="R62" s="98"/>
      <c r="S62" s="101"/>
      <c r="T62" s="114"/>
      <c r="U62" s="59"/>
      <c r="V62" s="64"/>
      <c r="W62" s="61"/>
      <c r="X62" s="115"/>
      <c r="Y62" s="132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2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FilterSpecialCharacters(X63))</f>
        <v xml:space="preserve"> </v>
      </c>
      <c r="D63" s="37" t="str">
        <f t="shared" si="6"/>
        <v xml:space="preserve">  </v>
      </c>
      <c r="E63" s="58" t="str">
        <f t="shared" si="7"/>
        <v/>
      </c>
      <c r="F63" s="42" t="str">
        <f t="shared" si="8"/>
        <v/>
      </c>
      <c r="G63" s="42" t="str">
        <f t="shared" si="9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9" t="str">
        <v/>
      </c>
      <c r="K63" s="55"/>
      <c r="L63" s="56"/>
      <c r="M63" s="22"/>
      <c r="N63" s="52"/>
      <c r="O63" s="53"/>
      <c r="P63" s="53"/>
      <c r="Q63" s="98"/>
      <c r="R63" s="98"/>
      <c r="S63" s="101"/>
      <c r="T63" s="114"/>
      <c r="U63" s="59"/>
      <c r="V63" s="64"/>
      <c r="W63" s="61"/>
      <c r="X63" s="115"/>
      <c r="Y63" s="132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2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7"/>
        <v/>
      </c>
      <c r="F64" s="41" t="str">
        <f t="shared" si="8"/>
        <v/>
      </c>
      <c r="G64" s="41" t="str">
        <f t="shared" si="9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9" t="str">
        <v/>
      </c>
      <c r="K64" s="55"/>
      <c r="L64" s="56"/>
      <c r="M64" s="22"/>
      <c r="N64" s="52"/>
      <c r="O64" s="53"/>
      <c r="P64" s="53"/>
      <c r="Q64" s="98"/>
      <c r="R64" s="98"/>
      <c r="S64" s="101"/>
      <c r="T64" s="114"/>
      <c r="U64" s="59"/>
      <c r="V64" s="64"/>
      <c r="W64" s="61"/>
      <c r="X64" s="115"/>
      <c r="Y64" s="132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2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FilterSpecialCharacters(X65))</f>
        <v xml:space="preserve"> </v>
      </c>
      <c r="D65" s="37" t="str">
        <f t="shared" si="6"/>
        <v xml:space="preserve">  </v>
      </c>
      <c r="E65" s="58" t="str">
        <f t="shared" si="7"/>
        <v/>
      </c>
      <c r="F65" s="42" t="str">
        <f t="shared" si="8"/>
        <v/>
      </c>
      <c r="G65" s="42" t="str">
        <f t="shared" si="9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9" t="str">
        <v/>
      </c>
      <c r="K65" s="55"/>
      <c r="L65" s="56"/>
      <c r="M65" s="22"/>
      <c r="N65" s="52"/>
      <c r="O65" s="53"/>
      <c r="P65" s="53"/>
      <c r="Q65" s="98"/>
      <c r="R65" s="98"/>
      <c r="S65" s="101"/>
      <c r="T65" s="114"/>
      <c r="U65" s="59"/>
      <c r="V65" s="64"/>
      <c r="W65" s="61"/>
      <c r="X65" s="115"/>
      <c r="Y65" s="132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2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7"/>
        <v/>
      </c>
      <c r="F66" s="41" t="str">
        <f t="shared" si="8"/>
        <v/>
      </c>
      <c r="G66" s="41" t="str">
        <f t="shared" si="9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9" t="str">
        <v/>
      </c>
      <c r="K66" s="55"/>
      <c r="L66" s="56"/>
      <c r="M66" s="22"/>
      <c r="N66" s="52"/>
      <c r="O66" s="53"/>
      <c r="P66" s="53"/>
      <c r="Q66" s="98"/>
      <c r="R66" s="98"/>
      <c r="S66" s="101"/>
      <c r="T66" s="114"/>
      <c r="U66" s="59"/>
      <c r="V66" s="64"/>
      <c r="W66" s="61"/>
      <c r="X66" s="115"/>
      <c r="Y66" s="132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2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FilterSpecialCharacters(X67))</f>
        <v xml:space="preserve"> </v>
      </c>
      <c r="D67" s="37" t="str">
        <f t="shared" si="6"/>
        <v xml:space="preserve">  </v>
      </c>
      <c r="E67" s="58" t="str">
        <f t="shared" si="7"/>
        <v/>
      </c>
      <c r="F67" s="42" t="str">
        <f t="shared" si="8"/>
        <v/>
      </c>
      <c r="G67" s="42" t="str">
        <f t="shared" si="9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9" t="str">
        <v/>
      </c>
      <c r="K67" s="55"/>
      <c r="L67" s="56"/>
      <c r="M67" s="22"/>
      <c r="N67" s="52"/>
      <c r="O67" s="53"/>
      <c r="P67" s="53"/>
      <c r="Q67" s="98"/>
      <c r="R67" s="98"/>
      <c r="S67" s="101"/>
      <c r="T67" s="114"/>
      <c r="U67" s="59"/>
      <c r="V67" s="64"/>
      <c r="W67" s="61"/>
      <c r="X67" s="115"/>
      <c r="Y67" s="132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2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7"/>
        <v/>
      </c>
      <c r="F68" s="41" t="str">
        <f t="shared" si="8"/>
        <v/>
      </c>
      <c r="G68" s="41" t="str">
        <f t="shared" si="9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9" t="str">
        <v/>
      </c>
      <c r="K68" s="55"/>
      <c r="L68" s="56"/>
      <c r="M68" s="22"/>
      <c r="N68" s="52"/>
      <c r="O68" s="53"/>
      <c r="P68" s="53"/>
      <c r="Q68" s="98"/>
      <c r="R68" s="98"/>
      <c r="S68" s="101"/>
      <c r="T68" s="114"/>
      <c r="U68" s="59"/>
      <c r="V68" s="64"/>
      <c r="W68" s="61"/>
      <c r="X68" s="115"/>
      <c r="Y68" s="132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2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FilterSpecialCharacters(X69))</f>
        <v xml:space="preserve"> </v>
      </c>
      <c r="D69" s="37" t="str">
        <f t="shared" si="6"/>
        <v xml:space="preserve">  </v>
      </c>
      <c r="E69" s="58" t="str">
        <f t="shared" si="7"/>
        <v/>
      </c>
      <c r="F69" s="42" t="str">
        <f t="shared" si="8"/>
        <v/>
      </c>
      <c r="G69" s="42" t="str">
        <f t="shared" si="9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9" t="str">
        <v/>
      </c>
      <c r="K69" s="55"/>
      <c r="L69" s="56"/>
      <c r="M69" s="22"/>
      <c r="N69" s="52"/>
      <c r="O69" s="53"/>
      <c r="P69" s="53"/>
      <c r="Q69" s="98"/>
      <c r="R69" s="98"/>
      <c r="S69" s="101"/>
      <c r="T69" s="114"/>
      <c r="U69" s="59"/>
      <c r="V69" s="64"/>
      <c r="W69" s="61"/>
      <c r="X69" s="115"/>
      <c r="Y69" s="132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2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7"/>
        <v/>
      </c>
      <c r="F70" s="41" t="str">
        <f t="shared" si="8"/>
        <v/>
      </c>
      <c r="G70" s="41" t="str">
        <f t="shared" si="9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9" t="str">
        <v/>
      </c>
      <c r="K70" s="55"/>
      <c r="L70" s="56"/>
      <c r="M70" s="22"/>
      <c r="N70" s="52"/>
      <c r="O70" s="53"/>
      <c r="P70" s="53"/>
      <c r="Q70" s="98"/>
      <c r="R70" s="98"/>
      <c r="S70" s="101"/>
      <c r="T70" s="114"/>
      <c r="U70" s="59"/>
      <c r="V70" s="64"/>
      <c r="W70" s="61"/>
      <c r="X70" s="115"/>
      <c r="Y70" s="132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2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FilterSpecialCharacters(X71))</f>
        <v xml:space="preserve"> </v>
      </c>
      <c r="D71" s="37" t="str">
        <f t="shared" si="6"/>
        <v xml:space="preserve">  </v>
      </c>
      <c r="E71" s="58" t="str">
        <f t="shared" si="7"/>
        <v/>
      </c>
      <c r="F71" s="42" t="str">
        <f t="shared" si="8"/>
        <v/>
      </c>
      <c r="G71" s="42" t="str">
        <f t="shared" si="9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9" t="str">
        <v/>
      </c>
      <c r="K71" s="55"/>
      <c r="L71" s="56"/>
      <c r="M71" s="22"/>
      <c r="N71" s="52"/>
      <c r="O71" s="53"/>
      <c r="P71" s="53"/>
      <c r="Q71" s="98"/>
      <c r="R71" s="98"/>
      <c r="S71" s="101"/>
      <c r="T71" s="114"/>
      <c r="U71" s="59"/>
      <c r="V71" s="64"/>
      <c r="W71" s="61"/>
      <c r="X71" s="115"/>
      <c r="Y71" s="132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2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ref="E72:E110" si="17">IFERROR(ROUND(AVERAGE(N72:R72),-LOG10(V72)) &amp; AH72,"")</f>
        <v/>
      </c>
      <c r="F72" s="41" t="str">
        <f t="shared" ref="F72:F110" si="18">IF(AB72="","",AB72 &amp; $AH72)</f>
        <v/>
      </c>
      <c r="G72" s="41" t="str">
        <f t="shared" ref="G72:G110" si="19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9" t="str">
        <v/>
      </c>
      <c r="K72" s="55"/>
      <c r="L72" s="56"/>
      <c r="M72" s="22"/>
      <c r="N72" s="52"/>
      <c r="O72" s="53"/>
      <c r="P72" s="53"/>
      <c r="Q72" s="98"/>
      <c r="R72" s="98"/>
      <c r="S72" s="101"/>
      <c r="T72" s="114"/>
      <c r="U72" s="59"/>
      <c r="V72" s="64"/>
      <c r="W72" s="61"/>
      <c r="X72" s="115"/>
      <c r="Y72" s="132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2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FilterSpecialCharacters(X73))</f>
        <v xml:space="preserve"> </v>
      </c>
      <c r="D73" s="37" t="str">
        <f t="shared" si="16"/>
        <v xml:space="preserve">  </v>
      </c>
      <c r="E73" s="58" t="str">
        <f t="shared" si="17"/>
        <v/>
      </c>
      <c r="F73" s="42" t="str">
        <f t="shared" si="18"/>
        <v/>
      </c>
      <c r="G73" s="42" t="str">
        <f t="shared" si="19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9" t="str">
        <v/>
      </c>
      <c r="K73" s="55"/>
      <c r="L73" s="56"/>
      <c r="M73" s="22"/>
      <c r="N73" s="52"/>
      <c r="O73" s="53"/>
      <c r="P73" s="53"/>
      <c r="Q73" s="98"/>
      <c r="R73" s="98"/>
      <c r="S73" s="101"/>
      <c r="T73" s="114"/>
      <c r="U73" s="59"/>
      <c r="V73" s="64"/>
      <c r="W73" s="61"/>
      <c r="X73" s="115"/>
      <c r="Y73" s="132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2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si="17"/>
        <v/>
      </c>
      <c r="F74" s="41" t="str">
        <f t="shared" si="18"/>
        <v/>
      </c>
      <c r="G74" s="41" t="str">
        <f t="shared" si="19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9" t="str">
        <v/>
      </c>
      <c r="K74" s="55"/>
      <c r="L74" s="56"/>
      <c r="M74" s="22"/>
      <c r="N74" s="52"/>
      <c r="O74" s="53"/>
      <c r="P74" s="53"/>
      <c r="Q74" s="98"/>
      <c r="R74" s="98"/>
      <c r="S74" s="101"/>
      <c r="T74" s="114"/>
      <c r="U74" s="59"/>
      <c r="V74" s="64"/>
      <c r="W74" s="61"/>
      <c r="X74" s="115"/>
      <c r="Y74" s="132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2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FilterSpecialCharacters(X75))</f>
        <v xml:space="preserve"> </v>
      </c>
      <c r="D75" s="37" t="str">
        <f t="shared" si="16"/>
        <v xml:space="preserve">  </v>
      </c>
      <c r="E75" s="58" t="str">
        <f t="shared" si="17"/>
        <v/>
      </c>
      <c r="F75" s="42" t="str">
        <f t="shared" si="18"/>
        <v/>
      </c>
      <c r="G75" s="42" t="str">
        <f t="shared" si="19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9" t="str">
        <v/>
      </c>
      <c r="K75" s="55"/>
      <c r="L75" s="56"/>
      <c r="M75" s="22"/>
      <c r="N75" s="52"/>
      <c r="O75" s="53"/>
      <c r="P75" s="53"/>
      <c r="Q75" s="98"/>
      <c r="R75" s="98"/>
      <c r="S75" s="101"/>
      <c r="T75" s="114"/>
      <c r="U75" s="59"/>
      <c r="V75" s="64"/>
      <c r="W75" s="61"/>
      <c r="X75" s="115"/>
      <c r="Y75" s="132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2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7"/>
        <v/>
      </c>
      <c r="F76" s="41" t="str">
        <f t="shared" si="18"/>
        <v/>
      </c>
      <c r="G76" s="41" t="str">
        <f t="shared" si="19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9" t="str">
        <v/>
      </c>
      <c r="K76" s="55"/>
      <c r="L76" s="56"/>
      <c r="M76" s="22"/>
      <c r="N76" s="52"/>
      <c r="O76" s="53"/>
      <c r="P76" s="53"/>
      <c r="Q76" s="98"/>
      <c r="R76" s="98"/>
      <c r="S76" s="101"/>
      <c r="T76" s="114"/>
      <c r="U76" s="59"/>
      <c r="V76" s="64"/>
      <c r="W76" s="61"/>
      <c r="X76" s="115"/>
      <c r="Y76" s="132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2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FilterSpecialCharacters(X77))</f>
        <v xml:space="preserve"> </v>
      </c>
      <c r="D77" s="37" t="str">
        <f t="shared" si="16"/>
        <v xml:space="preserve">  </v>
      </c>
      <c r="E77" s="58" t="str">
        <f t="shared" si="17"/>
        <v/>
      </c>
      <c r="F77" s="42" t="str">
        <f t="shared" si="18"/>
        <v/>
      </c>
      <c r="G77" s="42" t="str">
        <f t="shared" si="19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9" t="str">
        <v/>
      </c>
      <c r="K77" s="55"/>
      <c r="L77" s="56"/>
      <c r="M77" s="22"/>
      <c r="N77" s="52"/>
      <c r="O77" s="53"/>
      <c r="P77" s="53"/>
      <c r="Q77" s="98"/>
      <c r="R77" s="98"/>
      <c r="S77" s="101"/>
      <c r="T77" s="114"/>
      <c r="U77" s="59"/>
      <c r="V77" s="64"/>
      <c r="W77" s="61"/>
      <c r="X77" s="115"/>
      <c r="Y77" s="132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2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7"/>
        <v/>
      </c>
      <c r="F78" s="41" t="str">
        <f t="shared" si="18"/>
        <v/>
      </c>
      <c r="G78" s="41" t="str">
        <f t="shared" si="19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9" t="str">
        <v/>
      </c>
      <c r="K78" s="55"/>
      <c r="L78" s="56"/>
      <c r="M78" s="22"/>
      <c r="N78" s="52"/>
      <c r="O78" s="53"/>
      <c r="P78" s="53"/>
      <c r="Q78" s="98"/>
      <c r="R78" s="98"/>
      <c r="S78" s="101"/>
      <c r="T78" s="114"/>
      <c r="U78" s="59"/>
      <c r="V78" s="64"/>
      <c r="W78" s="61"/>
      <c r="X78" s="115"/>
      <c r="Y78" s="132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2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FilterSpecialCharacters(X79))</f>
        <v xml:space="preserve"> </v>
      </c>
      <c r="D79" s="37" t="str">
        <f t="shared" si="16"/>
        <v xml:space="preserve">  </v>
      </c>
      <c r="E79" s="58" t="str">
        <f t="shared" si="17"/>
        <v/>
      </c>
      <c r="F79" s="42" t="str">
        <f t="shared" si="18"/>
        <v/>
      </c>
      <c r="G79" s="42" t="str">
        <f t="shared" si="19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9" t="str">
        <v/>
      </c>
      <c r="K79" s="55"/>
      <c r="L79" s="56"/>
      <c r="M79" s="22"/>
      <c r="N79" s="52"/>
      <c r="O79" s="53"/>
      <c r="P79" s="53"/>
      <c r="Q79" s="98"/>
      <c r="R79" s="98"/>
      <c r="S79" s="101"/>
      <c r="T79" s="114"/>
      <c r="U79" s="59"/>
      <c r="V79" s="64"/>
      <c r="W79" s="61"/>
      <c r="X79" s="115"/>
      <c r="Y79" s="132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2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7"/>
        <v/>
      </c>
      <c r="F80" s="41" t="str">
        <f t="shared" si="18"/>
        <v/>
      </c>
      <c r="G80" s="41" t="str">
        <f t="shared" si="19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9" t="str">
        <v/>
      </c>
      <c r="K80" s="55"/>
      <c r="L80" s="56"/>
      <c r="M80" s="22"/>
      <c r="N80" s="52"/>
      <c r="O80" s="53"/>
      <c r="P80" s="53"/>
      <c r="Q80" s="98"/>
      <c r="R80" s="98"/>
      <c r="S80" s="101"/>
      <c r="T80" s="114"/>
      <c r="U80" s="59"/>
      <c r="V80" s="64"/>
      <c r="W80" s="61"/>
      <c r="X80" s="115"/>
      <c r="Y80" s="132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2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FilterSpecialCharacters(X81))</f>
        <v xml:space="preserve"> </v>
      </c>
      <c r="D81" s="37" t="str">
        <f t="shared" si="16"/>
        <v xml:space="preserve">  </v>
      </c>
      <c r="E81" s="58" t="str">
        <f t="shared" si="17"/>
        <v/>
      </c>
      <c r="F81" s="42" t="str">
        <f t="shared" si="18"/>
        <v/>
      </c>
      <c r="G81" s="42" t="str">
        <f t="shared" si="19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9" t="str">
        <v/>
      </c>
      <c r="K81" s="55"/>
      <c r="L81" s="56"/>
      <c r="M81" s="22"/>
      <c r="N81" s="52"/>
      <c r="O81" s="53"/>
      <c r="P81" s="53"/>
      <c r="Q81" s="98"/>
      <c r="R81" s="98"/>
      <c r="S81" s="101"/>
      <c r="T81" s="114"/>
      <c r="U81" s="59"/>
      <c r="V81" s="64"/>
      <c r="W81" s="61"/>
      <c r="X81" s="115"/>
      <c r="Y81" s="132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2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7"/>
        <v/>
      </c>
      <c r="F82" s="41" t="str">
        <f t="shared" si="18"/>
        <v/>
      </c>
      <c r="G82" s="41" t="str">
        <f t="shared" si="19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9" t="str">
        <v/>
      </c>
      <c r="K82" s="55"/>
      <c r="L82" s="56"/>
      <c r="M82" s="22"/>
      <c r="N82" s="52"/>
      <c r="O82" s="53"/>
      <c r="P82" s="53"/>
      <c r="Q82" s="98"/>
      <c r="R82" s="98"/>
      <c r="S82" s="101"/>
      <c r="T82" s="114"/>
      <c r="U82" s="59"/>
      <c r="V82" s="64"/>
      <c r="W82" s="61"/>
      <c r="X82" s="115"/>
      <c r="Y82" s="132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2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FilterSpecialCharacters(X83))</f>
        <v xml:space="preserve"> </v>
      </c>
      <c r="D83" s="37" t="str">
        <f t="shared" si="16"/>
        <v xml:space="preserve">  </v>
      </c>
      <c r="E83" s="58" t="str">
        <f t="shared" si="17"/>
        <v/>
      </c>
      <c r="F83" s="42" t="str">
        <f t="shared" si="18"/>
        <v/>
      </c>
      <c r="G83" s="42" t="str">
        <f t="shared" si="19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9" t="str">
        <v/>
      </c>
      <c r="K83" s="55"/>
      <c r="L83" s="56"/>
      <c r="M83" s="22"/>
      <c r="N83" s="52"/>
      <c r="O83" s="53"/>
      <c r="P83" s="53"/>
      <c r="Q83" s="98"/>
      <c r="R83" s="98"/>
      <c r="S83" s="101"/>
      <c r="T83" s="114"/>
      <c r="U83" s="59"/>
      <c r="V83" s="64"/>
      <c r="W83" s="61"/>
      <c r="X83" s="115"/>
      <c r="Y83" s="132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2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7"/>
        <v/>
      </c>
      <c r="F84" s="41" t="str">
        <f t="shared" si="18"/>
        <v/>
      </c>
      <c r="G84" s="41" t="str">
        <f t="shared" si="19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9" t="str">
        <v/>
      </c>
      <c r="K84" s="55"/>
      <c r="L84" s="56"/>
      <c r="M84" s="22"/>
      <c r="N84" s="52"/>
      <c r="O84" s="53"/>
      <c r="P84" s="53"/>
      <c r="Q84" s="98"/>
      <c r="R84" s="98"/>
      <c r="S84" s="101"/>
      <c r="T84" s="114"/>
      <c r="U84" s="59"/>
      <c r="V84" s="64"/>
      <c r="W84" s="61"/>
      <c r="X84" s="115"/>
      <c r="Y84" s="132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2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FilterSpecialCharacters(X85))</f>
        <v xml:space="preserve"> </v>
      </c>
      <c r="D85" s="37" t="str">
        <f t="shared" si="16"/>
        <v xml:space="preserve">  </v>
      </c>
      <c r="E85" s="58" t="str">
        <f t="shared" si="17"/>
        <v/>
      </c>
      <c r="F85" s="42" t="str">
        <f t="shared" si="18"/>
        <v/>
      </c>
      <c r="G85" s="42" t="str">
        <f t="shared" si="19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9" t="str">
        <v/>
      </c>
      <c r="K85" s="55"/>
      <c r="L85" s="56"/>
      <c r="M85" s="22"/>
      <c r="N85" s="52"/>
      <c r="O85" s="53"/>
      <c r="P85" s="53"/>
      <c r="Q85" s="98"/>
      <c r="R85" s="98"/>
      <c r="S85" s="101"/>
      <c r="T85" s="114"/>
      <c r="U85" s="59"/>
      <c r="V85" s="64"/>
      <c r="W85" s="61"/>
      <c r="X85" s="115"/>
      <c r="Y85" s="132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2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7"/>
        <v/>
      </c>
      <c r="F86" s="41" t="str">
        <f t="shared" si="18"/>
        <v/>
      </c>
      <c r="G86" s="41" t="str">
        <f t="shared" si="19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9" t="str">
        <v/>
      </c>
      <c r="K86" s="55"/>
      <c r="L86" s="56"/>
      <c r="M86" s="22"/>
      <c r="N86" s="52"/>
      <c r="O86" s="53"/>
      <c r="P86" s="53"/>
      <c r="Q86" s="98"/>
      <c r="R86" s="98"/>
      <c r="S86" s="101"/>
      <c r="T86" s="114"/>
      <c r="U86" s="59"/>
      <c r="V86" s="64"/>
      <c r="W86" s="61"/>
      <c r="X86" s="115"/>
      <c r="Y86" s="132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2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FilterSpecialCharacters(X87))</f>
        <v xml:space="preserve"> </v>
      </c>
      <c r="D87" s="37" t="str">
        <f t="shared" si="16"/>
        <v xml:space="preserve">  </v>
      </c>
      <c r="E87" s="58" t="str">
        <f t="shared" si="17"/>
        <v/>
      </c>
      <c r="F87" s="42" t="str">
        <f t="shared" si="18"/>
        <v/>
      </c>
      <c r="G87" s="42" t="str">
        <f t="shared" si="19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9" t="str">
        <v/>
      </c>
      <c r="K87" s="55"/>
      <c r="L87" s="56"/>
      <c r="M87" s="22"/>
      <c r="N87" s="52"/>
      <c r="O87" s="53"/>
      <c r="P87" s="53"/>
      <c r="Q87" s="98"/>
      <c r="R87" s="98"/>
      <c r="S87" s="101"/>
      <c r="T87" s="114"/>
      <c r="U87" s="59"/>
      <c r="V87" s="64"/>
      <c r="W87" s="61"/>
      <c r="X87" s="115"/>
      <c r="Y87" s="132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2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7"/>
        <v/>
      </c>
      <c r="F88" s="41" t="str">
        <f t="shared" si="18"/>
        <v/>
      </c>
      <c r="G88" s="41" t="str">
        <f t="shared" si="19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9" t="str">
        <v/>
      </c>
      <c r="K88" s="55"/>
      <c r="L88" s="56"/>
      <c r="M88" s="22"/>
      <c r="N88" s="52"/>
      <c r="O88" s="53"/>
      <c r="P88" s="53"/>
      <c r="Q88" s="98"/>
      <c r="R88" s="98"/>
      <c r="S88" s="101"/>
      <c r="T88" s="114"/>
      <c r="U88" s="59"/>
      <c r="V88" s="64"/>
      <c r="W88" s="61"/>
      <c r="X88" s="115"/>
      <c r="Y88" s="132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2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FilterSpecialCharacters(X89))</f>
        <v xml:space="preserve"> </v>
      </c>
      <c r="D89" s="37" t="str">
        <f t="shared" si="16"/>
        <v xml:space="preserve">  </v>
      </c>
      <c r="E89" s="58" t="str">
        <f t="shared" si="17"/>
        <v/>
      </c>
      <c r="F89" s="42" t="str">
        <f t="shared" si="18"/>
        <v/>
      </c>
      <c r="G89" s="42" t="str">
        <f t="shared" si="19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9" t="str">
        <v/>
      </c>
      <c r="K89" s="55"/>
      <c r="L89" s="56"/>
      <c r="M89" s="22"/>
      <c r="N89" s="52"/>
      <c r="O89" s="53"/>
      <c r="P89" s="53"/>
      <c r="Q89" s="98"/>
      <c r="R89" s="98"/>
      <c r="S89" s="101"/>
      <c r="T89" s="114"/>
      <c r="U89" s="59"/>
      <c r="V89" s="64"/>
      <c r="W89" s="61"/>
      <c r="X89" s="115"/>
      <c r="Y89" s="132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2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7"/>
        <v/>
      </c>
      <c r="F90" s="41" t="str">
        <f t="shared" si="18"/>
        <v/>
      </c>
      <c r="G90" s="41" t="str">
        <f t="shared" si="19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9" t="str">
        <v/>
      </c>
      <c r="K90" s="55"/>
      <c r="L90" s="56"/>
      <c r="M90" s="22"/>
      <c r="N90" s="52"/>
      <c r="O90" s="53"/>
      <c r="P90" s="53"/>
      <c r="Q90" s="98"/>
      <c r="R90" s="98"/>
      <c r="S90" s="101"/>
      <c r="T90" s="114"/>
      <c r="U90" s="59"/>
      <c r="V90" s="64"/>
      <c r="W90" s="61"/>
      <c r="X90" s="115"/>
      <c r="Y90" s="132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2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FilterSpecialCharacters(X91))</f>
        <v xml:space="preserve"> </v>
      </c>
      <c r="D91" s="37" t="str">
        <f t="shared" si="16"/>
        <v xml:space="preserve">  </v>
      </c>
      <c r="E91" s="58" t="str">
        <f t="shared" si="17"/>
        <v/>
      </c>
      <c r="F91" s="42" t="str">
        <f t="shared" si="18"/>
        <v/>
      </c>
      <c r="G91" s="42" t="str">
        <f t="shared" si="19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9" t="str">
        <v/>
      </c>
      <c r="K91" s="55"/>
      <c r="L91" s="56"/>
      <c r="M91" s="22"/>
      <c r="N91" s="52"/>
      <c r="O91" s="53"/>
      <c r="P91" s="53"/>
      <c r="Q91" s="98"/>
      <c r="R91" s="98"/>
      <c r="S91" s="101"/>
      <c r="T91" s="114"/>
      <c r="U91" s="59"/>
      <c r="V91" s="64"/>
      <c r="W91" s="61"/>
      <c r="X91" s="115"/>
      <c r="Y91" s="132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2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7"/>
        <v/>
      </c>
      <c r="F92" s="41" t="str">
        <f t="shared" si="18"/>
        <v/>
      </c>
      <c r="G92" s="41" t="str">
        <f t="shared" si="19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9" t="str">
        <v/>
      </c>
      <c r="K92" s="55"/>
      <c r="L92" s="56"/>
      <c r="M92" s="22"/>
      <c r="N92" s="52"/>
      <c r="O92" s="53"/>
      <c r="P92" s="53"/>
      <c r="Q92" s="98"/>
      <c r="R92" s="98"/>
      <c r="S92" s="101"/>
      <c r="T92" s="114"/>
      <c r="U92" s="59"/>
      <c r="V92" s="64"/>
      <c r="W92" s="61"/>
      <c r="X92" s="115"/>
      <c r="Y92" s="132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2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FilterSpecialCharacters(X93))</f>
        <v xml:space="preserve"> </v>
      </c>
      <c r="D93" s="37" t="str">
        <f t="shared" si="16"/>
        <v xml:space="preserve">  </v>
      </c>
      <c r="E93" s="58" t="str">
        <f t="shared" si="17"/>
        <v/>
      </c>
      <c r="F93" s="42" t="str">
        <f t="shared" si="18"/>
        <v/>
      </c>
      <c r="G93" s="42" t="str">
        <f t="shared" si="19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9" t="str">
        <v/>
      </c>
      <c r="K93" s="55"/>
      <c r="L93" s="56"/>
      <c r="M93" s="22"/>
      <c r="N93" s="52"/>
      <c r="O93" s="53"/>
      <c r="P93" s="53"/>
      <c r="Q93" s="98"/>
      <c r="R93" s="98"/>
      <c r="S93" s="101"/>
      <c r="T93" s="114"/>
      <c r="U93" s="59"/>
      <c r="V93" s="64"/>
      <c r="W93" s="61"/>
      <c r="X93" s="115"/>
      <c r="Y93" s="132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2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7"/>
        <v/>
      </c>
      <c r="F94" s="41" t="str">
        <f t="shared" si="18"/>
        <v/>
      </c>
      <c r="G94" s="41" t="str">
        <f t="shared" si="19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9" t="str">
        <v/>
      </c>
      <c r="K94" s="55"/>
      <c r="L94" s="56"/>
      <c r="M94" s="22"/>
      <c r="N94" s="52"/>
      <c r="O94" s="53"/>
      <c r="P94" s="53"/>
      <c r="Q94" s="98"/>
      <c r="R94" s="98"/>
      <c r="S94" s="101"/>
      <c r="T94" s="114"/>
      <c r="U94" s="59"/>
      <c r="V94" s="64"/>
      <c r="W94" s="61"/>
      <c r="X94" s="115"/>
      <c r="Y94" s="132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2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FilterSpecialCharacters(X95))</f>
        <v xml:space="preserve"> </v>
      </c>
      <c r="D95" s="37" t="str">
        <f t="shared" si="16"/>
        <v xml:space="preserve">  </v>
      </c>
      <c r="E95" s="58" t="str">
        <f t="shared" si="17"/>
        <v/>
      </c>
      <c r="F95" s="42" t="str">
        <f t="shared" si="18"/>
        <v/>
      </c>
      <c r="G95" s="42" t="str">
        <f t="shared" si="19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9" t="str">
        <v/>
      </c>
      <c r="K95" s="55"/>
      <c r="L95" s="56"/>
      <c r="M95" s="22"/>
      <c r="N95" s="52"/>
      <c r="O95" s="53"/>
      <c r="P95" s="53"/>
      <c r="Q95" s="98"/>
      <c r="R95" s="98"/>
      <c r="S95" s="101"/>
      <c r="T95" s="114"/>
      <c r="U95" s="59"/>
      <c r="V95" s="64"/>
      <c r="W95" s="61"/>
      <c r="X95" s="115"/>
      <c r="Y95" s="132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2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7"/>
        <v/>
      </c>
      <c r="F96" s="41" t="str">
        <f t="shared" si="18"/>
        <v/>
      </c>
      <c r="G96" s="41" t="str">
        <f t="shared" si="19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9" t="str">
        <v/>
      </c>
      <c r="K96" s="55"/>
      <c r="L96" s="56"/>
      <c r="M96" s="22"/>
      <c r="N96" s="52"/>
      <c r="O96" s="53"/>
      <c r="P96" s="53"/>
      <c r="Q96" s="98"/>
      <c r="R96" s="98"/>
      <c r="S96" s="101"/>
      <c r="T96" s="114"/>
      <c r="U96" s="59"/>
      <c r="V96" s="64"/>
      <c r="W96" s="61"/>
      <c r="X96" s="115"/>
      <c r="Y96" s="132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2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FilterSpecialCharacters(X97))</f>
        <v xml:space="preserve"> </v>
      </c>
      <c r="D97" s="37" t="str">
        <f t="shared" si="16"/>
        <v xml:space="preserve">  </v>
      </c>
      <c r="E97" s="58" t="str">
        <f t="shared" si="17"/>
        <v/>
      </c>
      <c r="F97" s="42" t="str">
        <f t="shared" si="18"/>
        <v/>
      </c>
      <c r="G97" s="42" t="str">
        <f t="shared" si="19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9" t="str">
        <v/>
      </c>
      <c r="K97" s="55"/>
      <c r="L97" s="56"/>
      <c r="M97" s="22"/>
      <c r="N97" s="52"/>
      <c r="O97" s="53"/>
      <c r="P97" s="53"/>
      <c r="Q97" s="98"/>
      <c r="R97" s="98"/>
      <c r="S97" s="101"/>
      <c r="T97" s="114"/>
      <c r="U97" s="59"/>
      <c r="V97" s="64"/>
      <c r="W97" s="61"/>
      <c r="X97" s="115"/>
      <c r="Y97" s="132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2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7"/>
        <v/>
      </c>
      <c r="F98" s="41" t="str">
        <f t="shared" si="18"/>
        <v/>
      </c>
      <c r="G98" s="41" t="str">
        <f t="shared" si="19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9" t="str">
        <v/>
      </c>
      <c r="K98" s="55"/>
      <c r="L98" s="56"/>
      <c r="M98" s="22"/>
      <c r="N98" s="52"/>
      <c r="O98" s="53"/>
      <c r="P98" s="53"/>
      <c r="Q98" s="98"/>
      <c r="R98" s="98"/>
      <c r="S98" s="101"/>
      <c r="T98" s="114"/>
      <c r="U98" s="59"/>
      <c r="V98" s="64"/>
      <c r="W98" s="61"/>
      <c r="X98" s="115"/>
      <c r="Y98" s="132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2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FilterSpecialCharacters(X99))</f>
        <v xml:space="preserve"> </v>
      </c>
      <c r="D99" s="37" t="str">
        <f t="shared" si="16"/>
        <v xml:space="preserve">  </v>
      </c>
      <c r="E99" s="58" t="str">
        <f t="shared" si="17"/>
        <v/>
      </c>
      <c r="F99" s="42" t="str">
        <f t="shared" si="18"/>
        <v/>
      </c>
      <c r="G99" s="42" t="str">
        <f t="shared" si="19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9" t="str">
        <v/>
      </c>
      <c r="K99" s="55"/>
      <c r="L99" s="56"/>
      <c r="M99" s="22"/>
      <c r="N99" s="52"/>
      <c r="O99" s="53"/>
      <c r="P99" s="53"/>
      <c r="Q99" s="98"/>
      <c r="R99" s="98"/>
      <c r="S99" s="101"/>
      <c r="T99" s="114"/>
      <c r="U99" s="59"/>
      <c r="V99" s="64"/>
      <c r="W99" s="61"/>
      <c r="X99" s="115"/>
      <c r="Y99" s="132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2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7"/>
        <v/>
      </c>
      <c r="F100" s="41" t="str">
        <f t="shared" si="18"/>
        <v/>
      </c>
      <c r="G100" s="41" t="str">
        <f t="shared" si="19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9" t="str">
        <v/>
      </c>
      <c r="K100" s="55"/>
      <c r="L100" s="56"/>
      <c r="M100" s="22"/>
      <c r="N100" s="52"/>
      <c r="O100" s="53"/>
      <c r="P100" s="53"/>
      <c r="Q100" s="98"/>
      <c r="R100" s="98"/>
      <c r="S100" s="101"/>
      <c r="T100" s="114"/>
      <c r="U100" s="59"/>
      <c r="V100" s="64"/>
      <c r="W100" s="61"/>
      <c r="X100" s="115"/>
      <c r="Y100" s="132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2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FilterSpecialCharacters(X101))</f>
        <v xml:space="preserve"> </v>
      </c>
      <c r="D101" s="37" t="str">
        <f t="shared" si="16"/>
        <v xml:space="preserve">  </v>
      </c>
      <c r="E101" s="58" t="str">
        <f t="shared" si="17"/>
        <v/>
      </c>
      <c r="F101" s="42" t="str">
        <f t="shared" si="18"/>
        <v/>
      </c>
      <c r="G101" s="42" t="str">
        <f t="shared" si="19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9" t="str">
        <v/>
      </c>
      <c r="K101" s="55"/>
      <c r="L101" s="56"/>
      <c r="M101" s="22"/>
      <c r="N101" s="52"/>
      <c r="O101" s="53"/>
      <c r="P101" s="53"/>
      <c r="Q101" s="98"/>
      <c r="R101" s="98"/>
      <c r="S101" s="101"/>
      <c r="T101" s="114"/>
      <c r="U101" s="59"/>
      <c r="V101" s="64"/>
      <c r="W101" s="61"/>
      <c r="X101" s="115"/>
      <c r="Y101" s="132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2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7"/>
        <v/>
      </c>
      <c r="F102" s="41" t="str">
        <f t="shared" si="18"/>
        <v/>
      </c>
      <c r="G102" s="41" t="str">
        <f t="shared" si="19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9" t="str">
        <v/>
      </c>
      <c r="K102" s="55"/>
      <c r="L102" s="56"/>
      <c r="M102" s="22"/>
      <c r="N102" s="52"/>
      <c r="O102" s="53"/>
      <c r="P102" s="53"/>
      <c r="Q102" s="98"/>
      <c r="R102" s="98"/>
      <c r="S102" s="101"/>
      <c r="T102" s="114"/>
      <c r="U102" s="59"/>
      <c r="V102" s="64"/>
      <c r="W102" s="61"/>
      <c r="X102" s="115"/>
      <c r="Y102" s="132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2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FilterSpecialCharacters(X103))</f>
        <v xml:space="preserve"> </v>
      </c>
      <c r="D103" s="37" t="str">
        <f t="shared" si="16"/>
        <v xml:space="preserve">  </v>
      </c>
      <c r="E103" s="58" t="str">
        <f t="shared" si="17"/>
        <v/>
      </c>
      <c r="F103" s="42" t="str">
        <f t="shared" si="18"/>
        <v/>
      </c>
      <c r="G103" s="42" t="str">
        <f t="shared" si="19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9" t="str">
        <v/>
      </c>
      <c r="K103" s="55"/>
      <c r="L103" s="56"/>
      <c r="M103" s="22"/>
      <c r="N103" s="52"/>
      <c r="O103" s="53"/>
      <c r="P103" s="53"/>
      <c r="Q103" s="98"/>
      <c r="R103" s="98"/>
      <c r="S103" s="101"/>
      <c r="T103" s="114"/>
      <c r="U103" s="59"/>
      <c r="V103" s="64"/>
      <c r="W103" s="61"/>
      <c r="X103" s="115"/>
      <c r="Y103" s="132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2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7"/>
        <v/>
      </c>
      <c r="F104" s="41" t="str">
        <f t="shared" si="18"/>
        <v/>
      </c>
      <c r="G104" s="41" t="str">
        <f t="shared" si="19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9" t="str">
        <v/>
      </c>
      <c r="K104" s="55"/>
      <c r="L104" s="56"/>
      <c r="M104" s="22"/>
      <c r="N104" s="52"/>
      <c r="O104" s="53"/>
      <c r="P104" s="53"/>
      <c r="Q104" s="98"/>
      <c r="R104" s="98"/>
      <c r="S104" s="101"/>
      <c r="T104" s="114"/>
      <c r="U104" s="59"/>
      <c r="V104" s="64"/>
      <c r="W104" s="61"/>
      <c r="X104" s="115"/>
      <c r="Y104" s="132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2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FilterSpecialCharacters(X105))</f>
        <v xml:space="preserve"> </v>
      </c>
      <c r="D105" s="37" t="str">
        <f t="shared" si="16"/>
        <v xml:space="preserve">  </v>
      </c>
      <c r="E105" s="58" t="str">
        <f t="shared" si="17"/>
        <v/>
      </c>
      <c r="F105" s="42" t="str">
        <f t="shared" si="18"/>
        <v/>
      </c>
      <c r="G105" s="42" t="str">
        <f t="shared" si="19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9" t="str">
        <v/>
      </c>
      <c r="K105" s="55"/>
      <c r="L105" s="56"/>
      <c r="M105" s="22"/>
      <c r="N105" s="52"/>
      <c r="O105" s="53"/>
      <c r="P105" s="53"/>
      <c r="Q105" s="98"/>
      <c r="R105" s="98"/>
      <c r="S105" s="101"/>
      <c r="T105" s="114"/>
      <c r="U105" s="59"/>
      <c r="V105" s="64"/>
      <c r="W105" s="61"/>
      <c r="X105" s="115"/>
      <c r="Y105" s="132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2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7"/>
        <v/>
      </c>
      <c r="F106" s="41" t="str">
        <f t="shared" si="18"/>
        <v/>
      </c>
      <c r="G106" s="41" t="str">
        <f t="shared" si="19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9" t="str">
        <v/>
      </c>
      <c r="K106" s="55"/>
      <c r="L106" s="56"/>
      <c r="M106" s="22"/>
      <c r="N106" s="52"/>
      <c r="O106" s="53"/>
      <c r="P106" s="53"/>
      <c r="Q106" s="98"/>
      <c r="R106" s="98"/>
      <c r="S106" s="101"/>
      <c r="T106" s="114"/>
      <c r="U106" s="59"/>
      <c r="V106" s="64"/>
      <c r="W106" s="61"/>
      <c r="X106" s="115"/>
      <c r="Y106" s="132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2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FilterSpecialCharacters(X107))</f>
        <v xml:space="preserve"> </v>
      </c>
      <c r="D107" s="37" t="str">
        <f t="shared" si="16"/>
        <v xml:space="preserve">  </v>
      </c>
      <c r="E107" s="58" t="str">
        <f t="shared" si="17"/>
        <v/>
      </c>
      <c r="F107" s="42" t="str">
        <f t="shared" si="18"/>
        <v/>
      </c>
      <c r="G107" s="42" t="str">
        <f t="shared" si="19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9" t="str">
        <v/>
      </c>
      <c r="K107" s="55"/>
      <c r="L107" s="56"/>
      <c r="M107" s="22"/>
      <c r="N107" s="52"/>
      <c r="O107" s="53"/>
      <c r="P107" s="53"/>
      <c r="Q107" s="98"/>
      <c r="R107" s="98"/>
      <c r="S107" s="101"/>
      <c r="T107" s="114"/>
      <c r="U107" s="59"/>
      <c r="V107" s="64"/>
      <c r="W107" s="61"/>
      <c r="X107" s="115"/>
      <c r="Y107" s="132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2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7"/>
        <v/>
      </c>
      <c r="F108" s="41" t="str">
        <f t="shared" si="18"/>
        <v/>
      </c>
      <c r="G108" s="41" t="str">
        <f t="shared" si="19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9" t="str">
        <v/>
      </c>
      <c r="K108" s="55"/>
      <c r="L108" s="56"/>
      <c r="M108" s="22"/>
      <c r="N108" s="52"/>
      <c r="O108" s="53"/>
      <c r="P108" s="53"/>
      <c r="Q108" s="98"/>
      <c r="R108" s="98"/>
      <c r="S108" s="101"/>
      <c r="T108" s="114"/>
      <c r="U108" s="59"/>
      <c r="V108" s="64"/>
      <c r="W108" s="61"/>
      <c r="X108" s="115"/>
      <c r="Y108" s="132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2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FilterSpecialCharacters(X109))</f>
        <v xml:space="preserve"> </v>
      </c>
      <c r="D109" s="37" t="str">
        <f t="shared" si="16"/>
        <v xml:space="preserve">  </v>
      </c>
      <c r="E109" s="58" t="str">
        <f t="shared" si="17"/>
        <v/>
      </c>
      <c r="F109" s="42" t="str">
        <f t="shared" si="18"/>
        <v/>
      </c>
      <c r="G109" s="42" t="str">
        <f t="shared" si="19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9" t="str">
        <v/>
      </c>
      <c r="K109" s="55"/>
      <c r="L109" s="56"/>
      <c r="M109" s="22"/>
      <c r="N109" s="52"/>
      <c r="O109" s="53"/>
      <c r="P109" s="53"/>
      <c r="Q109" s="98"/>
      <c r="R109" s="98"/>
      <c r="S109" s="101"/>
      <c r="T109" s="114"/>
      <c r="U109" s="59"/>
      <c r="V109" s="64"/>
      <c r="W109" s="61"/>
      <c r="X109" s="115"/>
      <c r="Y109" s="132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2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7"/>
        <v/>
      </c>
      <c r="F110" s="41" t="str">
        <f t="shared" si="18"/>
        <v/>
      </c>
      <c r="G110" s="41" t="str">
        <f t="shared" si="19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9" t="str">
        <v/>
      </c>
      <c r="K110" s="55"/>
      <c r="L110" s="56"/>
      <c r="M110" s="69"/>
      <c r="N110" s="70"/>
      <c r="O110" s="71"/>
      <c r="P110" s="71"/>
      <c r="Q110" s="99"/>
      <c r="R110" s="99"/>
      <c r="S110" s="101"/>
      <c r="T110" s="114"/>
      <c r="U110" s="59"/>
      <c r="V110" s="64"/>
      <c r="W110" s="61"/>
      <c r="X110" s="115"/>
      <c r="Y110" s="132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10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Y6:Y110" xr:uid="{E2B274EE-394E-4200-A9C5-3BDDAE4B42B5}">
      <formula1>"AC,DC"</formula1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_xlfn.REGEXTEST(X6,"^(G|M|k|h|da|d|c|m|µ|n|p)?(Ω|O|Ohm|Ohms|°C|DGC|°F|DGF|Hz|WAC|F|W|WDC)$")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tabSelected="1" workbookViewId="0">
      <selection activeCell="Q8" sqref="Q8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2025-02-14T02:23:37Z</dcterms:modified>
</cp:coreProperties>
</file>