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Electrical-Workbook\"/>
    </mc:Choice>
  </mc:AlternateContent>
  <xr:revisionPtr revIDLastSave="0" documentId="13_ncr:1_{E88B9676-DA33-4915-BE03-C2429FBA42E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3" l="1"/>
  <c r="AC6" i="3"/>
  <c r="H26" i="3" a="1"/>
  <c r="H10" i="3" a="1"/>
  <c r="H18" i="3" a="1"/>
  <c r="H14" i="3" a="1"/>
  <c r="H19" i="3" a="1"/>
  <c r="H23" i="3" a="1"/>
  <c r="H30" i="3" a="1"/>
  <c r="H16" i="3" a="1"/>
  <c r="H27" i="3" a="1"/>
  <c r="H12" i="3" a="1"/>
  <c r="H20" i="3" a="1"/>
  <c r="H29" i="3" a="1"/>
  <c r="H28" i="3" a="1"/>
  <c r="H17" i="3" a="1"/>
  <c r="H13" i="3" a="1"/>
  <c r="H22" i="3" a="1"/>
  <c r="H24" i="3" a="1"/>
  <c r="H25" i="3" a="1"/>
  <c r="H21" i="3" a="1"/>
  <c r="H15" i="3" a="1"/>
  <c r="H9" i="3" a="1"/>
  <c r="H11" i="3" a="1"/>
  <c r="H8" i="3" a="1"/>
  <c r="H7" i="3" a="1"/>
  <c r="Y7" i="3" a="1"/>
  <c r="Y13" i="3" a="1"/>
  <c r="Y19" i="3" a="1"/>
  <c r="Y25" i="3" a="1"/>
  <c r="Y31" i="3" a="1"/>
  <c r="Y37" i="3" a="1"/>
  <c r="Y43" i="3" a="1"/>
  <c r="Y49" i="3" a="1"/>
  <c r="Y55" i="3" a="1"/>
  <c r="Y61" i="3" a="1"/>
  <c r="Y67" i="3" a="1"/>
  <c r="Y73" i="3" a="1"/>
  <c r="Y79" i="3" a="1"/>
  <c r="Y85" i="3" a="1"/>
  <c r="Y91" i="3" a="1"/>
  <c r="Y97" i="3" a="1"/>
  <c r="Y103" i="3" a="1"/>
  <c r="Y109" i="3" a="1"/>
  <c r="Y48" i="3" a="1"/>
  <c r="Y78" i="3" a="1"/>
  <c r="Y102" i="3" a="1"/>
  <c r="Y30" i="3" a="1"/>
  <c r="Y8" i="3" a="1"/>
  <c r="Y14" i="3" a="1"/>
  <c r="Y20" i="3" a="1"/>
  <c r="Y26" i="3" a="1"/>
  <c r="Y32" i="3" a="1"/>
  <c r="Y38" i="3" a="1"/>
  <c r="Y44" i="3" a="1"/>
  <c r="Y50" i="3" a="1"/>
  <c r="Y56" i="3" a="1"/>
  <c r="Y62" i="3" a="1"/>
  <c r="Y68" i="3" a="1"/>
  <c r="Y74" i="3" a="1"/>
  <c r="Y80" i="3" a="1"/>
  <c r="Y86" i="3" a="1"/>
  <c r="Y92" i="3" a="1"/>
  <c r="Y98" i="3" a="1"/>
  <c r="Y104" i="3" a="1"/>
  <c r="Y110" i="3" a="1"/>
  <c r="Y36" i="3" a="1"/>
  <c r="Y84" i="3" a="1"/>
  <c r="Y60" i="3" a="1"/>
  <c r="Y9" i="3" a="1"/>
  <c r="Y15" i="3" a="1"/>
  <c r="Y21" i="3" a="1"/>
  <c r="Y27" i="3" a="1"/>
  <c r="Y33" i="3" a="1"/>
  <c r="Y39" i="3" a="1"/>
  <c r="Y45" i="3" a="1"/>
  <c r="Y51" i="3" a="1"/>
  <c r="Y57" i="3" a="1"/>
  <c r="Y63" i="3" a="1"/>
  <c r="Y69" i="3" a="1"/>
  <c r="Y75" i="3" a="1"/>
  <c r="Y81" i="3" a="1"/>
  <c r="Y87" i="3" a="1"/>
  <c r="Y93" i="3" a="1"/>
  <c r="Y99" i="3" a="1"/>
  <c r="Y105" i="3" a="1"/>
  <c r="Y42" i="3" a="1"/>
  <c r="Y90" i="3" a="1"/>
  <c r="Y54" i="3" a="1"/>
  <c r="Y10" i="3" a="1"/>
  <c r="Y16" i="3" a="1"/>
  <c r="Y22" i="3" a="1"/>
  <c r="Y28" i="3" a="1"/>
  <c r="Y34" i="3" a="1"/>
  <c r="Y40" i="3" a="1"/>
  <c r="Y46" i="3" a="1"/>
  <c r="Y52" i="3" a="1"/>
  <c r="Y58" i="3" a="1"/>
  <c r="Y64" i="3" a="1"/>
  <c r="Y70" i="3" a="1"/>
  <c r="Y76" i="3" a="1"/>
  <c r="Y82" i="3" a="1"/>
  <c r="Y88" i="3" a="1"/>
  <c r="Y94" i="3" a="1"/>
  <c r="Y100" i="3" a="1"/>
  <c r="Y106" i="3" a="1"/>
  <c r="Y24" i="3" a="1"/>
  <c r="Y72" i="3" a="1"/>
  <c r="Y108" i="3" a="1"/>
  <c r="Y18" i="3" a="1"/>
  <c r="Y11" i="3" a="1"/>
  <c r="Y17" i="3" a="1"/>
  <c r="Y23" i="3" a="1"/>
  <c r="Y29" i="3" a="1"/>
  <c r="Y35" i="3" a="1"/>
  <c r="Y41" i="3" a="1"/>
  <c r="Y47" i="3" a="1"/>
  <c r="Y53" i="3" a="1"/>
  <c r="Y59" i="3" a="1"/>
  <c r="Y65" i="3" a="1"/>
  <c r="Y71" i="3" a="1"/>
  <c r="Y77" i="3" a="1"/>
  <c r="Y83" i="3" a="1"/>
  <c r="Y89" i="3" a="1"/>
  <c r="Y95" i="3" a="1"/>
  <c r="Y101" i="3" a="1"/>
  <c r="Y107" i="3" a="1"/>
  <c r="Y12" i="3" a="1"/>
  <c r="Y66" i="3" a="1"/>
  <c r="Y96" i="3" a="1"/>
  <c r="Y6" i="3" a="1"/>
  <c r="H6" i="3" a="1"/>
  <c r="Y96" i="3" l="1"/>
  <c r="Y66" i="3"/>
  <c r="Y12" i="3"/>
  <c r="Y107" i="3"/>
  <c r="Y101" i="3"/>
  <c r="Y95" i="3"/>
  <c r="Y89" i="3"/>
  <c r="Y83" i="3"/>
  <c r="Y77" i="3"/>
  <c r="Y71" i="3"/>
  <c r="Y65" i="3"/>
  <c r="Y59" i="3"/>
  <c r="Y53" i="3"/>
  <c r="Y47" i="3"/>
  <c r="Y41" i="3"/>
  <c r="Y35" i="3"/>
  <c r="Y29" i="3"/>
  <c r="Y23" i="3"/>
  <c r="Y17" i="3"/>
  <c r="Y11" i="3"/>
  <c r="Y18" i="3"/>
  <c r="Y108" i="3"/>
  <c r="Y72" i="3"/>
  <c r="Y24" i="3"/>
  <c r="Y106" i="3"/>
  <c r="Y100" i="3"/>
  <c r="Y94" i="3"/>
  <c r="Y88" i="3"/>
  <c r="Y82" i="3"/>
  <c r="Y76" i="3"/>
  <c r="Y70" i="3"/>
  <c r="Y64" i="3"/>
  <c r="Y58" i="3"/>
  <c r="Y52" i="3"/>
  <c r="Y46" i="3"/>
  <c r="Y40" i="3"/>
  <c r="Y34" i="3"/>
  <c r="Y28" i="3"/>
  <c r="Y22" i="3"/>
  <c r="Y16" i="3"/>
  <c r="Y10" i="3"/>
  <c r="Y54" i="3"/>
  <c r="Y90" i="3"/>
  <c r="Y42" i="3"/>
  <c r="Y105" i="3"/>
  <c r="Y99" i="3"/>
  <c r="Y93" i="3"/>
  <c r="Y87" i="3"/>
  <c r="Y81" i="3"/>
  <c r="Y75" i="3"/>
  <c r="Y69" i="3"/>
  <c r="Y63" i="3"/>
  <c r="Y57" i="3"/>
  <c r="Y51" i="3"/>
  <c r="Y45" i="3"/>
  <c r="Y39" i="3"/>
  <c r="Y33" i="3"/>
  <c r="Y27" i="3"/>
  <c r="Y21" i="3"/>
  <c r="Y15" i="3"/>
  <c r="Y9" i="3"/>
  <c r="Y60" i="3"/>
  <c r="Y84" i="3"/>
  <c r="Y36" i="3"/>
  <c r="Y110" i="3"/>
  <c r="Y104" i="3"/>
  <c r="Y98" i="3"/>
  <c r="Y92" i="3"/>
  <c r="Y86" i="3"/>
  <c r="Y80" i="3"/>
  <c r="Y74" i="3"/>
  <c r="Y68" i="3"/>
  <c r="Y62" i="3"/>
  <c r="Y56" i="3"/>
  <c r="Y50" i="3"/>
  <c r="Y44" i="3"/>
  <c r="Y38" i="3"/>
  <c r="Y32" i="3"/>
  <c r="Y26" i="3"/>
  <c r="Y20" i="3"/>
  <c r="Y14" i="3"/>
  <c r="Y8" i="3"/>
  <c r="Y30" i="3"/>
  <c r="Y102" i="3"/>
  <c r="Y78" i="3"/>
  <c r="Y48" i="3"/>
  <c r="Y109" i="3"/>
  <c r="Y103" i="3"/>
  <c r="Y97" i="3"/>
  <c r="Y91" i="3"/>
  <c r="Y85" i="3"/>
  <c r="Y79" i="3"/>
  <c r="Y73" i="3"/>
  <c r="Y67" i="3"/>
  <c r="Y61" i="3"/>
  <c r="Y55" i="3"/>
  <c r="Y49" i="3"/>
  <c r="Y43" i="3"/>
  <c r="Y37" i="3"/>
  <c r="Y31" i="3"/>
  <c r="Y25" i="3"/>
  <c r="Y19" i="3"/>
  <c r="Y13" i="3"/>
  <c r="Y7" i="3"/>
  <c r="Y6" i="3"/>
  <c r="H6" i="3"/>
  <c r="H8" i="3"/>
  <c r="H11" i="3"/>
  <c r="H15" i="3"/>
  <c r="H9" i="3"/>
  <c r="H14" i="3"/>
  <c r="H17" i="3"/>
  <c r="H18" i="3"/>
  <c r="H25" i="3"/>
  <c r="H10" i="3"/>
  <c r="H28" i="3"/>
  <c r="H7" i="3"/>
  <c r="H27" i="3"/>
  <c r="H19" i="3"/>
  <c r="H26" i="3"/>
  <c r="H20" i="3"/>
  <c r="H30" i="3"/>
  <c r="H13" i="3"/>
  <c r="H12" i="3"/>
  <c r="H21" i="3"/>
  <c r="H23" i="3"/>
  <c r="H24" i="3"/>
  <c r="H22" i="3"/>
  <c r="H29" i="3"/>
  <c r="H1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G47" i="3" s="1"/>
  <c r="AB48" i="3"/>
  <c r="AC48" i="3"/>
  <c r="G48" i="3" s="1"/>
  <c r="AB49" i="3"/>
  <c r="F49" i="3" s="1"/>
  <c r="AC49" i="3"/>
  <c r="G49" i="3" s="1"/>
  <c r="AB50" i="3"/>
  <c r="AC50" i="3"/>
  <c r="G50" i="3" s="1"/>
  <c r="AB51" i="3"/>
  <c r="AC51" i="3"/>
  <c r="AB52" i="3"/>
  <c r="AC52" i="3"/>
  <c r="G52" i="3" s="1"/>
  <c r="AB53" i="3"/>
  <c r="AC53" i="3"/>
  <c r="G53" i="3" s="1"/>
  <c r="AB54" i="3"/>
  <c r="F54" i="3" s="1"/>
  <c r="AC54" i="3"/>
  <c r="G54" i="3" s="1"/>
  <c r="AB55" i="3"/>
  <c r="F55" i="3" s="1"/>
  <c r="AC55" i="3"/>
  <c r="G55" i="3" s="1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F61" i="3" s="1"/>
  <c r="AC61" i="3"/>
  <c r="G61" i="3" s="1"/>
  <c r="AB62" i="3"/>
  <c r="AC62" i="3"/>
  <c r="G62" i="3" s="1"/>
  <c r="AB63" i="3"/>
  <c r="AC63" i="3"/>
  <c r="AB64" i="3"/>
  <c r="AC64" i="3"/>
  <c r="G64" i="3" s="1"/>
  <c r="AB65" i="3"/>
  <c r="AC65" i="3"/>
  <c r="G65" i="3" s="1"/>
  <c r="AB66" i="3"/>
  <c r="F66" i="3" s="1"/>
  <c r="AC66" i="3"/>
  <c r="G66" i="3" s="1"/>
  <c r="AB67" i="3"/>
  <c r="F67" i="3" s="1"/>
  <c r="AC67" i="3"/>
  <c r="G67" i="3" s="1"/>
  <c r="AB68" i="3"/>
  <c r="AC68" i="3"/>
  <c r="G68" i="3" s="1"/>
  <c r="AB69" i="3"/>
  <c r="AC69" i="3"/>
  <c r="AB70" i="3"/>
  <c r="AC70" i="3"/>
  <c r="G70" i="3" s="1"/>
  <c r="AB71" i="3"/>
  <c r="AC71" i="3"/>
  <c r="G71" i="3" s="1"/>
  <c r="AB72" i="3"/>
  <c r="AC72" i="3"/>
  <c r="G72" i="3" s="1"/>
  <c r="AB73" i="3"/>
  <c r="F73" i="3" s="1"/>
  <c r="AC73" i="3"/>
  <c r="G73" i="3" s="1"/>
  <c r="AB74" i="3"/>
  <c r="AC74" i="3"/>
  <c r="G74" i="3" s="1"/>
  <c r="AB75" i="3"/>
  <c r="AC75" i="3"/>
  <c r="AB76" i="3"/>
  <c r="AC76" i="3"/>
  <c r="G76" i="3" s="1"/>
  <c r="AB77" i="3"/>
  <c r="AC77" i="3"/>
  <c r="G77" i="3" s="1"/>
  <c r="AB78" i="3"/>
  <c r="F78" i="3" s="1"/>
  <c r="AC78" i="3"/>
  <c r="G78" i="3" s="1"/>
  <c r="AB79" i="3"/>
  <c r="F79" i="3" s="1"/>
  <c r="AC79" i="3"/>
  <c r="G79" i="3" s="1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F85" i="3" s="1"/>
  <c r="AC85" i="3"/>
  <c r="G85" i="3" s="1"/>
  <c r="AB86" i="3"/>
  <c r="AC86" i="3"/>
  <c r="G86" i="3" s="1"/>
  <c r="AB87" i="3"/>
  <c r="AC87" i="3"/>
  <c r="AB88" i="3"/>
  <c r="AC88" i="3"/>
  <c r="G88" i="3" s="1"/>
  <c r="AB89" i="3"/>
  <c r="AC89" i="3"/>
  <c r="G89" i="3" s="1"/>
  <c r="AB90" i="3"/>
  <c r="F90" i="3" s="1"/>
  <c r="AC90" i="3"/>
  <c r="G90" i="3" s="1"/>
  <c r="AB91" i="3"/>
  <c r="F91" i="3" s="1"/>
  <c r="AC91" i="3"/>
  <c r="G91" i="3" s="1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G101" i="3" s="1"/>
  <c r="AB102" i="3"/>
  <c r="F102" i="3" s="1"/>
  <c r="AC102" i="3"/>
  <c r="G102" i="3" s="1"/>
  <c r="AB103" i="3"/>
  <c r="F103" i="3" s="1"/>
  <c r="AC103" i="3"/>
  <c r="G103" i="3" s="1"/>
  <c r="AB104" i="3"/>
  <c r="AC104" i="3"/>
  <c r="G104" i="3" s="1"/>
  <c r="AB105" i="3"/>
  <c r="AC105" i="3"/>
  <c r="AB106" i="3"/>
  <c r="AC106" i="3"/>
  <c r="G106" i="3" s="1"/>
  <c r="AB107" i="3"/>
  <c r="AC107" i="3"/>
  <c r="G107" i="3" s="1"/>
  <c r="AB108" i="3"/>
  <c r="F108" i="3" s="1"/>
  <c r="AC108" i="3"/>
  <c r="G108" i="3" s="1"/>
  <c r="AB109" i="3"/>
  <c r="F109" i="3" s="1"/>
  <c r="AC109" i="3"/>
  <c r="G109" i="3" s="1"/>
  <c r="AB110" i="3"/>
  <c r="AC110" i="3"/>
  <c r="G110" i="3" s="1"/>
  <c r="G45" i="3"/>
  <c r="G51" i="3"/>
  <c r="G57" i="3"/>
  <c r="G59" i="3"/>
  <c r="G63" i="3"/>
  <c r="G69" i="3"/>
  <c r="G75" i="3"/>
  <c r="G81" i="3"/>
  <c r="G83" i="3"/>
  <c r="G87" i="3"/>
  <c r="G98" i="3"/>
  <c r="F45" i="3"/>
  <c r="F46" i="3"/>
  <c r="F47" i="3"/>
  <c r="F48" i="3"/>
  <c r="F50" i="3"/>
  <c r="F51" i="3"/>
  <c r="F52" i="3"/>
  <c r="F53" i="3"/>
  <c r="F56" i="3"/>
  <c r="F57" i="3"/>
  <c r="F58" i="3"/>
  <c r="F59" i="3"/>
  <c r="F60" i="3"/>
  <c r="F62" i="3"/>
  <c r="F63" i="3"/>
  <c r="F64" i="3"/>
  <c r="F65" i="3"/>
  <c r="F68" i="3"/>
  <c r="F69" i="3"/>
  <c r="F70" i="3"/>
  <c r="F71" i="3"/>
  <c r="F72" i="3"/>
  <c r="F74" i="3"/>
  <c r="F75" i="3"/>
  <c r="F76" i="3"/>
  <c r="F77" i="3"/>
  <c r="F80" i="3"/>
  <c r="F81" i="3"/>
  <c r="F82" i="3"/>
  <c r="F83" i="3"/>
  <c r="F84" i="3"/>
  <c r="F86" i="3"/>
  <c r="F87" i="3"/>
  <c r="F88" i="3"/>
  <c r="F89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F104" i="3"/>
  <c r="F105" i="3"/>
  <c r="G105" i="3"/>
  <c r="F106" i="3"/>
  <c r="F107" i="3"/>
  <c r="F110" i="3"/>
  <c r="AF6" i="3" l="1"/>
  <c r="H101" i="3" a="1"/>
  <c r="H76" i="3" a="1"/>
  <c r="H57" i="3" a="1"/>
  <c r="H89" i="3" a="1"/>
  <c r="H69" i="3" a="1"/>
  <c r="H93" i="3" a="1"/>
  <c r="H83" i="3" a="1"/>
  <c r="H86" i="3" a="1"/>
  <c r="H109" i="3" a="1"/>
  <c r="H48" i="3" a="1"/>
  <c r="H110" i="3" a="1"/>
  <c r="H43" i="3" a="1"/>
  <c r="H80" i="3" a="1"/>
  <c r="H79" i="3" a="1"/>
  <c r="H58" i="3" a="1"/>
  <c r="H95" i="3" a="1"/>
  <c r="H35" i="3" a="1"/>
  <c r="H107" i="3" a="1"/>
  <c r="H102" i="3" a="1"/>
  <c r="H62" i="3" a="1"/>
  <c r="H98" i="3" a="1"/>
  <c r="H64" i="3" a="1"/>
  <c r="H106" i="3" a="1"/>
  <c r="H51" i="3" a="1"/>
  <c r="H59" i="3" a="1"/>
  <c r="H105" i="3" a="1"/>
  <c r="H38" i="3" a="1"/>
  <c r="H44" i="3" a="1"/>
  <c r="H46" i="3" a="1"/>
  <c r="H72" i="3" a="1"/>
  <c r="H91" i="3" a="1"/>
  <c r="H88" i="3" a="1"/>
  <c r="H52" i="3" a="1"/>
  <c r="H31" i="3" a="1"/>
  <c r="H103" i="3" a="1"/>
  <c r="H53" i="3" a="1"/>
  <c r="H99" i="3" a="1"/>
  <c r="H40" i="3" a="1"/>
  <c r="H56" i="3" a="1"/>
  <c r="H97" i="3" a="1"/>
  <c r="H68" i="3" a="1"/>
  <c r="H32" i="3" a="1"/>
  <c r="H96" i="3" a="1"/>
  <c r="H81" i="3" a="1"/>
  <c r="H73" i="3" a="1"/>
  <c r="H108" i="3" a="1"/>
  <c r="H87" i="3" a="1"/>
  <c r="H104" i="3" a="1"/>
  <c r="H92" i="3" a="1"/>
  <c r="H49" i="3" a="1"/>
  <c r="H63" i="3" a="1"/>
  <c r="H65" i="3" a="1"/>
  <c r="H47" i="3" a="1"/>
  <c r="H34" i="3" a="1"/>
  <c r="H94" i="3" a="1"/>
  <c r="H77" i="3" a="1"/>
  <c r="F1" i="29" a="1"/>
  <c r="H75" i="3" a="1"/>
  <c r="H74" i="3" a="1"/>
  <c r="H84" i="3" a="1"/>
  <c r="H33" i="3" a="1"/>
  <c r="H50" i="3" a="1"/>
  <c r="H37" i="3" a="1"/>
  <c r="H100" i="3" a="1"/>
  <c r="H90" i="3" a="1"/>
  <c r="H71" i="3" a="1"/>
  <c r="H42" i="3" a="1"/>
  <c r="H70" i="3" a="1"/>
  <c r="H45" i="3" a="1"/>
  <c r="H54" i="3" a="1"/>
  <c r="H61" i="3" a="1"/>
  <c r="H60" i="3" a="1"/>
  <c r="H39" i="3" a="1"/>
  <c r="H82" i="3" a="1"/>
  <c r="H66" i="3" a="1"/>
  <c r="H41" i="3" a="1"/>
  <c r="H78" i="3" a="1"/>
  <c r="H55" i="3" a="1"/>
  <c r="H85" i="3" a="1"/>
  <c r="H67" i="3" a="1"/>
  <c r="H36" i="3" a="1"/>
  <c r="B57" i="3" l="1"/>
  <c r="B61" i="3"/>
  <c r="B83" i="3"/>
  <c r="B84" i="3"/>
  <c r="B88" i="3"/>
  <c r="B46" i="3"/>
  <c r="B108" i="3"/>
  <c r="B73" i="3"/>
  <c r="B65" i="3"/>
  <c r="B68" i="3"/>
  <c r="B80" i="3"/>
  <c r="B76" i="3"/>
  <c r="B66" i="3"/>
  <c r="B55" i="3"/>
  <c r="B87" i="3"/>
  <c r="B52" i="3"/>
  <c r="B72" i="3"/>
  <c r="B97" i="3"/>
  <c r="B71" i="3"/>
  <c r="B93" i="3"/>
  <c r="B79" i="3"/>
  <c r="B56" i="3"/>
  <c r="B110" i="3"/>
  <c r="B102" i="3"/>
  <c r="B105" i="3"/>
  <c r="B48" i="3"/>
  <c r="B82" i="3"/>
  <c r="B90" i="3"/>
  <c r="B75" i="3"/>
  <c r="B59" i="3"/>
  <c r="B94" i="3"/>
  <c r="B47" i="3"/>
  <c r="B81" i="3"/>
  <c r="B99" i="3"/>
  <c r="B107" i="3"/>
  <c r="B74" i="3"/>
  <c r="B91" i="3"/>
  <c r="B63" i="3"/>
  <c r="B51" i="3"/>
  <c r="B86" i="3"/>
  <c r="B103" i="3"/>
  <c r="B54" i="3"/>
  <c r="B45" i="3"/>
  <c r="B95" i="3"/>
  <c r="B89" i="3"/>
  <c r="B106" i="3"/>
  <c r="B69" i="3"/>
  <c r="B58" i="3"/>
  <c r="B49" i="3"/>
  <c r="B53" i="3"/>
  <c r="B101" i="3"/>
  <c r="B78" i="3"/>
  <c r="B100" i="3"/>
  <c r="B96" i="3"/>
  <c r="B64" i="3"/>
  <c r="B67" i="3"/>
  <c r="B92" i="3"/>
  <c r="B98" i="3"/>
  <c r="B109" i="3"/>
  <c r="B85" i="3"/>
  <c r="B70" i="3"/>
  <c r="B60" i="3"/>
  <c r="B50" i="3"/>
  <c r="B77" i="3"/>
  <c r="B104" i="3"/>
  <c r="B62" i="3"/>
  <c r="B39" i="3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81" i="3" a="1"/>
  <c r="C83" i="3" a="1"/>
  <c r="C39" i="3" a="1"/>
  <c r="C106" i="3" a="1"/>
  <c r="C80" i="3" a="1"/>
  <c r="C56" i="3" a="1"/>
  <c r="C32" i="3" a="1"/>
  <c r="C25" i="3" a="1"/>
  <c r="C69" i="3" a="1"/>
  <c r="C72" i="3" a="1"/>
  <c r="C48" i="3" a="1"/>
  <c r="C59" i="3" a="1"/>
  <c r="C49" i="3" a="1"/>
  <c r="C103" i="3" a="1"/>
  <c r="C79" i="3" a="1"/>
  <c r="C35" i="3" a="1"/>
  <c r="C104" i="3" a="1"/>
  <c r="C78" i="3" a="1"/>
  <c r="C54" i="3" a="1"/>
  <c r="C30" i="3" a="1"/>
  <c r="C71" i="3" a="1"/>
  <c r="C19" i="3" a="1"/>
  <c r="C95" i="3" a="1"/>
  <c r="C77" i="3" a="1"/>
  <c r="C31" i="3" a="1"/>
  <c r="C102" i="3" a="1"/>
  <c r="C76" i="3" a="1"/>
  <c r="C52" i="3" a="1"/>
  <c r="C28" i="3" a="1"/>
  <c r="C67" i="3" a="1"/>
  <c r="C15" i="3" a="1"/>
  <c r="C109" i="3" a="1"/>
  <c r="C65" i="3" a="1"/>
  <c r="C96" i="3" a="1"/>
  <c r="C70" i="3" a="1"/>
  <c r="C22" i="3" a="1"/>
  <c r="C87" i="3" a="1"/>
  <c r="C73" i="3" a="1"/>
  <c r="C27" i="3" a="1"/>
  <c r="C100" i="3" a="1"/>
  <c r="C74" i="3" a="1"/>
  <c r="C50" i="3" a="1"/>
  <c r="C26" i="3" a="1"/>
  <c r="C63" i="3" a="1"/>
  <c r="C23" i="3" a="1"/>
  <c r="C24" i="3" a="1"/>
  <c r="C75" i="3" a="1"/>
  <c r="C98" i="3" a="1"/>
  <c r="C86" i="3" a="1"/>
  <c r="C21" i="3" a="1"/>
  <c r="C46" i="3" a="1"/>
  <c r="C53" i="3" a="1"/>
  <c r="C68" i="3" a="1"/>
  <c r="C93" i="3" a="1"/>
  <c r="C57" i="3" a="1"/>
  <c r="C13" i="3" a="1"/>
  <c r="C92" i="3" a="1"/>
  <c r="C66" i="3" a="1"/>
  <c r="C42" i="3" a="1"/>
  <c r="C18" i="3" a="1"/>
  <c r="C45" i="3" a="1"/>
  <c r="C61" i="3" a="1"/>
  <c r="C94" i="3" a="1"/>
  <c r="C20" i="3" a="1"/>
  <c r="C85" i="3" a="1"/>
  <c r="C55" i="3" a="1"/>
  <c r="C11" i="3" a="1"/>
  <c r="C90" i="3" a="1"/>
  <c r="C64" i="3" a="1"/>
  <c r="C40" i="3" a="1"/>
  <c r="C16" i="3" a="1"/>
  <c r="C41" i="3" a="1"/>
  <c r="C105" i="3" a="1"/>
  <c r="C107" i="3" a="1"/>
  <c r="C51" i="3" a="1"/>
  <c r="C9" i="3" a="1"/>
  <c r="C88" i="3" a="1"/>
  <c r="C62" i="3" a="1"/>
  <c r="C38" i="3" a="1"/>
  <c r="C14" i="3" a="1"/>
  <c r="C37" i="3" a="1"/>
  <c r="C108" i="3" a="1"/>
  <c r="C29" i="3" a="1"/>
  <c r="C97" i="3" a="1"/>
  <c r="C99" i="3" a="1"/>
  <c r="C47" i="3" a="1"/>
  <c r="C110" i="3" a="1"/>
  <c r="C84" i="3" a="1"/>
  <c r="C60" i="3" a="1"/>
  <c r="C36" i="3" a="1"/>
  <c r="C12" i="3" a="1"/>
  <c r="C33" i="3" a="1"/>
  <c r="C89" i="3" a="1"/>
  <c r="C91" i="3" a="1"/>
  <c r="C43" i="3" a="1"/>
  <c r="C82" i="3" a="1"/>
  <c r="C58" i="3" a="1"/>
  <c r="C34" i="3" a="1"/>
  <c r="C10" i="3" a="1"/>
  <c r="C101" i="3" a="1"/>
  <c r="C17" i="3" a="1"/>
  <c r="C44" i="3" a="1"/>
  <c r="C8" i="3" a="1"/>
  <c r="C7" i="3" a="1"/>
  <c r="C6" i="3" a="1"/>
  <c r="C44" i="3" l="1"/>
  <c r="C17" i="3"/>
  <c r="C101" i="3"/>
  <c r="C10" i="3"/>
  <c r="C34" i="3"/>
  <c r="C58" i="3"/>
  <c r="C82" i="3"/>
  <c r="C43" i="3"/>
  <c r="C91" i="3"/>
  <c r="C89" i="3"/>
  <c r="C33" i="3"/>
  <c r="C12" i="3"/>
  <c r="C36" i="3"/>
  <c r="C60" i="3"/>
  <c r="C84" i="3"/>
  <c r="C110" i="3"/>
  <c r="C47" i="3"/>
  <c r="C99" i="3"/>
  <c r="C97" i="3"/>
  <c r="C29" i="3"/>
  <c r="C108" i="3"/>
  <c r="C37" i="3"/>
  <c r="C14" i="3"/>
  <c r="C38" i="3"/>
  <c r="C62" i="3"/>
  <c r="C88" i="3"/>
  <c r="C9" i="3"/>
  <c r="C51" i="3"/>
  <c r="C107" i="3"/>
  <c r="C105" i="3"/>
  <c r="C41" i="3"/>
  <c r="C16" i="3"/>
  <c r="C40" i="3"/>
  <c r="C64" i="3"/>
  <c r="C90" i="3"/>
  <c r="C11" i="3"/>
  <c r="C55" i="3"/>
  <c r="C85" i="3"/>
  <c r="C20" i="3"/>
  <c r="C94" i="3"/>
  <c r="C61" i="3"/>
  <c r="C45" i="3"/>
  <c r="C18" i="3"/>
  <c r="C42" i="3"/>
  <c r="C66" i="3"/>
  <c r="C92" i="3"/>
  <c r="C13" i="3"/>
  <c r="C57" i="3"/>
  <c r="C93" i="3"/>
  <c r="C68" i="3"/>
  <c r="C53" i="3"/>
  <c r="C46" i="3"/>
  <c r="C21" i="3"/>
  <c r="C86" i="3"/>
  <c r="C98" i="3"/>
  <c r="C75" i="3"/>
  <c r="C24" i="3"/>
  <c r="C23" i="3"/>
  <c r="C63" i="3"/>
  <c r="C26" i="3"/>
  <c r="C50" i="3"/>
  <c r="C74" i="3"/>
  <c r="C100" i="3"/>
  <c r="C27" i="3"/>
  <c r="C73" i="3"/>
  <c r="C87" i="3"/>
  <c r="C22" i="3"/>
  <c r="C70" i="3"/>
  <c r="C96" i="3"/>
  <c r="C65" i="3"/>
  <c r="C109" i="3"/>
  <c r="C15" i="3"/>
  <c r="C67" i="3"/>
  <c r="C28" i="3"/>
  <c r="C52" i="3"/>
  <c r="C76" i="3"/>
  <c r="C102" i="3"/>
  <c r="C31" i="3"/>
  <c r="C77" i="3"/>
  <c r="C95" i="3"/>
  <c r="C19" i="3"/>
  <c r="C71" i="3"/>
  <c r="C30" i="3"/>
  <c r="C54" i="3"/>
  <c r="C78" i="3"/>
  <c r="C104" i="3"/>
  <c r="C35" i="3"/>
  <c r="C79" i="3"/>
  <c r="C103" i="3"/>
  <c r="C49" i="3"/>
  <c r="C59" i="3"/>
  <c r="C48" i="3"/>
  <c r="C72" i="3"/>
  <c r="C69" i="3"/>
  <c r="C25" i="3"/>
  <c r="C32" i="3"/>
  <c r="C56" i="3"/>
  <c r="C80" i="3"/>
  <c r="C106" i="3"/>
  <c r="C39" i="3"/>
  <c r="C83" i="3"/>
  <c r="C81" i="3"/>
  <c r="C8" i="3"/>
  <c r="C7" i="3"/>
  <c r="C6" i="3"/>
  <c r="E6" i="3"/>
  <c r="D6" i="3"/>
  <c r="G1" i="29"/>
  <c r="G6" i="3" l="1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E63" i="3"/>
  <c r="E52" i="3"/>
  <c r="E110" i="3"/>
  <c r="E56" i="3"/>
  <c r="E53" i="3"/>
  <c r="E22" i="3"/>
  <c r="E69" i="3"/>
  <c r="E70" i="3"/>
  <c r="E61" i="3"/>
  <c r="E90" i="3"/>
  <c r="E83" i="3"/>
  <c r="E80" i="3"/>
  <c r="E47" i="3"/>
  <c r="E73" i="3"/>
  <c r="E66" i="3"/>
  <c r="E95" i="3"/>
  <c r="E89" i="3"/>
  <c r="E106" i="3"/>
  <c r="E75" i="3"/>
  <c r="E58" i="3"/>
  <c r="E85" i="3"/>
  <c r="E62" i="3"/>
  <c r="E16" i="3"/>
  <c r="E78" i="3"/>
  <c r="E54" i="3"/>
  <c r="E65" i="3"/>
  <c r="E86" i="3"/>
  <c r="E46" i="3"/>
  <c r="E76" i="3"/>
  <c r="E87" i="3"/>
  <c r="E48" i="3"/>
  <c r="E88" i="3"/>
  <c r="E64" i="3"/>
  <c r="E29" i="3"/>
  <c r="E99" i="3"/>
  <c r="E77" i="3"/>
  <c r="E71" i="3"/>
  <c r="E59" i="3"/>
  <c r="E107" i="3"/>
  <c r="E79" i="3"/>
  <c r="E101" i="3"/>
  <c r="E49" i="3"/>
  <c r="E50" i="3"/>
  <c r="E109" i="3"/>
  <c r="E81" i="3"/>
  <c r="E105" i="3"/>
  <c r="E60" i="3"/>
  <c r="E30" i="3"/>
  <c r="E57" i="3"/>
  <c r="E21" i="3"/>
  <c r="E67" i="3"/>
  <c r="E15" i="3"/>
  <c r="E97" i="3"/>
  <c r="E82" i="3"/>
  <c r="E72" i="3"/>
  <c r="E93" i="3"/>
  <c r="E104" i="3"/>
  <c r="E102" i="3"/>
  <c r="E96" i="3"/>
  <c r="E92" i="3"/>
  <c r="E103" i="3"/>
  <c r="E91" i="3"/>
  <c r="E51" i="3"/>
  <c r="E55" i="3"/>
  <c r="E94" i="3"/>
  <c r="E68" i="3"/>
  <c r="E98" i="3"/>
  <c r="E74" i="3"/>
  <c r="E45" i="3"/>
  <c r="E108" i="3"/>
  <c r="E100" i="3"/>
  <c r="E84" i="3"/>
  <c r="D44" i="3" l="1"/>
  <c r="E44" i="3"/>
  <c r="D38" i="3"/>
  <c r="E38" i="3"/>
  <c r="D37" i="3"/>
  <c r="E37" i="3"/>
  <c r="D20" i="3"/>
  <c r="E20" i="3"/>
  <c r="D34" i="3"/>
  <c r="E34" i="3"/>
  <c r="D9" i="3"/>
  <c r="E9" i="3"/>
  <c r="D18" i="3"/>
  <c r="E18" i="3"/>
  <c r="D36" i="3"/>
  <c r="E36" i="3"/>
  <c r="D23" i="3"/>
  <c r="E23" i="3"/>
  <c r="D35" i="3"/>
  <c r="E35" i="3"/>
  <c r="D12" i="3"/>
  <c r="E12" i="3"/>
  <c r="D8" i="3"/>
  <c r="E8" i="3"/>
  <c r="D7" i="3"/>
  <c r="E7" i="3"/>
  <c r="D39" i="3"/>
  <c r="E39" i="3"/>
  <c r="D17" i="3"/>
  <c r="E17" i="3"/>
  <c r="D28" i="3"/>
  <c r="E28" i="3"/>
  <c r="D25" i="3"/>
  <c r="E25" i="3"/>
  <c r="D24" i="3"/>
  <c r="E24" i="3"/>
  <c r="D26" i="3"/>
  <c r="E26" i="3"/>
  <c r="D31" i="3"/>
  <c r="E31" i="3"/>
  <c r="D19" i="3"/>
  <c r="E19" i="3"/>
  <c r="D32" i="3"/>
  <c r="E32" i="3"/>
  <c r="D42" i="3"/>
  <c r="E42" i="3"/>
  <c r="D13" i="3"/>
  <c r="E13" i="3"/>
  <c r="D27" i="3"/>
  <c r="E27" i="3"/>
  <c r="D10" i="3"/>
  <c r="E10" i="3"/>
  <c r="D33" i="3"/>
  <c r="E33" i="3"/>
  <c r="D14" i="3"/>
  <c r="E14" i="3"/>
  <c r="D40" i="3"/>
  <c r="E40" i="3"/>
  <c r="D11" i="3"/>
  <c r="E11" i="3"/>
  <c r="D43" i="3"/>
  <c r="E43" i="3"/>
  <c r="G22" i="3"/>
  <c r="F22" i="3"/>
  <c r="G21" i="3"/>
  <c r="F21" i="3"/>
  <c r="F29" i="3"/>
  <c r="G29" i="3"/>
  <c r="G15" i="3"/>
  <c r="F15" i="3"/>
  <c r="F16" i="3"/>
  <c r="G16" i="3"/>
  <c r="F30" i="3"/>
  <c r="G30" i="3"/>
  <c r="D30" i="3"/>
  <c r="D109" i="3"/>
  <c r="D50" i="3"/>
  <c r="D79" i="3"/>
  <c r="D16" i="3"/>
  <c r="D89" i="3"/>
  <c r="D83" i="3"/>
  <c r="D100" i="3"/>
  <c r="D74" i="3"/>
  <c r="D55" i="3"/>
  <c r="D103" i="3"/>
  <c r="D72" i="3"/>
  <c r="D67" i="3"/>
  <c r="D60" i="3"/>
  <c r="D49" i="3"/>
  <c r="D107" i="3"/>
  <c r="D71" i="3"/>
  <c r="D64" i="3"/>
  <c r="D87" i="3"/>
  <c r="D54" i="3"/>
  <c r="D62" i="3"/>
  <c r="D58" i="3"/>
  <c r="D73" i="3"/>
  <c r="D90" i="3"/>
  <c r="D69" i="3"/>
  <c r="D22" i="3"/>
  <c r="D84" i="3"/>
  <c r="D45" i="3"/>
  <c r="D94" i="3"/>
  <c r="D102" i="3"/>
  <c r="D15" i="3"/>
  <c r="D86" i="3"/>
  <c r="D85" i="3"/>
  <c r="D66" i="3"/>
  <c r="D70" i="3"/>
  <c r="D92" i="3"/>
  <c r="D99" i="3"/>
  <c r="D88" i="3"/>
  <c r="D76" i="3"/>
  <c r="D75" i="3"/>
  <c r="D95" i="3"/>
  <c r="D47" i="3"/>
  <c r="D53" i="3"/>
  <c r="D63" i="3"/>
  <c r="D65" i="3"/>
  <c r="D110" i="3"/>
  <c r="D98" i="3"/>
  <c r="D51" i="3"/>
  <c r="D104" i="3"/>
  <c r="D82" i="3"/>
  <c r="D21" i="3"/>
  <c r="D105" i="3"/>
  <c r="D101" i="3"/>
  <c r="D108" i="3"/>
  <c r="D68" i="3"/>
  <c r="D91" i="3"/>
  <c r="D96" i="3"/>
  <c r="D93" i="3"/>
  <c r="D97" i="3"/>
  <c r="D57" i="3"/>
  <c r="D81" i="3"/>
  <c r="D59" i="3"/>
  <c r="D77" i="3"/>
  <c r="D29" i="3"/>
  <c r="D48" i="3"/>
  <c r="D46" i="3"/>
  <c r="D78" i="3"/>
  <c r="D106" i="3"/>
  <c r="D80" i="3"/>
  <c r="D61" i="3"/>
  <c r="D56" i="3"/>
  <c r="D52" i="3"/>
  <c r="G19" i="3"/>
  <c r="F19" i="3"/>
  <c r="F10" i="3"/>
  <c r="G10" i="3"/>
  <c r="F32" i="3"/>
  <c r="G32" i="3"/>
  <c r="F44" i="3"/>
  <c r="G44" i="3"/>
  <c r="G7" i="3"/>
  <c r="F7" i="3"/>
  <c r="F24" i="3"/>
  <c r="G24" i="3"/>
  <c r="F20" i="3"/>
  <c r="G20" i="3"/>
  <c r="G39" i="3"/>
  <c r="F39" i="3"/>
  <c r="G33" i="3"/>
  <c r="F33" i="3"/>
  <c r="F28" i="3"/>
  <c r="G28" i="3"/>
  <c r="G27" i="3"/>
  <c r="F27" i="3"/>
  <c r="F34" i="3"/>
  <c r="G34" i="3"/>
  <c r="G9" i="3"/>
  <c r="F9" i="3"/>
  <c r="F26" i="3"/>
  <c r="G26" i="3"/>
  <c r="F8" i="3"/>
  <c r="G8" i="3"/>
  <c r="F18" i="3"/>
  <c r="G18" i="3"/>
  <c r="G23" i="3"/>
  <c r="F23" i="3"/>
  <c r="G17" i="3"/>
  <c r="F17" i="3"/>
  <c r="F14" i="3"/>
  <c r="G14" i="3"/>
  <c r="F38" i="3"/>
  <c r="G38" i="3"/>
  <c r="F37" i="3"/>
  <c r="G37" i="3"/>
  <c r="F42" i="3"/>
  <c r="G42" i="3"/>
  <c r="G11" i="3"/>
  <c r="F11" i="3"/>
  <c r="G35" i="3"/>
  <c r="F35" i="3"/>
  <c r="F40" i="3"/>
  <c r="G40" i="3"/>
  <c r="G43" i="3"/>
  <c r="F43" i="3"/>
  <c r="G25" i="3"/>
  <c r="F25" i="3"/>
  <c r="F36" i="3"/>
  <c r="G36" i="3"/>
  <c r="F12" i="3"/>
  <c r="G12" i="3"/>
  <c r="G31" i="3"/>
  <c r="F31" i="3"/>
  <c r="F13" i="3"/>
  <c r="G13" i="3"/>
  <c r="A7" i="3" a="1"/>
  <c r="A110" i="3" a="1"/>
  <c r="A100" i="3" a="1"/>
  <c r="A95" i="3" a="1"/>
  <c r="A96" i="3" a="1"/>
  <c r="A99" i="3" a="1"/>
  <c r="A92" i="3" a="1"/>
  <c r="A105" i="3" a="1"/>
  <c r="A101" i="3" a="1"/>
  <c r="A107" i="3" a="1"/>
  <c r="A98" i="3" a="1"/>
  <c r="A104" i="3" a="1"/>
  <c r="A97" i="3" a="1"/>
  <c r="A106" i="3" a="1"/>
  <c r="A108" i="3" a="1"/>
  <c r="A102" i="3" a="1"/>
  <c r="A94" i="3" a="1"/>
  <c r="A109" i="3" a="1"/>
  <c r="A93" i="3" a="1"/>
  <c r="A103" i="3" a="1"/>
  <c r="A36" i="3" a="1"/>
  <c r="A69" i="3" a="1"/>
  <c r="A46" i="3" a="1"/>
  <c r="A53" i="3" a="1"/>
  <c r="A33" i="3" a="1"/>
  <c r="A77" i="3" a="1"/>
  <c r="A47" i="3" a="1"/>
  <c r="A74" i="3" a="1"/>
  <c r="A76" i="3" a="1"/>
  <c r="A73" i="3" a="1"/>
  <c r="A78" i="3" a="1"/>
  <c r="A72" i="3" a="1"/>
  <c r="A43" i="3" a="1"/>
  <c r="A27" i="3" a="1"/>
  <c r="A15" i="3" a="1"/>
  <c r="A80" i="3" a="1"/>
  <c r="A61" i="3" a="1"/>
  <c r="A49" i="3" a="1"/>
  <c r="A89" i="3" a="1"/>
  <c r="A30" i="3" a="1"/>
  <c r="A10" i="3" a="1"/>
  <c r="A26" i="3" a="1"/>
  <c r="A35" i="3" a="1"/>
  <c r="A18" i="3" a="1"/>
  <c r="A68" i="3" a="1"/>
  <c r="A81" i="3" a="1"/>
  <c r="A54" i="3" a="1"/>
  <c r="A42" i="3" a="1"/>
  <c r="A16" i="3" a="1"/>
  <c r="A87" i="3" a="1"/>
  <c r="A88" i="3" a="1"/>
  <c r="A64" i="3" a="1"/>
  <c r="A55" i="3" a="1"/>
  <c r="A40" i="3" a="1"/>
  <c r="A14" i="3" a="1"/>
  <c r="A45" i="3" a="1"/>
  <c r="A60" i="3" a="1"/>
  <c r="A13" i="3" a="1"/>
  <c r="A31" i="3" a="1"/>
  <c r="A17" i="3" a="1"/>
  <c r="A57" i="3" a="1"/>
  <c r="A67" i="3" a="1"/>
  <c r="A48" i="3" a="1"/>
  <c r="A91" i="3" a="1"/>
  <c r="A20" i="3" a="1"/>
  <c r="A56" i="3" a="1"/>
  <c r="A34" i="3" a="1"/>
  <c r="A85" i="3" a="1"/>
  <c r="A9" i="3" a="1"/>
  <c r="A37" i="3" a="1"/>
  <c r="A23" i="3" a="1"/>
  <c r="A65" i="3" a="1"/>
  <c r="A39" i="3" a="1"/>
  <c r="A70" i="3" a="1"/>
  <c r="A51" i="3" a="1"/>
  <c r="A52" i="3" a="1"/>
  <c r="A19" i="3" a="1"/>
  <c r="A86" i="3" a="1"/>
  <c r="A25" i="3" a="1"/>
  <c r="A24" i="3" a="1"/>
  <c r="A28" i="3" a="1"/>
  <c r="A62" i="3" a="1"/>
  <c r="A32" i="3" a="1"/>
  <c r="A63" i="3" a="1"/>
  <c r="A12" i="3" a="1"/>
  <c r="A21" i="3" a="1"/>
  <c r="A66" i="3" a="1"/>
  <c r="A90" i="3" a="1"/>
  <c r="A83" i="3" a="1"/>
  <c r="A71" i="3" a="1"/>
  <c r="A44" i="3" a="1"/>
  <c r="A75" i="3" a="1"/>
  <c r="A79" i="3" a="1"/>
  <c r="A58" i="3" a="1"/>
  <c r="A29" i="3" a="1"/>
  <c r="A82" i="3" a="1"/>
  <c r="A59" i="3" a="1"/>
  <c r="A50" i="3" a="1"/>
  <c r="A22" i="3" a="1"/>
  <c r="A84" i="3" a="1"/>
  <c r="A38" i="3" a="1"/>
  <c r="A11" i="3" a="1"/>
  <c r="A8" i="3" a="1"/>
  <c r="D41" i="3" l="1"/>
  <c r="E41" i="3"/>
  <c r="A43" i="3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G41" i="3"/>
  <c r="F41" i="3"/>
  <c r="A41" i="3" a="1"/>
  <c r="A41" i="3" l="1"/>
  <c r="H45" i="29" s="1"/>
  <c r="H14" i="29" l="1"/>
  <c r="H20" i="29"/>
  <c r="H29" i="29"/>
  <c r="H34" i="29"/>
  <c r="H6" i="29"/>
  <c r="H37" i="29"/>
  <c r="H43" i="29"/>
  <c r="H7" i="29"/>
  <c r="H33" i="29"/>
  <c r="H18" i="29"/>
  <c r="H27" i="29"/>
  <c r="H36" i="29"/>
  <c r="H25" i="29"/>
  <c r="H15" i="29"/>
  <c r="H42" i="29"/>
  <c r="H38" i="29"/>
  <c r="H8" i="29"/>
  <c r="H31" i="29"/>
  <c r="H12" i="29"/>
  <c r="H30" i="29"/>
  <c r="H40" i="29"/>
  <c r="H41" i="29"/>
  <c r="H24" i="29"/>
  <c r="H19" i="29"/>
  <c r="H32" i="29"/>
  <c r="H16" i="29"/>
  <c r="H22" i="29"/>
  <c r="H28" i="29"/>
  <c r="H39" i="29"/>
  <c r="H9" i="29"/>
  <c r="H10" i="29"/>
  <c r="H1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<sst xmlns="http://schemas.openxmlformats.org/spreadsheetml/2006/main" count="17892" uniqueCount="3089">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</sst>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1" fillId="3" borderId="0" xfId="0" applyFont="1" applyFill="1" applyAlignment="1">
      <alignment horizontal="lef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5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5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right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469"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727.63540486111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s v=""/>
        <n v="-231948203" u="1"/>
        <n v="-30303541" u="1"/>
        <n v="-236979795" u="1"/>
        <n v="-118925506" u="1"/>
        <n v="-365743965" u="1"/>
        <n v="286695292" u="1"/>
        <n v="-55344214" u="1"/>
        <n v="486644484" u="1"/>
        <n v="496180124" u="1"/>
        <n v="276562491" u="1"/>
        <n v="-306398606" u="1"/>
        <n v="-110541820" u="1"/>
        <n v="184256789" u="1"/>
        <n v="410564501" u="1"/>
        <n v="269398838" u="1"/>
        <n v="77639596" u="1"/>
        <n v="226361642" u="1"/>
        <n v="120236181" u="1"/>
        <n v="-57753614" u="1"/>
        <n v="126680872" u="1"/>
        <n v="21873872" u="1"/>
        <n v="143224241" u="1"/>
        <n v="-360402523" u="1"/>
        <n v="-306201852" u="1"/>
        <n v="86489172" u="1"/>
        <n v="424483030" u="1"/>
        <n v="-459222896" u="1"/>
        <n v="-86683844" u="1"/>
        <n v="308163671" u="1"/>
        <n v="135938866" u="1"/>
        <n v="36563959" u="1"/>
        <n v="-66073833" u="1"/>
        <n v="465457095" u="1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"/>
        <s v="Insulation" u="1"/>
        <s v="Volts AC" u="1"/>
        <s v="Volts DC" u="1"/>
        <s v="Resistance" u="1"/>
        <s v="Capacitance" u="1"/>
        <s v="Amps AC" u="1"/>
        <s v="Amps DC" u="1"/>
        <s v="Temperature" u="1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m="1"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m="1" x="31"/>
        <item m="1" x="32"/>
        <item m="1" x="33"/>
        <item m="1" x="100"/>
        <item h="1" x="0"/>
        <item m="1" x="105"/>
        <item m="1" x="17"/>
        <item m="1"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t="default"/>
      </items>
    </pivotField>
    <pivotField axis="axisRow" showAll="0">
      <items count="14">
        <item m="1" x="7"/>
        <item m="1" x="6"/>
        <item m="1" x="8"/>
        <item m="1" x="5"/>
        <item m="1" x="12"/>
        <item m="1" x="10"/>
        <item m="1" x="4"/>
        <item m="1" x="2"/>
        <item m="1" x="3"/>
        <item m="1" x="9"/>
        <item m="1" x="11"/>
        <item x="0"/>
        <item m="1" x="1"/>
        <item t="default"/>
      </items>
    </pivotField>
  </pivotFields>
  <rowFields count="2">
    <field x="1"/>
    <field x="0"/>
  </rowFields>
  <colItems count="1">
    <i/>
  </colItems>
  <formats count="460">
    <format dxfId="468">
      <pivotArea dataOnly="0" labelOnly="1" fieldPosition="0">
        <references count="1">
          <reference field="1" count="1">
            <x v="0"/>
          </reference>
        </references>
      </pivotArea>
    </format>
    <format dxfId="46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1">
          <reference field="1" count="1">
            <x v="1"/>
          </reference>
        </references>
      </pivotArea>
    </format>
    <format dxfId="46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6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1">
          <reference field="1" count="1">
            <x v="3"/>
          </reference>
        </references>
      </pivotArea>
    </format>
    <format dxfId="4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4">
      <pivotArea dataOnly="0" labelOnly="1" fieldPosition="0">
        <references count="1">
          <reference field="1" count="1">
            <x v="4"/>
          </reference>
        </references>
      </pivotArea>
    </format>
    <format dxfId="45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2">
      <pivotArea dataOnly="0" labelOnly="1" fieldPosition="0">
        <references count="1">
          <reference field="1" count="1">
            <x v="6"/>
          </reference>
        </references>
      </pivotArea>
    </format>
    <format dxfId="4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9">
      <pivotArea dataOnly="0" labelOnly="1" fieldPosition="0">
        <references count="1">
          <reference field="1" count="1">
            <x v="2"/>
          </reference>
        </references>
      </pivotArea>
    </format>
    <format dxfId="44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1">
          <reference field="1" count="1">
            <x v="7"/>
          </reference>
        </references>
      </pivotArea>
    </format>
    <format dxfId="4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1">
          <reference field="1" count="1">
            <x v="8"/>
          </reference>
        </references>
      </pivotArea>
    </format>
    <format dxfId="4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1">
          <reference field="1" count="1">
            <x v="9"/>
          </reference>
        </references>
      </pivotArea>
    </format>
    <format dxfId="430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9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8">
      <pivotArea dataOnly="0" labelOnly="1" fieldPosition="0">
        <references count="1">
          <reference field="1" count="1">
            <x v="10"/>
          </reference>
        </references>
      </pivotArea>
    </format>
    <format dxfId="42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3">
      <pivotArea dataOnly="0" labelOnly="1" fieldPosition="0">
        <references count="1">
          <reference field="1" count="1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1">
          <reference field="1" count="1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1">
          <reference field="1" count="1">
            <x v="0"/>
          </reference>
        </references>
      </pivotArea>
    </format>
    <format dxfId="41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3">
      <pivotArea dataOnly="0" labelOnly="1" fieldPosition="0">
        <references count="1">
          <reference field="1" count="1">
            <x v="3"/>
          </reference>
        </references>
      </pivotArea>
    </format>
    <format dxfId="412">
      <pivotArea dataOnly="0" labelOnly="1" fieldPosition="0">
        <references count="1">
          <reference field="1" count="1">
            <x v="0"/>
          </reference>
        </references>
      </pivotArea>
    </format>
    <format dxfId="4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1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9">
      <pivotArea dataOnly="0" labelOnly="1" fieldPosition="0">
        <references count="1">
          <reference field="1" count="1">
            <x v="4"/>
          </reference>
        </references>
      </pivotArea>
    </format>
    <format dxfId="40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7">
      <pivotArea dataOnly="0" labelOnly="1" fieldPosition="0">
        <references count="1">
          <reference field="1" count="1">
            <x v="6"/>
          </reference>
        </references>
      </pivotArea>
    </format>
    <format dxfId="40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2">
      <pivotArea dataOnly="0" labelOnly="1" fieldPosition="0">
        <references count="1">
          <reference field="1" count="1">
            <x v="3"/>
          </reference>
        </references>
      </pivotArea>
    </format>
    <format dxfId="401">
      <pivotArea dataOnly="0" labelOnly="1" fieldPosition="0">
        <references count="1">
          <reference field="1" count="1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1">
          <reference field="1" count="1">
            <x v="4"/>
          </reference>
        </references>
      </pivotArea>
    </format>
    <format dxfId="395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4">
      <pivotArea dataOnly="0" labelOnly="1" fieldPosition="0">
        <references count="1">
          <reference field="1" count="1">
            <x v="6"/>
          </reference>
        </references>
      </pivotArea>
    </format>
    <format dxfId="3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2">
      <pivotArea dataOnly="0" labelOnly="1" fieldPosition="0">
        <references count="1">
          <reference field="1" count="1">
            <x v="3"/>
          </reference>
        </references>
      </pivotArea>
    </format>
    <format dxfId="391">
      <pivotArea dataOnly="0" labelOnly="1" fieldPosition="0">
        <references count="1">
          <reference field="1" count="1">
            <x v="4"/>
          </reference>
        </references>
      </pivotArea>
    </format>
    <format dxfId="390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8">
      <pivotArea dataOnly="0" labelOnly="1" fieldPosition="0">
        <references count="1">
          <reference field="1" count="1">
            <x v="7"/>
          </reference>
        </references>
      </pivotArea>
    </format>
    <format dxfId="38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6">
      <pivotArea dataOnly="0" labelOnly="1" fieldPosition="0">
        <references count="1"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4">
      <pivotArea dataOnly="0" labelOnly="1" fieldPosition="0">
        <references count="1">
          <reference field="1" count="1">
            <x v="9"/>
          </reference>
        </references>
      </pivotArea>
    </format>
    <format dxfId="383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2">
      <pivotArea dataOnly="0" labelOnly="1" fieldPosition="0">
        <references count="1">
          <reference field="1" count="1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7">
      <pivotArea dataOnly="0" labelOnly="1" fieldPosition="0">
        <references count="1">
          <reference field="1" count="1">
            <x v="7"/>
          </reference>
        </references>
      </pivotArea>
    </format>
    <format dxfId="37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5">
      <pivotArea dataOnly="0" labelOnly="1" fieldPosition="0">
        <references count="1">
          <reference field="1" count="1">
            <x v="8"/>
          </reference>
        </references>
      </pivotArea>
    </format>
    <format dxfId="37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1">
          <reference field="1" count="1">
            <x v="11"/>
          </reference>
        </references>
      </pivotArea>
    </format>
    <format dxfId="36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type="all" dataOnly="0" outline="0" fieldPosition="0"/>
    </format>
    <format dxfId="364">
      <pivotArea field="1" type="button" dataOnly="0" labelOnly="1" outline="0" axis="axisRow" fieldPosition="0"/>
    </format>
    <format dxfId="363">
      <pivotArea dataOnly="0" labelOnly="1" fieldPosition="0">
        <references count="1">
          <reference field="1" count="0"/>
        </references>
      </pivotArea>
    </format>
    <format dxfId="36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60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8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7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6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4">
      <pivotArea type="all" dataOnly="0" outline="0" fieldPosition="0"/>
    </format>
    <format dxfId="353">
      <pivotArea field="1" type="button" dataOnly="0" labelOnly="1" outline="0" axis="axisRow" fieldPosition="0"/>
    </format>
    <format dxfId="352">
      <pivotArea dataOnly="0" labelOnly="1" fieldPosition="0">
        <references count="1">
          <reference field="1" count="0"/>
        </references>
      </pivotArea>
    </format>
    <format dxfId="35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3">
      <pivotArea type="all" dataOnly="0" outline="0" fieldPosition="0"/>
    </format>
    <format dxfId="342">
      <pivotArea field="1" type="button" dataOnly="0" labelOnly="1" outline="0" axis="axisRow" fieldPosition="0"/>
    </format>
    <format dxfId="341">
      <pivotArea dataOnly="0" labelOnly="1" fieldPosition="0">
        <references count="1">
          <reference field="1" count="0"/>
        </references>
      </pivotArea>
    </format>
    <format dxfId="34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2">
      <pivotArea dataOnly="0" labelOnly="1" fieldPosition="0">
        <references count="1">
          <reference field="1" count="1">
            <x v="0"/>
          </reference>
        </references>
      </pivotArea>
    </format>
    <format dxfId="3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1">
          <reference field="1" count="1">
            <x v="1"/>
          </reference>
        </references>
      </pivotArea>
    </format>
    <format dxfId="3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1">
          <reference field="1" count="1">
            <x v="2"/>
          </reference>
        </references>
      </pivotArea>
    </format>
    <format dxfId="31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1">
          <reference field="1" count="1">
            <x v="3"/>
          </reference>
        </references>
      </pivotArea>
    </format>
    <format dxfId="31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4">
      <pivotArea dataOnly="0" labelOnly="1" fieldPosition="0">
        <references count="1">
          <reference field="1" count="1">
            <x v="6"/>
          </reference>
        </references>
      </pivotArea>
    </format>
    <format dxfId="31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1">
      <pivotArea dataOnly="0" labelOnly="1" fieldPosition="0">
        <references count="1">
          <reference field="1" count="1">
            <x v="7"/>
          </reference>
        </references>
      </pivotArea>
    </format>
    <format dxfId="3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1">
          <reference field="1" count="1">
            <x v="8"/>
          </reference>
        </references>
      </pivotArea>
    </format>
    <format dxfId="30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0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1">
          <reference field="1" count="1">
            <x v="11"/>
          </reference>
        </references>
      </pivotArea>
    </format>
    <format dxfId="29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1">
      <pivotArea dataOnly="0" labelOnly="1" fieldPosition="0">
        <references count="1">
          <reference field="1" count="1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0"/>
          </reference>
        </references>
      </pivotArea>
    </format>
    <format dxfId="28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1">
          <reference field="1" count="1">
            <x v="1"/>
          </reference>
        </references>
      </pivotArea>
    </format>
    <format dxfId="278">
      <pivotArea dataOnly="0" labelOnly="1" fieldPosition="0">
        <references count="1">
          <reference field="1" count="1">
            <x v="1"/>
          </reference>
        </references>
      </pivotArea>
    </format>
    <format dxfId="27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1">
          <reference field="1" count="1">
            <x v="2"/>
          </reference>
        </references>
      </pivotArea>
    </format>
    <format dxfId="266">
      <pivotArea dataOnly="0" labelOnly="1" fieldPosition="0">
        <references count="1">
          <reference field="1" count="1">
            <x v="2"/>
          </reference>
        </references>
      </pivotArea>
    </format>
    <format dxfId="26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1">
          <reference field="1" count="1">
            <x v="3"/>
          </reference>
        </references>
      </pivotArea>
    </format>
    <format dxfId="258">
      <pivotArea dataOnly="0" labelOnly="1" fieldPosition="0">
        <references count="1">
          <reference field="1" count="1">
            <x v="3"/>
          </reference>
        </references>
      </pivotArea>
    </format>
    <format dxfId="2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5">
      <pivotArea dataOnly="0" labelOnly="1" fieldPosition="0">
        <references count="1">
          <reference field="1" count="1">
            <x v="6"/>
          </reference>
        </references>
      </pivotArea>
    </format>
    <format dxfId="254">
      <pivotArea dataOnly="0" labelOnly="1" fieldPosition="0">
        <references count="1">
          <reference field="1" count="1">
            <x v="6"/>
          </reference>
        </references>
      </pivotArea>
    </format>
    <format dxfId="25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1">
          <reference field="1" count="1">
            <x v="7"/>
          </reference>
        </references>
      </pivotArea>
    </format>
    <format dxfId="248">
      <pivotArea dataOnly="0" labelOnly="1" fieldPosition="0">
        <references count="1">
          <reference field="1" count="1">
            <x v="7"/>
          </reference>
        </references>
      </pivotArea>
    </format>
    <format dxfId="24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1">
          <reference field="1" count="1">
            <x v="8"/>
          </reference>
        </references>
      </pivotArea>
    </format>
    <format dxfId="230">
      <pivotArea dataOnly="0" labelOnly="1" fieldPosition="0">
        <references count="1">
          <reference field="1" count="1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1">
          <reference field="1" count="1">
            <x v="11"/>
          </reference>
        </references>
      </pivotArea>
    </format>
    <format dxfId="212">
      <pivotArea dataOnly="0" labelOnly="1" fieldPosition="0">
        <references count="1">
          <reference field="1" count="1">
            <x v="11"/>
          </reference>
        </references>
      </pivotArea>
    </format>
    <format dxfId="21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1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9">
      <pivotArea dataOnly="0" labelOnly="1" fieldPosition="0">
        <references count="1">
          <reference field="1" count="1">
            <x v="0"/>
          </reference>
        </references>
      </pivotArea>
    </format>
    <format dxfId="20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1">
          <reference field="1" count="1">
            <x v="1"/>
          </reference>
        </references>
      </pivotArea>
    </format>
    <format dxfId="20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1">
          <reference field="1" count="1">
            <x v="2"/>
          </reference>
        </references>
      </pivotArea>
    </format>
    <format dxfId="19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1">
          <reference field="1" count="1">
            <x v="3"/>
          </reference>
        </references>
      </pivotArea>
    </format>
    <format dxfId="19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91">
      <pivotArea dataOnly="0" labelOnly="1" fieldPosition="0">
        <references count="1">
          <reference field="1" count="1">
            <x v="6"/>
          </reference>
        </references>
      </pivotArea>
    </format>
    <format dxfId="19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8">
      <pivotArea dataOnly="0" labelOnly="1" fieldPosition="0">
        <references count="1">
          <reference field="1" count="1">
            <x v="7"/>
          </reference>
        </references>
      </pivotArea>
    </format>
    <format dxfId="18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1">
          <reference field="1" count="1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1">
          <reference field="1" count="1">
            <x v="11"/>
          </reference>
        </references>
      </pivotArea>
    </format>
    <format dxfId="16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5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5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1">
          <reference field="1" count="1">
            <x v="11"/>
          </reference>
        </references>
      </pivotArea>
    </format>
    <format dxfId="13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12"/>
          </reference>
        </references>
      </pivotArea>
    </format>
    <format dxfId="12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4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9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8">
      <pivotArea dataOnly="0" labelOnly="1" fieldPosition="0">
        <references count="1">
          <reference field="1" count="1">
            <x v="0"/>
          </reference>
        </references>
      </pivotArea>
    </format>
    <format dxfId="77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6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1">
          <reference field="1" count="1">
            <x v="1"/>
          </reference>
        </references>
      </pivotArea>
    </format>
    <format dxfId="66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5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1">
          <reference field="1" count="1">
            <x v="2"/>
          </reference>
        </references>
      </pivotArea>
    </format>
    <format dxfId="5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1">
          <reference field="1" count="1">
            <x v="3"/>
          </reference>
        </references>
      </pivotArea>
    </format>
    <format dxfId="5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50">
      <pivotArea dataOnly="0" labelOnly="1" fieldPosition="0">
        <references count="1">
          <reference field="1" count="1">
            <x v="6"/>
          </reference>
        </references>
      </pivotArea>
    </format>
    <format dxfId="49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8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7">
      <pivotArea dataOnly="0" labelOnly="1" fieldPosition="0">
        <references count="1">
          <reference field="1" count="1">
            <x v="7"/>
          </reference>
        </references>
      </pivotArea>
    </format>
    <format dxfId="46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5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1">
          <reference field="1" count="1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1">
          <reference field="1" count="1">
            <x v="12"/>
          </reference>
        </references>
      </pivotArea>
    </format>
    <format dxfId="12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1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0">
      <pivotArea type="all" dataOnly="0" outline="0" fieldPosition="0"/>
    </format>
    <format dxfId="9">
      <pivotArea field="1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8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8"/>
    <tableColumn id="2" xr3:uid="{4C008F17-C160-43C0-8DC7-F63ED2B2735E}" uniqueName="2" name="Standard" queryTableFieldId="2" dataDxfId="7"/>
    <tableColumn id="3" xr3:uid="{82E825C6-6B9A-4A2D-BA51-08B97502A174}" uniqueName="3" name="Item" queryTableFieldId="3" dataDxfId="6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5"/>
    <tableColumn id="8" xr3:uid="{F80A92A4-F76E-4375-A587-E73A2C954D1A}" uniqueName="8" name="Uncert_Units" queryTableFieldId="8" dataDxfId="4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3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2"/>
    <tableColumn id="8" xr3:uid="{79D3BD41-68F3-4F3E-8A17-F9729233655A}" uniqueName="8" name="Function" queryTableFieldId="8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79"/>
      <c r="B1" s="79"/>
      <c r="C1" s="120" t="s">
        <v>62</v>
      </c>
      <c r="D1" s="121"/>
      <c r="E1" s="121"/>
      <c r="F1" s="78" t="str" cm="1">
        <f t="array" ref="F1">IfZero(Worksheet!F2)</f>
        <v/>
      </c>
      <c r="G1" s="80">
        <f>Worksheet!F3</f>
        <v>0</v>
      </c>
    </row>
    <row r="2" spans="1:8" x14ac:dyDescent="0.25">
      <c r="G2" s="113"/>
    </row>
    <row r="3" spans="1:8" ht="21" x14ac:dyDescent="0.25">
      <c r="A3" s="114"/>
      <c r="B3" s="115"/>
      <c r="C3" s="115"/>
      <c r="D3" s="116"/>
      <c r="E3" s="115"/>
      <c r="F3" s="115"/>
      <c r="G3" s="117"/>
    </row>
    <row r="4" spans="1:8" hidden="1" x14ac:dyDescent="0.25">
      <c r="A4" t="s">
        <v>2184</v>
      </c>
      <c r="B4" s="118"/>
      <c r="C4" s="118"/>
      <c r="D4" s="118"/>
      <c r="E4" s="118"/>
      <c r="F4" s="118"/>
      <c r="G4" s="118"/>
    </row>
    <row r="5" spans="1:8" x14ac:dyDescent="0.25">
      <c r="B5" s="119"/>
      <c r="C5" s="119"/>
      <c r="D5" s="119"/>
      <c r="E5" s="119"/>
      <c r="F5" s="119"/>
      <c r="G5" s="119"/>
    </row>
    <row r="6" spans="1:8" x14ac:dyDescent="0.25">
      <c r="B6" s="119"/>
      <c r="C6" s="119"/>
      <c r="D6" s="119"/>
      <c r="E6" s="119"/>
      <c r="F6" s="119"/>
      <c r="G6" s="119"/>
      <c r="H6" t="str">
        <f>IFERROR(VLOOKUP($A6,Worksheet!$A$5:$I$110,H$4,FALSE),"")</f>
        <v/>
      </c>
    </row>
    <row r="7" spans="1:8" x14ac:dyDescent="0.25">
      <c r="B7" s="119"/>
      <c r="C7" s="119"/>
      <c r="D7" s="119"/>
      <c r="E7" s="119"/>
      <c r="F7" s="119"/>
      <c r="G7" s="119"/>
      <c r="H7" t="str">
        <f>IFERROR(VLOOKUP($A7,Worksheet!$A$5:$I$110,H$4,FALSE),"")</f>
        <v/>
      </c>
    </row>
    <row r="8" spans="1:8" x14ac:dyDescent="0.25">
      <c r="B8" s="119"/>
      <c r="C8" s="119"/>
      <c r="D8" s="119"/>
      <c r="E8" s="119"/>
      <c r="F8" s="119"/>
      <c r="G8" s="119"/>
      <c r="H8" t="str">
        <f>IFERROR(VLOOKUP($A8,Worksheet!$A$5:$I$110,H$4,FALSE),"")</f>
        <v/>
      </c>
    </row>
    <row r="9" spans="1:8" x14ac:dyDescent="0.25">
      <c r="B9" s="119"/>
      <c r="C9" s="119"/>
      <c r="D9" s="119"/>
      <c r="E9" s="119"/>
      <c r="F9" s="119"/>
      <c r="G9" s="119"/>
      <c r="H9" t="str">
        <f>IFERROR(VLOOKUP($A9,Worksheet!$A$5:$I$110,H$4,FALSE),"")</f>
        <v/>
      </c>
    </row>
    <row r="10" spans="1:8" x14ac:dyDescent="0.25">
      <c r="B10" s="119"/>
      <c r="C10" s="119"/>
      <c r="D10" s="119"/>
      <c r="E10" s="119"/>
      <c r="F10" s="119"/>
      <c r="G10" s="119"/>
      <c r="H10" t="str">
        <f>IFERROR(VLOOKUP($A10,Worksheet!$A$5:$I$110,H$4,FALSE),"")</f>
        <v/>
      </c>
    </row>
    <row r="11" spans="1:8" x14ac:dyDescent="0.25">
      <c r="B11" s="119"/>
      <c r="C11" s="119"/>
      <c r="D11" s="119"/>
      <c r="E11" s="119"/>
      <c r="F11" s="119"/>
      <c r="G11" s="119"/>
    </row>
    <row r="12" spans="1:8" x14ac:dyDescent="0.25">
      <c r="B12" s="119"/>
      <c r="C12" s="119"/>
      <c r="D12" s="119"/>
      <c r="E12" s="119"/>
      <c r="F12" s="119"/>
      <c r="G12" s="119"/>
      <c r="H12" t="str">
        <f>IFERROR(VLOOKUP($A12,Worksheet!$A$5:$I$110,H$4,FALSE),"")</f>
        <v/>
      </c>
    </row>
    <row r="13" spans="1:8" x14ac:dyDescent="0.25">
      <c r="B13" s="119"/>
      <c r="C13" s="119"/>
      <c r="D13" s="119"/>
      <c r="E13" s="119"/>
      <c r="F13" s="119"/>
      <c r="G13" s="119"/>
      <c r="H13" t="str">
        <f>IFERROR(VLOOKUP($A13,Worksheet!$A$5:$I$110,H$4,FALSE),"")</f>
        <v/>
      </c>
    </row>
    <row r="14" spans="1:8" x14ac:dyDescent="0.25">
      <c r="B14" s="119"/>
      <c r="C14" s="119"/>
      <c r="D14" s="119"/>
      <c r="E14" s="119"/>
      <c r="F14" s="119"/>
      <c r="G14" s="119"/>
      <c r="H14" t="str">
        <f>IFERROR(VLOOKUP($A14,Worksheet!$A$5:$I$110,H$4,FALSE),"")</f>
        <v/>
      </c>
    </row>
    <row r="15" spans="1:8" x14ac:dyDescent="0.25">
      <c r="B15" s="119"/>
      <c r="C15" s="119"/>
      <c r="D15" s="119"/>
      <c r="E15" s="119"/>
      <c r="F15" s="119"/>
      <c r="G15" s="119"/>
      <c r="H15" t="str">
        <f>IFERROR(VLOOKUP($A15,Worksheet!$A$5:$I$110,H$4,FALSE),"")</f>
        <v/>
      </c>
    </row>
    <row r="16" spans="1:8" x14ac:dyDescent="0.25">
      <c r="B16" s="119"/>
      <c r="C16" s="119"/>
      <c r="D16" s="119"/>
      <c r="E16" s="119"/>
      <c r="F16" s="119"/>
      <c r="G16" s="119"/>
      <c r="H16" t="str">
        <f>IFERROR(VLOOKUP($A16,Worksheet!$A$5:$I$110,H$4,FALSE),"")</f>
        <v/>
      </c>
    </row>
    <row r="17" spans="2:8" x14ac:dyDescent="0.25">
      <c r="B17" s="119"/>
      <c r="C17" s="119"/>
      <c r="D17" s="119"/>
      <c r="E17" s="119"/>
      <c r="F17" s="119"/>
      <c r="G17" s="119"/>
    </row>
    <row r="18" spans="2:8" x14ac:dyDescent="0.25">
      <c r="B18" s="119"/>
      <c r="C18" s="119"/>
      <c r="D18" s="119"/>
      <c r="E18" s="119"/>
      <c r="F18" s="119"/>
      <c r="G18" s="119"/>
      <c r="H18" t="str">
        <f>IFERROR(VLOOKUP($A18,Worksheet!$A$5:$I$110,H$4,FALSE),"")</f>
        <v/>
      </c>
    </row>
    <row r="19" spans="2:8" x14ac:dyDescent="0.25">
      <c r="B19" s="119"/>
      <c r="C19" s="119"/>
      <c r="D19" s="119"/>
      <c r="E19" s="119"/>
      <c r="F19" s="119"/>
      <c r="G19" s="119"/>
      <c r="H19" t="str">
        <f>IFERROR(VLOOKUP($A19,Worksheet!$A$5:$I$110,H$4,FALSE),"")</f>
        <v/>
      </c>
    </row>
    <row r="20" spans="2:8" x14ac:dyDescent="0.25">
      <c r="B20" s="119"/>
      <c r="C20" s="119"/>
      <c r="D20" s="119"/>
      <c r="E20" s="119"/>
      <c r="F20" s="119"/>
      <c r="G20" s="119"/>
      <c r="H20" t="str">
        <f>IFERROR(VLOOKUP($A20,Worksheet!$A$5:$I$110,H$4,FALSE),"")</f>
        <v/>
      </c>
    </row>
    <row r="21" spans="2:8" x14ac:dyDescent="0.25">
      <c r="B21" s="119"/>
      <c r="C21" s="119"/>
      <c r="D21" s="119"/>
      <c r="E21" s="119"/>
      <c r="F21" s="119"/>
      <c r="G21" s="119"/>
    </row>
    <row r="22" spans="2:8" x14ac:dyDescent="0.25">
      <c r="B22" s="119"/>
      <c r="C22" s="119"/>
      <c r="D22" s="119"/>
      <c r="E22" s="119"/>
      <c r="F22" s="119"/>
      <c r="G22" s="119"/>
      <c r="H22" t="str">
        <f>IFERROR(VLOOKUP($A22,Worksheet!$A$5:$I$110,H$4,FALSE),"")</f>
        <v/>
      </c>
    </row>
    <row r="23" spans="2:8" x14ac:dyDescent="0.25">
      <c r="B23" s="119"/>
      <c r="C23" s="119"/>
      <c r="D23" s="119"/>
      <c r="E23" s="119"/>
      <c r="F23" s="119"/>
      <c r="G23" s="119"/>
    </row>
    <row r="24" spans="2:8" x14ac:dyDescent="0.25">
      <c r="B24" s="119"/>
      <c r="C24" s="119"/>
      <c r="D24" s="119"/>
      <c r="E24" s="119"/>
      <c r="F24" s="119"/>
      <c r="G24" s="119"/>
      <c r="H24" t="str">
        <f>IFERROR(VLOOKUP($A24,Worksheet!$A$5:$I$110,H$4,FALSE),"")</f>
        <v/>
      </c>
    </row>
    <row r="25" spans="2:8" x14ac:dyDescent="0.25">
      <c r="B25" s="119"/>
      <c r="C25" s="119"/>
      <c r="D25" s="119"/>
      <c r="E25" s="119"/>
      <c r="F25" s="119"/>
      <c r="G25" s="119"/>
      <c r="H25" t="str">
        <f>IFERROR(VLOOKUP($A25,Worksheet!$A$5:$I$110,H$4,FALSE),"")</f>
        <v/>
      </c>
    </row>
    <row r="26" spans="2:8" x14ac:dyDescent="0.25">
      <c r="B26" s="119"/>
      <c r="C26" s="119"/>
      <c r="D26" s="119"/>
      <c r="E26" s="119"/>
      <c r="F26" s="119"/>
      <c r="G26" s="119"/>
    </row>
    <row r="27" spans="2:8" x14ac:dyDescent="0.25">
      <c r="B27" s="119"/>
      <c r="C27" s="119"/>
      <c r="D27" s="119"/>
      <c r="E27" s="119"/>
      <c r="F27" s="119"/>
      <c r="G27" s="119"/>
      <c r="H27" t="str">
        <f>IFERROR(VLOOKUP($A27,Worksheet!$A$5:$I$110,H$4,FALSE),"")</f>
        <v/>
      </c>
    </row>
    <row r="28" spans="2:8" x14ac:dyDescent="0.25">
      <c r="B28" s="119"/>
      <c r="C28" s="119"/>
      <c r="D28" s="119"/>
      <c r="E28" s="119"/>
      <c r="F28" s="119"/>
      <c r="G28" s="119"/>
      <c r="H28" t="str">
        <f>IFERROR(VLOOKUP($A28,Worksheet!$A$5:$I$110,H$4,FALSE),"")</f>
        <v/>
      </c>
    </row>
    <row r="29" spans="2:8" x14ac:dyDescent="0.25">
      <c r="B29" s="119"/>
      <c r="C29" s="119"/>
      <c r="D29" s="119"/>
      <c r="E29" s="119"/>
      <c r="F29" s="119"/>
      <c r="G29" s="119"/>
      <c r="H29" t="str">
        <f>IFERROR(VLOOKUP($A29,Worksheet!$A$5:$I$110,H$4,FALSE),"")</f>
        <v/>
      </c>
    </row>
    <row r="30" spans="2:8" x14ac:dyDescent="0.25">
      <c r="B30" s="119"/>
      <c r="C30" s="119"/>
      <c r="D30" s="119"/>
      <c r="E30" s="119"/>
      <c r="F30" s="119"/>
      <c r="G30" s="119"/>
      <c r="H30" t="str">
        <f>IFERROR(VLOOKUP($A30,Worksheet!$A$5:$I$110,H$4,FALSE),"")</f>
        <v/>
      </c>
    </row>
    <row r="31" spans="2:8" x14ac:dyDescent="0.25">
      <c r="B31" s="119"/>
      <c r="C31" s="119"/>
      <c r="D31" s="119"/>
      <c r="E31" s="119"/>
      <c r="F31" s="119"/>
      <c r="G31" s="119"/>
      <c r="H31" t="str">
        <f>IFERROR(VLOOKUP($A31,Worksheet!$A$5:$I$110,H$4,FALSE),"")</f>
        <v/>
      </c>
    </row>
    <row r="32" spans="2:8" x14ac:dyDescent="0.25">
      <c r="B32" s="119"/>
      <c r="C32" s="119"/>
      <c r="D32" s="119"/>
      <c r="E32" s="119"/>
      <c r="F32" s="119"/>
      <c r="G32" s="119"/>
      <c r="H32" t="str">
        <f>IFERROR(VLOOKUP($A32,Worksheet!$A$5:$I$110,H$4,FALSE),"")</f>
        <v/>
      </c>
    </row>
    <row r="33" spans="2:8" x14ac:dyDescent="0.25">
      <c r="B33" s="119"/>
      <c r="C33" s="119"/>
      <c r="D33" s="119"/>
      <c r="E33" s="119"/>
      <c r="F33" s="119"/>
      <c r="G33" s="119"/>
      <c r="H33" t="str">
        <f>IFERROR(VLOOKUP($A33,Worksheet!$A$5:$I$110,H$4,FALSE),"")</f>
        <v/>
      </c>
    </row>
    <row r="34" spans="2:8" x14ac:dyDescent="0.25">
      <c r="B34" s="119"/>
      <c r="C34" s="119"/>
      <c r="D34" s="119"/>
      <c r="E34" s="119"/>
      <c r="F34" s="119"/>
      <c r="G34" s="119"/>
      <c r="H34" t="str">
        <f>IFERROR(VLOOKUP($A34,Worksheet!$A$5:$I$110,H$4,FALSE),"")</f>
        <v/>
      </c>
    </row>
    <row r="35" spans="2:8" x14ac:dyDescent="0.25">
      <c r="B35" s="119"/>
      <c r="C35" s="119"/>
      <c r="D35" s="119"/>
      <c r="E35" s="119"/>
      <c r="F35" s="119"/>
      <c r="G35" s="119"/>
    </row>
    <row r="36" spans="2:8" x14ac:dyDescent="0.25">
      <c r="B36" s="119"/>
      <c r="C36" s="119"/>
      <c r="D36" s="119"/>
      <c r="E36" s="119"/>
      <c r="F36" s="119"/>
      <c r="G36" s="119"/>
      <c r="H36" t="str">
        <f>IFERROR(VLOOKUP($A36,Worksheet!$A$5:$I$110,H$4,FALSE),"")</f>
        <v/>
      </c>
    </row>
    <row r="37" spans="2:8" x14ac:dyDescent="0.25">
      <c r="B37" s="119"/>
      <c r="C37" s="119"/>
      <c r="D37" s="119"/>
      <c r="E37" s="119"/>
      <c r="F37" s="119"/>
      <c r="G37" s="119"/>
      <c r="H37" t="str">
        <f>IFERROR(VLOOKUP($A37,Worksheet!$A$5:$I$110,H$4,FALSE),"")</f>
        <v/>
      </c>
    </row>
    <row r="38" spans="2:8" x14ac:dyDescent="0.25">
      <c r="B38" s="119"/>
      <c r="C38" s="119"/>
      <c r="D38" s="119"/>
      <c r="E38" s="119"/>
      <c r="F38" s="119"/>
      <c r="G38" s="119"/>
      <c r="H38" t="str">
        <f>IFERROR(VLOOKUP($A38,Worksheet!$A$5:$I$110,H$4,FALSE),"")</f>
        <v/>
      </c>
    </row>
    <row r="39" spans="2:8" x14ac:dyDescent="0.25">
      <c r="B39" s="119"/>
      <c r="C39" s="119"/>
      <c r="D39" s="119"/>
      <c r="E39" s="119"/>
      <c r="F39" s="119"/>
      <c r="G39" s="119"/>
      <c r="H39" t="str">
        <f>IFERROR(VLOOKUP($A39,Worksheet!$A$5:$I$110,H$4,FALSE),"")</f>
        <v/>
      </c>
    </row>
    <row r="40" spans="2:8" x14ac:dyDescent="0.25">
      <c r="B40" s="119"/>
      <c r="C40" s="119"/>
      <c r="D40" s="119"/>
      <c r="E40" s="119"/>
      <c r="F40" s="119"/>
      <c r="G40" s="119"/>
      <c r="H40" t="str">
        <f>IFERROR(VLOOKUP($A40,Worksheet!$A$5:$I$110,H$4,FALSE),"")</f>
        <v/>
      </c>
    </row>
    <row r="41" spans="2:8" x14ac:dyDescent="0.25">
      <c r="B41" s="119"/>
      <c r="C41" s="119"/>
      <c r="D41" s="119"/>
      <c r="E41" s="119"/>
      <c r="F41" s="119"/>
      <c r="G41" s="119"/>
      <c r="H41" t="str">
        <f>IFERROR(VLOOKUP($A41,Worksheet!$A$5:$I$110,H$4,FALSE),"")</f>
        <v/>
      </c>
    </row>
    <row r="42" spans="2:8" x14ac:dyDescent="0.25">
      <c r="B42" s="119"/>
      <c r="C42" s="119"/>
      <c r="D42" s="119"/>
      <c r="E42" s="119"/>
      <c r="F42" s="119"/>
      <c r="G42" s="119"/>
      <c r="H42" t="str">
        <f>IFERROR(VLOOKUP($A42,Worksheet!$A$5:$I$110,H$4,FALSE),"")</f>
        <v/>
      </c>
    </row>
    <row r="43" spans="2:8" x14ac:dyDescent="0.25">
      <c r="B43" s="119"/>
      <c r="C43" s="119"/>
      <c r="D43" s="119"/>
      <c r="E43" s="119"/>
      <c r="F43" s="119"/>
      <c r="G43" s="119"/>
      <c r="H43" t="str">
        <f>IFERROR(VLOOKUP($A43,Worksheet!$A$5:$I$110,H$4,FALSE),"")</f>
        <v/>
      </c>
    </row>
    <row r="44" spans="2:8" x14ac:dyDescent="0.25">
      <c r="B44" s="119"/>
      <c r="C44" s="119"/>
      <c r="D44" s="119"/>
      <c r="E44" s="119"/>
      <c r="F44" s="119"/>
      <c r="G44" s="119"/>
    </row>
    <row r="45" spans="2:8" x14ac:dyDescent="0.25">
      <c r="B45" s="119"/>
      <c r="C45" s="119"/>
      <c r="D45" s="119"/>
      <c r="E45" s="119"/>
      <c r="F45" s="119"/>
      <c r="G45" s="119"/>
      <c r="H45" t="str">
        <f>IFERROR(VLOOKUP($A45,Worksheet!$A$5:$I$110,H$4,FALSE),"")</f>
        <v/>
      </c>
    </row>
    <row r="46" spans="2:8" x14ac:dyDescent="0.25">
      <c r="B46" s="119"/>
      <c r="C46" s="119"/>
      <c r="D46" s="119"/>
      <c r="E46" s="119"/>
      <c r="F46" s="119"/>
      <c r="G46" s="119"/>
    </row>
    <row r="47" spans="2:8" x14ac:dyDescent="0.25">
      <c r="B47" s="119"/>
      <c r="C47" s="119"/>
      <c r="D47" s="119"/>
      <c r="E47" s="119"/>
      <c r="F47" s="119"/>
      <c r="G47" s="119"/>
    </row>
    <row r="48" spans="2:8" x14ac:dyDescent="0.25">
      <c r="B48" s="119"/>
      <c r="C48" s="119"/>
      <c r="D48" s="119"/>
      <c r="E48" s="119"/>
      <c r="F48" s="119"/>
      <c r="G48" s="119"/>
    </row>
  </sheetData>
  <mergeCells count="1">
    <mergeCell ref="C1:E1"/>
  </mergeCells>
  <pageMargins left="0.7" right="0.7" top="0.75" bottom="0.75" header="0.3" footer="0.3"/>
  <pageSetup scale="82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10"/>
  <sheetViews>
    <sheetView tabSelected="1" topLeftCell="F1" zoomScaleNormal="100" workbookViewId="0">
      <selection activeCell="AD6" sqref="AD6"/>
    </sheetView>
  </sheetViews>
  <sheetFormatPr defaultColWidth="9.28515625" defaultRowHeight="15" x14ac:dyDescent="0.25"/>
  <cols>
    <col min="1" max="1" width="10.7109375" style="108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0" customWidth="1"/>
    <col min="10" max="10" width="8.5703125" style="74" hidden="1" customWidth="1"/>
    <col min="11" max="11" width="6" style="52" customWidth="1"/>
    <col min="12" max="12" width="7.5703125" style="52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88" bestFit="1" customWidth="1"/>
    <col min="20" max="20" width="5.28515625" style="52" bestFit="1" customWidth="1"/>
    <col min="21" max="21" width="12.7109375" style="52" customWidth="1"/>
    <col min="22" max="22" width="10.5703125" style="52" bestFit="1" customWidth="1"/>
    <col min="23" max="23" width="8" style="52" customWidth="1"/>
    <col min="24" max="25" width="9.28515625" style="52"/>
    <col min="26" max="26" width="9.28515625" style="52" bestFit="1" customWidth="1"/>
    <col min="27" max="27" width="10.28515625" style="52" bestFit="1" customWidth="1"/>
    <col min="28" max="28" width="10.7109375" customWidth="1"/>
    <col min="29" max="29" width="11.28515625" customWidth="1"/>
    <col min="30" max="30" width="9.28515625" style="52" bestFit="1" customWidth="1"/>
    <col min="31" max="31" width="10.7109375" style="52" bestFit="1" customWidth="1"/>
    <col min="32" max="32" width="10.28515625" customWidth="1"/>
    <col min="33" max="33" width="9.140625" bestFit="1" customWidth="1"/>
    <col min="34" max="36" width="12" customWidth="1"/>
  </cols>
  <sheetData>
    <row r="1" spans="1:36" ht="18.75" x14ac:dyDescent="0.3">
      <c r="A1" s="104"/>
      <c r="B1" s="1"/>
      <c r="C1" s="2"/>
      <c r="D1" s="3" t="s">
        <v>20</v>
      </c>
      <c r="E1" s="2"/>
      <c r="F1" s="2" t="s">
        <v>61</v>
      </c>
      <c r="G1" s="2"/>
      <c r="H1" s="23"/>
      <c r="I1" s="45"/>
      <c r="J1" s="75"/>
      <c r="K1" s="42"/>
      <c r="L1" s="28"/>
      <c r="M1" s="124"/>
      <c r="N1" s="4"/>
      <c r="O1" s="5"/>
      <c r="P1" s="5"/>
      <c r="Q1" s="5"/>
      <c r="R1" s="5"/>
      <c r="S1" s="86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</row>
    <row r="2" spans="1:36" ht="18" x14ac:dyDescent="0.25">
      <c r="A2" s="105"/>
      <c r="B2" s="10"/>
      <c r="C2" s="122" t="s">
        <v>62</v>
      </c>
      <c r="D2" s="123"/>
      <c r="E2" s="123"/>
      <c r="F2" s="43"/>
      <c r="G2" s="11"/>
      <c r="H2" s="24"/>
      <c r="I2" s="46"/>
      <c r="J2" s="73"/>
      <c r="K2" s="40"/>
      <c r="L2" s="29"/>
      <c r="M2" s="124"/>
      <c r="N2" s="12"/>
      <c r="O2" s="5"/>
      <c r="P2" s="5"/>
      <c r="Q2" s="5"/>
      <c r="R2" s="5"/>
      <c r="S2" s="86"/>
      <c r="T2" s="7"/>
      <c r="U2" s="89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</row>
    <row r="3" spans="1:36" ht="16.5" customHeight="1" thickBot="1" x14ac:dyDescent="0.3">
      <c r="A3" s="105"/>
      <c r="B3" s="10"/>
      <c r="C3" s="13"/>
      <c r="D3" s="14"/>
      <c r="E3" s="82"/>
      <c r="F3" s="66"/>
      <c r="G3" s="15"/>
      <c r="H3" s="24"/>
      <c r="I3" s="46"/>
      <c r="J3" s="73"/>
      <c r="K3" s="81"/>
      <c r="L3" s="29"/>
      <c r="M3" s="49"/>
      <c r="N3" s="5"/>
      <c r="O3" s="5"/>
      <c r="P3" s="5"/>
      <c r="Q3" s="5"/>
      <c r="R3" s="5"/>
      <c r="S3" s="86"/>
      <c r="T3" s="7"/>
      <c r="U3" s="90"/>
      <c r="V3" s="26"/>
      <c r="W3" s="7"/>
      <c r="X3" s="8"/>
      <c r="Y3" s="7"/>
      <c r="Z3" s="7" t="s">
        <v>1672</v>
      </c>
      <c r="AA3" s="7"/>
      <c r="AB3" s="7"/>
      <c r="AC3" s="7"/>
      <c r="AD3" s="7" t="s">
        <v>11</v>
      </c>
      <c r="AE3" s="7"/>
      <c r="AF3" s="6"/>
    </row>
    <row r="4" spans="1:36" ht="15.75" x14ac:dyDescent="0.25">
      <c r="A4" s="105"/>
      <c r="B4" s="1"/>
      <c r="C4" s="14"/>
      <c r="E4" s="14"/>
      <c r="F4" s="14"/>
      <c r="G4" s="14"/>
      <c r="H4" s="24"/>
      <c r="I4" s="46"/>
      <c r="J4" s="73"/>
      <c r="K4" s="40"/>
      <c r="L4" s="29"/>
      <c r="M4" s="16"/>
      <c r="N4" s="72" t="s">
        <v>2183</v>
      </c>
      <c r="O4" s="5"/>
      <c r="P4" s="5"/>
      <c r="Q4" s="5"/>
      <c r="R4" s="5"/>
      <c r="S4" s="94"/>
      <c r="T4" s="95"/>
      <c r="U4" s="125" t="s">
        <v>27</v>
      </c>
      <c r="V4" s="91"/>
      <c r="W4" s="95"/>
      <c r="X4" s="95"/>
      <c r="Y4" s="96"/>
      <c r="Z4" s="7" t="s">
        <v>60</v>
      </c>
      <c r="AA4" s="7"/>
      <c r="AB4" s="7"/>
      <c r="AC4" s="7"/>
      <c r="AD4" s="17"/>
      <c r="AE4" s="17"/>
      <c r="AF4" s="6"/>
    </row>
    <row r="5" spans="1:36" ht="39" customHeight="1" x14ac:dyDescent="0.25">
      <c r="A5" s="106" t="s">
        <v>2185</v>
      </c>
      <c r="B5" s="109" t="s">
        <v>29</v>
      </c>
      <c r="C5" s="110" t="s">
        <v>18</v>
      </c>
      <c r="D5" s="111" t="s">
        <v>30</v>
      </c>
      <c r="E5" s="110" t="s">
        <v>31</v>
      </c>
      <c r="F5" s="110" t="s">
        <v>32</v>
      </c>
      <c r="G5" s="110" t="s">
        <v>33</v>
      </c>
      <c r="H5" s="112" t="s">
        <v>34</v>
      </c>
      <c r="I5" s="47" t="s">
        <v>95</v>
      </c>
      <c r="J5" s="76" t="s">
        <v>0</v>
      </c>
      <c r="K5" s="31" t="s">
        <v>48</v>
      </c>
      <c r="L5" s="30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92" t="s">
        <v>111</v>
      </c>
      <c r="T5" s="93" t="s">
        <v>112</v>
      </c>
      <c r="U5" s="126"/>
      <c r="V5" s="83" t="s">
        <v>28</v>
      </c>
      <c r="W5" s="97" t="s">
        <v>18</v>
      </c>
      <c r="X5" s="93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98" t="s">
        <v>17</v>
      </c>
      <c r="AE5" s="83" t="s">
        <v>42</v>
      </c>
      <c r="AF5" s="103"/>
      <c r="AG5" s="25"/>
      <c r="AH5" s="44"/>
      <c r="AI5" s="25"/>
      <c r="AJ5" s="25"/>
    </row>
    <row r="6" spans="1:36" x14ac:dyDescent="0.25">
      <c r="A6" s="107" t="e" cm="1">
        <f t="array" ref="A6">IfEmpty(TRIM(_xlfn.CONCAT(C6:H6)),"",CRC32HASH(_xlfn.CONCAT(C6:H6)))</f>
        <v>#VALUE!</v>
      </c>
      <c r="B6" s="10" t="str">
        <f>IFERROR(VLOOKUP(J6,Items[],2,FALSE),"")</f>
        <v/>
      </c>
      <c r="C6" s="32" t="e" cm="1">
        <f t="array" ref="C6">W6 &amp; " " &amp; IfEmpty(U6,#REF!)</f>
        <v>#REF!</v>
      </c>
      <c r="D6" s="41" t="e">
        <f>IF(OR(#REF!="°C",#REF!= "°F"), Z6 &amp; " " &amp;#REF!, IF(RIGHT(#REF!,2)="Hz", AF6 &amp; " @ " &amp; Z6 &amp; " " &amp;#REF!, Z6 &amp;#REF! &amp; " " &amp; AF6))</f>
        <v>#REF!</v>
      </c>
      <c r="E6" s="55" t="str">
        <f>IFERROR(TEXT(ROUND(AVERAGE(N6:R6),-LOG10(V6)),"0." &amp; REPT("0",-LOG10(V6))) &amp;#REF!,"")</f>
        <v/>
      </c>
      <c r="F6" s="39" t="str">
        <f>IF(AB6="","",AB6 &amp;#REF!)</f>
        <v/>
      </c>
      <c r="G6" s="39" t="str">
        <f>IF(AC6="","",AC6 &amp;#REF!)</f>
        <v/>
      </c>
      <c r="H6" s="33" t="str" cm="1">
        <f t="array" ref="H6:J6">IFERROR(CalcUnc(K6,L6,S6,T6,V6,X6,AD6,AE6,N6:R6,Z6,AA6),"")</f>
        <v/>
      </c>
      <c r="I6" s="48" t="str">
        <v/>
      </c>
      <c r="J6" s="77" t="str">
        <v/>
      </c>
      <c r="K6" s="53"/>
      <c r="L6" s="54"/>
      <c r="M6" s="22"/>
      <c r="N6" s="50"/>
      <c r="O6" s="51"/>
      <c r="P6" s="51"/>
      <c r="Q6" s="84"/>
      <c r="R6" s="84"/>
      <c r="S6" s="87"/>
      <c r="T6" s="99"/>
      <c r="U6" s="57"/>
      <c r="V6" s="58"/>
      <c r="W6" s="59"/>
      <c r="X6" s="101"/>
      <c r="Y6" s="127" t="str" cm="1">
        <f t="array" ref="Y6">GetPolarity(X6,AE6)</f>
        <v/>
      </c>
      <c r="Z6" s="60"/>
      <c r="AA6" s="61"/>
      <c r="AB6" s="71" t="str">
        <f t="shared" ref="AB6" si="0">IF(V6&lt;&gt;"",ROUND(Z6-AA6,-LOG10(V6)),"")</f>
        <v/>
      </c>
      <c r="AC6" s="71" t="str">
        <f t="shared" ref="AC6" si="1">IF(V6&lt;&gt;"",ROUND(Z6+AA6,-LOG10(V6)),"")</f>
        <v/>
      </c>
      <c r="AD6" s="64"/>
      <c r="AE6" s="65"/>
      <c r="AF6" s="21" t="str">
        <f>IF(RIGHT(AE6,2)="Hz","@ ","")&amp;AD6&amp;AE6</f>
        <v/>
      </c>
    </row>
    <row r="7" spans="1:36" x14ac:dyDescent="0.25">
      <c r="A7" s="107" t="e" cm="1">
        <f t="array" ref="A7">IfEmpty(TRIM(_xlfn.CONCAT(C7:H7)),"",CRC32HASH(_xlfn.CONCAT(C7:H7)))</f>
        <v>#VALUE!</v>
      </c>
      <c r="B7" s="37" t="str">
        <f>IFERROR(VLOOKUP(J7,Items[],2,FALSE),"")</f>
        <v/>
      </c>
      <c r="C7" s="34" t="e" cm="1">
        <f t="array" ref="C7">W7 &amp; " " &amp; IfEmpty(U7,#REF!)</f>
        <v>#REF!</v>
      </c>
      <c r="D7" s="35" t="e">
        <f>IF(OR(#REF!="°C",#REF!= "°F"), Z7 &amp; " " &amp;#REF!, IF(RIGHT(#REF!,2)="Hz", AF7 &amp; " @ " &amp; Z7 &amp; " " &amp;#REF!, Z7 &amp;#REF! &amp; " " &amp; AF7))</f>
        <v>#REF!</v>
      </c>
      <c r="E7" s="56" t="str">
        <f>IFERROR(TEXT(ROUND(AVERAGE(N7:R7),-LOG10(V7)),"0." &amp; REPT("0",-LOG10(V7))) &amp;#REF!,"")</f>
        <v/>
      </c>
      <c r="F7" s="40" t="str">
        <f>IF(AB7="","",AB7 &amp;#REF!)</f>
        <v/>
      </c>
      <c r="G7" s="40" t="str">
        <f>IF(AC7="","",AC7 &amp;#REF!)</f>
        <v/>
      </c>
      <c r="H7" s="36" t="str" cm="1">
        <f t="array" ref="H7:J7">IFERROR(CalcUnc(K7,L7,S7,T7,V7,X7,AD7,AE7,N7:R7,Z7,AA7),"")</f>
        <v/>
      </c>
      <c r="I7" s="48" t="str">
        <v/>
      </c>
      <c r="J7" s="77" t="str">
        <v/>
      </c>
      <c r="K7" s="53"/>
      <c r="L7" s="54"/>
      <c r="M7" s="22"/>
      <c r="N7" s="50"/>
      <c r="O7" s="51"/>
      <c r="P7" s="51"/>
      <c r="Q7" s="84"/>
      <c r="R7" s="84"/>
      <c r="S7" s="87"/>
      <c r="T7" s="100"/>
      <c r="U7" s="57"/>
      <c r="V7" s="58"/>
      <c r="W7" s="59"/>
      <c r="X7" s="102"/>
      <c r="Y7" s="127" t="str" cm="1">
        <f t="array" ref="Y7">GetPolarity(X7,AE7)</f>
        <v/>
      </c>
      <c r="Z7" s="60"/>
      <c r="AA7" s="61"/>
      <c r="AB7" s="71" t="str">
        <f t="shared" ref="AB7:AB37" si="2">IF(V7&lt;&gt;"",ROUND(Z7-AA7,-LOG10(V7)),"")</f>
        <v/>
      </c>
      <c r="AC7" s="71" t="str">
        <f t="shared" ref="AC7:AC37" si="3">IF(V7&lt;&gt;"",ROUND(Z7+AA7,-LOG10(V7)),"")</f>
        <v/>
      </c>
      <c r="AD7" s="64"/>
      <c r="AE7" s="65"/>
      <c r="AF7" s="21" t="str">
        <f t="shared" ref="AF7:AF70" si="4">IF(RIGHT(AE7,2)="Hz","@ ","")&amp;AD7&amp;AE7</f>
        <v/>
      </c>
    </row>
    <row r="8" spans="1:36" x14ac:dyDescent="0.25">
      <c r="A8" s="107" t="e" cm="1">
        <f t="array" ref="A8">IfEmpty(TRIM(_xlfn.CONCAT(C8:H8)),"",CRC32HASH(_xlfn.CONCAT(C8:H8)))</f>
        <v>#VALUE!</v>
      </c>
      <c r="B8" s="10" t="str">
        <f>IFERROR(VLOOKUP(J8,Items[],2,FALSE),"")</f>
        <v/>
      </c>
      <c r="C8" s="32" t="e" cm="1">
        <f t="array" ref="C8">W8 &amp; " " &amp; IfEmpty(U8,#REF!)</f>
        <v>#REF!</v>
      </c>
      <c r="D8" s="41" t="e">
        <f>IF(OR(#REF!="°C",#REF!= "°F"), Z8 &amp; " " &amp;#REF!, IF(RIGHT(#REF!,2)="Hz", AF8 &amp; " @ " &amp; Z8 &amp; " " &amp;#REF!, Z8 &amp;#REF! &amp; " " &amp; AF8))</f>
        <v>#REF!</v>
      </c>
      <c r="E8" s="55" t="str">
        <f>IFERROR(TEXT(ROUND(AVERAGE(N8:R8),-LOG10(V8)),"0." &amp; REPT("0",-LOG10(V8))) &amp;#REF!,"")</f>
        <v/>
      </c>
      <c r="F8" s="39" t="str">
        <f>IF(AB8="","",AB8 &amp;#REF!)</f>
        <v/>
      </c>
      <c r="G8" s="39" t="str">
        <f>IF(AC8="","",AC8 &amp;#REF!)</f>
        <v/>
      </c>
      <c r="H8" s="33" t="str" cm="1">
        <f t="array" ref="H8:J8">IFERROR(CalcUnc(K8,L8,S8,T8,V8,X8,AD8,AE8,N8:R8,Z8,AA8),"")</f>
        <v/>
      </c>
      <c r="I8" s="48" t="str">
        <v/>
      </c>
      <c r="J8" s="77" t="str">
        <v/>
      </c>
      <c r="K8" s="53"/>
      <c r="L8" s="54"/>
      <c r="M8" s="22"/>
      <c r="N8" s="50"/>
      <c r="O8" s="51"/>
      <c r="P8" s="51"/>
      <c r="Q8" s="84"/>
      <c r="R8" s="84"/>
      <c r="S8" s="87"/>
      <c r="T8" s="100"/>
      <c r="U8" s="57"/>
      <c r="V8" s="58"/>
      <c r="W8" s="59"/>
      <c r="X8" s="102"/>
      <c r="Y8" s="127" t="str" cm="1">
        <f t="array" ref="Y8">GetPolarity(X8,AE8)</f>
        <v/>
      </c>
      <c r="Z8" s="60"/>
      <c r="AA8" s="61"/>
      <c r="AB8" s="71" t="str">
        <f t="shared" si="2"/>
        <v/>
      </c>
      <c r="AC8" s="71" t="str">
        <f t="shared" si="3"/>
        <v/>
      </c>
      <c r="AD8" s="64"/>
      <c r="AE8" s="65"/>
      <c r="AF8" s="21" t="str">
        <f t="shared" si="4"/>
        <v/>
      </c>
    </row>
    <row r="9" spans="1:36" x14ac:dyDescent="0.25">
      <c r="A9" s="107" t="e" cm="1">
        <f t="array" ref="A9">IfEmpty(TRIM(_xlfn.CONCAT(C9:H9)),"",CRC32HASH(_xlfn.CONCAT(C9:H9)))</f>
        <v>#VALUE!</v>
      </c>
      <c r="B9" s="37" t="str">
        <f>IFERROR(VLOOKUP(J9,Items[],2,FALSE),"")</f>
        <v/>
      </c>
      <c r="C9" s="34" t="e" cm="1">
        <f t="array" ref="C9">W9 &amp; " " &amp; IfEmpty(U9,#REF!)</f>
        <v>#REF!</v>
      </c>
      <c r="D9" s="35" t="e">
        <f>IF(OR(#REF!="°C",#REF!= "°F"), Z9 &amp; " " &amp;#REF!, IF(RIGHT(#REF!,2)="Hz", AF9 &amp; " @ " &amp; Z9 &amp; " " &amp;#REF!, Z9 &amp;#REF! &amp; " " &amp; AF9))</f>
        <v>#REF!</v>
      </c>
      <c r="E9" s="56" t="str">
        <f>IFERROR(TEXT(ROUND(AVERAGE(N9:R9),-LOG10(V9)),"0." &amp; REPT("0",-LOG10(V9))) &amp;#REF!,"")</f>
        <v/>
      </c>
      <c r="F9" s="40" t="str">
        <f>IF(AB9="","",AB9 &amp;#REF!)</f>
        <v/>
      </c>
      <c r="G9" s="40" t="str">
        <f>IF(AC9="","",AC9 &amp;#REF!)</f>
        <v/>
      </c>
      <c r="H9" s="36" t="str" cm="1">
        <f t="array" ref="H9:J9">IFERROR(CalcUnc(K9,L9,S9,T9,V9,X9,AD9,AE9,N9:R9,Z9,AA9),"")</f>
        <v/>
      </c>
      <c r="I9" s="48" t="str">
        <v/>
      </c>
      <c r="J9" s="77" t="str">
        <v/>
      </c>
      <c r="K9" s="53"/>
      <c r="L9" s="54"/>
      <c r="M9" s="22"/>
      <c r="N9" s="50"/>
      <c r="O9" s="51"/>
      <c r="P9" s="51"/>
      <c r="Q9" s="84"/>
      <c r="R9" s="84"/>
      <c r="S9" s="87"/>
      <c r="T9" s="100"/>
      <c r="U9" s="57"/>
      <c r="V9" s="58"/>
      <c r="W9" s="59"/>
      <c r="X9" s="102"/>
      <c r="Y9" s="127" t="str" cm="1">
        <f t="array" ref="Y9">GetPolarity(X9,AE9)</f>
        <v/>
      </c>
      <c r="Z9" s="60"/>
      <c r="AA9" s="61"/>
      <c r="AB9" s="71" t="str">
        <f t="shared" si="2"/>
        <v/>
      </c>
      <c r="AC9" s="71" t="str">
        <f t="shared" si="3"/>
        <v/>
      </c>
      <c r="AD9" s="64"/>
      <c r="AE9" s="65"/>
      <c r="AF9" s="21" t="str">
        <f t="shared" si="4"/>
        <v/>
      </c>
    </row>
    <row r="10" spans="1:36" x14ac:dyDescent="0.25">
      <c r="A10" s="107" t="e" cm="1">
        <f t="array" ref="A10">IfEmpty(TRIM(_xlfn.CONCAT(C10:H10)),"",CRC32HASH(_xlfn.CONCAT(C10:H10)))</f>
        <v>#VALUE!</v>
      </c>
      <c r="B10" s="10" t="str">
        <f>IFERROR(VLOOKUP(J10,Items[],2,FALSE),"")</f>
        <v/>
      </c>
      <c r="C10" s="32" t="e" cm="1">
        <f t="array" ref="C10">W10 &amp; " " &amp; IfEmpty(U10,#REF!)</f>
        <v>#REF!</v>
      </c>
      <c r="D10" s="41" t="e">
        <f>IF(OR(#REF!="°C",#REF!= "°F"), Z10 &amp; " " &amp;#REF!, IF(RIGHT(#REF!,2)="Hz", AF10 &amp; " @ " &amp; Z10 &amp; " " &amp;#REF!, Z10 &amp;#REF! &amp; " " &amp; AF10))</f>
        <v>#REF!</v>
      </c>
      <c r="E10" s="55" t="str">
        <f>IFERROR(TEXT(ROUND(AVERAGE(N10:R10),-LOG10(V10)),"0." &amp; REPT("0",-LOG10(V10))) &amp;#REF!,"")</f>
        <v/>
      </c>
      <c r="F10" s="39" t="str">
        <f>IF(AB10="","",AB10 &amp;#REF!)</f>
        <v/>
      </c>
      <c r="G10" s="39" t="str">
        <f>IF(AC10="","",AC10 &amp;#REF!)</f>
        <v/>
      </c>
      <c r="H10" s="33" t="str" cm="1">
        <f t="array" ref="H10:J10">IFERROR(CalcUnc(K10,L10,S10,T10,V10,X10,AD10,AE10,N10:R10,Z10,AA10),"")</f>
        <v/>
      </c>
      <c r="I10" s="48" t="str">
        <v/>
      </c>
      <c r="J10" s="77" t="str">
        <v/>
      </c>
      <c r="K10" s="53"/>
      <c r="L10" s="54"/>
      <c r="M10" s="22"/>
      <c r="N10" s="50"/>
      <c r="O10" s="51"/>
      <c r="P10" s="51"/>
      <c r="Q10" s="84"/>
      <c r="R10" s="84"/>
      <c r="S10" s="87"/>
      <c r="T10" s="100"/>
      <c r="U10" s="57"/>
      <c r="V10" s="58"/>
      <c r="W10" s="59"/>
      <c r="X10" s="102"/>
      <c r="Y10" s="127" t="str" cm="1">
        <f t="array" ref="Y10">GetPolarity(X10,AE10)</f>
        <v/>
      </c>
      <c r="Z10" s="60"/>
      <c r="AA10" s="61"/>
      <c r="AB10" s="71" t="str">
        <f t="shared" si="2"/>
        <v/>
      </c>
      <c r="AC10" s="71" t="str">
        <f t="shared" si="3"/>
        <v/>
      </c>
      <c r="AD10" s="64"/>
      <c r="AE10" s="65"/>
      <c r="AF10" s="21" t="str">
        <f t="shared" si="4"/>
        <v/>
      </c>
    </row>
    <row r="11" spans="1:36" x14ac:dyDescent="0.25">
      <c r="A11" s="107" t="e" cm="1">
        <f t="array" ref="A11">IfEmpty(TRIM(_xlfn.CONCAT(C11:H11)),"",CRC32HASH(_xlfn.CONCAT(C11:H11)))</f>
        <v>#VALUE!</v>
      </c>
      <c r="B11" s="37" t="str">
        <f>IFERROR(VLOOKUP(J11,Items[],2,FALSE),"")</f>
        <v/>
      </c>
      <c r="C11" s="34" t="e" cm="1">
        <f t="array" ref="C11">W11 &amp; " " &amp; IfEmpty(U11,#REF!)</f>
        <v>#REF!</v>
      </c>
      <c r="D11" s="35" t="e">
        <f>IF(OR(#REF!="°C",#REF!= "°F"), Z11 &amp; " " &amp;#REF!, IF(RIGHT(#REF!,2)="Hz", AF11 &amp; " @ " &amp; Z11 &amp; " " &amp;#REF!, Z11 &amp;#REF! &amp; " " &amp; AF11))</f>
        <v>#REF!</v>
      </c>
      <c r="E11" s="56" t="str">
        <f>IFERROR(TEXT(ROUND(AVERAGE(N11:R11),-LOG10(V11)),"0." &amp; REPT("0",-LOG10(V11))) &amp;#REF!,"")</f>
        <v/>
      </c>
      <c r="F11" s="40" t="str">
        <f>IF(AB11="","",AB11 &amp;#REF!)</f>
        <v/>
      </c>
      <c r="G11" s="40" t="str">
        <f>IF(AC11="","",AC11 &amp;#REF!)</f>
        <v/>
      </c>
      <c r="H11" s="36" t="str" cm="1">
        <f t="array" ref="H11:J11">IFERROR(CalcUnc(K11,L11,S11,T11,V11,X11,AD11,AE11,N11:R11,Z11,AA11),"")</f>
        <v/>
      </c>
      <c r="I11" s="48" t="str">
        <v/>
      </c>
      <c r="J11" s="77" t="str">
        <v/>
      </c>
      <c r="K11" s="53"/>
      <c r="L11" s="54"/>
      <c r="M11" s="22"/>
      <c r="N11" s="50"/>
      <c r="O11" s="51"/>
      <c r="P11" s="51"/>
      <c r="Q11" s="84"/>
      <c r="R11" s="84"/>
      <c r="S11" s="87"/>
      <c r="T11" s="100"/>
      <c r="U11" s="57"/>
      <c r="V11" s="58"/>
      <c r="W11" s="59"/>
      <c r="X11" s="102"/>
      <c r="Y11" s="127" t="str" cm="1">
        <f t="array" ref="Y11">GetPolarity(X11,AE11)</f>
        <v/>
      </c>
      <c r="Z11" s="60"/>
      <c r="AA11" s="61"/>
      <c r="AB11" s="71" t="str">
        <f t="shared" si="2"/>
        <v/>
      </c>
      <c r="AC11" s="71" t="str">
        <f t="shared" si="3"/>
        <v/>
      </c>
      <c r="AD11" s="64"/>
      <c r="AE11" s="65"/>
      <c r="AF11" s="21" t="str">
        <f t="shared" si="4"/>
        <v/>
      </c>
    </row>
    <row r="12" spans="1:36" x14ac:dyDescent="0.25">
      <c r="A12" s="107" t="e" cm="1">
        <f t="array" ref="A12">IfEmpty(TRIM(_xlfn.CONCAT(C12:H12)),"",CRC32HASH(_xlfn.CONCAT(C12:H12)))</f>
        <v>#VALUE!</v>
      </c>
      <c r="B12" s="10" t="str">
        <f>IFERROR(VLOOKUP(J12,Items[],2,FALSE),"")</f>
        <v/>
      </c>
      <c r="C12" s="32" t="e" cm="1">
        <f t="array" ref="C12">W12 &amp; " " &amp; IfEmpty(U12,#REF!)</f>
        <v>#REF!</v>
      </c>
      <c r="D12" s="41" t="e">
        <f>IF(OR(#REF!="°C",#REF!= "°F"), Z12 &amp; " " &amp;#REF!, IF(RIGHT(#REF!,2)="Hz", AF12 &amp; " @ " &amp; Z12 &amp; " " &amp;#REF!, Z12 &amp;#REF! &amp; " " &amp; AF12))</f>
        <v>#REF!</v>
      </c>
      <c r="E12" s="55" t="str">
        <f>IFERROR(TEXT(ROUND(AVERAGE(N12:R12),-LOG10(V12)),"0." &amp; REPT("0",-LOG10(V12))) &amp;#REF!,"")</f>
        <v/>
      </c>
      <c r="F12" s="39" t="str">
        <f>IF(AB12="","",AB12 &amp;#REF!)</f>
        <v/>
      </c>
      <c r="G12" s="39" t="str">
        <f>IF(AC12="","",AC12 &amp;#REF!)</f>
        <v/>
      </c>
      <c r="H12" s="33" t="str" cm="1">
        <f t="array" ref="H12:J12">IFERROR(CalcUnc(K12,L12,S12,T12,V12,X12,AD12,AE12,N12:R12,Z12,AA12),"")</f>
        <v/>
      </c>
      <c r="I12" s="48" t="str">
        <v/>
      </c>
      <c r="J12" s="77" t="str">
        <v/>
      </c>
      <c r="K12" s="53"/>
      <c r="L12" s="54"/>
      <c r="M12" s="22"/>
      <c r="N12" s="50"/>
      <c r="O12" s="50"/>
      <c r="P12" s="51"/>
      <c r="Q12" s="84"/>
      <c r="R12" s="84"/>
      <c r="S12" s="87"/>
      <c r="T12" s="100"/>
      <c r="U12" s="57"/>
      <c r="V12" s="58"/>
      <c r="W12" s="59"/>
      <c r="X12" s="102"/>
      <c r="Y12" s="127" t="str" cm="1">
        <f t="array" ref="Y12">GetPolarity(X12,AE12)</f>
        <v/>
      </c>
      <c r="Z12" s="60"/>
      <c r="AA12" s="61"/>
      <c r="AB12" s="71" t="str">
        <f t="shared" si="2"/>
        <v/>
      </c>
      <c r="AC12" s="71" t="str">
        <f t="shared" si="3"/>
        <v/>
      </c>
      <c r="AD12" s="64"/>
      <c r="AE12" s="65"/>
      <c r="AF12" s="21" t="str">
        <f t="shared" si="4"/>
        <v/>
      </c>
    </row>
    <row r="13" spans="1:36" x14ac:dyDescent="0.25">
      <c r="A13" s="107" t="e" cm="1">
        <f t="array" ref="A13">IfEmpty(TRIM(_xlfn.CONCAT(C13:H13)),"",CRC32HASH(_xlfn.CONCAT(C13:H13)))</f>
        <v>#VALUE!</v>
      </c>
      <c r="B13" s="37" t="str">
        <f>IFERROR(VLOOKUP(J13,Items[],2,FALSE),"")</f>
        <v/>
      </c>
      <c r="C13" s="34" t="e" cm="1">
        <f t="array" ref="C13">W13 &amp; " " &amp; IfEmpty(U13,#REF!)</f>
        <v>#REF!</v>
      </c>
      <c r="D13" s="35" t="e">
        <f>IF(OR(#REF!="°C",#REF!= "°F"), Z13 &amp; " " &amp;#REF!, IF(RIGHT(#REF!,2)="Hz", AF13 &amp; " @ " &amp; Z13 &amp; " " &amp;#REF!, Z13 &amp;#REF! &amp; " " &amp; AF13))</f>
        <v>#REF!</v>
      </c>
      <c r="E13" s="56" t="str">
        <f>IFERROR(TEXT(ROUND(AVERAGE(N13:R13),-LOG10(V13)),"0." &amp; REPT("0",-LOG10(V13))) &amp;#REF!,"")</f>
        <v/>
      </c>
      <c r="F13" s="40" t="str">
        <f>IF(AB13="","",AB13 &amp;#REF!)</f>
        <v/>
      </c>
      <c r="G13" s="40" t="str">
        <f>IF(AC13="","",AC13 &amp;#REF!)</f>
        <v/>
      </c>
      <c r="H13" s="36" t="str" cm="1">
        <f t="array" ref="H13:J13">IFERROR(CalcUnc(K13,L13,S13,T13,V13,X13,AD13,AE13,N13:R13,Z13,AA13),"")</f>
        <v/>
      </c>
      <c r="I13" s="48" t="str">
        <v/>
      </c>
      <c r="J13" s="77" t="str">
        <v/>
      </c>
      <c r="K13" s="53"/>
      <c r="L13" s="54"/>
      <c r="M13" s="22"/>
      <c r="N13" s="50"/>
      <c r="O13" s="51"/>
      <c r="P13" s="51"/>
      <c r="Q13" s="84"/>
      <c r="R13" s="84"/>
      <c r="S13" s="87"/>
      <c r="T13" s="100"/>
      <c r="U13" s="57"/>
      <c r="V13" s="58"/>
      <c r="W13" s="59"/>
      <c r="X13" s="102"/>
      <c r="Y13" s="127" t="str" cm="1">
        <f t="array" ref="Y13">GetPolarity(X13,AE13)</f>
        <v/>
      </c>
      <c r="Z13" s="60"/>
      <c r="AA13" s="59"/>
      <c r="AB13" s="71" t="str">
        <f t="shared" si="2"/>
        <v/>
      </c>
      <c r="AC13" s="71" t="str">
        <f t="shared" si="3"/>
        <v/>
      </c>
      <c r="AD13" s="60"/>
      <c r="AE13" s="59"/>
      <c r="AF13" s="21" t="str">
        <f t="shared" si="4"/>
        <v/>
      </c>
    </row>
    <row r="14" spans="1:36" x14ac:dyDescent="0.25">
      <c r="A14" s="107" t="e" cm="1">
        <f t="array" ref="A14">IfEmpty(TRIM(_xlfn.CONCAT(C14:H14)),"",CRC32HASH(_xlfn.CONCAT(C14:H14)))</f>
        <v>#VALUE!</v>
      </c>
      <c r="B14" s="10" t="str">
        <f>IFERROR(VLOOKUP(J14,Items[],2,FALSE),"")</f>
        <v/>
      </c>
      <c r="C14" s="32" t="e" cm="1">
        <f t="array" ref="C14">W14 &amp; " " &amp; IfEmpty(U14,#REF!)</f>
        <v>#REF!</v>
      </c>
      <c r="D14" s="41" t="e">
        <f>IF(OR(#REF!="°C",#REF!= "°F"), Z14 &amp; " " &amp;#REF!, IF(RIGHT(#REF!,2)="Hz", AF14 &amp; " @ " &amp; Z14 &amp; " " &amp;#REF!, Z14 &amp;#REF! &amp; " " &amp; AF14))</f>
        <v>#REF!</v>
      </c>
      <c r="E14" s="55" t="str">
        <f>IFERROR(TEXT(ROUND(AVERAGE(N14:R14),-LOG10(V14)),"0." &amp; REPT("0",-LOG10(V14))) &amp;#REF!,"")</f>
        <v/>
      </c>
      <c r="F14" s="39" t="str">
        <f>IF(AB14="","",AB14 &amp;#REF!)</f>
        <v/>
      </c>
      <c r="G14" s="39" t="str">
        <f>IF(AC14="","",AC14 &amp;#REF!)</f>
        <v/>
      </c>
      <c r="H14" s="33" t="str" cm="1">
        <f t="array" ref="H14:J14">IFERROR(CalcUnc(K14,L14,S14,T14,V14,X14,AD14,AE14,N14:R14,Z14,AA14),"")</f>
        <v/>
      </c>
      <c r="I14" s="48" t="str">
        <v/>
      </c>
      <c r="J14" s="77" t="str">
        <v/>
      </c>
      <c r="K14" s="53"/>
      <c r="L14" s="54"/>
      <c r="M14" s="22"/>
      <c r="N14" s="50"/>
      <c r="O14" s="51"/>
      <c r="P14" s="51"/>
      <c r="Q14" s="84"/>
      <c r="R14" s="84"/>
      <c r="S14" s="87"/>
      <c r="T14" s="100"/>
      <c r="U14" s="57"/>
      <c r="V14" s="58"/>
      <c r="W14" s="59"/>
      <c r="X14" s="102"/>
      <c r="Y14" s="127" t="str" cm="1">
        <f t="array" ref="Y14">GetPolarity(X14,AE14)</f>
        <v/>
      </c>
      <c r="Z14" s="60"/>
      <c r="AA14" s="59"/>
      <c r="AB14" s="71" t="str">
        <f t="shared" si="2"/>
        <v/>
      </c>
      <c r="AC14" s="71" t="str">
        <f t="shared" si="3"/>
        <v/>
      </c>
      <c r="AD14" s="60"/>
      <c r="AE14" s="59"/>
      <c r="AF14" s="21" t="str">
        <f t="shared" si="4"/>
        <v/>
      </c>
    </row>
    <row r="15" spans="1:36" x14ac:dyDescent="0.25">
      <c r="A15" s="107" t="e" cm="1">
        <f t="array" ref="A15">IfEmpty(TRIM(_xlfn.CONCAT(C15:H15)),"",CRC32HASH(_xlfn.CONCAT(C15:H15)))</f>
        <v>#VALUE!</v>
      </c>
      <c r="B15" s="37" t="str">
        <f>IFERROR(VLOOKUP(J15,Items[],2,FALSE),"")</f>
        <v/>
      </c>
      <c r="C15" s="34" t="e" cm="1">
        <f t="array" ref="C15">W15 &amp; " " &amp; IfEmpty(U15,#REF!)</f>
        <v>#REF!</v>
      </c>
      <c r="D15" s="35" t="e">
        <f>IF(OR(#REF!="°C",#REF!= "°F"), Z15 &amp; " " &amp;#REF!, IF(RIGHT(#REF!,2)="Hz", AF15 &amp; " @ " &amp; Z15 &amp; " " &amp;#REF!, Z15 &amp;#REF! &amp; " " &amp; AF15))</f>
        <v>#REF!</v>
      </c>
      <c r="E15" s="56" t="str">
        <f>IFERROR(TEXT(ROUND(AVERAGE(N15:R15),-LOG10(V15)),"0." &amp; REPT("0",-LOG10(V15))) &amp;#REF!,"")</f>
        <v/>
      </c>
      <c r="F15" s="40" t="str">
        <f>IF(AB15="","",AB15 &amp;#REF!)</f>
        <v/>
      </c>
      <c r="G15" s="40" t="str">
        <f>IF(AC15="","",AC15 &amp;#REF!)</f>
        <v/>
      </c>
      <c r="H15" s="36" t="str" cm="1">
        <f t="array" ref="H15:J15">IFERROR(CalcUnc(K15,L15,S15,T15,V15,X15,AD15,AE15,N15:R15,Z15,AA15),"")</f>
        <v/>
      </c>
      <c r="I15" s="48" t="str">
        <v/>
      </c>
      <c r="J15" s="77" t="str">
        <v/>
      </c>
      <c r="K15" s="53"/>
      <c r="L15" s="54"/>
      <c r="M15" s="22"/>
      <c r="N15" s="50"/>
      <c r="O15" s="51"/>
      <c r="P15" s="51"/>
      <c r="Q15" s="84"/>
      <c r="R15" s="84"/>
      <c r="S15" s="87"/>
      <c r="T15" s="100"/>
      <c r="U15" s="57"/>
      <c r="V15" s="58"/>
      <c r="W15" s="59"/>
      <c r="X15" s="102"/>
      <c r="Y15" s="127" t="str" cm="1">
        <f t="array" ref="Y15">GetPolarity(X15,AE15)</f>
        <v/>
      </c>
      <c r="Z15" s="60"/>
      <c r="AA15" s="59"/>
      <c r="AB15" s="71" t="str">
        <f t="shared" si="2"/>
        <v/>
      </c>
      <c r="AC15" s="71" t="str">
        <f t="shared" si="3"/>
        <v/>
      </c>
      <c r="AD15" s="60"/>
      <c r="AE15" s="59"/>
      <c r="AF15" s="21" t="str">
        <f t="shared" si="4"/>
        <v/>
      </c>
      <c r="AG15" s="38"/>
    </row>
    <row r="16" spans="1:36" x14ac:dyDescent="0.25">
      <c r="A16" s="107" t="e" cm="1">
        <f t="array" ref="A16">IfEmpty(TRIM(_xlfn.CONCAT(C16:H16)),"",CRC32HASH(_xlfn.CONCAT(C16:H16)))</f>
        <v>#VALUE!</v>
      </c>
      <c r="B16" s="10" t="str">
        <f>IFERROR(VLOOKUP(J16,Items[],2,FALSE),"")</f>
        <v/>
      </c>
      <c r="C16" s="32" t="e" cm="1">
        <f t="array" ref="C16">W16 &amp; " " &amp; IfEmpty(U16,#REF!)</f>
        <v>#REF!</v>
      </c>
      <c r="D16" s="41" t="e">
        <f>IF(OR(#REF!="°C",#REF!= "°F"), Z16 &amp; " " &amp;#REF!, IF(RIGHT(#REF!,2)="Hz", AF16 &amp; " @ " &amp; Z16 &amp; " " &amp;#REF!, Z16 &amp;#REF! &amp; " " &amp; AF16))</f>
        <v>#REF!</v>
      </c>
      <c r="E16" s="55" t="str">
        <f>IFERROR(TEXT(ROUND(AVERAGE(N16:R16),-LOG10(V16)),"0." &amp; REPT("0",-LOG10(V16))) &amp;#REF!,"")</f>
        <v/>
      </c>
      <c r="F16" s="39" t="str">
        <f>IF(AB16="","",AB16 &amp;#REF!)</f>
        <v/>
      </c>
      <c r="G16" s="39" t="str">
        <f>IF(AC16="","",AC16 &amp;#REF!)</f>
        <v/>
      </c>
      <c r="H16" s="33" t="str" cm="1">
        <f t="array" ref="H16:J16">IFERROR(CalcUnc(K16,L16,S16,T16,V16,X16,AD16,AE16,N16:R16,Z16,AA16),"")</f>
        <v/>
      </c>
      <c r="I16" s="48" t="str">
        <v/>
      </c>
      <c r="J16" s="77" t="str">
        <v/>
      </c>
      <c r="K16" s="53"/>
      <c r="L16" s="54"/>
      <c r="M16" s="22"/>
      <c r="N16" s="50"/>
      <c r="O16" s="51"/>
      <c r="P16" s="51"/>
      <c r="Q16" s="84"/>
      <c r="R16" s="84"/>
      <c r="S16" s="87"/>
      <c r="T16" s="100"/>
      <c r="U16" s="57"/>
      <c r="V16" s="58"/>
      <c r="W16" s="59"/>
      <c r="X16" s="102"/>
      <c r="Y16" s="127" t="str" cm="1">
        <f t="array" ref="Y16">GetPolarity(X16,AE16)</f>
        <v/>
      </c>
      <c r="Z16" s="60"/>
      <c r="AA16" s="59"/>
      <c r="AB16" s="71" t="str">
        <f t="shared" si="2"/>
        <v/>
      </c>
      <c r="AC16" s="71" t="str">
        <f t="shared" si="3"/>
        <v/>
      </c>
      <c r="AD16" s="60"/>
      <c r="AE16" s="59"/>
      <c r="AF16" s="21" t="str">
        <f t="shared" si="4"/>
        <v/>
      </c>
      <c r="AG16" s="38"/>
    </row>
    <row r="17" spans="1:33" x14ac:dyDescent="0.25">
      <c r="A17" s="107" t="e" cm="1">
        <f t="array" ref="A17">IfEmpty(TRIM(_xlfn.CONCAT(C17:H17)),"",CRC32HASH(_xlfn.CONCAT(C17:H17)))</f>
        <v>#VALUE!</v>
      </c>
      <c r="B17" s="37" t="str">
        <f>IFERROR(VLOOKUP(J17,Items[],2,FALSE),"")</f>
        <v/>
      </c>
      <c r="C17" s="34" t="e" cm="1">
        <f t="array" ref="C17">W17 &amp; " " &amp; IfEmpty(U17,#REF!)</f>
        <v>#REF!</v>
      </c>
      <c r="D17" s="35" t="e">
        <f>IF(OR(#REF!="°C",#REF!= "°F"), Z17 &amp; " " &amp;#REF!, IF(RIGHT(#REF!,2)="Hz", AF17 &amp; " @ " &amp; Z17 &amp; " " &amp;#REF!, Z17 &amp;#REF! &amp; " " &amp; AF17))</f>
        <v>#REF!</v>
      </c>
      <c r="E17" s="56" t="str">
        <f>IFERROR(TEXT(ROUND(AVERAGE(N17:R17),-LOG10(V17)),"0." &amp; REPT("0",-LOG10(V17))) &amp;#REF!,"")</f>
        <v/>
      </c>
      <c r="F17" s="40" t="str">
        <f>IF(AB17="","",AB17 &amp;#REF!)</f>
        <v/>
      </c>
      <c r="G17" s="40" t="str">
        <f>IF(AC17="","",AC17 &amp;#REF!)</f>
        <v/>
      </c>
      <c r="H17" s="36" t="str" cm="1">
        <f t="array" ref="H17:J17">IFERROR(CalcUnc(K17,L17,S17,T17,V17,X17,AD17,AE17,N17:R17,Z17,AA17),"")</f>
        <v/>
      </c>
      <c r="I17" s="48" t="str">
        <v/>
      </c>
      <c r="J17" s="77" t="str">
        <v/>
      </c>
      <c r="K17" s="53"/>
      <c r="L17" s="54"/>
      <c r="M17" s="22"/>
      <c r="N17" s="50"/>
      <c r="O17" s="51"/>
      <c r="P17" s="51"/>
      <c r="Q17" s="84"/>
      <c r="R17" s="84"/>
      <c r="S17" s="87"/>
      <c r="T17" s="100"/>
      <c r="U17" s="57"/>
      <c r="V17" s="57"/>
      <c r="W17" s="59"/>
      <c r="X17" s="102"/>
      <c r="Y17" s="127" t="str" cm="1">
        <f t="array" ref="Y17">GetPolarity(X17,AE17)</f>
        <v/>
      </c>
      <c r="Z17" s="60"/>
      <c r="AA17" s="59"/>
      <c r="AB17" s="71" t="str">
        <f t="shared" si="2"/>
        <v/>
      </c>
      <c r="AC17" s="71" t="str">
        <f t="shared" si="3"/>
        <v/>
      </c>
      <c r="AD17" s="60"/>
      <c r="AE17" s="59"/>
      <c r="AF17" s="21" t="str">
        <f t="shared" si="4"/>
        <v/>
      </c>
    </row>
    <row r="18" spans="1:33" x14ac:dyDescent="0.25">
      <c r="A18" s="107" t="e" cm="1">
        <f t="array" ref="A18">IfEmpty(TRIM(_xlfn.CONCAT(C18:H18)),"",CRC32HASH(_xlfn.CONCAT(C18:H18)))</f>
        <v>#VALUE!</v>
      </c>
      <c r="B18" s="10" t="str">
        <f>IFERROR(VLOOKUP(J18,Items[],2,FALSE),"")</f>
        <v/>
      </c>
      <c r="C18" s="32" t="e" cm="1">
        <f t="array" ref="C18">W18 &amp; " " &amp; IfEmpty(U18,#REF!)</f>
        <v>#REF!</v>
      </c>
      <c r="D18" s="41" t="e">
        <f>IF(OR(#REF!="°C",#REF!= "°F"), Z18 &amp; " " &amp;#REF!, IF(RIGHT(#REF!,2)="Hz", AF18 &amp; " @ " &amp; Z18 &amp; " " &amp;#REF!, Z18 &amp;#REF! &amp; " " &amp; AF18))</f>
        <v>#REF!</v>
      </c>
      <c r="E18" s="55" t="str">
        <f>IFERROR(TEXT(ROUND(AVERAGE(N18:R18),-LOG10(V18)),"0." &amp; REPT("0",-LOG10(V18))) &amp;#REF!,"")</f>
        <v/>
      </c>
      <c r="F18" s="39" t="str">
        <f>IF(AB18="","",AB18 &amp;#REF!)</f>
        <v/>
      </c>
      <c r="G18" s="39" t="str">
        <f>IF(AC18="","",AC18 &amp;#REF!)</f>
        <v/>
      </c>
      <c r="H18" s="33" t="str" cm="1">
        <f t="array" ref="H18:J18">IFERROR(CalcUnc(K18,L18,S18,T18,V18,X18,AD18,AE18,N18:R18,Z18,AA18),"")</f>
        <v/>
      </c>
      <c r="I18" s="48" t="str">
        <v/>
      </c>
      <c r="J18" s="77" t="str">
        <v/>
      </c>
      <c r="K18" s="53"/>
      <c r="L18" s="54"/>
      <c r="M18" s="22"/>
      <c r="N18" s="50"/>
      <c r="O18" s="51"/>
      <c r="P18" s="51"/>
      <c r="Q18" s="84"/>
      <c r="R18" s="84"/>
      <c r="S18" s="87"/>
      <c r="T18" s="100"/>
      <c r="U18" s="57"/>
      <c r="V18" s="58"/>
      <c r="W18" s="59"/>
      <c r="X18" s="102"/>
      <c r="Y18" s="127" t="str" cm="1">
        <f t="array" ref="Y18">GetPolarity(X18,AE18)</f>
        <v/>
      </c>
      <c r="Z18" s="60"/>
      <c r="AA18" s="59"/>
      <c r="AB18" s="71" t="str">
        <f t="shared" si="2"/>
        <v/>
      </c>
      <c r="AC18" s="71" t="str">
        <f t="shared" si="3"/>
        <v/>
      </c>
      <c r="AD18" s="60"/>
      <c r="AE18" s="59"/>
      <c r="AF18" s="21" t="str">
        <f t="shared" si="4"/>
        <v/>
      </c>
    </row>
    <row r="19" spans="1:33" x14ac:dyDescent="0.25">
      <c r="A19" s="107" t="e" cm="1">
        <f t="array" ref="A19">IfEmpty(TRIM(_xlfn.CONCAT(C19:H19)),"",CRC32HASH(_xlfn.CONCAT(C19:H19)))</f>
        <v>#VALUE!</v>
      </c>
      <c r="B19" s="37" t="str">
        <f>IFERROR(VLOOKUP(J19,Items[],2,FALSE),"")</f>
        <v/>
      </c>
      <c r="C19" s="34" t="e" cm="1">
        <f t="array" ref="C19">W19 &amp; " " &amp; IfEmpty(U19,#REF!)</f>
        <v>#REF!</v>
      </c>
      <c r="D19" s="35" t="e">
        <f>IF(OR(#REF!="°C",#REF!= "°F"), Z19 &amp; " " &amp;#REF!, IF(RIGHT(#REF!,2)="Hz", AF19 &amp; " @ " &amp; Z19 &amp; " " &amp;#REF!, Z19 &amp;#REF! &amp; " " &amp; AF19))</f>
        <v>#REF!</v>
      </c>
      <c r="E19" s="56" t="str">
        <f>IFERROR(TEXT(ROUND(AVERAGE(N19:R19),-LOG10(V19)),"0." &amp; REPT("0",-LOG10(V19))) &amp;#REF!,"")</f>
        <v/>
      </c>
      <c r="F19" s="40" t="str">
        <f>IF(AB19="","",AB19 &amp;#REF!)</f>
        <v/>
      </c>
      <c r="G19" s="40" t="str">
        <f>IF(AC19="","",AC19 &amp;#REF!)</f>
        <v/>
      </c>
      <c r="H19" s="36" t="str" cm="1">
        <f t="array" ref="H19:J19">IFERROR(CalcUnc(K19,L19,S19,T19,V19,X19,AD19,AE19,N19:R19,Z19,AA19),"")</f>
        <v/>
      </c>
      <c r="I19" s="48" t="str">
        <v/>
      </c>
      <c r="J19" s="77" t="str">
        <v/>
      </c>
      <c r="K19" s="53"/>
      <c r="L19" s="54"/>
      <c r="M19" s="22"/>
      <c r="N19" s="50"/>
      <c r="O19" s="51"/>
      <c r="P19" s="51"/>
      <c r="Q19" s="84"/>
      <c r="R19" s="84"/>
      <c r="S19" s="87"/>
      <c r="T19" s="100"/>
      <c r="U19" s="57"/>
      <c r="V19" s="58"/>
      <c r="W19" s="59"/>
      <c r="X19" s="102"/>
      <c r="Y19" s="127" t="str" cm="1">
        <f t="array" ref="Y19">GetPolarity(X19,AE19)</f>
        <v/>
      </c>
      <c r="Z19" s="60"/>
      <c r="AA19" s="59"/>
      <c r="AB19" s="71" t="str">
        <f t="shared" si="2"/>
        <v/>
      </c>
      <c r="AC19" s="71" t="str">
        <f t="shared" si="3"/>
        <v/>
      </c>
      <c r="AD19" s="60"/>
      <c r="AE19" s="59"/>
      <c r="AF19" s="21" t="str">
        <f t="shared" si="4"/>
        <v/>
      </c>
    </row>
    <row r="20" spans="1:33" x14ac:dyDescent="0.25">
      <c r="A20" s="107" t="e" cm="1">
        <f t="array" ref="A20">IfEmpty(TRIM(_xlfn.CONCAT(C20:H20)),"",CRC32HASH(_xlfn.CONCAT(C20:H20)))</f>
        <v>#VALUE!</v>
      </c>
      <c r="B20" s="10" t="str">
        <f>IFERROR(VLOOKUP(J20,Items[],2,FALSE),"")</f>
        <v/>
      </c>
      <c r="C20" s="32" t="e" cm="1">
        <f t="array" ref="C20">W20 &amp; " " &amp; IfEmpty(U20,#REF!)</f>
        <v>#REF!</v>
      </c>
      <c r="D20" s="41" t="e">
        <f>IF(OR(#REF!="°C",#REF!= "°F"), Z20 &amp; " " &amp;#REF!, IF(RIGHT(#REF!,2)="Hz", AF20 &amp; " @ " &amp; Z20 &amp; " " &amp;#REF!, Z20 &amp;#REF! &amp; " " &amp; AF20))</f>
        <v>#REF!</v>
      </c>
      <c r="E20" s="55" t="str">
        <f>IFERROR(TEXT(ROUND(AVERAGE(N20:R20),-LOG10(V20)),"0." &amp; REPT("0",-LOG10(V20))) &amp;#REF!,"")</f>
        <v/>
      </c>
      <c r="F20" s="39" t="str">
        <f>IF(AB20="","",AB20 &amp;#REF!)</f>
        <v/>
      </c>
      <c r="G20" s="39" t="str">
        <f>IF(AC20="","",AC20 &amp;#REF!)</f>
        <v/>
      </c>
      <c r="H20" s="33" t="str" cm="1">
        <f t="array" ref="H20:J20">IFERROR(CalcUnc(K20,L20,S20,T20,V20,X20,AD20,AE20,N20:R20,Z20,AA20),"")</f>
        <v/>
      </c>
      <c r="I20" s="48" t="str">
        <v/>
      </c>
      <c r="J20" s="77" t="str">
        <v/>
      </c>
      <c r="K20" s="53"/>
      <c r="L20" s="54"/>
      <c r="M20" s="22"/>
      <c r="N20" s="50"/>
      <c r="O20" s="51"/>
      <c r="P20" s="51"/>
      <c r="Q20" s="84"/>
      <c r="R20" s="84"/>
      <c r="S20" s="87"/>
      <c r="T20" s="100"/>
      <c r="U20" s="57"/>
      <c r="V20" s="58"/>
      <c r="W20" s="59"/>
      <c r="X20" s="102"/>
      <c r="Y20" s="127" t="str" cm="1">
        <f t="array" ref="Y20">GetPolarity(X20,AE20)</f>
        <v/>
      </c>
      <c r="Z20" s="60"/>
      <c r="AA20" s="59"/>
      <c r="AB20" s="71" t="str">
        <f t="shared" si="2"/>
        <v/>
      </c>
      <c r="AC20" s="71" t="str">
        <f t="shared" si="3"/>
        <v/>
      </c>
      <c r="AD20" s="60"/>
      <c r="AE20" s="59"/>
      <c r="AF20" s="21" t="str">
        <f t="shared" si="4"/>
        <v/>
      </c>
    </row>
    <row r="21" spans="1:33" x14ac:dyDescent="0.25">
      <c r="A21" s="107" t="e" cm="1">
        <f t="array" ref="A21">IfEmpty(TRIM(_xlfn.CONCAT(C21:H21)),"",CRC32HASH(_xlfn.CONCAT(C21:H21)))</f>
        <v>#VALUE!</v>
      </c>
      <c r="B21" s="37" t="str">
        <f>IFERROR(VLOOKUP(J21,Items[],2,FALSE),"")</f>
        <v/>
      </c>
      <c r="C21" s="34" t="e" cm="1">
        <f t="array" ref="C21">W21 &amp; " " &amp; IfEmpty(U21,#REF!)</f>
        <v>#REF!</v>
      </c>
      <c r="D21" s="35" t="e">
        <f>IF(OR(#REF!="°C",#REF!= "°F"), Z21 &amp; " " &amp;#REF!, IF(RIGHT(#REF!,2)="Hz", AF21 &amp; " @ " &amp; Z21 &amp; " " &amp;#REF!, Z21 &amp;#REF! &amp; " " &amp; AF21))</f>
        <v>#REF!</v>
      </c>
      <c r="E21" s="56" t="str">
        <f>IFERROR(TEXT(ROUND(AVERAGE(N21:R21),-LOG10(V21)),"0." &amp; REPT("0",-LOG10(V21))) &amp;#REF!,"")</f>
        <v/>
      </c>
      <c r="F21" s="40" t="str">
        <f>IF(AB21="","",AB21 &amp;#REF!)</f>
        <v/>
      </c>
      <c r="G21" s="40" t="str">
        <f>IF(AC21="","",AC21 &amp;#REF!)</f>
        <v/>
      </c>
      <c r="H21" s="36" t="str" cm="1">
        <f t="array" ref="H21:J21">IFERROR(CalcUnc(K21,L21,S21,T21,V21,X21,AD21,AE21,N21:R21,Z21,AA21),"")</f>
        <v/>
      </c>
      <c r="I21" s="48" t="str">
        <v/>
      </c>
      <c r="J21" s="77" t="str">
        <v/>
      </c>
      <c r="K21" s="53"/>
      <c r="L21" s="54"/>
      <c r="M21" s="22"/>
      <c r="N21" s="50"/>
      <c r="O21" s="51"/>
      <c r="P21" s="51"/>
      <c r="Q21" s="84"/>
      <c r="R21" s="84"/>
      <c r="S21" s="87"/>
      <c r="T21" s="100"/>
      <c r="U21" s="57"/>
      <c r="V21" s="58"/>
      <c r="W21" s="59"/>
      <c r="X21" s="102"/>
      <c r="Y21" s="127" t="str" cm="1">
        <f t="array" ref="Y21">GetPolarity(X21,AE21)</f>
        <v/>
      </c>
      <c r="Z21" s="60"/>
      <c r="AA21" s="59"/>
      <c r="AB21" s="71" t="str">
        <f t="shared" si="2"/>
        <v/>
      </c>
      <c r="AC21" s="71" t="str">
        <f t="shared" si="3"/>
        <v/>
      </c>
      <c r="AD21" s="60"/>
      <c r="AE21" s="59"/>
      <c r="AF21" s="21" t="str">
        <f t="shared" si="4"/>
        <v/>
      </c>
      <c r="AG21" s="38"/>
    </row>
    <row r="22" spans="1:33" x14ac:dyDescent="0.25">
      <c r="A22" s="107" t="e" cm="1">
        <f t="array" ref="A22">IfEmpty(TRIM(_xlfn.CONCAT(C22:H22)),"",CRC32HASH(_xlfn.CONCAT(C22:H22)))</f>
        <v>#VALUE!</v>
      </c>
      <c r="B22" s="10" t="str">
        <f>IFERROR(VLOOKUP(J22,Items[],2,FALSE),"")</f>
        <v/>
      </c>
      <c r="C22" s="32" t="e" cm="1">
        <f t="array" ref="C22">W22 &amp; " " &amp; IfEmpty(U22,#REF!)</f>
        <v>#REF!</v>
      </c>
      <c r="D22" s="41" t="e">
        <f>IF(OR(#REF!="°C",#REF!= "°F"), Z22 &amp; " " &amp;#REF!, IF(RIGHT(#REF!,2)="Hz", AF22 &amp; " @ " &amp; Z22 &amp; " " &amp;#REF!, Z22 &amp;#REF! &amp; " " &amp; AF22))</f>
        <v>#REF!</v>
      </c>
      <c r="E22" s="55" t="str">
        <f>IFERROR(TEXT(ROUND(AVERAGE(N22:R22),-LOG10(V22)),"0." &amp; REPT("0",-LOG10(V22))) &amp;#REF!,"")</f>
        <v/>
      </c>
      <c r="F22" s="39" t="str">
        <f>IF(AB22="","",AB22 &amp;#REF!)</f>
        <v/>
      </c>
      <c r="G22" s="39" t="str">
        <f>IF(AC22="","",AC22 &amp;#REF!)</f>
        <v/>
      </c>
      <c r="H22" s="33" t="str" cm="1">
        <f t="array" ref="H22:J22">IFERROR(CalcUnc(K22,L22,S22,T22,V22,X22,AD22,AE22,N22:R22,Z22,AA22),"")</f>
        <v/>
      </c>
      <c r="I22" s="48" t="str">
        <v/>
      </c>
      <c r="J22" s="77" t="str">
        <v/>
      </c>
      <c r="K22" s="53"/>
      <c r="L22" s="54"/>
      <c r="M22" s="22"/>
      <c r="N22" s="50"/>
      <c r="O22" s="51"/>
      <c r="P22" s="51"/>
      <c r="Q22" s="84"/>
      <c r="R22" s="84"/>
      <c r="S22" s="87"/>
      <c r="T22" s="100"/>
      <c r="U22" s="57"/>
      <c r="V22" s="58"/>
      <c r="W22" s="59"/>
      <c r="X22" s="102"/>
      <c r="Y22" s="127" t="str" cm="1">
        <f t="array" ref="Y22">GetPolarity(X22,AE22)</f>
        <v/>
      </c>
      <c r="Z22" s="60"/>
      <c r="AA22" s="59"/>
      <c r="AB22" s="71" t="str">
        <f t="shared" si="2"/>
        <v/>
      </c>
      <c r="AC22" s="71" t="str">
        <f t="shared" si="3"/>
        <v/>
      </c>
      <c r="AD22" s="60"/>
      <c r="AE22" s="59"/>
      <c r="AF22" s="21" t="str">
        <f t="shared" si="4"/>
        <v/>
      </c>
      <c r="AG22" s="38"/>
    </row>
    <row r="23" spans="1:33" x14ac:dyDescent="0.25">
      <c r="A23" s="107" t="e" cm="1">
        <f t="array" ref="A23">IfEmpty(TRIM(_xlfn.CONCAT(C23:H23)),"",CRC32HASH(_xlfn.CONCAT(C23:H23)))</f>
        <v>#VALUE!</v>
      </c>
      <c r="B23" s="37" t="str">
        <f>IFERROR(VLOOKUP(J23,Items[],2,FALSE),"")</f>
        <v/>
      </c>
      <c r="C23" s="34" t="e" cm="1">
        <f t="array" ref="C23">W23 &amp; " " &amp; IfEmpty(U23,#REF!)</f>
        <v>#REF!</v>
      </c>
      <c r="D23" s="35" t="e">
        <f>IF(OR(#REF!="°C",#REF!= "°F"), Z23 &amp; " " &amp;#REF!, IF(RIGHT(#REF!,2)="Hz", AF23 &amp; " @ " &amp; Z23 &amp; " " &amp;#REF!, Z23 &amp;#REF! &amp; " " &amp; AF23))</f>
        <v>#REF!</v>
      </c>
      <c r="E23" s="56" t="str">
        <f>IFERROR(TEXT(ROUND(AVERAGE(N23:R23),-LOG10(V23)),"0." &amp; REPT("0",-LOG10(V23))) &amp;#REF!,"")</f>
        <v/>
      </c>
      <c r="F23" s="40" t="str">
        <f>IF(AB23="","",AB23 &amp;#REF!)</f>
        <v/>
      </c>
      <c r="G23" s="40" t="str">
        <f>IF(AC23="","",AC23 &amp;#REF!)</f>
        <v/>
      </c>
      <c r="H23" s="36" t="str" cm="1">
        <f t="array" ref="H23:J23">IFERROR(CalcUnc(K23,L23,S23,T23,V23,X23,AD23,AE23,N23:R23,Z23,AA23),"")</f>
        <v/>
      </c>
      <c r="I23" s="48" t="str">
        <v/>
      </c>
      <c r="J23" s="77" t="str">
        <v/>
      </c>
      <c r="K23" s="53"/>
      <c r="L23" s="54"/>
      <c r="M23" s="22"/>
      <c r="N23" s="50"/>
      <c r="O23" s="51"/>
      <c r="P23" s="51"/>
      <c r="Q23" s="84"/>
      <c r="R23" s="84"/>
      <c r="S23" s="87"/>
      <c r="T23" s="100"/>
      <c r="U23" s="57"/>
      <c r="V23" s="58"/>
      <c r="W23" s="59"/>
      <c r="X23" s="102"/>
      <c r="Y23" s="127" t="str" cm="1">
        <f t="array" ref="Y23">GetPolarity(X23,AE23)</f>
        <v/>
      </c>
      <c r="Z23" s="60"/>
      <c r="AA23" s="59"/>
      <c r="AB23" s="71" t="str">
        <f t="shared" si="2"/>
        <v/>
      </c>
      <c r="AC23" s="71" t="str">
        <f t="shared" si="3"/>
        <v/>
      </c>
      <c r="AD23" s="60"/>
      <c r="AE23" s="59"/>
      <c r="AF23" s="21" t="str">
        <f t="shared" si="4"/>
        <v/>
      </c>
    </row>
    <row r="24" spans="1:33" x14ac:dyDescent="0.25">
      <c r="A24" s="107" t="e" cm="1">
        <f t="array" ref="A24">IfEmpty(TRIM(_xlfn.CONCAT(C24:H24)),"",CRC32HASH(_xlfn.CONCAT(C24:H24)))</f>
        <v>#VALUE!</v>
      </c>
      <c r="B24" s="10" t="str">
        <f>IFERROR(VLOOKUP(J24,Items[],2,FALSE),"")</f>
        <v/>
      </c>
      <c r="C24" s="32" t="e" cm="1">
        <f t="array" ref="C24">W24 &amp; " " &amp; IfEmpty(U24,#REF!)</f>
        <v>#REF!</v>
      </c>
      <c r="D24" s="41" t="e">
        <f>IF(OR(#REF!="°C",#REF!= "°F"), Z24 &amp; " " &amp;#REF!, IF(RIGHT(#REF!,2)="Hz", AF24 &amp; " @ " &amp; Z24 &amp; " " &amp;#REF!, Z24 &amp;#REF! &amp; " " &amp; AF24))</f>
        <v>#REF!</v>
      </c>
      <c r="E24" s="55" t="str">
        <f>IFERROR(TEXT(ROUND(AVERAGE(N24:R24),-LOG10(V24)),"0." &amp; REPT("0",-LOG10(V24))) &amp;#REF!,"")</f>
        <v/>
      </c>
      <c r="F24" s="39" t="str">
        <f>IF(AB24="","",AB24 &amp;#REF!)</f>
        <v/>
      </c>
      <c r="G24" s="39" t="str">
        <f>IF(AC24="","",AC24 &amp;#REF!)</f>
        <v/>
      </c>
      <c r="H24" s="33" t="str" cm="1">
        <f t="array" ref="H24:J24">IFERROR(CalcUnc(K24,L24,S24,T24,V24,X24,AD24,AE24,N24:R24,Z24,AA24),"")</f>
        <v/>
      </c>
      <c r="I24" s="48" t="str">
        <v/>
      </c>
      <c r="J24" s="77" t="str">
        <v/>
      </c>
      <c r="K24" s="53"/>
      <c r="L24" s="54"/>
      <c r="M24" s="22"/>
      <c r="N24" s="50"/>
      <c r="O24" s="51"/>
      <c r="P24" s="51"/>
      <c r="Q24" s="84"/>
      <c r="R24" s="84"/>
      <c r="S24" s="87"/>
      <c r="T24" s="100"/>
      <c r="U24" s="57"/>
      <c r="V24" s="58"/>
      <c r="W24" s="59"/>
      <c r="X24" s="102"/>
      <c r="Y24" s="127" t="str" cm="1">
        <f t="array" ref="Y24">GetPolarity(X24,AE24)</f>
        <v/>
      </c>
      <c r="Z24" s="60"/>
      <c r="AA24" s="59"/>
      <c r="AB24" s="71" t="str">
        <f t="shared" si="2"/>
        <v/>
      </c>
      <c r="AC24" s="71" t="str">
        <f t="shared" si="3"/>
        <v/>
      </c>
      <c r="AD24" s="60"/>
      <c r="AE24" s="59"/>
      <c r="AF24" s="21" t="str">
        <f t="shared" si="4"/>
        <v/>
      </c>
    </row>
    <row r="25" spans="1:33" x14ac:dyDescent="0.25">
      <c r="A25" s="107" t="e" cm="1">
        <f t="array" ref="A25">IfEmpty(TRIM(_xlfn.CONCAT(C25:H25)),"",CRC32HASH(_xlfn.CONCAT(C25:H25)))</f>
        <v>#VALUE!</v>
      </c>
      <c r="B25" s="37" t="str">
        <f>IFERROR(VLOOKUP(J25,Items[],2,FALSE),"")</f>
        <v/>
      </c>
      <c r="C25" s="34" t="e" cm="1">
        <f t="array" ref="C25">W25 &amp; " " &amp; IfEmpty(U25,#REF!)</f>
        <v>#REF!</v>
      </c>
      <c r="D25" s="35" t="e">
        <f>IF(OR(#REF!="°C",#REF!= "°F"), Z25 &amp; " " &amp;#REF!, IF(RIGHT(#REF!,2)="Hz", AF25 &amp; " @ " &amp; Z25 &amp; " " &amp;#REF!, Z25 &amp;#REF! &amp; " " &amp; AF25))</f>
        <v>#REF!</v>
      </c>
      <c r="E25" s="56" t="str">
        <f>IFERROR(TEXT(ROUND(AVERAGE(N25:R25),-LOG10(V25)),"0." &amp; REPT("0",-LOG10(V25))) &amp;#REF!,"")</f>
        <v/>
      </c>
      <c r="F25" s="40" t="str">
        <f>IF(AB25="","",AB25 &amp;#REF!)</f>
        <v/>
      </c>
      <c r="G25" s="40" t="str">
        <f>IF(AC25="","",AC25 &amp;#REF!)</f>
        <v/>
      </c>
      <c r="H25" s="36" t="str" cm="1">
        <f t="array" ref="H25:J25">IFERROR(CalcUnc(K25,L25,S25,T25,V25,X25,AD25,AE25,N25:R25,Z25,AA25),"")</f>
        <v/>
      </c>
      <c r="I25" s="48" t="str">
        <v/>
      </c>
      <c r="J25" s="77" t="str">
        <v/>
      </c>
      <c r="K25" s="53"/>
      <c r="L25" s="54"/>
      <c r="M25" s="22"/>
      <c r="N25" s="50"/>
      <c r="O25" s="51"/>
      <c r="P25" s="51"/>
      <c r="Q25" s="84"/>
      <c r="R25" s="84"/>
      <c r="S25" s="87"/>
      <c r="T25" s="100"/>
      <c r="U25" s="57"/>
      <c r="V25" s="62"/>
      <c r="W25" s="59"/>
      <c r="X25" s="101"/>
      <c r="Y25" s="127" t="str" cm="1">
        <f t="array" ref="Y25">GetPolarity(X25,AE25)</f>
        <v/>
      </c>
      <c r="Z25" s="60"/>
      <c r="AA25" s="59"/>
      <c r="AB25" s="71" t="str">
        <f t="shared" si="2"/>
        <v/>
      </c>
      <c r="AC25" s="71" t="str">
        <f t="shared" si="3"/>
        <v/>
      </c>
      <c r="AD25" s="60"/>
      <c r="AE25" s="59"/>
      <c r="AF25" s="21" t="str">
        <f t="shared" si="4"/>
        <v/>
      </c>
    </row>
    <row r="26" spans="1:33" x14ac:dyDescent="0.25">
      <c r="A26" s="107" t="e" cm="1">
        <f t="array" ref="A26">IfEmpty(TRIM(_xlfn.CONCAT(C26:H26)),"",CRC32HASH(_xlfn.CONCAT(C26:H26)))</f>
        <v>#VALUE!</v>
      </c>
      <c r="B26" s="10" t="str">
        <f>IFERROR(VLOOKUP(J26,Items[],2,FALSE),"")</f>
        <v/>
      </c>
      <c r="C26" s="32" t="e" cm="1">
        <f t="array" ref="C26">W26 &amp; " " &amp; IfEmpty(U26,#REF!)</f>
        <v>#REF!</v>
      </c>
      <c r="D26" s="41" t="e">
        <f>IF(OR(#REF!="°C",#REF!= "°F"), Z26 &amp; " " &amp;#REF!, IF(RIGHT(#REF!,2)="Hz", AF26 &amp; " @ " &amp; Z26 &amp; " " &amp;#REF!, Z26 &amp;#REF! &amp; " " &amp; AF26))</f>
        <v>#REF!</v>
      </c>
      <c r="E26" s="55" t="str">
        <f>IFERROR(TEXT(ROUND(AVERAGE(N26:R26),-LOG10(V26)),"0." &amp; REPT("0",-LOG10(V26))) &amp;#REF!,"")</f>
        <v/>
      </c>
      <c r="F26" s="39" t="str">
        <f>IF(AB26="","",AB26 &amp;#REF!)</f>
        <v/>
      </c>
      <c r="G26" s="39" t="str">
        <f>IF(AC26="","",AC26 &amp;#REF!)</f>
        <v/>
      </c>
      <c r="H26" s="33" t="str" cm="1">
        <f t="array" ref="H26:J26">IFERROR(CalcUnc(K26,L26,S26,T26,V26,X26,AD26,AE26,N26:R26,Z26,AA26),"")</f>
        <v/>
      </c>
      <c r="I26" s="48" t="str">
        <v/>
      </c>
      <c r="J26" s="77" t="str">
        <v/>
      </c>
      <c r="K26" s="53"/>
      <c r="L26" s="54"/>
      <c r="M26" s="22"/>
      <c r="N26" s="50"/>
      <c r="O26" s="51"/>
      <c r="P26" s="51"/>
      <c r="Q26" s="84"/>
      <c r="R26" s="84"/>
      <c r="S26" s="87"/>
      <c r="T26" s="100"/>
      <c r="U26" s="57"/>
      <c r="V26" s="62"/>
      <c r="W26" s="59"/>
      <c r="X26" s="101"/>
      <c r="Y26" s="127" t="str" cm="1">
        <f t="array" ref="Y26">GetPolarity(X26,AE26)</f>
        <v/>
      </c>
      <c r="Z26" s="60"/>
      <c r="AA26" s="59"/>
      <c r="AB26" s="71" t="str">
        <f t="shared" si="2"/>
        <v/>
      </c>
      <c r="AC26" s="71" t="str">
        <f t="shared" si="3"/>
        <v/>
      </c>
      <c r="AD26" s="60"/>
      <c r="AE26" s="59"/>
      <c r="AF26" s="21" t="str">
        <f t="shared" si="4"/>
        <v/>
      </c>
    </row>
    <row r="27" spans="1:33" x14ac:dyDescent="0.25">
      <c r="A27" s="107" t="e" cm="1">
        <f t="array" ref="A27">IfEmpty(TRIM(_xlfn.CONCAT(C27:H27)),"",CRC32HASH(_xlfn.CONCAT(C27:H27)))</f>
        <v>#VALUE!</v>
      </c>
      <c r="B27" s="37" t="str">
        <f>IFERROR(VLOOKUP(J27,Items[],2,FALSE),"")</f>
        <v/>
      </c>
      <c r="C27" s="34" t="e" cm="1">
        <f t="array" ref="C27">W27 &amp; " " &amp; IfEmpty(U27,#REF!)</f>
        <v>#REF!</v>
      </c>
      <c r="D27" s="35" t="e">
        <f>IF(OR(#REF!="°C",#REF!= "°F"), Z27 &amp; " " &amp;#REF!, IF(RIGHT(#REF!,2)="Hz", AF27 &amp; " @ " &amp; Z27 &amp; " " &amp;#REF!, Z27 &amp;#REF! &amp; " " &amp; AF27))</f>
        <v>#REF!</v>
      </c>
      <c r="E27" s="56" t="str">
        <f>IFERROR(TEXT(ROUND(AVERAGE(N27:R27),-LOG10(V27)),"0." &amp; REPT("0",-LOG10(V27))) &amp;#REF!,"")</f>
        <v/>
      </c>
      <c r="F27" s="40" t="str">
        <f>IF(AB27="","",AB27 &amp;#REF!)</f>
        <v/>
      </c>
      <c r="G27" s="40" t="str">
        <f>IF(AC27="","",AC27 &amp;#REF!)</f>
        <v/>
      </c>
      <c r="H27" s="36" t="str" cm="1">
        <f t="array" ref="H27:J27">IFERROR(CalcUnc(K27,L27,S27,T27,V27,X27,AD27,AE27,N27:R27,Z27,AA27),"")</f>
        <v/>
      </c>
      <c r="I27" s="48" t="str">
        <v/>
      </c>
      <c r="J27" s="77" t="str">
        <v/>
      </c>
      <c r="K27" s="53"/>
      <c r="L27" s="54"/>
      <c r="M27" s="22"/>
      <c r="N27" s="50"/>
      <c r="O27" s="51"/>
      <c r="P27" s="51"/>
      <c r="Q27" s="84"/>
      <c r="R27" s="84"/>
      <c r="S27" s="87"/>
      <c r="T27" s="100"/>
      <c r="U27" s="57"/>
      <c r="V27" s="62"/>
      <c r="W27" s="59"/>
      <c r="X27" s="101"/>
      <c r="Y27" s="127" t="str" cm="1">
        <f t="array" ref="Y27">GetPolarity(X27,AE27)</f>
        <v/>
      </c>
      <c r="Z27" s="60"/>
      <c r="AA27" s="59"/>
      <c r="AB27" s="71" t="str">
        <f t="shared" si="2"/>
        <v/>
      </c>
      <c r="AC27" s="71" t="str">
        <f t="shared" si="3"/>
        <v/>
      </c>
      <c r="AD27" s="60"/>
      <c r="AE27" s="59"/>
      <c r="AF27" s="21" t="str">
        <f t="shared" si="4"/>
        <v/>
      </c>
    </row>
    <row r="28" spans="1:33" x14ac:dyDescent="0.25">
      <c r="A28" s="107" t="e" cm="1">
        <f t="array" ref="A28">IfEmpty(TRIM(_xlfn.CONCAT(C28:H28)),"",CRC32HASH(_xlfn.CONCAT(C28:H28)))</f>
        <v>#VALUE!</v>
      </c>
      <c r="B28" s="10" t="str">
        <f>IFERROR(VLOOKUP(J28,Items[],2,FALSE),"")</f>
        <v/>
      </c>
      <c r="C28" s="32" t="e" cm="1">
        <f t="array" ref="C28">W28 &amp; " " &amp; IfEmpty(U28,#REF!)</f>
        <v>#REF!</v>
      </c>
      <c r="D28" s="41" t="e">
        <f>IF(OR(#REF!="°C",#REF!= "°F"), Z28 &amp; " " &amp;#REF!, IF(RIGHT(#REF!,2)="Hz", AF28 &amp; " @ " &amp; Z28 &amp; " " &amp;#REF!, Z28 &amp;#REF! &amp; " " &amp; AF28))</f>
        <v>#REF!</v>
      </c>
      <c r="E28" s="55" t="str">
        <f>IFERROR(TEXT(ROUND(AVERAGE(N28:R28),-LOG10(V28)),"0." &amp; REPT("0",-LOG10(V28))) &amp;#REF!,"")</f>
        <v/>
      </c>
      <c r="F28" s="39" t="str">
        <f>IF(AB28="","",AB28 &amp;#REF!)</f>
        <v/>
      </c>
      <c r="G28" s="39" t="str">
        <f>IF(AC28="","",AC28 &amp;#REF!)</f>
        <v/>
      </c>
      <c r="H28" s="33" t="str" cm="1">
        <f t="array" ref="H28:J28">IFERROR(CalcUnc(K28,L28,S28,T28,V28,X28,AD28,AE28,N28:R28,Z28,AA28),"")</f>
        <v/>
      </c>
      <c r="I28" s="48" t="str">
        <v/>
      </c>
      <c r="J28" s="77" t="str">
        <v/>
      </c>
      <c r="K28" s="53"/>
      <c r="L28" s="54"/>
      <c r="M28" s="22"/>
      <c r="N28" s="50"/>
      <c r="O28" s="51"/>
      <c r="P28" s="51"/>
      <c r="Q28" s="84"/>
      <c r="R28" s="84"/>
      <c r="S28" s="87"/>
      <c r="T28" s="100"/>
      <c r="U28" s="57"/>
      <c r="V28" s="62"/>
      <c r="W28" s="59"/>
      <c r="X28" s="101"/>
      <c r="Y28" s="127" t="str" cm="1">
        <f t="array" ref="Y28">GetPolarity(X28,AE28)</f>
        <v/>
      </c>
      <c r="Z28" s="60"/>
      <c r="AA28" s="59"/>
      <c r="AB28" s="71" t="str">
        <f t="shared" si="2"/>
        <v/>
      </c>
      <c r="AC28" s="71" t="str">
        <f t="shared" si="3"/>
        <v/>
      </c>
      <c r="AD28" s="60"/>
      <c r="AE28" s="59"/>
      <c r="AF28" s="21" t="str">
        <f t="shared" si="4"/>
        <v/>
      </c>
    </row>
    <row r="29" spans="1:33" x14ac:dyDescent="0.25">
      <c r="A29" s="107" t="e" cm="1">
        <f t="array" ref="A29">IfEmpty(TRIM(_xlfn.CONCAT(C29:H29)),"",CRC32HASH(_xlfn.CONCAT(C29:H29)))</f>
        <v>#VALUE!</v>
      </c>
      <c r="B29" s="37" t="str">
        <f>IFERROR(VLOOKUP(J29,Items[],2,FALSE),"")</f>
        <v/>
      </c>
      <c r="C29" s="34" t="e" cm="1">
        <f t="array" ref="C29">W29 &amp; " " &amp; IfEmpty(U29,#REF!)</f>
        <v>#REF!</v>
      </c>
      <c r="D29" s="35" t="e">
        <f>IF(OR(#REF!="°C",#REF!= "°F"), Z29 &amp; " " &amp;#REF!, IF(RIGHT(#REF!,2)="Hz", AF29 &amp; " @ " &amp; Z29 &amp; " " &amp;#REF!, Z29 &amp;#REF! &amp; " " &amp; AF29))</f>
        <v>#REF!</v>
      </c>
      <c r="E29" s="56" t="str">
        <f>IFERROR(TEXT(ROUND(AVERAGE(N29:R29),-LOG10(V29)),"0." &amp; REPT("0",-LOG10(V29))) &amp;#REF!,"")</f>
        <v/>
      </c>
      <c r="F29" s="40" t="str">
        <f>IF(AB29="","",AB29 &amp;#REF!)</f>
        <v/>
      </c>
      <c r="G29" s="40" t="str">
        <f>IF(AC29="","",AC29 &amp;#REF!)</f>
        <v/>
      </c>
      <c r="H29" s="36" t="str" cm="1">
        <f t="array" ref="H29:J29">IFERROR(CalcUnc(K29,L29,S29,T29,V29,X29,AD29,AE29,N29:R29,Z29,AA29),"")</f>
        <v/>
      </c>
      <c r="I29" s="48" t="str">
        <v/>
      </c>
      <c r="J29" s="77" t="str">
        <v/>
      </c>
      <c r="K29" s="53"/>
      <c r="L29" s="54"/>
      <c r="M29" s="22"/>
      <c r="N29" s="50"/>
      <c r="O29" s="51"/>
      <c r="P29" s="51"/>
      <c r="Q29" s="84"/>
      <c r="R29" s="84"/>
      <c r="S29" s="87"/>
      <c r="T29" s="100"/>
      <c r="U29" s="57"/>
      <c r="V29" s="62"/>
      <c r="W29" s="59"/>
      <c r="X29" s="101"/>
      <c r="Y29" s="127" t="str" cm="1">
        <f t="array" ref="Y29">GetPolarity(X29,AE29)</f>
        <v/>
      </c>
      <c r="Z29" s="60"/>
      <c r="AA29" s="59"/>
      <c r="AB29" s="71" t="str">
        <f t="shared" si="2"/>
        <v/>
      </c>
      <c r="AC29" s="71" t="str">
        <f t="shared" si="3"/>
        <v/>
      </c>
      <c r="AD29" s="60"/>
      <c r="AE29" s="59"/>
      <c r="AF29" s="21" t="str">
        <f t="shared" si="4"/>
        <v/>
      </c>
    </row>
    <row r="30" spans="1:33" x14ac:dyDescent="0.25">
      <c r="A30" s="107" t="e" cm="1">
        <f t="array" ref="A30">IfEmpty(TRIM(_xlfn.CONCAT(C30:H30)),"",CRC32HASH(_xlfn.CONCAT(C30:H30)))</f>
        <v>#VALUE!</v>
      </c>
      <c r="B30" s="10" t="str">
        <f>IFERROR(VLOOKUP(J30,Items[],2,FALSE),"")</f>
        <v/>
      </c>
      <c r="C30" s="32" t="e" cm="1">
        <f t="array" ref="C30">W30 &amp; " " &amp; IfEmpty(U30,#REF!)</f>
        <v>#REF!</v>
      </c>
      <c r="D30" s="41" t="e">
        <f>IF(OR(#REF!="°C",#REF!= "°F"), Z30 &amp; " " &amp;#REF!, IF(RIGHT(#REF!,2)="Hz", AF30 &amp; " @ " &amp; Z30 &amp; " " &amp;#REF!, Z30 &amp;#REF! &amp; " " &amp; AF30))</f>
        <v>#REF!</v>
      </c>
      <c r="E30" s="55" t="str">
        <f>IFERROR(TEXT(ROUND(AVERAGE(N30:R30),-LOG10(V30)),"0." &amp; REPT("0",-LOG10(V30))) &amp;#REF!,"")</f>
        <v/>
      </c>
      <c r="F30" s="39" t="str">
        <f>IF(AB30="","",AB30 &amp;#REF!)</f>
        <v/>
      </c>
      <c r="G30" s="39" t="str">
        <f>IF(AC30="","",AC30 &amp;#REF!)</f>
        <v/>
      </c>
      <c r="H30" s="33" t="str" cm="1">
        <f t="array" ref="H30:J30">IFERROR(CalcUnc(K30,L30,S30,T30,V30,X30,AD30,AE30,N30:R30,Z30,AA30),"")</f>
        <v/>
      </c>
      <c r="I30" s="48" t="str">
        <v/>
      </c>
      <c r="J30" s="77" t="str">
        <v/>
      </c>
      <c r="K30" s="53"/>
      <c r="L30" s="54"/>
      <c r="M30" s="22"/>
      <c r="N30" s="50"/>
      <c r="O30" s="51"/>
      <c r="P30" s="51"/>
      <c r="Q30" s="84"/>
      <c r="R30" s="84"/>
      <c r="S30" s="87"/>
      <c r="T30" s="100"/>
      <c r="U30" s="57"/>
      <c r="V30" s="62"/>
      <c r="W30" s="59"/>
      <c r="X30" s="101"/>
      <c r="Y30" s="127" t="str" cm="1">
        <f t="array" ref="Y30">GetPolarity(X30,AE30)</f>
        <v/>
      </c>
      <c r="Z30" s="60"/>
      <c r="AA30" s="59"/>
      <c r="AB30" s="71" t="str">
        <f t="shared" si="2"/>
        <v/>
      </c>
      <c r="AC30" s="71" t="str">
        <f t="shared" si="3"/>
        <v/>
      </c>
      <c r="AD30" s="60"/>
      <c r="AE30" s="59"/>
      <c r="AF30" s="21" t="str">
        <f t="shared" si="4"/>
        <v/>
      </c>
    </row>
    <row r="31" spans="1:33" x14ac:dyDescent="0.25">
      <c r="A31" s="107" t="e" cm="1">
        <f t="array" ref="A31">IfEmpty(TRIM(_xlfn.CONCAT(C31:H31)),"",CRC32HASH(_xlfn.CONCAT(C31:H31)))</f>
        <v>#VALUE!</v>
      </c>
      <c r="B31" s="37" t="str">
        <f>IFERROR(VLOOKUP(J31,Items[],2,FALSE),"")</f>
        <v/>
      </c>
      <c r="C31" s="34" t="e" cm="1">
        <f t="array" ref="C31">W31 &amp; " " &amp; IfEmpty(U31,#REF!)</f>
        <v>#REF!</v>
      </c>
      <c r="D31" s="35" t="e">
        <f>IF(OR(#REF!="°C",#REF!= "°F"), Z31 &amp; " " &amp;#REF!, IF(RIGHT(#REF!,2)="Hz", AF31 &amp; " @ " &amp; Z31 &amp; " " &amp;#REF!, Z31 &amp;#REF! &amp; " " &amp; AF31))</f>
        <v>#REF!</v>
      </c>
      <c r="E31" s="56" t="str">
        <f>IFERROR(TEXT(ROUND(AVERAGE(N31:R31),-LOG10(V31)),"0." &amp; REPT("0",-LOG10(V31))) &amp;#REF!,"")</f>
        <v/>
      </c>
      <c r="F31" s="40" t="str">
        <f>IF(AB31="","",AB31 &amp;#REF!)</f>
        <v/>
      </c>
      <c r="G31" s="40" t="str">
        <f>IF(AC31="","",AC31 &amp;#REF!)</f>
        <v/>
      </c>
      <c r="H31" s="36" t="str" cm="1">
        <f t="array" ref="H31:J31">IFERROR(CalcUnc(K31,L31,S31,T31,V31,X31,AD31,AE31,N31:R31,Z31,AA31),"")</f>
        <v/>
      </c>
      <c r="I31" s="48" t="str">
        <v/>
      </c>
      <c r="J31" s="77" t="str">
        <v/>
      </c>
      <c r="K31" s="53"/>
      <c r="L31" s="54"/>
      <c r="M31" s="22"/>
      <c r="N31" s="50"/>
      <c r="O31" s="51"/>
      <c r="P31" s="51"/>
      <c r="Q31" s="84"/>
      <c r="R31" s="84"/>
      <c r="S31" s="87"/>
      <c r="T31" s="100"/>
      <c r="U31" s="57"/>
      <c r="V31" s="62"/>
      <c r="W31" s="59"/>
      <c r="X31" s="101"/>
      <c r="Y31" s="127" t="str" cm="1">
        <f t="array" ref="Y31">GetPolarity(X31,AE31)</f>
        <v/>
      </c>
      <c r="Z31" s="60"/>
      <c r="AA31" s="59"/>
      <c r="AB31" s="71" t="str">
        <f t="shared" si="2"/>
        <v/>
      </c>
      <c r="AC31" s="71" t="str">
        <f t="shared" si="3"/>
        <v/>
      </c>
      <c r="AD31" s="60"/>
      <c r="AE31" s="59"/>
      <c r="AF31" s="21" t="str">
        <f t="shared" si="4"/>
        <v/>
      </c>
    </row>
    <row r="32" spans="1:33" x14ac:dyDescent="0.25">
      <c r="A32" s="107" t="e" cm="1">
        <f t="array" ref="A32">IfEmpty(TRIM(_xlfn.CONCAT(C32:H32)),"",CRC32HASH(_xlfn.CONCAT(C32:H32)))</f>
        <v>#VALUE!</v>
      </c>
      <c r="B32" s="10" t="str">
        <f>IFERROR(VLOOKUP(J32,Items[],2,FALSE),"")</f>
        <v/>
      </c>
      <c r="C32" s="32" t="e" cm="1">
        <f t="array" ref="C32">W32 &amp; " " &amp; IfEmpty(U32,#REF!)</f>
        <v>#REF!</v>
      </c>
      <c r="D32" s="41" t="e">
        <f>IF(OR(#REF!="°C",#REF!= "°F"), Z32 &amp; " " &amp;#REF!, IF(RIGHT(#REF!,2)="Hz", AF32 &amp; " @ " &amp; Z32 &amp; " " &amp;#REF!, Z32 &amp;#REF! &amp; " " &amp; AF32))</f>
        <v>#REF!</v>
      </c>
      <c r="E32" s="55" t="str">
        <f>IFERROR(TEXT(ROUND(AVERAGE(N32:R32),-LOG10(V32)),"0." &amp; REPT("0",-LOG10(V32))) &amp;#REF!,"")</f>
        <v/>
      </c>
      <c r="F32" s="39" t="str">
        <f>IF(AB32="","",AB32 &amp;#REF!)</f>
        <v/>
      </c>
      <c r="G32" s="39" t="str">
        <f>IF(AC32="","",AC32 &amp;#REF!)</f>
        <v/>
      </c>
      <c r="H32" s="33" t="str" cm="1">
        <f t="array" ref="H32:J32">IFERROR(CalcUnc(K32,L32,S32,T32,V32,X32,AD32,AE32,N32:R32,Z32,AA32),"")</f>
        <v/>
      </c>
      <c r="I32" s="48" t="str">
        <v/>
      </c>
      <c r="J32" s="77" t="str">
        <v/>
      </c>
      <c r="K32" s="53"/>
      <c r="L32" s="54"/>
      <c r="M32" s="22"/>
      <c r="N32" s="50"/>
      <c r="O32" s="51"/>
      <c r="P32" s="51"/>
      <c r="Q32" s="84"/>
      <c r="R32" s="84"/>
      <c r="S32" s="87"/>
      <c r="T32" s="100"/>
      <c r="U32" s="57"/>
      <c r="V32" s="62"/>
      <c r="W32" s="59"/>
      <c r="X32" s="101"/>
      <c r="Y32" s="127" t="str" cm="1">
        <f t="array" ref="Y32">GetPolarity(X32,AE32)</f>
        <v/>
      </c>
      <c r="Z32" s="60"/>
      <c r="AA32" s="59"/>
      <c r="AB32" s="71" t="str">
        <f t="shared" si="2"/>
        <v/>
      </c>
      <c r="AC32" s="71" t="str">
        <f t="shared" si="3"/>
        <v/>
      </c>
      <c r="AD32" s="60"/>
      <c r="AE32" s="59"/>
      <c r="AF32" s="21" t="str">
        <f t="shared" si="4"/>
        <v/>
      </c>
    </row>
    <row r="33" spans="1:32" x14ac:dyDescent="0.25">
      <c r="A33" s="107" t="e" cm="1">
        <f t="array" ref="A33">IfEmpty(TRIM(_xlfn.CONCAT(C33:H33)),"",CRC32HASH(_xlfn.CONCAT(C33:H33)))</f>
        <v>#VALUE!</v>
      </c>
      <c r="B33" s="37" t="str">
        <f>IFERROR(VLOOKUP(J33,Items[],2,FALSE),"")</f>
        <v/>
      </c>
      <c r="C33" s="34" t="e" cm="1">
        <f t="array" ref="C33">W33 &amp; " " &amp; IfEmpty(U33,#REF!)</f>
        <v>#REF!</v>
      </c>
      <c r="D33" s="35" t="e">
        <f>IF(OR(#REF!="°C",#REF!= "°F"), Z33 &amp; " " &amp;#REF!, IF(RIGHT(#REF!,2)="Hz", AF33 &amp; " @ " &amp; Z33 &amp; " " &amp;#REF!, Z33 &amp;#REF! &amp; " " &amp; AF33))</f>
        <v>#REF!</v>
      </c>
      <c r="E33" s="56" t="str">
        <f>IFERROR(TEXT(ROUND(AVERAGE(N33:R33),-LOG10(V33)),"0." &amp; REPT("0",-LOG10(V33))) &amp;#REF!,"")</f>
        <v/>
      </c>
      <c r="F33" s="40" t="str">
        <f>IF(AB33="","",AB33 &amp;#REF!)</f>
        <v/>
      </c>
      <c r="G33" s="40" t="str">
        <f>IF(AC33="","",AC33 &amp;#REF!)</f>
        <v/>
      </c>
      <c r="H33" s="36" t="str" cm="1">
        <f t="array" ref="H33:J33">IFERROR(CalcUnc(K33,L33,S33,T33,V33,X33,AD33,AE33,N33:R33,Z33,AA33),"")</f>
        <v/>
      </c>
      <c r="I33" s="48" t="str">
        <v/>
      </c>
      <c r="J33" s="77" t="str">
        <v/>
      </c>
      <c r="K33" s="53"/>
      <c r="L33" s="54"/>
      <c r="M33" s="22"/>
      <c r="N33" s="50"/>
      <c r="O33" s="51"/>
      <c r="P33" s="51"/>
      <c r="Q33" s="84"/>
      <c r="R33" s="84"/>
      <c r="S33" s="87"/>
      <c r="T33" s="100"/>
      <c r="U33" s="57"/>
      <c r="V33" s="62"/>
      <c r="W33" s="59"/>
      <c r="X33" s="101"/>
      <c r="Y33" s="127" t="str" cm="1">
        <f t="array" ref="Y33">GetPolarity(X33,AE33)</f>
        <v/>
      </c>
      <c r="Z33" s="60"/>
      <c r="AA33" s="59"/>
      <c r="AB33" s="71" t="str">
        <f t="shared" si="2"/>
        <v/>
      </c>
      <c r="AC33" s="71" t="str">
        <f t="shared" si="3"/>
        <v/>
      </c>
      <c r="AD33" s="60"/>
      <c r="AE33" s="59"/>
      <c r="AF33" s="21" t="str">
        <f t="shared" si="4"/>
        <v/>
      </c>
    </row>
    <row r="34" spans="1:32" x14ac:dyDescent="0.25">
      <c r="A34" s="107" t="e" cm="1">
        <f t="array" ref="A34">IfEmpty(TRIM(_xlfn.CONCAT(C34:H34)),"",CRC32HASH(_xlfn.CONCAT(C34:H34)))</f>
        <v>#VALUE!</v>
      </c>
      <c r="B34" s="10" t="str">
        <f>IFERROR(VLOOKUP(J34,Items[],2,FALSE),"")</f>
        <v/>
      </c>
      <c r="C34" s="32" t="e" cm="1">
        <f t="array" ref="C34">W34 &amp; " " &amp; IfEmpty(U34,#REF!)</f>
        <v>#REF!</v>
      </c>
      <c r="D34" s="41" t="e">
        <f>IF(OR(#REF!="°C",#REF!= "°F"), Z34 &amp; " " &amp;#REF!, IF(RIGHT(#REF!,2)="Hz", AF34 &amp; " @ " &amp; Z34 &amp; " " &amp;#REF!, Z34 &amp;#REF! &amp; " " &amp; AF34))</f>
        <v>#REF!</v>
      </c>
      <c r="E34" s="55" t="str">
        <f>IFERROR(TEXT(ROUND(AVERAGE(N34:R34),-LOG10(V34)),"0." &amp; REPT("0",-LOG10(V34))) &amp;#REF!,"")</f>
        <v/>
      </c>
      <c r="F34" s="39" t="str">
        <f>IF(AB34="","",AB34 &amp;#REF!)</f>
        <v/>
      </c>
      <c r="G34" s="39" t="str">
        <f>IF(AC34="","",AC34 &amp;#REF!)</f>
        <v/>
      </c>
      <c r="H34" s="33" t="str" cm="1">
        <f t="array" ref="H34:J34">IFERROR(CalcUnc(K34,L34,S34,T34,V34,X34,AD34,AE34,N34:R34,Z34,AA34),"")</f>
        <v/>
      </c>
      <c r="I34" s="48" t="str">
        <v/>
      </c>
      <c r="J34" s="77" t="str">
        <v/>
      </c>
      <c r="K34" s="53"/>
      <c r="L34" s="54"/>
      <c r="M34" s="22"/>
      <c r="N34" s="50"/>
      <c r="O34" s="51"/>
      <c r="P34" s="51"/>
      <c r="Q34" s="84"/>
      <c r="R34" s="84"/>
      <c r="S34" s="87"/>
      <c r="T34" s="100"/>
      <c r="U34" s="57"/>
      <c r="V34" s="62"/>
      <c r="W34" s="59"/>
      <c r="X34" s="101"/>
      <c r="Y34" s="127" t="str" cm="1">
        <f t="array" ref="Y34">GetPolarity(X34,AE34)</f>
        <v/>
      </c>
      <c r="Z34" s="60"/>
      <c r="AA34" s="59"/>
      <c r="AB34" s="71" t="str">
        <f t="shared" si="2"/>
        <v/>
      </c>
      <c r="AC34" s="71" t="str">
        <f t="shared" si="3"/>
        <v/>
      </c>
      <c r="AD34" s="60"/>
      <c r="AE34" s="59"/>
      <c r="AF34" s="21" t="str">
        <f t="shared" si="4"/>
        <v/>
      </c>
    </row>
    <row r="35" spans="1:32" x14ac:dyDescent="0.25">
      <c r="A35" s="107" t="e" cm="1">
        <f t="array" ref="A35">IfEmpty(TRIM(_xlfn.CONCAT(C35:H35)),"",CRC32HASH(_xlfn.CONCAT(C35:H35)))</f>
        <v>#VALUE!</v>
      </c>
      <c r="B35" s="37" t="str">
        <f>IFERROR(VLOOKUP(J35,Items[],2,FALSE),"")</f>
        <v/>
      </c>
      <c r="C35" s="34" t="e" cm="1">
        <f t="array" ref="C35">W35 &amp; " " &amp; IfEmpty(U35,#REF!)</f>
        <v>#REF!</v>
      </c>
      <c r="D35" s="35" t="e">
        <f>IF(OR(#REF!="°C",#REF!= "°F"), Z35 &amp; " " &amp;#REF!, IF(RIGHT(#REF!,2)="Hz", AF35 &amp; " @ " &amp; Z35 &amp; " " &amp;#REF!, Z35 &amp;#REF! &amp; " " &amp; AF35))</f>
        <v>#REF!</v>
      </c>
      <c r="E35" s="56" t="str">
        <f>IFERROR(TEXT(ROUND(AVERAGE(N35:R35),-LOG10(V35)),"0." &amp; REPT("0",-LOG10(V35))) &amp;#REF!,"")</f>
        <v/>
      </c>
      <c r="F35" s="40" t="str">
        <f>IF(AB35="","",AB35 &amp;#REF!)</f>
        <v/>
      </c>
      <c r="G35" s="40" t="str">
        <f>IF(AC35="","",AC35 &amp;#REF!)</f>
        <v/>
      </c>
      <c r="H35" s="36" t="str" cm="1">
        <f t="array" ref="H35:J35">IFERROR(CalcUnc(K35,L35,S35,T35,V35,X35,AD35,AE35,N35:R35,Z35,AA35),"")</f>
        <v/>
      </c>
      <c r="I35" s="48" t="str">
        <v/>
      </c>
      <c r="J35" s="77" t="str">
        <v/>
      </c>
      <c r="K35" s="53"/>
      <c r="L35" s="54"/>
      <c r="M35" s="22"/>
      <c r="N35" s="50"/>
      <c r="O35" s="51"/>
      <c r="P35" s="51"/>
      <c r="Q35" s="84"/>
      <c r="R35" s="84"/>
      <c r="S35" s="87"/>
      <c r="T35" s="100"/>
      <c r="U35" s="57"/>
      <c r="V35" s="62"/>
      <c r="W35" s="59"/>
      <c r="X35" s="101"/>
      <c r="Y35" s="127" t="str" cm="1">
        <f t="array" ref="Y35">GetPolarity(X35,AE35)</f>
        <v/>
      </c>
      <c r="Z35" s="60"/>
      <c r="AA35" s="59"/>
      <c r="AB35" s="71" t="str">
        <f t="shared" si="2"/>
        <v/>
      </c>
      <c r="AC35" s="71" t="str">
        <f t="shared" si="3"/>
        <v/>
      </c>
      <c r="AD35" s="60"/>
      <c r="AE35" s="59"/>
      <c r="AF35" s="21" t="str">
        <f t="shared" si="4"/>
        <v/>
      </c>
    </row>
    <row r="36" spans="1:32" x14ac:dyDescent="0.25">
      <c r="A36" s="107" t="e" cm="1">
        <f t="array" ref="A36">IfEmpty(TRIM(_xlfn.CONCAT(C36:H36)),"",CRC32HASH(_xlfn.CONCAT(C36:H36)))</f>
        <v>#VALUE!</v>
      </c>
      <c r="B36" s="10" t="str">
        <f>IFERROR(VLOOKUP(J36,Items[],2,FALSE),"")</f>
        <v/>
      </c>
      <c r="C36" s="32" t="e" cm="1">
        <f t="array" ref="C36">W36 &amp; " " &amp; IfEmpty(U36,#REF!)</f>
        <v>#REF!</v>
      </c>
      <c r="D36" s="41" t="e">
        <f>IF(OR(#REF!="°C",#REF!= "°F"), Z36 &amp; " " &amp;#REF!, IF(RIGHT(#REF!,2)="Hz", AF36 &amp; " @ " &amp; Z36 &amp; " " &amp;#REF!, Z36 &amp;#REF! &amp; " " &amp; AF36))</f>
        <v>#REF!</v>
      </c>
      <c r="E36" s="55" t="str">
        <f>IFERROR(TEXT(ROUND(AVERAGE(N36:R36),-LOG10(V36)),"0." &amp; REPT("0",-LOG10(V36))) &amp;#REF!,"")</f>
        <v/>
      </c>
      <c r="F36" s="39" t="str">
        <f>IF(AB36="","",AB36 &amp;#REF!)</f>
        <v/>
      </c>
      <c r="G36" s="39" t="str">
        <f>IF(AC36="","",AC36 &amp;#REF!)</f>
        <v/>
      </c>
      <c r="H36" s="33" t="str" cm="1">
        <f t="array" ref="H36:J36">IFERROR(CalcUnc(K36,L36,S36,T36,V36,X36,AD36,AE36,N36:R36,Z36,AA36),"")</f>
        <v/>
      </c>
      <c r="I36" s="48" t="str">
        <v/>
      </c>
      <c r="J36" s="77" t="str">
        <v/>
      </c>
      <c r="K36" s="53"/>
      <c r="L36" s="54"/>
      <c r="M36" s="22"/>
      <c r="N36" s="50"/>
      <c r="O36" s="51"/>
      <c r="P36" s="51"/>
      <c r="Q36" s="84"/>
      <c r="R36" s="84"/>
      <c r="S36" s="87"/>
      <c r="T36" s="100"/>
      <c r="U36" s="57"/>
      <c r="V36" s="62"/>
      <c r="W36" s="59"/>
      <c r="X36" s="101"/>
      <c r="Y36" s="127" t="str" cm="1">
        <f t="array" ref="Y36">GetPolarity(X36,AE36)</f>
        <v/>
      </c>
      <c r="Z36" s="60"/>
      <c r="AA36" s="59"/>
      <c r="AB36" s="71" t="str">
        <f t="shared" si="2"/>
        <v/>
      </c>
      <c r="AC36" s="71" t="str">
        <f t="shared" si="3"/>
        <v/>
      </c>
      <c r="AD36" s="60"/>
      <c r="AE36" s="59"/>
      <c r="AF36" s="21" t="str">
        <f t="shared" si="4"/>
        <v/>
      </c>
    </row>
    <row r="37" spans="1:32" x14ac:dyDescent="0.25">
      <c r="A37" s="107" t="e" cm="1">
        <f t="array" ref="A37">IfEmpty(TRIM(_xlfn.CONCAT(C37:H37)),"",CRC32HASH(_xlfn.CONCAT(C37:H37)))</f>
        <v>#VALUE!</v>
      </c>
      <c r="B37" s="37" t="str">
        <f>IFERROR(VLOOKUP(J37,Items[],2,FALSE),"")</f>
        <v/>
      </c>
      <c r="C37" s="34" t="e" cm="1">
        <f t="array" ref="C37">W37 &amp; " " &amp; IfEmpty(U37,#REF!)</f>
        <v>#REF!</v>
      </c>
      <c r="D37" s="35" t="e">
        <f>IF(OR(#REF!="°C",#REF!= "°F"), Z37 &amp; " " &amp;#REF!, IF(RIGHT(#REF!,2)="Hz", AF37 &amp; " @ " &amp; Z37 &amp; " " &amp;#REF!, Z37 &amp;#REF! &amp; " " &amp; AF37))</f>
        <v>#REF!</v>
      </c>
      <c r="E37" s="56" t="str">
        <f>IFERROR(TEXT(ROUND(AVERAGE(N37:R37),-LOG10(V37)),"0." &amp; REPT("0",-LOG10(V37))) &amp;#REF!,"")</f>
        <v/>
      </c>
      <c r="F37" s="40" t="str">
        <f>IF(AB37="","",AB37 &amp;#REF!)</f>
        <v/>
      </c>
      <c r="G37" s="40" t="str">
        <f>IF(AC37="","",AC37 &amp;#REF!)</f>
        <v/>
      </c>
      <c r="H37" s="36" t="str" cm="1">
        <f t="array" ref="H37:J37">IFERROR(CalcUnc(K37,L37,S37,T37,V37,X37,AD37,AE37,N37:R37,Z37,AA37),"")</f>
        <v/>
      </c>
      <c r="I37" s="48" t="str">
        <v/>
      </c>
      <c r="J37" s="77" t="str">
        <v/>
      </c>
      <c r="K37" s="53"/>
      <c r="L37" s="54"/>
      <c r="M37" s="22"/>
      <c r="N37" s="50"/>
      <c r="O37" s="51"/>
      <c r="P37" s="51"/>
      <c r="Q37" s="84"/>
      <c r="R37" s="84"/>
      <c r="S37" s="87"/>
      <c r="T37" s="100"/>
      <c r="U37" s="57"/>
      <c r="V37" s="62"/>
      <c r="W37" s="59"/>
      <c r="X37" s="101"/>
      <c r="Y37" s="127" t="str" cm="1">
        <f t="array" ref="Y37">GetPolarity(X37,AE37)</f>
        <v/>
      </c>
      <c r="Z37" s="60"/>
      <c r="AA37" s="59"/>
      <c r="AB37" s="71" t="str">
        <f t="shared" si="2"/>
        <v/>
      </c>
      <c r="AC37" s="71" t="str">
        <f t="shared" si="3"/>
        <v/>
      </c>
      <c r="AD37" s="60"/>
      <c r="AE37" s="59"/>
      <c r="AF37" s="21" t="str">
        <f t="shared" si="4"/>
        <v/>
      </c>
    </row>
    <row r="38" spans="1:32" x14ac:dyDescent="0.25">
      <c r="A38" s="107" t="e" cm="1">
        <f t="array" ref="A38">IfEmpty(TRIM(_xlfn.CONCAT(C38:H38)),"",CRC32HASH(_xlfn.CONCAT(C38:H38)))</f>
        <v>#VALUE!</v>
      </c>
      <c r="B38" s="10" t="str">
        <f>IFERROR(VLOOKUP(J38,Items[],2,FALSE),"")</f>
        <v/>
      </c>
      <c r="C38" s="32" t="e" cm="1">
        <f t="array" ref="C38">W38 &amp; " " &amp; IfEmpty(U38,#REF!)</f>
        <v>#REF!</v>
      </c>
      <c r="D38" s="41" t="e">
        <f>IF(OR(#REF!="°C",#REF!= "°F"), Z38 &amp; " " &amp;#REF!, IF(RIGHT(#REF!,2)="Hz", AF38 &amp; " @ " &amp; Z38 &amp; " " &amp;#REF!, Z38 &amp;#REF! &amp; " " &amp; AF38))</f>
        <v>#REF!</v>
      </c>
      <c r="E38" s="55" t="str">
        <f>IFERROR(TEXT(ROUND(AVERAGE(N38:R38),-LOG10(V38)),"0." &amp; REPT("0",-LOG10(V38))) &amp;#REF!,"")</f>
        <v/>
      </c>
      <c r="F38" s="39" t="str">
        <f>IF(AB38="","",AB38 &amp;#REF!)</f>
        <v/>
      </c>
      <c r="G38" s="39" t="str">
        <f>IF(AC38="","",AC38 &amp;#REF!)</f>
        <v/>
      </c>
      <c r="H38" s="33" t="str" cm="1">
        <f t="array" ref="H38:J38">IFERROR(CalcUnc(K38,L38,S38,T38,V38,X38,AD38,AE38,N38:R38,Z38,AA38),"")</f>
        <v/>
      </c>
      <c r="I38" s="48" t="str">
        <v/>
      </c>
      <c r="J38" s="77" t="str">
        <v/>
      </c>
      <c r="K38" s="53"/>
      <c r="L38" s="54"/>
      <c r="M38" s="22"/>
      <c r="N38" s="50"/>
      <c r="O38" s="51"/>
      <c r="P38" s="51"/>
      <c r="Q38" s="84"/>
      <c r="R38" s="84"/>
      <c r="S38" s="87"/>
      <c r="T38" s="100"/>
      <c r="U38" s="57"/>
      <c r="V38" s="62"/>
      <c r="W38" s="59"/>
      <c r="X38" s="101"/>
      <c r="Y38" s="127" t="str" cm="1">
        <f t="array" ref="Y38">GetPolarity(X38,AE38)</f>
        <v/>
      </c>
      <c r="Z38" s="60"/>
      <c r="AA38" s="59"/>
      <c r="AB38" s="71" t="str">
        <f t="shared" ref="AB38:AB69" si="5">IF(V38&lt;&gt;"",ROUND(Z38-AA38,-LOG10(V38)),"")</f>
        <v/>
      </c>
      <c r="AC38" s="71" t="str">
        <f t="shared" ref="AC38:AC69" si="6">IF(V38&lt;&gt;"",ROUND(Z38+AA38,-LOG10(V38)),"")</f>
        <v/>
      </c>
      <c r="AD38" s="60"/>
      <c r="AE38" s="59"/>
      <c r="AF38" s="21" t="str">
        <f t="shared" si="4"/>
        <v/>
      </c>
    </row>
    <row r="39" spans="1:32" x14ac:dyDescent="0.25">
      <c r="A39" s="107" t="e" cm="1">
        <f t="array" ref="A39">IfEmpty(TRIM(_xlfn.CONCAT(C39:H39)),"",CRC32HASH(_xlfn.CONCAT(C39:H39)))</f>
        <v>#VALUE!</v>
      </c>
      <c r="B39" s="37" t="str">
        <f>IFERROR(VLOOKUP(J39,Items[],2,FALSE),"")</f>
        <v/>
      </c>
      <c r="C39" s="34" t="e" cm="1">
        <f t="array" ref="C39">W39 &amp; " " &amp; IfEmpty(U39,#REF!)</f>
        <v>#REF!</v>
      </c>
      <c r="D39" s="35" t="e">
        <f>IF(OR(#REF!="°C",#REF!= "°F"), Z39 &amp; " " &amp;#REF!, IF(RIGHT(#REF!,2)="Hz", AF39 &amp; " @ " &amp; Z39 &amp; " " &amp;#REF!, Z39 &amp;#REF! &amp; " " &amp; AF39))</f>
        <v>#REF!</v>
      </c>
      <c r="E39" s="56" t="str">
        <f>IFERROR(TEXT(ROUND(AVERAGE(N39:R39),-LOG10(V39)),"0." &amp; REPT("0",-LOG10(V39))) &amp;#REF!,"")</f>
        <v/>
      </c>
      <c r="F39" s="40" t="str">
        <f>IF(AB39="","",AB39 &amp;#REF!)</f>
        <v/>
      </c>
      <c r="G39" s="40" t="str">
        <f>IF(AC39="","",AC39 &amp;#REF!)</f>
        <v/>
      </c>
      <c r="H39" s="36" t="str" cm="1">
        <f t="array" ref="H39:J39">IFERROR(CalcUnc(K39,L39,S39,T39,V39,X39,AD39,AE39,N39:R39,Z39,AA39),"")</f>
        <v/>
      </c>
      <c r="I39" s="48" t="str">
        <v/>
      </c>
      <c r="J39" s="77" t="str">
        <v/>
      </c>
      <c r="K39" s="53"/>
      <c r="L39" s="54"/>
      <c r="M39" s="22"/>
      <c r="N39" s="50"/>
      <c r="O39" s="51"/>
      <c r="P39" s="51"/>
      <c r="Q39" s="84"/>
      <c r="R39" s="84"/>
      <c r="S39" s="87"/>
      <c r="T39" s="100"/>
      <c r="U39" s="57"/>
      <c r="V39" s="62"/>
      <c r="W39" s="59"/>
      <c r="X39" s="101"/>
      <c r="Y39" s="127" t="str" cm="1">
        <f t="array" ref="Y39">GetPolarity(X39,AE39)</f>
        <v/>
      </c>
      <c r="Z39" s="60"/>
      <c r="AA39" s="59"/>
      <c r="AB39" s="71" t="str">
        <f t="shared" si="5"/>
        <v/>
      </c>
      <c r="AC39" s="71" t="str">
        <f t="shared" si="6"/>
        <v/>
      </c>
      <c r="AD39" s="60"/>
      <c r="AE39" s="59"/>
      <c r="AF39" s="21" t="str">
        <f t="shared" si="4"/>
        <v/>
      </c>
    </row>
    <row r="40" spans="1:32" x14ac:dyDescent="0.25">
      <c r="A40" s="107" t="e" cm="1">
        <f t="array" ref="A40">IfEmpty(TRIM(_xlfn.CONCAT(C40:H40)),"",CRC32HASH(_xlfn.CONCAT(C40:H40)))</f>
        <v>#VALUE!</v>
      </c>
      <c r="B40" s="10" t="str">
        <f>IFERROR(VLOOKUP(J40,Items[],2,FALSE),"")</f>
        <v/>
      </c>
      <c r="C40" s="32" t="e" cm="1">
        <f t="array" ref="C40">W40 &amp; " " &amp; IfEmpty(U40,#REF!)</f>
        <v>#REF!</v>
      </c>
      <c r="D40" s="41" t="e">
        <f>IF(OR(#REF!="°C",#REF!= "°F"), Z40 &amp; " " &amp;#REF!, IF(RIGHT(#REF!,2)="Hz", AF40 &amp; " @ " &amp; Z40 &amp; " " &amp;#REF!, Z40 &amp;#REF! &amp; " " &amp; AF40))</f>
        <v>#REF!</v>
      </c>
      <c r="E40" s="55" t="str">
        <f>IFERROR(TEXT(ROUND(AVERAGE(N40:R40),-LOG10(V40)),"0." &amp; REPT("0",-LOG10(V40))) &amp;#REF!,"")</f>
        <v/>
      </c>
      <c r="F40" s="39" t="str">
        <f>IF(AB40="","",AB40 &amp;#REF!)</f>
        <v/>
      </c>
      <c r="G40" s="39" t="str">
        <f>IF(AC40="","",AC40 &amp;#REF!)</f>
        <v/>
      </c>
      <c r="H40" s="33" t="str" cm="1">
        <f t="array" ref="H40:J40">IFERROR(CalcUnc(K40,L40,S40,T40,V40,X40,AD40,AE40,N40:R40,Z40,AA40),"")</f>
        <v/>
      </c>
      <c r="I40" s="48" t="str">
        <v/>
      </c>
      <c r="J40" s="77" t="str">
        <v/>
      </c>
      <c r="K40" s="53"/>
      <c r="L40" s="54"/>
      <c r="M40" s="22"/>
      <c r="N40" s="50"/>
      <c r="O40" s="51"/>
      <c r="P40" s="51"/>
      <c r="Q40" s="84"/>
      <c r="R40" s="84"/>
      <c r="S40" s="87"/>
      <c r="T40" s="100"/>
      <c r="U40" s="57"/>
      <c r="V40" s="62"/>
      <c r="W40" s="59"/>
      <c r="X40" s="101"/>
      <c r="Y40" s="127" t="str" cm="1">
        <f t="array" ref="Y40">GetPolarity(X40,AE40)</f>
        <v/>
      </c>
      <c r="Z40" s="60"/>
      <c r="AA40" s="59"/>
      <c r="AB40" s="71" t="str">
        <f t="shared" si="5"/>
        <v/>
      </c>
      <c r="AC40" s="71" t="str">
        <f t="shared" si="6"/>
        <v/>
      </c>
      <c r="AD40" s="60"/>
      <c r="AE40" s="59"/>
      <c r="AF40" s="21" t="str">
        <f t="shared" si="4"/>
        <v/>
      </c>
    </row>
    <row r="41" spans="1:32" x14ac:dyDescent="0.25">
      <c r="A41" s="107" t="e" cm="1">
        <f t="array" ref="A41">IfEmpty(TRIM(_xlfn.CONCAT(C41:H41)),"",CRC32HASH(_xlfn.CONCAT(C41:H41)))</f>
        <v>#VALUE!</v>
      </c>
      <c r="B41" s="37" t="str">
        <f>IFERROR(VLOOKUP(J41,Items[],2,FALSE),"")</f>
        <v/>
      </c>
      <c r="C41" s="34" t="e" cm="1">
        <f t="array" ref="C41">W41 &amp; " " &amp; IfEmpty(U41,#REF!)</f>
        <v>#REF!</v>
      </c>
      <c r="D41" s="35" t="e">
        <f>IF(OR(#REF!="°C",#REF!= "°F"), Z41 &amp; " " &amp;#REF!, IF(RIGHT(#REF!,2)="Hz", AF41 &amp; " @ " &amp; Z41 &amp; " " &amp;#REF!, Z41 &amp;#REF! &amp; " " &amp; AF41))</f>
        <v>#REF!</v>
      </c>
      <c r="E41" s="56" t="str">
        <f>IFERROR(TEXT(ROUND(AVERAGE(N41:R41),-LOG10(V41)),"0." &amp; REPT("0",-LOG10(V41))) &amp;#REF!,"")</f>
        <v/>
      </c>
      <c r="F41" s="40" t="str">
        <f>IF(AB41="","",AB41 &amp;#REF!)</f>
        <v/>
      </c>
      <c r="G41" s="40" t="str">
        <f>IF(AC41="","",AC41 &amp;#REF!)</f>
        <v/>
      </c>
      <c r="H41" s="36" t="str" cm="1">
        <f t="array" ref="H41:J41">IFERROR(CalcUnc(K41,L41,S41,T41,V41,X41,AD41,AE41,N41:R41,Z41,AA41),"")</f>
        <v/>
      </c>
      <c r="I41" s="48" t="str">
        <v/>
      </c>
      <c r="J41" s="77" t="str">
        <v/>
      </c>
      <c r="K41" s="53"/>
      <c r="L41" s="54"/>
      <c r="M41" s="22"/>
      <c r="N41" s="50"/>
      <c r="O41" s="51"/>
      <c r="P41" s="51"/>
      <c r="Q41" s="84"/>
      <c r="R41" s="84"/>
      <c r="S41" s="87"/>
      <c r="T41" s="100"/>
      <c r="U41" s="57"/>
      <c r="V41" s="62"/>
      <c r="W41" s="59"/>
      <c r="X41" s="101"/>
      <c r="Y41" s="127" t="str" cm="1">
        <f t="array" ref="Y41">GetPolarity(X41,AE41)</f>
        <v/>
      </c>
      <c r="Z41" s="60"/>
      <c r="AA41" s="59"/>
      <c r="AB41" s="71" t="str">
        <f t="shared" si="5"/>
        <v/>
      </c>
      <c r="AC41" s="71" t="str">
        <f t="shared" si="6"/>
        <v/>
      </c>
      <c r="AD41" s="60"/>
      <c r="AE41" s="59"/>
      <c r="AF41" s="21" t="str">
        <f t="shared" si="4"/>
        <v/>
      </c>
    </row>
    <row r="42" spans="1:32" x14ac:dyDescent="0.25">
      <c r="A42" s="107" t="e" cm="1">
        <f t="array" ref="A42">IfEmpty(TRIM(_xlfn.CONCAT(C42:H42)),"",CRC32HASH(_xlfn.CONCAT(C42:H42)))</f>
        <v>#VALUE!</v>
      </c>
      <c r="B42" s="10" t="str">
        <f>IFERROR(VLOOKUP(J42,Items[],2,FALSE),"")</f>
        <v/>
      </c>
      <c r="C42" s="32" t="e" cm="1">
        <f t="array" ref="C42">W42 &amp; " " &amp; IfEmpty(U42,#REF!)</f>
        <v>#REF!</v>
      </c>
      <c r="D42" s="41" t="e">
        <f>IF(OR(#REF!="°C",#REF!= "°F"), Z42 &amp; " " &amp;#REF!, IF(RIGHT(#REF!,2)="Hz", AF42 &amp; " @ " &amp; Z42 &amp; " " &amp;#REF!, Z42 &amp;#REF! &amp; " " &amp; AF42))</f>
        <v>#REF!</v>
      </c>
      <c r="E42" s="55" t="str">
        <f>IFERROR(TEXT(ROUND(AVERAGE(N42:R42),-LOG10(V42)),"0." &amp; REPT("0",-LOG10(V42))) &amp;#REF!,"")</f>
        <v/>
      </c>
      <c r="F42" s="39" t="str">
        <f>IF(AB42="","",AB42 &amp;#REF!)</f>
        <v/>
      </c>
      <c r="G42" s="39" t="str">
        <f>IF(AC42="","",AC42 &amp;#REF!)</f>
        <v/>
      </c>
      <c r="H42" s="33" t="str" cm="1">
        <f t="array" ref="H42:J42">IFERROR(CalcUnc(K42,L42,S42,T42,V42,X42,AD42,AE42,N42:R42,Z42,AA42),"")</f>
        <v/>
      </c>
      <c r="I42" s="48" t="str">
        <v/>
      </c>
      <c r="J42" s="77" t="str">
        <v/>
      </c>
      <c r="K42" s="53"/>
      <c r="L42" s="54"/>
      <c r="M42" s="22"/>
      <c r="N42" s="50"/>
      <c r="O42" s="51"/>
      <c r="P42" s="51"/>
      <c r="Q42" s="84"/>
      <c r="R42" s="84"/>
      <c r="S42" s="87"/>
      <c r="T42" s="100"/>
      <c r="U42" s="57"/>
      <c r="V42" s="62"/>
      <c r="W42" s="59"/>
      <c r="X42" s="101"/>
      <c r="Y42" s="127" t="str" cm="1">
        <f t="array" ref="Y42">GetPolarity(X42,AE42)</f>
        <v/>
      </c>
      <c r="Z42" s="60"/>
      <c r="AA42" s="59"/>
      <c r="AB42" s="71" t="str">
        <f t="shared" si="5"/>
        <v/>
      </c>
      <c r="AC42" s="71" t="str">
        <f t="shared" si="6"/>
        <v/>
      </c>
      <c r="AD42" s="60"/>
      <c r="AE42" s="59"/>
      <c r="AF42" s="21" t="str">
        <f t="shared" si="4"/>
        <v/>
      </c>
    </row>
    <row r="43" spans="1:32" x14ac:dyDescent="0.25">
      <c r="A43" s="107" t="e" cm="1">
        <f t="array" ref="A43">IfEmpty(TRIM(_xlfn.CONCAT(C43:H43)),"",CRC32HASH(_xlfn.CONCAT(C43:H43)))</f>
        <v>#VALUE!</v>
      </c>
      <c r="B43" s="37" t="str">
        <f>IFERROR(VLOOKUP(J43,Items[],2,FALSE),"")</f>
        <v/>
      </c>
      <c r="C43" s="34" t="e" cm="1">
        <f t="array" ref="C43">W43 &amp; " " &amp; IfEmpty(U43,#REF!)</f>
        <v>#REF!</v>
      </c>
      <c r="D43" s="35" t="e">
        <f>IF(OR(#REF!="°C",#REF!= "°F"), Z43 &amp; " " &amp;#REF!, IF(RIGHT(#REF!,2)="Hz", AF43 &amp; " @ " &amp; Z43 &amp; " " &amp;#REF!, Z43 &amp;#REF! &amp; " " &amp; AF43))</f>
        <v>#REF!</v>
      </c>
      <c r="E43" s="56" t="str">
        <f>IFERROR(TEXT(ROUND(AVERAGE(N43:R43),-LOG10(V43)),"0." &amp; REPT("0",-LOG10(V43))) &amp;#REF!,"")</f>
        <v/>
      </c>
      <c r="F43" s="40" t="str">
        <f>IF(AB43="","",AB43 &amp;#REF!)</f>
        <v/>
      </c>
      <c r="G43" s="40" t="str">
        <f>IF(AC43="","",AC43 &amp;#REF!)</f>
        <v/>
      </c>
      <c r="H43" s="36" t="str" cm="1">
        <f t="array" ref="H43:J43">IFERROR(CalcUnc(K43,L43,S43,T43,V43,X43,AD43,AE43,N43:R43,Z43,AA43),"")</f>
        <v/>
      </c>
      <c r="I43" s="48" t="str">
        <v/>
      </c>
      <c r="J43" s="77" t="str">
        <v/>
      </c>
      <c r="K43" s="53"/>
      <c r="L43" s="54"/>
      <c r="M43" s="22"/>
      <c r="N43" s="50"/>
      <c r="O43" s="51"/>
      <c r="P43" s="51"/>
      <c r="Q43" s="84"/>
      <c r="R43" s="84"/>
      <c r="S43" s="87"/>
      <c r="T43" s="100"/>
      <c r="U43" s="57"/>
      <c r="V43" s="62"/>
      <c r="W43" s="59"/>
      <c r="X43" s="101"/>
      <c r="Y43" s="127" t="str" cm="1">
        <f t="array" ref="Y43">GetPolarity(X43,AE43)</f>
        <v/>
      </c>
      <c r="Z43" s="60"/>
      <c r="AA43" s="59"/>
      <c r="AB43" s="71" t="str">
        <f t="shared" si="5"/>
        <v/>
      </c>
      <c r="AC43" s="71" t="str">
        <f t="shared" si="6"/>
        <v/>
      </c>
      <c r="AD43" s="60"/>
      <c r="AE43" s="59"/>
      <c r="AF43" s="21" t="str">
        <f t="shared" si="4"/>
        <v/>
      </c>
    </row>
    <row r="44" spans="1:32" x14ac:dyDescent="0.25">
      <c r="A44" s="107" t="e" cm="1">
        <f t="array" ref="A44">IfEmpty(TRIM(_xlfn.CONCAT(C44:H44)),"",CRC32HASH(_xlfn.CONCAT(C44:H44)))</f>
        <v>#VALUE!</v>
      </c>
      <c r="B44" s="10" t="str">
        <f>IFERROR(VLOOKUP(J44,Items[],2,FALSE),"")</f>
        <v/>
      </c>
      <c r="C44" s="32" t="e" cm="1">
        <f t="array" ref="C44">W44 &amp; " " &amp; IfEmpty(U44,#REF!)</f>
        <v>#REF!</v>
      </c>
      <c r="D44" s="41" t="e">
        <f>IF(OR(#REF!="°C",#REF!= "°F"), Z44 &amp; " " &amp;#REF!, IF(RIGHT(#REF!,2)="Hz", AF44 &amp; " @ " &amp; Z44 &amp; " " &amp;#REF!, Z44 &amp;#REF! &amp; " " &amp; AF44))</f>
        <v>#REF!</v>
      </c>
      <c r="E44" s="55" t="str">
        <f>IFERROR(TEXT(ROUND(AVERAGE(N44:R44),-LOG10(V44)),"0." &amp; REPT("0",-LOG10(V44))) &amp;#REF!,"")</f>
        <v/>
      </c>
      <c r="F44" s="39" t="str">
        <f>IF(AB44="","",AB44 &amp;#REF!)</f>
        <v/>
      </c>
      <c r="G44" s="39" t="str">
        <f>IF(AC44="","",AC44 &amp;#REF!)</f>
        <v/>
      </c>
      <c r="H44" s="33" t="str" cm="1">
        <f t="array" ref="H44:J44">IFERROR(CalcUnc(K44,L44,S44,T44,V44,X44,AD44,AE44,N44:R44,Z44,AA44),"")</f>
        <v/>
      </c>
      <c r="I44" s="48" t="str">
        <v/>
      </c>
      <c r="J44" s="77" t="str">
        <v/>
      </c>
      <c r="K44" s="53"/>
      <c r="L44" s="54"/>
      <c r="M44" s="22"/>
      <c r="N44" s="50"/>
      <c r="O44" s="51"/>
      <c r="P44" s="51"/>
      <c r="Q44" s="84"/>
      <c r="R44" s="84"/>
      <c r="S44" s="87"/>
      <c r="T44" s="100"/>
      <c r="U44" s="57"/>
      <c r="V44" s="62"/>
      <c r="W44" s="59"/>
      <c r="X44" s="101"/>
      <c r="Y44" s="127" t="str" cm="1">
        <f t="array" ref="Y44">GetPolarity(X44,AE44)</f>
        <v/>
      </c>
      <c r="Z44" s="60"/>
      <c r="AA44" s="59"/>
      <c r="AB44" s="71" t="str">
        <f t="shared" si="5"/>
        <v/>
      </c>
      <c r="AC44" s="71" t="str">
        <f t="shared" si="6"/>
        <v/>
      </c>
      <c r="AD44" s="60"/>
      <c r="AE44" s="59"/>
      <c r="AF44" s="21" t="str">
        <f t="shared" si="4"/>
        <v/>
      </c>
    </row>
    <row r="45" spans="1:32" x14ac:dyDescent="0.25">
      <c r="A45" s="107" t="e" cm="1">
        <f t="array" ref="A45">IfEmpty(TRIM(_xlfn.CONCAT(C45:H45)),"",CRC32HASH(_xlfn.CONCAT(C45:H45)))</f>
        <v>#VALUE!</v>
      </c>
      <c r="B45" s="37" t="str">
        <f>IFERROR(VLOOKUP(J45,Items[],2,FALSE),"")</f>
        <v/>
      </c>
      <c r="C45" s="34" t="e" cm="1">
        <f t="array" ref="C45">W45 &amp; " " &amp; IfEmpty(U45,#REF!)</f>
        <v>#REF!</v>
      </c>
      <c r="D45" s="35" t="e">
        <f>IF(OR(#REF!="°C",#REF!= "°F"), Z45 &amp; " " &amp;#REF!, IF(RIGHT(#REF!,2)="Hz", AF45 &amp; " @ " &amp; Z45 &amp; " " &amp;#REF!, Z45 &amp;#REF! &amp; " " &amp; AF45))</f>
        <v>#REF!</v>
      </c>
      <c r="E45" s="56" t="str">
        <f>IFERROR(TEXT(ROUND(AVERAGE(N45:R45),-LOG10(V45)),"0." &amp; REPT("0",-LOG10(V45))) &amp;#REF!,"")</f>
        <v/>
      </c>
      <c r="F45" s="40" t="str">
        <f>IF(AB45="","",AB45 &amp;#REF!)</f>
        <v/>
      </c>
      <c r="G45" s="40" t="str">
        <f>IF(AC45="","",AC45 &amp;#REF!)</f>
        <v/>
      </c>
      <c r="H45" s="36" t="str" cm="1">
        <f t="array" ref="H45:J45">IFERROR(CalcUnc(K45,L45,S45,T45,V45,X45,AD45,AE45,N45:R45,Z45,AA45),"")</f>
        <v/>
      </c>
      <c r="I45" s="48" t="str">
        <v/>
      </c>
      <c r="J45" s="77" t="str">
        <v/>
      </c>
      <c r="K45" s="53"/>
      <c r="L45" s="54"/>
      <c r="M45" s="22"/>
      <c r="N45" s="50"/>
      <c r="O45" s="51"/>
      <c r="P45" s="51"/>
      <c r="Q45" s="84"/>
      <c r="R45" s="84"/>
      <c r="S45" s="87"/>
      <c r="T45" s="100"/>
      <c r="U45" s="57"/>
      <c r="V45" s="62"/>
      <c r="W45" s="59"/>
      <c r="X45" s="101"/>
      <c r="Y45" s="127" t="str" cm="1">
        <f t="array" ref="Y45">GetPolarity(X45,AE45)</f>
        <v/>
      </c>
      <c r="Z45" s="60"/>
      <c r="AA45" s="63"/>
      <c r="AB45" s="71" t="str">
        <f t="shared" si="5"/>
        <v/>
      </c>
      <c r="AC45" s="71" t="str">
        <f t="shared" si="6"/>
        <v/>
      </c>
      <c r="AD45" s="60"/>
      <c r="AE45" s="59"/>
      <c r="AF45" s="21" t="str">
        <f t="shared" si="4"/>
        <v/>
      </c>
    </row>
    <row r="46" spans="1:32" x14ac:dyDescent="0.25">
      <c r="A46" s="107" t="e" cm="1">
        <f t="array" ref="A46">IfEmpty(TRIM(_xlfn.CONCAT(C46:H46)),"",CRC32HASH(_xlfn.CONCAT(C46:H46)))</f>
        <v>#VALUE!</v>
      </c>
      <c r="B46" s="10" t="str">
        <f>IFERROR(VLOOKUP(J46,Items[],2,FALSE),"")</f>
        <v/>
      </c>
      <c r="C46" s="32" t="e" cm="1">
        <f t="array" ref="C46">W46 &amp; " " &amp; IfEmpty(U46,#REF!)</f>
        <v>#REF!</v>
      </c>
      <c r="D46" s="41" t="e">
        <f>IF(OR(#REF!="°C",#REF!= "°F"), Z46 &amp; " " &amp;#REF!, IF(RIGHT(#REF!,2)="Hz", AF46 &amp; " @ " &amp; Z46 &amp; " " &amp;#REF!, Z46 &amp;#REF! &amp; " " &amp; AF46))</f>
        <v>#REF!</v>
      </c>
      <c r="E46" s="55" t="str">
        <f>IFERROR(TEXT(ROUND(AVERAGE(N46:R46),-LOG10(V46)),"0." &amp; REPT("0",-LOG10(V46))) &amp;#REF!,"")</f>
        <v/>
      </c>
      <c r="F46" s="39" t="str">
        <f>IF(AB46="","",AB46 &amp;#REF!)</f>
        <v/>
      </c>
      <c r="G46" s="39" t="str">
        <f>IF(AC46="","",AC46 &amp;#REF!)</f>
        <v/>
      </c>
      <c r="H46" s="33" t="str" cm="1">
        <f t="array" ref="H46:J46">IFERROR(CalcUnc(K46,L46,S46,T46,V46,X46,AD46,AE46,N46:R46,Z46,AA46),"")</f>
        <v/>
      </c>
      <c r="I46" s="48" t="str">
        <v/>
      </c>
      <c r="J46" s="77" t="str">
        <v/>
      </c>
      <c r="K46" s="53"/>
      <c r="L46" s="54"/>
      <c r="M46" s="22"/>
      <c r="N46" s="50"/>
      <c r="O46" s="51"/>
      <c r="P46" s="51"/>
      <c r="Q46" s="84"/>
      <c r="R46" s="84"/>
      <c r="S46" s="87"/>
      <c r="T46" s="100"/>
      <c r="U46" s="57"/>
      <c r="V46" s="62"/>
      <c r="W46" s="59"/>
      <c r="X46" s="101"/>
      <c r="Y46" s="127" t="str" cm="1">
        <f t="array" ref="Y46">GetPolarity(X46,AE46)</f>
        <v/>
      </c>
      <c r="Z46" s="60"/>
      <c r="AA46" s="63"/>
      <c r="AB46" s="71" t="str">
        <f t="shared" si="5"/>
        <v/>
      </c>
      <c r="AC46" s="71" t="str">
        <f t="shared" si="6"/>
        <v/>
      </c>
      <c r="AD46" s="60"/>
      <c r="AE46" s="59"/>
      <c r="AF46" s="21" t="str">
        <f t="shared" si="4"/>
        <v/>
      </c>
    </row>
    <row r="47" spans="1:32" x14ac:dyDescent="0.25">
      <c r="A47" s="107" t="e" cm="1">
        <f t="array" ref="A47">IfEmpty(TRIM(_xlfn.CONCAT(C47:H47)),"",CRC32HASH(_xlfn.CONCAT(C47:H47)))</f>
        <v>#VALUE!</v>
      </c>
      <c r="B47" s="37" t="str">
        <f>IFERROR(VLOOKUP(J47,Items[],2,FALSE),"")</f>
        <v/>
      </c>
      <c r="C47" s="34" t="e" cm="1">
        <f t="array" ref="C47">W47 &amp; " " &amp; IfEmpty(U47,#REF!)</f>
        <v>#REF!</v>
      </c>
      <c r="D47" s="35" t="e">
        <f>IF(OR(#REF!="°C",#REF!= "°F"), Z47 &amp; " " &amp;#REF!, IF(RIGHT(#REF!,2)="Hz", AF47 &amp; " @ " &amp; Z47 &amp; " " &amp;#REF!, Z47 &amp;#REF! &amp; " " &amp; AF47))</f>
        <v>#REF!</v>
      </c>
      <c r="E47" s="56" t="str">
        <f>IFERROR(TEXT(ROUND(AVERAGE(N47:R47),-LOG10(V47)),"0." &amp; REPT("0",-LOG10(V47))) &amp;#REF!,"")</f>
        <v/>
      </c>
      <c r="F47" s="40" t="str">
        <f>IF(AB47="","",AB47 &amp;#REF!)</f>
        <v/>
      </c>
      <c r="G47" s="40" t="str">
        <f>IF(AC47="","",AC47 &amp;#REF!)</f>
        <v/>
      </c>
      <c r="H47" s="36" t="str" cm="1">
        <f t="array" ref="H47:J47">IFERROR(CalcUnc(K47,L47,S47,T47,V47,X47,AD47,AE47,N47:R47,Z47,AA47),"")</f>
        <v/>
      </c>
      <c r="I47" s="48" t="str">
        <v/>
      </c>
      <c r="J47" s="77" t="str">
        <v/>
      </c>
      <c r="K47" s="53"/>
      <c r="L47" s="54"/>
      <c r="M47" s="22"/>
      <c r="N47" s="50"/>
      <c r="O47" s="51"/>
      <c r="P47" s="51"/>
      <c r="Q47" s="84"/>
      <c r="R47" s="84"/>
      <c r="S47" s="87"/>
      <c r="T47" s="100"/>
      <c r="U47" s="57"/>
      <c r="V47" s="62"/>
      <c r="W47" s="59"/>
      <c r="X47" s="101"/>
      <c r="Y47" s="127" t="str" cm="1">
        <f t="array" ref="Y47">GetPolarity(X47,AE47)</f>
        <v/>
      </c>
      <c r="Z47" s="60"/>
      <c r="AA47" s="63"/>
      <c r="AB47" s="71" t="str">
        <f t="shared" si="5"/>
        <v/>
      </c>
      <c r="AC47" s="71" t="str">
        <f t="shared" si="6"/>
        <v/>
      </c>
      <c r="AD47" s="60"/>
      <c r="AE47" s="59"/>
      <c r="AF47" s="21" t="str">
        <f t="shared" si="4"/>
        <v/>
      </c>
    </row>
    <row r="48" spans="1:32" x14ac:dyDescent="0.25">
      <c r="A48" s="107" t="e" cm="1">
        <f t="array" ref="A48">IfEmpty(TRIM(_xlfn.CONCAT(C48:H48)),"",CRC32HASH(_xlfn.CONCAT(C48:H48)))</f>
        <v>#VALUE!</v>
      </c>
      <c r="B48" s="10" t="str">
        <f>IFERROR(VLOOKUP(J48,Items[],2,FALSE),"")</f>
        <v/>
      </c>
      <c r="C48" s="32" t="e" cm="1">
        <f t="array" ref="C48">W48 &amp; " " &amp; IfEmpty(U48,#REF!)</f>
        <v>#REF!</v>
      </c>
      <c r="D48" s="41" t="e">
        <f>IF(OR(#REF!="°C",#REF!= "°F"), Z48 &amp; " " &amp;#REF!, IF(RIGHT(#REF!,2)="Hz", AF48 &amp; " @ " &amp; Z48 &amp; " " &amp;#REF!, Z48 &amp;#REF! &amp; " " &amp; AF48))</f>
        <v>#REF!</v>
      </c>
      <c r="E48" s="55" t="str">
        <f>IFERROR(TEXT(ROUND(AVERAGE(N48:R48),-LOG10(V48)),"0." &amp; REPT("0",-LOG10(V48))) &amp;#REF!,"")</f>
        <v/>
      </c>
      <c r="F48" s="39" t="str">
        <f>IF(AB48="","",AB48 &amp;#REF!)</f>
        <v/>
      </c>
      <c r="G48" s="39" t="str">
        <f>IF(AC48="","",AC48 &amp;#REF!)</f>
        <v/>
      </c>
      <c r="H48" s="33" t="str" cm="1">
        <f t="array" ref="H48:J48">IFERROR(CalcUnc(K48,L48,S48,T48,V48,X48,AD48,AE48,N48:R48,Z48,AA48),"")</f>
        <v/>
      </c>
      <c r="I48" s="48" t="str">
        <v/>
      </c>
      <c r="J48" s="77" t="str">
        <v/>
      </c>
      <c r="K48" s="53"/>
      <c r="L48" s="54"/>
      <c r="M48" s="22"/>
      <c r="N48" s="50"/>
      <c r="O48" s="51"/>
      <c r="P48" s="51"/>
      <c r="Q48" s="84"/>
      <c r="R48" s="84"/>
      <c r="S48" s="87"/>
      <c r="T48" s="100"/>
      <c r="U48" s="57"/>
      <c r="V48" s="62"/>
      <c r="W48" s="59"/>
      <c r="X48" s="101"/>
      <c r="Y48" s="127" t="str" cm="1">
        <f t="array" ref="Y48">GetPolarity(X48,AE48)</f>
        <v/>
      </c>
      <c r="Z48" s="60"/>
      <c r="AA48" s="63"/>
      <c r="AB48" s="71" t="str">
        <f t="shared" si="5"/>
        <v/>
      </c>
      <c r="AC48" s="71" t="str">
        <f t="shared" si="6"/>
        <v/>
      </c>
      <c r="AD48" s="60"/>
      <c r="AE48" s="59"/>
      <c r="AF48" s="21" t="str">
        <f t="shared" si="4"/>
        <v/>
      </c>
    </row>
    <row r="49" spans="1:32" x14ac:dyDescent="0.25">
      <c r="A49" s="107" t="e" cm="1">
        <f t="array" ref="A49">IfEmpty(TRIM(_xlfn.CONCAT(C49:H49)),"",CRC32HASH(_xlfn.CONCAT(C49:H49)))</f>
        <v>#VALUE!</v>
      </c>
      <c r="B49" s="37" t="str">
        <f>IFERROR(VLOOKUP(J49,Items[],2,FALSE),"")</f>
        <v/>
      </c>
      <c r="C49" s="34" t="e" cm="1">
        <f t="array" ref="C49">W49 &amp; " " &amp; IfEmpty(U49,#REF!)</f>
        <v>#REF!</v>
      </c>
      <c r="D49" s="35" t="e">
        <f>IF(OR(#REF!="°C",#REF!= "°F"), Z49 &amp; " " &amp;#REF!, IF(RIGHT(#REF!,2)="Hz", AF49 &amp; " @ " &amp; Z49 &amp; " " &amp;#REF!, Z49 &amp;#REF! &amp; " " &amp; AF49))</f>
        <v>#REF!</v>
      </c>
      <c r="E49" s="56" t="str">
        <f>IFERROR(TEXT(ROUND(AVERAGE(N49:R49),-LOG10(V49)),"0." &amp; REPT("0",-LOG10(V49))) &amp;#REF!,"")</f>
        <v/>
      </c>
      <c r="F49" s="40" t="str">
        <f>IF(AB49="","",AB49 &amp;#REF!)</f>
        <v/>
      </c>
      <c r="G49" s="40" t="str">
        <f>IF(AC49="","",AC49 &amp;#REF!)</f>
        <v/>
      </c>
      <c r="H49" s="36" t="str" cm="1">
        <f t="array" ref="H49:J49">IFERROR(CalcUnc(K49,L49,S49,T49,V49,X49,AD49,AE49,N49:R49,Z49,AA49),"")</f>
        <v/>
      </c>
      <c r="I49" s="48" t="str">
        <v/>
      </c>
      <c r="J49" s="77" t="str">
        <v/>
      </c>
      <c r="K49" s="53"/>
      <c r="L49" s="54"/>
      <c r="M49" s="22"/>
      <c r="N49" s="50"/>
      <c r="O49" s="51"/>
      <c r="P49" s="51"/>
      <c r="Q49" s="84"/>
      <c r="R49" s="84"/>
      <c r="S49" s="87"/>
      <c r="T49" s="100"/>
      <c r="U49" s="57"/>
      <c r="V49" s="62"/>
      <c r="W49" s="59"/>
      <c r="X49" s="101"/>
      <c r="Y49" s="127" t="str" cm="1">
        <f t="array" ref="Y49">GetPolarity(X49,AE49)</f>
        <v/>
      </c>
      <c r="Z49" s="60"/>
      <c r="AA49" s="63"/>
      <c r="AB49" s="71" t="str">
        <f t="shared" si="5"/>
        <v/>
      </c>
      <c r="AC49" s="71" t="str">
        <f t="shared" si="6"/>
        <v/>
      </c>
      <c r="AD49" s="60"/>
      <c r="AE49" s="59"/>
      <c r="AF49" s="21" t="str">
        <f t="shared" si="4"/>
        <v/>
      </c>
    </row>
    <row r="50" spans="1:32" x14ac:dyDescent="0.25">
      <c r="A50" s="107" t="e" cm="1">
        <f t="array" ref="A50">IfEmpty(TRIM(_xlfn.CONCAT(C50:H50)),"",CRC32HASH(_xlfn.CONCAT(C50:H50)))</f>
        <v>#VALUE!</v>
      </c>
      <c r="B50" s="10" t="str">
        <f>IFERROR(VLOOKUP(J50,Items[],2,FALSE),"")</f>
        <v/>
      </c>
      <c r="C50" s="32" t="e" cm="1">
        <f t="array" ref="C50">W50 &amp; " " &amp; IfEmpty(U50,#REF!)</f>
        <v>#REF!</v>
      </c>
      <c r="D50" s="41" t="e">
        <f>IF(OR(#REF!="°C",#REF!= "°F"), Z50 &amp; " " &amp;#REF!, IF(RIGHT(#REF!,2)="Hz", AF50 &amp; " @ " &amp; Z50 &amp; " " &amp;#REF!, Z50 &amp;#REF! &amp; " " &amp; AF50))</f>
        <v>#REF!</v>
      </c>
      <c r="E50" s="55" t="str">
        <f>IFERROR(TEXT(ROUND(AVERAGE(N50:R50),-LOG10(V50)),"0." &amp; REPT("0",-LOG10(V50))) &amp;#REF!,"")</f>
        <v/>
      </c>
      <c r="F50" s="39" t="str">
        <f>IF(AB50="","",AB50 &amp;#REF!)</f>
        <v/>
      </c>
      <c r="G50" s="39" t="str">
        <f>IF(AC50="","",AC50 &amp;#REF!)</f>
        <v/>
      </c>
      <c r="H50" s="33" t="str" cm="1">
        <f t="array" ref="H50:J50">IFERROR(CalcUnc(K50,L50,S50,T50,V50,X50,AD50,AE50,N50:R50,Z50,AA50),"")</f>
        <v/>
      </c>
      <c r="I50" s="48" t="str">
        <v/>
      </c>
      <c r="J50" s="77" t="str">
        <v/>
      </c>
      <c r="K50" s="53"/>
      <c r="L50" s="54"/>
      <c r="M50" s="22"/>
      <c r="N50" s="50"/>
      <c r="O50" s="51"/>
      <c r="P50" s="51"/>
      <c r="Q50" s="84"/>
      <c r="R50" s="84"/>
      <c r="S50" s="87"/>
      <c r="T50" s="100"/>
      <c r="U50" s="57"/>
      <c r="V50" s="62"/>
      <c r="W50" s="59"/>
      <c r="X50" s="101"/>
      <c r="Y50" s="127" t="str" cm="1">
        <f t="array" ref="Y50">GetPolarity(X50,AE50)</f>
        <v/>
      </c>
      <c r="Z50" s="60"/>
      <c r="AA50" s="63"/>
      <c r="AB50" s="71" t="str">
        <f t="shared" si="5"/>
        <v/>
      </c>
      <c r="AC50" s="71" t="str">
        <f t="shared" si="6"/>
        <v/>
      </c>
      <c r="AD50" s="60"/>
      <c r="AE50" s="59"/>
      <c r="AF50" s="21" t="str">
        <f t="shared" si="4"/>
        <v/>
      </c>
    </row>
    <row r="51" spans="1:32" x14ac:dyDescent="0.25">
      <c r="A51" s="107" t="e" cm="1">
        <f t="array" ref="A51">IfEmpty(TRIM(_xlfn.CONCAT(C51:H51)),"",CRC32HASH(_xlfn.CONCAT(C51:H51)))</f>
        <v>#VALUE!</v>
      </c>
      <c r="B51" s="37" t="str">
        <f>IFERROR(VLOOKUP(J51,Items[],2,FALSE),"")</f>
        <v/>
      </c>
      <c r="C51" s="34" t="e" cm="1">
        <f t="array" ref="C51">W51 &amp; " " &amp; IfEmpty(U51,#REF!)</f>
        <v>#REF!</v>
      </c>
      <c r="D51" s="35" t="e">
        <f>IF(OR(#REF!="°C",#REF!= "°F"), Z51 &amp; " " &amp;#REF!, IF(RIGHT(#REF!,2)="Hz", AF51 &amp; " @ " &amp; Z51 &amp; " " &amp;#REF!, Z51 &amp;#REF! &amp; " " &amp; AF51))</f>
        <v>#REF!</v>
      </c>
      <c r="E51" s="56" t="str">
        <f>IFERROR(TEXT(ROUND(AVERAGE(N51:R51),-LOG10(V51)),"0." &amp; REPT("0",-LOG10(V51))) &amp;#REF!,"")</f>
        <v/>
      </c>
      <c r="F51" s="40" t="str">
        <f>IF(AB51="","",AB51 &amp;#REF!)</f>
        <v/>
      </c>
      <c r="G51" s="40" t="str">
        <f>IF(AC51="","",AC51 &amp;#REF!)</f>
        <v/>
      </c>
      <c r="H51" s="36" t="str" cm="1">
        <f t="array" ref="H51:J51">IFERROR(CalcUnc(K51,L51,S51,T51,V51,X51,AD51,AE51,N51:R51,Z51,AA51),"")</f>
        <v/>
      </c>
      <c r="I51" s="48" t="str">
        <v/>
      </c>
      <c r="J51" s="77" t="str">
        <v/>
      </c>
      <c r="K51" s="53"/>
      <c r="L51" s="54"/>
      <c r="M51" s="22"/>
      <c r="N51" s="50"/>
      <c r="O51" s="51"/>
      <c r="P51" s="51"/>
      <c r="Q51" s="84"/>
      <c r="R51" s="84"/>
      <c r="S51" s="87"/>
      <c r="T51" s="100"/>
      <c r="U51" s="57"/>
      <c r="V51" s="62"/>
      <c r="W51" s="59"/>
      <c r="X51" s="101"/>
      <c r="Y51" s="127" t="str" cm="1">
        <f t="array" ref="Y51">GetPolarity(X51,AE51)</f>
        <v/>
      </c>
      <c r="Z51" s="60"/>
      <c r="AA51" s="63"/>
      <c r="AB51" s="71" t="str">
        <f t="shared" si="5"/>
        <v/>
      </c>
      <c r="AC51" s="71" t="str">
        <f t="shared" si="6"/>
        <v/>
      </c>
      <c r="AD51" s="60"/>
      <c r="AE51" s="59"/>
      <c r="AF51" s="21" t="str">
        <f t="shared" si="4"/>
        <v/>
      </c>
    </row>
    <row r="52" spans="1:32" x14ac:dyDescent="0.25">
      <c r="A52" s="107" t="e" cm="1">
        <f t="array" ref="A52">IfEmpty(TRIM(_xlfn.CONCAT(C52:H52)),"",CRC32HASH(_xlfn.CONCAT(C52:H52)))</f>
        <v>#VALUE!</v>
      </c>
      <c r="B52" s="10" t="str">
        <f>IFERROR(VLOOKUP(J52,Items[],2,FALSE),"")</f>
        <v/>
      </c>
      <c r="C52" s="32" t="e" cm="1">
        <f t="array" ref="C52">W52 &amp; " " &amp; IfEmpty(U52,#REF!)</f>
        <v>#REF!</v>
      </c>
      <c r="D52" s="41" t="e">
        <f>IF(OR(#REF!="°C",#REF!= "°F"), Z52 &amp; " " &amp;#REF!, IF(RIGHT(#REF!,2)="Hz", AF52 &amp; " @ " &amp; Z52 &amp; " " &amp;#REF!, Z52 &amp;#REF! &amp; " " &amp; AF52))</f>
        <v>#REF!</v>
      </c>
      <c r="E52" s="55" t="str">
        <f>IFERROR(TEXT(ROUND(AVERAGE(N52:R52),-LOG10(V52)),"0." &amp; REPT("0",-LOG10(V52))) &amp;#REF!,"")</f>
        <v/>
      </c>
      <c r="F52" s="39" t="str">
        <f>IF(AB52="","",AB52 &amp;#REF!)</f>
        <v/>
      </c>
      <c r="G52" s="39" t="str">
        <f>IF(AC52="","",AC52 &amp;#REF!)</f>
        <v/>
      </c>
      <c r="H52" s="33" t="str" cm="1">
        <f t="array" ref="H52:J52">IFERROR(CalcUnc(K52,L52,S52,T52,V52,X52,AD52,AE52,N52:R52,Z52,AA52),"")</f>
        <v/>
      </c>
      <c r="I52" s="48" t="str">
        <v/>
      </c>
      <c r="J52" s="77" t="str">
        <v/>
      </c>
      <c r="K52" s="53"/>
      <c r="L52" s="54"/>
      <c r="M52" s="22"/>
      <c r="N52" s="50"/>
      <c r="O52" s="51"/>
      <c r="P52" s="51"/>
      <c r="Q52" s="84"/>
      <c r="R52" s="84"/>
      <c r="S52" s="87"/>
      <c r="T52" s="100"/>
      <c r="U52" s="57"/>
      <c r="V52" s="62"/>
      <c r="W52" s="59"/>
      <c r="X52" s="101"/>
      <c r="Y52" s="127" t="str" cm="1">
        <f t="array" ref="Y52">GetPolarity(X52,AE52)</f>
        <v/>
      </c>
      <c r="Z52" s="60"/>
      <c r="AA52" s="63"/>
      <c r="AB52" s="71" t="str">
        <f t="shared" si="5"/>
        <v/>
      </c>
      <c r="AC52" s="71" t="str">
        <f t="shared" si="6"/>
        <v/>
      </c>
      <c r="AD52" s="60"/>
      <c r="AE52" s="59"/>
      <c r="AF52" s="21" t="str">
        <f t="shared" si="4"/>
        <v/>
      </c>
    </row>
    <row r="53" spans="1:32" x14ac:dyDescent="0.25">
      <c r="A53" s="107" t="e" cm="1">
        <f t="array" ref="A53">IfEmpty(TRIM(_xlfn.CONCAT(C53:H53)),"",CRC32HASH(_xlfn.CONCAT(C53:H53)))</f>
        <v>#VALUE!</v>
      </c>
      <c r="B53" s="37" t="str">
        <f>IFERROR(VLOOKUP(J53,Items[],2,FALSE),"")</f>
        <v/>
      </c>
      <c r="C53" s="34" t="e" cm="1">
        <f t="array" ref="C53">W53 &amp; " " &amp; IfEmpty(U53,#REF!)</f>
        <v>#REF!</v>
      </c>
      <c r="D53" s="35" t="e">
        <f>IF(OR(#REF!="°C",#REF!= "°F"), Z53 &amp; " " &amp;#REF!, IF(RIGHT(#REF!,2)="Hz", AF53 &amp; " @ " &amp; Z53 &amp; " " &amp;#REF!, Z53 &amp;#REF! &amp; " " &amp; AF53))</f>
        <v>#REF!</v>
      </c>
      <c r="E53" s="56" t="str">
        <f>IFERROR(TEXT(ROUND(AVERAGE(N53:R53),-LOG10(V53)),"0." &amp; REPT("0",-LOG10(V53))) &amp;#REF!,"")</f>
        <v/>
      </c>
      <c r="F53" s="40" t="str">
        <f>IF(AB53="","",AB53 &amp;#REF!)</f>
        <v/>
      </c>
      <c r="G53" s="40" t="str">
        <f>IF(AC53="","",AC53 &amp;#REF!)</f>
        <v/>
      </c>
      <c r="H53" s="36" t="str" cm="1">
        <f t="array" ref="H53:J53">IFERROR(CalcUnc(K53,L53,S53,T53,V53,X53,AD53,AE53,N53:R53,Z53,AA53),"")</f>
        <v/>
      </c>
      <c r="I53" s="48" t="str">
        <v/>
      </c>
      <c r="J53" s="77" t="str">
        <v/>
      </c>
      <c r="K53" s="53"/>
      <c r="L53" s="54"/>
      <c r="M53" s="22"/>
      <c r="N53" s="50"/>
      <c r="O53" s="51"/>
      <c r="P53" s="51"/>
      <c r="Q53" s="84"/>
      <c r="R53" s="84"/>
      <c r="S53" s="87"/>
      <c r="T53" s="100"/>
      <c r="U53" s="57"/>
      <c r="V53" s="62"/>
      <c r="W53" s="59"/>
      <c r="X53" s="101"/>
      <c r="Y53" s="127" t="str" cm="1">
        <f t="array" ref="Y53">GetPolarity(X53,AE53)</f>
        <v/>
      </c>
      <c r="Z53" s="60"/>
      <c r="AA53" s="63"/>
      <c r="AB53" s="71" t="str">
        <f t="shared" si="5"/>
        <v/>
      </c>
      <c r="AC53" s="71" t="str">
        <f t="shared" si="6"/>
        <v/>
      </c>
      <c r="AD53" s="60"/>
      <c r="AE53" s="59"/>
      <c r="AF53" s="21" t="str">
        <f t="shared" si="4"/>
        <v/>
      </c>
    </row>
    <row r="54" spans="1:32" x14ac:dyDescent="0.25">
      <c r="A54" s="107" t="e" cm="1">
        <f t="array" ref="A54">IfEmpty(TRIM(_xlfn.CONCAT(C54:H54)),"",CRC32HASH(_xlfn.CONCAT(C54:H54)))</f>
        <v>#VALUE!</v>
      </c>
      <c r="B54" s="10" t="str">
        <f>IFERROR(VLOOKUP(J54,Items[],2,FALSE),"")</f>
        <v/>
      </c>
      <c r="C54" s="32" t="e" cm="1">
        <f t="array" ref="C54">W54 &amp; " " &amp; IfEmpty(U54,#REF!)</f>
        <v>#REF!</v>
      </c>
      <c r="D54" s="41" t="e">
        <f>IF(OR(#REF!="°C",#REF!= "°F"), Z54 &amp; " " &amp;#REF!, IF(RIGHT(#REF!,2)="Hz", AF54 &amp; " @ " &amp; Z54 &amp; " " &amp;#REF!, Z54 &amp;#REF! &amp; " " &amp; AF54))</f>
        <v>#REF!</v>
      </c>
      <c r="E54" s="55" t="str">
        <f>IFERROR(TEXT(ROUND(AVERAGE(N54:R54),-LOG10(V54)),"0." &amp; REPT("0",-LOG10(V54))) &amp;#REF!,"")</f>
        <v/>
      </c>
      <c r="F54" s="39" t="str">
        <f>IF(AB54="","",AB54 &amp;#REF!)</f>
        <v/>
      </c>
      <c r="G54" s="39" t="str">
        <f>IF(AC54="","",AC54 &amp;#REF!)</f>
        <v/>
      </c>
      <c r="H54" s="33" t="str" cm="1">
        <f t="array" ref="H54:J54">IFERROR(CalcUnc(K54,L54,S54,T54,V54,X54,AD54,AE54,N54:R54,Z54,AA54),"")</f>
        <v/>
      </c>
      <c r="I54" s="48" t="str">
        <v/>
      </c>
      <c r="J54" s="77" t="str">
        <v/>
      </c>
      <c r="K54" s="53"/>
      <c r="L54" s="54"/>
      <c r="M54" s="22"/>
      <c r="N54" s="50"/>
      <c r="O54" s="51"/>
      <c r="P54" s="51"/>
      <c r="Q54" s="84"/>
      <c r="R54" s="84"/>
      <c r="S54" s="87"/>
      <c r="T54" s="100"/>
      <c r="U54" s="57"/>
      <c r="V54" s="62"/>
      <c r="W54" s="59"/>
      <c r="X54" s="101"/>
      <c r="Y54" s="127" t="str" cm="1">
        <f t="array" ref="Y54">GetPolarity(X54,AE54)</f>
        <v/>
      </c>
      <c r="Z54" s="60"/>
      <c r="AA54" s="63"/>
      <c r="AB54" s="71" t="str">
        <f t="shared" si="5"/>
        <v/>
      </c>
      <c r="AC54" s="71" t="str">
        <f t="shared" si="6"/>
        <v/>
      </c>
      <c r="AD54" s="60"/>
      <c r="AE54" s="59"/>
      <c r="AF54" s="21" t="str">
        <f t="shared" si="4"/>
        <v/>
      </c>
    </row>
    <row r="55" spans="1:32" x14ac:dyDescent="0.25">
      <c r="A55" s="107" t="e" cm="1">
        <f t="array" ref="A55">IfEmpty(TRIM(_xlfn.CONCAT(C55:H55)),"",CRC32HASH(_xlfn.CONCAT(C55:H55)))</f>
        <v>#VALUE!</v>
      </c>
      <c r="B55" s="37" t="str">
        <f>IFERROR(VLOOKUP(J55,Items[],2,FALSE),"")</f>
        <v/>
      </c>
      <c r="C55" s="34" t="e" cm="1">
        <f t="array" ref="C55">W55 &amp; " " &amp; IfEmpty(U55,#REF!)</f>
        <v>#REF!</v>
      </c>
      <c r="D55" s="35" t="e">
        <f>IF(OR(#REF!="°C",#REF!= "°F"), Z55 &amp; " " &amp;#REF!, IF(RIGHT(#REF!,2)="Hz", AF55 &amp; " @ " &amp; Z55 &amp; " " &amp;#REF!, Z55 &amp;#REF! &amp; " " &amp; AF55))</f>
        <v>#REF!</v>
      </c>
      <c r="E55" s="56" t="str">
        <f>IFERROR(TEXT(ROUND(AVERAGE(N55:R55),-LOG10(V55)),"0." &amp; REPT("0",-LOG10(V55))) &amp;#REF!,"")</f>
        <v/>
      </c>
      <c r="F55" s="40" t="str">
        <f>IF(AB55="","",AB55 &amp;#REF!)</f>
        <v/>
      </c>
      <c r="G55" s="40" t="str">
        <f>IF(AC55="","",AC55 &amp;#REF!)</f>
        <v/>
      </c>
      <c r="H55" s="36" t="str" cm="1">
        <f t="array" ref="H55:J55">IFERROR(CalcUnc(K55,L55,S55,T55,V55,X55,AD55,AE55,N55:R55,Z55,AA55),"")</f>
        <v/>
      </c>
      <c r="I55" s="48" t="str">
        <v/>
      </c>
      <c r="J55" s="77" t="str">
        <v/>
      </c>
      <c r="K55" s="53"/>
      <c r="L55" s="54"/>
      <c r="M55" s="22"/>
      <c r="N55" s="50"/>
      <c r="O55" s="51"/>
      <c r="P55" s="51"/>
      <c r="Q55" s="84"/>
      <c r="R55" s="84"/>
      <c r="S55" s="87"/>
      <c r="T55" s="100"/>
      <c r="U55" s="57"/>
      <c r="V55" s="62"/>
      <c r="W55" s="59"/>
      <c r="X55" s="101"/>
      <c r="Y55" s="127" t="str" cm="1">
        <f t="array" ref="Y55">GetPolarity(X55,AE55)</f>
        <v/>
      </c>
      <c r="Z55" s="60"/>
      <c r="AA55" s="63"/>
      <c r="AB55" s="71" t="str">
        <f t="shared" si="5"/>
        <v/>
      </c>
      <c r="AC55" s="71" t="str">
        <f t="shared" si="6"/>
        <v/>
      </c>
      <c r="AD55" s="60"/>
      <c r="AE55" s="59"/>
      <c r="AF55" s="21" t="str">
        <f t="shared" si="4"/>
        <v/>
      </c>
    </row>
    <row r="56" spans="1:32" x14ac:dyDescent="0.25">
      <c r="A56" s="107" t="e" cm="1">
        <f t="array" ref="A56">IfEmpty(TRIM(_xlfn.CONCAT(C56:H56)),"",CRC32HASH(_xlfn.CONCAT(C56:H56)))</f>
        <v>#VALUE!</v>
      </c>
      <c r="B56" s="10" t="str">
        <f>IFERROR(VLOOKUP(J56,Items[],2,FALSE),"")</f>
        <v/>
      </c>
      <c r="C56" s="32" t="e" cm="1">
        <f t="array" ref="C56">W56 &amp; " " &amp; IfEmpty(U56,#REF!)</f>
        <v>#REF!</v>
      </c>
      <c r="D56" s="41" t="e">
        <f>IF(OR(#REF!="°C",#REF!= "°F"), Z56 &amp; " " &amp;#REF!, IF(RIGHT(#REF!,2)="Hz", AF56 &amp; " @ " &amp; Z56 &amp; " " &amp;#REF!, Z56 &amp;#REF! &amp; " " &amp; AF56))</f>
        <v>#REF!</v>
      </c>
      <c r="E56" s="55" t="str">
        <f>IFERROR(TEXT(ROUND(AVERAGE(N56:R56),-LOG10(V56)),"0." &amp; REPT("0",-LOG10(V56))) &amp;#REF!,"")</f>
        <v/>
      </c>
      <c r="F56" s="39" t="str">
        <f>IF(AB56="","",AB56 &amp;#REF!)</f>
        <v/>
      </c>
      <c r="G56" s="39" t="str">
        <f>IF(AC56="","",AC56 &amp;#REF!)</f>
        <v/>
      </c>
      <c r="H56" s="33" t="str" cm="1">
        <f t="array" ref="H56:J56">IFERROR(CalcUnc(K56,L56,S56,T56,V56,X56,AD56,AE56,N56:R56,Z56,AA56),"")</f>
        <v/>
      </c>
      <c r="I56" s="48" t="str">
        <v/>
      </c>
      <c r="J56" s="77" t="str">
        <v/>
      </c>
      <c r="K56" s="53"/>
      <c r="L56" s="54"/>
      <c r="M56" s="22"/>
      <c r="N56" s="50"/>
      <c r="O56" s="51"/>
      <c r="P56" s="51"/>
      <c r="Q56" s="84"/>
      <c r="R56" s="84"/>
      <c r="S56" s="87"/>
      <c r="T56" s="100"/>
      <c r="U56" s="57"/>
      <c r="V56" s="62"/>
      <c r="W56" s="59"/>
      <c r="X56" s="101"/>
      <c r="Y56" s="127" t="str" cm="1">
        <f t="array" ref="Y56">GetPolarity(X56,AE56)</f>
        <v/>
      </c>
      <c r="Z56" s="60"/>
      <c r="AA56" s="63"/>
      <c r="AB56" s="71" t="str">
        <f t="shared" si="5"/>
        <v/>
      </c>
      <c r="AC56" s="71" t="str">
        <f t="shared" si="6"/>
        <v/>
      </c>
      <c r="AD56" s="60"/>
      <c r="AE56" s="59"/>
      <c r="AF56" s="21" t="str">
        <f t="shared" si="4"/>
        <v/>
      </c>
    </row>
    <row r="57" spans="1:32" x14ac:dyDescent="0.25">
      <c r="A57" s="107" t="e" cm="1">
        <f t="array" ref="A57">IfEmpty(TRIM(_xlfn.CONCAT(C57:H57)),"",CRC32HASH(_xlfn.CONCAT(C57:H57)))</f>
        <v>#VALUE!</v>
      </c>
      <c r="B57" s="37" t="str">
        <f>IFERROR(VLOOKUP(J57,Items[],2,FALSE),"")</f>
        <v/>
      </c>
      <c r="C57" s="34" t="e" cm="1">
        <f t="array" ref="C57">W57 &amp; " " &amp; IfEmpty(U57,#REF!)</f>
        <v>#REF!</v>
      </c>
      <c r="D57" s="35" t="e">
        <f>IF(OR(#REF!="°C",#REF!= "°F"), Z57 &amp; " " &amp;#REF!, IF(RIGHT(#REF!,2)="Hz", AF57 &amp; " @ " &amp; Z57 &amp; " " &amp;#REF!, Z57 &amp;#REF! &amp; " " &amp; AF57))</f>
        <v>#REF!</v>
      </c>
      <c r="E57" s="56" t="str">
        <f>IFERROR(TEXT(ROUND(AVERAGE(N57:R57),-LOG10(V57)),"0." &amp; REPT("0",-LOG10(V57))) &amp;#REF!,"")</f>
        <v/>
      </c>
      <c r="F57" s="40" t="str">
        <f>IF(AB57="","",AB57 &amp;#REF!)</f>
        <v/>
      </c>
      <c r="G57" s="40" t="str">
        <f>IF(AC57="","",AC57 &amp;#REF!)</f>
        <v/>
      </c>
      <c r="H57" s="36" t="str" cm="1">
        <f t="array" ref="H57:J57">IFERROR(CalcUnc(K57,L57,S57,T57,V57,X57,AD57,AE57,N57:R57,Z57,AA57),"")</f>
        <v/>
      </c>
      <c r="I57" s="48" t="str">
        <v/>
      </c>
      <c r="J57" s="77" t="str">
        <v/>
      </c>
      <c r="K57" s="53"/>
      <c r="L57" s="54"/>
      <c r="M57" s="22"/>
      <c r="N57" s="50"/>
      <c r="O57" s="51"/>
      <c r="P57" s="51"/>
      <c r="Q57" s="84"/>
      <c r="R57" s="84"/>
      <c r="S57" s="87"/>
      <c r="T57" s="100"/>
      <c r="U57" s="57"/>
      <c r="V57" s="62"/>
      <c r="W57" s="59"/>
      <c r="X57" s="101"/>
      <c r="Y57" s="127" t="str" cm="1">
        <f t="array" ref="Y57">GetPolarity(X57,AE57)</f>
        <v/>
      </c>
      <c r="Z57" s="60"/>
      <c r="AA57" s="63"/>
      <c r="AB57" s="71" t="str">
        <f t="shared" si="5"/>
        <v/>
      </c>
      <c r="AC57" s="71" t="str">
        <f t="shared" si="6"/>
        <v/>
      </c>
      <c r="AD57" s="60"/>
      <c r="AE57" s="59"/>
      <c r="AF57" s="21" t="str">
        <f t="shared" si="4"/>
        <v/>
      </c>
    </row>
    <row r="58" spans="1:32" x14ac:dyDescent="0.25">
      <c r="A58" s="107" t="e" cm="1">
        <f t="array" ref="A58">IfEmpty(TRIM(_xlfn.CONCAT(C58:H58)),"",CRC32HASH(_xlfn.CONCAT(C58:H58)))</f>
        <v>#VALUE!</v>
      </c>
      <c r="B58" s="10" t="str">
        <f>IFERROR(VLOOKUP(J58,Items[],2,FALSE),"")</f>
        <v/>
      </c>
      <c r="C58" s="32" t="e" cm="1">
        <f t="array" ref="C58">W58 &amp; " " &amp; IfEmpty(U58,#REF!)</f>
        <v>#REF!</v>
      </c>
      <c r="D58" s="41" t="e">
        <f>IF(OR(#REF!="°C",#REF!= "°F"), Z58 &amp; " " &amp;#REF!, IF(RIGHT(#REF!,2)="Hz", AF58 &amp; " @ " &amp; Z58 &amp; " " &amp;#REF!, Z58 &amp;#REF! &amp; " " &amp; AF58))</f>
        <v>#REF!</v>
      </c>
      <c r="E58" s="55" t="str">
        <f>IFERROR(TEXT(ROUND(AVERAGE(N58:R58),-LOG10(V58)),"0." &amp; REPT("0",-LOG10(V58))) &amp;#REF!,"")</f>
        <v/>
      </c>
      <c r="F58" s="39" t="str">
        <f>IF(AB58="","",AB58 &amp;#REF!)</f>
        <v/>
      </c>
      <c r="G58" s="39" t="str">
        <f>IF(AC58="","",AC58 &amp;#REF!)</f>
        <v/>
      </c>
      <c r="H58" s="33" t="str" cm="1">
        <f t="array" ref="H58:J58">IFERROR(CalcUnc(K58,L58,S58,T58,V58,X58,AD58,AE58,N58:R58,Z58,AA58),"")</f>
        <v/>
      </c>
      <c r="I58" s="48" t="str">
        <v/>
      </c>
      <c r="J58" s="77" t="str">
        <v/>
      </c>
      <c r="K58" s="53"/>
      <c r="L58" s="54"/>
      <c r="M58" s="22"/>
      <c r="N58" s="50"/>
      <c r="O58" s="51"/>
      <c r="P58" s="51"/>
      <c r="Q58" s="84"/>
      <c r="R58" s="84"/>
      <c r="S58" s="87"/>
      <c r="T58" s="100"/>
      <c r="U58" s="57"/>
      <c r="V58" s="62"/>
      <c r="W58" s="59"/>
      <c r="X58" s="101"/>
      <c r="Y58" s="127" t="str" cm="1">
        <f t="array" ref="Y58">GetPolarity(X58,AE58)</f>
        <v/>
      </c>
      <c r="Z58" s="60"/>
      <c r="AA58" s="63"/>
      <c r="AB58" s="71" t="str">
        <f t="shared" si="5"/>
        <v/>
      </c>
      <c r="AC58" s="71" t="str">
        <f t="shared" si="6"/>
        <v/>
      </c>
      <c r="AD58" s="60"/>
      <c r="AE58" s="59"/>
      <c r="AF58" s="21" t="str">
        <f t="shared" si="4"/>
        <v/>
      </c>
    </row>
    <row r="59" spans="1:32" x14ac:dyDescent="0.25">
      <c r="A59" s="107" t="e" cm="1">
        <f t="array" ref="A59">IfEmpty(TRIM(_xlfn.CONCAT(C59:H59)),"",CRC32HASH(_xlfn.CONCAT(C59:H59)))</f>
        <v>#VALUE!</v>
      </c>
      <c r="B59" s="37" t="str">
        <f>IFERROR(VLOOKUP(J59,Items[],2,FALSE),"")</f>
        <v/>
      </c>
      <c r="C59" s="34" t="e" cm="1">
        <f t="array" ref="C59">W59 &amp; " " &amp; IfEmpty(U59,#REF!)</f>
        <v>#REF!</v>
      </c>
      <c r="D59" s="35" t="e">
        <f>IF(OR(#REF!="°C",#REF!= "°F"), Z59 &amp; " " &amp;#REF!, IF(RIGHT(#REF!,2)="Hz", AF59 &amp; " @ " &amp; Z59 &amp; " " &amp;#REF!, Z59 &amp;#REF! &amp; " " &amp; AF59))</f>
        <v>#REF!</v>
      </c>
      <c r="E59" s="56" t="str">
        <f>IFERROR(TEXT(ROUND(AVERAGE(N59:R59),-LOG10(V59)),"0." &amp; REPT("0",-LOG10(V59))) &amp;#REF!,"")</f>
        <v/>
      </c>
      <c r="F59" s="40" t="str">
        <f>IF(AB59="","",AB59 &amp;#REF!)</f>
        <v/>
      </c>
      <c r="G59" s="40" t="str">
        <f>IF(AC59="","",AC59 &amp;#REF!)</f>
        <v/>
      </c>
      <c r="H59" s="36" t="str" cm="1">
        <f t="array" ref="H59:J59">IFERROR(CalcUnc(K59,L59,S59,T59,V59,X59,AD59,AE59,N59:R59,Z59,AA59),"")</f>
        <v/>
      </c>
      <c r="I59" s="48" t="str">
        <v/>
      </c>
      <c r="J59" s="77" t="str">
        <v/>
      </c>
      <c r="K59" s="53"/>
      <c r="L59" s="54"/>
      <c r="M59" s="22"/>
      <c r="N59" s="50"/>
      <c r="O59" s="51"/>
      <c r="P59" s="51"/>
      <c r="Q59" s="84"/>
      <c r="R59" s="84"/>
      <c r="S59" s="87"/>
      <c r="T59" s="100"/>
      <c r="U59" s="57"/>
      <c r="V59" s="62"/>
      <c r="W59" s="59"/>
      <c r="X59" s="101"/>
      <c r="Y59" s="127" t="str" cm="1">
        <f t="array" ref="Y59">GetPolarity(X59,AE59)</f>
        <v/>
      </c>
      <c r="Z59" s="60"/>
      <c r="AA59" s="63"/>
      <c r="AB59" s="71" t="str">
        <f t="shared" si="5"/>
        <v/>
      </c>
      <c r="AC59" s="71" t="str">
        <f t="shared" si="6"/>
        <v/>
      </c>
      <c r="AD59" s="60"/>
      <c r="AE59" s="59"/>
      <c r="AF59" s="21" t="str">
        <f t="shared" si="4"/>
        <v/>
      </c>
    </row>
    <row r="60" spans="1:32" x14ac:dyDescent="0.25">
      <c r="A60" s="107" t="e" cm="1">
        <f t="array" ref="A60">IfEmpty(TRIM(_xlfn.CONCAT(C60:H60)),"",CRC32HASH(_xlfn.CONCAT(C60:H60)))</f>
        <v>#VALUE!</v>
      </c>
      <c r="B60" s="10" t="str">
        <f>IFERROR(VLOOKUP(J60,Items[],2,FALSE),"")</f>
        <v/>
      </c>
      <c r="C60" s="32" t="e" cm="1">
        <f t="array" ref="C60">W60 &amp; " " &amp; IfEmpty(U60,#REF!)</f>
        <v>#REF!</v>
      </c>
      <c r="D60" s="41" t="e">
        <f>IF(OR(#REF!="°C",#REF!= "°F"), Z60 &amp; " " &amp;#REF!, IF(RIGHT(#REF!,2)="Hz", AF60 &amp; " @ " &amp; Z60 &amp; " " &amp;#REF!, Z60 &amp;#REF! &amp; " " &amp; AF60))</f>
        <v>#REF!</v>
      </c>
      <c r="E60" s="55" t="str">
        <f>IFERROR(TEXT(ROUND(AVERAGE(N60:R60),-LOG10(V60)),"0." &amp; REPT("0",-LOG10(V60))) &amp;#REF!,"")</f>
        <v/>
      </c>
      <c r="F60" s="39" t="str">
        <f>IF(AB60="","",AB60 &amp;#REF!)</f>
        <v/>
      </c>
      <c r="G60" s="39" t="str">
        <f>IF(AC60="","",AC60 &amp;#REF!)</f>
        <v/>
      </c>
      <c r="H60" s="33" t="str" cm="1">
        <f t="array" ref="H60:J60">IFERROR(CalcUnc(K60,L60,S60,T60,V60,X60,AD60,AE60,N60:R60,Z60,AA60),"")</f>
        <v/>
      </c>
      <c r="I60" s="48" t="str">
        <v/>
      </c>
      <c r="J60" s="77" t="str">
        <v/>
      </c>
      <c r="K60" s="53"/>
      <c r="L60" s="54"/>
      <c r="M60" s="22"/>
      <c r="N60" s="50"/>
      <c r="O60" s="51"/>
      <c r="P60" s="51"/>
      <c r="Q60" s="84"/>
      <c r="R60" s="84"/>
      <c r="S60" s="87"/>
      <c r="T60" s="100"/>
      <c r="U60" s="57"/>
      <c r="V60" s="62"/>
      <c r="W60" s="59"/>
      <c r="X60" s="101"/>
      <c r="Y60" s="127" t="str" cm="1">
        <f t="array" ref="Y60">GetPolarity(X60,AE60)</f>
        <v/>
      </c>
      <c r="Z60" s="60"/>
      <c r="AA60" s="63"/>
      <c r="AB60" s="71" t="str">
        <f t="shared" si="5"/>
        <v/>
      </c>
      <c r="AC60" s="71" t="str">
        <f t="shared" si="6"/>
        <v/>
      </c>
      <c r="AD60" s="60"/>
      <c r="AE60" s="59"/>
      <c r="AF60" s="21" t="str">
        <f t="shared" si="4"/>
        <v/>
      </c>
    </row>
    <row r="61" spans="1:32" x14ac:dyDescent="0.25">
      <c r="A61" s="107" t="e" cm="1">
        <f t="array" ref="A61">IfEmpty(TRIM(_xlfn.CONCAT(C61:H61)),"",CRC32HASH(_xlfn.CONCAT(C61:H61)))</f>
        <v>#VALUE!</v>
      </c>
      <c r="B61" s="37" t="str">
        <f>IFERROR(VLOOKUP(J61,Items[],2,FALSE),"")</f>
        <v/>
      </c>
      <c r="C61" s="34" t="e" cm="1">
        <f t="array" ref="C61">W61 &amp; " " &amp; IfEmpty(U61,#REF!)</f>
        <v>#REF!</v>
      </c>
      <c r="D61" s="35" t="e">
        <f>IF(OR(#REF!="°C",#REF!= "°F"), Z61 &amp; " " &amp;#REF!, IF(RIGHT(#REF!,2)="Hz", AF61 &amp; " @ " &amp; Z61 &amp; " " &amp;#REF!, Z61 &amp;#REF! &amp; " " &amp; AF61))</f>
        <v>#REF!</v>
      </c>
      <c r="E61" s="56" t="str">
        <f>IFERROR(TEXT(ROUND(AVERAGE(N61:R61),-LOG10(V61)),"0." &amp; REPT("0",-LOG10(V61))) &amp;#REF!,"")</f>
        <v/>
      </c>
      <c r="F61" s="40" t="str">
        <f>IF(AB61="","",AB61 &amp;#REF!)</f>
        <v/>
      </c>
      <c r="G61" s="40" t="str">
        <f>IF(AC61="","",AC61 &amp;#REF!)</f>
        <v/>
      </c>
      <c r="H61" s="36" t="str" cm="1">
        <f t="array" ref="H61:J61">IFERROR(CalcUnc(K61,L61,S61,T61,V61,X61,AD61,AE61,N61:R61,Z61,AA61),"")</f>
        <v/>
      </c>
      <c r="I61" s="48" t="str">
        <v/>
      </c>
      <c r="J61" s="77" t="str">
        <v/>
      </c>
      <c r="K61" s="53"/>
      <c r="L61" s="54"/>
      <c r="M61" s="22"/>
      <c r="N61" s="50"/>
      <c r="O61" s="51"/>
      <c r="P61" s="51"/>
      <c r="Q61" s="84"/>
      <c r="R61" s="84"/>
      <c r="S61" s="87"/>
      <c r="T61" s="100"/>
      <c r="U61" s="57"/>
      <c r="V61" s="62"/>
      <c r="W61" s="59"/>
      <c r="X61" s="101"/>
      <c r="Y61" s="127" t="str" cm="1">
        <f t="array" ref="Y61">GetPolarity(X61,AE61)</f>
        <v/>
      </c>
      <c r="Z61" s="60"/>
      <c r="AA61" s="63"/>
      <c r="AB61" s="71" t="str">
        <f t="shared" si="5"/>
        <v/>
      </c>
      <c r="AC61" s="71" t="str">
        <f t="shared" si="6"/>
        <v/>
      </c>
      <c r="AD61" s="60"/>
      <c r="AE61" s="59"/>
      <c r="AF61" s="21" t="str">
        <f t="shared" si="4"/>
        <v/>
      </c>
    </row>
    <row r="62" spans="1:32" x14ac:dyDescent="0.25">
      <c r="A62" s="107" t="e" cm="1">
        <f t="array" ref="A62">IfEmpty(TRIM(_xlfn.CONCAT(C62:H62)),"",CRC32HASH(_xlfn.CONCAT(C62:H62)))</f>
        <v>#VALUE!</v>
      </c>
      <c r="B62" s="10" t="str">
        <f>IFERROR(VLOOKUP(J62,Items[],2,FALSE),"")</f>
        <v/>
      </c>
      <c r="C62" s="32" t="e" cm="1">
        <f t="array" ref="C62">W62 &amp; " " &amp; IfEmpty(U62,#REF!)</f>
        <v>#REF!</v>
      </c>
      <c r="D62" s="41" t="e">
        <f>IF(OR(#REF!="°C",#REF!= "°F"), Z62 &amp; " " &amp;#REF!, IF(RIGHT(#REF!,2)="Hz", AF62 &amp; " @ " &amp; Z62 &amp; " " &amp;#REF!, Z62 &amp;#REF! &amp; " " &amp; AF62))</f>
        <v>#REF!</v>
      </c>
      <c r="E62" s="55" t="str">
        <f>IFERROR(TEXT(ROUND(AVERAGE(N62:R62),-LOG10(V62)),"0." &amp; REPT("0",-LOG10(V62))) &amp;#REF!,"")</f>
        <v/>
      </c>
      <c r="F62" s="39" t="str">
        <f>IF(AB62="","",AB62 &amp;#REF!)</f>
        <v/>
      </c>
      <c r="G62" s="39" t="str">
        <f>IF(AC62="","",AC62 &amp;#REF!)</f>
        <v/>
      </c>
      <c r="H62" s="33" t="str" cm="1">
        <f t="array" ref="H62:J62">IFERROR(CalcUnc(K62,L62,S62,T62,V62,X62,AD62,AE62,N62:R62,Z62,AA62),"")</f>
        <v/>
      </c>
      <c r="I62" s="48" t="str">
        <v/>
      </c>
      <c r="J62" s="77" t="str">
        <v/>
      </c>
      <c r="K62" s="53"/>
      <c r="L62" s="54"/>
      <c r="M62" s="22"/>
      <c r="N62" s="50"/>
      <c r="O62" s="51"/>
      <c r="P62" s="51"/>
      <c r="Q62" s="84"/>
      <c r="R62" s="84"/>
      <c r="S62" s="87"/>
      <c r="T62" s="100"/>
      <c r="U62" s="57"/>
      <c r="V62" s="62"/>
      <c r="W62" s="59"/>
      <c r="X62" s="101"/>
      <c r="Y62" s="127" t="str" cm="1">
        <f t="array" ref="Y62">GetPolarity(X62,AE62)</f>
        <v/>
      </c>
      <c r="Z62" s="60"/>
      <c r="AA62" s="63"/>
      <c r="AB62" s="71" t="str">
        <f t="shared" si="5"/>
        <v/>
      </c>
      <c r="AC62" s="71" t="str">
        <f t="shared" si="6"/>
        <v/>
      </c>
      <c r="AD62" s="60"/>
      <c r="AE62" s="59"/>
      <c r="AF62" s="21" t="str">
        <f t="shared" si="4"/>
        <v/>
      </c>
    </row>
    <row r="63" spans="1:32" x14ac:dyDescent="0.25">
      <c r="A63" s="107" t="e" cm="1">
        <f t="array" ref="A63">IfEmpty(TRIM(_xlfn.CONCAT(C63:H63)),"",CRC32HASH(_xlfn.CONCAT(C63:H63)))</f>
        <v>#VALUE!</v>
      </c>
      <c r="B63" s="37" t="str">
        <f>IFERROR(VLOOKUP(J63,Items[],2,FALSE),"")</f>
        <v/>
      </c>
      <c r="C63" s="34" t="e" cm="1">
        <f t="array" ref="C63">W63 &amp; " " &amp; IfEmpty(U63,#REF!)</f>
        <v>#REF!</v>
      </c>
      <c r="D63" s="35" t="e">
        <f>IF(OR(#REF!="°C",#REF!= "°F"), Z63 &amp; " " &amp;#REF!, IF(RIGHT(#REF!,2)="Hz", AF63 &amp; " @ " &amp; Z63 &amp; " " &amp;#REF!, Z63 &amp;#REF! &amp; " " &amp; AF63))</f>
        <v>#REF!</v>
      </c>
      <c r="E63" s="56" t="str">
        <f>IFERROR(TEXT(ROUND(AVERAGE(N63:R63),-LOG10(V63)),"0." &amp; REPT("0",-LOG10(V63))) &amp;#REF!,"")</f>
        <v/>
      </c>
      <c r="F63" s="40" t="str">
        <f>IF(AB63="","",AB63 &amp;#REF!)</f>
        <v/>
      </c>
      <c r="G63" s="40" t="str">
        <f>IF(AC63="","",AC63 &amp;#REF!)</f>
        <v/>
      </c>
      <c r="H63" s="36" t="str" cm="1">
        <f t="array" ref="H63:J63">IFERROR(CalcUnc(K63,L63,S63,T63,V63,X63,AD63,AE63,N63:R63,Z63,AA63),"")</f>
        <v/>
      </c>
      <c r="I63" s="48" t="str">
        <v/>
      </c>
      <c r="J63" s="77" t="str">
        <v/>
      </c>
      <c r="K63" s="53"/>
      <c r="L63" s="54"/>
      <c r="M63" s="22"/>
      <c r="N63" s="50"/>
      <c r="O63" s="51"/>
      <c r="P63" s="51"/>
      <c r="Q63" s="84"/>
      <c r="R63" s="84"/>
      <c r="S63" s="87"/>
      <c r="T63" s="100"/>
      <c r="U63" s="57"/>
      <c r="V63" s="62"/>
      <c r="W63" s="59"/>
      <c r="X63" s="101"/>
      <c r="Y63" s="127" t="str" cm="1">
        <f t="array" ref="Y63">GetPolarity(X63,AE63)</f>
        <v/>
      </c>
      <c r="Z63" s="60"/>
      <c r="AA63" s="63"/>
      <c r="AB63" s="71" t="str">
        <f t="shared" si="5"/>
        <v/>
      </c>
      <c r="AC63" s="71" t="str">
        <f t="shared" si="6"/>
        <v/>
      </c>
      <c r="AD63" s="60"/>
      <c r="AE63" s="59"/>
      <c r="AF63" s="21" t="str">
        <f t="shared" si="4"/>
        <v/>
      </c>
    </row>
    <row r="64" spans="1:32" x14ac:dyDescent="0.25">
      <c r="A64" s="107" t="e" cm="1">
        <f t="array" ref="A64">IfEmpty(TRIM(_xlfn.CONCAT(C64:H64)),"",CRC32HASH(_xlfn.CONCAT(C64:H64)))</f>
        <v>#VALUE!</v>
      </c>
      <c r="B64" s="10" t="str">
        <f>IFERROR(VLOOKUP(J64,Items[],2,FALSE),"")</f>
        <v/>
      </c>
      <c r="C64" s="32" t="e" cm="1">
        <f t="array" ref="C64">W64 &amp; " " &amp; IfEmpty(U64,#REF!)</f>
        <v>#REF!</v>
      </c>
      <c r="D64" s="41" t="e">
        <f>IF(OR(#REF!="°C",#REF!= "°F"), Z64 &amp; " " &amp;#REF!, IF(RIGHT(#REF!,2)="Hz", AF64 &amp; " @ " &amp; Z64 &amp; " " &amp;#REF!, Z64 &amp;#REF! &amp; " " &amp; AF64))</f>
        <v>#REF!</v>
      </c>
      <c r="E64" s="55" t="str">
        <f>IFERROR(TEXT(ROUND(AVERAGE(N64:R64),-LOG10(V64)),"0." &amp; REPT("0",-LOG10(V64))) &amp;#REF!,"")</f>
        <v/>
      </c>
      <c r="F64" s="39" t="str">
        <f>IF(AB64="","",AB64 &amp;#REF!)</f>
        <v/>
      </c>
      <c r="G64" s="39" t="str">
        <f>IF(AC64="","",AC64 &amp;#REF!)</f>
        <v/>
      </c>
      <c r="H64" s="33" t="str" cm="1">
        <f t="array" ref="H64:J64">IFERROR(CalcUnc(K64,L64,S64,T64,V64,X64,AD64,AE64,N64:R64,Z64,AA64),"")</f>
        <v/>
      </c>
      <c r="I64" s="48" t="str">
        <v/>
      </c>
      <c r="J64" s="77" t="str">
        <v/>
      </c>
      <c r="K64" s="53"/>
      <c r="L64" s="54"/>
      <c r="M64" s="22"/>
      <c r="N64" s="50"/>
      <c r="O64" s="51"/>
      <c r="P64" s="51"/>
      <c r="Q64" s="84"/>
      <c r="R64" s="84"/>
      <c r="S64" s="87"/>
      <c r="T64" s="100"/>
      <c r="U64" s="57"/>
      <c r="V64" s="62"/>
      <c r="W64" s="59"/>
      <c r="X64" s="101"/>
      <c r="Y64" s="127" t="str" cm="1">
        <f t="array" ref="Y64">GetPolarity(X64,AE64)</f>
        <v/>
      </c>
      <c r="Z64" s="60"/>
      <c r="AA64" s="63"/>
      <c r="AB64" s="71" t="str">
        <f t="shared" si="5"/>
        <v/>
      </c>
      <c r="AC64" s="71" t="str">
        <f t="shared" si="6"/>
        <v/>
      </c>
      <c r="AD64" s="60"/>
      <c r="AE64" s="59"/>
      <c r="AF64" s="21" t="str">
        <f t="shared" si="4"/>
        <v/>
      </c>
    </row>
    <row r="65" spans="1:32" x14ac:dyDescent="0.25">
      <c r="A65" s="107" t="e" cm="1">
        <f t="array" ref="A65">IfEmpty(TRIM(_xlfn.CONCAT(C65:H65)),"",CRC32HASH(_xlfn.CONCAT(C65:H65)))</f>
        <v>#VALUE!</v>
      </c>
      <c r="B65" s="37" t="str">
        <f>IFERROR(VLOOKUP(J65,Items[],2,FALSE),"")</f>
        <v/>
      </c>
      <c r="C65" s="34" t="e" cm="1">
        <f t="array" ref="C65">W65 &amp; " " &amp; IfEmpty(U65,#REF!)</f>
        <v>#REF!</v>
      </c>
      <c r="D65" s="35" t="e">
        <f>IF(OR(#REF!="°C",#REF!= "°F"), Z65 &amp; " " &amp;#REF!, IF(RIGHT(#REF!,2)="Hz", AF65 &amp; " @ " &amp; Z65 &amp; " " &amp;#REF!, Z65 &amp;#REF! &amp; " " &amp; AF65))</f>
        <v>#REF!</v>
      </c>
      <c r="E65" s="56" t="str">
        <f>IFERROR(TEXT(ROUND(AVERAGE(N65:R65),-LOG10(V65)),"0." &amp; REPT("0",-LOG10(V65))) &amp;#REF!,"")</f>
        <v/>
      </c>
      <c r="F65" s="40" t="str">
        <f>IF(AB65="","",AB65 &amp;#REF!)</f>
        <v/>
      </c>
      <c r="G65" s="40" t="str">
        <f>IF(AC65="","",AC65 &amp;#REF!)</f>
        <v/>
      </c>
      <c r="H65" s="36" t="str" cm="1">
        <f t="array" ref="H65:J65">IFERROR(CalcUnc(K65,L65,S65,T65,V65,X65,AD65,AE65,N65:R65,Z65,AA65),"")</f>
        <v/>
      </c>
      <c r="I65" s="48" t="str">
        <v/>
      </c>
      <c r="J65" s="77" t="str">
        <v/>
      </c>
      <c r="K65" s="53"/>
      <c r="L65" s="54"/>
      <c r="M65" s="22"/>
      <c r="N65" s="50"/>
      <c r="O65" s="51"/>
      <c r="P65" s="51"/>
      <c r="Q65" s="84"/>
      <c r="R65" s="84"/>
      <c r="S65" s="87"/>
      <c r="T65" s="100"/>
      <c r="U65" s="57"/>
      <c r="V65" s="62"/>
      <c r="W65" s="59"/>
      <c r="X65" s="101"/>
      <c r="Y65" s="127" t="str" cm="1">
        <f t="array" ref="Y65">GetPolarity(X65,AE65)</f>
        <v/>
      </c>
      <c r="Z65" s="60"/>
      <c r="AA65" s="63"/>
      <c r="AB65" s="71" t="str">
        <f t="shared" si="5"/>
        <v/>
      </c>
      <c r="AC65" s="71" t="str">
        <f t="shared" si="6"/>
        <v/>
      </c>
      <c r="AD65" s="60"/>
      <c r="AE65" s="59"/>
      <c r="AF65" s="21" t="str">
        <f t="shared" si="4"/>
        <v/>
      </c>
    </row>
    <row r="66" spans="1:32" x14ac:dyDescent="0.25">
      <c r="A66" s="107" t="e" cm="1">
        <f t="array" ref="A66">IfEmpty(TRIM(_xlfn.CONCAT(C66:H66)),"",CRC32HASH(_xlfn.CONCAT(C66:H66)))</f>
        <v>#VALUE!</v>
      </c>
      <c r="B66" s="10" t="str">
        <f>IFERROR(VLOOKUP(J66,Items[],2,FALSE),"")</f>
        <v/>
      </c>
      <c r="C66" s="32" t="e" cm="1">
        <f t="array" ref="C66">W66 &amp; " " &amp; IfEmpty(U66,#REF!)</f>
        <v>#REF!</v>
      </c>
      <c r="D66" s="41" t="e">
        <f>IF(OR(#REF!="°C",#REF!= "°F"), Z66 &amp; " " &amp;#REF!, IF(RIGHT(#REF!,2)="Hz", AF66 &amp; " @ " &amp; Z66 &amp; " " &amp;#REF!, Z66 &amp;#REF! &amp; " " &amp; AF66))</f>
        <v>#REF!</v>
      </c>
      <c r="E66" s="55" t="str">
        <f>IFERROR(TEXT(ROUND(AVERAGE(N66:R66),-LOG10(V66)),"0." &amp; REPT("0",-LOG10(V66))) &amp;#REF!,"")</f>
        <v/>
      </c>
      <c r="F66" s="39" t="str">
        <f>IF(AB66="","",AB66 &amp;#REF!)</f>
        <v/>
      </c>
      <c r="G66" s="39" t="str">
        <f>IF(AC66="","",AC66 &amp;#REF!)</f>
        <v/>
      </c>
      <c r="H66" s="33" t="str" cm="1">
        <f t="array" ref="H66:J66">IFERROR(CalcUnc(K66,L66,S66,T66,V66,X66,AD66,AE66,N66:R66,Z66,AA66),"")</f>
        <v/>
      </c>
      <c r="I66" s="48" t="str">
        <v/>
      </c>
      <c r="J66" s="77" t="str">
        <v/>
      </c>
      <c r="K66" s="53"/>
      <c r="L66" s="54"/>
      <c r="M66" s="22"/>
      <c r="N66" s="50"/>
      <c r="O66" s="51"/>
      <c r="P66" s="51"/>
      <c r="Q66" s="84"/>
      <c r="R66" s="84"/>
      <c r="S66" s="87"/>
      <c r="T66" s="100"/>
      <c r="U66" s="57"/>
      <c r="V66" s="62"/>
      <c r="W66" s="59"/>
      <c r="X66" s="101"/>
      <c r="Y66" s="127" t="str" cm="1">
        <f t="array" ref="Y66">GetPolarity(X66,AE66)</f>
        <v/>
      </c>
      <c r="Z66" s="60"/>
      <c r="AA66" s="63"/>
      <c r="AB66" s="71" t="str">
        <f t="shared" si="5"/>
        <v/>
      </c>
      <c r="AC66" s="71" t="str">
        <f t="shared" si="6"/>
        <v/>
      </c>
      <c r="AD66" s="60"/>
      <c r="AE66" s="59"/>
      <c r="AF66" s="21" t="str">
        <f t="shared" si="4"/>
        <v/>
      </c>
    </row>
    <row r="67" spans="1:32" x14ac:dyDescent="0.25">
      <c r="A67" s="107" t="e" cm="1">
        <f t="array" ref="A67">IfEmpty(TRIM(_xlfn.CONCAT(C67:H67)),"",CRC32HASH(_xlfn.CONCAT(C67:H67)))</f>
        <v>#VALUE!</v>
      </c>
      <c r="B67" s="37" t="str">
        <f>IFERROR(VLOOKUP(J67,Items[],2,FALSE),"")</f>
        <v/>
      </c>
      <c r="C67" s="34" t="e" cm="1">
        <f t="array" ref="C67">W67 &amp; " " &amp; IfEmpty(U67,#REF!)</f>
        <v>#REF!</v>
      </c>
      <c r="D67" s="35" t="e">
        <f>IF(OR(#REF!="°C",#REF!= "°F"), Z67 &amp; " " &amp;#REF!, IF(RIGHT(#REF!,2)="Hz", AF67 &amp; " @ " &amp; Z67 &amp; " " &amp;#REF!, Z67 &amp;#REF! &amp; " " &amp; AF67))</f>
        <v>#REF!</v>
      </c>
      <c r="E67" s="56" t="str">
        <f>IFERROR(TEXT(ROUND(AVERAGE(N67:R67),-LOG10(V67)),"0." &amp; REPT("0",-LOG10(V67))) &amp;#REF!,"")</f>
        <v/>
      </c>
      <c r="F67" s="40" t="str">
        <f>IF(AB67="","",AB67 &amp;#REF!)</f>
        <v/>
      </c>
      <c r="G67" s="40" t="str">
        <f>IF(AC67="","",AC67 &amp;#REF!)</f>
        <v/>
      </c>
      <c r="H67" s="36" t="str" cm="1">
        <f t="array" ref="H67:J67">IFERROR(CalcUnc(K67,L67,S67,T67,V67,X67,AD67,AE67,N67:R67,Z67,AA67),"")</f>
        <v/>
      </c>
      <c r="I67" s="48" t="str">
        <v/>
      </c>
      <c r="J67" s="77" t="str">
        <v/>
      </c>
      <c r="K67" s="53"/>
      <c r="L67" s="54"/>
      <c r="M67" s="22"/>
      <c r="N67" s="50"/>
      <c r="O67" s="51"/>
      <c r="P67" s="51"/>
      <c r="Q67" s="84"/>
      <c r="R67" s="84"/>
      <c r="S67" s="87"/>
      <c r="T67" s="100"/>
      <c r="U67" s="57"/>
      <c r="V67" s="62"/>
      <c r="W67" s="59"/>
      <c r="X67" s="101"/>
      <c r="Y67" s="127" t="str" cm="1">
        <f t="array" ref="Y67">GetPolarity(X67,AE67)</f>
        <v/>
      </c>
      <c r="Z67" s="60"/>
      <c r="AA67" s="63"/>
      <c r="AB67" s="71" t="str">
        <f t="shared" si="5"/>
        <v/>
      </c>
      <c r="AC67" s="71" t="str">
        <f t="shared" si="6"/>
        <v/>
      </c>
      <c r="AD67" s="60"/>
      <c r="AE67" s="59"/>
      <c r="AF67" s="21" t="str">
        <f t="shared" si="4"/>
        <v/>
      </c>
    </row>
    <row r="68" spans="1:32" x14ac:dyDescent="0.25">
      <c r="A68" s="107" t="e" cm="1">
        <f t="array" ref="A68">IfEmpty(TRIM(_xlfn.CONCAT(C68:H68)),"",CRC32HASH(_xlfn.CONCAT(C68:H68)))</f>
        <v>#VALUE!</v>
      </c>
      <c r="B68" s="10" t="str">
        <f>IFERROR(VLOOKUP(J68,Items[],2,FALSE),"")</f>
        <v/>
      </c>
      <c r="C68" s="32" t="e" cm="1">
        <f t="array" ref="C68">W68 &amp; " " &amp; IfEmpty(U68,#REF!)</f>
        <v>#REF!</v>
      </c>
      <c r="D68" s="41" t="e">
        <f>IF(OR(#REF!="°C",#REF!= "°F"), Z68 &amp; " " &amp;#REF!, IF(RIGHT(#REF!,2)="Hz", AF68 &amp; " @ " &amp; Z68 &amp; " " &amp;#REF!, Z68 &amp;#REF! &amp; " " &amp; AF68))</f>
        <v>#REF!</v>
      </c>
      <c r="E68" s="55" t="str">
        <f>IFERROR(TEXT(ROUND(AVERAGE(N68:R68),-LOG10(V68)),"0." &amp; REPT("0",-LOG10(V68))) &amp;#REF!,"")</f>
        <v/>
      </c>
      <c r="F68" s="39" t="str">
        <f>IF(AB68="","",AB68 &amp;#REF!)</f>
        <v/>
      </c>
      <c r="G68" s="39" t="str">
        <f>IF(AC68="","",AC68 &amp;#REF!)</f>
        <v/>
      </c>
      <c r="H68" s="33" t="str" cm="1">
        <f t="array" ref="H68:J68">IFERROR(CalcUnc(K68,L68,S68,T68,V68,X68,AD68,AE68,N68:R68,Z68,AA68),"")</f>
        <v/>
      </c>
      <c r="I68" s="48" t="str">
        <v/>
      </c>
      <c r="J68" s="77" t="str">
        <v/>
      </c>
      <c r="K68" s="53"/>
      <c r="L68" s="54"/>
      <c r="M68" s="22"/>
      <c r="N68" s="50"/>
      <c r="O68" s="51"/>
      <c r="P68" s="51"/>
      <c r="Q68" s="84"/>
      <c r="R68" s="84"/>
      <c r="S68" s="87"/>
      <c r="T68" s="100"/>
      <c r="U68" s="57"/>
      <c r="V68" s="62"/>
      <c r="W68" s="59"/>
      <c r="X68" s="101"/>
      <c r="Y68" s="127" t="str" cm="1">
        <f t="array" ref="Y68">GetPolarity(X68,AE68)</f>
        <v/>
      </c>
      <c r="Z68" s="60"/>
      <c r="AA68" s="63"/>
      <c r="AB68" s="71" t="str">
        <f t="shared" si="5"/>
        <v/>
      </c>
      <c r="AC68" s="71" t="str">
        <f t="shared" si="6"/>
        <v/>
      </c>
      <c r="AD68" s="60"/>
      <c r="AE68" s="59"/>
      <c r="AF68" s="21" t="str">
        <f t="shared" si="4"/>
        <v/>
      </c>
    </row>
    <row r="69" spans="1:32" x14ac:dyDescent="0.25">
      <c r="A69" s="107" t="e" cm="1">
        <f t="array" ref="A69">IfEmpty(TRIM(_xlfn.CONCAT(C69:H69)),"",CRC32HASH(_xlfn.CONCAT(C69:H69)))</f>
        <v>#VALUE!</v>
      </c>
      <c r="B69" s="37" t="str">
        <f>IFERROR(VLOOKUP(J69,Items[],2,FALSE),"")</f>
        <v/>
      </c>
      <c r="C69" s="34" t="e" cm="1">
        <f t="array" ref="C69">W69 &amp; " " &amp; IfEmpty(U69,#REF!)</f>
        <v>#REF!</v>
      </c>
      <c r="D69" s="35" t="e">
        <f>IF(OR(#REF!="°C",#REF!= "°F"), Z69 &amp; " " &amp;#REF!, IF(RIGHT(#REF!,2)="Hz", AF69 &amp; " @ " &amp; Z69 &amp; " " &amp;#REF!, Z69 &amp;#REF! &amp; " " &amp; AF69))</f>
        <v>#REF!</v>
      </c>
      <c r="E69" s="56" t="str">
        <f>IFERROR(TEXT(ROUND(AVERAGE(N69:R69),-LOG10(V69)),"0." &amp; REPT("0",-LOG10(V69))) &amp;#REF!,"")</f>
        <v/>
      </c>
      <c r="F69" s="40" t="str">
        <f>IF(AB69="","",AB69 &amp;#REF!)</f>
        <v/>
      </c>
      <c r="G69" s="40" t="str">
        <f>IF(AC69="","",AC69 &amp;#REF!)</f>
        <v/>
      </c>
      <c r="H69" s="36" t="str" cm="1">
        <f t="array" ref="H69:J69">IFERROR(CalcUnc(K69,L69,S69,T69,V69,X69,AD69,AE69,N69:R69,Z69,AA69),"")</f>
        <v/>
      </c>
      <c r="I69" s="48" t="str">
        <v/>
      </c>
      <c r="J69" s="77" t="str">
        <v/>
      </c>
      <c r="K69" s="53"/>
      <c r="L69" s="54"/>
      <c r="M69" s="22"/>
      <c r="N69" s="50"/>
      <c r="O69" s="51"/>
      <c r="P69" s="51"/>
      <c r="Q69" s="84"/>
      <c r="R69" s="84"/>
      <c r="S69" s="87"/>
      <c r="T69" s="100"/>
      <c r="U69" s="57"/>
      <c r="V69" s="62"/>
      <c r="W69" s="59"/>
      <c r="X69" s="101"/>
      <c r="Y69" s="127" t="str" cm="1">
        <f t="array" ref="Y69">GetPolarity(X69,AE69)</f>
        <v/>
      </c>
      <c r="Z69" s="60"/>
      <c r="AA69" s="63"/>
      <c r="AB69" s="71" t="str">
        <f t="shared" si="5"/>
        <v/>
      </c>
      <c r="AC69" s="71" t="str">
        <f t="shared" si="6"/>
        <v/>
      </c>
      <c r="AD69" s="60"/>
      <c r="AE69" s="59"/>
      <c r="AF69" s="21" t="str">
        <f t="shared" si="4"/>
        <v/>
      </c>
    </row>
    <row r="70" spans="1:32" x14ac:dyDescent="0.25">
      <c r="A70" s="107" t="e" cm="1">
        <f t="array" ref="A70">IfEmpty(TRIM(_xlfn.CONCAT(C70:H70)),"",CRC32HASH(_xlfn.CONCAT(C70:H70)))</f>
        <v>#VALUE!</v>
      </c>
      <c r="B70" s="10" t="str">
        <f>IFERROR(VLOOKUP(J70,Items[],2,FALSE),"")</f>
        <v/>
      </c>
      <c r="C70" s="32" t="e" cm="1">
        <f t="array" ref="C70">W70 &amp; " " &amp; IfEmpty(U70,#REF!)</f>
        <v>#REF!</v>
      </c>
      <c r="D70" s="41" t="e">
        <f>IF(OR(#REF!="°C",#REF!= "°F"), Z70 &amp; " " &amp;#REF!, IF(RIGHT(#REF!,2)="Hz", AF70 &amp; " @ " &amp; Z70 &amp; " " &amp;#REF!, Z70 &amp;#REF! &amp; " " &amp; AF70))</f>
        <v>#REF!</v>
      </c>
      <c r="E70" s="55" t="str">
        <f>IFERROR(TEXT(ROUND(AVERAGE(N70:R70),-LOG10(V70)),"0." &amp; REPT("0",-LOG10(V70))) &amp;#REF!,"")</f>
        <v/>
      </c>
      <c r="F70" s="39" t="str">
        <f>IF(AB70="","",AB70 &amp;#REF!)</f>
        <v/>
      </c>
      <c r="G70" s="39" t="str">
        <f>IF(AC70="","",AC70 &amp;#REF!)</f>
        <v/>
      </c>
      <c r="H70" s="33" t="str" cm="1">
        <f t="array" ref="H70:J70">IFERROR(CalcUnc(K70,L70,S70,T70,V70,X70,AD70,AE70,N70:R70,Z70,AA70),"")</f>
        <v/>
      </c>
      <c r="I70" s="48" t="str">
        <v/>
      </c>
      <c r="J70" s="77" t="str">
        <v/>
      </c>
      <c r="K70" s="53"/>
      <c r="L70" s="54"/>
      <c r="M70" s="22"/>
      <c r="N70" s="50"/>
      <c r="O70" s="51"/>
      <c r="P70" s="51"/>
      <c r="Q70" s="84"/>
      <c r="R70" s="84"/>
      <c r="S70" s="87"/>
      <c r="T70" s="100"/>
      <c r="U70" s="57"/>
      <c r="V70" s="62"/>
      <c r="W70" s="59"/>
      <c r="X70" s="101"/>
      <c r="Y70" s="127" t="str" cm="1">
        <f t="array" ref="Y70">GetPolarity(X70,AE70)</f>
        <v/>
      </c>
      <c r="Z70" s="60"/>
      <c r="AA70" s="59"/>
      <c r="AB70" s="71" t="str">
        <f t="shared" ref="AB70:AB101" si="7">IF(V70&lt;&gt;"",ROUND(Z70-AA70,-LOG10(V70)),"")</f>
        <v/>
      </c>
      <c r="AC70" s="71" t="str">
        <f t="shared" ref="AC70:AC101" si="8">IF(V70&lt;&gt;"",ROUND(Z70+AA70,-LOG10(V70)),"")</f>
        <v/>
      </c>
      <c r="AD70" s="60"/>
      <c r="AE70" s="59"/>
      <c r="AF70" s="21" t="str">
        <f t="shared" si="4"/>
        <v/>
      </c>
    </row>
    <row r="71" spans="1:32" x14ac:dyDescent="0.25">
      <c r="A71" s="107" t="e" cm="1">
        <f t="array" ref="A71">IfEmpty(TRIM(_xlfn.CONCAT(C71:H71)),"",CRC32HASH(_xlfn.CONCAT(C71:H71)))</f>
        <v>#VALUE!</v>
      </c>
      <c r="B71" s="37" t="str">
        <f>IFERROR(VLOOKUP(J71,Items[],2,FALSE),"")</f>
        <v/>
      </c>
      <c r="C71" s="34" t="e" cm="1">
        <f t="array" ref="C71">W71 &amp; " " &amp; IfEmpty(U71,#REF!)</f>
        <v>#REF!</v>
      </c>
      <c r="D71" s="35" t="e">
        <f>IF(OR(#REF!="°C",#REF!= "°F"), Z71 &amp; " " &amp;#REF!, IF(RIGHT(#REF!,2)="Hz", AF71 &amp; " @ " &amp; Z71 &amp; " " &amp;#REF!, Z71 &amp;#REF! &amp; " " &amp; AF71))</f>
        <v>#REF!</v>
      </c>
      <c r="E71" s="56" t="str">
        <f>IFERROR(TEXT(ROUND(AVERAGE(N71:R71),-LOG10(V71)),"0." &amp; REPT("0",-LOG10(V71))) &amp;#REF!,"")</f>
        <v/>
      </c>
      <c r="F71" s="40" t="str">
        <f>IF(AB71="","",AB71 &amp;#REF!)</f>
        <v/>
      </c>
      <c r="G71" s="40" t="str">
        <f>IF(AC71="","",AC71 &amp;#REF!)</f>
        <v/>
      </c>
      <c r="H71" s="36" t="str" cm="1">
        <f t="array" ref="H71:J71">IFERROR(CalcUnc(K71,L71,S71,T71,V71,X71,AD71,AE71,N71:R71,Z71,AA71),"")</f>
        <v/>
      </c>
      <c r="I71" s="48" t="str">
        <v/>
      </c>
      <c r="J71" s="77" t="str">
        <v/>
      </c>
      <c r="K71" s="53"/>
      <c r="L71" s="54"/>
      <c r="M71" s="22"/>
      <c r="N71" s="50"/>
      <c r="O71" s="51"/>
      <c r="P71" s="51"/>
      <c r="Q71" s="84"/>
      <c r="R71" s="84"/>
      <c r="S71" s="87"/>
      <c r="T71" s="100"/>
      <c r="U71" s="57"/>
      <c r="V71" s="62"/>
      <c r="W71" s="59"/>
      <c r="X71" s="101"/>
      <c r="Y71" s="127" t="str" cm="1">
        <f t="array" ref="Y71">GetPolarity(X71,AE71)</f>
        <v/>
      </c>
      <c r="Z71" s="60"/>
      <c r="AA71" s="59"/>
      <c r="AB71" s="71" t="str">
        <f t="shared" si="7"/>
        <v/>
      </c>
      <c r="AC71" s="71" t="str">
        <f t="shared" si="8"/>
        <v/>
      </c>
      <c r="AD71" s="60"/>
      <c r="AE71" s="59"/>
      <c r="AF71" s="21" t="str">
        <f t="shared" ref="AF71:AF110" si="9">IF(RIGHT(AE71,2)="Hz","@ ","")&amp;AD71&amp;AE71</f>
        <v/>
      </c>
    </row>
    <row r="72" spans="1:32" x14ac:dyDescent="0.25">
      <c r="A72" s="107" t="e" cm="1">
        <f t="array" ref="A72">IfEmpty(TRIM(_xlfn.CONCAT(C72:H72)),"",CRC32HASH(_xlfn.CONCAT(C72:H72)))</f>
        <v>#VALUE!</v>
      </c>
      <c r="B72" s="10" t="str">
        <f>IFERROR(VLOOKUP(J72,Items[],2,FALSE),"")</f>
        <v/>
      </c>
      <c r="C72" s="32" t="e" cm="1">
        <f t="array" ref="C72">W72 &amp; " " &amp; IfEmpty(U72,#REF!)</f>
        <v>#REF!</v>
      </c>
      <c r="D72" s="41" t="e">
        <f>IF(OR(#REF!="°C",#REF!= "°F"), Z72 &amp; " " &amp;#REF!, IF(RIGHT(#REF!,2)="Hz", AF72 &amp; " @ " &amp; Z72 &amp; " " &amp;#REF!, Z72 &amp;#REF! &amp; " " &amp; AF72))</f>
        <v>#REF!</v>
      </c>
      <c r="E72" s="55" t="str">
        <f>IFERROR(TEXT(ROUND(AVERAGE(N72:R72),-LOG10(V72)),"0." &amp; REPT("0",-LOG10(V72))) &amp;#REF!,"")</f>
        <v/>
      </c>
      <c r="F72" s="39" t="str">
        <f>IF(AB72="","",AB72 &amp;#REF!)</f>
        <v/>
      </c>
      <c r="G72" s="39" t="str">
        <f>IF(AC72="","",AC72 &amp;#REF!)</f>
        <v/>
      </c>
      <c r="H72" s="33" t="str" cm="1">
        <f t="array" ref="H72:J72">IFERROR(CalcUnc(K72,L72,S72,T72,V72,X72,AD72,AE72,N72:R72,Z72,AA72),"")</f>
        <v/>
      </c>
      <c r="I72" s="48" t="str">
        <v/>
      </c>
      <c r="J72" s="77" t="str">
        <v/>
      </c>
      <c r="K72" s="53"/>
      <c r="L72" s="54"/>
      <c r="M72" s="22"/>
      <c r="N72" s="50"/>
      <c r="O72" s="51"/>
      <c r="P72" s="51"/>
      <c r="Q72" s="84"/>
      <c r="R72" s="84"/>
      <c r="S72" s="87"/>
      <c r="T72" s="100"/>
      <c r="U72" s="57"/>
      <c r="V72" s="62"/>
      <c r="W72" s="59"/>
      <c r="X72" s="101"/>
      <c r="Y72" s="127" t="str" cm="1">
        <f t="array" ref="Y72">GetPolarity(X72,AE72)</f>
        <v/>
      </c>
      <c r="Z72" s="60"/>
      <c r="AA72" s="59"/>
      <c r="AB72" s="71" t="str">
        <f t="shared" si="7"/>
        <v/>
      </c>
      <c r="AC72" s="71" t="str">
        <f t="shared" si="8"/>
        <v/>
      </c>
      <c r="AD72" s="60"/>
      <c r="AE72" s="59"/>
      <c r="AF72" s="21" t="str">
        <f t="shared" si="9"/>
        <v/>
      </c>
    </row>
    <row r="73" spans="1:32" x14ac:dyDescent="0.25">
      <c r="A73" s="107" t="e" cm="1">
        <f t="array" ref="A73">IfEmpty(TRIM(_xlfn.CONCAT(C73:H73)),"",CRC32HASH(_xlfn.CONCAT(C73:H73)))</f>
        <v>#VALUE!</v>
      </c>
      <c r="B73" s="37" t="str">
        <f>IFERROR(VLOOKUP(J73,Items[],2,FALSE),"")</f>
        <v/>
      </c>
      <c r="C73" s="34" t="e" cm="1">
        <f t="array" ref="C73">W73 &amp; " " &amp; IfEmpty(U73,#REF!)</f>
        <v>#REF!</v>
      </c>
      <c r="D73" s="35" t="e">
        <f>IF(OR(#REF!="°C",#REF!= "°F"), Z73 &amp; " " &amp;#REF!, IF(RIGHT(#REF!,2)="Hz", AF73 &amp; " @ " &amp; Z73 &amp; " " &amp;#REF!, Z73 &amp;#REF! &amp; " " &amp; AF73))</f>
        <v>#REF!</v>
      </c>
      <c r="E73" s="56" t="str">
        <f>IFERROR(TEXT(ROUND(AVERAGE(N73:R73),-LOG10(V73)),"0." &amp; REPT("0",-LOG10(V73))) &amp;#REF!,"")</f>
        <v/>
      </c>
      <c r="F73" s="40" t="str">
        <f>IF(AB73="","",AB73 &amp;#REF!)</f>
        <v/>
      </c>
      <c r="G73" s="40" t="str">
        <f>IF(AC73="","",AC73 &amp;#REF!)</f>
        <v/>
      </c>
      <c r="H73" s="36" t="str" cm="1">
        <f t="array" ref="H73:J73">IFERROR(CalcUnc(K73,L73,S73,T73,V73,X73,AD73,AE73,N73:R73,Z73,AA73),"")</f>
        <v/>
      </c>
      <c r="I73" s="48" t="str">
        <v/>
      </c>
      <c r="J73" s="77" t="str">
        <v/>
      </c>
      <c r="K73" s="53"/>
      <c r="L73" s="54"/>
      <c r="M73" s="22"/>
      <c r="N73" s="50"/>
      <c r="O73" s="51"/>
      <c r="P73" s="51"/>
      <c r="Q73" s="84"/>
      <c r="R73" s="84"/>
      <c r="S73" s="87"/>
      <c r="T73" s="100"/>
      <c r="U73" s="57"/>
      <c r="V73" s="62"/>
      <c r="W73" s="59"/>
      <c r="X73" s="101"/>
      <c r="Y73" s="127" t="str" cm="1">
        <f t="array" ref="Y73">GetPolarity(X73,AE73)</f>
        <v/>
      </c>
      <c r="Z73" s="60"/>
      <c r="AA73" s="59"/>
      <c r="AB73" s="71" t="str">
        <f t="shared" si="7"/>
        <v/>
      </c>
      <c r="AC73" s="71" t="str">
        <f t="shared" si="8"/>
        <v/>
      </c>
      <c r="AD73" s="60"/>
      <c r="AE73" s="59"/>
      <c r="AF73" s="21" t="str">
        <f t="shared" si="9"/>
        <v/>
      </c>
    </row>
    <row r="74" spans="1:32" x14ac:dyDescent="0.25">
      <c r="A74" s="107" t="e" cm="1">
        <f t="array" ref="A74">IfEmpty(TRIM(_xlfn.CONCAT(C74:H74)),"",CRC32HASH(_xlfn.CONCAT(C74:H74)))</f>
        <v>#VALUE!</v>
      </c>
      <c r="B74" s="10" t="str">
        <f>IFERROR(VLOOKUP(J74,Items[],2,FALSE),"")</f>
        <v/>
      </c>
      <c r="C74" s="32" t="e" cm="1">
        <f t="array" ref="C74">W74 &amp; " " &amp; IfEmpty(U74,#REF!)</f>
        <v>#REF!</v>
      </c>
      <c r="D74" s="41" t="e">
        <f>IF(OR(#REF!="°C",#REF!= "°F"), Z74 &amp; " " &amp;#REF!, IF(RIGHT(#REF!,2)="Hz", AF74 &amp; " @ " &amp; Z74 &amp; " " &amp;#REF!, Z74 &amp;#REF! &amp; " " &amp; AF74))</f>
        <v>#REF!</v>
      </c>
      <c r="E74" s="55" t="str">
        <f>IFERROR(TEXT(ROUND(AVERAGE(N74:R74),-LOG10(V74)),"0." &amp; REPT("0",-LOG10(V74))) &amp;#REF!,"")</f>
        <v/>
      </c>
      <c r="F74" s="39" t="str">
        <f>IF(AB74="","",AB74 &amp;#REF!)</f>
        <v/>
      </c>
      <c r="G74" s="39" t="str">
        <f>IF(AC74="","",AC74 &amp;#REF!)</f>
        <v/>
      </c>
      <c r="H74" s="33" t="str" cm="1">
        <f t="array" ref="H74:J74">IFERROR(CalcUnc(K74,L74,S74,T74,V74,X74,AD74,AE74,N74:R74,Z74,AA74),"")</f>
        <v/>
      </c>
      <c r="I74" s="48" t="str">
        <v/>
      </c>
      <c r="J74" s="77" t="str">
        <v/>
      </c>
      <c r="K74" s="53"/>
      <c r="L74" s="54"/>
      <c r="M74" s="22"/>
      <c r="N74" s="50"/>
      <c r="O74" s="51"/>
      <c r="P74" s="51"/>
      <c r="Q74" s="84"/>
      <c r="R74" s="84"/>
      <c r="S74" s="87"/>
      <c r="T74" s="100"/>
      <c r="U74" s="57"/>
      <c r="V74" s="62"/>
      <c r="W74" s="59"/>
      <c r="X74" s="101"/>
      <c r="Y74" s="127" t="str" cm="1">
        <f t="array" ref="Y74">GetPolarity(X74,AE74)</f>
        <v/>
      </c>
      <c r="Z74" s="60"/>
      <c r="AA74" s="59"/>
      <c r="AB74" s="71" t="str">
        <f t="shared" si="7"/>
        <v/>
      </c>
      <c r="AC74" s="71" t="str">
        <f t="shared" si="8"/>
        <v/>
      </c>
      <c r="AD74" s="60"/>
      <c r="AE74" s="59"/>
      <c r="AF74" s="21" t="str">
        <f t="shared" si="9"/>
        <v/>
      </c>
    </row>
    <row r="75" spans="1:32" x14ac:dyDescent="0.25">
      <c r="A75" s="107" t="e" cm="1">
        <f t="array" ref="A75">IfEmpty(TRIM(_xlfn.CONCAT(C75:H75)),"",CRC32HASH(_xlfn.CONCAT(C75:H75)))</f>
        <v>#VALUE!</v>
      </c>
      <c r="B75" s="37" t="str">
        <f>IFERROR(VLOOKUP(J75,Items[],2,FALSE),"")</f>
        <v/>
      </c>
      <c r="C75" s="34" t="e" cm="1">
        <f t="array" ref="C75">W75 &amp; " " &amp; IfEmpty(U75,#REF!)</f>
        <v>#REF!</v>
      </c>
      <c r="D75" s="35" t="e">
        <f>IF(OR(#REF!="°C",#REF!= "°F"), Z75 &amp; " " &amp;#REF!, IF(RIGHT(#REF!,2)="Hz", AF75 &amp; " @ " &amp; Z75 &amp; " " &amp;#REF!, Z75 &amp;#REF! &amp; " " &amp; AF75))</f>
        <v>#REF!</v>
      </c>
      <c r="E75" s="56" t="str">
        <f>IFERROR(TEXT(ROUND(AVERAGE(N75:R75),-LOG10(V75)),"0." &amp; REPT("0",-LOG10(V75))) &amp;#REF!,"")</f>
        <v/>
      </c>
      <c r="F75" s="40" t="str">
        <f>IF(AB75="","",AB75 &amp;#REF!)</f>
        <v/>
      </c>
      <c r="G75" s="40" t="str">
        <f>IF(AC75="","",AC75 &amp;#REF!)</f>
        <v/>
      </c>
      <c r="H75" s="36" t="str" cm="1">
        <f t="array" ref="H75:J75">IFERROR(CalcUnc(K75,L75,S75,T75,V75,X75,AD75,AE75,N75:R75,Z75,AA75),"")</f>
        <v/>
      </c>
      <c r="I75" s="48" t="str">
        <v/>
      </c>
      <c r="J75" s="77" t="str">
        <v/>
      </c>
      <c r="K75" s="53"/>
      <c r="L75" s="54"/>
      <c r="M75" s="22"/>
      <c r="N75" s="50"/>
      <c r="O75" s="51"/>
      <c r="P75" s="51"/>
      <c r="Q75" s="84"/>
      <c r="R75" s="84"/>
      <c r="S75" s="87"/>
      <c r="T75" s="100"/>
      <c r="U75" s="57"/>
      <c r="V75" s="62"/>
      <c r="W75" s="59"/>
      <c r="X75" s="101"/>
      <c r="Y75" s="127" t="str" cm="1">
        <f t="array" ref="Y75">GetPolarity(X75,AE75)</f>
        <v/>
      </c>
      <c r="Z75" s="60"/>
      <c r="AA75" s="59"/>
      <c r="AB75" s="71" t="str">
        <f t="shared" si="7"/>
        <v/>
      </c>
      <c r="AC75" s="71" t="str">
        <f t="shared" si="8"/>
        <v/>
      </c>
      <c r="AD75" s="60"/>
      <c r="AE75" s="59"/>
      <c r="AF75" s="21" t="str">
        <f t="shared" si="9"/>
        <v/>
      </c>
    </row>
    <row r="76" spans="1:32" x14ac:dyDescent="0.25">
      <c r="A76" s="107" t="e" cm="1">
        <f t="array" ref="A76">IfEmpty(TRIM(_xlfn.CONCAT(C76:H76)),"",CRC32HASH(_xlfn.CONCAT(C76:H76)))</f>
        <v>#VALUE!</v>
      </c>
      <c r="B76" s="10" t="str">
        <f>IFERROR(VLOOKUP(J76,Items[],2,FALSE),"")</f>
        <v/>
      </c>
      <c r="C76" s="32" t="e" cm="1">
        <f t="array" ref="C76">W76 &amp; " " &amp; IfEmpty(U76,#REF!)</f>
        <v>#REF!</v>
      </c>
      <c r="D76" s="41" t="e">
        <f>IF(OR(#REF!="°C",#REF!= "°F"), Z76 &amp; " " &amp;#REF!, IF(RIGHT(#REF!,2)="Hz", AF76 &amp; " @ " &amp; Z76 &amp; " " &amp;#REF!, Z76 &amp;#REF! &amp; " " &amp; AF76))</f>
        <v>#REF!</v>
      </c>
      <c r="E76" s="55" t="str">
        <f>IFERROR(TEXT(ROUND(AVERAGE(N76:R76),-LOG10(V76)),"0." &amp; REPT("0",-LOG10(V76))) &amp;#REF!,"")</f>
        <v/>
      </c>
      <c r="F76" s="39" t="str">
        <f>IF(AB76="","",AB76 &amp;#REF!)</f>
        <v/>
      </c>
      <c r="G76" s="39" t="str">
        <f>IF(AC76="","",AC76 &amp;#REF!)</f>
        <v/>
      </c>
      <c r="H76" s="33" t="str" cm="1">
        <f t="array" ref="H76:J76">IFERROR(CalcUnc(K76,L76,S76,T76,V76,X76,AD76,AE76,N76:R76,Z76,AA76),"")</f>
        <v/>
      </c>
      <c r="I76" s="48" t="str">
        <v/>
      </c>
      <c r="J76" s="77" t="str">
        <v/>
      </c>
      <c r="K76" s="53"/>
      <c r="L76" s="54"/>
      <c r="M76" s="22"/>
      <c r="N76" s="50"/>
      <c r="O76" s="51"/>
      <c r="P76" s="51"/>
      <c r="Q76" s="84"/>
      <c r="R76" s="84"/>
      <c r="S76" s="87"/>
      <c r="T76" s="100"/>
      <c r="U76" s="57"/>
      <c r="V76" s="62"/>
      <c r="W76" s="59"/>
      <c r="X76" s="101"/>
      <c r="Y76" s="127" t="str" cm="1">
        <f t="array" ref="Y76">GetPolarity(X76,AE76)</f>
        <v/>
      </c>
      <c r="Z76" s="60"/>
      <c r="AA76" s="59"/>
      <c r="AB76" s="71" t="str">
        <f t="shared" si="7"/>
        <v/>
      </c>
      <c r="AC76" s="71" t="str">
        <f t="shared" si="8"/>
        <v/>
      </c>
      <c r="AD76" s="60"/>
      <c r="AE76" s="59"/>
      <c r="AF76" s="21" t="str">
        <f t="shared" si="9"/>
        <v/>
      </c>
    </row>
    <row r="77" spans="1:32" x14ac:dyDescent="0.25">
      <c r="A77" s="107" t="e" cm="1">
        <f t="array" ref="A77">IfEmpty(TRIM(_xlfn.CONCAT(C77:H77)),"",CRC32HASH(_xlfn.CONCAT(C77:H77)))</f>
        <v>#VALUE!</v>
      </c>
      <c r="B77" s="37" t="str">
        <f>IFERROR(VLOOKUP(J77,Items[],2,FALSE),"")</f>
        <v/>
      </c>
      <c r="C77" s="34" t="e" cm="1">
        <f t="array" ref="C77">W77 &amp; " " &amp; IfEmpty(U77,#REF!)</f>
        <v>#REF!</v>
      </c>
      <c r="D77" s="35" t="e">
        <f>IF(OR(#REF!="°C",#REF!= "°F"), Z77 &amp; " " &amp;#REF!, IF(RIGHT(#REF!,2)="Hz", AF77 &amp; " @ " &amp; Z77 &amp; " " &amp;#REF!, Z77 &amp;#REF! &amp; " " &amp; AF77))</f>
        <v>#REF!</v>
      </c>
      <c r="E77" s="56" t="str">
        <f>IFERROR(TEXT(ROUND(AVERAGE(N77:R77),-LOG10(V77)),"0." &amp; REPT("0",-LOG10(V77))) &amp;#REF!,"")</f>
        <v/>
      </c>
      <c r="F77" s="40" t="str">
        <f>IF(AB77="","",AB77 &amp;#REF!)</f>
        <v/>
      </c>
      <c r="G77" s="40" t="str">
        <f>IF(AC77="","",AC77 &amp;#REF!)</f>
        <v/>
      </c>
      <c r="H77" s="36" t="str" cm="1">
        <f t="array" ref="H77:J77">IFERROR(CalcUnc(K77,L77,S77,T77,V77,X77,AD77,AE77,N77:R77,Z77,AA77),"")</f>
        <v/>
      </c>
      <c r="I77" s="48" t="str">
        <v/>
      </c>
      <c r="J77" s="77" t="str">
        <v/>
      </c>
      <c r="K77" s="53"/>
      <c r="L77" s="54"/>
      <c r="M77" s="22"/>
      <c r="N77" s="50"/>
      <c r="O77" s="51"/>
      <c r="P77" s="51"/>
      <c r="Q77" s="84"/>
      <c r="R77" s="84"/>
      <c r="S77" s="87"/>
      <c r="T77" s="100"/>
      <c r="U77" s="57"/>
      <c r="V77" s="62"/>
      <c r="W77" s="59"/>
      <c r="X77" s="101"/>
      <c r="Y77" s="127" t="str" cm="1">
        <f t="array" ref="Y77">GetPolarity(X77,AE77)</f>
        <v/>
      </c>
      <c r="Z77" s="60"/>
      <c r="AA77" s="59"/>
      <c r="AB77" s="71" t="str">
        <f t="shared" si="7"/>
        <v/>
      </c>
      <c r="AC77" s="71" t="str">
        <f t="shared" si="8"/>
        <v/>
      </c>
      <c r="AD77" s="60"/>
      <c r="AE77" s="59"/>
      <c r="AF77" s="21" t="str">
        <f t="shared" si="9"/>
        <v/>
      </c>
    </row>
    <row r="78" spans="1:32" x14ac:dyDescent="0.25">
      <c r="A78" s="107" t="e" cm="1">
        <f t="array" ref="A78">IfEmpty(TRIM(_xlfn.CONCAT(C78:H78)),"",CRC32HASH(_xlfn.CONCAT(C78:H78)))</f>
        <v>#VALUE!</v>
      </c>
      <c r="B78" s="10" t="str">
        <f>IFERROR(VLOOKUP(J78,Items[],2,FALSE),"")</f>
        <v/>
      </c>
      <c r="C78" s="32" t="e" cm="1">
        <f t="array" ref="C78">W78 &amp; " " &amp; IfEmpty(U78,#REF!)</f>
        <v>#REF!</v>
      </c>
      <c r="D78" s="41" t="e">
        <f>IF(OR(#REF!="°C",#REF!= "°F"), Z78 &amp; " " &amp;#REF!, IF(RIGHT(#REF!,2)="Hz", AF78 &amp; " @ " &amp; Z78 &amp; " " &amp;#REF!, Z78 &amp;#REF! &amp; " " &amp; AF78))</f>
        <v>#REF!</v>
      </c>
      <c r="E78" s="55" t="str">
        <f>IFERROR(TEXT(ROUND(AVERAGE(N78:R78),-LOG10(V78)),"0." &amp; REPT("0",-LOG10(V78))) &amp;#REF!,"")</f>
        <v/>
      </c>
      <c r="F78" s="39" t="str">
        <f>IF(AB78="","",AB78 &amp;#REF!)</f>
        <v/>
      </c>
      <c r="G78" s="39" t="str">
        <f>IF(AC78="","",AC78 &amp;#REF!)</f>
        <v/>
      </c>
      <c r="H78" s="33" t="str" cm="1">
        <f t="array" ref="H78:J78">IFERROR(CalcUnc(K78,L78,S78,T78,V78,X78,AD78,AE78,N78:R78,Z78,AA78),"")</f>
        <v/>
      </c>
      <c r="I78" s="48" t="str">
        <v/>
      </c>
      <c r="J78" s="77" t="str">
        <v/>
      </c>
      <c r="K78" s="53"/>
      <c r="L78" s="54"/>
      <c r="M78" s="22"/>
      <c r="N78" s="50"/>
      <c r="O78" s="51"/>
      <c r="P78" s="51"/>
      <c r="Q78" s="84"/>
      <c r="R78" s="84"/>
      <c r="S78" s="87"/>
      <c r="T78" s="100"/>
      <c r="U78" s="57"/>
      <c r="V78" s="62"/>
      <c r="W78" s="59"/>
      <c r="X78" s="101"/>
      <c r="Y78" s="127" t="str" cm="1">
        <f t="array" ref="Y78">GetPolarity(X78,AE78)</f>
        <v/>
      </c>
      <c r="Z78" s="60"/>
      <c r="AA78" s="59"/>
      <c r="AB78" s="71" t="str">
        <f t="shared" si="7"/>
        <v/>
      </c>
      <c r="AC78" s="71" t="str">
        <f t="shared" si="8"/>
        <v/>
      </c>
      <c r="AD78" s="60"/>
      <c r="AE78" s="59"/>
      <c r="AF78" s="21" t="str">
        <f t="shared" si="9"/>
        <v/>
      </c>
    </row>
    <row r="79" spans="1:32" x14ac:dyDescent="0.25">
      <c r="A79" s="107" t="e" cm="1">
        <f t="array" ref="A79">IfEmpty(TRIM(_xlfn.CONCAT(C79:H79)),"",CRC32HASH(_xlfn.CONCAT(C79:H79)))</f>
        <v>#VALUE!</v>
      </c>
      <c r="B79" s="37" t="str">
        <f>IFERROR(VLOOKUP(J79,Items[],2,FALSE),"")</f>
        <v/>
      </c>
      <c r="C79" s="34" t="e" cm="1">
        <f t="array" ref="C79">W79 &amp; " " &amp; IfEmpty(U79,#REF!)</f>
        <v>#REF!</v>
      </c>
      <c r="D79" s="35" t="e">
        <f>IF(OR(#REF!="°C",#REF!= "°F"), Z79 &amp; " " &amp;#REF!, IF(RIGHT(#REF!,2)="Hz", AF79 &amp; " @ " &amp; Z79 &amp; " " &amp;#REF!, Z79 &amp;#REF! &amp; " " &amp; AF79))</f>
        <v>#REF!</v>
      </c>
      <c r="E79" s="56" t="str">
        <f>IFERROR(TEXT(ROUND(AVERAGE(N79:R79),-LOG10(V79)),"0." &amp; REPT("0",-LOG10(V79))) &amp;#REF!,"")</f>
        <v/>
      </c>
      <c r="F79" s="40" t="str">
        <f>IF(AB79="","",AB79 &amp;#REF!)</f>
        <v/>
      </c>
      <c r="G79" s="40" t="str">
        <f>IF(AC79="","",AC79 &amp;#REF!)</f>
        <v/>
      </c>
      <c r="H79" s="36" t="str" cm="1">
        <f t="array" ref="H79:J79">IFERROR(CalcUnc(K79,L79,S79,T79,V79,X79,AD79,AE79,N79:R79,Z79,AA79),"")</f>
        <v/>
      </c>
      <c r="I79" s="48" t="str">
        <v/>
      </c>
      <c r="J79" s="77" t="str">
        <v/>
      </c>
      <c r="K79" s="53"/>
      <c r="L79" s="54"/>
      <c r="M79" s="22"/>
      <c r="N79" s="50"/>
      <c r="O79" s="51"/>
      <c r="P79" s="51"/>
      <c r="Q79" s="84"/>
      <c r="R79" s="84"/>
      <c r="S79" s="87"/>
      <c r="T79" s="100"/>
      <c r="U79" s="57"/>
      <c r="V79" s="62"/>
      <c r="W79" s="59"/>
      <c r="X79" s="101"/>
      <c r="Y79" s="127" t="str" cm="1">
        <f t="array" ref="Y79">GetPolarity(X79,AE79)</f>
        <v/>
      </c>
      <c r="Z79" s="60"/>
      <c r="AA79" s="59"/>
      <c r="AB79" s="71" t="str">
        <f t="shared" si="7"/>
        <v/>
      </c>
      <c r="AC79" s="71" t="str">
        <f t="shared" si="8"/>
        <v/>
      </c>
      <c r="AD79" s="60"/>
      <c r="AE79" s="59"/>
      <c r="AF79" s="21" t="str">
        <f t="shared" si="9"/>
        <v/>
      </c>
    </row>
    <row r="80" spans="1:32" x14ac:dyDescent="0.25">
      <c r="A80" s="107" t="e" cm="1">
        <f t="array" ref="A80">IfEmpty(TRIM(_xlfn.CONCAT(C80:H80)),"",CRC32HASH(_xlfn.CONCAT(C80:H80)))</f>
        <v>#VALUE!</v>
      </c>
      <c r="B80" s="10" t="str">
        <f>IFERROR(VLOOKUP(J80,Items[],2,FALSE),"")</f>
        <v/>
      </c>
      <c r="C80" s="32" t="e" cm="1">
        <f t="array" ref="C80">W80 &amp; " " &amp; IfEmpty(U80,#REF!)</f>
        <v>#REF!</v>
      </c>
      <c r="D80" s="41" t="e">
        <f>IF(OR(#REF!="°C",#REF!= "°F"), Z80 &amp; " " &amp;#REF!, IF(RIGHT(#REF!,2)="Hz", AF80 &amp; " @ " &amp; Z80 &amp; " " &amp;#REF!, Z80 &amp;#REF! &amp; " " &amp; AF80))</f>
        <v>#REF!</v>
      </c>
      <c r="E80" s="55" t="str">
        <f>IFERROR(TEXT(ROUND(AVERAGE(N80:R80),-LOG10(V80)),"0." &amp; REPT("0",-LOG10(V80))) &amp;#REF!,"")</f>
        <v/>
      </c>
      <c r="F80" s="39" t="str">
        <f>IF(AB80="","",AB80 &amp;#REF!)</f>
        <v/>
      </c>
      <c r="G80" s="39" t="str">
        <f>IF(AC80="","",AC80 &amp;#REF!)</f>
        <v/>
      </c>
      <c r="H80" s="33" t="str" cm="1">
        <f t="array" ref="H80:J80">IFERROR(CalcUnc(K80,L80,S80,T80,V80,X80,AD80,AE80,N80:R80,Z80,AA80),"")</f>
        <v/>
      </c>
      <c r="I80" s="48" t="str">
        <v/>
      </c>
      <c r="J80" s="77" t="str">
        <v/>
      </c>
      <c r="K80" s="53"/>
      <c r="L80" s="54"/>
      <c r="M80" s="22"/>
      <c r="N80" s="50"/>
      <c r="O80" s="51"/>
      <c r="P80" s="51"/>
      <c r="Q80" s="84"/>
      <c r="R80" s="84"/>
      <c r="S80" s="87"/>
      <c r="T80" s="100"/>
      <c r="U80" s="57"/>
      <c r="V80" s="62"/>
      <c r="W80" s="59"/>
      <c r="X80" s="101"/>
      <c r="Y80" s="127" t="str" cm="1">
        <f t="array" ref="Y80">GetPolarity(X80,AE80)</f>
        <v/>
      </c>
      <c r="Z80" s="60"/>
      <c r="AA80" s="59"/>
      <c r="AB80" s="71" t="str">
        <f t="shared" si="7"/>
        <v/>
      </c>
      <c r="AC80" s="71" t="str">
        <f t="shared" si="8"/>
        <v/>
      </c>
      <c r="AD80" s="60"/>
      <c r="AE80" s="59"/>
      <c r="AF80" s="21" t="str">
        <f t="shared" si="9"/>
        <v/>
      </c>
    </row>
    <row r="81" spans="1:32" x14ac:dyDescent="0.25">
      <c r="A81" s="107" t="e" cm="1">
        <f t="array" ref="A81">IfEmpty(TRIM(_xlfn.CONCAT(C81:H81)),"",CRC32HASH(_xlfn.CONCAT(C81:H81)))</f>
        <v>#VALUE!</v>
      </c>
      <c r="B81" s="37" t="str">
        <f>IFERROR(VLOOKUP(J81,Items[],2,FALSE),"")</f>
        <v/>
      </c>
      <c r="C81" s="34" t="e" cm="1">
        <f t="array" ref="C81">W81 &amp; " " &amp; IfEmpty(U81,#REF!)</f>
        <v>#REF!</v>
      </c>
      <c r="D81" s="35" t="e">
        <f>IF(OR(#REF!="°C",#REF!= "°F"), Z81 &amp; " " &amp;#REF!, IF(RIGHT(#REF!,2)="Hz", AF81 &amp; " @ " &amp; Z81 &amp; " " &amp;#REF!, Z81 &amp;#REF! &amp; " " &amp; AF81))</f>
        <v>#REF!</v>
      </c>
      <c r="E81" s="56" t="str">
        <f>IFERROR(TEXT(ROUND(AVERAGE(N81:R81),-LOG10(V81)),"0." &amp; REPT("0",-LOG10(V81))) &amp;#REF!,"")</f>
        <v/>
      </c>
      <c r="F81" s="40" t="str">
        <f>IF(AB81="","",AB81 &amp;#REF!)</f>
        <v/>
      </c>
      <c r="G81" s="40" t="str">
        <f>IF(AC81="","",AC81 &amp;#REF!)</f>
        <v/>
      </c>
      <c r="H81" s="36" t="str" cm="1">
        <f t="array" ref="H81:J81">IFERROR(CalcUnc(K81,L81,S81,T81,V81,X81,AD81,AE81,N81:R81,Z81,AA81),"")</f>
        <v/>
      </c>
      <c r="I81" s="48" t="str">
        <v/>
      </c>
      <c r="J81" s="77" t="str">
        <v/>
      </c>
      <c r="K81" s="53"/>
      <c r="L81" s="54"/>
      <c r="M81" s="22"/>
      <c r="N81" s="50"/>
      <c r="O81" s="51"/>
      <c r="P81" s="51"/>
      <c r="Q81" s="84"/>
      <c r="R81" s="84"/>
      <c r="S81" s="87"/>
      <c r="T81" s="100"/>
      <c r="U81" s="57"/>
      <c r="V81" s="62"/>
      <c r="W81" s="59"/>
      <c r="X81" s="101"/>
      <c r="Y81" s="127" t="str" cm="1">
        <f t="array" ref="Y81">GetPolarity(X81,AE81)</f>
        <v/>
      </c>
      <c r="Z81" s="60"/>
      <c r="AA81" s="59"/>
      <c r="AB81" s="71" t="str">
        <f t="shared" si="7"/>
        <v/>
      </c>
      <c r="AC81" s="71" t="str">
        <f t="shared" si="8"/>
        <v/>
      </c>
      <c r="AD81" s="60"/>
      <c r="AE81" s="59"/>
      <c r="AF81" s="21" t="str">
        <f t="shared" si="9"/>
        <v/>
      </c>
    </row>
    <row r="82" spans="1:32" x14ac:dyDescent="0.25">
      <c r="A82" s="107" t="e" cm="1">
        <f t="array" ref="A82">IfEmpty(TRIM(_xlfn.CONCAT(C82:H82)),"",CRC32HASH(_xlfn.CONCAT(C82:H82)))</f>
        <v>#VALUE!</v>
      </c>
      <c r="B82" s="10" t="str">
        <f>IFERROR(VLOOKUP(J82,Items[],2,FALSE),"")</f>
        <v/>
      </c>
      <c r="C82" s="32" t="e" cm="1">
        <f t="array" ref="C82">W82 &amp; " " &amp; IfEmpty(U82,#REF!)</f>
        <v>#REF!</v>
      </c>
      <c r="D82" s="41" t="e">
        <f>IF(OR(#REF!="°C",#REF!= "°F"), Z82 &amp; " " &amp;#REF!, IF(RIGHT(#REF!,2)="Hz", AF82 &amp; " @ " &amp; Z82 &amp; " " &amp;#REF!, Z82 &amp;#REF! &amp; " " &amp; AF82))</f>
        <v>#REF!</v>
      </c>
      <c r="E82" s="55" t="str">
        <f>IFERROR(TEXT(ROUND(AVERAGE(N82:R82),-LOG10(V82)),"0." &amp; REPT("0",-LOG10(V82))) &amp;#REF!,"")</f>
        <v/>
      </c>
      <c r="F82" s="39" t="str">
        <f>IF(AB82="","",AB82 &amp;#REF!)</f>
        <v/>
      </c>
      <c r="G82" s="39" t="str">
        <f>IF(AC82="","",AC82 &amp;#REF!)</f>
        <v/>
      </c>
      <c r="H82" s="33" t="str" cm="1">
        <f t="array" ref="H82:J82">IFERROR(CalcUnc(K82,L82,S82,T82,V82,X82,AD82,AE82,N82:R82,Z82,AA82),"")</f>
        <v/>
      </c>
      <c r="I82" s="48" t="str">
        <v/>
      </c>
      <c r="J82" s="77" t="str">
        <v/>
      </c>
      <c r="K82" s="53"/>
      <c r="L82" s="54"/>
      <c r="M82" s="22"/>
      <c r="N82" s="50"/>
      <c r="O82" s="51"/>
      <c r="P82" s="51"/>
      <c r="Q82" s="84"/>
      <c r="R82" s="84"/>
      <c r="S82" s="87"/>
      <c r="T82" s="100"/>
      <c r="U82" s="57"/>
      <c r="V82" s="62"/>
      <c r="W82" s="59"/>
      <c r="X82" s="101"/>
      <c r="Y82" s="127" t="str" cm="1">
        <f t="array" ref="Y82">GetPolarity(X82,AE82)</f>
        <v/>
      </c>
      <c r="Z82" s="60"/>
      <c r="AA82" s="59"/>
      <c r="AB82" s="71" t="str">
        <f t="shared" si="7"/>
        <v/>
      </c>
      <c r="AC82" s="71" t="str">
        <f t="shared" si="8"/>
        <v/>
      </c>
      <c r="AD82" s="60"/>
      <c r="AE82" s="59"/>
      <c r="AF82" s="21" t="str">
        <f t="shared" si="9"/>
        <v/>
      </c>
    </row>
    <row r="83" spans="1:32" x14ac:dyDescent="0.25">
      <c r="A83" s="107" t="e" cm="1">
        <f t="array" ref="A83">IfEmpty(TRIM(_xlfn.CONCAT(C83:H83)),"",CRC32HASH(_xlfn.CONCAT(C83:H83)))</f>
        <v>#VALUE!</v>
      </c>
      <c r="B83" s="37" t="str">
        <f>IFERROR(VLOOKUP(J83,Items[],2,FALSE),"")</f>
        <v/>
      </c>
      <c r="C83" s="34" t="e" cm="1">
        <f t="array" ref="C83">W83 &amp; " " &amp; IfEmpty(U83,#REF!)</f>
        <v>#REF!</v>
      </c>
      <c r="D83" s="35" t="e">
        <f>IF(OR(#REF!="°C",#REF!= "°F"), Z83 &amp; " " &amp;#REF!, IF(RIGHT(#REF!,2)="Hz", AF83 &amp; " @ " &amp; Z83 &amp; " " &amp;#REF!, Z83 &amp;#REF! &amp; " " &amp; AF83))</f>
        <v>#REF!</v>
      </c>
      <c r="E83" s="56" t="str">
        <f>IFERROR(TEXT(ROUND(AVERAGE(N83:R83),-LOG10(V83)),"0." &amp; REPT("0",-LOG10(V83))) &amp;#REF!,"")</f>
        <v/>
      </c>
      <c r="F83" s="40" t="str">
        <f>IF(AB83="","",AB83 &amp;#REF!)</f>
        <v/>
      </c>
      <c r="G83" s="40" t="str">
        <f>IF(AC83="","",AC83 &amp;#REF!)</f>
        <v/>
      </c>
      <c r="H83" s="36" t="str" cm="1">
        <f t="array" ref="H83:J83">IFERROR(CalcUnc(K83,L83,S83,T83,V83,X83,AD83,AE83,N83:R83,Z83,AA83),"")</f>
        <v/>
      </c>
      <c r="I83" s="48" t="str">
        <v/>
      </c>
      <c r="J83" s="77" t="str">
        <v/>
      </c>
      <c r="K83" s="53"/>
      <c r="L83" s="54"/>
      <c r="M83" s="22"/>
      <c r="N83" s="50"/>
      <c r="O83" s="51"/>
      <c r="P83" s="51"/>
      <c r="Q83" s="84"/>
      <c r="R83" s="84"/>
      <c r="S83" s="87"/>
      <c r="T83" s="100"/>
      <c r="U83" s="57"/>
      <c r="V83" s="62"/>
      <c r="W83" s="59"/>
      <c r="X83" s="101"/>
      <c r="Y83" s="127" t="str" cm="1">
        <f t="array" ref="Y83">GetPolarity(X83,AE83)</f>
        <v/>
      </c>
      <c r="Z83" s="60"/>
      <c r="AA83" s="59"/>
      <c r="AB83" s="71" t="str">
        <f t="shared" si="7"/>
        <v/>
      </c>
      <c r="AC83" s="71" t="str">
        <f t="shared" si="8"/>
        <v/>
      </c>
      <c r="AD83" s="60"/>
      <c r="AE83" s="59"/>
      <c r="AF83" s="21" t="str">
        <f t="shared" si="9"/>
        <v/>
      </c>
    </row>
    <row r="84" spans="1:32" x14ac:dyDescent="0.25">
      <c r="A84" s="107" t="e" cm="1">
        <f t="array" ref="A84">IfEmpty(TRIM(_xlfn.CONCAT(C84:H84)),"",CRC32HASH(_xlfn.CONCAT(C84:H84)))</f>
        <v>#VALUE!</v>
      </c>
      <c r="B84" s="10" t="str">
        <f>IFERROR(VLOOKUP(J84,Items[],2,FALSE),"")</f>
        <v/>
      </c>
      <c r="C84" s="32" t="e" cm="1">
        <f t="array" ref="C84">W84 &amp; " " &amp; IfEmpty(U84,#REF!)</f>
        <v>#REF!</v>
      </c>
      <c r="D84" s="41" t="e">
        <f>IF(OR(#REF!="°C",#REF!= "°F"), Z84 &amp; " " &amp;#REF!, IF(RIGHT(#REF!,2)="Hz", AF84 &amp; " @ " &amp; Z84 &amp; " " &amp;#REF!, Z84 &amp;#REF! &amp; " " &amp; AF84))</f>
        <v>#REF!</v>
      </c>
      <c r="E84" s="55" t="str">
        <f>IFERROR(TEXT(ROUND(AVERAGE(N84:R84),-LOG10(V84)),"0." &amp; REPT("0",-LOG10(V84))) &amp;#REF!,"")</f>
        <v/>
      </c>
      <c r="F84" s="39" t="str">
        <f>IF(AB84="","",AB84 &amp;#REF!)</f>
        <v/>
      </c>
      <c r="G84" s="39" t="str">
        <f>IF(AC84="","",AC84 &amp;#REF!)</f>
        <v/>
      </c>
      <c r="H84" s="33" t="str" cm="1">
        <f t="array" ref="H84:J84">IFERROR(CalcUnc(K84,L84,S84,T84,V84,X84,AD84,AE84,N84:R84,Z84,AA84),"")</f>
        <v/>
      </c>
      <c r="I84" s="48" t="str">
        <v/>
      </c>
      <c r="J84" s="77" t="str">
        <v/>
      </c>
      <c r="K84" s="53"/>
      <c r="L84" s="54"/>
      <c r="M84" s="22"/>
      <c r="N84" s="50"/>
      <c r="O84" s="51"/>
      <c r="P84" s="51"/>
      <c r="Q84" s="84"/>
      <c r="R84" s="84"/>
      <c r="S84" s="87"/>
      <c r="T84" s="100"/>
      <c r="U84" s="57"/>
      <c r="V84" s="62"/>
      <c r="W84" s="59"/>
      <c r="X84" s="101"/>
      <c r="Y84" s="127" t="str" cm="1">
        <f t="array" ref="Y84">GetPolarity(X84,AE84)</f>
        <v/>
      </c>
      <c r="Z84" s="60"/>
      <c r="AA84" s="59"/>
      <c r="AB84" s="71" t="str">
        <f t="shared" si="7"/>
        <v/>
      </c>
      <c r="AC84" s="71" t="str">
        <f t="shared" si="8"/>
        <v/>
      </c>
      <c r="AD84" s="60"/>
      <c r="AE84" s="59"/>
      <c r="AF84" s="21" t="str">
        <f t="shared" si="9"/>
        <v/>
      </c>
    </row>
    <row r="85" spans="1:32" x14ac:dyDescent="0.25">
      <c r="A85" s="107" t="e" cm="1">
        <f t="array" ref="A85">IfEmpty(TRIM(_xlfn.CONCAT(C85:H85)),"",CRC32HASH(_xlfn.CONCAT(C85:H85)))</f>
        <v>#VALUE!</v>
      </c>
      <c r="B85" s="37" t="str">
        <f>IFERROR(VLOOKUP(J85,Items[],2,FALSE),"")</f>
        <v/>
      </c>
      <c r="C85" s="34" t="e" cm="1">
        <f t="array" ref="C85">W85 &amp; " " &amp; IfEmpty(U85,#REF!)</f>
        <v>#REF!</v>
      </c>
      <c r="D85" s="35" t="e">
        <f>IF(OR(#REF!="°C",#REF!= "°F"), Z85 &amp; " " &amp;#REF!, IF(RIGHT(#REF!,2)="Hz", AF85 &amp; " @ " &amp; Z85 &amp; " " &amp;#REF!, Z85 &amp;#REF! &amp; " " &amp; AF85))</f>
        <v>#REF!</v>
      </c>
      <c r="E85" s="56" t="str">
        <f>IFERROR(TEXT(ROUND(AVERAGE(N85:R85),-LOG10(V85)),"0." &amp; REPT("0",-LOG10(V85))) &amp;#REF!,"")</f>
        <v/>
      </c>
      <c r="F85" s="40" t="str">
        <f>IF(AB85="","",AB85 &amp;#REF!)</f>
        <v/>
      </c>
      <c r="G85" s="40" t="str">
        <f>IF(AC85="","",AC85 &amp;#REF!)</f>
        <v/>
      </c>
      <c r="H85" s="36" t="str" cm="1">
        <f t="array" ref="H85:J85">IFERROR(CalcUnc(K85,L85,S85,T85,V85,X85,AD85,AE85,N85:R85,Z85,AA85),"")</f>
        <v/>
      </c>
      <c r="I85" s="48" t="str">
        <v/>
      </c>
      <c r="J85" s="77" t="str">
        <v/>
      </c>
      <c r="K85" s="53"/>
      <c r="L85" s="54"/>
      <c r="M85" s="22"/>
      <c r="N85" s="50"/>
      <c r="O85" s="51"/>
      <c r="P85" s="51"/>
      <c r="Q85" s="84"/>
      <c r="R85" s="84"/>
      <c r="S85" s="87"/>
      <c r="T85" s="100"/>
      <c r="U85" s="57"/>
      <c r="V85" s="62"/>
      <c r="W85" s="59"/>
      <c r="X85" s="101"/>
      <c r="Y85" s="127" t="str" cm="1">
        <f t="array" ref="Y85">GetPolarity(X85,AE85)</f>
        <v/>
      </c>
      <c r="Z85" s="60"/>
      <c r="AA85" s="59"/>
      <c r="AB85" s="71" t="str">
        <f t="shared" si="7"/>
        <v/>
      </c>
      <c r="AC85" s="71" t="str">
        <f t="shared" si="8"/>
        <v/>
      </c>
      <c r="AD85" s="60"/>
      <c r="AE85" s="59"/>
      <c r="AF85" s="21" t="str">
        <f t="shared" si="9"/>
        <v/>
      </c>
    </row>
    <row r="86" spans="1:32" x14ac:dyDescent="0.25">
      <c r="A86" s="107" t="e" cm="1">
        <f t="array" ref="A86">IfEmpty(TRIM(_xlfn.CONCAT(C86:H86)),"",CRC32HASH(_xlfn.CONCAT(C86:H86)))</f>
        <v>#VALUE!</v>
      </c>
      <c r="B86" s="10" t="str">
        <f>IFERROR(VLOOKUP(J86,Items[],2,FALSE),"")</f>
        <v/>
      </c>
      <c r="C86" s="32" t="e" cm="1">
        <f t="array" ref="C86">W86 &amp; " " &amp; IfEmpty(U86,#REF!)</f>
        <v>#REF!</v>
      </c>
      <c r="D86" s="41" t="e">
        <f>IF(OR(#REF!="°C",#REF!= "°F"), Z86 &amp; " " &amp;#REF!, IF(RIGHT(#REF!,2)="Hz", AF86 &amp; " @ " &amp; Z86 &amp; " " &amp;#REF!, Z86 &amp;#REF! &amp; " " &amp; AF86))</f>
        <v>#REF!</v>
      </c>
      <c r="E86" s="55" t="str">
        <f>IFERROR(TEXT(ROUND(AVERAGE(N86:R86),-LOG10(V86)),"0." &amp; REPT("0",-LOG10(V86))) &amp;#REF!,"")</f>
        <v/>
      </c>
      <c r="F86" s="39" t="str">
        <f>IF(AB86="","",AB86 &amp;#REF!)</f>
        <v/>
      </c>
      <c r="G86" s="39" t="str">
        <f>IF(AC86="","",AC86 &amp;#REF!)</f>
        <v/>
      </c>
      <c r="H86" s="33" t="str" cm="1">
        <f t="array" ref="H86:J86">IFERROR(CalcUnc(K86,L86,S86,T86,V86,X86,AD86,AE86,N86:R86,Z86,AA86),"")</f>
        <v/>
      </c>
      <c r="I86" s="48" t="str">
        <v/>
      </c>
      <c r="J86" s="77" t="str">
        <v/>
      </c>
      <c r="K86" s="53"/>
      <c r="L86" s="54"/>
      <c r="M86" s="22"/>
      <c r="N86" s="50"/>
      <c r="O86" s="51"/>
      <c r="P86" s="51"/>
      <c r="Q86" s="84"/>
      <c r="R86" s="84"/>
      <c r="S86" s="87"/>
      <c r="T86" s="100"/>
      <c r="U86" s="57"/>
      <c r="V86" s="62"/>
      <c r="W86" s="59"/>
      <c r="X86" s="101"/>
      <c r="Y86" s="127" t="str" cm="1">
        <f t="array" ref="Y86">GetPolarity(X86,AE86)</f>
        <v/>
      </c>
      <c r="Z86" s="60"/>
      <c r="AA86" s="59"/>
      <c r="AB86" s="71" t="str">
        <f t="shared" si="7"/>
        <v/>
      </c>
      <c r="AC86" s="71" t="str">
        <f t="shared" si="8"/>
        <v/>
      </c>
      <c r="AD86" s="60"/>
      <c r="AE86" s="59"/>
      <c r="AF86" s="21" t="str">
        <f t="shared" si="9"/>
        <v/>
      </c>
    </row>
    <row r="87" spans="1:32" x14ac:dyDescent="0.25">
      <c r="A87" s="107" t="e" cm="1">
        <f t="array" ref="A87">IfEmpty(TRIM(_xlfn.CONCAT(C87:H87)),"",CRC32HASH(_xlfn.CONCAT(C87:H87)))</f>
        <v>#VALUE!</v>
      </c>
      <c r="B87" s="37" t="str">
        <f>IFERROR(VLOOKUP(J87,Items[],2,FALSE),"")</f>
        <v/>
      </c>
      <c r="C87" s="34" t="e" cm="1">
        <f t="array" ref="C87">W87 &amp; " " &amp; IfEmpty(U87,#REF!)</f>
        <v>#REF!</v>
      </c>
      <c r="D87" s="35" t="e">
        <f>IF(OR(#REF!="°C",#REF!= "°F"), Z87 &amp; " " &amp;#REF!, IF(RIGHT(#REF!,2)="Hz", AF87 &amp; " @ " &amp; Z87 &amp; " " &amp;#REF!, Z87 &amp;#REF! &amp; " " &amp; AF87))</f>
        <v>#REF!</v>
      </c>
      <c r="E87" s="56" t="str">
        <f>IFERROR(TEXT(ROUND(AVERAGE(N87:R87),-LOG10(V87)),"0." &amp; REPT("0",-LOG10(V87))) &amp;#REF!,"")</f>
        <v/>
      </c>
      <c r="F87" s="40" t="str">
        <f>IF(AB87="","",AB87 &amp;#REF!)</f>
        <v/>
      </c>
      <c r="G87" s="40" t="str">
        <f>IF(AC87="","",AC87 &amp;#REF!)</f>
        <v/>
      </c>
      <c r="H87" s="36" t="str" cm="1">
        <f t="array" ref="H87:J87">IFERROR(CalcUnc(K87,L87,S87,T87,V87,X87,AD87,AE87,N87:R87,Z87,AA87),"")</f>
        <v/>
      </c>
      <c r="I87" s="48" t="str">
        <v/>
      </c>
      <c r="J87" s="77" t="str">
        <v/>
      </c>
      <c r="K87" s="53"/>
      <c r="L87" s="54"/>
      <c r="M87" s="22"/>
      <c r="N87" s="50"/>
      <c r="O87" s="51"/>
      <c r="P87" s="51"/>
      <c r="Q87" s="84"/>
      <c r="R87" s="84"/>
      <c r="S87" s="87"/>
      <c r="T87" s="100"/>
      <c r="U87" s="57"/>
      <c r="V87" s="62"/>
      <c r="W87" s="59"/>
      <c r="X87" s="101"/>
      <c r="Y87" s="127" t="str" cm="1">
        <f t="array" ref="Y87">GetPolarity(X87,AE87)</f>
        <v/>
      </c>
      <c r="Z87" s="60"/>
      <c r="AA87" s="59"/>
      <c r="AB87" s="71" t="str">
        <f t="shared" si="7"/>
        <v/>
      </c>
      <c r="AC87" s="71" t="str">
        <f t="shared" si="8"/>
        <v/>
      </c>
      <c r="AD87" s="60"/>
      <c r="AE87" s="59"/>
      <c r="AF87" s="21" t="str">
        <f t="shared" si="9"/>
        <v/>
      </c>
    </row>
    <row r="88" spans="1:32" x14ac:dyDescent="0.25">
      <c r="A88" s="107" t="e" cm="1">
        <f t="array" ref="A88">IfEmpty(TRIM(_xlfn.CONCAT(C88:H88)),"",CRC32HASH(_xlfn.CONCAT(C88:H88)))</f>
        <v>#VALUE!</v>
      </c>
      <c r="B88" s="10" t="str">
        <f>IFERROR(VLOOKUP(J88,Items[],2,FALSE),"")</f>
        <v/>
      </c>
      <c r="C88" s="32" t="e" cm="1">
        <f t="array" ref="C88">W88 &amp; " " &amp; IfEmpty(U88,#REF!)</f>
        <v>#REF!</v>
      </c>
      <c r="D88" s="41" t="e">
        <f>IF(OR(#REF!="°C",#REF!= "°F"), Z88 &amp; " " &amp;#REF!, IF(RIGHT(#REF!,2)="Hz", AF88 &amp; " @ " &amp; Z88 &amp; " " &amp;#REF!, Z88 &amp;#REF! &amp; " " &amp; AF88))</f>
        <v>#REF!</v>
      </c>
      <c r="E88" s="55" t="str">
        <f>IFERROR(TEXT(ROUND(AVERAGE(N88:R88),-LOG10(V88)),"0." &amp; REPT("0",-LOG10(V88))) &amp;#REF!,"")</f>
        <v/>
      </c>
      <c r="F88" s="39" t="str">
        <f>IF(AB88="","",AB88 &amp;#REF!)</f>
        <v/>
      </c>
      <c r="G88" s="39" t="str">
        <f>IF(AC88="","",AC88 &amp;#REF!)</f>
        <v/>
      </c>
      <c r="H88" s="33" t="str" cm="1">
        <f t="array" ref="H88:J88">IFERROR(CalcUnc(K88,L88,S88,T88,V88,X88,AD88,AE88,N88:R88,Z88,AA88),"")</f>
        <v/>
      </c>
      <c r="I88" s="48" t="str">
        <v/>
      </c>
      <c r="J88" s="77" t="str">
        <v/>
      </c>
      <c r="K88" s="53"/>
      <c r="L88" s="54"/>
      <c r="M88" s="22"/>
      <c r="N88" s="50"/>
      <c r="O88" s="51"/>
      <c r="P88" s="51"/>
      <c r="Q88" s="84"/>
      <c r="R88" s="84"/>
      <c r="S88" s="87"/>
      <c r="T88" s="100"/>
      <c r="U88" s="57"/>
      <c r="V88" s="62"/>
      <c r="W88" s="59"/>
      <c r="X88" s="101"/>
      <c r="Y88" s="127" t="str" cm="1">
        <f t="array" ref="Y88">GetPolarity(X88,AE88)</f>
        <v/>
      </c>
      <c r="Z88" s="60"/>
      <c r="AA88" s="59"/>
      <c r="AB88" s="71" t="str">
        <f t="shared" si="7"/>
        <v/>
      </c>
      <c r="AC88" s="71" t="str">
        <f t="shared" si="8"/>
        <v/>
      </c>
      <c r="AD88" s="60"/>
      <c r="AE88" s="59"/>
      <c r="AF88" s="21" t="str">
        <f t="shared" si="9"/>
        <v/>
      </c>
    </row>
    <row r="89" spans="1:32" x14ac:dyDescent="0.25">
      <c r="A89" s="107" t="e" cm="1">
        <f t="array" ref="A89">IfEmpty(TRIM(_xlfn.CONCAT(C89:H89)),"",CRC32HASH(_xlfn.CONCAT(C89:H89)))</f>
        <v>#VALUE!</v>
      </c>
      <c r="B89" s="37" t="str">
        <f>IFERROR(VLOOKUP(J89,Items[],2,FALSE),"")</f>
        <v/>
      </c>
      <c r="C89" s="34" t="e" cm="1">
        <f t="array" ref="C89">W89 &amp; " " &amp; IfEmpty(U89,#REF!)</f>
        <v>#REF!</v>
      </c>
      <c r="D89" s="35" t="e">
        <f>IF(OR(#REF!="°C",#REF!= "°F"), Z89 &amp; " " &amp;#REF!, IF(RIGHT(#REF!,2)="Hz", AF89 &amp; " @ " &amp; Z89 &amp; " " &amp;#REF!, Z89 &amp;#REF! &amp; " " &amp; AF89))</f>
        <v>#REF!</v>
      </c>
      <c r="E89" s="56" t="str">
        <f>IFERROR(TEXT(ROUND(AVERAGE(N89:R89),-LOG10(V89)),"0." &amp; REPT("0",-LOG10(V89))) &amp;#REF!,"")</f>
        <v/>
      </c>
      <c r="F89" s="40" t="str">
        <f>IF(AB89="","",AB89 &amp;#REF!)</f>
        <v/>
      </c>
      <c r="G89" s="40" t="str">
        <f>IF(AC89="","",AC89 &amp;#REF!)</f>
        <v/>
      </c>
      <c r="H89" s="36" t="str" cm="1">
        <f t="array" ref="H89:J89">IFERROR(CalcUnc(K89,L89,S89,T89,V89,X89,AD89,AE89,N89:R89,Z89,AA89),"")</f>
        <v/>
      </c>
      <c r="I89" s="48" t="str">
        <v/>
      </c>
      <c r="J89" s="77" t="str">
        <v/>
      </c>
      <c r="K89" s="53"/>
      <c r="L89" s="54"/>
      <c r="M89" s="22"/>
      <c r="N89" s="50"/>
      <c r="O89" s="51"/>
      <c r="P89" s="51"/>
      <c r="Q89" s="84"/>
      <c r="R89" s="84"/>
      <c r="S89" s="87"/>
      <c r="T89" s="100"/>
      <c r="U89" s="57"/>
      <c r="V89" s="62"/>
      <c r="W89" s="59"/>
      <c r="X89" s="101"/>
      <c r="Y89" s="127" t="str" cm="1">
        <f t="array" ref="Y89">GetPolarity(X89,AE89)</f>
        <v/>
      </c>
      <c r="Z89" s="60"/>
      <c r="AA89" s="59"/>
      <c r="AB89" s="71" t="str">
        <f t="shared" si="7"/>
        <v/>
      </c>
      <c r="AC89" s="71" t="str">
        <f t="shared" si="8"/>
        <v/>
      </c>
      <c r="AD89" s="60"/>
      <c r="AE89" s="59"/>
      <c r="AF89" s="21" t="str">
        <f t="shared" si="9"/>
        <v/>
      </c>
    </row>
    <row r="90" spans="1:32" x14ac:dyDescent="0.25">
      <c r="A90" s="107" t="e" cm="1">
        <f t="array" ref="A90">IfEmpty(TRIM(_xlfn.CONCAT(C90:H90)),"",CRC32HASH(_xlfn.CONCAT(C90:H90)))</f>
        <v>#VALUE!</v>
      </c>
      <c r="B90" s="10" t="str">
        <f>IFERROR(VLOOKUP(J90,Items[],2,FALSE),"")</f>
        <v/>
      </c>
      <c r="C90" s="32" t="e" cm="1">
        <f t="array" ref="C90">W90 &amp; " " &amp; IfEmpty(U90,#REF!)</f>
        <v>#REF!</v>
      </c>
      <c r="D90" s="41" t="e">
        <f>IF(OR(#REF!="°C",#REF!= "°F"), Z90 &amp; " " &amp;#REF!, IF(RIGHT(#REF!,2)="Hz", AF90 &amp; " @ " &amp; Z90 &amp; " " &amp;#REF!, Z90 &amp;#REF! &amp; " " &amp; AF90))</f>
        <v>#REF!</v>
      </c>
      <c r="E90" s="55" t="str">
        <f>IFERROR(TEXT(ROUND(AVERAGE(N90:R90),-LOG10(V90)),"0." &amp; REPT("0",-LOG10(V90))) &amp;#REF!,"")</f>
        <v/>
      </c>
      <c r="F90" s="39" t="str">
        <f>IF(AB90="","",AB90 &amp;#REF!)</f>
        <v/>
      </c>
      <c r="G90" s="39" t="str">
        <f>IF(AC90="","",AC90 &amp;#REF!)</f>
        <v/>
      </c>
      <c r="H90" s="33" t="str" cm="1">
        <f t="array" ref="H90:J90">IFERROR(CalcUnc(K90,L90,S90,T90,V90,X90,AD90,AE90,N90:R90,Z90,AA90),"")</f>
        <v/>
      </c>
      <c r="I90" s="48" t="str">
        <v/>
      </c>
      <c r="J90" s="77" t="str">
        <v/>
      </c>
      <c r="K90" s="53"/>
      <c r="L90" s="54"/>
      <c r="M90" s="22"/>
      <c r="N90" s="50"/>
      <c r="O90" s="51"/>
      <c r="P90" s="51"/>
      <c r="Q90" s="84"/>
      <c r="R90" s="84"/>
      <c r="S90" s="87"/>
      <c r="T90" s="100"/>
      <c r="U90" s="57"/>
      <c r="V90" s="62"/>
      <c r="W90" s="59"/>
      <c r="X90" s="101"/>
      <c r="Y90" s="127" t="str" cm="1">
        <f t="array" ref="Y90">GetPolarity(X90,AE90)</f>
        <v/>
      </c>
      <c r="Z90" s="60"/>
      <c r="AA90" s="59"/>
      <c r="AB90" s="71" t="str">
        <f t="shared" si="7"/>
        <v/>
      </c>
      <c r="AC90" s="71" t="str">
        <f t="shared" si="8"/>
        <v/>
      </c>
      <c r="AD90" s="60"/>
      <c r="AE90" s="59"/>
      <c r="AF90" s="21" t="str">
        <f t="shared" si="9"/>
        <v/>
      </c>
    </row>
    <row r="91" spans="1:32" x14ac:dyDescent="0.25">
      <c r="A91" s="107" t="e" cm="1">
        <f t="array" ref="A91">IfEmpty(TRIM(_xlfn.CONCAT(C91:H91)),"",CRC32HASH(_xlfn.CONCAT(C91:H91)))</f>
        <v>#VALUE!</v>
      </c>
      <c r="B91" s="37" t="str">
        <f>IFERROR(VLOOKUP(J91,Items[],2,FALSE),"")</f>
        <v/>
      </c>
      <c r="C91" s="34" t="e" cm="1">
        <f t="array" ref="C91">W91 &amp; " " &amp; IfEmpty(U91,#REF!)</f>
        <v>#REF!</v>
      </c>
      <c r="D91" s="35" t="e">
        <f>IF(OR(#REF!="°C",#REF!= "°F"), Z91 &amp; " " &amp;#REF!, IF(RIGHT(#REF!,2)="Hz", AF91 &amp; " @ " &amp; Z91 &amp; " " &amp;#REF!, Z91 &amp;#REF! &amp; " " &amp; AF91))</f>
        <v>#REF!</v>
      </c>
      <c r="E91" s="56" t="str">
        <f>IFERROR(TEXT(ROUND(AVERAGE(N91:R91),-LOG10(V91)),"0." &amp; REPT("0",-LOG10(V91))) &amp;#REF!,"")</f>
        <v/>
      </c>
      <c r="F91" s="40" t="str">
        <f>IF(AB91="","",AB91 &amp;#REF!)</f>
        <v/>
      </c>
      <c r="G91" s="40" t="str">
        <f>IF(AC91="","",AC91 &amp;#REF!)</f>
        <v/>
      </c>
      <c r="H91" s="36" t="str" cm="1">
        <f t="array" ref="H91:J91">IFERROR(CalcUnc(K91,L91,S91,T91,V91,X91,AD91,AE91,N91:R91,Z91,AA91),"")</f>
        <v/>
      </c>
      <c r="I91" s="48" t="str">
        <v/>
      </c>
      <c r="J91" s="77" t="str">
        <v/>
      </c>
      <c r="K91" s="53"/>
      <c r="L91" s="54"/>
      <c r="M91" s="22"/>
      <c r="N91" s="50"/>
      <c r="O91" s="51"/>
      <c r="P91" s="51"/>
      <c r="Q91" s="84"/>
      <c r="R91" s="84"/>
      <c r="S91" s="87"/>
      <c r="T91" s="100"/>
      <c r="U91" s="57"/>
      <c r="V91" s="62"/>
      <c r="W91" s="59"/>
      <c r="X91" s="101"/>
      <c r="Y91" s="127" t="str" cm="1">
        <f t="array" ref="Y91">GetPolarity(X91,AE91)</f>
        <v/>
      </c>
      <c r="Z91" s="60"/>
      <c r="AA91" s="59"/>
      <c r="AB91" s="71" t="str">
        <f t="shared" si="7"/>
        <v/>
      </c>
      <c r="AC91" s="71" t="str">
        <f t="shared" si="8"/>
        <v/>
      </c>
      <c r="AD91" s="60"/>
      <c r="AE91" s="59"/>
      <c r="AF91" s="21" t="str">
        <f t="shared" si="9"/>
        <v/>
      </c>
    </row>
    <row r="92" spans="1:32" x14ac:dyDescent="0.25">
      <c r="A92" s="107" t="e" cm="1">
        <f t="array" ref="A92">IfEmpty(TRIM(_xlfn.CONCAT(C92:H92)),"",CRC32HASH(_xlfn.CONCAT(C92:H92)))</f>
        <v>#VALUE!</v>
      </c>
      <c r="B92" s="10" t="str">
        <f>IFERROR(VLOOKUP(J92,Items[],2,FALSE),"")</f>
        <v/>
      </c>
      <c r="C92" s="32" t="e" cm="1">
        <f t="array" ref="C92">W92 &amp; " " &amp; IfEmpty(U92,#REF!)</f>
        <v>#REF!</v>
      </c>
      <c r="D92" s="41" t="e">
        <f>IF(OR(#REF!="°C",#REF!= "°F"), Z92 &amp; " " &amp;#REF!, IF(RIGHT(#REF!,2)="Hz", AF92 &amp; " @ " &amp; Z92 &amp; " " &amp;#REF!, Z92 &amp;#REF! &amp; " " &amp; AF92))</f>
        <v>#REF!</v>
      </c>
      <c r="E92" s="55" t="str">
        <f>IFERROR(TEXT(ROUND(AVERAGE(N92:R92),-LOG10(V92)),"0." &amp; REPT("0",-LOG10(V92))) &amp;#REF!,"")</f>
        <v/>
      </c>
      <c r="F92" s="39" t="str">
        <f>IF(AB92="","",AB92 &amp;#REF!)</f>
        <v/>
      </c>
      <c r="G92" s="39" t="str">
        <f>IF(AC92="","",AC92 &amp;#REF!)</f>
        <v/>
      </c>
      <c r="H92" s="33" t="str" cm="1">
        <f t="array" ref="H92:J92">IFERROR(CalcUnc(K92,L92,S92,T92,V92,X92,AD92,AE92,N92:R92,Z92,AA92),"")</f>
        <v/>
      </c>
      <c r="I92" s="48" t="str">
        <v/>
      </c>
      <c r="J92" s="77" t="str">
        <v/>
      </c>
      <c r="K92" s="53"/>
      <c r="L92" s="54"/>
      <c r="M92" s="22"/>
      <c r="N92" s="50"/>
      <c r="O92" s="51"/>
      <c r="P92" s="51"/>
      <c r="Q92" s="84"/>
      <c r="R92" s="84"/>
      <c r="S92" s="87"/>
      <c r="T92" s="100"/>
      <c r="U92" s="57"/>
      <c r="V92" s="62"/>
      <c r="W92" s="59"/>
      <c r="X92" s="101"/>
      <c r="Y92" s="127" t="str" cm="1">
        <f t="array" ref="Y92">GetPolarity(X92,AE92)</f>
        <v/>
      </c>
      <c r="Z92" s="60"/>
      <c r="AA92" s="59"/>
      <c r="AB92" s="71" t="str">
        <f t="shared" si="7"/>
        <v/>
      </c>
      <c r="AC92" s="71" t="str">
        <f t="shared" si="8"/>
        <v/>
      </c>
      <c r="AD92" s="60"/>
      <c r="AE92" s="59"/>
      <c r="AF92" s="21" t="str">
        <f t="shared" si="9"/>
        <v/>
      </c>
    </row>
    <row r="93" spans="1:32" x14ac:dyDescent="0.25">
      <c r="A93" s="107" t="e" cm="1">
        <f t="array" ref="A93">IfEmpty(TRIM(_xlfn.CONCAT(C93:H93)),"",CRC32HASH(_xlfn.CONCAT(C93:H93)))</f>
        <v>#VALUE!</v>
      </c>
      <c r="B93" s="37" t="str">
        <f>IFERROR(VLOOKUP(J93,Items[],2,FALSE),"")</f>
        <v/>
      </c>
      <c r="C93" s="34" t="e" cm="1">
        <f t="array" ref="C93">W93 &amp; " " &amp; IfEmpty(U93,#REF!)</f>
        <v>#REF!</v>
      </c>
      <c r="D93" s="35" t="e">
        <f>IF(OR(#REF!="°C",#REF!= "°F"), Z93 &amp; " " &amp;#REF!, IF(RIGHT(#REF!,2)="Hz", AF93 &amp; " @ " &amp; Z93 &amp; " " &amp;#REF!, Z93 &amp;#REF! &amp; " " &amp; AF93))</f>
        <v>#REF!</v>
      </c>
      <c r="E93" s="56" t="str">
        <f>IFERROR(TEXT(ROUND(AVERAGE(N93:R93),-LOG10(V93)),"0." &amp; REPT("0",-LOG10(V93))) &amp;#REF!,"")</f>
        <v/>
      </c>
      <c r="F93" s="40" t="str">
        <f>IF(AB93="","",AB93 &amp;#REF!)</f>
        <v/>
      </c>
      <c r="G93" s="40" t="str">
        <f>IF(AC93="","",AC93 &amp;#REF!)</f>
        <v/>
      </c>
      <c r="H93" s="36" t="str" cm="1">
        <f t="array" ref="H93:J93">IFERROR(CalcUnc(K93,L93,S93,T93,V93,X93,AD93,AE93,N93:R93,Z93,AA93),"")</f>
        <v/>
      </c>
      <c r="I93" s="48" t="str">
        <v/>
      </c>
      <c r="J93" s="77" t="str">
        <v/>
      </c>
      <c r="K93" s="53"/>
      <c r="L93" s="54"/>
      <c r="M93" s="22"/>
      <c r="N93" s="50"/>
      <c r="O93" s="51"/>
      <c r="P93" s="51"/>
      <c r="Q93" s="84"/>
      <c r="R93" s="84"/>
      <c r="S93" s="87"/>
      <c r="T93" s="100"/>
      <c r="U93" s="57"/>
      <c r="V93" s="62"/>
      <c r="W93" s="59"/>
      <c r="X93" s="101"/>
      <c r="Y93" s="127" t="str" cm="1">
        <f t="array" ref="Y93">GetPolarity(X93,AE93)</f>
        <v/>
      </c>
      <c r="Z93" s="60"/>
      <c r="AA93" s="59"/>
      <c r="AB93" s="71" t="str">
        <f t="shared" si="7"/>
        <v/>
      </c>
      <c r="AC93" s="71" t="str">
        <f t="shared" si="8"/>
        <v/>
      </c>
      <c r="AD93" s="60"/>
      <c r="AE93" s="59"/>
      <c r="AF93" s="21" t="str">
        <f t="shared" si="9"/>
        <v/>
      </c>
    </row>
    <row r="94" spans="1:32" x14ac:dyDescent="0.25">
      <c r="A94" s="107" t="e" cm="1">
        <f t="array" ref="A94">IfEmpty(TRIM(_xlfn.CONCAT(C94:H94)),"",CRC32HASH(_xlfn.CONCAT(C94:H94)))</f>
        <v>#VALUE!</v>
      </c>
      <c r="B94" s="10" t="str">
        <f>IFERROR(VLOOKUP(J94,Items[],2,FALSE),"")</f>
        <v/>
      </c>
      <c r="C94" s="32" t="e" cm="1">
        <f t="array" ref="C94">W94 &amp; " " &amp; IfEmpty(U94,#REF!)</f>
        <v>#REF!</v>
      </c>
      <c r="D94" s="41" t="e">
        <f>IF(OR(#REF!="°C",#REF!= "°F"), Z94 &amp; " " &amp;#REF!, IF(RIGHT(#REF!,2)="Hz", AF94 &amp; " @ " &amp; Z94 &amp; " " &amp;#REF!, Z94 &amp;#REF! &amp; " " &amp; AF94))</f>
        <v>#REF!</v>
      </c>
      <c r="E94" s="55" t="str">
        <f>IFERROR(TEXT(ROUND(AVERAGE(N94:R94),-LOG10(V94)),"0." &amp; REPT("0",-LOG10(V94))) &amp;#REF!,"")</f>
        <v/>
      </c>
      <c r="F94" s="39" t="str">
        <f>IF(AB94="","",AB94 &amp;#REF!)</f>
        <v/>
      </c>
      <c r="G94" s="39" t="str">
        <f>IF(AC94="","",AC94 &amp;#REF!)</f>
        <v/>
      </c>
      <c r="H94" s="33" t="str" cm="1">
        <f t="array" ref="H94:J94">IFERROR(CalcUnc(K94,L94,S94,T94,V94,X94,AD94,AE94,N94:R94,Z94,AA94),"")</f>
        <v/>
      </c>
      <c r="I94" s="48" t="str">
        <v/>
      </c>
      <c r="J94" s="77" t="str">
        <v/>
      </c>
      <c r="K94" s="53"/>
      <c r="L94" s="54"/>
      <c r="M94" s="22"/>
      <c r="N94" s="50"/>
      <c r="O94" s="51"/>
      <c r="P94" s="51"/>
      <c r="Q94" s="84"/>
      <c r="R94" s="84"/>
      <c r="S94" s="87"/>
      <c r="T94" s="100"/>
      <c r="U94" s="57"/>
      <c r="V94" s="62"/>
      <c r="W94" s="59"/>
      <c r="X94" s="101"/>
      <c r="Y94" s="127" t="str" cm="1">
        <f t="array" ref="Y94">GetPolarity(X94,AE94)</f>
        <v/>
      </c>
      <c r="Z94" s="60"/>
      <c r="AA94" s="59"/>
      <c r="AB94" s="71" t="str">
        <f t="shared" si="7"/>
        <v/>
      </c>
      <c r="AC94" s="71" t="str">
        <f t="shared" si="8"/>
        <v/>
      </c>
      <c r="AD94" s="60"/>
      <c r="AE94" s="59"/>
      <c r="AF94" s="21" t="str">
        <f t="shared" si="9"/>
        <v/>
      </c>
    </row>
    <row r="95" spans="1:32" x14ac:dyDescent="0.25">
      <c r="A95" s="107" t="e" cm="1">
        <f t="array" ref="A95">IfEmpty(TRIM(_xlfn.CONCAT(C95:H95)),"",CRC32HASH(_xlfn.CONCAT(C95:H95)))</f>
        <v>#VALUE!</v>
      </c>
      <c r="B95" s="37" t="str">
        <f>IFERROR(VLOOKUP(J95,Items[],2,FALSE),"")</f>
        <v/>
      </c>
      <c r="C95" s="34" t="e" cm="1">
        <f t="array" ref="C95">W95 &amp; " " &amp; IfEmpty(U95,#REF!)</f>
        <v>#REF!</v>
      </c>
      <c r="D95" s="35" t="e">
        <f>IF(OR(#REF!="°C",#REF!= "°F"), Z95 &amp; " " &amp;#REF!, IF(RIGHT(#REF!,2)="Hz", AF95 &amp; " @ " &amp; Z95 &amp; " " &amp;#REF!, Z95 &amp;#REF! &amp; " " &amp; AF95))</f>
        <v>#REF!</v>
      </c>
      <c r="E95" s="56" t="str">
        <f>IFERROR(TEXT(ROUND(AVERAGE(N95:R95),-LOG10(V95)),"0." &amp; REPT("0",-LOG10(V95))) &amp;#REF!,"")</f>
        <v/>
      </c>
      <c r="F95" s="40" t="str">
        <f>IF(AB95="","",AB95 &amp;#REF!)</f>
        <v/>
      </c>
      <c r="G95" s="40" t="str">
        <f>IF(AC95="","",AC95 &amp;#REF!)</f>
        <v/>
      </c>
      <c r="H95" s="36" t="str" cm="1">
        <f t="array" ref="H95:J95">IFERROR(CalcUnc(K95,L95,S95,T95,V95,X95,AD95,AE95,N95:R95,Z95,AA95),"")</f>
        <v/>
      </c>
      <c r="I95" s="48" t="str">
        <v/>
      </c>
      <c r="J95" s="77" t="str">
        <v/>
      </c>
      <c r="K95" s="53"/>
      <c r="L95" s="54"/>
      <c r="M95" s="22"/>
      <c r="N95" s="50"/>
      <c r="O95" s="51"/>
      <c r="P95" s="51"/>
      <c r="Q95" s="84"/>
      <c r="R95" s="84"/>
      <c r="S95" s="87"/>
      <c r="T95" s="100"/>
      <c r="U95" s="57"/>
      <c r="V95" s="62"/>
      <c r="W95" s="59"/>
      <c r="X95" s="101"/>
      <c r="Y95" s="127" t="str" cm="1">
        <f t="array" ref="Y95">GetPolarity(X95,AE95)</f>
        <v/>
      </c>
      <c r="Z95" s="60"/>
      <c r="AA95" s="59"/>
      <c r="AB95" s="71" t="str">
        <f t="shared" si="7"/>
        <v/>
      </c>
      <c r="AC95" s="71" t="str">
        <f t="shared" si="8"/>
        <v/>
      </c>
      <c r="AD95" s="60"/>
      <c r="AE95" s="59"/>
      <c r="AF95" s="21" t="str">
        <f t="shared" si="9"/>
        <v/>
      </c>
    </row>
    <row r="96" spans="1:32" x14ac:dyDescent="0.25">
      <c r="A96" s="107" t="e" cm="1">
        <f t="array" ref="A96">IfEmpty(TRIM(_xlfn.CONCAT(C96:H96)),"",CRC32HASH(_xlfn.CONCAT(C96:H96)))</f>
        <v>#VALUE!</v>
      </c>
      <c r="B96" s="10" t="str">
        <f>IFERROR(VLOOKUP(J96,Items[],2,FALSE),"")</f>
        <v/>
      </c>
      <c r="C96" s="32" t="e" cm="1">
        <f t="array" ref="C96">W96 &amp; " " &amp; IfEmpty(U96,#REF!)</f>
        <v>#REF!</v>
      </c>
      <c r="D96" s="41" t="e">
        <f>IF(OR(#REF!="°C",#REF!= "°F"), Z96 &amp; " " &amp;#REF!, IF(RIGHT(#REF!,2)="Hz", AF96 &amp; " @ " &amp; Z96 &amp; " " &amp;#REF!, Z96 &amp;#REF! &amp; " " &amp; AF96))</f>
        <v>#REF!</v>
      </c>
      <c r="E96" s="55" t="str">
        <f>IFERROR(TEXT(ROUND(AVERAGE(N96:R96),-LOG10(V96)),"0." &amp; REPT("0",-LOG10(V96))) &amp;#REF!,"")</f>
        <v/>
      </c>
      <c r="F96" s="39" t="str">
        <f>IF(AB96="","",AB96 &amp;#REF!)</f>
        <v/>
      </c>
      <c r="G96" s="39" t="str">
        <f>IF(AC96="","",AC96 &amp;#REF!)</f>
        <v/>
      </c>
      <c r="H96" s="33" t="str" cm="1">
        <f t="array" ref="H96:J96">IFERROR(CalcUnc(K96,L96,S96,T96,V96,X96,AD96,AE96,N96:R96,Z96,AA96),"")</f>
        <v/>
      </c>
      <c r="I96" s="48" t="str">
        <v/>
      </c>
      <c r="J96" s="77" t="str">
        <v/>
      </c>
      <c r="K96" s="53"/>
      <c r="L96" s="54"/>
      <c r="M96" s="22"/>
      <c r="N96" s="50"/>
      <c r="O96" s="51"/>
      <c r="P96" s="51"/>
      <c r="Q96" s="84"/>
      <c r="R96" s="84"/>
      <c r="S96" s="87"/>
      <c r="T96" s="100"/>
      <c r="U96" s="57"/>
      <c r="V96" s="62"/>
      <c r="W96" s="59"/>
      <c r="X96" s="101"/>
      <c r="Y96" s="127" t="str" cm="1">
        <f t="array" ref="Y96">GetPolarity(X96,AE96)</f>
        <v/>
      </c>
      <c r="Z96" s="60"/>
      <c r="AA96" s="59"/>
      <c r="AB96" s="71" t="str">
        <f t="shared" si="7"/>
        <v/>
      </c>
      <c r="AC96" s="71" t="str">
        <f t="shared" si="8"/>
        <v/>
      </c>
      <c r="AD96" s="60"/>
      <c r="AE96" s="59"/>
      <c r="AF96" s="21" t="str">
        <f t="shared" si="9"/>
        <v/>
      </c>
    </row>
    <row r="97" spans="1:32" x14ac:dyDescent="0.25">
      <c r="A97" s="107" t="e" cm="1">
        <f t="array" ref="A97">IfEmpty(TRIM(_xlfn.CONCAT(C97:H97)),"",CRC32HASH(_xlfn.CONCAT(C97:H97)))</f>
        <v>#VALUE!</v>
      </c>
      <c r="B97" s="37" t="str">
        <f>IFERROR(VLOOKUP(J97,Items[],2,FALSE),"")</f>
        <v/>
      </c>
      <c r="C97" s="34" t="e" cm="1">
        <f t="array" ref="C97">W97 &amp; " " &amp; IfEmpty(U97,#REF!)</f>
        <v>#REF!</v>
      </c>
      <c r="D97" s="35" t="e">
        <f>IF(OR(#REF!="°C",#REF!= "°F"), Z97 &amp; " " &amp;#REF!, IF(RIGHT(#REF!,2)="Hz", AF97 &amp; " @ " &amp; Z97 &amp; " " &amp;#REF!, Z97 &amp;#REF! &amp; " " &amp; AF97))</f>
        <v>#REF!</v>
      </c>
      <c r="E97" s="56" t="str">
        <f>IFERROR(TEXT(ROUND(AVERAGE(N97:R97),-LOG10(V97)),"0." &amp; REPT("0",-LOG10(V97))) &amp;#REF!,"")</f>
        <v/>
      </c>
      <c r="F97" s="40" t="str">
        <f>IF(AB97="","",AB97 &amp;#REF!)</f>
        <v/>
      </c>
      <c r="G97" s="40" t="str">
        <f>IF(AC97="","",AC97 &amp;#REF!)</f>
        <v/>
      </c>
      <c r="H97" s="36" t="str" cm="1">
        <f t="array" ref="H97:J97">IFERROR(CalcUnc(K97,L97,S97,T97,V97,X97,AD97,AE97,N97:R97,Z97,AA97),"")</f>
        <v/>
      </c>
      <c r="I97" s="48" t="str">
        <v/>
      </c>
      <c r="J97" s="77" t="str">
        <v/>
      </c>
      <c r="K97" s="53"/>
      <c r="L97" s="54"/>
      <c r="M97" s="22"/>
      <c r="N97" s="50"/>
      <c r="O97" s="51"/>
      <c r="P97" s="51"/>
      <c r="Q97" s="84"/>
      <c r="R97" s="84"/>
      <c r="S97" s="87"/>
      <c r="T97" s="100"/>
      <c r="U97" s="57"/>
      <c r="V97" s="62"/>
      <c r="W97" s="59"/>
      <c r="X97" s="101"/>
      <c r="Y97" s="127" t="str" cm="1">
        <f t="array" ref="Y97">GetPolarity(X97,AE97)</f>
        <v/>
      </c>
      <c r="Z97" s="60"/>
      <c r="AA97" s="59"/>
      <c r="AB97" s="71" t="str">
        <f t="shared" si="7"/>
        <v/>
      </c>
      <c r="AC97" s="71" t="str">
        <f t="shared" si="8"/>
        <v/>
      </c>
      <c r="AD97" s="60"/>
      <c r="AE97" s="59"/>
      <c r="AF97" s="21" t="str">
        <f t="shared" si="9"/>
        <v/>
      </c>
    </row>
    <row r="98" spans="1:32" x14ac:dyDescent="0.25">
      <c r="A98" s="107" t="e" cm="1">
        <f t="array" ref="A98">IfEmpty(TRIM(_xlfn.CONCAT(C98:H98)),"",CRC32HASH(_xlfn.CONCAT(C98:H98)))</f>
        <v>#VALUE!</v>
      </c>
      <c r="B98" s="10" t="str">
        <f>IFERROR(VLOOKUP(J98,Items[],2,FALSE),"")</f>
        <v/>
      </c>
      <c r="C98" s="32" t="e" cm="1">
        <f t="array" ref="C98">W98 &amp; " " &amp; IfEmpty(U98,#REF!)</f>
        <v>#REF!</v>
      </c>
      <c r="D98" s="41" t="e">
        <f>IF(OR(#REF!="°C",#REF!= "°F"), Z98 &amp; " " &amp;#REF!, IF(RIGHT(#REF!,2)="Hz", AF98 &amp; " @ " &amp; Z98 &amp; " " &amp;#REF!, Z98 &amp;#REF! &amp; " " &amp; AF98))</f>
        <v>#REF!</v>
      </c>
      <c r="E98" s="55" t="str">
        <f>IFERROR(TEXT(ROUND(AVERAGE(N98:R98),-LOG10(V98)),"0." &amp; REPT("0",-LOG10(V98))) &amp;#REF!,"")</f>
        <v/>
      </c>
      <c r="F98" s="39" t="str">
        <f>IF(AB98="","",AB98 &amp;#REF!)</f>
        <v/>
      </c>
      <c r="G98" s="39" t="str">
        <f>IF(AC98="","",AC98 &amp;#REF!)</f>
        <v/>
      </c>
      <c r="H98" s="33" t="str" cm="1">
        <f t="array" ref="H98:J98">IFERROR(CalcUnc(K98,L98,S98,T98,V98,X98,AD98,AE98,N98:R98,Z98,AA98),"")</f>
        <v/>
      </c>
      <c r="I98" s="48" t="str">
        <v/>
      </c>
      <c r="J98" s="77" t="str">
        <v/>
      </c>
      <c r="K98" s="53"/>
      <c r="L98" s="54"/>
      <c r="M98" s="22"/>
      <c r="N98" s="50"/>
      <c r="O98" s="51"/>
      <c r="P98" s="51"/>
      <c r="Q98" s="84"/>
      <c r="R98" s="84"/>
      <c r="S98" s="87"/>
      <c r="T98" s="100"/>
      <c r="U98" s="57"/>
      <c r="V98" s="62"/>
      <c r="W98" s="59"/>
      <c r="X98" s="101"/>
      <c r="Y98" s="127" t="str" cm="1">
        <f t="array" ref="Y98">GetPolarity(X98,AE98)</f>
        <v/>
      </c>
      <c r="Z98" s="60"/>
      <c r="AA98" s="59"/>
      <c r="AB98" s="71" t="str">
        <f t="shared" si="7"/>
        <v/>
      </c>
      <c r="AC98" s="71" t="str">
        <f t="shared" si="8"/>
        <v/>
      </c>
      <c r="AD98" s="60"/>
      <c r="AE98" s="59"/>
      <c r="AF98" s="21" t="str">
        <f t="shared" si="9"/>
        <v/>
      </c>
    </row>
    <row r="99" spans="1:32" x14ac:dyDescent="0.25">
      <c r="A99" s="107" t="e" cm="1">
        <f t="array" ref="A99">IfEmpty(TRIM(_xlfn.CONCAT(C99:H99)),"",CRC32HASH(_xlfn.CONCAT(C99:H99)))</f>
        <v>#VALUE!</v>
      </c>
      <c r="B99" s="37" t="str">
        <f>IFERROR(VLOOKUP(J99,Items[],2,FALSE),"")</f>
        <v/>
      </c>
      <c r="C99" s="34" t="e" cm="1">
        <f t="array" ref="C99">W99 &amp; " " &amp; IfEmpty(U99,#REF!)</f>
        <v>#REF!</v>
      </c>
      <c r="D99" s="35" t="e">
        <f>IF(OR(#REF!="°C",#REF!= "°F"), Z99 &amp; " " &amp;#REF!, IF(RIGHT(#REF!,2)="Hz", AF99 &amp; " @ " &amp; Z99 &amp; " " &amp;#REF!, Z99 &amp;#REF! &amp; " " &amp; AF99))</f>
        <v>#REF!</v>
      </c>
      <c r="E99" s="56" t="str">
        <f>IFERROR(TEXT(ROUND(AVERAGE(N99:R99),-LOG10(V99)),"0." &amp; REPT("0",-LOG10(V99))) &amp;#REF!,"")</f>
        <v/>
      </c>
      <c r="F99" s="40" t="str">
        <f>IF(AB99="","",AB99 &amp;#REF!)</f>
        <v/>
      </c>
      <c r="G99" s="40" t="str">
        <f>IF(AC99="","",AC99 &amp;#REF!)</f>
        <v/>
      </c>
      <c r="H99" s="36" t="str" cm="1">
        <f t="array" ref="H99:J99">IFERROR(CalcUnc(K99,L99,S99,T99,V99,X99,AD99,AE99,N99:R99,Z99,AA99),"")</f>
        <v/>
      </c>
      <c r="I99" s="48" t="str">
        <v/>
      </c>
      <c r="J99" s="77" t="str">
        <v/>
      </c>
      <c r="K99" s="53"/>
      <c r="L99" s="54"/>
      <c r="M99" s="22"/>
      <c r="N99" s="50"/>
      <c r="O99" s="51"/>
      <c r="P99" s="51"/>
      <c r="Q99" s="84"/>
      <c r="R99" s="84"/>
      <c r="S99" s="87"/>
      <c r="T99" s="100"/>
      <c r="U99" s="57"/>
      <c r="V99" s="62"/>
      <c r="W99" s="59"/>
      <c r="X99" s="101"/>
      <c r="Y99" s="127" t="str" cm="1">
        <f t="array" ref="Y99">GetPolarity(X99,AE99)</f>
        <v/>
      </c>
      <c r="Z99" s="60"/>
      <c r="AA99" s="59"/>
      <c r="AB99" s="71" t="str">
        <f t="shared" si="7"/>
        <v/>
      </c>
      <c r="AC99" s="71" t="str">
        <f t="shared" si="8"/>
        <v/>
      </c>
      <c r="AD99" s="60"/>
      <c r="AE99" s="59"/>
      <c r="AF99" s="21" t="str">
        <f t="shared" si="9"/>
        <v/>
      </c>
    </row>
    <row r="100" spans="1:32" x14ac:dyDescent="0.25">
      <c r="A100" s="107" t="e" cm="1">
        <f t="array" ref="A100">IfEmpty(TRIM(_xlfn.CONCAT(C100:H100)),"",CRC32HASH(_xlfn.CONCAT(C100:H100)))</f>
        <v>#VALUE!</v>
      </c>
      <c r="B100" s="10" t="str">
        <f>IFERROR(VLOOKUP(J100,Items[],2,FALSE),"")</f>
        <v/>
      </c>
      <c r="C100" s="32" t="e" cm="1">
        <f t="array" ref="C100">W100 &amp; " " &amp; IfEmpty(U100,#REF!)</f>
        <v>#REF!</v>
      </c>
      <c r="D100" s="41" t="e">
        <f>IF(OR(#REF!="°C",#REF!= "°F"), Z100 &amp; " " &amp;#REF!, IF(RIGHT(#REF!,2)="Hz", AF100 &amp; " @ " &amp; Z100 &amp; " " &amp;#REF!, Z100 &amp;#REF! &amp; " " &amp; AF100))</f>
        <v>#REF!</v>
      </c>
      <c r="E100" s="55" t="str">
        <f>IFERROR(TEXT(ROUND(AVERAGE(N100:R100),-LOG10(V100)),"0." &amp; REPT("0",-LOG10(V100))) &amp;#REF!,"")</f>
        <v/>
      </c>
      <c r="F100" s="39" t="str">
        <f>IF(AB100="","",AB100 &amp;#REF!)</f>
        <v/>
      </c>
      <c r="G100" s="39" t="str">
        <f>IF(AC100="","",AC100 &amp;#REF!)</f>
        <v/>
      </c>
      <c r="H100" s="33" t="str" cm="1">
        <f t="array" ref="H100:J100">IFERROR(CalcUnc(K100,L100,S100,T100,V100,X100,AD100,AE100,N100:R100,Z100,AA100),"")</f>
        <v/>
      </c>
      <c r="I100" s="48" t="str">
        <v/>
      </c>
      <c r="J100" s="77" t="str">
        <v/>
      </c>
      <c r="K100" s="53"/>
      <c r="L100" s="54"/>
      <c r="M100" s="22"/>
      <c r="N100" s="50"/>
      <c r="O100" s="51"/>
      <c r="P100" s="51"/>
      <c r="Q100" s="84"/>
      <c r="R100" s="84"/>
      <c r="S100" s="87"/>
      <c r="T100" s="100"/>
      <c r="U100" s="57"/>
      <c r="V100" s="62"/>
      <c r="W100" s="59"/>
      <c r="X100" s="101"/>
      <c r="Y100" s="127" t="str" cm="1">
        <f t="array" ref="Y100">GetPolarity(X100,AE100)</f>
        <v/>
      </c>
      <c r="Z100" s="60"/>
      <c r="AA100" s="59"/>
      <c r="AB100" s="71" t="str">
        <f t="shared" si="7"/>
        <v/>
      </c>
      <c r="AC100" s="71" t="str">
        <f t="shared" si="8"/>
        <v/>
      </c>
      <c r="AD100" s="60"/>
      <c r="AE100" s="59"/>
      <c r="AF100" s="21" t="str">
        <f t="shared" si="9"/>
        <v/>
      </c>
    </row>
    <row r="101" spans="1:32" x14ac:dyDescent="0.25">
      <c r="A101" s="107" t="e" cm="1">
        <f t="array" ref="A101">IfEmpty(TRIM(_xlfn.CONCAT(C101:H101)),"",CRC32HASH(_xlfn.CONCAT(C101:H101)))</f>
        <v>#VALUE!</v>
      </c>
      <c r="B101" s="37" t="str">
        <f>IFERROR(VLOOKUP(J101,Items[],2,FALSE),"")</f>
        <v/>
      </c>
      <c r="C101" s="34" t="e" cm="1">
        <f t="array" ref="C101">W101 &amp; " " &amp; IfEmpty(U101,#REF!)</f>
        <v>#REF!</v>
      </c>
      <c r="D101" s="35" t="e">
        <f>IF(OR(#REF!="°C",#REF!= "°F"), Z101 &amp; " " &amp;#REF!, IF(RIGHT(#REF!,2)="Hz", AF101 &amp; " @ " &amp; Z101 &amp; " " &amp;#REF!, Z101 &amp;#REF! &amp; " " &amp; AF101))</f>
        <v>#REF!</v>
      </c>
      <c r="E101" s="56" t="str">
        <f>IFERROR(TEXT(ROUND(AVERAGE(N101:R101),-LOG10(V101)),"0." &amp; REPT("0",-LOG10(V101))) &amp;#REF!,"")</f>
        <v/>
      </c>
      <c r="F101" s="40" t="str">
        <f>IF(AB101="","",AB101 &amp;#REF!)</f>
        <v/>
      </c>
      <c r="G101" s="40" t="str">
        <f>IF(AC101="","",AC101 &amp;#REF!)</f>
        <v/>
      </c>
      <c r="H101" s="36" t="str" cm="1">
        <f t="array" ref="H101:J101">IFERROR(CalcUnc(K101,L101,S101,T101,V101,X101,AD101,AE101,N101:R101,Z101,AA101),"")</f>
        <v/>
      </c>
      <c r="I101" s="48" t="str">
        <v/>
      </c>
      <c r="J101" s="77" t="str">
        <v/>
      </c>
      <c r="K101" s="53"/>
      <c r="L101" s="54"/>
      <c r="M101" s="22"/>
      <c r="N101" s="50"/>
      <c r="O101" s="51"/>
      <c r="P101" s="51"/>
      <c r="Q101" s="84"/>
      <c r="R101" s="84"/>
      <c r="S101" s="87"/>
      <c r="T101" s="100"/>
      <c r="U101" s="57"/>
      <c r="V101" s="62"/>
      <c r="W101" s="59"/>
      <c r="X101" s="101"/>
      <c r="Y101" s="127" t="str" cm="1">
        <f t="array" ref="Y101">GetPolarity(X101,AE101)</f>
        <v/>
      </c>
      <c r="Z101" s="60"/>
      <c r="AA101" s="59"/>
      <c r="AB101" s="71" t="str">
        <f t="shared" si="7"/>
        <v/>
      </c>
      <c r="AC101" s="71" t="str">
        <f t="shared" si="8"/>
        <v/>
      </c>
      <c r="AD101" s="60"/>
      <c r="AE101" s="59"/>
      <c r="AF101" s="21" t="str">
        <f t="shared" si="9"/>
        <v/>
      </c>
    </row>
    <row r="102" spans="1:32" x14ac:dyDescent="0.25">
      <c r="A102" s="107" t="e" cm="1">
        <f t="array" ref="A102">IfEmpty(TRIM(_xlfn.CONCAT(C102:H102)),"",CRC32HASH(_xlfn.CONCAT(C102:H102)))</f>
        <v>#VALUE!</v>
      </c>
      <c r="B102" s="10" t="str">
        <f>IFERROR(VLOOKUP(J102,Items[],2,FALSE),"")</f>
        <v/>
      </c>
      <c r="C102" s="32" t="e" cm="1">
        <f t="array" ref="C102">W102 &amp; " " &amp; IfEmpty(U102,#REF!)</f>
        <v>#REF!</v>
      </c>
      <c r="D102" s="41" t="e">
        <f>IF(OR(#REF!="°C",#REF!= "°F"), Z102 &amp; " " &amp;#REF!, IF(RIGHT(#REF!,2)="Hz", AF102 &amp; " @ " &amp; Z102 &amp; " " &amp;#REF!, Z102 &amp;#REF! &amp; " " &amp; AF102))</f>
        <v>#REF!</v>
      </c>
      <c r="E102" s="55" t="str">
        <f>IFERROR(TEXT(ROUND(AVERAGE(N102:R102),-LOG10(V102)),"0." &amp; REPT("0",-LOG10(V102))) &amp;#REF!,"")</f>
        <v/>
      </c>
      <c r="F102" s="39" t="str">
        <f>IF(AB102="","",AB102 &amp;#REF!)</f>
        <v/>
      </c>
      <c r="G102" s="39" t="str">
        <f>IF(AC102="","",AC102 &amp;#REF!)</f>
        <v/>
      </c>
      <c r="H102" s="33" t="str" cm="1">
        <f t="array" ref="H102:J102">IFERROR(CalcUnc(K102,L102,S102,T102,V102,X102,AD102,AE102,N102:R102,Z102,AA102),"")</f>
        <v/>
      </c>
      <c r="I102" s="48" t="str">
        <v/>
      </c>
      <c r="J102" s="77" t="str">
        <v/>
      </c>
      <c r="K102" s="53"/>
      <c r="L102" s="54"/>
      <c r="M102" s="22"/>
      <c r="N102" s="50"/>
      <c r="O102" s="51"/>
      <c r="P102" s="51"/>
      <c r="Q102" s="84"/>
      <c r="R102" s="84"/>
      <c r="S102" s="87"/>
      <c r="T102" s="100"/>
      <c r="U102" s="57"/>
      <c r="V102" s="62"/>
      <c r="W102" s="59"/>
      <c r="X102" s="101"/>
      <c r="Y102" s="127" t="str" cm="1">
        <f t="array" ref="Y102">GetPolarity(X102,AE102)</f>
        <v/>
      </c>
      <c r="Z102" s="60"/>
      <c r="AA102" s="59"/>
      <c r="AB102" s="71" t="str">
        <f t="shared" ref="AB102:AB110" si="10">IF(V102&lt;&gt;"",ROUND(Z102-AA102,-LOG10(V102)),"")</f>
        <v/>
      </c>
      <c r="AC102" s="71" t="str">
        <f t="shared" ref="AC102:AC110" si="11">IF(V102&lt;&gt;"",ROUND(Z102+AA102,-LOG10(V102)),"")</f>
        <v/>
      </c>
      <c r="AD102" s="60"/>
      <c r="AE102" s="59"/>
      <c r="AF102" s="21" t="str">
        <f t="shared" si="9"/>
        <v/>
      </c>
    </row>
    <row r="103" spans="1:32" x14ac:dyDescent="0.25">
      <c r="A103" s="107" t="e" cm="1">
        <f t="array" ref="A103">IfEmpty(TRIM(_xlfn.CONCAT(C103:H103)),"",CRC32HASH(_xlfn.CONCAT(C103:H103)))</f>
        <v>#VALUE!</v>
      </c>
      <c r="B103" s="37" t="str">
        <f>IFERROR(VLOOKUP(J103,Items[],2,FALSE),"")</f>
        <v/>
      </c>
      <c r="C103" s="34" t="e" cm="1">
        <f t="array" ref="C103">W103 &amp; " " &amp; IfEmpty(U103,#REF!)</f>
        <v>#REF!</v>
      </c>
      <c r="D103" s="35" t="e">
        <f>IF(OR(#REF!="°C",#REF!= "°F"), Z103 &amp; " " &amp;#REF!, IF(RIGHT(#REF!,2)="Hz", AF103 &amp; " @ " &amp; Z103 &amp; " " &amp;#REF!, Z103 &amp;#REF! &amp; " " &amp; AF103))</f>
        <v>#REF!</v>
      </c>
      <c r="E103" s="56" t="str">
        <f>IFERROR(TEXT(ROUND(AVERAGE(N103:R103),-LOG10(V103)),"0." &amp; REPT("0",-LOG10(V103))) &amp;#REF!,"")</f>
        <v/>
      </c>
      <c r="F103" s="40" t="str">
        <f>IF(AB103="","",AB103 &amp;#REF!)</f>
        <v/>
      </c>
      <c r="G103" s="40" t="str">
        <f>IF(AC103="","",AC103 &amp;#REF!)</f>
        <v/>
      </c>
      <c r="H103" s="36" t="str" cm="1">
        <f t="array" ref="H103:J103">IFERROR(CalcUnc(K103,L103,S103,T103,V103,X103,AD103,AE103,N103:R103,Z103,AA103),"")</f>
        <v/>
      </c>
      <c r="I103" s="48" t="str">
        <v/>
      </c>
      <c r="J103" s="77" t="str">
        <v/>
      </c>
      <c r="K103" s="53"/>
      <c r="L103" s="54"/>
      <c r="M103" s="22"/>
      <c r="N103" s="50"/>
      <c r="O103" s="51"/>
      <c r="P103" s="51"/>
      <c r="Q103" s="84"/>
      <c r="R103" s="84"/>
      <c r="S103" s="87"/>
      <c r="T103" s="100"/>
      <c r="U103" s="57"/>
      <c r="V103" s="62"/>
      <c r="W103" s="59"/>
      <c r="X103" s="101"/>
      <c r="Y103" s="127" t="str" cm="1">
        <f t="array" ref="Y103">GetPolarity(X103,AE103)</f>
        <v/>
      </c>
      <c r="Z103" s="60"/>
      <c r="AA103" s="59"/>
      <c r="AB103" s="71" t="str">
        <f t="shared" si="10"/>
        <v/>
      </c>
      <c r="AC103" s="71" t="str">
        <f t="shared" si="11"/>
        <v/>
      </c>
      <c r="AD103" s="60"/>
      <c r="AE103" s="59"/>
      <c r="AF103" s="21" t="str">
        <f t="shared" si="9"/>
        <v/>
      </c>
    </row>
    <row r="104" spans="1:32" x14ac:dyDescent="0.25">
      <c r="A104" s="107" t="e" cm="1">
        <f t="array" ref="A104">IfEmpty(TRIM(_xlfn.CONCAT(C104:H104)),"",CRC32HASH(_xlfn.CONCAT(C104:H104)))</f>
        <v>#VALUE!</v>
      </c>
      <c r="B104" s="10" t="str">
        <f>IFERROR(VLOOKUP(J104,Items[],2,FALSE),"")</f>
        <v/>
      </c>
      <c r="C104" s="32" t="e" cm="1">
        <f t="array" ref="C104">W104 &amp; " " &amp; IfEmpty(U104,#REF!)</f>
        <v>#REF!</v>
      </c>
      <c r="D104" s="41" t="e">
        <f>IF(OR(#REF!="°C",#REF!= "°F"), Z104 &amp; " " &amp;#REF!, IF(RIGHT(#REF!,2)="Hz", AF104 &amp; " @ " &amp; Z104 &amp; " " &amp;#REF!, Z104 &amp;#REF! &amp; " " &amp; AF104))</f>
        <v>#REF!</v>
      </c>
      <c r="E104" s="55" t="str">
        <f>IFERROR(TEXT(ROUND(AVERAGE(N104:R104),-LOG10(V104)),"0." &amp; REPT("0",-LOG10(V104))) &amp;#REF!,"")</f>
        <v/>
      </c>
      <c r="F104" s="39" t="str">
        <f>IF(AB104="","",AB104 &amp;#REF!)</f>
        <v/>
      </c>
      <c r="G104" s="39" t="str">
        <f>IF(AC104="","",AC104 &amp;#REF!)</f>
        <v/>
      </c>
      <c r="H104" s="33" t="str" cm="1">
        <f t="array" ref="H104:J104">IFERROR(CalcUnc(K104,L104,S104,T104,V104,X104,AD104,AE104,N104:R104,Z104,AA104),"")</f>
        <v/>
      </c>
      <c r="I104" s="48" t="str">
        <v/>
      </c>
      <c r="J104" s="77" t="str">
        <v/>
      </c>
      <c r="K104" s="53"/>
      <c r="L104" s="54"/>
      <c r="M104" s="22"/>
      <c r="N104" s="50"/>
      <c r="O104" s="51"/>
      <c r="P104" s="51"/>
      <c r="Q104" s="84"/>
      <c r="R104" s="84"/>
      <c r="S104" s="87"/>
      <c r="T104" s="100"/>
      <c r="U104" s="57"/>
      <c r="V104" s="62"/>
      <c r="W104" s="59"/>
      <c r="X104" s="101"/>
      <c r="Y104" s="127" t="str" cm="1">
        <f t="array" ref="Y104">GetPolarity(X104,AE104)</f>
        <v/>
      </c>
      <c r="Z104" s="60"/>
      <c r="AA104" s="59"/>
      <c r="AB104" s="71" t="str">
        <f t="shared" si="10"/>
        <v/>
      </c>
      <c r="AC104" s="71" t="str">
        <f t="shared" si="11"/>
        <v/>
      </c>
      <c r="AD104" s="60"/>
      <c r="AE104" s="59"/>
      <c r="AF104" s="21" t="str">
        <f t="shared" si="9"/>
        <v/>
      </c>
    </row>
    <row r="105" spans="1:32" x14ac:dyDescent="0.25">
      <c r="A105" s="107" t="e" cm="1">
        <f t="array" ref="A105">IfEmpty(TRIM(_xlfn.CONCAT(C105:H105)),"",CRC32HASH(_xlfn.CONCAT(C105:H105)))</f>
        <v>#VALUE!</v>
      </c>
      <c r="B105" s="37" t="str">
        <f>IFERROR(VLOOKUP(J105,Items[],2,FALSE),"")</f>
        <v/>
      </c>
      <c r="C105" s="34" t="e" cm="1">
        <f t="array" ref="C105">W105 &amp; " " &amp; IfEmpty(U105,#REF!)</f>
        <v>#REF!</v>
      </c>
      <c r="D105" s="35" t="e">
        <f>IF(OR(#REF!="°C",#REF!= "°F"), Z105 &amp; " " &amp;#REF!, IF(RIGHT(#REF!,2)="Hz", AF105 &amp; " @ " &amp; Z105 &amp; " " &amp;#REF!, Z105 &amp;#REF! &amp; " " &amp; AF105))</f>
        <v>#REF!</v>
      </c>
      <c r="E105" s="56" t="str">
        <f>IFERROR(TEXT(ROUND(AVERAGE(N105:R105),-LOG10(V105)),"0." &amp; REPT("0",-LOG10(V105))) &amp;#REF!,"")</f>
        <v/>
      </c>
      <c r="F105" s="40" t="str">
        <f>IF(AB105="","",AB105 &amp;#REF!)</f>
        <v/>
      </c>
      <c r="G105" s="40" t="str">
        <f>IF(AC105="","",AC105 &amp;#REF!)</f>
        <v/>
      </c>
      <c r="H105" s="36" t="str" cm="1">
        <f t="array" ref="H105:J105">IFERROR(CalcUnc(K105,L105,S105,T105,V105,X105,AD105,AE105,N105:R105,Z105,AA105),"")</f>
        <v/>
      </c>
      <c r="I105" s="48" t="str">
        <v/>
      </c>
      <c r="J105" s="77" t="str">
        <v/>
      </c>
      <c r="K105" s="53"/>
      <c r="L105" s="54"/>
      <c r="M105" s="22"/>
      <c r="N105" s="50"/>
      <c r="O105" s="51"/>
      <c r="P105" s="51"/>
      <c r="Q105" s="84"/>
      <c r="R105" s="84"/>
      <c r="S105" s="87"/>
      <c r="T105" s="100"/>
      <c r="U105" s="57"/>
      <c r="V105" s="62"/>
      <c r="W105" s="59"/>
      <c r="X105" s="101"/>
      <c r="Y105" s="127" t="str" cm="1">
        <f t="array" ref="Y105">GetPolarity(X105,AE105)</f>
        <v/>
      </c>
      <c r="Z105" s="60"/>
      <c r="AA105" s="59"/>
      <c r="AB105" s="71" t="str">
        <f t="shared" si="10"/>
        <v/>
      </c>
      <c r="AC105" s="71" t="str">
        <f t="shared" si="11"/>
        <v/>
      </c>
      <c r="AD105" s="60"/>
      <c r="AE105" s="59"/>
      <c r="AF105" s="21" t="str">
        <f t="shared" si="9"/>
        <v/>
      </c>
    </row>
    <row r="106" spans="1:32" x14ac:dyDescent="0.25">
      <c r="A106" s="107" t="e" cm="1">
        <f t="array" ref="A106">IfEmpty(TRIM(_xlfn.CONCAT(C106:H106)),"",CRC32HASH(_xlfn.CONCAT(C106:H106)))</f>
        <v>#VALUE!</v>
      </c>
      <c r="B106" s="10" t="str">
        <f>IFERROR(VLOOKUP(J106,Items[],2,FALSE),"")</f>
        <v/>
      </c>
      <c r="C106" s="32" t="e" cm="1">
        <f t="array" ref="C106">W106 &amp; " " &amp; IfEmpty(U106,#REF!)</f>
        <v>#REF!</v>
      </c>
      <c r="D106" s="41" t="e">
        <f>IF(OR(#REF!="°C",#REF!= "°F"), Z106 &amp; " " &amp;#REF!, IF(RIGHT(#REF!,2)="Hz", AF106 &amp; " @ " &amp; Z106 &amp; " " &amp;#REF!, Z106 &amp;#REF! &amp; " " &amp; AF106))</f>
        <v>#REF!</v>
      </c>
      <c r="E106" s="55" t="str">
        <f>IFERROR(TEXT(ROUND(AVERAGE(N106:R106),-LOG10(V106)),"0." &amp; REPT("0",-LOG10(V106))) &amp;#REF!,"")</f>
        <v/>
      </c>
      <c r="F106" s="39" t="str">
        <f>IF(AB106="","",AB106 &amp;#REF!)</f>
        <v/>
      </c>
      <c r="G106" s="39" t="str">
        <f>IF(AC106="","",AC106 &amp;#REF!)</f>
        <v/>
      </c>
      <c r="H106" s="33" t="str" cm="1">
        <f t="array" ref="H106:J106">IFERROR(CalcUnc(K106,L106,S106,T106,V106,X106,AD106,AE106,N106:R106,Z106,AA106),"")</f>
        <v/>
      </c>
      <c r="I106" s="48" t="str">
        <v/>
      </c>
      <c r="J106" s="77" t="str">
        <v/>
      </c>
      <c r="K106" s="53"/>
      <c r="L106" s="54"/>
      <c r="M106" s="22"/>
      <c r="N106" s="50"/>
      <c r="O106" s="51"/>
      <c r="P106" s="51"/>
      <c r="Q106" s="84"/>
      <c r="R106" s="84"/>
      <c r="S106" s="87"/>
      <c r="T106" s="100"/>
      <c r="U106" s="57"/>
      <c r="V106" s="62"/>
      <c r="W106" s="59"/>
      <c r="X106" s="101"/>
      <c r="Y106" s="127" t="str" cm="1">
        <f t="array" ref="Y106">GetPolarity(X106,AE106)</f>
        <v/>
      </c>
      <c r="Z106" s="60"/>
      <c r="AA106" s="59"/>
      <c r="AB106" s="71" t="str">
        <f t="shared" si="10"/>
        <v/>
      </c>
      <c r="AC106" s="71" t="str">
        <f t="shared" si="11"/>
        <v/>
      </c>
      <c r="AD106" s="60"/>
      <c r="AE106" s="59"/>
      <c r="AF106" s="21" t="str">
        <f t="shared" si="9"/>
        <v/>
      </c>
    </row>
    <row r="107" spans="1:32" x14ac:dyDescent="0.25">
      <c r="A107" s="107" t="e" cm="1">
        <f t="array" ref="A107">IfEmpty(TRIM(_xlfn.CONCAT(C107:H107)),"",CRC32HASH(_xlfn.CONCAT(C107:H107)))</f>
        <v>#VALUE!</v>
      </c>
      <c r="B107" s="37" t="str">
        <f>IFERROR(VLOOKUP(J107,Items[],2,FALSE),"")</f>
        <v/>
      </c>
      <c r="C107" s="34" t="e" cm="1">
        <f t="array" ref="C107">W107 &amp; " " &amp; IfEmpty(U107,#REF!)</f>
        <v>#REF!</v>
      </c>
      <c r="D107" s="35" t="e">
        <f>IF(OR(#REF!="°C",#REF!= "°F"), Z107 &amp; " " &amp;#REF!, IF(RIGHT(#REF!,2)="Hz", AF107 &amp; " @ " &amp; Z107 &amp; " " &amp;#REF!, Z107 &amp;#REF! &amp; " " &amp; AF107))</f>
        <v>#REF!</v>
      </c>
      <c r="E107" s="56" t="str">
        <f>IFERROR(TEXT(ROUND(AVERAGE(N107:R107),-LOG10(V107)),"0." &amp; REPT("0",-LOG10(V107))) &amp;#REF!,"")</f>
        <v/>
      </c>
      <c r="F107" s="40" t="str">
        <f>IF(AB107="","",AB107 &amp;#REF!)</f>
        <v/>
      </c>
      <c r="G107" s="40" t="str">
        <f>IF(AC107="","",AC107 &amp;#REF!)</f>
        <v/>
      </c>
      <c r="H107" s="36" t="str" cm="1">
        <f t="array" ref="H107:J107">IFERROR(CalcUnc(K107,L107,S107,T107,V107,X107,AD107,AE107,N107:R107,Z107,AA107),"")</f>
        <v/>
      </c>
      <c r="I107" s="48" t="str">
        <v/>
      </c>
      <c r="J107" s="77" t="str">
        <v/>
      </c>
      <c r="K107" s="53"/>
      <c r="L107" s="54"/>
      <c r="M107" s="22"/>
      <c r="N107" s="50"/>
      <c r="O107" s="51"/>
      <c r="P107" s="51"/>
      <c r="Q107" s="84"/>
      <c r="R107" s="84"/>
      <c r="S107" s="87"/>
      <c r="T107" s="100"/>
      <c r="U107" s="57"/>
      <c r="V107" s="62"/>
      <c r="W107" s="59"/>
      <c r="X107" s="101"/>
      <c r="Y107" s="127" t="str" cm="1">
        <f t="array" ref="Y107">GetPolarity(X107,AE107)</f>
        <v/>
      </c>
      <c r="Z107" s="60"/>
      <c r="AA107" s="59"/>
      <c r="AB107" s="71" t="str">
        <f t="shared" si="10"/>
        <v/>
      </c>
      <c r="AC107" s="71" t="str">
        <f t="shared" si="11"/>
        <v/>
      </c>
      <c r="AD107" s="60"/>
      <c r="AE107" s="59"/>
      <c r="AF107" s="21" t="str">
        <f t="shared" si="9"/>
        <v/>
      </c>
    </row>
    <row r="108" spans="1:32" x14ac:dyDescent="0.25">
      <c r="A108" s="107" t="e" cm="1">
        <f t="array" ref="A108">IfEmpty(TRIM(_xlfn.CONCAT(C108:H108)),"",CRC32HASH(_xlfn.CONCAT(C108:H108)))</f>
        <v>#VALUE!</v>
      </c>
      <c r="B108" s="10" t="str">
        <f>IFERROR(VLOOKUP(J108,Items[],2,FALSE),"")</f>
        <v/>
      </c>
      <c r="C108" s="32" t="e" cm="1">
        <f t="array" ref="C108">W108 &amp; " " &amp; IfEmpty(U108,#REF!)</f>
        <v>#REF!</v>
      </c>
      <c r="D108" s="41" t="e">
        <f>IF(OR(#REF!="°C",#REF!= "°F"), Z108 &amp; " " &amp;#REF!, IF(RIGHT(#REF!,2)="Hz", AF108 &amp; " @ " &amp; Z108 &amp; " " &amp;#REF!, Z108 &amp;#REF! &amp; " " &amp; AF108))</f>
        <v>#REF!</v>
      </c>
      <c r="E108" s="55" t="str">
        <f>IFERROR(TEXT(ROUND(AVERAGE(N108:R108),-LOG10(V108)),"0." &amp; REPT("0",-LOG10(V108))) &amp;#REF!,"")</f>
        <v/>
      </c>
      <c r="F108" s="39" t="str">
        <f>IF(AB108="","",AB108 &amp;#REF!)</f>
        <v/>
      </c>
      <c r="G108" s="39" t="str">
        <f>IF(AC108="","",AC108 &amp;#REF!)</f>
        <v/>
      </c>
      <c r="H108" s="33" t="str" cm="1">
        <f t="array" ref="H108:J108">IFERROR(CalcUnc(K108,L108,S108,T108,V108,X108,AD108,AE108,N108:R108,Z108,AA108),"")</f>
        <v/>
      </c>
      <c r="I108" s="48" t="str">
        <v/>
      </c>
      <c r="J108" s="77" t="str">
        <v/>
      </c>
      <c r="K108" s="53"/>
      <c r="L108" s="54"/>
      <c r="M108" s="22"/>
      <c r="N108" s="50"/>
      <c r="O108" s="51"/>
      <c r="P108" s="51"/>
      <c r="Q108" s="84"/>
      <c r="R108" s="84"/>
      <c r="S108" s="87"/>
      <c r="T108" s="100"/>
      <c r="U108" s="57"/>
      <c r="V108" s="62"/>
      <c r="W108" s="59"/>
      <c r="X108" s="101"/>
      <c r="Y108" s="127" t="str" cm="1">
        <f t="array" ref="Y108">GetPolarity(X108,AE108)</f>
        <v/>
      </c>
      <c r="Z108" s="60"/>
      <c r="AA108" s="59"/>
      <c r="AB108" s="71" t="str">
        <f t="shared" si="10"/>
        <v/>
      </c>
      <c r="AC108" s="71" t="str">
        <f t="shared" si="11"/>
        <v/>
      </c>
      <c r="AD108" s="60"/>
      <c r="AE108" s="59"/>
      <c r="AF108" s="21" t="str">
        <f t="shared" si="9"/>
        <v/>
      </c>
    </row>
    <row r="109" spans="1:32" x14ac:dyDescent="0.25">
      <c r="A109" s="107" t="e" cm="1">
        <f t="array" ref="A109">IfEmpty(TRIM(_xlfn.CONCAT(C109:H109)),"",CRC32HASH(_xlfn.CONCAT(C109:H109)))</f>
        <v>#VALUE!</v>
      </c>
      <c r="B109" s="37" t="str">
        <f>IFERROR(VLOOKUP(J109,Items[],2,FALSE),"")</f>
        <v/>
      </c>
      <c r="C109" s="34" t="e" cm="1">
        <f t="array" ref="C109">W109 &amp; " " &amp; IfEmpty(U109,#REF!)</f>
        <v>#REF!</v>
      </c>
      <c r="D109" s="35" t="e">
        <f>IF(OR(#REF!="°C",#REF!= "°F"), Z109 &amp; " " &amp;#REF!, IF(RIGHT(#REF!,2)="Hz", AF109 &amp; " @ " &amp; Z109 &amp; " " &amp;#REF!, Z109 &amp;#REF! &amp; " " &amp; AF109))</f>
        <v>#REF!</v>
      </c>
      <c r="E109" s="56" t="str">
        <f>IFERROR(TEXT(ROUND(AVERAGE(N109:R109),-LOG10(V109)),"0." &amp; REPT("0",-LOG10(V109))) &amp;#REF!,"")</f>
        <v/>
      </c>
      <c r="F109" s="40" t="str">
        <f>IF(AB109="","",AB109 &amp;#REF!)</f>
        <v/>
      </c>
      <c r="G109" s="40" t="str">
        <f>IF(AC109="","",AC109 &amp;#REF!)</f>
        <v/>
      </c>
      <c r="H109" s="36" t="str" cm="1">
        <f t="array" ref="H109:J109">IFERROR(CalcUnc(K109,L109,S109,T109,V109,X109,AD109,AE109,N109:R109,Z109,AA109),"")</f>
        <v/>
      </c>
      <c r="I109" s="48" t="str">
        <v/>
      </c>
      <c r="J109" s="77" t="str">
        <v/>
      </c>
      <c r="K109" s="53"/>
      <c r="L109" s="54"/>
      <c r="M109" s="22"/>
      <c r="N109" s="50"/>
      <c r="O109" s="51"/>
      <c r="P109" s="51"/>
      <c r="Q109" s="84"/>
      <c r="R109" s="84"/>
      <c r="S109" s="87"/>
      <c r="T109" s="100"/>
      <c r="U109" s="57"/>
      <c r="V109" s="62"/>
      <c r="W109" s="59"/>
      <c r="X109" s="101"/>
      <c r="Y109" s="127" t="str" cm="1">
        <f t="array" ref="Y109">GetPolarity(X109,AE109)</f>
        <v/>
      </c>
      <c r="Z109" s="60"/>
      <c r="AA109" s="59"/>
      <c r="AB109" s="71" t="str">
        <f t="shared" si="10"/>
        <v/>
      </c>
      <c r="AC109" s="71" t="str">
        <f t="shared" si="11"/>
        <v/>
      </c>
      <c r="AD109" s="60"/>
      <c r="AE109" s="59"/>
      <c r="AF109" s="21" t="str">
        <f t="shared" si="9"/>
        <v/>
      </c>
    </row>
    <row r="110" spans="1:32" x14ac:dyDescent="0.25">
      <c r="A110" s="107" t="e" cm="1">
        <f t="array" ref="A110">IfEmpty(TRIM(_xlfn.CONCAT(C110:H110)),"",CRC32HASH(_xlfn.CONCAT(C110:H110)))</f>
        <v>#VALUE!</v>
      </c>
      <c r="B110" s="10" t="str">
        <f>IFERROR(VLOOKUP(J110,Items[],2,FALSE),"")</f>
        <v/>
      </c>
      <c r="C110" s="32" t="e" cm="1">
        <f t="array" ref="C110">W110 &amp; " " &amp; IfEmpty(U110,#REF!)</f>
        <v>#REF!</v>
      </c>
      <c r="D110" s="41" t="e">
        <f>IF(OR(#REF!="°C",#REF!= "°F"), Z110 &amp; " " &amp;#REF!, IF(RIGHT(#REF!,2)="Hz", AF110 &amp; " @ " &amp; Z110 &amp; " " &amp;#REF!, Z110 &amp;#REF! &amp; " " &amp; AF110))</f>
        <v>#REF!</v>
      </c>
      <c r="E110" s="55" t="str">
        <f>IFERROR(TEXT(ROUND(AVERAGE(N110:R110),-LOG10(V110)),"0." &amp; REPT("0",-LOG10(V110))) &amp;#REF!,"")</f>
        <v/>
      </c>
      <c r="F110" s="39" t="str">
        <f>IF(AB110="","",AB110 &amp;#REF!)</f>
        <v/>
      </c>
      <c r="G110" s="39" t="str">
        <f>IF(AC110="","",AC110 &amp;#REF!)</f>
        <v/>
      </c>
      <c r="H110" s="33" t="str" cm="1">
        <f t="array" ref="H110:J110">IFERROR(CalcUnc(K110,L110,S110,T110,V110,X110,AD110,AE110,N110:R110,Z110,AA110),"")</f>
        <v/>
      </c>
      <c r="I110" s="48" t="str">
        <v/>
      </c>
      <c r="J110" s="77" t="str">
        <v/>
      </c>
      <c r="K110" s="53"/>
      <c r="L110" s="54"/>
      <c r="M110" s="67"/>
      <c r="N110" s="68"/>
      <c r="O110" s="69"/>
      <c r="P110" s="69"/>
      <c r="Q110" s="85"/>
      <c r="R110" s="85"/>
      <c r="S110" s="87"/>
      <c r="T110" s="100"/>
      <c r="U110" s="57"/>
      <c r="V110" s="62"/>
      <c r="W110" s="59"/>
      <c r="X110" s="101"/>
      <c r="Y110" s="127" t="str" cm="1">
        <f t="array" ref="Y110">GetPolarity(X110,AE110)</f>
        <v/>
      </c>
      <c r="Z110" s="60"/>
      <c r="AA110" s="59"/>
      <c r="AB110" s="71" t="str">
        <f t="shared" si="10"/>
        <v/>
      </c>
      <c r="AC110" s="71" t="str">
        <f t="shared" si="11"/>
        <v/>
      </c>
      <c r="AD110" s="60"/>
      <c r="AE110" s="59"/>
      <c r="AF110" s="21" t="str">
        <f t="shared" si="9"/>
        <v/>
      </c>
    </row>
  </sheetData>
  <sheetProtection selectLockedCells="1" sort="0"/>
  <protectedRanges>
    <protectedRange sqref="AD6:AE110 K6:AA110" name="Range1"/>
  </protectedRanges>
  <mergeCells count="3">
    <mergeCell ref="C2:E2"/>
    <mergeCell ref="M1:M2"/>
    <mergeCell ref="U4:U5"/>
  </mergeCells>
  <conditionalFormatting sqref="E6:E110">
    <cfRule type="expression" dxfId="0" priority="47">
      <formula>ABS(E6:E110-Z6:Z110)&gt;AA6:AA110</formula>
    </cfRule>
  </conditionalFormatting>
  <dataValidations count="10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AE6:AE1048576" xr:uid="{8D9D9D77-A2E4-44FF-87F1-FA368EF171E9}">
      <formula1>"kHz"</formula1>
    </dataValidation>
    <dataValidation type="custom" errorStyle="information" allowBlank="1" showErrorMessage="1" errorTitle="Unit Formating" error="Valid units: A, Ω, °C, °F, Hz, WAC, F, W, V_x000a_Alternates: O = Ω, DGC = °C, DGF = °F_x000a_Valid prefixes: G, M, k, h, da, d, c, m, µ, n, p_x000a__x000a_Make sure your entry follows these formats._x000a_e.g., kΩ, mA, Ohm, °C, WDC" sqref="X15:X1048576 X7:X13" xr:uid="{D65C80C1-ABE8-445A-A22D-4F64FA67B915}">
      <formula1>_xlfn.REGEXTEST(X7,"^(G|M|k|h|da|d|c|m|µ|n|p)?(A|Ω|O|Ohm|Ohms|°C|DGC|°F|DGF|Hz|WAC|F|W|WDC|V)$")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  <dataValidation type="custom" allowBlank="1" showErrorMessage="1" errorTitle="Unit Formating" error="Valid units: A, Ω, °C, °F, Hz, WAC, F, W, V_x000a_Alternates: O = Ω, DGC = °C, DGF = °F_x000a_Valid prefixes: G, M, k, h, da, d, c, m, µ, n, p_x000a__x000a_Make sure your entry follows these formats._x000a_e.g., kΩ, mA, Ohm, °C, WDC" sqref="X6" xr:uid="{5B8AE935-310E-4B8A-970D-F9F9F67865B8}">
      <formula1>_xlfn.REGEXTEST(X6,"^(G|M|k|h|da|d|c|m|µ|n|p)?(A|Ω|O|Ohm|Ohms|°C|DGC|°F|DGF|Hz|WAC|F|W|WDC|V)$")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>
      <selection activeCell="Q2" sqref="Q2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115</v>
      </c>
      <c r="B1" t="s">
        <v>53</v>
      </c>
      <c r="C1" t="s">
        <v>0</v>
      </c>
      <c r="D1" t="s">
        <v>102</v>
      </c>
      <c r="E1" t="s">
        <v>103</v>
      </c>
      <c r="F1" t="s">
        <v>1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L1" t="s">
        <v>19</v>
      </c>
      <c r="M1" t="s">
        <v>2</v>
      </c>
      <c r="N1" t="s">
        <v>109</v>
      </c>
      <c r="O1" t="s">
        <v>110</v>
      </c>
    </row>
    <row r="2" spans="1:15" x14ac:dyDescent="0.25">
      <c r="A2" t="s">
        <v>2332</v>
      </c>
      <c r="B2" t="s">
        <v>52</v>
      </c>
      <c r="C2" t="s">
        <v>2331</v>
      </c>
      <c r="D2">
        <v>0</v>
      </c>
      <c r="E2">
        <v>1</v>
      </c>
      <c r="F2">
        <v>1E-4</v>
      </c>
      <c r="G2" t="s">
        <v>46</v>
      </c>
      <c r="H2" t="s">
        <v>65</v>
      </c>
      <c r="I2">
        <v>0</v>
      </c>
      <c r="J2">
        <v>0</v>
      </c>
      <c r="K2" t="s">
        <v>1673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2333</v>
      </c>
      <c r="B3" t="s">
        <v>52</v>
      </c>
      <c r="C3" t="s">
        <v>2331</v>
      </c>
      <c r="D3">
        <v>1</v>
      </c>
      <c r="E3">
        <v>10</v>
      </c>
      <c r="F3">
        <v>1E-3</v>
      </c>
      <c r="G3" t="s">
        <v>46</v>
      </c>
      <c r="H3" t="s">
        <v>65</v>
      </c>
      <c r="I3">
        <v>0</v>
      </c>
      <c r="J3">
        <v>0</v>
      </c>
      <c r="K3" t="s">
        <v>1673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2334</v>
      </c>
      <c r="B4" t="s">
        <v>52</v>
      </c>
      <c r="C4" t="s">
        <v>2331</v>
      </c>
      <c r="D4">
        <v>10</v>
      </c>
      <c r="E4">
        <v>100</v>
      </c>
      <c r="F4">
        <v>0.01</v>
      </c>
      <c r="G4" t="s">
        <v>46</v>
      </c>
      <c r="H4" t="s">
        <v>65</v>
      </c>
      <c r="I4">
        <v>0</v>
      </c>
      <c r="J4">
        <v>0</v>
      </c>
      <c r="K4" t="s">
        <v>1673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116</v>
      </c>
      <c r="B5" t="s">
        <v>52</v>
      </c>
      <c r="C5" t="s">
        <v>63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1673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122</v>
      </c>
      <c r="B6" t="s">
        <v>52</v>
      </c>
      <c r="C6" t="s">
        <v>63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1673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117</v>
      </c>
      <c r="B7" t="s">
        <v>52</v>
      </c>
      <c r="C7" t="s">
        <v>63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1673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123</v>
      </c>
      <c r="B8" t="s">
        <v>52</v>
      </c>
      <c r="C8" t="s">
        <v>63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1673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127</v>
      </c>
      <c r="B9" t="s">
        <v>52</v>
      </c>
      <c r="C9" t="s">
        <v>63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1673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118</v>
      </c>
      <c r="B10" t="s">
        <v>52</v>
      </c>
      <c r="C10" t="s">
        <v>63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1673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2167</v>
      </c>
      <c r="B11" t="s">
        <v>52</v>
      </c>
      <c r="C11" t="s">
        <v>63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1673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128</v>
      </c>
      <c r="B12" t="s">
        <v>52</v>
      </c>
      <c r="C12" t="s">
        <v>63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1673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132</v>
      </c>
      <c r="B13" t="s">
        <v>52</v>
      </c>
      <c r="C13" t="s">
        <v>63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1673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119</v>
      </c>
      <c r="B14" t="s">
        <v>52</v>
      </c>
      <c r="C14" t="s">
        <v>63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1673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124</v>
      </c>
      <c r="B15" t="s">
        <v>52</v>
      </c>
      <c r="C15" t="s">
        <v>63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1673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129</v>
      </c>
      <c r="B16" t="s">
        <v>52</v>
      </c>
      <c r="C16" t="s">
        <v>63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1673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133</v>
      </c>
      <c r="B17" t="s">
        <v>52</v>
      </c>
      <c r="C17" t="s">
        <v>63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1673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137</v>
      </c>
      <c r="B18" t="s">
        <v>52</v>
      </c>
      <c r="C18" t="s">
        <v>63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1673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120</v>
      </c>
      <c r="B19" t="s">
        <v>52</v>
      </c>
      <c r="C19" t="s">
        <v>63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1673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125</v>
      </c>
      <c r="B20" t="s">
        <v>52</v>
      </c>
      <c r="C20" t="s">
        <v>63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1673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130</v>
      </c>
      <c r="B21" t="s">
        <v>52</v>
      </c>
      <c r="C21" t="s">
        <v>63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1673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134</v>
      </c>
      <c r="B22" t="s">
        <v>52</v>
      </c>
      <c r="C22" t="s">
        <v>63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1673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138</v>
      </c>
      <c r="B23" t="s">
        <v>52</v>
      </c>
      <c r="C23" t="s">
        <v>63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1673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143</v>
      </c>
      <c r="B24" t="s">
        <v>52</v>
      </c>
      <c r="C24" t="s">
        <v>63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1673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121</v>
      </c>
      <c r="B25" t="s">
        <v>52</v>
      </c>
      <c r="C25" t="s">
        <v>63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1673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126</v>
      </c>
      <c r="B26" t="s">
        <v>52</v>
      </c>
      <c r="C26" t="s">
        <v>63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1673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2168</v>
      </c>
      <c r="B27" t="s">
        <v>52</v>
      </c>
      <c r="C27" t="s">
        <v>63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1673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135</v>
      </c>
      <c r="B28" t="s">
        <v>52</v>
      </c>
      <c r="C28" t="s">
        <v>63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1673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139</v>
      </c>
      <c r="B29" t="s">
        <v>52</v>
      </c>
      <c r="C29" t="s">
        <v>63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1673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144</v>
      </c>
      <c r="B30" t="s">
        <v>52</v>
      </c>
      <c r="C30" t="s">
        <v>63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1673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131</v>
      </c>
      <c r="B31" t="s">
        <v>52</v>
      </c>
      <c r="C31" t="s">
        <v>63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1673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2169</v>
      </c>
      <c r="B32" t="s">
        <v>52</v>
      </c>
      <c r="C32" t="s">
        <v>63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1673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140</v>
      </c>
      <c r="B33" t="s">
        <v>52</v>
      </c>
      <c r="C33" t="s">
        <v>63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1673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145</v>
      </c>
      <c r="B34" t="s">
        <v>52</v>
      </c>
      <c r="C34" t="s">
        <v>63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1673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136</v>
      </c>
      <c r="B35" t="s">
        <v>52</v>
      </c>
      <c r="C35" t="s">
        <v>63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1673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141</v>
      </c>
      <c r="B36" t="s">
        <v>52</v>
      </c>
      <c r="C36" t="s">
        <v>63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1673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146</v>
      </c>
      <c r="B37" t="s">
        <v>52</v>
      </c>
      <c r="C37" t="s">
        <v>63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1673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142</v>
      </c>
      <c r="B38" t="s">
        <v>52</v>
      </c>
      <c r="C38" t="s">
        <v>63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1673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2170</v>
      </c>
      <c r="B39" t="s">
        <v>52</v>
      </c>
      <c r="C39" t="s">
        <v>63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1673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2335</v>
      </c>
      <c r="B40" t="s">
        <v>52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65</v>
      </c>
      <c r="I40">
        <v>0</v>
      </c>
      <c r="J40">
        <v>0</v>
      </c>
      <c r="K40" t="s">
        <v>1673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2336</v>
      </c>
      <c r="B41" t="s">
        <v>52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65</v>
      </c>
      <c r="I41">
        <v>0</v>
      </c>
      <c r="J41">
        <v>0</v>
      </c>
      <c r="K41" t="s">
        <v>1673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2337</v>
      </c>
      <c r="B42" t="s">
        <v>52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65</v>
      </c>
      <c r="I42">
        <v>0</v>
      </c>
      <c r="J42">
        <v>0</v>
      </c>
      <c r="K42" t="s">
        <v>1673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2338</v>
      </c>
      <c r="B43" t="s">
        <v>52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65</v>
      </c>
      <c r="I43">
        <v>0</v>
      </c>
      <c r="J43">
        <v>0</v>
      </c>
      <c r="K43" t="s">
        <v>1673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2339</v>
      </c>
      <c r="B44" t="s">
        <v>52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65</v>
      </c>
      <c r="I44">
        <v>0</v>
      </c>
      <c r="J44">
        <v>0</v>
      </c>
      <c r="K44" t="s">
        <v>1673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2340</v>
      </c>
      <c r="B45" t="s">
        <v>52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65</v>
      </c>
      <c r="I45">
        <v>0</v>
      </c>
      <c r="J45">
        <v>0</v>
      </c>
      <c r="K45" t="s">
        <v>1673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2341</v>
      </c>
      <c r="B46" t="s">
        <v>52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65</v>
      </c>
      <c r="I46">
        <v>0</v>
      </c>
      <c r="J46">
        <v>0</v>
      </c>
      <c r="K46" t="s">
        <v>1673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2342</v>
      </c>
      <c r="B47" t="s">
        <v>52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65</v>
      </c>
      <c r="I47">
        <v>0</v>
      </c>
      <c r="J47">
        <v>0</v>
      </c>
      <c r="K47" t="s">
        <v>1673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2343</v>
      </c>
      <c r="B48" t="s">
        <v>52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1673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2344</v>
      </c>
      <c r="B49" t="s">
        <v>52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65</v>
      </c>
      <c r="I49">
        <v>0</v>
      </c>
      <c r="J49">
        <v>0</v>
      </c>
      <c r="K49" t="s">
        <v>1673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2345</v>
      </c>
      <c r="B50" t="s">
        <v>52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65</v>
      </c>
      <c r="I50">
        <v>0</v>
      </c>
      <c r="J50">
        <v>0</v>
      </c>
      <c r="K50" t="s">
        <v>1673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2346</v>
      </c>
      <c r="B51" t="s">
        <v>52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65</v>
      </c>
      <c r="I51">
        <v>0</v>
      </c>
      <c r="J51">
        <v>0</v>
      </c>
      <c r="K51" t="s">
        <v>1673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2347</v>
      </c>
      <c r="B52" t="s">
        <v>52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1673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2191</v>
      </c>
      <c r="B53" t="s">
        <v>52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1673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2348</v>
      </c>
      <c r="B54" t="s">
        <v>52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65</v>
      </c>
      <c r="I54">
        <v>0</v>
      </c>
      <c r="J54">
        <v>0</v>
      </c>
      <c r="K54" t="s">
        <v>1673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2349</v>
      </c>
      <c r="B55" t="s">
        <v>52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65</v>
      </c>
      <c r="I55">
        <v>0</v>
      </c>
      <c r="J55">
        <v>0</v>
      </c>
      <c r="K55" t="s">
        <v>1673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2350</v>
      </c>
      <c r="B56" t="s">
        <v>52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65</v>
      </c>
      <c r="I56">
        <v>0</v>
      </c>
      <c r="J56">
        <v>0</v>
      </c>
      <c r="K56" t="s">
        <v>1673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2351</v>
      </c>
      <c r="B57" t="s">
        <v>52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1673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2192</v>
      </c>
      <c r="B58" t="s">
        <v>52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1673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2193</v>
      </c>
      <c r="B59" t="s">
        <v>52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1673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2352</v>
      </c>
      <c r="B60" t="s">
        <v>52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65</v>
      </c>
      <c r="I60">
        <v>0</v>
      </c>
      <c r="J60">
        <v>0</v>
      </c>
      <c r="K60" t="s">
        <v>1673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2353</v>
      </c>
      <c r="B61" t="s">
        <v>52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65</v>
      </c>
      <c r="I61">
        <v>0</v>
      </c>
      <c r="J61">
        <v>0</v>
      </c>
      <c r="K61" t="s">
        <v>1673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2354</v>
      </c>
      <c r="B62" t="s">
        <v>52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65</v>
      </c>
      <c r="I62">
        <v>0</v>
      </c>
      <c r="J62">
        <v>0</v>
      </c>
      <c r="K62" t="s">
        <v>1673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2355</v>
      </c>
      <c r="B63" t="s">
        <v>52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1673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2194</v>
      </c>
      <c r="B64" t="s">
        <v>52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1673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2195</v>
      </c>
      <c r="B65" t="s">
        <v>52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1673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2356</v>
      </c>
      <c r="B66" t="s">
        <v>52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1673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2357</v>
      </c>
      <c r="B67" t="s">
        <v>52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65</v>
      </c>
      <c r="I67">
        <v>0</v>
      </c>
      <c r="J67">
        <v>0</v>
      </c>
      <c r="K67" t="s">
        <v>1673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2358</v>
      </c>
      <c r="B68" t="s">
        <v>52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65</v>
      </c>
      <c r="I68">
        <v>0</v>
      </c>
      <c r="J68">
        <v>0</v>
      </c>
      <c r="K68" t="s">
        <v>1673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2359</v>
      </c>
      <c r="B69" t="s">
        <v>52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1673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2360</v>
      </c>
      <c r="B70" t="s">
        <v>52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1673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2196</v>
      </c>
      <c r="B71" t="s">
        <v>52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1673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2361</v>
      </c>
      <c r="B72" t="s">
        <v>52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1673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2362</v>
      </c>
      <c r="B73" t="s">
        <v>52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65</v>
      </c>
      <c r="I73">
        <v>0</v>
      </c>
      <c r="J73">
        <v>0</v>
      </c>
      <c r="K73" t="s">
        <v>1673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2363</v>
      </c>
      <c r="B74" t="s">
        <v>52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1673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2197</v>
      </c>
      <c r="B75" t="s">
        <v>52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1673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2364</v>
      </c>
      <c r="B76" t="s">
        <v>52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1673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2365</v>
      </c>
      <c r="B77" t="s">
        <v>52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1673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2366</v>
      </c>
      <c r="B78" t="s">
        <v>52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65</v>
      </c>
      <c r="I78">
        <v>0</v>
      </c>
      <c r="J78">
        <v>0</v>
      </c>
      <c r="K78" t="s">
        <v>1673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2198</v>
      </c>
      <c r="B79" t="s">
        <v>52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1673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2199</v>
      </c>
      <c r="B80" t="s">
        <v>52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1673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2367</v>
      </c>
      <c r="B81" t="s">
        <v>52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1673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2368</v>
      </c>
      <c r="B82" t="s">
        <v>52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65</v>
      </c>
      <c r="I82">
        <v>0</v>
      </c>
      <c r="J82">
        <v>0</v>
      </c>
      <c r="K82" t="s">
        <v>1673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2200</v>
      </c>
      <c r="B83" t="s">
        <v>52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1673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2369</v>
      </c>
      <c r="B84" t="s">
        <v>52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1673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2370</v>
      </c>
      <c r="B85" t="s">
        <v>52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1673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2089</v>
      </c>
      <c r="B86" t="s">
        <v>51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980</v>
      </c>
      <c r="B87" t="s">
        <v>51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981</v>
      </c>
      <c r="B88" t="s">
        <v>51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1006</v>
      </c>
      <c r="B89" t="s">
        <v>51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1007</v>
      </c>
      <c r="B90" t="s">
        <v>51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1009</v>
      </c>
      <c r="B91" t="s">
        <v>51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1004</v>
      </c>
      <c r="B92" t="s">
        <v>51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1005</v>
      </c>
      <c r="B93" t="s">
        <v>51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1008</v>
      </c>
      <c r="B94" t="s">
        <v>51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2099</v>
      </c>
      <c r="B95" t="s">
        <v>51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984</v>
      </c>
      <c r="B96" t="s">
        <v>51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983</v>
      </c>
      <c r="B97" t="s">
        <v>51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982</v>
      </c>
      <c r="B98" t="s">
        <v>51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1015</v>
      </c>
      <c r="B99" t="s">
        <v>51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1014</v>
      </c>
      <c r="B100" t="s">
        <v>51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2098</v>
      </c>
      <c r="B101" t="s">
        <v>51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1010</v>
      </c>
      <c r="B102" t="s">
        <v>51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1012</v>
      </c>
      <c r="B103" t="s">
        <v>51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1013</v>
      </c>
      <c r="B104" t="s">
        <v>51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1011</v>
      </c>
      <c r="B105" t="s">
        <v>51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985</v>
      </c>
      <c r="B106" t="s">
        <v>51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2093</v>
      </c>
      <c r="B107" t="s">
        <v>51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986</v>
      </c>
      <c r="B108" t="s">
        <v>51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1020</v>
      </c>
      <c r="B109" t="s">
        <v>51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1021</v>
      </c>
      <c r="B110" t="s">
        <v>51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1017</v>
      </c>
      <c r="B111" t="s">
        <v>51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1018</v>
      </c>
      <c r="B112" t="s">
        <v>51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1022</v>
      </c>
      <c r="B113" t="s">
        <v>51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1016</v>
      </c>
      <c r="B114" t="s">
        <v>51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1019</v>
      </c>
      <c r="B115" t="s">
        <v>51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1038</v>
      </c>
      <c r="B116" t="s">
        <v>51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1041</v>
      </c>
      <c r="B117" t="s">
        <v>51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2104</v>
      </c>
      <c r="B118" t="s">
        <v>51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1037</v>
      </c>
      <c r="B119" t="s">
        <v>51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1039</v>
      </c>
      <c r="B120" t="s">
        <v>51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1040</v>
      </c>
      <c r="B121" t="s">
        <v>51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1042</v>
      </c>
      <c r="B122" t="s">
        <v>51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2090</v>
      </c>
      <c r="B123" t="s">
        <v>51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988</v>
      </c>
      <c r="B124" t="s">
        <v>51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987</v>
      </c>
      <c r="B125" t="s">
        <v>51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1026</v>
      </c>
      <c r="B126" t="s">
        <v>51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1023</v>
      </c>
      <c r="B127" t="s">
        <v>51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1028</v>
      </c>
      <c r="B128" t="s">
        <v>51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1025</v>
      </c>
      <c r="B129" t="s">
        <v>51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1029</v>
      </c>
      <c r="B130" t="s">
        <v>51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1027</v>
      </c>
      <c r="B131" t="s">
        <v>51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1024</v>
      </c>
      <c r="B132" t="s">
        <v>51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1046</v>
      </c>
      <c r="B133" t="s">
        <v>51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2102</v>
      </c>
      <c r="B134" t="s">
        <v>51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1047</v>
      </c>
      <c r="B135" t="s">
        <v>51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1043</v>
      </c>
      <c r="B136" t="s">
        <v>51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1048</v>
      </c>
      <c r="B137" t="s">
        <v>51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1044</v>
      </c>
      <c r="B138" t="s">
        <v>51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1045</v>
      </c>
      <c r="B139" t="s">
        <v>51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1070</v>
      </c>
      <c r="B140" t="s">
        <v>51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1069</v>
      </c>
      <c r="B141" t="s">
        <v>51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1068</v>
      </c>
      <c r="B142" t="s">
        <v>51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1066</v>
      </c>
      <c r="B143" t="s">
        <v>51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1067</v>
      </c>
      <c r="B144" t="s">
        <v>51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1071</v>
      </c>
      <c r="B145" t="s">
        <v>51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1065</v>
      </c>
      <c r="B146" t="s">
        <v>51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2091</v>
      </c>
      <c r="B147" t="s">
        <v>51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989</v>
      </c>
      <c r="B148" t="s">
        <v>51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990</v>
      </c>
      <c r="B149" t="s">
        <v>51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1031</v>
      </c>
      <c r="B150" t="s">
        <v>51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1035</v>
      </c>
      <c r="B151" t="s">
        <v>51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1034</v>
      </c>
      <c r="B152" t="s">
        <v>51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1036</v>
      </c>
      <c r="B153" t="s">
        <v>51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1030</v>
      </c>
      <c r="B154" t="s">
        <v>51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1032</v>
      </c>
      <c r="B155" t="s">
        <v>51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1033</v>
      </c>
      <c r="B156" t="s">
        <v>51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2100</v>
      </c>
      <c r="B157" t="s">
        <v>51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2103</v>
      </c>
      <c r="B158" t="s">
        <v>51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2105</v>
      </c>
      <c r="B159" t="s">
        <v>51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1051</v>
      </c>
      <c r="B160" t="s">
        <v>51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1049</v>
      </c>
      <c r="B161" t="s">
        <v>51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2106</v>
      </c>
      <c r="B162" t="s">
        <v>51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1050</v>
      </c>
      <c r="B163" t="s">
        <v>51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2107</v>
      </c>
      <c r="B164" t="s">
        <v>51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1072</v>
      </c>
      <c r="B165" t="s">
        <v>51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1075</v>
      </c>
      <c r="B166" t="s">
        <v>51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2111</v>
      </c>
      <c r="B167" t="s">
        <v>51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1074</v>
      </c>
      <c r="B168" t="s">
        <v>51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1073</v>
      </c>
      <c r="B169" t="s">
        <v>51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1076</v>
      </c>
      <c r="B170" t="s">
        <v>51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1093</v>
      </c>
      <c r="B171" t="s">
        <v>51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1096</v>
      </c>
      <c r="B172" t="s">
        <v>51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1094</v>
      </c>
      <c r="B173" t="s">
        <v>51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1097</v>
      </c>
      <c r="B174" t="s">
        <v>51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1095</v>
      </c>
      <c r="B175" t="s">
        <v>51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1098</v>
      </c>
      <c r="B176" t="s">
        <v>51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991</v>
      </c>
      <c r="B177" t="s">
        <v>51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2094</v>
      </c>
      <c r="B178" t="s">
        <v>51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2096</v>
      </c>
      <c r="B179" t="s">
        <v>51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1052</v>
      </c>
      <c r="B180" t="s">
        <v>51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1057</v>
      </c>
      <c r="B181" t="s">
        <v>51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1055</v>
      </c>
      <c r="B182" t="s">
        <v>51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1056</v>
      </c>
      <c r="B183" t="s">
        <v>51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1058</v>
      </c>
      <c r="B184" t="s">
        <v>51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1053</v>
      </c>
      <c r="B185" t="s">
        <v>51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1054</v>
      </c>
      <c r="B186" t="s">
        <v>51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2108</v>
      </c>
      <c r="B187" t="s">
        <v>51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1077</v>
      </c>
      <c r="B188" t="s">
        <v>51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1081</v>
      </c>
      <c r="B189" t="s">
        <v>51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1080</v>
      </c>
      <c r="B190" t="s">
        <v>51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2112</v>
      </c>
      <c r="B191" t="s">
        <v>51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1079</v>
      </c>
      <c r="B192" t="s">
        <v>51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1078</v>
      </c>
      <c r="B193" t="s">
        <v>51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1101</v>
      </c>
      <c r="B194" t="s">
        <v>51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1100</v>
      </c>
      <c r="B195" t="s">
        <v>51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1099</v>
      </c>
      <c r="B196" t="s">
        <v>51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2117</v>
      </c>
      <c r="B197" t="s">
        <v>51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1102</v>
      </c>
      <c r="B198" t="s">
        <v>51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1103</v>
      </c>
      <c r="B199" t="s">
        <v>51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2120</v>
      </c>
      <c r="B200" t="s">
        <v>51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1118</v>
      </c>
      <c r="B201" t="s">
        <v>51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1117</v>
      </c>
      <c r="B202" t="s">
        <v>51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1128</v>
      </c>
      <c r="B203" t="s">
        <v>51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1129</v>
      </c>
      <c r="B204" t="s">
        <v>51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1130</v>
      </c>
      <c r="B205" t="s">
        <v>51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992</v>
      </c>
      <c r="B206" t="s">
        <v>51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2095</v>
      </c>
      <c r="B207" t="s">
        <v>51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993</v>
      </c>
      <c r="B208" t="s">
        <v>51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2101</v>
      </c>
      <c r="B209" t="s">
        <v>51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1061</v>
      </c>
      <c r="B210" t="s">
        <v>51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1060</v>
      </c>
      <c r="B211" t="s">
        <v>51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1062</v>
      </c>
      <c r="B212" t="s">
        <v>51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1059</v>
      </c>
      <c r="B213" t="s">
        <v>51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1064</v>
      </c>
      <c r="B214" t="s">
        <v>51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1063</v>
      </c>
      <c r="B215" t="s">
        <v>51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1085</v>
      </c>
      <c r="B216" t="s">
        <v>51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2109</v>
      </c>
      <c r="B217" t="s">
        <v>51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2110</v>
      </c>
      <c r="B218" t="s">
        <v>51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1084</v>
      </c>
      <c r="B219" t="s">
        <v>51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1082</v>
      </c>
      <c r="B220" t="s">
        <v>51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2113</v>
      </c>
      <c r="B221" t="s">
        <v>51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1083</v>
      </c>
      <c r="B222" t="s">
        <v>51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2114</v>
      </c>
      <c r="B223" t="s">
        <v>51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1108</v>
      </c>
      <c r="B224" t="s">
        <v>51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1105</v>
      </c>
      <c r="B225" t="s">
        <v>51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1106</v>
      </c>
      <c r="B226" t="s">
        <v>51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1104</v>
      </c>
      <c r="B227" t="s">
        <v>51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1107</v>
      </c>
      <c r="B228" t="s">
        <v>51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1121</v>
      </c>
      <c r="B229" t="s">
        <v>51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1120</v>
      </c>
      <c r="B230" t="s">
        <v>51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1119</v>
      </c>
      <c r="B231" t="s">
        <v>51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1133</v>
      </c>
      <c r="B232" t="s">
        <v>51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1131</v>
      </c>
      <c r="B233" t="s">
        <v>51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1132</v>
      </c>
      <c r="B234" t="s">
        <v>51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2092</v>
      </c>
      <c r="B235" t="s">
        <v>51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995</v>
      </c>
      <c r="B236" t="s">
        <v>51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994</v>
      </c>
      <c r="B237" t="s">
        <v>51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1091</v>
      </c>
      <c r="B238" t="s">
        <v>51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1090</v>
      </c>
      <c r="B239" t="s">
        <v>51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1087</v>
      </c>
      <c r="B240" t="s">
        <v>51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1092</v>
      </c>
      <c r="B241" t="s">
        <v>51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1086</v>
      </c>
      <c r="B242" t="s">
        <v>51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1088</v>
      </c>
      <c r="B243" t="s">
        <v>51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1089</v>
      </c>
      <c r="B244" t="s">
        <v>51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2115</v>
      </c>
      <c r="B245" t="s">
        <v>51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1109</v>
      </c>
      <c r="B246" t="s">
        <v>51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1112</v>
      </c>
      <c r="B247" t="s">
        <v>51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1111</v>
      </c>
      <c r="B248" t="s">
        <v>51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2118</v>
      </c>
      <c r="B249" t="s">
        <v>51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1110</v>
      </c>
      <c r="B250" t="s">
        <v>51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2121</v>
      </c>
      <c r="B251" t="s">
        <v>51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2123</v>
      </c>
      <c r="B252" t="s">
        <v>51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1122</v>
      </c>
      <c r="B253" t="s">
        <v>51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1135</v>
      </c>
      <c r="B254" t="s">
        <v>51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1134</v>
      </c>
      <c r="B255" t="s">
        <v>51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1136</v>
      </c>
      <c r="B256" t="s">
        <v>51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998</v>
      </c>
      <c r="B257" t="s">
        <v>51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996</v>
      </c>
      <c r="B258" t="s">
        <v>51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997</v>
      </c>
      <c r="B259" t="s">
        <v>51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2116</v>
      </c>
      <c r="B260" t="s">
        <v>51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1115</v>
      </c>
      <c r="B261" t="s">
        <v>51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1114</v>
      </c>
      <c r="B262" t="s">
        <v>51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1113</v>
      </c>
      <c r="B263" t="s">
        <v>51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2119</v>
      </c>
      <c r="B264" t="s">
        <v>51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1116</v>
      </c>
      <c r="B265" t="s">
        <v>51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1123</v>
      </c>
      <c r="B266" t="s">
        <v>51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1125</v>
      </c>
      <c r="B267" t="s">
        <v>51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1124</v>
      </c>
      <c r="B268" t="s">
        <v>51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1138</v>
      </c>
      <c r="B269" t="s">
        <v>51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2124</v>
      </c>
      <c r="B270" t="s">
        <v>51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1137</v>
      </c>
      <c r="B271" t="s">
        <v>51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999</v>
      </c>
      <c r="B272" t="s">
        <v>51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1000</v>
      </c>
      <c r="B273" t="s">
        <v>51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2097</v>
      </c>
      <c r="B274" t="s">
        <v>51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2122</v>
      </c>
      <c r="B275" t="s">
        <v>51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1126</v>
      </c>
      <c r="B276" t="s">
        <v>51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1127</v>
      </c>
      <c r="B277" t="s">
        <v>51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1139</v>
      </c>
      <c r="B278" t="s">
        <v>51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1141</v>
      </c>
      <c r="B279" t="s">
        <v>51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1140</v>
      </c>
      <c r="B280" t="s">
        <v>51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1001</v>
      </c>
      <c r="B281" t="s">
        <v>51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1003</v>
      </c>
      <c r="B282" t="s">
        <v>51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1002</v>
      </c>
      <c r="B283" t="s">
        <v>51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778</v>
      </c>
      <c r="B284" t="s">
        <v>51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780</v>
      </c>
      <c r="B285" t="s">
        <v>51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2017</v>
      </c>
      <c r="B286" t="s">
        <v>51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781</v>
      </c>
      <c r="B287" t="s">
        <v>51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779</v>
      </c>
      <c r="B288" t="s">
        <v>51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2020</v>
      </c>
      <c r="B289" t="s">
        <v>51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777</v>
      </c>
      <c r="B290" t="s">
        <v>51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810</v>
      </c>
      <c r="B291" t="s">
        <v>51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2024</v>
      </c>
      <c r="B292" t="s">
        <v>51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2028</v>
      </c>
      <c r="B293" t="s">
        <v>51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813</v>
      </c>
      <c r="B294" t="s">
        <v>51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811</v>
      </c>
      <c r="B295" t="s">
        <v>51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2032</v>
      </c>
      <c r="B296" t="s">
        <v>51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812</v>
      </c>
      <c r="B297" t="s">
        <v>51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783</v>
      </c>
      <c r="B298" t="s">
        <v>51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788</v>
      </c>
      <c r="B299" t="s">
        <v>51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785</v>
      </c>
      <c r="B300" t="s">
        <v>51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787</v>
      </c>
      <c r="B301" t="s">
        <v>51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786</v>
      </c>
      <c r="B302" t="s">
        <v>51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782</v>
      </c>
      <c r="B303" t="s">
        <v>51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784</v>
      </c>
      <c r="B304" t="s">
        <v>51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814</v>
      </c>
      <c r="B305" t="s">
        <v>51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816</v>
      </c>
      <c r="B306" t="s">
        <v>51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817</v>
      </c>
      <c r="B307" t="s">
        <v>51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815</v>
      </c>
      <c r="B308" t="s">
        <v>51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818</v>
      </c>
      <c r="B309" t="s">
        <v>51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2033</v>
      </c>
      <c r="B310" t="s">
        <v>51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819</v>
      </c>
      <c r="B311" t="s">
        <v>51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2035</v>
      </c>
      <c r="B312" t="s">
        <v>51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842</v>
      </c>
      <c r="B313" t="s">
        <v>51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839</v>
      </c>
      <c r="B314" t="s">
        <v>51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840</v>
      </c>
      <c r="B315" t="s">
        <v>51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2039</v>
      </c>
      <c r="B316" t="s">
        <v>51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841</v>
      </c>
      <c r="B317" t="s">
        <v>51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2371</v>
      </c>
      <c r="B318" t="s">
        <v>51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792</v>
      </c>
      <c r="B319" t="s">
        <v>51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2016</v>
      </c>
      <c r="B320" t="s">
        <v>51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790</v>
      </c>
      <c r="B321" t="s">
        <v>51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793</v>
      </c>
      <c r="B322" t="s">
        <v>51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2019</v>
      </c>
      <c r="B323" t="s">
        <v>51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791</v>
      </c>
      <c r="B324" t="s">
        <v>51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789</v>
      </c>
      <c r="B325" t="s">
        <v>51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821</v>
      </c>
      <c r="B326" t="s">
        <v>51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823</v>
      </c>
      <c r="B327" t="s">
        <v>51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2029</v>
      </c>
      <c r="B328" t="s">
        <v>51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824</v>
      </c>
      <c r="B329" t="s">
        <v>51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2031</v>
      </c>
      <c r="B330" t="s">
        <v>51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820</v>
      </c>
      <c r="B331" t="s">
        <v>51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822</v>
      </c>
      <c r="B332" t="s">
        <v>51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844</v>
      </c>
      <c r="B333" t="s">
        <v>51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847</v>
      </c>
      <c r="B334" t="s">
        <v>51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846</v>
      </c>
      <c r="B335" t="s">
        <v>51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848</v>
      </c>
      <c r="B336" t="s">
        <v>51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843</v>
      </c>
      <c r="B337" t="s">
        <v>51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845</v>
      </c>
      <c r="B338" t="s">
        <v>51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1783</v>
      </c>
      <c r="B339" t="s">
        <v>51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2043</v>
      </c>
      <c r="B340" t="s">
        <v>51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872</v>
      </c>
      <c r="B341" t="s">
        <v>51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2049</v>
      </c>
      <c r="B342" t="s">
        <v>51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2051</v>
      </c>
      <c r="B343" t="s">
        <v>51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873</v>
      </c>
      <c r="B344" t="s">
        <v>51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874</v>
      </c>
      <c r="B345" t="s">
        <v>51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2057</v>
      </c>
      <c r="B346" t="s">
        <v>51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2013</v>
      </c>
      <c r="B347" t="s">
        <v>51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797</v>
      </c>
      <c r="B348" t="s">
        <v>51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2018</v>
      </c>
      <c r="B349" t="s">
        <v>51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796</v>
      </c>
      <c r="B350" t="s">
        <v>51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794</v>
      </c>
      <c r="B351" t="s">
        <v>51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795</v>
      </c>
      <c r="B352" t="s">
        <v>51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798</v>
      </c>
      <c r="B353" t="s">
        <v>51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827</v>
      </c>
      <c r="B354" t="s">
        <v>51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2025</v>
      </c>
      <c r="B355" t="s">
        <v>51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826</v>
      </c>
      <c r="B356" t="s">
        <v>51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829</v>
      </c>
      <c r="B357" t="s">
        <v>51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830</v>
      </c>
      <c r="B358" t="s">
        <v>51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828</v>
      </c>
      <c r="B359" t="s">
        <v>51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825</v>
      </c>
      <c r="B360" t="s">
        <v>51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849</v>
      </c>
      <c r="B361" t="s">
        <v>51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2036</v>
      </c>
      <c r="B362" t="s">
        <v>51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850</v>
      </c>
      <c r="B363" t="s">
        <v>51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851</v>
      </c>
      <c r="B364" t="s">
        <v>51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853</v>
      </c>
      <c r="B365" t="s">
        <v>51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2040</v>
      </c>
      <c r="B366" t="s">
        <v>51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852</v>
      </c>
      <c r="B367" t="s">
        <v>51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877</v>
      </c>
      <c r="B368" t="s">
        <v>51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876</v>
      </c>
      <c r="B369" t="s">
        <v>51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878</v>
      </c>
      <c r="B370" t="s">
        <v>51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881</v>
      </c>
      <c r="B371" t="s">
        <v>51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875</v>
      </c>
      <c r="B372" t="s">
        <v>51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879</v>
      </c>
      <c r="B373" t="s">
        <v>51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880</v>
      </c>
      <c r="B374" t="s">
        <v>51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902</v>
      </c>
      <c r="B375" t="s">
        <v>51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903</v>
      </c>
      <c r="B376" t="s">
        <v>51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899</v>
      </c>
      <c r="B377" t="s">
        <v>51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2064</v>
      </c>
      <c r="B378" t="s">
        <v>51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900</v>
      </c>
      <c r="B379" t="s">
        <v>51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904</v>
      </c>
      <c r="B380" t="s">
        <v>51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901</v>
      </c>
      <c r="B381" t="s">
        <v>51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926</v>
      </c>
      <c r="B382" t="s">
        <v>51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2075</v>
      </c>
      <c r="B383" t="s">
        <v>51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925</v>
      </c>
      <c r="B384" t="s">
        <v>51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2077</v>
      </c>
      <c r="B385" t="s">
        <v>51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927</v>
      </c>
      <c r="B386" t="s">
        <v>51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2014</v>
      </c>
      <c r="B387" t="s">
        <v>51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800</v>
      </c>
      <c r="B388" t="s">
        <v>51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803</v>
      </c>
      <c r="B389" t="s">
        <v>51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801</v>
      </c>
      <c r="B390" t="s">
        <v>51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799</v>
      </c>
      <c r="B391" t="s">
        <v>51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2021</v>
      </c>
      <c r="B392" t="s">
        <v>51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802</v>
      </c>
      <c r="B393" t="s">
        <v>51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2022</v>
      </c>
      <c r="B394" t="s">
        <v>51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2026</v>
      </c>
      <c r="B395" t="s">
        <v>51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831</v>
      </c>
      <c r="B396" t="s">
        <v>51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832</v>
      </c>
      <c r="B397" t="s">
        <v>51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833</v>
      </c>
      <c r="B398" t="s">
        <v>51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2034</v>
      </c>
      <c r="B399" t="s">
        <v>51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834</v>
      </c>
      <c r="B400" t="s">
        <v>51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854</v>
      </c>
      <c r="B401" t="s">
        <v>51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2037</v>
      </c>
      <c r="B402" t="s">
        <v>51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2038</v>
      </c>
      <c r="B403" t="s">
        <v>51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858</v>
      </c>
      <c r="B404" t="s">
        <v>51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857</v>
      </c>
      <c r="B405" t="s">
        <v>51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855</v>
      </c>
      <c r="B406" t="s">
        <v>51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856</v>
      </c>
      <c r="B407" t="s">
        <v>51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883</v>
      </c>
      <c r="B408" t="s">
        <v>51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2046</v>
      </c>
      <c r="B409" t="s">
        <v>51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884</v>
      </c>
      <c r="B410" t="s">
        <v>51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886</v>
      </c>
      <c r="B411" t="s">
        <v>51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2053</v>
      </c>
      <c r="B412" t="s">
        <v>51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885</v>
      </c>
      <c r="B413" t="s">
        <v>51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882</v>
      </c>
      <c r="B414" t="s">
        <v>51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2058</v>
      </c>
      <c r="B415" t="s">
        <v>51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905</v>
      </c>
      <c r="B416" t="s">
        <v>51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2061</v>
      </c>
      <c r="B417" t="s">
        <v>51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2065</v>
      </c>
      <c r="B418" t="s">
        <v>51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2066</v>
      </c>
      <c r="B419" t="s">
        <v>51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2067</v>
      </c>
      <c r="B420" t="s">
        <v>51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2071</v>
      </c>
      <c r="B421" t="s">
        <v>51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930</v>
      </c>
      <c r="B422" t="s">
        <v>51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928</v>
      </c>
      <c r="B423" t="s">
        <v>51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931</v>
      </c>
      <c r="B424" t="s">
        <v>51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2078</v>
      </c>
      <c r="B425" t="s">
        <v>51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929</v>
      </c>
      <c r="B426" t="s">
        <v>51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950</v>
      </c>
      <c r="B427" t="s">
        <v>51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2081</v>
      </c>
      <c r="B428" t="s">
        <v>51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948</v>
      </c>
      <c r="B429" t="s">
        <v>51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949</v>
      </c>
      <c r="B430" t="s">
        <v>51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2085</v>
      </c>
      <c r="B431" t="s">
        <v>51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969</v>
      </c>
      <c r="B432" t="s">
        <v>51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970</v>
      </c>
      <c r="B433" t="s">
        <v>51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968</v>
      </c>
      <c r="B434" t="s">
        <v>51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2015</v>
      </c>
      <c r="B435" t="s">
        <v>51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804</v>
      </c>
      <c r="B436" t="s">
        <v>51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806</v>
      </c>
      <c r="B437" t="s">
        <v>51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807</v>
      </c>
      <c r="B438" t="s">
        <v>51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808</v>
      </c>
      <c r="B439" t="s">
        <v>51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805</v>
      </c>
      <c r="B440" t="s">
        <v>51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809</v>
      </c>
      <c r="B441" t="s">
        <v>51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2023</v>
      </c>
      <c r="B442" t="s">
        <v>51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2027</v>
      </c>
      <c r="B443" t="s">
        <v>51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2030</v>
      </c>
      <c r="B444" t="s">
        <v>51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836</v>
      </c>
      <c r="B445" t="s">
        <v>51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837</v>
      </c>
      <c r="B446" t="s">
        <v>51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835</v>
      </c>
      <c r="B447" t="s">
        <v>51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838</v>
      </c>
      <c r="B448" t="s">
        <v>51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863</v>
      </c>
      <c r="B449" t="s">
        <v>51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860</v>
      </c>
      <c r="B450" t="s">
        <v>51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859</v>
      </c>
      <c r="B451" t="s">
        <v>51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862</v>
      </c>
      <c r="B452" t="s">
        <v>51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864</v>
      </c>
      <c r="B453" t="s">
        <v>51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2041</v>
      </c>
      <c r="B454" t="s">
        <v>51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861</v>
      </c>
      <c r="B455" t="s">
        <v>51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2044</v>
      </c>
      <c r="B456" t="s">
        <v>51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888</v>
      </c>
      <c r="B457" t="s">
        <v>51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890</v>
      </c>
      <c r="B458" t="s">
        <v>51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2052</v>
      </c>
      <c r="B459" t="s">
        <v>51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887</v>
      </c>
      <c r="B460" t="s">
        <v>51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2055</v>
      </c>
      <c r="B461" t="s">
        <v>51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889</v>
      </c>
      <c r="B462" t="s">
        <v>51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906</v>
      </c>
      <c r="B463" t="s">
        <v>51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2060</v>
      </c>
      <c r="B464" t="s">
        <v>51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2062</v>
      </c>
      <c r="B465" t="s">
        <v>51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909</v>
      </c>
      <c r="B466" t="s">
        <v>51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907</v>
      </c>
      <c r="B467" t="s">
        <v>51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2068</v>
      </c>
      <c r="B468" t="s">
        <v>51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908</v>
      </c>
      <c r="B469" t="s">
        <v>51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932</v>
      </c>
      <c r="B470" t="s">
        <v>51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933</v>
      </c>
      <c r="B471" t="s">
        <v>51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935</v>
      </c>
      <c r="B472" t="s">
        <v>51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2079</v>
      </c>
      <c r="B473" t="s">
        <v>51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934</v>
      </c>
      <c r="B474" t="s">
        <v>51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954</v>
      </c>
      <c r="B475" t="s">
        <v>51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955</v>
      </c>
      <c r="B476" t="s">
        <v>51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951</v>
      </c>
      <c r="B477" t="s">
        <v>51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952</v>
      </c>
      <c r="B478" t="s">
        <v>51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953</v>
      </c>
      <c r="B479" t="s">
        <v>51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972</v>
      </c>
      <c r="B480" t="s">
        <v>51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971</v>
      </c>
      <c r="B481" t="s">
        <v>51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2088</v>
      </c>
      <c r="B482" t="s">
        <v>51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869</v>
      </c>
      <c r="B483" t="s">
        <v>51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865</v>
      </c>
      <c r="B484" t="s">
        <v>51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868</v>
      </c>
      <c r="B485" t="s">
        <v>51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867</v>
      </c>
      <c r="B486" t="s">
        <v>51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866</v>
      </c>
      <c r="B487" t="s">
        <v>51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870</v>
      </c>
      <c r="B488" t="s">
        <v>51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871</v>
      </c>
      <c r="B489" t="s">
        <v>51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892</v>
      </c>
      <c r="B490" t="s">
        <v>51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2047</v>
      </c>
      <c r="B491" t="s">
        <v>51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893</v>
      </c>
      <c r="B492" t="s">
        <v>51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891</v>
      </c>
      <c r="B493" t="s">
        <v>51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894</v>
      </c>
      <c r="B494" t="s">
        <v>51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895</v>
      </c>
      <c r="B495" t="s">
        <v>51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896</v>
      </c>
      <c r="B496" t="s">
        <v>51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911</v>
      </c>
      <c r="B497" t="s">
        <v>51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910</v>
      </c>
      <c r="B498" t="s">
        <v>51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915</v>
      </c>
      <c r="B499" t="s">
        <v>51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914</v>
      </c>
      <c r="B500" t="s">
        <v>51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913</v>
      </c>
      <c r="B501" t="s">
        <v>51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2069</v>
      </c>
      <c r="B502" t="s">
        <v>51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912</v>
      </c>
      <c r="B503" t="s">
        <v>51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936</v>
      </c>
      <c r="B504" t="s">
        <v>51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938</v>
      </c>
      <c r="B505" t="s">
        <v>51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939</v>
      </c>
      <c r="B506" t="s">
        <v>51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940</v>
      </c>
      <c r="B507" t="s">
        <v>51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937</v>
      </c>
      <c r="B508" t="s">
        <v>51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958</v>
      </c>
      <c r="B509" t="s">
        <v>51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2082</v>
      </c>
      <c r="B510" t="s">
        <v>51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957</v>
      </c>
      <c r="B511" t="s">
        <v>51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959</v>
      </c>
      <c r="B512" t="s">
        <v>51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956</v>
      </c>
      <c r="B513" t="s">
        <v>51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2086</v>
      </c>
      <c r="B514" t="s">
        <v>51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973</v>
      </c>
      <c r="B515" t="s">
        <v>51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974</v>
      </c>
      <c r="B516" t="s">
        <v>51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2045</v>
      </c>
      <c r="B517" t="s">
        <v>51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2048</v>
      </c>
      <c r="B518" t="s">
        <v>51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2050</v>
      </c>
      <c r="B519" t="s">
        <v>51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897</v>
      </c>
      <c r="B520" t="s">
        <v>51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2054</v>
      </c>
      <c r="B521" t="s">
        <v>51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2056</v>
      </c>
      <c r="B522" t="s">
        <v>51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898</v>
      </c>
      <c r="B523" t="s">
        <v>51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2059</v>
      </c>
      <c r="B524" t="s">
        <v>51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917</v>
      </c>
      <c r="B525" t="s">
        <v>51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2063</v>
      </c>
      <c r="B526" t="s">
        <v>51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916</v>
      </c>
      <c r="B527" t="s">
        <v>51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918</v>
      </c>
      <c r="B528" t="s">
        <v>51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2070</v>
      </c>
      <c r="B529" t="s">
        <v>51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2072</v>
      </c>
      <c r="B530" t="s">
        <v>51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2074</v>
      </c>
      <c r="B531" t="s">
        <v>51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941</v>
      </c>
      <c r="B532" t="s">
        <v>51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943</v>
      </c>
      <c r="B533" t="s">
        <v>51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942</v>
      </c>
      <c r="B534" t="s">
        <v>51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944</v>
      </c>
      <c r="B535" t="s">
        <v>51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962</v>
      </c>
      <c r="B536" t="s">
        <v>51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963</v>
      </c>
      <c r="B537" t="s">
        <v>51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961</v>
      </c>
      <c r="B538" t="s">
        <v>51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964</v>
      </c>
      <c r="B539" t="s">
        <v>51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960</v>
      </c>
      <c r="B540" t="s">
        <v>51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976</v>
      </c>
      <c r="B541" t="s">
        <v>51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977</v>
      </c>
      <c r="B542" t="s">
        <v>51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975</v>
      </c>
      <c r="B543" t="s">
        <v>51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921</v>
      </c>
      <c r="B544" t="s">
        <v>51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924</v>
      </c>
      <c r="B545" t="s">
        <v>51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919</v>
      </c>
      <c r="B546" t="s">
        <v>51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922</v>
      </c>
      <c r="B547" t="s">
        <v>51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923</v>
      </c>
      <c r="B548" t="s">
        <v>51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920</v>
      </c>
      <c r="B549" t="s">
        <v>51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2073</v>
      </c>
      <c r="B550" t="s">
        <v>51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947</v>
      </c>
      <c r="B551" t="s">
        <v>51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2076</v>
      </c>
      <c r="B552" t="s">
        <v>51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946</v>
      </c>
      <c r="B553" t="s">
        <v>51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945</v>
      </c>
      <c r="B554" t="s">
        <v>51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2080</v>
      </c>
      <c r="B555" t="s">
        <v>51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967</v>
      </c>
      <c r="B556" t="s">
        <v>51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2083</v>
      </c>
      <c r="B557" t="s">
        <v>51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966</v>
      </c>
      <c r="B558" t="s">
        <v>51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2084</v>
      </c>
      <c r="B559" t="s">
        <v>51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965</v>
      </c>
      <c r="B560" t="s">
        <v>51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2087</v>
      </c>
      <c r="B561" t="s">
        <v>51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979</v>
      </c>
      <c r="B562" t="s">
        <v>51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978</v>
      </c>
      <c r="B563" t="s">
        <v>51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2372</v>
      </c>
      <c r="B564" t="s">
        <v>51</v>
      </c>
      <c r="C564" t="s">
        <v>2373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2374</v>
      </c>
      <c r="B565" t="s">
        <v>51</v>
      </c>
      <c r="C565" t="s">
        <v>2373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2375</v>
      </c>
      <c r="B566" t="s">
        <v>51</v>
      </c>
      <c r="C566" t="s">
        <v>2373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2376</v>
      </c>
      <c r="B567" t="s">
        <v>51</v>
      </c>
      <c r="C567" t="s">
        <v>2373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2377</v>
      </c>
      <c r="B568" t="s">
        <v>51</v>
      </c>
      <c r="C568" t="s">
        <v>2373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2378</v>
      </c>
      <c r="B569" t="s">
        <v>51</v>
      </c>
      <c r="C569" t="s">
        <v>2373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2379</v>
      </c>
      <c r="B570" t="s">
        <v>51</v>
      </c>
      <c r="C570" t="s">
        <v>2373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2380</v>
      </c>
      <c r="B571" t="s">
        <v>51</v>
      </c>
      <c r="C571" t="s">
        <v>2373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2381</v>
      </c>
      <c r="B572" t="s">
        <v>51</v>
      </c>
      <c r="C572" t="s">
        <v>2373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2382</v>
      </c>
      <c r="B573" t="s">
        <v>51</v>
      </c>
      <c r="C573" t="s">
        <v>2373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2383</v>
      </c>
      <c r="B574" t="s">
        <v>51</v>
      </c>
      <c r="C574" t="s">
        <v>2373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2384</v>
      </c>
      <c r="B575" t="s">
        <v>51</v>
      </c>
      <c r="C575" t="s">
        <v>2373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2385</v>
      </c>
      <c r="B576" t="s">
        <v>51</v>
      </c>
      <c r="C576" t="s">
        <v>2373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2386</v>
      </c>
      <c r="B577" t="s">
        <v>51</v>
      </c>
      <c r="C577" t="s">
        <v>2373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2387</v>
      </c>
      <c r="B578" t="s">
        <v>51</v>
      </c>
      <c r="C578" t="s">
        <v>2373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2388</v>
      </c>
      <c r="B579" t="s">
        <v>51</v>
      </c>
      <c r="C579" t="s">
        <v>2373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2389</v>
      </c>
      <c r="B580" t="s">
        <v>51</v>
      </c>
      <c r="C580" t="s">
        <v>2373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2390</v>
      </c>
      <c r="B581" t="s">
        <v>51</v>
      </c>
      <c r="C581" t="s">
        <v>2373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2391</v>
      </c>
      <c r="B582" t="s">
        <v>51</v>
      </c>
      <c r="C582" t="s">
        <v>2373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2392</v>
      </c>
      <c r="B583" t="s">
        <v>51</v>
      </c>
      <c r="C583" t="s">
        <v>2373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2393</v>
      </c>
      <c r="B584" t="s">
        <v>51</v>
      </c>
      <c r="C584" t="s">
        <v>2373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2394</v>
      </c>
      <c r="B585" t="s">
        <v>51</v>
      </c>
      <c r="C585" t="s">
        <v>2373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2395</v>
      </c>
      <c r="B586" t="s">
        <v>51</v>
      </c>
      <c r="C586" t="s">
        <v>2373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2396</v>
      </c>
      <c r="B587" t="s">
        <v>51</v>
      </c>
      <c r="C587" t="s">
        <v>2373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2397</v>
      </c>
      <c r="B588" t="s">
        <v>51</v>
      </c>
      <c r="C588" t="s">
        <v>2373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2398</v>
      </c>
      <c r="B589" t="s">
        <v>51</v>
      </c>
      <c r="C589" t="s">
        <v>2373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2399</v>
      </c>
      <c r="B590" t="s">
        <v>51</v>
      </c>
      <c r="C590" t="s">
        <v>2373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2400</v>
      </c>
      <c r="B591" t="s">
        <v>51</v>
      </c>
      <c r="C591" t="s">
        <v>2373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2401</v>
      </c>
      <c r="B592" t="s">
        <v>51</v>
      </c>
      <c r="C592" t="s">
        <v>2373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2402</v>
      </c>
      <c r="B593" t="s">
        <v>51</v>
      </c>
      <c r="C593" t="s">
        <v>2373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2403</v>
      </c>
      <c r="B594" t="s">
        <v>51</v>
      </c>
      <c r="C594" t="s">
        <v>2373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2404</v>
      </c>
      <c r="B595" t="s">
        <v>51</v>
      </c>
      <c r="C595" t="s">
        <v>2373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2405</v>
      </c>
      <c r="B596" t="s">
        <v>51</v>
      </c>
      <c r="C596" t="s">
        <v>2373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2406</v>
      </c>
      <c r="B597" t="s">
        <v>51</v>
      </c>
      <c r="C597" t="s">
        <v>2373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2407</v>
      </c>
      <c r="B598" t="s">
        <v>51</v>
      </c>
      <c r="C598" t="s">
        <v>2373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2408</v>
      </c>
      <c r="B599" t="s">
        <v>51</v>
      </c>
      <c r="C599" t="s">
        <v>2373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2409</v>
      </c>
      <c r="B600" t="s">
        <v>51</v>
      </c>
      <c r="C600" t="s">
        <v>2373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2410</v>
      </c>
      <c r="B601" t="s">
        <v>51</v>
      </c>
      <c r="C601" t="s">
        <v>2373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2411</v>
      </c>
      <c r="B602" t="s">
        <v>51</v>
      </c>
      <c r="C602" t="s">
        <v>2373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2412</v>
      </c>
      <c r="B603" t="s">
        <v>51</v>
      </c>
      <c r="C603" t="s">
        <v>2373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2413</v>
      </c>
      <c r="B604" t="s">
        <v>51</v>
      </c>
      <c r="C604" t="s">
        <v>2373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2414</v>
      </c>
      <c r="B605" t="s">
        <v>51</v>
      </c>
      <c r="C605" t="s">
        <v>2373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2415</v>
      </c>
      <c r="B606" t="s">
        <v>51</v>
      </c>
      <c r="C606" t="s">
        <v>2373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2416</v>
      </c>
      <c r="B607" t="s">
        <v>51</v>
      </c>
      <c r="C607" t="s">
        <v>2373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2417</v>
      </c>
      <c r="B608" t="s">
        <v>51</v>
      </c>
      <c r="C608" t="s">
        <v>2373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2418</v>
      </c>
      <c r="B609" t="s">
        <v>51</v>
      </c>
      <c r="C609" t="s">
        <v>2373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2419</v>
      </c>
      <c r="B610" t="s">
        <v>51</v>
      </c>
      <c r="C610" t="s">
        <v>2373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2420</v>
      </c>
      <c r="B611" t="s">
        <v>51</v>
      </c>
      <c r="C611" t="s">
        <v>2373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2421</v>
      </c>
      <c r="B612" t="s">
        <v>51</v>
      </c>
      <c r="C612" t="s">
        <v>2373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2422</v>
      </c>
      <c r="B613" t="s">
        <v>51</v>
      </c>
      <c r="C613" t="s">
        <v>2373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2423</v>
      </c>
      <c r="B614" t="s">
        <v>51</v>
      </c>
      <c r="C614" t="s">
        <v>2373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2424</v>
      </c>
      <c r="B615" t="s">
        <v>51</v>
      </c>
      <c r="C615" t="s">
        <v>2373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2425</v>
      </c>
      <c r="B616" t="s">
        <v>51</v>
      </c>
      <c r="C616" t="s">
        <v>2373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2426</v>
      </c>
      <c r="B617" t="s">
        <v>51</v>
      </c>
      <c r="C617" t="s">
        <v>2373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2427</v>
      </c>
      <c r="B618" t="s">
        <v>51</v>
      </c>
      <c r="C618" t="s">
        <v>2373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2428</v>
      </c>
      <c r="B619" t="s">
        <v>51</v>
      </c>
      <c r="C619" t="s">
        <v>2373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2429</v>
      </c>
      <c r="B620" t="s">
        <v>51</v>
      </c>
      <c r="C620" t="s">
        <v>2373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2430</v>
      </c>
      <c r="B621" t="s">
        <v>51</v>
      </c>
      <c r="C621" t="s">
        <v>2373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2431</v>
      </c>
      <c r="B622" t="s">
        <v>51</v>
      </c>
      <c r="C622" t="s">
        <v>2373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2432</v>
      </c>
      <c r="B623" t="s">
        <v>51</v>
      </c>
      <c r="C623" t="s">
        <v>2373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2433</v>
      </c>
      <c r="B624" t="s">
        <v>51</v>
      </c>
      <c r="C624" t="s">
        <v>2373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2434</v>
      </c>
      <c r="B625" t="s">
        <v>51</v>
      </c>
      <c r="C625" t="s">
        <v>2373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2435</v>
      </c>
      <c r="B626" t="s">
        <v>51</v>
      </c>
      <c r="C626" t="s">
        <v>2373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2436</v>
      </c>
      <c r="B627" t="s">
        <v>51</v>
      </c>
      <c r="C627" t="s">
        <v>2373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2437</v>
      </c>
      <c r="B628" t="s">
        <v>51</v>
      </c>
      <c r="C628" t="s">
        <v>2373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2438</v>
      </c>
      <c r="B629" t="s">
        <v>51</v>
      </c>
      <c r="C629" t="s">
        <v>2373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2439</v>
      </c>
      <c r="B630" t="s">
        <v>51</v>
      </c>
      <c r="C630" t="s">
        <v>2373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2440</v>
      </c>
      <c r="B631" t="s">
        <v>51</v>
      </c>
      <c r="C631" t="s">
        <v>2373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2441</v>
      </c>
      <c r="B632" t="s">
        <v>51</v>
      </c>
      <c r="C632" t="s">
        <v>2373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2442</v>
      </c>
      <c r="B633" t="s">
        <v>51</v>
      </c>
      <c r="C633" t="s">
        <v>2373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2443</v>
      </c>
      <c r="B634" t="s">
        <v>51</v>
      </c>
      <c r="C634" t="s">
        <v>2373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2444</v>
      </c>
      <c r="B635" t="s">
        <v>51</v>
      </c>
      <c r="C635" t="s">
        <v>2373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2445</v>
      </c>
      <c r="B636" t="s">
        <v>51</v>
      </c>
      <c r="C636" t="s">
        <v>2373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2446</v>
      </c>
      <c r="B637" t="s">
        <v>51</v>
      </c>
      <c r="C637" t="s">
        <v>2373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2447</v>
      </c>
      <c r="B638" t="s">
        <v>51</v>
      </c>
      <c r="C638" t="s">
        <v>2373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2448</v>
      </c>
      <c r="B639" t="s">
        <v>51</v>
      </c>
      <c r="C639" t="s">
        <v>2373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2449</v>
      </c>
      <c r="B640" t="s">
        <v>51</v>
      </c>
      <c r="C640" t="s">
        <v>2373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2450</v>
      </c>
      <c r="B641" t="s">
        <v>51</v>
      </c>
      <c r="C641" t="s">
        <v>2373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2451</v>
      </c>
      <c r="B642" t="s">
        <v>51</v>
      </c>
      <c r="C642" t="s">
        <v>2373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2452</v>
      </c>
      <c r="B643" t="s">
        <v>51</v>
      </c>
      <c r="C643" t="s">
        <v>2373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2453</v>
      </c>
      <c r="B644" t="s">
        <v>51</v>
      </c>
      <c r="C644" t="s">
        <v>2373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2454</v>
      </c>
      <c r="B645" t="s">
        <v>51</v>
      </c>
      <c r="C645" t="s">
        <v>2373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2455</v>
      </c>
      <c r="B646" t="s">
        <v>51</v>
      </c>
      <c r="C646" t="s">
        <v>2373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2456</v>
      </c>
      <c r="B647" t="s">
        <v>51</v>
      </c>
      <c r="C647" t="s">
        <v>2373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2457</v>
      </c>
      <c r="B648" t="s">
        <v>51</v>
      </c>
      <c r="C648" t="s">
        <v>2373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2458</v>
      </c>
      <c r="B649" t="s">
        <v>51</v>
      </c>
      <c r="C649" t="s">
        <v>2373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2459</v>
      </c>
      <c r="B650" t="s">
        <v>51</v>
      </c>
      <c r="C650" t="s">
        <v>2373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2460</v>
      </c>
      <c r="B651" t="s">
        <v>51</v>
      </c>
      <c r="C651" t="s">
        <v>2373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2461</v>
      </c>
      <c r="B652" t="s">
        <v>51</v>
      </c>
      <c r="C652" t="s">
        <v>2373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2462</v>
      </c>
      <c r="B653" t="s">
        <v>51</v>
      </c>
      <c r="C653" t="s">
        <v>2373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2463</v>
      </c>
      <c r="B654" t="s">
        <v>51</v>
      </c>
      <c r="C654" t="s">
        <v>2373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2464</v>
      </c>
      <c r="B655" t="s">
        <v>51</v>
      </c>
      <c r="C655" t="s">
        <v>2373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2465</v>
      </c>
      <c r="B656" t="s">
        <v>51</v>
      </c>
      <c r="C656" t="s">
        <v>2373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2466</v>
      </c>
      <c r="B657" t="s">
        <v>51</v>
      </c>
      <c r="C657" t="s">
        <v>2373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2467</v>
      </c>
      <c r="B658" t="s">
        <v>51</v>
      </c>
      <c r="C658" t="s">
        <v>2373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2468</v>
      </c>
      <c r="B659" t="s">
        <v>51</v>
      </c>
      <c r="C659" t="s">
        <v>2373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2469</v>
      </c>
      <c r="B660" t="s">
        <v>51</v>
      </c>
      <c r="C660" t="s">
        <v>2373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2470</v>
      </c>
      <c r="B661" t="s">
        <v>51</v>
      </c>
      <c r="C661" t="s">
        <v>2373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2471</v>
      </c>
      <c r="B662" t="s">
        <v>51</v>
      </c>
      <c r="C662" t="s">
        <v>2373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2472</v>
      </c>
      <c r="B663" t="s">
        <v>51</v>
      </c>
      <c r="C663" t="s">
        <v>2373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2473</v>
      </c>
      <c r="B664" t="s">
        <v>51</v>
      </c>
      <c r="C664" t="s">
        <v>2373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2474</v>
      </c>
      <c r="B665" t="s">
        <v>51</v>
      </c>
      <c r="C665" t="s">
        <v>2373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2475</v>
      </c>
      <c r="B666" t="s">
        <v>51</v>
      </c>
      <c r="C666" t="s">
        <v>2373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2476</v>
      </c>
      <c r="B667" t="s">
        <v>51</v>
      </c>
      <c r="C667" t="s">
        <v>2373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2477</v>
      </c>
      <c r="B668" t="s">
        <v>51</v>
      </c>
      <c r="C668" t="s">
        <v>2373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2478</v>
      </c>
      <c r="B669" t="s">
        <v>51</v>
      </c>
      <c r="C669" t="s">
        <v>2373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2479</v>
      </c>
      <c r="B670" t="s">
        <v>51</v>
      </c>
      <c r="C670" t="s">
        <v>2373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2480</v>
      </c>
      <c r="B671" t="s">
        <v>51</v>
      </c>
      <c r="C671" t="s">
        <v>2373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2481</v>
      </c>
      <c r="B672" t="s">
        <v>51</v>
      </c>
      <c r="C672" t="s">
        <v>2373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2482</v>
      </c>
      <c r="B673" t="s">
        <v>51</v>
      </c>
      <c r="C673" t="s">
        <v>2373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2483</v>
      </c>
      <c r="B674" t="s">
        <v>51</v>
      </c>
      <c r="C674" t="s">
        <v>2373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2484</v>
      </c>
      <c r="B675" t="s">
        <v>51</v>
      </c>
      <c r="C675" t="s">
        <v>2373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2485</v>
      </c>
      <c r="B676" t="s">
        <v>51</v>
      </c>
      <c r="C676" t="s">
        <v>2373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2486</v>
      </c>
      <c r="B677" t="s">
        <v>51</v>
      </c>
      <c r="C677" t="s">
        <v>2373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2487</v>
      </c>
      <c r="B678" t="s">
        <v>51</v>
      </c>
      <c r="C678" t="s">
        <v>2373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2488</v>
      </c>
      <c r="B679" t="s">
        <v>51</v>
      </c>
      <c r="C679" t="s">
        <v>2373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2489</v>
      </c>
      <c r="B680" t="s">
        <v>51</v>
      </c>
      <c r="C680" t="s">
        <v>2373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2490</v>
      </c>
      <c r="B681" t="s">
        <v>51</v>
      </c>
      <c r="C681" t="s">
        <v>2373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2491</v>
      </c>
      <c r="B682" t="s">
        <v>51</v>
      </c>
      <c r="C682" t="s">
        <v>2373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2492</v>
      </c>
      <c r="B683" t="s">
        <v>51</v>
      </c>
      <c r="C683" t="s">
        <v>2373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2493</v>
      </c>
      <c r="B684" t="s">
        <v>51</v>
      </c>
      <c r="C684" t="s">
        <v>2373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2494</v>
      </c>
      <c r="B685" t="s">
        <v>51</v>
      </c>
      <c r="C685" t="s">
        <v>2373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2495</v>
      </c>
      <c r="B686" t="s">
        <v>51</v>
      </c>
      <c r="C686" t="s">
        <v>2373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2496</v>
      </c>
      <c r="B687" t="s">
        <v>51</v>
      </c>
      <c r="C687" t="s">
        <v>2373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2497</v>
      </c>
      <c r="B688" t="s">
        <v>51</v>
      </c>
      <c r="C688" t="s">
        <v>2373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2498</v>
      </c>
      <c r="B689" t="s">
        <v>51</v>
      </c>
      <c r="C689" t="s">
        <v>2373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2499</v>
      </c>
      <c r="B690" t="s">
        <v>51</v>
      </c>
      <c r="C690" t="s">
        <v>2373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2500</v>
      </c>
      <c r="B691" t="s">
        <v>51</v>
      </c>
      <c r="C691" t="s">
        <v>2373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2501</v>
      </c>
      <c r="B692" t="s">
        <v>51</v>
      </c>
      <c r="C692" t="s">
        <v>2373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2502</v>
      </c>
      <c r="B693" t="s">
        <v>51</v>
      </c>
      <c r="C693" t="s">
        <v>2373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2503</v>
      </c>
      <c r="B694" t="s">
        <v>51</v>
      </c>
      <c r="C694" t="s">
        <v>2373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2504</v>
      </c>
      <c r="B695" t="s">
        <v>51</v>
      </c>
      <c r="C695" t="s">
        <v>2373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2505</v>
      </c>
      <c r="B696" t="s">
        <v>51</v>
      </c>
      <c r="C696" t="s">
        <v>2373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2506</v>
      </c>
      <c r="B697" t="s">
        <v>51</v>
      </c>
      <c r="C697" t="s">
        <v>2373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2507</v>
      </c>
      <c r="B698" t="s">
        <v>51</v>
      </c>
      <c r="C698" t="s">
        <v>2373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2508</v>
      </c>
      <c r="B699" t="s">
        <v>51</v>
      </c>
      <c r="C699" t="s">
        <v>2373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2509</v>
      </c>
      <c r="B700" t="s">
        <v>51</v>
      </c>
      <c r="C700" t="s">
        <v>2373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2510</v>
      </c>
      <c r="B701" t="s">
        <v>51</v>
      </c>
      <c r="C701" t="s">
        <v>2373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2511</v>
      </c>
      <c r="B702" t="s">
        <v>51</v>
      </c>
      <c r="C702" t="s">
        <v>2373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2512</v>
      </c>
      <c r="B703" t="s">
        <v>51</v>
      </c>
      <c r="C703" t="s">
        <v>2373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2513</v>
      </c>
      <c r="B704" t="s">
        <v>51</v>
      </c>
      <c r="C704" t="s">
        <v>2373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2514</v>
      </c>
      <c r="B705" t="s">
        <v>51</v>
      </c>
      <c r="C705" t="s">
        <v>2373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2515</v>
      </c>
      <c r="B706" t="s">
        <v>51</v>
      </c>
      <c r="C706" t="s">
        <v>2373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2516</v>
      </c>
      <c r="B707" t="s">
        <v>51</v>
      </c>
      <c r="C707" t="s">
        <v>2373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2517</v>
      </c>
      <c r="B708" t="s">
        <v>51</v>
      </c>
      <c r="C708" t="s">
        <v>2373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2518</v>
      </c>
      <c r="B709" t="s">
        <v>51</v>
      </c>
      <c r="C709" t="s">
        <v>2373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2519</v>
      </c>
      <c r="B710" t="s">
        <v>51</v>
      </c>
      <c r="C710" t="s">
        <v>2373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2520</v>
      </c>
      <c r="B711" t="s">
        <v>51</v>
      </c>
      <c r="C711" t="s">
        <v>2373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2521</v>
      </c>
      <c r="B712" t="s">
        <v>51</v>
      </c>
      <c r="C712" t="s">
        <v>2373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2522</v>
      </c>
      <c r="B713" t="s">
        <v>51</v>
      </c>
      <c r="C713" t="s">
        <v>2373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2523</v>
      </c>
      <c r="B714" t="s">
        <v>51</v>
      </c>
      <c r="C714" t="s">
        <v>2373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2524</v>
      </c>
      <c r="B715" t="s">
        <v>51</v>
      </c>
      <c r="C715" t="s">
        <v>2373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2525</v>
      </c>
      <c r="B716" t="s">
        <v>51</v>
      </c>
      <c r="C716" t="s">
        <v>2373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2526</v>
      </c>
      <c r="B717" t="s">
        <v>51</v>
      </c>
      <c r="C717" t="s">
        <v>2373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2527</v>
      </c>
      <c r="B718" t="s">
        <v>51</v>
      </c>
      <c r="C718" t="s">
        <v>2373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2528</v>
      </c>
      <c r="B719" t="s">
        <v>51</v>
      </c>
      <c r="C719" t="s">
        <v>2373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2529</v>
      </c>
      <c r="B720" t="s">
        <v>51</v>
      </c>
      <c r="C720" t="s">
        <v>2373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2530</v>
      </c>
      <c r="B721" t="s">
        <v>51</v>
      </c>
      <c r="C721" t="s">
        <v>2373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2531</v>
      </c>
      <c r="B722" t="s">
        <v>51</v>
      </c>
      <c r="C722" t="s">
        <v>2373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2532</v>
      </c>
      <c r="B723" t="s">
        <v>51</v>
      </c>
      <c r="C723" t="s">
        <v>2373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2533</v>
      </c>
      <c r="B724" t="s">
        <v>51</v>
      </c>
      <c r="C724" t="s">
        <v>2373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2534</v>
      </c>
      <c r="B725" t="s">
        <v>51</v>
      </c>
      <c r="C725" t="s">
        <v>2373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2535</v>
      </c>
      <c r="B726" t="s">
        <v>51</v>
      </c>
      <c r="C726" t="s">
        <v>2373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2536</v>
      </c>
      <c r="B727" t="s">
        <v>51</v>
      </c>
      <c r="C727" t="s">
        <v>2373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2537</v>
      </c>
      <c r="B728" t="s">
        <v>51</v>
      </c>
      <c r="C728" t="s">
        <v>2373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2538</v>
      </c>
      <c r="B729" t="s">
        <v>51</v>
      </c>
      <c r="C729" t="s">
        <v>2373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2539</v>
      </c>
      <c r="B730" t="s">
        <v>51</v>
      </c>
      <c r="C730" t="s">
        <v>2373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2540</v>
      </c>
      <c r="B731" t="s">
        <v>51</v>
      </c>
      <c r="C731" t="s">
        <v>2373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2541</v>
      </c>
      <c r="B732" t="s">
        <v>51</v>
      </c>
      <c r="C732" t="s">
        <v>2373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2542</v>
      </c>
      <c r="B733" t="s">
        <v>51</v>
      </c>
      <c r="C733" t="s">
        <v>2373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2543</v>
      </c>
      <c r="B734" t="s">
        <v>51</v>
      </c>
      <c r="C734" t="s">
        <v>2373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2544</v>
      </c>
      <c r="B735" t="s">
        <v>51</v>
      </c>
      <c r="C735" t="s">
        <v>2373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2545</v>
      </c>
      <c r="B736" t="s">
        <v>51</v>
      </c>
      <c r="C736" t="s">
        <v>2373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2546</v>
      </c>
      <c r="B737" t="s">
        <v>51</v>
      </c>
      <c r="C737" t="s">
        <v>2373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2547</v>
      </c>
      <c r="B738" t="s">
        <v>51</v>
      </c>
      <c r="C738" t="s">
        <v>2373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2548</v>
      </c>
      <c r="B739" t="s">
        <v>51</v>
      </c>
      <c r="C739" t="s">
        <v>2373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2549</v>
      </c>
      <c r="B740" t="s">
        <v>51</v>
      </c>
      <c r="C740" t="s">
        <v>2373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2550</v>
      </c>
      <c r="B741" t="s">
        <v>51</v>
      </c>
      <c r="C741" t="s">
        <v>2373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2551</v>
      </c>
      <c r="B742" t="s">
        <v>51</v>
      </c>
      <c r="C742" t="s">
        <v>2373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2552</v>
      </c>
      <c r="B743" t="s">
        <v>51</v>
      </c>
      <c r="C743" t="s">
        <v>2373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2553</v>
      </c>
      <c r="B744" t="s">
        <v>51</v>
      </c>
      <c r="C744" t="s">
        <v>2373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2554</v>
      </c>
      <c r="B745" t="s">
        <v>51</v>
      </c>
      <c r="C745" t="s">
        <v>2373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2555</v>
      </c>
      <c r="B746" t="s">
        <v>51</v>
      </c>
      <c r="C746" t="s">
        <v>2373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2556</v>
      </c>
      <c r="B747" t="s">
        <v>51</v>
      </c>
      <c r="C747" t="s">
        <v>2373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2557</v>
      </c>
      <c r="B748" t="s">
        <v>51</v>
      </c>
      <c r="C748" t="s">
        <v>2373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2558</v>
      </c>
      <c r="B749" t="s">
        <v>51</v>
      </c>
      <c r="C749" t="s">
        <v>2373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2559</v>
      </c>
      <c r="B750" t="s">
        <v>51</v>
      </c>
      <c r="C750" t="s">
        <v>2373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2560</v>
      </c>
      <c r="B751" t="s">
        <v>51</v>
      </c>
      <c r="C751" t="s">
        <v>2373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2561</v>
      </c>
      <c r="B752" t="s">
        <v>51</v>
      </c>
      <c r="C752" t="s">
        <v>2373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2562</v>
      </c>
      <c r="B753" t="s">
        <v>51</v>
      </c>
      <c r="C753" t="s">
        <v>2373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2563</v>
      </c>
      <c r="B754" t="s">
        <v>51</v>
      </c>
      <c r="C754" t="s">
        <v>2373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2564</v>
      </c>
      <c r="B755" t="s">
        <v>51</v>
      </c>
      <c r="C755" t="s">
        <v>2373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2565</v>
      </c>
      <c r="B756" t="s">
        <v>51</v>
      </c>
      <c r="C756" t="s">
        <v>2373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2566</v>
      </c>
      <c r="B757" t="s">
        <v>51</v>
      </c>
      <c r="C757" t="s">
        <v>2373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2567</v>
      </c>
      <c r="B758" t="s">
        <v>51</v>
      </c>
      <c r="C758" t="s">
        <v>2373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2568</v>
      </c>
      <c r="B759" t="s">
        <v>51</v>
      </c>
      <c r="C759" t="s">
        <v>2373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2569</v>
      </c>
      <c r="B760" t="s">
        <v>51</v>
      </c>
      <c r="C760" t="s">
        <v>2373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2570</v>
      </c>
      <c r="B761" t="s">
        <v>51</v>
      </c>
      <c r="C761" t="s">
        <v>2373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2571</v>
      </c>
      <c r="B762" t="s">
        <v>51</v>
      </c>
      <c r="C762" t="s">
        <v>2373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2572</v>
      </c>
      <c r="B763" t="s">
        <v>51</v>
      </c>
      <c r="C763" t="s">
        <v>2373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2573</v>
      </c>
      <c r="B764" t="s">
        <v>51</v>
      </c>
      <c r="C764" t="s">
        <v>2373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2574</v>
      </c>
      <c r="B765" t="s">
        <v>51</v>
      </c>
      <c r="C765" t="s">
        <v>2373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2575</v>
      </c>
      <c r="B766" t="s">
        <v>51</v>
      </c>
      <c r="C766" t="s">
        <v>2373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2576</v>
      </c>
      <c r="B767" t="s">
        <v>51</v>
      </c>
      <c r="C767" t="s">
        <v>2373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2577</v>
      </c>
      <c r="B768" t="s">
        <v>51</v>
      </c>
      <c r="C768" t="s">
        <v>2373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2578</v>
      </c>
      <c r="B769" t="s">
        <v>51</v>
      </c>
      <c r="C769" t="s">
        <v>2373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2579</v>
      </c>
      <c r="B770" t="s">
        <v>51</v>
      </c>
      <c r="C770" t="s">
        <v>2373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2580</v>
      </c>
      <c r="B771" t="s">
        <v>51</v>
      </c>
      <c r="C771" t="s">
        <v>2373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2581</v>
      </c>
      <c r="B772" t="s">
        <v>51</v>
      </c>
      <c r="C772" t="s">
        <v>2373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2582</v>
      </c>
      <c r="B773" t="s">
        <v>51</v>
      </c>
      <c r="C773" t="s">
        <v>2373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2583</v>
      </c>
      <c r="B774" t="s">
        <v>51</v>
      </c>
      <c r="C774" t="s">
        <v>2373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2584</v>
      </c>
      <c r="B775" t="s">
        <v>51</v>
      </c>
      <c r="C775" t="s">
        <v>2373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2585</v>
      </c>
      <c r="B776" t="s">
        <v>51</v>
      </c>
      <c r="C776" t="s">
        <v>2373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2586</v>
      </c>
      <c r="B777" t="s">
        <v>51</v>
      </c>
      <c r="C777" t="s">
        <v>2373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2587</v>
      </c>
      <c r="B778" t="s">
        <v>51</v>
      </c>
      <c r="C778" t="s">
        <v>2373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2588</v>
      </c>
      <c r="B779" t="s">
        <v>51</v>
      </c>
      <c r="C779" t="s">
        <v>2373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2589</v>
      </c>
      <c r="B780" t="s">
        <v>51</v>
      </c>
      <c r="C780" t="s">
        <v>2373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2590</v>
      </c>
      <c r="B781" t="s">
        <v>51</v>
      </c>
      <c r="C781" t="s">
        <v>2373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2591</v>
      </c>
      <c r="B782" t="s">
        <v>51</v>
      </c>
      <c r="C782" t="s">
        <v>2373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2592</v>
      </c>
      <c r="B783" t="s">
        <v>51</v>
      </c>
      <c r="C783" t="s">
        <v>2373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2593</v>
      </c>
      <c r="B784" t="s">
        <v>51</v>
      </c>
      <c r="C784" t="s">
        <v>2373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2594</v>
      </c>
      <c r="B785" t="s">
        <v>51</v>
      </c>
      <c r="C785" t="s">
        <v>2373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2595</v>
      </c>
      <c r="B786" t="s">
        <v>51</v>
      </c>
      <c r="C786" t="s">
        <v>2373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2596</v>
      </c>
      <c r="B787" t="s">
        <v>51</v>
      </c>
      <c r="C787" t="s">
        <v>2373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2597</v>
      </c>
      <c r="B788" t="s">
        <v>51</v>
      </c>
      <c r="C788" t="s">
        <v>2373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2598</v>
      </c>
      <c r="B789" t="s">
        <v>51</v>
      </c>
      <c r="C789" t="s">
        <v>2373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2599</v>
      </c>
      <c r="B790" t="s">
        <v>51</v>
      </c>
      <c r="C790" t="s">
        <v>2373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2600</v>
      </c>
      <c r="B791" t="s">
        <v>51</v>
      </c>
      <c r="C791" t="s">
        <v>2373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2601</v>
      </c>
      <c r="B792" t="s">
        <v>51</v>
      </c>
      <c r="C792" t="s">
        <v>2373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2602</v>
      </c>
      <c r="B793" t="s">
        <v>51</v>
      </c>
      <c r="C793" t="s">
        <v>2373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2603</v>
      </c>
      <c r="B794" t="s">
        <v>51</v>
      </c>
      <c r="C794" t="s">
        <v>2373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2604</v>
      </c>
      <c r="B795" t="s">
        <v>51</v>
      </c>
      <c r="C795" t="s">
        <v>2373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2605</v>
      </c>
      <c r="B796" t="s">
        <v>51</v>
      </c>
      <c r="C796" t="s">
        <v>2373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2606</v>
      </c>
      <c r="B797" t="s">
        <v>51</v>
      </c>
      <c r="C797" t="s">
        <v>2373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2607</v>
      </c>
      <c r="B798" t="s">
        <v>51</v>
      </c>
      <c r="C798" t="s">
        <v>2373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2608</v>
      </c>
      <c r="B799" t="s">
        <v>51</v>
      </c>
      <c r="C799" t="s">
        <v>2373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2609</v>
      </c>
      <c r="B800" t="s">
        <v>51</v>
      </c>
      <c r="C800" t="s">
        <v>2373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2610</v>
      </c>
      <c r="B801" t="s">
        <v>51</v>
      </c>
      <c r="C801" t="s">
        <v>2373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2611</v>
      </c>
      <c r="B802" t="s">
        <v>51</v>
      </c>
      <c r="C802" t="s">
        <v>2373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2612</v>
      </c>
      <c r="B803" t="s">
        <v>51</v>
      </c>
      <c r="C803" t="s">
        <v>2373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2613</v>
      </c>
      <c r="B804" t="s">
        <v>51</v>
      </c>
      <c r="C804" t="s">
        <v>2373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2614</v>
      </c>
      <c r="B805" t="s">
        <v>51</v>
      </c>
      <c r="C805" t="s">
        <v>2373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2615</v>
      </c>
      <c r="B806" t="s">
        <v>51</v>
      </c>
      <c r="C806" t="s">
        <v>2373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2616</v>
      </c>
      <c r="B807" t="s">
        <v>51</v>
      </c>
      <c r="C807" t="s">
        <v>2373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2617</v>
      </c>
      <c r="B808" t="s">
        <v>51</v>
      </c>
      <c r="C808" t="s">
        <v>2373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2618</v>
      </c>
      <c r="B809" t="s">
        <v>51</v>
      </c>
      <c r="C809" t="s">
        <v>2373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2619</v>
      </c>
      <c r="B810" t="s">
        <v>51</v>
      </c>
      <c r="C810" t="s">
        <v>2373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2620</v>
      </c>
      <c r="B811" t="s">
        <v>51</v>
      </c>
      <c r="C811" t="s">
        <v>2373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2621</v>
      </c>
      <c r="B812" t="s">
        <v>51</v>
      </c>
      <c r="C812" t="s">
        <v>2373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2622</v>
      </c>
      <c r="B813" t="s">
        <v>51</v>
      </c>
      <c r="C813" t="s">
        <v>2373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2623</v>
      </c>
      <c r="B814" t="s">
        <v>51</v>
      </c>
      <c r="C814" t="s">
        <v>2373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2624</v>
      </c>
      <c r="B815" t="s">
        <v>51</v>
      </c>
      <c r="C815" t="s">
        <v>2373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2625</v>
      </c>
      <c r="B816" t="s">
        <v>51</v>
      </c>
      <c r="C816" t="s">
        <v>2373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2626</v>
      </c>
      <c r="B817" t="s">
        <v>51</v>
      </c>
      <c r="C817" t="s">
        <v>2373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2627</v>
      </c>
      <c r="B818" t="s">
        <v>51</v>
      </c>
      <c r="C818" t="s">
        <v>2373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2628</v>
      </c>
      <c r="B819" t="s">
        <v>51</v>
      </c>
      <c r="C819" t="s">
        <v>2373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2629</v>
      </c>
      <c r="B820" t="s">
        <v>51</v>
      </c>
      <c r="C820" t="s">
        <v>2373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2630</v>
      </c>
      <c r="B821" t="s">
        <v>51</v>
      </c>
      <c r="C821" t="s">
        <v>2373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2631</v>
      </c>
      <c r="B822" t="s">
        <v>51</v>
      </c>
      <c r="C822" t="s">
        <v>2373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2632</v>
      </c>
      <c r="B823" t="s">
        <v>51</v>
      </c>
      <c r="C823" t="s">
        <v>2373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2633</v>
      </c>
      <c r="B824" t="s">
        <v>51</v>
      </c>
      <c r="C824" t="s">
        <v>2373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2634</v>
      </c>
      <c r="B825" t="s">
        <v>51</v>
      </c>
      <c r="C825" t="s">
        <v>2373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2635</v>
      </c>
      <c r="B826" t="s">
        <v>51</v>
      </c>
      <c r="C826" t="s">
        <v>2373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2636</v>
      </c>
      <c r="B827" t="s">
        <v>51</v>
      </c>
      <c r="C827" t="s">
        <v>2373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2637</v>
      </c>
      <c r="B828" t="s">
        <v>51</v>
      </c>
      <c r="C828" t="s">
        <v>2373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2638</v>
      </c>
      <c r="B829" t="s">
        <v>51</v>
      </c>
      <c r="C829" t="s">
        <v>2373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2639</v>
      </c>
      <c r="B830" t="s">
        <v>51</v>
      </c>
      <c r="C830" t="s">
        <v>2373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2640</v>
      </c>
      <c r="B831" t="s">
        <v>51</v>
      </c>
      <c r="C831" t="s">
        <v>2373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2641</v>
      </c>
      <c r="B832" t="s">
        <v>51</v>
      </c>
      <c r="C832" t="s">
        <v>2373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2642</v>
      </c>
      <c r="B833" t="s">
        <v>51</v>
      </c>
      <c r="C833" t="s">
        <v>2373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2643</v>
      </c>
      <c r="B834" t="s">
        <v>51</v>
      </c>
      <c r="C834" t="s">
        <v>2373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2644</v>
      </c>
      <c r="B835" t="s">
        <v>51</v>
      </c>
      <c r="C835" t="s">
        <v>2373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2645</v>
      </c>
      <c r="B836" t="s">
        <v>51</v>
      </c>
      <c r="C836" t="s">
        <v>2373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2646</v>
      </c>
      <c r="B837" t="s">
        <v>51</v>
      </c>
      <c r="C837" t="s">
        <v>2373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2647</v>
      </c>
      <c r="B838" t="s">
        <v>51</v>
      </c>
      <c r="C838" t="s">
        <v>2373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2648</v>
      </c>
      <c r="B839" t="s">
        <v>51</v>
      </c>
      <c r="C839" t="s">
        <v>2373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2649</v>
      </c>
      <c r="B840" t="s">
        <v>51</v>
      </c>
      <c r="C840" t="s">
        <v>2373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2650</v>
      </c>
      <c r="B841" t="s">
        <v>51</v>
      </c>
      <c r="C841" t="s">
        <v>2373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2651</v>
      </c>
      <c r="B842" t="s">
        <v>51</v>
      </c>
      <c r="C842" t="s">
        <v>2373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2652</v>
      </c>
      <c r="B843" t="s">
        <v>51</v>
      </c>
      <c r="C843" t="s">
        <v>2373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2653</v>
      </c>
      <c r="B844" t="s">
        <v>51</v>
      </c>
      <c r="C844" t="s">
        <v>2373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2654</v>
      </c>
      <c r="B845" t="s">
        <v>51</v>
      </c>
      <c r="C845" t="s">
        <v>2373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2655</v>
      </c>
      <c r="B846" t="s">
        <v>51</v>
      </c>
      <c r="C846" t="s">
        <v>2373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2656</v>
      </c>
      <c r="B847" t="s">
        <v>51</v>
      </c>
      <c r="C847" t="s">
        <v>2373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2657</v>
      </c>
      <c r="B848" t="s">
        <v>51</v>
      </c>
      <c r="C848" t="s">
        <v>2373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2658</v>
      </c>
      <c r="B849" t="s">
        <v>51</v>
      </c>
      <c r="C849" t="s">
        <v>2373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2659</v>
      </c>
      <c r="B850" t="s">
        <v>51</v>
      </c>
      <c r="C850" t="s">
        <v>2373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2660</v>
      </c>
      <c r="B851" t="s">
        <v>51</v>
      </c>
      <c r="C851" t="s">
        <v>2373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2661</v>
      </c>
      <c r="B852" t="s">
        <v>51</v>
      </c>
      <c r="C852" t="s">
        <v>2373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2662</v>
      </c>
      <c r="B853" t="s">
        <v>51</v>
      </c>
      <c r="C853" t="s">
        <v>2373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2663</v>
      </c>
      <c r="B854" t="s">
        <v>51</v>
      </c>
      <c r="C854" t="s">
        <v>2373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2664</v>
      </c>
      <c r="B855" t="s">
        <v>51</v>
      </c>
      <c r="C855" t="s">
        <v>2373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2665</v>
      </c>
      <c r="B856" t="s">
        <v>51</v>
      </c>
      <c r="C856" t="s">
        <v>2373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2666</v>
      </c>
      <c r="B857" t="s">
        <v>51</v>
      </c>
      <c r="C857" t="s">
        <v>2373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2667</v>
      </c>
      <c r="B858" t="s">
        <v>51</v>
      </c>
      <c r="C858" t="s">
        <v>2373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2668</v>
      </c>
      <c r="B859" t="s">
        <v>51</v>
      </c>
      <c r="C859" t="s">
        <v>2373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2669</v>
      </c>
      <c r="B860" t="s">
        <v>51</v>
      </c>
      <c r="C860" t="s">
        <v>2373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2670</v>
      </c>
      <c r="B861" t="s">
        <v>51</v>
      </c>
      <c r="C861" t="s">
        <v>2373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2671</v>
      </c>
      <c r="B862" t="s">
        <v>51</v>
      </c>
      <c r="C862" t="s">
        <v>2373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2672</v>
      </c>
      <c r="B863" t="s">
        <v>51</v>
      </c>
      <c r="C863" t="s">
        <v>2373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2673</v>
      </c>
      <c r="B864" t="s">
        <v>51</v>
      </c>
      <c r="C864" t="s">
        <v>2373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2674</v>
      </c>
      <c r="B865" t="s">
        <v>51</v>
      </c>
      <c r="C865" t="s">
        <v>2373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2675</v>
      </c>
      <c r="B866" t="s">
        <v>51</v>
      </c>
      <c r="C866" t="s">
        <v>2373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2676</v>
      </c>
      <c r="B867" t="s">
        <v>51</v>
      </c>
      <c r="C867" t="s">
        <v>2373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2677</v>
      </c>
      <c r="B868" t="s">
        <v>51</v>
      </c>
      <c r="C868" t="s">
        <v>2373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2678</v>
      </c>
      <c r="B869" t="s">
        <v>51</v>
      </c>
      <c r="C869" t="s">
        <v>2373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2679</v>
      </c>
      <c r="B870" t="s">
        <v>51</v>
      </c>
      <c r="C870" t="s">
        <v>2373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2680</v>
      </c>
      <c r="B871" t="s">
        <v>51</v>
      </c>
      <c r="C871" t="s">
        <v>2373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2681</v>
      </c>
      <c r="B872" t="s">
        <v>51</v>
      </c>
      <c r="C872" t="s">
        <v>2373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2682</v>
      </c>
      <c r="B873" t="s">
        <v>51</v>
      </c>
      <c r="C873" t="s">
        <v>2373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2683</v>
      </c>
      <c r="B874" t="s">
        <v>51</v>
      </c>
      <c r="C874" t="s">
        <v>2373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2684</v>
      </c>
      <c r="B875" t="s">
        <v>51</v>
      </c>
      <c r="C875" t="s">
        <v>2373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2685</v>
      </c>
      <c r="B876" t="s">
        <v>51</v>
      </c>
      <c r="C876" t="s">
        <v>2373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2686</v>
      </c>
      <c r="B877" t="s">
        <v>51</v>
      </c>
      <c r="C877" t="s">
        <v>2373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2687</v>
      </c>
      <c r="B878" t="s">
        <v>51</v>
      </c>
      <c r="C878" t="s">
        <v>2373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2688</v>
      </c>
      <c r="B879" t="s">
        <v>51</v>
      </c>
      <c r="C879" t="s">
        <v>2373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2689</v>
      </c>
      <c r="B880" t="s">
        <v>51</v>
      </c>
      <c r="C880" t="s">
        <v>2373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2690</v>
      </c>
      <c r="B881" t="s">
        <v>51</v>
      </c>
      <c r="C881" t="s">
        <v>2373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2691</v>
      </c>
      <c r="B882" t="s">
        <v>51</v>
      </c>
      <c r="C882" t="s">
        <v>2373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2692</v>
      </c>
      <c r="B883" t="s">
        <v>51</v>
      </c>
      <c r="C883" t="s">
        <v>2373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2693</v>
      </c>
      <c r="B884" t="s">
        <v>51</v>
      </c>
      <c r="C884" t="s">
        <v>2373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2694</v>
      </c>
      <c r="B885" t="s">
        <v>51</v>
      </c>
      <c r="C885" t="s">
        <v>2373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2695</v>
      </c>
      <c r="B886" t="s">
        <v>51</v>
      </c>
      <c r="C886" t="s">
        <v>2373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2696</v>
      </c>
      <c r="B887" t="s">
        <v>51</v>
      </c>
      <c r="C887" t="s">
        <v>2373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2697</v>
      </c>
      <c r="B888" t="s">
        <v>51</v>
      </c>
      <c r="C888" t="s">
        <v>2373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383</v>
      </c>
      <c r="B889" t="s">
        <v>51</v>
      </c>
      <c r="C889" t="s">
        <v>85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1673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385</v>
      </c>
      <c r="B890" t="s">
        <v>51</v>
      </c>
      <c r="C890" t="s">
        <v>85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1673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386</v>
      </c>
      <c r="B891" t="s">
        <v>51</v>
      </c>
      <c r="C891" t="s">
        <v>85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1673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384</v>
      </c>
      <c r="B892" t="s">
        <v>51</v>
      </c>
      <c r="C892" t="s">
        <v>85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1673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2133</v>
      </c>
      <c r="B893" t="s">
        <v>51</v>
      </c>
      <c r="C893" t="s">
        <v>85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1673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2134</v>
      </c>
      <c r="B894" t="s">
        <v>51</v>
      </c>
      <c r="C894" t="s">
        <v>85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1673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379</v>
      </c>
      <c r="B895" t="s">
        <v>51</v>
      </c>
      <c r="C895" t="s">
        <v>84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1673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2135</v>
      </c>
      <c r="B896" t="s">
        <v>51</v>
      </c>
      <c r="C896" t="s">
        <v>84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1673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382</v>
      </c>
      <c r="B897" t="s">
        <v>51</v>
      </c>
      <c r="C897" t="s">
        <v>84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1673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380</v>
      </c>
      <c r="B898" t="s">
        <v>51</v>
      </c>
      <c r="C898" t="s">
        <v>84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1673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381</v>
      </c>
      <c r="B899" t="s">
        <v>51</v>
      </c>
      <c r="C899" t="s">
        <v>84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1673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2136</v>
      </c>
      <c r="B900" t="s">
        <v>51</v>
      </c>
      <c r="C900" t="s">
        <v>84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1673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373</v>
      </c>
      <c r="B901" t="s">
        <v>51</v>
      </c>
      <c r="C901" t="s">
        <v>83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1673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375</v>
      </c>
      <c r="B902" t="s">
        <v>51</v>
      </c>
      <c r="C902" t="s">
        <v>83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1673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2137</v>
      </c>
      <c r="B903" t="s">
        <v>51</v>
      </c>
      <c r="C903" t="s">
        <v>83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1673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377</v>
      </c>
      <c r="B904" t="s">
        <v>51</v>
      </c>
      <c r="C904" t="s">
        <v>83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1673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374</v>
      </c>
      <c r="B905" t="s">
        <v>51</v>
      </c>
      <c r="C905" t="s">
        <v>83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1673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376</v>
      </c>
      <c r="B906" t="s">
        <v>51</v>
      </c>
      <c r="C906" t="s">
        <v>83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1673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2138</v>
      </c>
      <c r="B907" t="s">
        <v>51</v>
      </c>
      <c r="C907" t="s">
        <v>83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1673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378</v>
      </c>
      <c r="B908" t="s">
        <v>51</v>
      </c>
      <c r="C908" t="s">
        <v>83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1673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2139</v>
      </c>
      <c r="B909" t="s">
        <v>51</v>
      </c>
      <c r="C909" t="s">
        <v>86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1673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365</v>
      </c>
      <c r="B910" t="s">
        <v>51</v>
      </c>
      <c r="C910" t="s">
        <v>86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1673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367</v>
      </c>
      <c r="B911" t="s">
        <v>51</v>
      </c>
      <c r="C911" t="s">
        <v>86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1673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369</v>
      </c>
      <c r="B912" t="s">
        <v>51</v>
      </c>
      <c r="C912" t="s">
        <v>86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1673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371</v>
      </c>
      <c r="B913" t="s">
        <v>51</v>
      </c>
      <c r="C913" t="s">
        <v>86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1673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364</v>
      </c>
      <c r="B914" t="s">
        <v>51</v>
      </c>
      <c r="C914" t="s">
        <v>86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1673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366</v>
      </c>
      <c r="B915" t="s">
        <v>51</v>
      </c>
      <c r="C915" t="s">
        <v>86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1673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368</v>
      </c>
      <c r="B916" t="s">
        <v>51</v>
      </c>
      <c r="C916" t="s">
        <v>86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1673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370</v>
      </c>
      <c r="B917" t="s">
        <v>51</v>
      </c>
      <c r="C917" t="s">
        <v>86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1673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372</v>
      </c>
      <c r="B918" t="s">
        <v>51</v>
      </c>
      <c r="C918" t="s">
        <v>86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1673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350</v>
      </c>
      <c r="B919" t="s">
        <v>51</v>
      </c>
      <c r="C919" t="s">
        <v>90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1673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353</v>
      </c>
      <c r="B920" t="s">
        <v>51</v>
      </c>
      <c r="C920" t="s">
        <v>90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1673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356</v>
      </c>
      <c r="B921" t="s">
        <v>51</v>
      </c>
      <c r="C921" t="s">
        <v>90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1673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358</v>
      </c>
      <c r="B922" t="s">
        <v>51</v>
      </c>
      <c r="C922" t="s">
        <v>90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1673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361</v>
      </c>
      <c r="B923" t="s">
        <v>51</v>
      </c>
      <c r="C923" t="s">
        <v>90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1673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351</v>
      </c>
      <c r="B924" t="s">
        <v>51</v>
      </c>
      <c r="C924" t="s">
        <v>90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1673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354</v>
      </c>
      <c r="B925" t="s">
        <v>51</v>
      </c>
      <c r="C925" t="s">
        <v>90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1673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357</v>
      </c>
      <c r="B926" t="s">
        <v>51</v>
      </c>
      <c r="C926" t="s">
        <v>90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1673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359</v>
      </c>
      <c r="B927" t="s">
        <v>51</v>
      </c>
      <c r="C927" t="s">
        <v>90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1673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362</v>
      </c>
      <c r="B928" t="s">
        <v>51</v>
      </c>
      <c r="C928" t="s">
        <v>90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1673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352</v>
      </c>
      <c r="B929" t="s">
        <v>51</v>
      </c>
      <c r="C929" t="s">
        <v>90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1673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355</v>
      </c>
      <c r="B930" t="s">
        <v>51</v>
      </c>
      <c r="C930" t="s">
        <v>90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1673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2145</v>
      </c>
      <c r="B931" t="s">
        <v>51</v>
      </c>
      <c r="C931" t="s">
        <v>90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1673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360</v>
      </c>
      <c r="B932" t="s">
        <v>51</v>
      </c>
      <c r="C932" t="s">
        <v>90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1673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363</v>
      </c>
      <c r="B933" t="s">
        <v>51</v>
      </c>
      <c r="C933" t="s">
        <v>90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1673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336</v>
      </c>
      <c r="B934" t="s">
        <v>51</v>
      </c>
      <c r="C934" t="s">
        <v>91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1673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339</v>
      </c>
      <c r="B935" t="s">
        <v>51</v>
      </c>
      <c r="C935" t="s">
        <v>91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1673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2146</v>
      </c>
      <c r="B936" t="s">
        <v>51</v>
      </c>
      <c r="C936" t="s">
        <v>91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1673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344</v>
      </c>
      <c r="B937" t="s">
        <v>51</v>
      </c>
      <c r="C937" t="s">
        <v>91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1673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347</v>
      </c>
      <c r="B938" t="s">
        <v>51</v>
      </c>
      <c r="C938" t="s">
        <v>91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1673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337</v>
      </c>
      <c r="B939" t="s">
        <v>51</v>
      </c>
      <c r="C939" t="s">
        <v>91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1673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340</v>
      </c>
      <c r="B940" t="s">
        <v>51</v>
      </c>
      <c r="C940" t="s">
        <v>91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1673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342</v>
      </c>
      <c r="B941" t="s">
        <v>51</v>
      </c>
      <c r="C941" t="s">
        <v>91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1673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345</v>
      </c>
      <c r="B942" t="s">
        <v>51</v>
      </c>
      <c r="C942" t="s">
        <v>91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1673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348</v>
      </c>
      <c r="B943" t="s">
        <v>51</v>
      </c>
      <c r="C943" t="s">
        <v>91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1673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338</v>
      </c>
      <c r="B944" t="s">
        <v>51</v>
      </c>
      <c r="C944" t="s">
        <v>91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1673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341</v>
      </c>
      <c r="B945" t="s">
        <v>51</v>
      </c>
      <c r="C945" t="s">
        <v>91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1673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343</v>
      </c>
      <c r="B946" t="s">
        <v>51</v>
      </c>
      <c r="C946" t="s">
        <v>91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1673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346</v>
      </c>
      <c r="B947" t="s">
        <v>51</v>
      </c>
      <c r="C947" t="s">
        <v>91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1673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349</v>
      </c>
      <c r="B948" t="s">
        <v>51</v>
      </c>
      <c r="C948" t="s">
        <v>91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1673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2140</v>
      </c>
      <c r="B949" t="s">
        <v>51</v>
      </c>
      <c r="C949" t="s">
        <v>87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1673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331</v>
      </c>
      <c r="B950" t="s">
        <v>51</v>
      </c>
      <c r="C950" t="s">
        <v>87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1673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333</v>
      </c>
      <c r="B951" t="s">
        <v>51</v>
      </c>
      <c r="C951" t="s">
        <v>87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1673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335</v>
      </c>
      <c r="B952" t="s">
        <v>51</v>
      </c>
      <c r="C952" t="s">
        <v>87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1673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330</v>
      </c>
      <c r="B953" t="s">
        <v>51</v>
      </c>
      <c r="C953" t="s">
        <v>87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1673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332</v>
      </c>
      <c r="B954" t="s">
        <v>51</v>
      </c>
      <c r="C954" t="s">
        <v>87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1673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334</v>
      </c>
      <c r="B955" t="s">
        <v>51</v>
      </c>
      <c r="C955" t="s">
        <v>87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1673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2141</v>
      </c>
      <c r="B956" t="s">
        <v>51</v>
      </c>
      <c r="C956" t="s">
        <v>87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1673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322</v>
      </c>
      <c r="B957" t="s">
        <v>51</v>
      </c>
      <c r="C957" t="s">
        <v>88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1673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324</v>
      </c>
      <c r="B958" t="s">
        <v>51</v>
      </c>
      <c r="C958" t="s">
        <v>88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1673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326</v>
      </c>
      <c r="B959" t="s">
        <v>51</v>
      </c>
      <c r="C959" t="s">
        <v>88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1673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328</v>
      </c>
      <c r="B960" t="s">
        <v>51</v>
      </c>
      <c r="C960" t="s">
        <v>88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1673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323</v>
      </c>
      <c r="B961" t="s">
        <v>51</v>
      </c>
      <c r="C961" t="s">
        <v>88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1673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325</v>
      </c>
      <c r="B962" t="s">
        <v>51</v>
      </c>
      <c r="C962" t="s">
        <v>88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1673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327</v>
      </c>
      <c r="B963" t="s">
        <v>51</v>
      </c>
      <c r="C963" t="s">
        <v>88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1673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329</v>
      </c>
      <c r="B964" t="s">
        <v>51</v>
      </c>
      <c r="C964" t="s">
        <v>88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1673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319</v>
      </c>
      <c r="B965" t="s">
        <v>51</v>
      </c>
      <c r="C965" t="s">
        <v>89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1673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2142</v>
      </c>
      <c r="B966" t="s">
        <v>51</v>
      </c>
      <c r="C966" t="s">
        <v>89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1673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321</v>
      </c>
      <c r="B967" t="s">
        <v>51</v>
      </c>
      <c r="C967" t="s">
        <v>89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1673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2143</v>
      </c>
      <c r="B968" t="s">
        <v>51</v>
      </c>
      <c r="C968" t="s">
        <v>89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1673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320</v>
      </c>
      <c r="B969" t="s">
        <v>51</v>
      </c>
      <c r="C969" t="s">
        <v>89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1673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2144</v>
      </c>
      <c r="B970" t="s">
        <v>51</v>
      </c>
      <c r="C970" t="s">
        <v>89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1673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270</v>
      </c>
      <c r="B971" t="s">
        <v>51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64</v>
      </c>
      <c r="I971">
        <v>0</v>
      </c>
      <c r="J971">
        <v>0</v>
      </c>
      <c r="K971" t="s">
        <v>1673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281</v>
      </c>
      <c r="B972" t="s">
        <v>51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64</v>
      </c>
      <c r="I972">
        <v>0</v>
      </c>
      <c r="J972">
        <v>0</v>
      </c>
      <c r="K972" t="s">
        <v>1673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286</v>
      </c>
      <c r="B973" t="s">
        <v>51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64</v>
      </c>
      <c r="I973">
        <v>0</v>
      </c>
      <c r="J973">
        <v>0</v>
      </c>
      <c r="K973" t="s">
        <v>1673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2002</v>
      </c>
      <c r="B974" t="s">
        <v>51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64</v>
      </c>
      <c r="I974">
        <v>0</v>
      </c>
      <c r="J974">
        <v>0</v>
      </c>
      <c r="K974" t="s">
        <v>1673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282</v>
      </c>
      <c r="B975" t="s">
        <v>51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64</v>
      </c>
      <c r="I975">
        <v>0</v>
      </c>
      <c r="J975">
        <v>0</v>
      </c>
      <c r="K975" t="s">
        <v>1673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287</v>
      </c>
      <c r="B976" t="s">
        <v>51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64</v>
      </c>
      <c r="I976">
        <v>0</v>
      </c>
      <c r="J976">
        <v>0</v>
      </c>
      <c r="K976" t="s">
        <v>1673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291</v>
      </c>
      <c r="B977" t="s">
        <v>51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64</v>
      </c>
      <c r="I977">
        <v>0</v>
      </c>
      <c r="J977">
        <v>0</v>
      </c>
      <c r="K977" t="s">
        <v>1673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271</v>
      </c>
      <c r="B978" t="s">
        <v>51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64</v>
      </c>
      <c r="I978">
        <v>0</v>
      </c>
      <c r="J978">
        <v>0</v>
      </c>
      <c r="K978" t="s">
        <v>1673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283</v>
      </c>
      <c r="B979" t="s">
        <v>51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64</v>
      </c>
      <c r="I979">
        <v>0</v>
      </c>
      <c r="J979">
        <v>0</v>
      </c>
      <c r="K979" t="s">
        <v>1673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288</v>
      </c>
      <c r="B980" t="s">
        <v>51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64</v>
      </c>
      <c r="I980">
        <v>0</v>
      </c>
      <c r="J980">
        <v>0</v>
      </c>
      <c r="K980" t="s">
        <v>1673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292</v>
      </c>
      <c r="B981" t="s">
        <v>51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64</v>
      </c>
      <c r="I981">
        <v>0</v>
      </c>
      <c r="J981">
        <v>0</v>
      </c>
      <c r="K981" t="s">
        <v>1673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295</v>
      </c>
      <c r="B982" t="s">
        <v>51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64</v>
      </c>
      <c r="I982">
        <v>0</v>
      </c>
      <c r="J982">
        <v>0</v>
      </c>
      <c r="K982" t="s">
        <v>1673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272</v>
      </c>
      <c r="B983" t="s">
        <v>51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64</v>
      </c>
      <c r="I983">
        <v>0</v>
      </c>
      <c r="J983">
        <v>0</v>
      </c>
      <c r="K983" t="s">
        <v>1673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284</v>
      </c>
      <c r="B984" t="s">
        <v>51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64</v>
      </c>
      <c r="I984">
        <v>0</v>
      </c>
      <c r="J984">
        <v>0</v>
      </c>
      <c r="K984" t="s">
        <v>1673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2004</v>
      </c>
      <c r="B985" t="s">
        <v>51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64</v>
      </c>
      <c r="I985">
        <v>0</v>
      </c>
      <c r="J985">
        <v>0</v>
      </c>
      <c r="K985" t="s">
        <v>1673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2005</v>
      </c>
      <c r="B986" t="s">
        <v>51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64</v>
      </c>
      <c r="I986">
        <v>0</v>
      </c>
      <c r="J986">
        <v>0</v>
      </c>
      <c r="K986" t="s">
        <v>1673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296</v>
      </c>
      <c r="B987" t="s">
        <v>51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64</v>
      </c>
      <c r="I987">
        <v>0</v>
      </c>
      <c r="J987">
        <v>0</v>
      </c>
      <c r="K987" t="s">
        <v>1673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300</v>
      </c>
      <c r="B988" t="s">
        <v>51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1673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273</v>
      </c>
      <c r="B989" t="s">
        <v>51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64</v>
      </c>
      <c r="I989">
        <v>0</v>
      </c>
      <c r="J989">
        <v>0</v>
      </c>
      <c r="K989" t="s">
        <v>1673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285</v>
      </c>
      <c r="B990" t="s">
        <v>51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64</v>
      </c>
      <c r="I990">
        <v>0</v>
      </c>
      <c r="J990">
        <v>0</v>
      </c>
      <c r="K990" t="s">
        <v>1673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289</v>
      </c>
      <c r="B991" t="s">
        <v>51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64</v>
      </c>
      <c r="I991">
        <v>0</v>
      </c>
      <c r="J991">
        <v>0</v>
      </c>
      <c r="K991" t="s">
        <v>1673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293</v>
      </c>
      <c r="B992" t="s">
        <v>51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64</v>
      </c>
      <c r="I992">
        <v>0</v>
      </c>
      <c r="J992">
        <v>0</v>
      </c>
      <c r="K992" t="s">
        <v>1673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297</v>
      </c>
      <c r="B993" t="s">
        <v>51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64</v>
      </c>
      <c r="I993">
        <v>0</v>
      </c>
      <c r="J993">
        <v>0</v>
      </c>
      <c r="K993" t="s">
        <v>1673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2008</v>
      </c>
      <c r="B994" t="s">
        <v>51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1673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305</v>
      </c>
      <c r="B995" t="s">
        <v>51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1673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274</v>
      </c>
      <c r="B996" t="s">
        <v>51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64</v>
      </c>
      <c r="I996">
        <v>0</v>
      </c>
      <c r="J996">
        <v>0</v>
      </c>
      <c r="K996" t="s">
        <v>1673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2003</v>
      </c>
      <c r="B997" t="s">
        <v>51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64</v>
      </c>
      <c r="I997">
        <v>0</v>
      </c>
      <c r="J997">
        <v>0</v>
      </c>
      <c r="K997" t="s">
        <v>1673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290</v>
      </c>
      <c r="B998" t="s">
        <v>51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64</v>
      </c>
      <c r="I998">
        <v>0</v>
      </c>
      <c r="J998">
        <v>0</v>
      </c>
      <c r="K998" t="s">
        <v>1673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2006</v>
      </c>
      <c r="B999" t="s">
        <v>51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64</v>
      </c>
      <c r="I999">
        <v>0</v>
      </c>
      <c r="J999">
        <v>0</v>
      </c>
      <c r="K999" t="s">
        <v>1673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298</v>
      </c>
      <c r="B1000" t="s">
        <v>51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64</v>
      </c>
      <c r="I1000">
        <v>0</v>
      </c>
      <c r="J1000">
        <v>0</v>
      </c>
      <c r="K1000" t="s">
        <v>1673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301</v>
      </c>
      <c r="B1001" t="s">
        <v>51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1673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306</v>
      </c>
      <c r="B1002" t="s">
        <v>51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1673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311</v>
      </c>
      <c r="B1003" t="s">
        <v>51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1673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275</v>
      </c>
      <c r="B1004" t="s">
        <v>51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64</v>
      </c>
      <c r="I1004">
        <v>0</v>
      </c>
      <c r="J1004">
        <v>0</v>
      </c>
      <c r="K1004" t="s">
        <v>1673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294</v>
      </c>
      <c r="B1005" t="s">
        <v>51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64</v>
      </c>
      <c r="I1005">
        <v>0</v>
      </c>
      <c r="J1005">
        <v>0</v>
      </c>
      <c r="K1005" t="s">
        <v>1673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299</v>
      </c>
      <c r="B1006" t="s">
        <v>51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64</v>
      </c>
      <c r="I1006">
        <v>0</v>
      </c>
      <c r="J1006">
        <v>0</v>
      </c>
      <c r="K1006" t="s">
        <v>1673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302</v>
      </c>
      <c r="B1007" t="s">
        <v>51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1673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307</v>
      </c>
      <c r="B1008" t="s">
        <v>51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1673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2009</v>
      </c>
      <c r="B1009" t="s">
        <v>51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1673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314</v>
      </c>
      <c r="B1010" t="s">
        <v>51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1673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276</v>
      </c>
      <c r="B1011" t="s">
        <v>51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64</v>
      </c>
      <c r="I1011">
        <v>0</v>
      </c>
      <c r="J1011">
        <v>0</v>
      </c>
      <c r="K1011" t="s">
        <v>1673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2007</v>
      </c>
      <c r="B1012" t="s">
        <v>51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64</v>
      </c>
      <c r="I1012">
        <v>0</v>
      </c>
      <c r="J1012">
        <v>0</v>
      </c>
      <c r="K1012" t="s">
        <v>1673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303</v>
      </c>
      <c r="B1013" t="s">
        <v>51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1673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308</v>
      </c>
      <c r="B1014" t="s">
        <v>51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1673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312</v>
      </c>
      <c r="B1015" t="s">
        <v>51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1673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2012</v>
      </c>
      <c r="B1016" t="s">
        <v>51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1673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277</v>
      </c>
      <c r="B1017" t="s">
        <v>51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64</v>
      </c>
      <c r="I1017">
        <v>0</v>
      </c>
      <c r="J1017">
        <v>0</v>
      </c>
      <c r="K1017" t="s">
        <v>1673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304</v>
      </c>
      <c r="B1018" t="s">
        <v>51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1673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309</v>
      </c>
      <c r="B1019" t="s">
        <v>51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1673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2010</v>
      </c>
      <c r="B1020" t="s">
        <v>51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1673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315</v>
      </c>
      <c r="B1021" t="s">
        <v>51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1673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278</v>
      </c>
      <c r="B1022" t="s">
        <v>51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64</v>
      </c>
      <c r="I1022">
        <v>0</v>
      </c>
      <c r="J1022">
        <v>0</v>
      </c>
      <c r="K1022" t="s">
        <v>1673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310</v>
      </c>
      <c r="B1023" t="s">
        <v>51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1673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313</v>
      </c>
      <c r="B1024" t="s">
        <v>51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1673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316</v>
      </c>
      <c r="B1025" t="s">
        <v>51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1673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279</v>
      </c>
      <c r="B1026" t="s">
        <v>51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64</v>
      </c>
      <c r="I1026">
        <v>0</v>
      </c>
      <c r="J1026">
        <v>0</v>
      </c>
      <c r="K1026" t="s">
        <v>1673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2011</v>
      </c>
      <c r="B1027" t="s">
        <v>51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1673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317</v>
      </c>
      <c r="B1028" t="s">
        <v>51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1673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280</v>
      </c>
      <c r="B1029" t="s">
        <v>51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64</v>
      </c>
      <c r="I1029">
        <v>0</v>
      </c>
      <c r="J1029">
        <v>0</v>
      </c>
      <c r="K1029" t="s">
        <v>1673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318</v>
      </c>
      <c r="B1030" t="s">
        <v>51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1673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2698</v>
      </c>
      <c r="B1031" t="s">
        <v>51</v>
      </c>
      <c r="C1031" t="s">
        <v>2699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64</v>
      </c>
      <c r="I1031">
        <v>0</v>
      </c>
      <c r="J1031">
        <v>0</v>
      </c>
      <c r="K1031" t="s">
        <v>1673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2700</v>
      </c>
      <c r="B1032" t="s">
        <v>51</v>
      </c>
      <c r="C1032" t="s">
        <v>2699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64</v>
      </c>
      <c r="I1032">
        <v>0</v>
      </c>
      <c r="J1032">
        <v>0</v>
      </c>
      <c r="K1032" t="s">
        <v>1673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2701</v>
      </c>
      <c r="B1033" t="s">
        <v>51</v>
      </c>
      <c r="C1033" t="s">
        <v>2699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64</v>
      </c>
      <c r="I1033">
        <v>0</v>
      </c>
      <c r="J1033">
        <v>0</v>
      </c>
      <c r="K1033" t="s">
        <v>1673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2702</v>
      </c>
      <c r="B1034" t="s">
        <v>51</v>
      </c>
      <c r="C1034" t="s">
        <v>2699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64</v>
      </c>
      <c r="I1034">
        <v>0</v>
      </c>
      <c r="J1034">
        <v>0</v>
      </c>
      <c r="K1034" t="s">
        <v>1673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2703</v>
      </c>
      <c r="B1035" t="s">
        <v>51</v>
      </c>
      <c r="C1035" t="s">
        <v>2699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64</v>
      </c>
      <c r="I1035">
        <v>0</v>
      </c>
      <c r="J1035">
        <v>0</v>
      </c>
      <c r="K1035" t="s">
        <v>1673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2704</v>
      </c>
      <c r="B1036" t="s">
        <v>51</v>
      </c>
      <c r="C1036" t="s">
        <v>2699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64</v>
      </c>
      <c r="I1036">
        <v>0</v>
      </c>
      <c r="J1036">
        <v>0</v>
      </c>
      <c r="K1036" t="s">
        <v>1673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2705</v>
      </c>
      <c r="B1037" t="s">
        <v>51</v>
      </c>
      <c r="C1037" t="s">
        <v>2699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64</v>
      </c>
      <c r="I1037">
        <v>0</v>
      </c>
      <c r="J1037">
        <v>0</v>
      </c>
      <c r="K1037" t="s">
        <v>1673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2706</v>
      </c>
      <c r="B1038" t="s">
        <v>51</v>
      </c>
      <c r="C1038" t="s">
        <v>2699</v>
      </c>
      <c r="D1038">
        <v>0</v>
      </c>
      <c r="E1038">
        <v>9.9999999999999995E-8</v>
      </c>
      <c r="F1038">
        <v>1E-10</v>
      </c>
      <c r="G1038" t="s">
        <v>13</v>
      </c>
      <c r="H1038" t="s">
        <v>64</v>
      </c>
      <c r="I1038">
        <v>0</v>
      </c>
      <c r="J1038">
        <v>0</v>
      </c>
      <c r="K1038" t="s">
        <v>1673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2707</v>
      </c>
      <c r="B1039" t="s">
        <v>51</v>
      </c>
      <c r="C1039" t="s">
        <v>2699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64</v>
      </c>
      <c r="I1039">
        <v>0</v>
      </c>
      <c r="J1039">
        <v>0</v>
      </c>
      <c r="K1039" t="s">
        <v>1673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2708</v>
      </c>
      <c r="B1040" t="s">
        <v>51</v>
      </c>
      <c r="C1040" t="s">
        <v>2699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64</v>
      </c>
      <c r="I1040">
        <v>0</v>
      </c>
      <c r="J1040">
        <v>0</v>
      </c>
      <c r="K1040" t="s">
        <v>1673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2709</v>
      </c>
      <c r="B1041" t="s">
        <v>51</v>
      </c>
      <c r="C1041" t="s">
        <v>2699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64</v>
      </c>
      <c r="I1041">
        <v>0</v>
      </c>
      <c r="J1041">
        <v>0</v>
      </c>
      <c r="K1041" t="s">
        <v>1673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2710</v>
      </c>
      <c r="B1042" t="s">
        <v>51</v>
      </c>
      <c r="C1042" t="s">
        <v>2699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64</v>
      </c>
      <c r="I1042">
        <v>0</v>
      </c>
      <c r="J1042">
        <v>0</v>
      </c>
      <c r="K1042" t="s">
        <v>1673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2711</v>
      </c>
      <c r="B1043" t="s">
        <v>51</v>
      </c>
      <c r="C1043" t="s">
        <v>2699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64</v>
      </c>
      <c r="I1043">
        <v>0</v>
      </c>
      <c r="J1043">
        <v>0</v>
      </c>
      <c r="K1043" t="s">
        <v>1673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2712</v>
      </c>
      <c r="B1044" t="s">
        <v>51</v>
      </c>
      <c r="C1044" t="s">
        <v>2699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64</v>
      </c>
      <c r="I1044">
        <v>0</v>
      </c>
      <c r="J1044">
        <v>0</v>
      </c>
      <c r="K1044" t="s">
        <v>1673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2713</v>
      </c>
      <c r="B1045" t="s">
        <v>51</v>
      </c>
      <c r="C1045" t="s">
        <v>2699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64</v>
      </c>
      <c r="I1045">
        <v>0</v>
      </c>
      <c r="J1045">
        <v>0</v>
      </c>
      <c r="K1045" t="s">
        <v>1673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2714</v>
      </c>
      <c r="B1046" t="s">
        <v>51</v>
      </c>
      <c r="C1046" t="s">
        <v>2699</v>
      </c>
      <c r="D1046">
        <v>1E-4</v>
      </c>
      <c r="E1046">
        <v>1E-3</v>
      </c>
      <c r="F1046">
        <v>1.0000000000000001E-9</v>
      </c>
      <c r="G1046" t="s">
        <v>13</v>
      </c>
      <c r="H1046" t="s">
        <v>64</v>
      </c>
      <c r="I1046">
        <v>0</v>
      </c>
      <c r="J1046">
        <v>0</v>
      </c>
      <c r="K1046" t="s">
        <v>1673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2715</v>
      </c>
      <c r="B1047" t="s">
        <v>51</v>
      </c>
      <c r="C1047" t="s">
        <v>2699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1673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2716</v>
      </c>
      <c r="B1048" t="s">
        <v>51</v>
      </c>
      <c r="C1048" t="s">
        <v>2699</v>
      </c>
      <c r="D1048">
        <v>0</v>
      </c>
      <c r="E1048">
        <v>9.9999999999999995E-8</v>
      </c>
      <c r="F1048">
        <v>1E-8</v>
      </c>
      <c r="G1048" t="s">
        <v>13</v>
      </c>
      <c r="H1048" t="s">
        <v>64</v>
      </c>
      <c r="I1048">
        <v>0</v>
      </c>
      <c r="J1048">
        <v>0</v>
      </c>
      <c r="K1048" t="s">
        <v>1673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2717</v>
      </c>
      <c r="B1049" t="s">
        <v>51</v>
      </c>
      <c r="C1049" t="s">
        <v>2699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64</v>
      </c>
      <c r="I1049">
        <v>0</v>
      </c>
      <c r="J1049">
        <v>0</v>
      </c>
      <c r="K1049" t="s">
        <v>1673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2718</v>
      </c>
      <c r="B1050" t="s">
        <v>51</v>
      </c>
      <c r="C1050" t="s">
        <v>2699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64</v>
      </c>
      <c r="I1050">
        <v>0</v>
      </c>
      <c r="J1050">
        <v>0</v>
      </c>
      <c r="K1050" t="s">
        <v>1673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2719</v>
      </c>
      <c r="B1051" t="s">
        <v>51</v>
      </c>
      <c r="C1051" t="s">
        <v>2699</v>
      </c>
      <c r="D1051">
        <v>1.0000000000000001E-5</v>
      </c>
      <c r="E1051">
        <v>1E-4</v>
      </c>
      <c r="F1051">
        <v>1E-8</v>
      </c>
      <c r="G1051" t="s">
        <v>13</v>
      </c>
      <c r="H1051" t="s">
        <v>64</v>
      </c>
      <c r="I1051">
        <v>0</v>
      </c>
      <c r="J1051">
        <v>0</v>
      </c>
      <c r="K1051" t="s">
        <v>1673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2720</v>
      </c>
      <c r="B1052" t="s">
        <v>51</v>
      </c>
      <c r="C1052" t="s">
        <v>2699</v>
      </c>
      <c r="D1052">
        <v>1E-4</v>
      </c>
      <c r="E1052">
        <v>1E-3</v>
      </c>
      <c r="F1052">
        <v>1E-8</v>
      </c>
      <c r="G1052" t="s">
        <v>13</v>
      </c>
      <c r="H1052" t="s">
        <v>64</v>
      </c>
      <c r="I1052">
        <v>0</v>
      </c>
      <c r="J1052">
        <v>0</v>
      </c>
      <c r="K1052" t="s">
        <v>1673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2721</v>
      </c>
      <c r="B1053" t="s">
        <v>51</v>
      </c>
      <c r="C1053" t="s">
        <v>2699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1673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2722</v>
      </c>
      <c r="B1054" t="s">
        <v>51</v>
      </c>
      <c r="C1054" t="s">
        <v>2699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1673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2723</v>
      </c>
      <c r="B1055" t="s">
        <v>51</v>
      </c>
      <c r="C1055" t="s">
        <v>2699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64</v>
      </c>
      <c r="I1055">
        <v>0</v>
      </c>
      <c r="J1055">
        <v>0</v>
      </c>
      <c r="K1055" t="s">
        <v>1673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2724</v>
      </c>
      <c r="B1056" t="s">
        <v>51</v>
      </c>
      <c r="C1056" t="s">
        <v>2699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64</v>
      </c>
      <c r="I1056">
        <v>0</v>
      </c>
      <c r="J1056">
        <v>0</v>
      </c>
      <c r="K1056" t="s">
        <v>1673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2725</v>
      </c>
      <c r="B1057" t="s">
        <v>51</v>
      </c>
      <c r="C1057" t="s">
        <v>2699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64</v>
      </c>
      <c r="I1057">
        <v>0</v>
      </c>
      <c r="J1057">
        <v>0</v>
      </c>
      <c r="K1057" t="s">
        <v>1673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2726</v>
      </c>
      <c r="B1058" t="s">
        <v>51</v>
      </c>
      <c r="C1058" t="s">
        <v>2699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64</v>
      </c>
      <c r="I1058">
        <v>0</v>
      </c>
      <c r="J1058">
        <v>0</v>
      </c>
      <c r="K1058" t="s">
        <v>1673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2727</v>
      </c>
      <c r="B1059" t="s">
        <v>51</v>
      </c>
      <c r="C1059" t="s">
        <v>2699</v>
      </c>
      <c r="D1059">
        <v>1E-4</v>
      </c>
      <c r="E1059">
        <v>1E-3</v>
      </c>
      <c r="F1059">
        <v>9.9999999999999995E-8</v>
      </c>
      <c r="G1059" t="s">
        <v>13</v>
      </c>
      <c r="H1059" t="s">
        <v>64</v>
      </c>
      <c r="I1059">
        <v>0</v>
      </c>
      <c r="J1059">
        <v>0</v>
      </c>
      <c r="K1059" t="s">
        <v>1673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2728</v>
      </c>
      <c r="B1060" t="s">
        <v>51</v>
      </c>
      <c r="C1060" t="s">
        <v>2699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1673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2729</v>
      </c>
      <c r="B1061" t="s">
        <v>51</v>
      </c>
      <c r="C1061" t="s">
        <v>2699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1673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2730</v>
      </c>
      <c r="B1062" t="s">
        <v>51</v>
      </c>
      <c r="C1062" t="s">
        <v>2699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1673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2731</v>
      </c>
      <c r="B1063" t="s">
        <v>51</v>
      </c>
      <c r="C1063" t="s">
        <v>2699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64</v>
      </c>
      <c r="I1063">
        <v>0</v>
      </c>
      <c r="J1063">
        <v>0</v>
      </c>
      <c r="K1063" t="s">
        <v>1673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2732</v>
      </c>
      <c r="B1064" t="s">
        <v>51</v>
      </c>
      <c r="C1064" t="s">
        <v>2699</v>
      </c>
      <c r="D1064">
        <v>1E-4</v>
      </c>
      <c r="E1064">
        <v>1E-3</v>
      </c>
      <c r="F1064">
        <v>9.9999999999999995E-7</v>
      </c>
      <c r="G1064" t="s">
        <v>13</v>
      </c>
      <c r="H1064" t="s">
        <v>64</v>
      </c>
      <c r="I1064">
        <v>0</v>
      </c>
      <c r="J1064">
        <v>0</v>
      </c>
      <c r="K1064" t="s">
        <v>1673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2733</v>
      </c>
      <c r="B1065" t="s">
        <v>51</v>
      </c>
      <c r="C1065" t="s">
        <v>2699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1673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2734</v>
      </c>
      <c r="B1066" t="s">
        <v>51</v>
      </c>
      <c r="C1066" t="s">
        <v>2699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1673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2735</v>
      </c>
      <c r="B1067" t="s">
        <v>51</v>
      </c>
      <c r="C1067" t="s">
        <v>2699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1673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2736</v>
      </c>
      <c r="B1068" t="s">
        <v>51</v>
      </c>
      <c r="C1068" t="s">
        <v>2699</v>
      </c>
      <c r="D1068">
        <v>1E-4</v>
      </c>
      <c r="E1068">
        <v>1E-3</v>
      </c>
      <c r="F1068">
        <v>1.0000000000000001E-5</v>
      </c>
      <c r="G1068" t="s">
        <v>13</v>
      </c>
      <c r="H1068" t="s">
        <v>64</v>
      </c>
      <c r="I1068">
        <v>0</v>
      </c>
      <c r="J1068">
        <v>0</v>
      </c>
      <c r="K1068" t="s">
        <v>1673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2737</v>
      </c>
      <c r="B1069" t="s">
        <v>51</v>
      </c>
      <c r="C1069" t="s">
        <v>2699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1673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2738</v>
      </c>
      <c r="B1070" t="s">
        <v>51</v>
      </c>
      <c r="C1070" t="s">
        <v>2699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1673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2739</v>
      </c>
      <c r="B1071" t="s">
        <v>51</v>
      </c>
      <c r="C1071" t="s">
        <v>2699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1673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2740</v>
      </c>
      <c r="B1072" t="s">
        <v>51</v>
      </c>
      <c r="C1072" t="s">
        <v>2699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1673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2741</v>
      </c>
      <c r="B1073" t="s">
        <v>51</v>
      </c>
      <c r="C1073" t="s">
        <v>2699</v>
      </c>
      <c r="D1073">
        <v>1E-4</v>
      </c>
      <c r="E1073">
        <v>1E-3</v>
      </c>
      <c r="F1073">
        <v>1E-4</v>
      </c>
      <c r="G1073" t="s">
        <v>13</v>
      </c>
      <c r="H1073" t="s">
        <v>64</v>
      </c>
      <c r="I1073">
        <v>0</v>
      </c>
      <c r="J1073">
        <v>0</v>
      </c>
      <c r="K1073" t="s">
        <v>1673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2742</v>
      </c>
      <c r="B1074" t="s">
        <v>51</v>
      </c>
      <c r="C1074" t="s">
        <v>2699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1673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2743</v>
      </c>
      <c r="B1075" t="s">
        <v>51</v>
      </c>
      <c r="C1075" t="s">
        <v>2699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1673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2744</v>
      </c>
      <c r="B1076" t="s">
        <v>51</v>
      </c>
      <c r="C1076" t="s">
        <v>2699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1673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2745</v>
      </c>
      <c r="B1077" t="s">
        <v>51</v>
      </c>
      <c r="C1077" t="s">
        <v>2699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1673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2746</v>
      </c>
      <c r="B1078" t="s">
        <v>51</v>
      </c>
      <c r="C1078" t="s">
        <v>2699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1673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2747</v>
      </c>
      <c r="B1079" t="s">
        <v>51</v>
      </c>
      <c r="C1079" t="s">
        <v>2699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1673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2748</v>
      </c>
      <c r="B1080" t="s">
        <v>51</v>
      </c>
      <c r="C1080" t="s">
        <v>2699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1673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2749</v>
      </c>
      <c r="B1081" t="s">
        <v>51</v>
      </c>
      <c r="C1081" t="s">
        <v>2699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1673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2750</v>
      </c>
      <c r="B1082" t="s">
        <v>51</v>
      </c>
      <c r="C1082" t="s">
        <v>2699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1673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2751</v>
      </c>
      <c r="B1083" t="s">
        <v>51</v>
      </c>
      <c r="C1083" t="s">
        <v>2699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1673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2752</v>
      </c>
      <c r="B1084" t="s">
        <v>51</v>
      </c>
      <c r="C1084" t="s">
        <v>2699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1673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251</v>
      </c>
      <c r="B1085" t="s">
        <v>51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1673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243</v>
      </c>
      <c r="B1086" t="s">
        <v>51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1673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252</v>
      </c>
      <c r="B1087" t="s">
        <v>51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1673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255</v>
      </c>
      <c r="B1088" t="s">
        <v>51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1673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244</v>
      </c>
      <c r="B1089" t="s">
        <v>51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1673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1998</v>
      </c>
      <c r="B1090" t="s">
        <v>51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1673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256</v>
      </c>
      <c r="B1091" t="s">
        <v>51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1673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260</v>
      </c>
      <c r="B1092" t="s">
        <v>51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1673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245</v>
      </c>
      <c r="B1093" t="s">
        <v>51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1673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1999</v>
      </c>
      <c r="B1094" t="s">
        <v>51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1673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257</v>
      </c>
      <c r="B1095" t="s">
        <v>51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1673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261</v>
      </c>
      <c r="B1096" t="s">
        <v>51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1673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264</v>
      </c>
      <c r="B1097" t="s">
        <v>51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1673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246</v>
      </c>
      <c r="B1098" t="s">
        <v>51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1673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253</v>
      </c>
      <c r="B1099" t="s">
        <v>51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1673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2000</v>
      </c>
      <c r="B1100" t="s">
        <v>51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1673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262</v>
      </c>
      <c r="B1101" t="s">
        <v>51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1673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265</v>
      </c>
      <c r="B1102" t="s">
        <v>51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1673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247</v>
      </c>
      <c r="B1103" t="s">
        <v>51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1673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254</v>
      </c>
      <c r="B1104" t="s">
        <v>51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1673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258</v>
      </c>
      <c r="B1105" t="s">
        <v>51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1673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2001</v>
      </c>
      <c r="B1106" t="s">
        <v>51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1673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266</v>
      </c>
      <c r="B1107" t="s">
        <v>51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1673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248</v>
      </c>
      <c r="B1108" t="s">
        <v>51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1673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259</v>
      </c>
      <c r="B1109" t="s">
        <v>51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1673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263</v>
      </c>
      <c r="B1110" t="s">
        <v>51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1673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267</v>
      </c>
      <c r="B1111" t="s">
        <v>51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1673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249</v>
      </c>
      <c r="B1112" t="s">
        <v>51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1673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268</v>
      </c>
      <c r="B1113" t="s">
        <v>51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1673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250</v>
      </c>
      <c r="B1114" t="s">
        <v>51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1673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269</v>
      </c>
      <c r="B1115" t="s">
        <v>51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1673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2753</v>
      </c>
      <c r="B1116" t="s">
        <v>51</v>
      </c>
      <c r="C1116" t="s">
        <v>63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1673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2754</v>
      </c>
      <c r="B1117" t="s">
        <v>51</v>
      </c>
      <c r="C1117" t="s">
        <v>63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1673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2755</v>
      </c>
      <c r="B1118" t="s">
        <v>51</v>
      </c>
      <c r="C1118" t="s">
        <v>63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1673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2756</v>
      </c>
      <c r="B1119" t="s">
        <v>51</v>
      </c>
      <c r="C1119" t="s">
        <v>63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1673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2757</v>
      </c>
      <c r="B1120" t="s">
        <v>51</v>
      </c>
      <c r="C1120" t="s">
        <v>63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1673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2758</v>
      </c>
      <c r="B1121" t="s">
        <v>51</v>
      </c>
      <c r="C1121" t="s">
        <v>63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1673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2759</v>
      </c>
      <c r="B1122" t="s">
        <v>51</v>
      </c>
      <c r="C1122" t="s">
        <v>63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1673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2760</v>
      </c>
      <c r="B1123" t="s">
        <v>51</v>
      </c>
      <c r="C1123" t="s">
        <v>63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1673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2761</v>
      </c>
      <c r="B1124" t="s">
        <v>51</v>
      </c>
      <c r="C1124" t="s">
        <v>63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1673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2762</v>
      </c>
      <c r="B1125" t="s">
        <v>51</v>
      </c>
      <c r="C1125" t="s">
        <v>63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1673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2763</v>
      </c>
      <c r="B1126" t="s">
        <v>51</v>
      </c>
      <c r="C1126" t="s">
        <v>63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1673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2764</v>
      </c>
      <c r="B1127" t="s">
        <v>51</v>
      </c>
      <c r="C1127" t="s">
        <v>63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1673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2765</v>
      </c>
      <c r="B1128" t="s">
        <v>51</v>
      </c>
      <c r="C1128" t="s">
        <v>63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1673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2766</v>
      </c>
      <c r="B1129" t="s">
        <v>51</v>
      </c>
      <c r="C1129" t="s">
        <v>63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1673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2767</v>
      </c>
      <c r="B1130" t="s">
        <v>51</v>
      </c>
      <c r="C1130" t="s">
        <v>63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1673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2768</v>
      </c>
      <c r="B1131" t="s">
        <v>51</v>
      </c>
      <c r="C1131" t="s">
        <v>63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1673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2769</v>
      </c>
      <c r="B1132" t="s">
        <v>51</v>
      </c>
      <c r="C1132" t="s">
        <v>63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1673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2770</v>
      </c>
      <c r="B1133" t="s">
        <v>51</v>
      </c>
      <c r="C1133" t="s">
        <v>63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1673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2771</v>
      </c>
      <c r="B1134" t="s">
        <v>51</v>
      </c>
      <c r="C1134" t="s">
        <v>63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1673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2772</v>
      </c>
      <c r="B1135" t="s">
        <v>51</v>
      </c>
      <c r="C1135" t="s">
        <v>63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1673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2773</v>
      </c>
      <c r="B1136" t="s">
        <v>51</v>
      </c>
      <c r="C1136" t="s">
        <v>63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1673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2774</v>
      </c>
      <c r="B1137" t="s">
        <v>51</v>
      </c>
      <c r="C1137" t="s">
        <v>63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1673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2775</v>
      </c>
      <c r="B1138" t="s">
        <v>51</v>
      </c>
      <c r="C1138" t="s">
        <v>63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1673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2776</v>
      </c>
      <c r="B1139" t="s">
        <v>51</v>
      </c>
      <c r="C1139" t="s">
        <v>63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1673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2777</v>
      </c>
      <c r="B1140" t="s">
        <v>51</v>
      </c>
      <c r="C1140" t="s">
        <v>63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1673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2778</v>
      </c>
      <c r="B1141" t="s">
        <v>51</v>
      </c>
      <c r="C1141" t="s">
        <v>63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1673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2779</v>
      </c>
      <c r="B1142" t="s">
        <v>51</v>
      </c>
      <c r="C1142" t="s">
        <v>63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1673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2780</v>
      </c>
      <c r="B1143" t="s">
        <v>51</v>
      </c>
      <c r="C1143" t="s">
        <v>63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1673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2781</v>
      </c>
      <c r="B1144" t="s">
        <v>51</v>
      </c>
      <c r="C1144" t="s">
        <v>63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1673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2782</v>
      </c>
      <c r="B1145" t="s">
        <v>51</v>
      </c>
      <c r="C1145" t="s">
        <v>63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1673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2783</v>
      </c>
      <c r="B1146" t="s">
        <v>51</v>
      </c>
      <c r="C1146" t="s">
        <v>63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1673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2784</v>
      </c>
      <c r="B1147" t="s">
        <v>51</v>
      </c>
      <c r="C1147" t="s">
        <v>63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1673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237</v>
      </c>
      <c r="B1148" t="s">
        <v>51</v>
      </c>
      <c r="C1148" t="s">
        <v>74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1673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239</v>
      </c>
      <c r="B1149" t="s">
        <v>51</v>
      </c>
      <c r="C1149" t="s">
        <v>74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1673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241</v>
      </c>
      <c r="B1150" t="s">
        <v>51</v>
      </c>
      <c r="C1150" t="s">
        <v>74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1673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238</v>
      </c>
      <c r="B1151" t="s">
        <v>51</v>
      </c>
      <c r="C1151" t="s">
        <v>74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1673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240</v>
      </c>
      <c r="B1152" t="s">
        <v>51</v>
      </c>
      <c r="C1152" t="s">
        <v>74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1673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242</v>
      </c>
      <c r="B1153" t="s">
        <v>51</v>
      </c>
      <c r="C1153" t="s">
        <v>74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1673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231</v>
      </c>
      <c r="B1154" t="s">
        <v>51</v>
      </c>
      <c r="C1154" t="s">
        <v>75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1673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233</v>
      </c>
      <c r="B1155" t="s">
        <v>51</v>
      </c>
      <c r="C1155" t="s">
        <v>75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1673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235</v>
      </c>
      <c r="B1156" t="s">
        <v>51</v>
      </c>
      <c r="C1156" t="s">
        <v>75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1673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232</v>
      </c>
      <c r="B1157" t="s">
        <v>51</v>
      </c>
      <c r="C1157" t="s">
        <v>75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1673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234</v>
      </c>
      <c r="B1158" t="s">
        <v>51</v>
      </c>
      <c r="C1158" t="s">
        <v>75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1673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236</v>
      </c>
      <c r="B1159" t="s">
        <v>51</v>
      </c>
      <c r="C1159" t="s">
        <v>75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1673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225</v>
      </c>
      <c r="B1160" t="s">
        <v>51</v>
      </c>
      <c r="C1160" t="s">
        <v>76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1673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226</v>
      </c>
      <c r="B1161" t="s">
        <v>51</v>
      </c>
      <c r="C1161" t="s">
        <v>76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1673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228</v>
      </c>
      <c r="B1162" t="s">
        <v>51</v>
      </c>
      <c r="C1162" t="s">
        <v>76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1673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230</v>
      </c>
      <c r="B1163" t="s">
        <v>51</v>
      </c>
      <c r="C1163" t="s">
        <v>76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1673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2147</v>
      </c>
      <c r="B1164" t="s">
        <v>51</v>
      </c>
      <c r="C1164" t="s">
        <v>76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1673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227</v>
      </c>
      <c r="B1165" t="s">
        <v>51</v>
      </c>
      <c r="C1165" t="s">
        <v>76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1673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229</v>
      </c>
      <c r="B1166" t="s">
        <v>51</v>
      </c>
      <c r="C1166" t="s">
        <v>76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1673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2148</v>
      </c>
      <c r="B1167" t="s">
        <v>51</v>
      </c>
      <c r="C1167" t="s">
        <v>76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1673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217</v>
      </c>
      <c r="B1168" t="s">
        <v>51</v>
      </c>
      <c r="C1168" t="s">
        <v>77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1673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219</v>
      </c>
      <c r="B1169" t="s">
        <v>51</v>
      </c>
      <c r="C1169" t="s">
        <v>77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1673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220</v>
      </c>
      <c r="B1170" t="s">
        <v>51</v>
      </c>
      <c r="C1170" t="s">
        <v>77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1673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221</v>
      </c>
      <c r="B1171" t="s">
        <v>51</v>
      </c>
      <c r="C1171" t="s">
        <v>77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1673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223</v>
      </c>
      <c r="B1172" t="s">
        <v>51</v>
      </c>
      <c r="C1172" t="s">
        <v>77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1673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218</v>
      </c>
      <c r="B1173" t="s">
        <v>51</v>
      </c>
      <c r="C1173" t="s">
        <v>77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1673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2149</v>
      </c>
      <c r="B1174" t="s">
        <v>51</v>
      </c>
      <c r="C1174" t="s">
        <v>77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1673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2150</v>
      </c>
      <c r="B1175" t="s">
        <v>51</v>
      </c>
      <c r="C1175" t="s">
        <v>77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1673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222</v>
      </c>
      <c r="B1176" t="s">
        <v>51</v>
      </c>
      <c r="C1176" t="s">
        <v>77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1673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224</v>
      </c>
      <c r="B1177" t="s">
        <v>51</v>
      </c>
      <c r="C1177" t="s">
        <v>77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1673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205</v>
      </c>
      <c r="B1178" t="s">
        <v>51</v>
      </c>
      <c r="C1178" t="s">
        <v>81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1673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2156</v>
      </c>
      <c r="B1179" t="s">
        <v>51</v>
      </c>
      <c r="C1179" t="s">
        <v>81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1673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208</v>
      </c>
      <c r="B1180" t="s">
        <v>51</v>
      </c>
      <c r="C1180" t="s">
        <v>81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1673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211</v>
      </c>
      <c r="B1181" t="s">
        <v>51</v>
      </c>
      <c r="C1181" t="s">
        <v>81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1673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214</v>
      </c>
      <c r="B1182" t="s">
        <v>51</v>
      </c>
      <c r="C1182" t="s">
        <v>81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1673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2157</v>
      </c>
      <c r="B1183" t="s">
        <v>51</v>
      </c>
      <c r="C1183" t="s">
        <v>81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1673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2158</v>
      </c>
      <c r="B1184" t="s">
        <v>51</v>
      </c>
      <c r="C1184" t="s">
        <v>81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1673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209</v>
      </c>
      <c r="B1185" t="s">
        <v>51</v>
      </c>
      <c r="C1185" t="s">
        <v>81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1673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212</v>
      </c>
      <c r="B1186" t="s">
        <v>51</v>
      </c>
      <c r="C1186" t="s">
        <v>81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1673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215</v>
      </c>
      <c r="B1187" t="s">
        <v>51</v>
      </c>
      <c r="C1187" t="s">
        <v>81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1673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206</v>
      </c>
      <c r="B1188" t="s">
        <v>51</v>
      </c>
      <c r="C1188" t="s">
        <v>81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1673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207</v>
      </c>
      <c r="B1189" t="s">
        <v>51</v>
      </c>
      <c r="C1189" t="s">
        <v>81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1673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210</v>
      </c>
      <c r="B1190" t="s">
        <v>51</v>
      </c>
      <c r="C1190" t="s">
        <v>81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1673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213</v>
      </c>
      <c r="B1191" t="s">
        <v>51</v>
      </c>
      <c r="C1191" t="s">
        <v>81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1673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216</v>
      </c>
      <c r="B1192" t="s">
        <v>51</v>
      </c>
      <c r="C1192" t="s">
        <v>81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1673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2159</v>
      </c>
      <c r="B1193" t="s">
        <v>51</v>
      </c>
      <c r="C1193" t="s">
        <v>82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1673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199</v>
      </c>
      <c r="B1194" t="s">
        <v>51</v>
      </c>
      <c r="C1194" t="s">
        <v>82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1673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2160</v>
      </c>
      <c r="B1195" t="s">
        <v>51</v>
      </c>
      <c r="C1195" t="s">
        <v>82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1673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202</v>
      </c>
      <c r="B1196" t="s">
        <v>51</v>
      </c>
      <c r="C1196" t="s">
        <v>82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1673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2161</v>
      </c>
      <c r="B1197" t="s">
        <v>51</v>
      </c>
      <c r="C1197" t="s">
        <v>82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1673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2162</v>
      </c>
      <c r="B1198" t="s">
        <v>51</v>
      </c>
      <c r="C1198" t="s">
        <v>82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1673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2163</v>
      </c>
      <c r="B1199" t="s">
        <v>51</v>
      </c>
      <c r="C1199" t="s">
        <v>82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1673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201</v>
      </c>
      <c r="B1200" t="s">
        <v>51</v>
      </c>
      <c r="C1200" t="s">
        <v>82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1673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203</v>
      </c>
      <c r="B1201" t="s">
        <v>51</v>
      </c>
      <c r="C1201" t="s">
        <v>82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1673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2164</v>
      </c>
      <c r="B1202" t="s">
        <v>51</v>
      </c>
      <c r="C1202" t="s">
        <v>82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1673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198</v>
      </c>
      <c r="B1203" t="s">
        <v>51</v>
      </c>
      <c r="C1203" t="s">
        <v>82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1673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200</v>
      </c>
      <c r="B1204" t="s">
        <v>51</v>
      </c>
      <c r="C1204" t="s">
        <v>82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1673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2165</v>
      </c>
      <c r="B1205" t="s">
        <v>51</v>
      </c>
      <c r="C1205" t="s">
        <v>82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1673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204</v>
      </c>
      <c r="B1206" t="s">
        <v>51</v>
      </c>
      <c r="C1206" t="s">
        <v>82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1673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2166</v>
      </c>
      <c r="B1207" t="s">
        <v>51</v>
      </c>
      <c r="C1207" t="s">
        <v>82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1673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193</v>
      </c>
      <c r="B1208" t="s">
        <v>51</v>
      </c>
      <c r="C1208" t="s">
        <v>78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1673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2151</v>
      </c>
      <c r="B1209" t="s">
        <v>51</v>
      </c>
      <c r="C1209" t="s">
        <v>78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1673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2152</v>
      </c>
      <c r="B1210" t="s">
        <v>51</v>
      </c>
      <c r="C1210" t="s">
        <v>78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1673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196</v>
      </c>
      <c r="B1211" t="s">
        <v>51</v>
      </c>
      <c r="C1211" t="s">
        <v>78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1673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194</v>
      </c>
      <c r="B1212" t="s">
        <v>51</v>
      </c>
      <c r="C1212" t="s">
        <v>78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1673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2153</v>
      </c>
      <c r="B1213" t="s">
        <v>51</v>
      </c>
      <c r="C1213" t="s">
        <v>78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1673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195</v>
      </c>
      <c r="B1214" t="s">
        <v>51</v>
      </c>
      <c r="C1214" t="s">
        <v>78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1673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197</v>
      </c>
      <c r="B1215" t="s">
        <v>51</v>
      </c>
      <c r="C1215" t="s">
        <v>78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1673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187</v>
      </c>
      <c r="B1216" t="s">
        <v>51</v>
      </c>
      <c r="C1216" t="s">
        <v>79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1673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189</v>
      </c>
      <c r="B1217" t="s">
        <v>51</v>
      </c>
      <c r="C1217" t="s">
        <v>79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1673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2154</v>
      </c>
      <c r="B1218" t="s">
        <v>51</v>
      </c>
      <c r="C1218" t="s">
        <v>79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1673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2155</v>
      </c>
      <c r="B1219" t="s">
        <v>51</v>
      </c>
      <c r="C1219" t="s">
        <v>79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1673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188</v>
      </c>
      <c r="B1220" t="s">
        <v>51</v>
      </c>
      <c r="C1220" t="s">
        <v>79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1673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190</v>
      </c>
      <c r="B1221" t="s">
        <v>51</v>
      </c>
      <c r="C1221" t="s">
        <v>79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1673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191</v>
      </c>
      <c r="B1222" t="s">
        <v>51</v>
      </c>
      <c r="C1222" t="s">
        <v>79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1673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192</v>
      </c>
      <c r="B1223" t="s">
        <v>51</v>
      </c>
      <c r="C1223" t="s">
        <v>79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1673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181</v>
      </c>
      <c r="B1224" t="s">
        <v>51</v>
      </c>
      <c r="C1224" t="s">
        <v>80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1673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183</v>
      </c>
      <c r="B1225" t="s">
        <v>51</v>
      </c>
      <c r="C1225" t="s">
        <v>80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1673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185</v>
      </c>
      <c r="B1226" t="s">
        <v>51</v>
      </c>
      <c r="C1226" t="s">
        <v>80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1673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182</v>
      </c>
      <c r="B1227" t="s">
        <v>51</v>
      </c>
      <c r="C1227" t="s">
        <v>80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1673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184</v>
      </c>
      <c r="B1228" t="s">
        <v>51</v>
      </c>
      <c r="C1228" t="s">
        <v>80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1673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186</v>
      </c>
      <c r="B1229" t="s">
        <v>51</v>
      </c>
      <c r="C1229" t="s">
        <v>80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1673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2125</v>
      </c>
      <c r="B1230" t="s">
        <v>51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1673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147</v>
      </c>
      <c r="B1231" t="s">
        <v>51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1673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2126</v>
      </c>
      <c r="B1232" t="s">
        <v>51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1673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154</v>
      </c>
      <c r="B1233" t="s">
        <v>51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1673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2127</v>
      </c>
      <c r="B1234" t="s">
        <v>51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1673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155</v>
      </c>
      <c r="B1235" t="s">
        <v>51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1673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158</v>
      </c>
      <c r="B1236" t="s">
        <v>51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1673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148</v>
      </c>
      <c r="B1237" t="s">
        <v>51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1673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156</v>
      </c>
      <c r="B1238" t="s">
        <v>51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1673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159</v>
      </c>
      <c r="B1239" t="s">
        <v>51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1673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163</v>
      </c>
      <c r="B1240" t="s">
        <v>51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1673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149</v>
      </c>
      <c r="B1241" t="s">
        <v>51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1673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2129</v>
      </c>
      <c r="B1242" t="s">
        <v>51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1673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160</v>
      </c>
      <c r="B1243" t="s">
        <v>51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1673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164</v>
      </c>
      <c r="B1244" t="s">
        <v>51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1673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170</v>
      </c>
      <c r="B1245" t="s">
        <v>51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1673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150</v>
      </c>
      <c r="B1246" t="s">
        <v>51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1673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2130</v>
      </c>
      <c r="B1247" t="s">
        <v>51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1673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161</v>
      </c>
      <c r="B1248" t="s">
        <v>51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1673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165</v>
      </c>
      <c r="B1249" t="s">
        <v>51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1673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171</v>
      </c>
      <c r="B1250" t="s">
        <v>51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1673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2132</v>
      </c>
      <c r="B1251" t="s">
        <v>51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1673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151</v>
      </c>
      <c r="B1252" t="s">
        <v>51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1673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157</v>
      </c>
      <c r="B1253" t="s">
        <v>51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1673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162</v>
      </c>
      <c r="B1254" t="s">
        <v>51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1673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166</v>
      </c>
      <c r="B1255" t="s">
        <v>51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1673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172</v>
      </c>
      <c r="B1256" t="s">
        <v>51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1673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176</v>
      </c>
      <c r="B1257" t="s">
        <v>51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1673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2128</v>
      </c>
      <c r="B1258" t="s">
        <v>51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1673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2131</v>
      </c>
      <c r="B1259" t="s">
        <v>51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1673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167</v>
      </c>
      <c r="B1260" t="s">
        <v>51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1673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173</v>
      </c>
      <c r="B1261" t="s">
        <v>51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1673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177</v>
      </c>
      <c r="B1262" t="s">
        <v>51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1673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152</v>
      </c>
      <c r="B1263" t="s">
        <v>51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1673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168</v>
      </c>
      <c r="B1264" t="s">
        <v>51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1673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174</v>
      </c>
      <c r="B1265" t="s">
        <v>51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1673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178</v>
      </c>
      <c r="B1266" t="s">
        <v>51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1673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153</v>
      </c>
      <c r="B1267" t="s">
        <v>51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1673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169</v>
      </c>
      <c r="B1268" t="s">
        <v>51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1673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175</v>
      </c>
      <c r="B1269" t="s">
        <v>51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1673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179</v>
      </c>
      <c r="B1270" t="s">
        <v>51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1673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180</v>
      </c>
      <c r="B1271" t="s">
        <v>51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1673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2201</v>
      </c>
      <c r="B1272" t="s">
        <v>51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65</v>
      </c>
      <c r="I1272">
        <v>0</v>
      </c>
      <c r="J1272">
        <v>0</v>
      </c>
      <c r="K1272" t="s">
        <v>1673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2202</v>
      </c>
      <c r="B1273" t="s">
        <v>51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65</v>
      </c>
      <c r="I1273">
        <v>0</v>
      </c>
      <c r="J1273">
        <v>0</v>
      </c>
      <c r="K1273" t="s">
        <v>1673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2203</v>
      </c>
      <c r="B1274" t="s">
        <v>51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65</v>
      </c>
      <c r="I1274">
        <v>0</v>
      </c>
      <c r="J1274">
        <v>0</v>
      </c>
      <c r="K1274" t="s">
        <v>1673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2204</v>
      </c>
      <c r="B1275" t="s">
        <v>51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65</v>
      </c>
      <c r="I1275">
        <v>0</v>
      </c>
      <c r="J1275">
        <v>0</v>
      </c>
      <c r="K1275" t="s">
        <v>1673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2205</v>
      </c>
      <c r="B1276" t="s">
        <v>51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65</v>
      </c>
      <c r="I1276">
        <v>0</v>
      </c>
      <c r="J1276">
        <v>0</v>
      </c>
      <c r="K1276" t="s">
        <v>1673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2206</v>
      </c>
      <c r="B1277" t="s">
        <v>51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65</v>
      </c>
      <c r="I1277">
        <v>0</v>
      </c>
      <c r="J1277">
        <v>0</v>
      </c>
      <c r="K1277" t="s">
        <v>1673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2207</v>
      </c>
      <c r="B1278" t="s">
        <v>51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65</v>
      </c>
      <c r="I1278">
        <v>0</v>
      </c>
      <c r="J1278">
        <v>0</v>
      </c>
      <c r="K1278" t="s">
        <v>1673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2208</v>
      </c>
      <c r="B1279" t="s">
        <v>51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1673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2209</v>
      </c>
      <c r="B1280" t="s">
        <v>51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65</v>
      </c>
      <c r="I1280">
        <v>0</v>
      </c>
      <c r="J1280">
        <v>0</v>
      </c>
      <c r="K1280" t="s">
        <v>1673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2210</v>
      </c>
      <c r="B1281" t="s">
        <v>51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65</v>
      </c>
      <c r="I1281">
        <v>0</v>
      </c>
      <c r="J1281">
        <v>0</v>
      </c>
      <c r="K1281" t="s">
        <v>1673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2211</v>
      </c>
      <c r="B1282" t="s">
        <v>51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65</v>
      </c>
      <c r="I1282">
        <v>0</v>
      </c>
      <c r="J1282">
        <v>0</v>
      </c>
      <c r="K1282" t="s">
        <v>1673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2212</v>
      </c>
      <c r="B1283" t="s">
        <v>51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1673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2213</v>
      </c>
      <c r="B1284" t="s">
        <v>51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1673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2214</v>
      </c>
      <c r="B1285" t="s">
        <v>51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65</v>
      </c>
      <c r="I1285">
        <v>0</v>
      </c>
      <c r="J1285">
        <v>0</v>
      </c>
      <c r="K1285" t="s">
        <v>1673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2215</v>
      </c>
      <c r="B1286" t="s">
        <v>51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65</v>
      </c>
      <c r="I1286">
        <v>0</v>
      </c>
      <c r="J1286">
        <v>0</v>
      </c>
      <c r="K1286" t="s">
        <v>1673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2216</v>
      </c>
      <c r="B1287" t="s">
        <v>51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65</v>
      </c>
      <c r="I1287">
        <v>0</v>
      </c>
      <c r="J1287">
        <v>0</v>
      </c>
      <c r="K1287" t="s">
        <v>1673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2217</v>
      </c>
      <c r="B1288" t="s">
        <v>51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1673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2218</v>
      </c>
      <c r="B1289" t="s">
        <v>51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1673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2219</v>
      </c>
      <c r="B1290" t="s">
        <v>51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1673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2220</v>
      </c>
      <c r="B1291" t="s">
        <v>51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65</v>
      </c>
      <c r="I1291">
        <v>0</v>
      </c>
      <c r="J1291">
        <v>0</v>
      </c>
      <c r="K1291" t="s">
        <v>1673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2221</v>
      </c>
      <c r="B1292" t="s">
        <v>51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65</v>
      </c>
      <c r="I1292">
        <v>0</v>
      </c>
      <c r="J1292">
        <v>0</v>
      </c>
      <c r="K1292" t="s">
        <v>1673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2222</v>
      </c>
      <c r="B1293" t="s">
        <v>51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65</v>
      </c>
      <c r="I1293">
        <v>0</v>
      </c>
      <c r="J1293">
        <v>0</v>
      </c>
      <c r="K1293" t="s">
        <v>1673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2223</v>
      </c>
      <c r="B1294" t="s">
        <v>51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1673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2224</v>
      </c>
      <c r="B1295" t="s">
        <v>51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1673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2225</v>
      </c>
      <c r="B1296" t="s">
        <v>51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1673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2226</v>
      </c>
      <c r="B1297" t="s">
        <v>51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1673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2227</v>
      </c>
      <c r="B1298" t="s">
        <v>51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65</v>
      </c>
      <c r="I1298">
        <v>0</v>
      </c>
      <c r="J1298">
        <v>0</v>
      </c>
      <c r="K1298" t="s">
        <v>1673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2228</v>
      </c>
      <c r="B1299" t="s">
        <v>51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65</v>
      </c>
      <c r="I1299">
        <v>0</v>
      </c>
      <c r="J1299">
        <v>0</v>
      </c>
      <c r="K1299" t="s">
        <v>1673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2229</v>
      </c>
      <c r="B1300" t="s">
        <v>51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1673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2230</v>
      </c>
      <c r="B1301" t="s">
        <v>51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1673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2231</v>
      </c>
      <c r="B1302" t="s">
        <v>51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1673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2232</v>
      </c>
      <c r="B1303" t="s">
        <v>51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1673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2233</v>
      </c>
      <c r="B1304" t="s">
        <v>51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1673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2234</v>
      </c>
      <c r="B1305" t="s">
        <v>51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65</v>
      </c>
      <c r="I1305">
        <v>0</v>
      </c>
      <c r="J1305">
        <v>0</v>
      </c>
      <c r="K1305" t="s">
        <v>1673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2235</v>
      </c>
      <c r="B1306" t="s">
        <v>51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1673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2236</v>
      </c>
      <c r="B1307" t="s">
        <v>51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1673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2237</v>
      </c>
      <c r="B1308" t="s">
        <v>51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1673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2238</v>
      </c>
      <c r="B1309" t="s">
        <v>51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1673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2239</v>
      </c>
      <c r="B1310" t="s">
        <v>51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1673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2240</v>
      </c>
      <c r="B1311" t="s">
        <v>51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1673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2241</v>
      </c>
      <c r="B1312" t="s">
        <v>51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65</v>
      </c>
      <c r="I1312">
        <v>0</v>
      </c>
      <c r="J1312">
        <v>0</v>
      </c>
      <c r="K1312" t="s">
        <v>1673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2242</v>
      </c>
      <c r="B1313" t="s">
        <v>51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1673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2243</v>
      </c>
      <c r="B1314" t="s">
        <v>51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1673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2244</v>
      </c>
      <c r="B1315" t="s">
        <v>51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1673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2245</v>
      </c>
      <c r="B1316" t="s">
        <v>51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1673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2246</v>
      </c>
      <c r="B1317" t="s">
        <v>51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1673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2247</v>
      </c>
      <c r="B1318" t="s">
        <v>51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65</v>
      </c>
      <c r="I1318">
        <v>0</v>
      </c>
      <c r="J1318">
        <v>0</v>
      </c>
      <c r="K1318" t="s">
        <v>1673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2248</v>
      </c>
      <c r="B1319" t="s">
        <v>51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1673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2249</v>
      </c>
      <c r="B1320" t="s">
        <v>51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1673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2250</v>
      </c>
      <c r="B1321" t="s">
        <v>51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1673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2251</v>
      </c>
      <c r="B1322" t="s">
        <v>51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1673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2252</v>
      </c>
      <c r="B1323" t="s">
        <v>51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65</v>
      </c>
      <c r="I1323">
        <v>0</v>
      </c>
      <c r="J1323">
        <v>0</v>
      </c>
      <c r="K1323" t="s">
        <v>1673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2253</v>
      </c>
      <c r="B1324" t="s">
        <v>51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1673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2254</v>
      </c>
      <c r="B1325" t="s">
        <v>51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1673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2255</v>
      </c>
      <c r="B1326" t="s">
        <v>51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1673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2256</v>
      </c>
      <c r="B1327" t="s">
        <v>51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65</v>
      </c>
      <c r="I1327">
        <v>0</v>
      </c>
      <c r="J1327">
        <v>0</v>
      </c>
      <c r="K1327" t="s">
        <v>1673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2257</v>
      </c>
      <c r="B1328" t="s">
        <v>51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1673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2258</v>
      </c>
      <c r="B1329" t="s">
        <v>51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1673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2259</v>
      </c>
      <c r="B1330" t="s">
        <v>51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1673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1481</v>
      </c>
      <c r="B1331" t="s">
        <v>50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1478</v>
      </c>
      <c r="B1332" t="s">
        <v>50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1749</v>
      </c>
      <c r="B1333" t="s">
        <v>50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1477</v>
      </c>
      <c r="B1334" t="s">
        <v>50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1479</v>
      </c>
      <c r="B1335" t="s">
        <v>50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1757</v>
      </c>
      <c r="B1336" t="s">
        <v>50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1480</v>
      </c>
      <c r="B1337" t="s">
        <v>50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1764</v>
      </c>
      <c r="B1338" t="s">
        <v>50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1530</v>
      </c>
      <c r="B1339" t="s">
        <v>50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1766</v>
      </c>
      <c r="B1340" t="s">
        <v>50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1767</v>
      </c>
      <c r="B1341" t="s">
        <v>50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1528</v>
      </c>
      <c r="B1342" t="s">
        <v>50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1531</v>
      </c>
      <c r="B1343" t="s">
        <v>50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1529</v>
      </c>
      <c r="B1344" t="s">
        <v>50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1554</v>
      </c>
      <c r="B1345" t="s">
        <v>50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1775</v>
      </c>
      <c r="B1346" t="s">
        <v>50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1555</v>
      </c>
      <c r="B1347" t="s">
        <v>50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1556</v>
      </c>
      <c r="B1348" t="s">
        <v>50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1557</v>
      </c>
      <c r="B1349" t="s">
        <v>50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1553</v>
      </c>
      <c r="B1350" t="s">
        <v>50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2785</v>
      </c>
      <c r="B1351" t="s">
        <v>50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1484</v>
      </c>
      <c r="B1352" t="s">
        <v>50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1482</v>
      </c>
      <c r="B1353" t="s">
        <v>50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1487</v>
      </c>
      <c r="B1354" t="s">
        <v>50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1483</v>
      </c>
      <c r="B1355" t="s">
        <v>50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1486</v>
      </c>
      <c r="B1356" t="s">
        <v>50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1485</v>
      </c>
      <c r="B1357" t="s">
        <v>50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1760</v>
      </c>
      <c r="B1358" t="s">
        <v>50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1535</v>
      </c>
      <c r="B1359" t="s">
        <v>50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1537</v>
      </c>
      <c r="B1360" t="s">
        <v>50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1534</v>
      </c>
      <c r="B1361" t="s">
        <v>50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1536</v>
      </c>
      <c r="B1362" t="s">
        <v>50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1533</v>
      </c>
      <c r="B1363" t="s">
        <v>50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1532</v>
      </c>
      <c r="B1364" t="s">
        <v>50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1771</v>
      </c>
      <c r="B1365" t="s">
        <v>50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1559</v>
      </c>
      <c r="B1366" t="s">
        <v>50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1560</v>
      </c>
      <c r="B1367" t="s">
        <v>50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1558</v>
      </c>
      <c r="B1368" t="s">
        <v>50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1779</v>
      </c>
      <c r="B1369" t="s">
        <v>50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1781</v>
      </c>
      <c r="B1370" t="s">
        <v>50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1561</v>
      </c>
      <c r="B1371" t="s">
        <v>50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2786</v>
      </c>
      <c r="B1372" t="s">
        <v>50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1488</v>
      </c>
      <c r="B1373" t="s">
        <v>50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1746</v>
      </c>
      <c r="B1374" t="s">
        <v>50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1490</v>
      </c>
      <c r="B1375" t="s">
        <v>50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1752</v>
      </c>
      <c r="B1376" t="s">
        <v>50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1489</v>
      </c>
      <c r="B1377" t="s">
        <v>50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1758</v>
      </c>
      <c r="B1378" t="s">
        <v>50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1491</v>
      </c>
      <c r="B1379" t="s">
        <v>50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1765</v>
      </c>
      <c r="B1380" t="s">
        <v>50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1540</v>
      </c>
      <c r="B1381" t="s">
        <v>50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1538</v>
      </c>
      <c r="B1382" t="s">
        <v>50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1543</v>
      </c>
      <c r="B1383" t="s">
        <v>50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1542</v>
      </c>
      <c r="B1384" t="s">
        <v>50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1539</v>
      </c>
      <c r="B1385" t="s">
        <v>50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1541</v>
      </c>
      <c r="B1386" t="s">
        <v>50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1563</v>
      </c>
      <c r="B1387" t="s">
        <v>50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1776</v>
      </c>
      <c r="B1388" t="s">
        <v>50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1778</v>
      </c>
      <c r="B1389" t="s">
        <v>50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1565</v>
      </c>
      <c r="B1390" t="s">
        <v>50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1564</v>
      </c>
      <c r="B1391" t="s">
        <v>50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1562</v>
      </c>
      <c r="B1392" t="s">
        <v>50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2787</v>
      </c>
      <c r="B1393" t="s">
        <v>50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1581</v>
      </c>
      <c r="B1394" t="s">
        <v>50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1579</v>
      </c>
      <c r="B1395" t="s">
        <v>50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1575</v>
      </c>
      <c r="B1396" t="s">
        <v>50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1580</v>
      </c>
      <c r="B1397" t="s">
        <v>50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1577</v>
      </c>
      <c r="B1398" t="s">
        <v>50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1578</v>
      </c>
      <c r="B1399" t="s">
        <v>50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1576</v>
      </c>
      <c r="B1400" t="s">
        <v>50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1494</v>
      </c>
      <c r="B1401" t="s">
        <v>50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1747</v>
      </c>
      <c r="B1402" t="s">
        <v>50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1495</v>
      </c>
      <c r="B1403" t="s">
        <v>50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1496</v>
      </c>
      <c r="B1404" t="s">
        <v>50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1493</v>
      </c>
      <c r="B1405" t="s">
        <v>50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1492</v>
      </c>
      <c r="B1406" t="s">
        <v>50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1761</v>
      </c>
      <c r="B1407" t="s">
        <v>50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1545</v>
      </c>
      <c r="B1408" t="s">
        <v>50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1546</v>
      </c>
      <c r="B1409" t="s">
        <v>50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1544</v>
      </c>
      <c r="B1410" t="s">
        <v>50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1768</v>
      </c>
      <c r="B1411" t="s">
        <v>50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1769</v>
      </c>
      <c r="B1412" t="s">
        <v>50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1547</v>
      </c>
      <c r="B1413" t="s">
        <v>50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1772</v>
      </c>
      <c r="B1414" t="s">
        <v>50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1567</v>
      </c>
      <c r="B1415" t="s">
        <v>50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1568</v>
      </c>
      <c r="B1416" t="s">
        <v>50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1569</v>
      </c>
      <c r="B1417" t="s">
        <v>50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1780</v>
      </c>
      <c r="B1418" t="s">
        <v>50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1782</v>
      </c>
      <c r="B1419" t="s">
        <v>50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1566</v>
      </c>
      <c r="B1420" t="s">
        <v>50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2788</v>
      </c>
      <c r="B1421" t="s">
        <v>50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1585</v>
      </c>
      <c r="B1422" t="s">
        <v>50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1582</v>
      </c>
      <c r="B1423" t="s">
        <v>50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1785</v>
      </c>
      <c r="B1424" t="s">
        <v>50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1583</v>
      </c>
      <c r="B1425" t="s">
        <v>50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1787</v>
      </c>
      <c r="B1426" t="s">
        <v>50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1584</v>
      </c>
      <c r="B1427" t="s">
        <v>50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1586</v>
      </c>
      <c r="B1428" t="s">
        <v>50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1604</v>
      </c>
      <c r="B1429" t="s">
        <v>50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1606</v>
      </c>
      <c r="B1430" t="s">
        <v>50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1605</v>
      </c>
      <c r="B1431" t="s">
        <v>50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1793</v>
      </c>
      <c r="B1432" t="s">
        <v>50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1607</v>
      </c>
      <c r="B1433" t="s">
        <v>50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1625</v>
      </c>
      <c r="B1434" t="s">
        <v>50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1622</v>
      </c>
      <c r="B1435" t="s">
        <v>50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1801</v>
      </c>
      <c r="B1436" t="s">
        <v>50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1623</v>
      </c>
      <c r="B1437" t="s">
        <v>50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1624</v>
      </c>
      <c r="B1438" t="s">
        <v>50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1498</v>
      </c>
      <c r="B1439" t="s">
        <v>50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1497</v>
      </c>
      <c r="B1440" t="s">
        <v>50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1499</v>
      </c>
      <c r="B1441" t="s">
        <v>50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1500</v>
      </c>
      <c r="B1442" t="s">
        <v>50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1501</v>
      </c>
      <c r="B1443" t="s">
        <v>50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1502</v>
      </c>
      <c r="B1444" t="s">
        <v>50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1762</v>
      </c>
      <c r="B1445" t="s">
        <v>50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1552</v>
      </c>
      <c r="B1446" t="s">
        <v>50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1550</v>
      </c>
      <c r="B1447" t="s">
        <v>50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1549</v>
      </c>
      <c r="B1448" t="s">
        <v>50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1551</v>
      </c>
      <c r="B1449" t="s">
        <v>50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1548</v>
      </c>
      <c r="B1450" t="s">
        <v>50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1770</v>
      </c>
      <c r="B1451" t="s">
        <v>50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1773</v>
      </c>
      <c r="B1452" t="s">
        <v>50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1774</v>
      </c>
      <c r="B1453" t="s">
        <v>50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1777</v>
      </c>
      <c r="B1454" t="s">
        <v>50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1573</v>
      </c>
      <c r="B1455" t="s">
        <v>50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1570</v>
      </c>
      <c r="B1456" t="s">
        <v>50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1574</v>
      </c>
      <c r="B1457" t="s">
        <v>50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1571</v>
      </c>
      <c r="B1458" t="s">
        <v>50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1572</v>
      </c>
      <c r="B1459" t="s">
        <v>50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1591</v>
      </c>
      <c r="B1460" t="s">
        <v>50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1784</v>
      </c>
      <c r="B1461" t="s">
        <v>50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1587</v>
      </c>
      <c r="B1462" t="s">
        <v>50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1589</v>
      </c>
      <c r="B1463" t="s">
        <v>50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1590</v>
      </c>
      <c r="B1464" t="s">
        <v>50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1588</v>
      </c>
      <c r="B1465" t="s">
        <v>50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1789</v>
      </c>
      <c r="B1466" t="s">
        <v>50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1610</v>
      </c>
      <c r="B1467" t="s">
        <v>50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1792</v>
      </c>
      <c r="B1468" t="s">
        <v>50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1609</v>
      </c>
      <c r="B1469" t="s">
        <v>50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1608</v>
      </c>
      <c r="B1470" t="s">
        <v>50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1795</v>
      </c>
      <c r="B1471" t="s">
        <v>50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1629</v>
      </c>
      <c r="B1472" t="s">
        <v>50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1799</v>
      </c>
      <c r="B1473" t="s">
        <v>50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1628</v>
      </c>
      <c r="B1474" t="s">
        <v>50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1627</v>
      </c>
      <c r="B1475" t="s">
        <v>50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1626</v>
      </c>
      <c r="B1476" t="s">
        <v>50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1803</v>
      </c>
      <c r="B1477" t="s">
        <v>50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1806</v>
      </c>
      <c r="B1478" t="s">
        <v>50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1642</v>
      </c>
      <c r="B1479" t="s">
        <v>50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1641</v>
      </c>
      <c r="B1480" t="s">
        <v>50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1655</v>
      </c>
      <c r="B1481" t="s">
        <v>50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1657</v>
      </c>
      <c r="B1482" t="s">
        <v>50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1656</v>
      </c>
      <c r="B1483" t="s">
        <v>50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1658</v>
      </c>
      <c r="B1484" t="s">
        <v>50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1506</v>
      </c>
      <c r="B1485" t="s">
        <v>50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1507</v>
      </c>
      <c r="B1486" t="s">
        <v>50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1750</v>
      </c>
      <c r="B1487" t="s">
        <v>50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1753</v>
      </c>
      <c r="B1488" t="s">
        <v>50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1504</v>
      </c>
      <c r="B1489" t="s">
        <v>50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1505</v>
      </c>
      <c r="B1490" t="s">
        <v>50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1503</v>
      </c>
      <c r="B1491" t="s">
        <v>50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1592</v>
      </c>
      <c r="B1492" t="s">
        <v>50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1597</v>
      </c>
      <c r="B1493" t="s">
        <v>50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1596</v>
      </c>
      <c r="B1494" t="s">
        <v>50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1786</v>
      </c>
      <c r="B1495" t="s">
        <v>50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1595</v>
      </c>
      <c r="B1496" t="s">
        <v>50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1593</v>
      </c>
      <c r="B1497" t="s">
        <v>50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1594</v>
      </c>
      <c r="B1498" t="s">
        <v>50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1612</v>
      </c>
      <c r="B1499" t="s">
        <v>50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1613</v>
      </c>
      <c r="B1500" t="s">
        <v>50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1614</v>
      </c>
      <c r="B1501" t="s">
        <v>50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1611</v>
      </c>
      <c r="B1502" t="s">
        <v>50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1796</v>
      </c>
      <c r="B1503" t="s">
        <v>50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1797</v>
      </c>
      <c r="B1504" t="s">
        <v>50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1630</v>
      </c>
      <c r="B1505" t="s">
        <v>50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1802</v>
      </c>
      <c r="B1506" t="s">
        <v>50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1632</v>
      </c>
      <c r="B1507" t="s">
        <v>50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1631</v>
      </c>
      <c r="B1508" t="s">
        <v>50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1644</v>
      </c>
      <c r="B1509" t="s">
        <v>50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1807</v>
      </c>
      <c r="B1510" t="s">
        <v>50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1645</v>
      </c>
      <c r="B1511" t="s">
        <v>50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1643</v>
      </c>
      <c r="B1512" t="s">
        <v>50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1660</v>
      </c>
      <c r="B1513" t="s">
        <v>50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1661</v>
      </c>
      <c r="B1514" t="s">
        <v>50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1659</v>
      </c>
      <c r="B1515" t="s">
        <v>50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1662</v>
      </c>
      <c r="B1516" t="s">
        <v>50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1509</v>
      </c>
      <c r="B1517" t="s">
        <v>50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1510</v>
      </c>
      <c r="B1518" t="s">
        <v>50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1751</v>
      </c>
      <c r="B1519" t="s">
        <v>50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1754</v>
      </c>
      <c r="B1520" t="s">
        <v>50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1508</v>
      </c>
      <c r="B1521" t="s">
        <v>50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1759</v>
      </c>
      <c r="B1522" t="s">
        <v>50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1511</v>
      </c>
      <c r="B1523" t="s">
        <v>50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1601</v>
      </c>
      <c r="B1524" t="s">
        <v>50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1602</v>
      </c>
      <c r="B1525" t="s">
        <v>50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1600</v>
      </c>
      <c r="B1526" t="s">
        <v>50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1603</v>
      </c>
      <c r="B1527" t="s">
        <v>50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1599</v>
      </c>
      <c r="B1528" t="s">
        <v>50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1788</v>
      </c>
      <c r="B1529" t="s">
        <v>50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1598</v>
      </c>
      <c r="B1530" t="s">
        <v>50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1790</v>
      </c>
      <c r="B1531" t="s">
        <v>50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1618</v>
      </c>
      <c r="B1532" t="s">
        <v>50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1615</v>
      </c>
      <c r="B1533" t="s">
        <v>50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1616</v>
      </c>
      <c r="B1534" t="s">
        <v>50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1617</v>
      </c>
      <c r="B1535" t="s">
        <v>50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1635</v>
      </c>
      <c r="B1536" t="s">
        <v>50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1634</v>
      </c>
      <c r="B1537" t="s">
        <v>50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1636</v>
      </c>
      <c r="B1538" t="s">
        <v>50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1637</v>
      </c>
      <c r="B1539" t="s">
        <v>50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1633</v>
      </c>
      <c r="B1540" t="s">
        <v>50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1804</v>
      </c>
      <c r="B1541" t="s">
        <v>50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1647</v>
      </c>
      <c r="B1542" t="s">
        <v>50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1646</v>
      </c>
      <c r="B1543" t="s">
        <v>50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1808</v>
      </c>
      <c r="B1544" t="s">
        <v>50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1809</v>
      </c>
      <c r="B1545" t="s">
        <v>50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1664</v>
      </c>
      <c r="B1546" t="s">
        <v>50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1665</v>
      </c>
      <c r="B1547" t="s">
        <v>50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1663</v>
      </c>
      <c r="B1548" t="s">
        <v>50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1512</v>
      </c>
      <c r="B1549" t="s">
        <v>50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1517</v>
      </c>
      <c r="B1550" t="s">
        <v>50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1516</v>
      </c>
      <c r="B1551" t="s">
        <v>50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1755</v>
      </c>
      <c r="B1552" t="s">
        <v>50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1514</v>
      </c>
      <c r="B1553" t="s">
        <v>50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1513</v>
      </c>
      <c r="B1554" t="s">
        <v>50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1515</v>
      </c>
      <c r="B1555" t="s">
        <v>50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1791</v>
      </c>
      <c r="B1556" t="s">
        <v>50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1620</v>
      </c>
      <c r="B1557" t="s">
        <v>50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1619</v>
      </c>
      <c r="B1558" t="s">
        <v>50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1794</v>
      </c>
      <c r="B1559" t="s">
        <v>50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1621</v>
      </c>
      <c r="B1560" t="s">
        <v>50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1798</v>
      </c>
      <c r="B1561" t="s">
        <v>50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1800</v>
      </c>
      <c r="B1562" t="s">
        <v>50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1639</v>
      </c>
      <c r="B1563" t="s">
        <v>50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1640</v>
      </c>
      <c r="B1564" t="s">
        <v>50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1638</v>
      </c>
      <c r="B1565" t="s">
        <v>50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1805</v>
      </c>
      <c r="B1566" t="s">
        <v>50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1648</v>
      </c>
      <c r="B1567" t="s">
        <v>50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1649</v>
      </c>
      <c r="B1568" t="s">
        <v>50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1650</v>
      </c>
      <c r="B1569" t="s">
        <v>50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1666</v>
      </c>
      <c r="B1570" t="s">
        <v>50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1668</v>
      </c>
      <c r="B1571" t="s">
        <v>50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1811</v>
      </c>
      <c r="B1572" t="s">
        <v>50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1667</v>
      </c>
      <c r="B1573" t="s">
        <v>50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1519</v>
      </c>
      <c r="B1574" t="s">
        <v>50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1748</v>
      </c>
      <c r="B1575" t="s">
        <v>50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1523</v>
      </c>
      <c r="B1576" t="s">
        <v>50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1520</v>
      </c>
      <c r="B1577" t="s">
        <v>50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1522</v>
      </c>
      <c r="B1578" t="s">
        <v>50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1518</v>
      </c>
      <c r="B1579" t="s">
        <v>50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1521</v>
      </c>
      <c r="B1580" t="s">
        <v>50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1651</v>
      </c>
      <c r="B1581" t="s">
        <v>50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1653</v>
      </c>
      <c r="B1582" t="s">
        <v>50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1654</v>
      </c>
      <c r="B1583" t="s">
        <v>50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1652</v>
      </c>
      <c r="B1584" t="s">
        <v>50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1670</v>
      </c>
      <c r="B1585" t="s">
        <v>50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1810</v>
      </c>
      <c r="B1586" t="s">
        <v>50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1669</v>
      </c>
      <c r="B1587" t="s">
        <v>50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1671</v>
      </c>
      <c r="B1588" t="s">
        <v>50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1745</v>
      </c>
      <c r="B1589" t="s">
        <v>50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1527</v>
      </c>
      <c r="B1590" t="s">
        <v>50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1524</v>
      </c>
      <c r="B1591" t="s">
        <v>50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1525</v>
      </c>
      <c r="B1592" t="s">
        <v>50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1756</v>
      </c>
      <c r="B1593" t="s">
        <v>50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1526</v>
      </c>
      <c r="B1594" t="s">
        <v>50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1763</v>
      </c>
      <c r="B1595" t="s">
        <v>50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1403</v>
      </c>
      <c r="B1596" t="s">
        <v>50</v>
      </c>
      <c r="C1596" t="s">
        <v>57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1407</v>
      </c>
      <c r="B1597" t="s">
        <v>50</v>
      </c>
      <c r="C1597" t="s">
        <v>57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1405</v>
      </c>
      <c r="B1598" t="s">
        <v>50</v>
      </c>
      <c r="C1598" t="s">
        <v>57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1406</v>
      </c>
      <c r="B1599" t="s">
        <v>50</v>
      </c>
      <c r="C1599" t="s">
        <v>57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1404</v>
      </c>
      <c r="B1600" t="s">
        <v>50</v>
      </c>
      <c r="C1600" t="s">
        <v>57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1408</v>
      </c>
      <c r="B1601" t="s">
        <v>50</v>
      </c>
      <c r="C1601" t="s">
        <v>57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1816</v>
      </c>
      <c r="B1602" t="s">
        <v>50</v>
      </c>
      <c r="C1602" t="s">
        <v>57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1428</v>
      </c>
      <c r="B1603" t="s">
        <v>50</v>
      </c>
      <c r="C1603" t="s">
        <v>57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1425</v>
      </c>
      <c r="B1604" t="s">
        <v>50</v>
      </c>
      <c r="C1604" t="s">
        <v>57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1427</v>
      </c>
      <c r="B1605" t="s">
        <v>50</v>
      </c>
      <c r="C1605" t="s">
        <v>57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1426</v>
      </c>
      <c r="B1606" t="s">
        <v>50</v>
      </c>
      <c r="C1606" t="s">
        <v>57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1812</v>
      </c>
      <c r="B1607" t="s">
        <v>50</v>
      </c>
      <c r="C1607" t="s">
        <v>57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1410</v>
      </c>
      <c r="B1608" t="s">
        <v>50</v>
      </c>
      <c r="C1608" t="s">
        <v>57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1409</v>
      </c>
      <c r="B1609" t="s">
        <v>50</v>
      </c>
      <c r="C1609" t="s">
        <v>57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1411</v>
      </c>
      <c r="B1610" t="s">
        <v>50</v>
      </c>
      <c r="C1610" t="s">
        <v>57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1815</v>
      </c>
      <c r="B1611" t="s">
        <v>50</v>
      </c>
      <c r="C1611" t="s">
        <v>57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1433</v>
      </c>
      <c r="B1612" t="s">
        <v>50</v>
      </c>
      <c r="C1612" t="s">
        <v>57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1432</v>
      </c>
      <c r="B1613" t="s">
        <v>50</v>
      </c>
      <c r="C1613" t="s">
        <v>57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1431</v>
      </c>
      <c r="B1614" t="s">
        <v>50</v>
      </c>
      <c r="C1614" t="s">
        <v>57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1430</v>
      </c>
      <c r="B1615" t="s">
        <v>50</v>
      </c>
      <c r="C1615" t="s">
        <v>57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1429</v>
      </c>
      <c r="B1616" t="s">
        <v>50</v>
      </c>
      <c r="C1616" t="s">
        <v>57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1445</v>
      </c>
      <c r="B1617" t="s">
        <v>50</v>
      </c>
      <c r="C1617" t="s">
        <v>57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1446</v>
      </c>
      <c r="B1618" t="s">
        <v>50</v>
      </c>
      <c r="C1618" t="s">
        <v>57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1444</v>
      </c>
      <c r="B1619" t="s">
        <v>50</v>
      </c>
      <c r="C1619" t="s">
        <v>57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1447</v>
      </c>
      <c r="B1620" t="s">
        <v>50</v>
      </c>
      <c r="C1620" t="s">
        <v>57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1462</v>
      </c>
      <c r="B1621" t="s">
        <v>50</v>
      </c>
      <c r="C1621" t="s">
        <v>57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1825</v>
      </c>
      <c r="B1622" t="s">
        <v>50</v>
      </c>
      <c r="C1622" t="s">
        <v>57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1827</v>
      </c>
      <c r="B1623" t="s">
        <v>50</v>
      </c>
      <c r="C1623" t="s">
        <v>57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1461</v>
      </c>
      <c r="B1624" t="s">
        <v>50</v>
      </c>
      <c r="C1624" t="s">
        <v>57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1414</v>
      </c>
      <c r="B1625" t="s">
        <v>50</v>
      </c>
      <c r="C1625" t="s">
        <v>57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1415</v>
      </c>
      <c r="B1626" t="s">
        <v>50</v>
      </c>
      <c r="C1626" t="s">
        <v>57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1813</v>
      </c>
      <c r="B1627" t="s">
        <v>50</v>
      </c>
      <c r="C1627" t="s">
        <v>57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1413</v>
      </c>
      <c r="B1628" t="s">
        <v>50</v>
      </c>
      <c r="C1628" t="s">
        <v>57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1412</v>
      </c>
      <c r="B1629" t="s">
        <v>50</v>
      </c>
      <c r="C1629" t="s">
        <v>57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1436</v>
      </c>
      <c r="B1630" t="s">
        <v>50</v>
      </c>
      <c r="C1630" t="s">
        <v>57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1434</v>
      </c>
      <c r="B1631" t="s">
        <v>50</v>
      </c>
      <c r="C1631" t="s">
        <v>57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1819</v>
      </c>
      <c r="B1632" t="s">
        <v>50</v>
      </c>
      <c r="C1632" t="s">
        <v>57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1435</v>
      </c>
      <c r="B1633" t="s">
        <v>50</v>
      </c>
      <c r="C1633" t="s">
        <v>57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1820</v>
      </c>
      <c r="B1634" t="s">
        <v>50</v>
      </c>
      <c r="C1634" t="s">
        <v>57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1449</v>
      </c>
      <c r="B1635" t="s">
        <v>50</v>
      </c>
      <c r="C1635" t="s">
        <v>57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1448</v>
      </c>
      <c r="B1636" t="s">
        <v>50</v>
      </c>
      <c r="C1636" t="s">
        <v>57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1450</v>
      </c>
      <c r="B1637" t="s">
        <v>50</v>
      </c>
      <c r="C1637" t="s">
        <v>57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1451</v>
      </c>
      <c r="B1638" t="s">
        <v>50</v>
      </c>
      <c r="C1638" t="s">
        <v>57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1464</v>
      </c>
      <c r="B1639" t="s">
        <v>50</v>
      </c>
      <c r="C1639" t="s">
        <v>57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1826</v>
      </c>
      <c r="B1640" t="s">
        <v>50</v>
      </c>
      <c r="C1640" t="s">
        <v>57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1463</v>
      </c>
      <c r="B1641" t="s">
        <v>50</v>
      </c>
      <c r="C1641" t="s">
        <v>57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1828</v>
      </c>
      <c r="B1642" t="s">
        <v>50</v>
      </c>
      <c r="C1642" t="s">
        <v>57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1419</v>
      </c>
      <c r="B1643" t="s">
        <v>50</v>
      </c>
      <c r="C1643" t="s">
        <v>57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1417</v>
      </c>
      <c r="B1644" t="s">
        <v>50</v>
      </c>
      <c r="C1644" t="s">
        <v>57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1418</v>
      </c>
      <c r="B1645" t="s">
        <v>50</v>
      </c>
      <c r="C1645" t="s">
        <v>57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1416</v>
      </c>
      <c r="B1646" t="s">
        <v>50</v>
      </c>
      <c r="C1646" t="s">
        <v>57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1420</v>
      </c>
      <c r="B1647" t="s">
        <v>50</v>
      </c>
      <c r="C1647" t="s">
        <v>57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1438</v>
      </c>
      <c r="B1648" t="s">
        <v>50</v>
      </c>
      <c r="C1648" t="s">
        <v>57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1818</v>
      </c>
      <c r="B1649" t="s">
        <v>50</v>
      </c>
      <c r="C1649" t="s">
        <v>57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1440</v>
      </c>
      <c r="B1650" t="s">
        <v>50</v>
      </c>
      <c r="C1650" t="s">
        <v>57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1437</v>
      </c>
      <c r="B1651" t="s">
        <v>50</v>
      </c>
      <c r="C1651" t="s">
        <v>57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1439</v>
      </c>
      <c r="B1652" t="s">
        <v>50</v>
      </c>
      <c r="C1652" t="s">
        <v>57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1452</v>
      </c>
      <c r="B1653" t="s">
        <v>50</v>
      </c>
      <c r="C1653" t="s">
        <v>57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1455</v>
      </c>
      <c r="B1654" t="s">
        <v>50</v>
      </c>
      <c r="C1654" t="s">
        <v>57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1453</v>
      </c>
      <c r="B1655" t="s">
        <v>50</v>
      </c>
      <c r="C1655" t="s">
        <v>57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1454</v>
      </c>
      <c r="B1656" t="s">
        <v>50</v>
      </c>
      <c r="C1656" t="s">
        <v>57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1466</v>
      </c>
      <c r="B1657" t="s">
        <v>50</v>
      </c>
      <c r="C1657" t="s">
        <v>57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1467</v>
      </c>
      <c r="B1658" t="s">
        <v>50</v>
      </c>
      <c r="C1658" t="s">
        <v>57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1468</v>
      </c>
      <c r="B1659" t="s">
        <v>50</v>
      </c>
      <c r="C1659" t="s">
        <v>57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1465</v>
      </c>
      <c r="B1660" t="s">
        <v>50</v>
      </c>
      <c r="C1660" t="s">
        <v>57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1422</v>
      </c>
      <c r="B1661" t="s">
        <v>50</v>
      </c>
      <c r="C1661" t="s">
        <v>57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1423</v>
      </c>
      <c r="B1662" t="s">
        <v>50</v>
      </c>
      <c r="C1662" t="s">
        <v>57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1814</v>
      </c>
      <c r="B1663" t="s">
        <v>50</v>
      </c>
      <c r="C1663" t="s">
        <v>57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1421</v>
      </c>
      <c r="B1664" t="s">
        <v>50</v>
      </c>
      <c r="C1664" t="s">
        <v>57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1424</v>
      </c>
      <c r="B1665" t="s">
        <v>50</v>
      </c>
      <c r="C1665" t="s">
        <v>57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1817</v>
      </c>
      <c r="B1666" t="s">
        <v>50</v>
      </c>
      <c r="C1666" t="s">
        <v>57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1442</v>
      </c>
      <c r="B1667" t="s">
        <v>50</v>
      </c>
      <c r="C1667" t="s">
        <v>57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1443</v>
      </c>
      <c r="B1668" t="s">
        <v>50</v>
      </c>
      <c r="C1668" t="s">
        <v>57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1441</v>
      </c>
      <c r="B1669" t="s">
        <v>50</v>
      </c>
      <c r="C1669" t="s">
        <v>57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1821</v>
      </c>
      <c r="B1670" t="s">
        <v>50</v>
      </c>
      <c r="C1670" t="s">
        <v>57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1456</v>
      </c>
      <c r="B1671" t="s">
        <v>50</v>
      </c>
      <c r="C1671" t="s">
        <v>57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1822</v>
      </c>
      <c r="B1672" t="s">
        <v>50</v>
      </c>
      <c r="C1672" t="s">
        <v>57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1458</v>
      </c>
      <c r="B1673" t="s">
        <v>50</v>
      </c>
      <c r="C1673" t="s">
        <v>57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1457</v>
      </c>
      <c r="B1674" t="s">
        <v>50</v>
      </c>
      <c r="C1674" t="s">
        <v>57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1472</v>
      </c>
      <c r="B1675" t="s">
        <v>50</v>
      </c>
      <c r="C1675" t="s">
        <v>57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1471</v>
      </c>
      <c r="B1676" t="s">
        <v>50</v>
      </c>
      <c r="C1676" t="s">
        <v>57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1470</v>
      </c>
      <c r="B1677" t="s">
        <v>50</v>
      </c>
      <c r="C1677" t="s">
        <v>57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1469</v>
      </c>
      <c r="B1678" t="s">
        <v>50</v>
      </c>
      <c r="C1678" t="s">
        <v>57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1459</v>
      </c>
      <c r="B1679" t="s">
        <v>50</v>
      </c>
      <c r="C1679" t="s">
        <v>57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1460</v>
      </c>
      <c r="B1680" t="s">
        <v>50</v>
      </c>
      <c r="C1680" t="s">
        <v>57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1823</v>
      </c>
      <c r="B1681" t="s">
        <v>50</v>
      </c>
      <c r="C1681" t="s">
        <v>57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1824</v>
      </c>
      <c r="B1682" t="s">
        <v>50</v>
      </c>
      <c r="C1682" t="s">
        <v>57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1473</v>
      </c>
      <c r="B1683" t="s">
        <v>50</v>
      </c>
      <c r="C1683" t="s">
        <v>57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1475</v>
      </c>
      <c r="B1684" t="s">
        <v>50</v>
      </c>
      <c r="C1684" t="s">
        <v>57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1474</v>
      </c>
      <c r="B1685" t="s">
        <v>50</v>
      </c>
      <c r="C1685" t="s">
        <v>57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1476</v>
      </c>
      <c r="B1686" t="s">
        <v>50</v>
      </c>
      <c r="C1686" t="s">
        <v>57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1355</v>
      </c>
      <c r="B1687" t="s">
        <v>50</v>
      </c>
      <c r="C1687" t="s">
        <v>58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1354</v>
      </c>
      <c r="B1688" t="s">
        <v>50</v>
      </c>
      <c r="C1688" t="s">
        <v>58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1356</v>
      </c>
      <c r="B1689" t="s">
        <v>50</v>
      </c>
      <c r="C1689" t="s">
        <v>58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1833</v>
      </c>
      <c r="B1690" t="s">
        <v>50</v>
      </c>
      <c r="C1690" t="s">
        <v>58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1357</v>
      </c>
      <c r="B1691" t="s">
        <v>50</v>
      </c>
      <c r="C1691" t="s">
        <v>58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1359</v>
      </c>
      <c r="B1692" t="s">
        <v>50</v>
      </c>
      <c r="C1692" t="s">
        <v>58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1360</v>
      </c>
      <c r="B1693" t="s">
        <v>50</v>
      </c>
      <c r="C1693" t="s">
        <v>58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1358</v>
      </c>
      <c r="B1694" t="s">
        <v>50</v>
      </c>
      <c r="C1694" t="s">
        <v>58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1834</v>
      </c>
      <c r="B1695" t="s">
        <v>50</v>
      </c>
      <c r="C1695" t="s">
        <v>58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1361</v>
      </c>
      <c r="B1696" t="s">
        <v>50</v>
      </c>
      <c r="C1696" t="s">
        <v>58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1836</v>
      </c>
      <c r="B1697" t="s">
        <v>50</v>
      </c>
      <c r="C1697" t="s">
        <v>58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1838</v>
      </c>
      <c r="B1698" t="s">
        <v>50</v>
      </c>
      <c r="C1698" t="s">
        <v>58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1372</v>
      </c>
      <c r="B1699" t="s">
        <v>50</v>
      </c>
      <c r="C1699" t="s">
        <v>58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1373</v>
      </c>
      <c r="B1700" t="s">
        <v>50</v>
      </c>
      <c r="C1700" t="s">
        <v>58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1387</v>
      </c>
      <c r="B1701" t="s">
        <v>50</v>
      </c>
      <c r="C1701" t="s">
        <v>58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1388</v>
      </c>
      <c r="B1702" t="s">
        <v>50</v>
      </c>
      <c r="C1702" t="s">
        <v>58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1386</v>
      </c>
      <c r="B1703" t="s">
        <v>50</v>
      </c>
      <c r="C1703" t="s">
        <v>58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1389</v>
      </c>
      <c r="B1704" t="s">
        <v>50</v>
      </c>
      <c r="C1704" t="s">
        <v>58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1362</v>
      </c>
      <c r="B1705" t="s">
        <v>50</v>
      </c>
      <c r="C1705" t="s">
        <v>58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1363</v>
      </c>
      <c r="B1706" t="s">
        <v>50</v>
      </c>
      <c r="C1706" t="s">
        <v>58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1366</v>
      </c>
      <c r="B1707" t="s">
        <v>50</v>
      </c>
      <c r="C1707" t="s">
        <v>58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1364</v>
      </c>
      <c r="B1708" t="s">
        <v>50</v>
      </c>
      <c r="C1708" t="s">
        <v>58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1365</v>
      </c>
      <c r="B1709" t="s">
        <v>50</v>
      </c>
      <c r="C1709" t="s">
        <v>58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1837</v>
      </c>
      <c r="B1710" t="s">
        <v>50</v>
      </c>
      <c r="C1710" t="s">
        <v>58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1374</v>
      </c>
      <c r="B1711" t="s">
        <v>50</v>
      </c>
      <c r="C1711" t="s">
        <v>58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1839</v>
      </c>
      <c r="B1712" t="s">
        <v>50</v>
      </c>
      <c r="C1712" t="s">
        <v>58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1841</v>
      </c>
      <c r="B1713" t="s">
        <v>50</v>
      </c>
      <c r="C1713" t="s">
        <v>58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1392</v>
      </c>
      <c r="B1714" t="s">
        <v>50</v>
      </c>
      <c r="C1714" t="s">
        <v>58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1391</v>
      </c>
      <c r="B1715" t="s">
        <v>50</v>
      </c>
      <c r="C1715" t="s">
        <v>58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1390</v>
      </c>
      <c r="B1716" t="s">
        <v>50</v>
      </c>
      <c r="C1716" t="s">
        <v>58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1393</v>
      </c>
      <c r="B1717" t="s">
        <v>50</v>
      </c>
      <c r="C1717" t="s">
        <v>58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1829</v>
      </c>
      <c r="B1718" t="s">
        <v>50</v>
      </c>
      <c r="C1718" t="s">
        <v>58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1831</v>
      </c>
      <c r="B1719" t="s">
        <v>50</v>
      </c>
      <c r="C1719" t="s">
        <v>58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1368</v>
      </c>
      <c r="B1720" t="s">
        <v>50</v>
      </c>
      <c r="C1720" t="s">
        <v>58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1369</v>
      </c>
      <c r="B1721" t="s">
        <v>50</v>
      </c>
      <c r="C1721" t="s">
        <v>58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1367</v>
      </c>
      <c r="B1722" t="s">
        <v>50</v>
      </c>
      <c r="C1722" t="s">
        <v>58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1376</v>
      </c>
      <c r="B1723" t="s">
        <v>50</v>
      </c>
      <c r="C1723" t="s">
        <v>58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1377</v>
      </c>
      <c r="B1724" t="s">
        <v>50</v>
      </c>
      <c r="C1724" t="s">
        <v>58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1840</v>
      </c>
      <c r="B1725" t="s">
        <v>50</v>
      </c>
      <c r="C1725" t="s">
        <v>58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1375</v>
      </c>
      <c r="B1726" t="s">
        <v>50</v>
      </c>
      <c r="C1726" t="s">
        <v>58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1395</v>
      </c>
      <c r="B1727" t="s">
        <v>50</v>
      </c>
      <c r="C1727" t="s">
        <v>58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1396</v>
      </c>
      <c r="B1728" t="s">
        <v>50</v>
      </c>
      <c r="C1728" t="s">
        <v>58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1397</v>
      </c>
      <c r="B1729" t="s">
        <v>50</v>
      </c>
      <c r="C1729" t="s">
        <v>58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1394</v>
      </c>
      <c r="B1730" t="s">
        <v>50</v>
      </c>
      <c r="C1730" t="s">
        <v>58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1830</v>
      </c>
      <c r="B1731" t="s">
        <v>50</v>
      </c>
      <c r="C1731" t="s">
        <v>58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1832</v>
      </c>
      <c r="B1732" t="s">
        <v>50</v>
      </c>
      <c r="C1732" t="s">
        <v>58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1371</v>
      </c>
      <c r="B1733" t="s">
        <v>50</v>
      </c>
      <c r="C1733" t="s">
        <v>58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1835</v>
      </c>
      <c r="B1734" t="s">
        <v>50</v>
      </c>
      <c r="C1734" t="s">
        <v>58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1370</v>
      </c>
      <c r="B1735" t="s">
        <v>50</v>
      </c>
      <c r="C1735" t="s">
        <v>58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1381</v>
      </c>
      <c r="B1736" t="s">
        <v>50</v>
      </c>
      <c r="C1736" t="s">
        <v>58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1379</v>
      </c>
      <c r="B1737" t="s">
        <v>50</v>
      </c>
      <c r="C1737" t="s">
        <v>58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1380</v>
      </c>
      <c r="B1738" t="s">
        <v>50</v>
      </c>
      <c r="C1738" t="s">
        <v>58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1378</v>
      </c>
      <c r="B1739" t="s">
        <v>50</v>
      </c>
      <c r="C1739" t="s">
        <v>58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1842</v>
      </c>
      <c r="B1740" t="s">
        <v>50</v>
      </c>
      <c r="C1740" t="s">
        <v>58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1398</v>
      </c>
      <c r="B1741" t="s">
        <v>50</v>
      </c>
      <c r="C1741" t="s">
        <v>58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1399</v>
      </c>
      <c r="B1742" t="s">
        <v>50</v>
      </c>
      <c r="C1742" t="s">
        <v>58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1400</v>
      </c>
      <c r="B1743" t="s">
        <v>50</v>
      </c>
      <c r="C1743" t="s">
        <v>58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1385</v>
      </c>
      <c r="B1744" t="s">
        <v>50</v>
      </c>
      <c r="C1744" t="s">
        <v>58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1384</v>
      </c>
      <c r="B1745" t="s">
        <v>50</v>
      </c>
      <c r="C1745" t="s">
        <v>58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1382</v>
      </c>
      <c r="B1746" t="s">
        <v>50</v>
      </c>
      <c r="C1746" t="s">
        <v>58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1383</v>
      </c>
      <c r="B1747" t="s">
        <v>50</v>
      </c>
      <c r="C1747" t="s">
        <v>58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1402</v>
      </c>
      <c r="B1748" t="s">
        <v>50</v>
      </c>
      <c r="C1748" t="s">
        <v>58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1401</v>
      </c>
      <c r="B1749" t="s">
        <v>50</v>
      </c>
      <c r="C1749" t="s">
        <v>58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1843</v>
      </c>
      <c r="B1750" t="s">
        <v>50</v>
      </c>
      <c r="C1750" t="s">
        <v>58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1844</v>
      </c>
      <c r="B1751" t="s">
        <v>50</v>
      </c>
      <c r="C1751" t="s">
        <v>58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1303</v>
      </c>
      <c r="B1752" t="s">
        <v>50</v>
      </c>
      <c r="C1752" t="s">
        <v>59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1305</v>
      </c>
      <c r="B1753" t="s">
        <v>50</v>
      </c>
      <c r="C1753" t="s">
        <v>59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1308</v>
      </c>
      <c r="B1754" t="s">
        <v>50</v>
      </c>
      <c r="C1754" t="s">
        <v>59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1304</v>
      </c>
      <c r="B1755" t="s">
        <v>50</v>
      </c>
      <c r="C1755" t="s">
        <v>59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1306</v>
      </c>
      <c r="B1756" t="s">
        <v>50</v>
      </c>
      <c r="C1756" t="s">
        <v>59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1307</v>
      </c>
      <c r="B1757" t="s">
        <v>50</v>
      </c>
      <c r="C1757" t="s">
        <v>59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1309</v>
      </c>
      <c r="B1758" t="s">
        <v>50</v>
      </c>
      <c r="C1758" t="s">
        <v>59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1314</v>
      </c>
      <c r="B1759" t="s">
        <v>50</v>
      </c>
      <c r="C1759" t="s">
        <v>59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1310</v>
      </c>
      <c r="B1760" t="s">
        <v>50</v>
      </c>
      <c r="C1760" t="s">
        <v>59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1312</v>
      </c>
      <c r="B1761" t="s">
        <v>50</v>
      </c>
      <c r="C1761" t="s">
        <v>59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1313</v>
      </c>
      <c r="B1762" t="s">
        <v>50</v>
      </c>
      <c r="C1762" t="s">
        <v>59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1311</v>
      </c>
      <c r="B1763" t="s">
        <v>50</v>
      </c>
      <c r="C1763" t="s">
        <v>59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1332</v>
      </c>
      <c r="B1764" t="s">
        <v>50</v>
      </c>
      <c r="C1764" t="s">
        <v>59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1335</v>
      </c>
      <c r="B1765" t="s">
        <v>50</v>
      </c>
      <c r="C1765" t="s">
        <v>59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1333</v>
      </c>
      <c r="B1766" t="s">
        <v>50</v>
      </c>
      <c r="C1766" t="s">
        <v>59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1334</v>
      </c>
      <c r="B1767" t="s">
        <v>50</v>
      </c>
      <c r="C1767" t="s">
        <v>59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1857</v>
      </c>
      <c r="B1768" t="s">
        <v>50</v>
      </c>
      <c r="C1768" t="s">
        <v>59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1347</v>
      </c>
      <c r="B1769" t="s">
        <v>50</v>
      </c>
      <c r="C1769" t="s">
        <v>59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1859</v>
      </c>
      <c r="B1770" t="s">
        <v>50</v>
      </c>
      <c r="C1770" t="s">
        <v>59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1845</v>
      </c>
      <c r="B1771" t="s">
        <v>50</v>
      </c>
      <c r="C1771" t="s">
        <v>59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1318</v>
      </c>
      <c r="B1772" t="s">
        <v>50</v>
      </c>
      <c r="C1772" t="s">
        <v>59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1315</v>
      </c>
      <c r="B1773" t="s">
        <v>50</v>
      </c>
      <c r="C1773" t="s">
        <v>59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1848</v>
      </c>
      <c r="B1774" t="s">
        <v>50</v>
      </c>
      <c r="C1774" t="s">
        <v>59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1317</v>
      </c>
      <c r="B1775" t="s">
        <v>50</v>
      </c>
      <c r="C1775" t="s">
        <v>59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1316</v>
      </c>
      <c r="B1776" t="s">
        <v>50</v>
      </c>
      <c r="C1776" t="s">
        <v>59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1852</v>
      </c>
      <c r="B1777" t="s">
        <v>50</v>
      </c>
      <c r="C1777" t="s">
        <v>59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1338</v>
      </c>
      <c r="B1778" t="s">
        <v>50</v>
      </c>
      <c r="C1778" t="s">
        <v>59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1337</v>
      </c>
      <c r="B1779" t="s">
        <v>50</v>
      </c>
      <c r="C1779" t="s">
        <v>59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1336</v>
      </c>
      <c r="B1780" t="s">
        <v>50</v>
      </c>
      <c r="C1780" t="s">
        <v>59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1348</v>
      </c>
      <c r="B1781" t="s">
        <v>50</v>
      </c>
      <c r="C1781" t="s">
        <v>59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1349</v>
      </c>
      <c r="B1782" t="s">
        <v>50</v>
      </c>
      <c r="C1782" t="s">
        <v>59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1860</v>
      </c>
      <c r="B1783" t="s">
        <v>50</v>
      </c>
      <c r="C1783" t="s">
        <v>59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1321</v>
      </c>
      <c r="B1784" t="s">
        <v>50</v>
      </c>
      <c r="C1784" t="s">
        <v>59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1319</v>
      </c>
      <c r="B1785" t="s">
        <v>50</v>
      </c>
      <c r="C1785" t="s">
        <v>59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1846</v>
      </c>
      <c r="B1786" t="s">
        <v>50</v>
      </c>
      <c r="C1786" t="s">
        <v>59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1320</v>
      </c>
      <c r="B1787" t="s">
        <v>50</v>
      </c>
      <c r="C1787" t="s">
        <v>59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1850</v>
      </c>
      <c r="B1788" t="s">
        <v>50</v>
      </c>
      <c r="C1788" t="s">
        <v>59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1322</v>
      </c>
      <c r="B1789" t="s">
        <v>50</v>
      </c>
      <c r="C1789" t="s">
        <v>59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1340</v>
      </c>
      <c r="B1790" t="s">
        <v>50</v>
      </c>
      <c r="C1790" t="s">
        <v>59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1855</v>
      </c>
      <c r="B1791" t="s">
        <v>50</v>
      </c>
      <c r="C1791" t="s">
        <v>59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1339</v>
      </c>
      <c r="B1792" t="s">
        <v>50</v>
      </c>
      <c r="C1792" t="s">
        <v>59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1856</v>
      </c>
      <c r="B1793" t="s">
        <v>50</v>
      </c>
      <c r="C1793" t="s">
        <v>59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1351</v>
      </c>
      <c r="B1794" t="s">
        <v>50</v>
      </c>
      <c r="C1794" t="s">
        <v>59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1350</v>
      </c>
      <c r="B1795" t="s">
        <v>50</v>
      </c>
      <c r="C1795" t="s">
        <v>59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1861</v>
      </c>
      <c r="B1796" t="s">
        <v>50</v>
      </c>
      <c r="C1796" t="s">
        <v>59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1325</v>
      </c>
      <c r="B1797" t="s">
        <v>50</v>
      </c>
      <c r="C1797" t="s">
        <v>59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1323</v>
      </c>
      <c r="B1798" t="s">
        <v>50</v>
      </c>
      <c r="C1798" t="s">
        <v>59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1324</v>
      </c>
      <c r="B1799" t="s">
        <v>50</v>
      </c>
      <c r="C1799" t="s">
        <v>59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1849</v>
      </c>
      <c r="B1800" t="s">
        <v>50</v>
      </c>
      <c r="C1800" t="s">
        <v>59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1851</v>
      </c>
      <c r="B1801" t="s">
        <v>50</v>
      </c>
      <c r="C1801" t="s">
        <v>59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1326</v>
      </c>
      <c r="B1802" t="s">
        <v>50</v>
      </c>
      <c r="C1802" t="s">
        <v>59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1853</v>
      </c>
      <c r="B1803" t="s">
        <v>50</v>
      </c>
      <c r="C1803" t="s">
        <v>59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1341</v>
      </c>
      <c r="B1804" t="s">
        <v>50</v>
      </c>
      <c r="C1804" t="s">
        <v>59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1343</v>
      </c>
      <c r="B1805" t="s">
        <v>50</v>
      </c>
      <c r="C1805" t="s">
        <v>59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1342</v>
      </c>
      <c r="B1806" t="s">
        <v>50</v>
      </c>
      <c r="C1806" t="s">
        <v>59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1352</v>
      </c>
      <c r="B1807" t="s">
        <v>50</v>
      </c>
      <c r="C1807" t="s">
        <v>59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1858</v>
      </c>
      <c r="B1808" t="s">
        <v>50</v>
      </c>
      <c r="C1808" t="s">
        <v>59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1862</v>
      </c>
      <c r="B1809" t="s">
        <v>50</v>
      </c>
      <c r="C1809" t="s">
        <v>59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1327</v>
      </c>
      <c r="B1810" t="s">
        <v>50</v>
      </c>
      <c r="C1810" t="s">
        <v>59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1329</v>
      </c>
      <c r="B1811" t="s">
        <v>50</v>
      </c>
      <c r="C1811" t="s">
        <v>59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1847</v>
      </c>
      <c r="B1812" t="s">
        <v>50</v>
      </c>
      <c r="C1812" t="s">
        <v>59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1331</v>
      </c>
      <c r="B1813" t="s">
        <v>50</v>
      </c>
      <c r="C1813" t="s">
        <v>59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1328</v>
      </c>
      <c r="B1814" t="s">
        <v>50</v>
      </c>
      <c r="C1814" t="s">
        <v>59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1330</v>
      </c>
      <c r="B1815" t="s">
        <v>50</v>
      </c>
      <c r="C1815" t="s">
        <v>59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1854</v>
      </c>
      <c r="B1816" t="s">
        <v>50</v>
      </c>
      <c r="C1816" t="s">
        <v>59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1345</v>
      </c>
      <c r="B1817" t="s">
        <v>50</v>
      </c>
      <c r="C1817" t="s">
        <v>59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1344</v>
      </c>
      <c r="B1818" t="s">
        <v>50</v>
      </c>
      <c r="C1818" t="s">
        <v>59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1346</v>
      </c>
      <c r="B1819" t="s">
        <v>50</v>
      </c>
      <c r="C1819" t="s">
        <v>59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1353</v>
      </c>
      <c r="B1820" t="s">
        <v>50</v>
      </c>
      <c r="C1820" t="s">
        <v>59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1142</v>
      </c>
      <c r="B1821" t="s">
        <v>50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1145</v>
      </c>
      <c r="B1822" t="s">
        <v>50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1707</v>
      </c>
      <c r="B1823" t="s">
        <v>50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1144</v>
      </c>
      <c r="B1824" t="s">
        <v>50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1708</v>
      </c>
      <c r="B1825" t="s">
        <v>50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1143</v>
      </c>
      <c r="B1826" t="s">
        <v>50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1711</v>
      </c>
      <c r="B1827" t="s">
        <v>50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1189</v>
      </c>
      <c r="B1828" t="s">
        <v>50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1190</v>
      </c>
      <c r="B1829" t="s">
        <v>50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1191</v>
      </c>
      <c r="B1830" t="s">
        <v>50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1193</v>
      </c>
      <c r="B1831" t="s">
        <v>50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1192</v>
      </c>
      <c r="B1832" t="s">
        <v>50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1194</v>
      </c>
      <c r="B1833" t="s">
        <v>50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1195</v>
      </c>
      <c r="B1834" t="s">
        <v>50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1150</v>
      </c>
      <c r="B1835" t="s">
        <v>50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2171</v>
      </c>
      <c r="B1836" t="s">
        <v>50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1147</v>
      </c>
      <c r="B1837" t="s">
        <v>50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1149</v>
      </c>
      <c r="B1838" t="s">
        <v>50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1146</v>
      </c>
      <c r="B1839" t="s">
        <v>50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1151</v>
      </c>
      <c r="B1840" t="s">
        <v>50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1148</v>
      </c>
      <c r="B1841" t="s">
        <v>50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1198</v>
      </c>
      <c r="B1842" t="s">
        <v>50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2180</v>
      </c>
      <c r="B1843" t="s">
        <v>50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1201</v>
      </c>
      <c r="B1844" t="s">
        <v>50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1200</v>
      </c>
      <c r="B1845" t="s">
        <v>50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1199</v>
      </c>
      <c r="B1846" t="s">
        <v>50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1197</v>
      </c>
      <c r="B1847" t="s">
        <v>50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1196</v>
      </c>
      <c r="B1848" t="s">
        <v>50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1220</v>
      </c>
      <c r="B1849" t="s">
        <v>50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1218</v>
      </c>
      <c r="B1850" t="s">
        <v>50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1219</v>
      </c>
      <c r="B1851" t="s">
        <v>50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1718</v>
      </c>
      <c r="B1852" t="s">
        <v>50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1720</v>
      </c>
      <c r="B1853" t="s">
        <v>50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1222</v>
      </c>
      <c r="B1854" t="s">
        <v>50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1221</v>
      </c>
      <c r="B1855" t="s">
        <v>50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1154</v>
      </c>
      <c r="B1856" t="s">
        <v>50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1153</v>
      </c>
      <c r="B1857" t="s">
        <v>50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1156</v>
      </c>
      <c r="B1858" t="s">
        <v>50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1157</v>
      </c>
      <c r="B1859" t="s">
        <v>50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1152</v>
      </c>
      <c r="B1860" t="s">
        <v>50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1155</v>
      </c>
      <c r="B1861" t="s">
        <v>50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1158</v>
      </c>
      <c r="B1862" t="s">
        <v>50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1202</v>
      </c>
      <c r="B1863" t="s">
        <v>50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1204</v>
      </c>
      <c r="B1864" t="s">
        <v>50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1713</v>
      </c>
      <c r="B1865" t="s">
        <v>50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1206</v>
      </c>
      <c r="B1866" t="s">
        <v>50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1716</v>
      </c>
      <c r="B1867" t="s">
        <v>50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1205</v>
      </c>
      <c r="B1868" t="s">
        <v>50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1203</v>
      </c>
      <c r="B1869" t="s">
        <v>50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1225</v>
      </c>
      <c r="B1870" t="s">
        <v>50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2181</v>
      </c>
      <c r="B1871" t="s">
        <v>50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1224</v>
      </c>
      <c r="B1872" t="s">
        <v>50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1223</v>
      </c>
      <c r="B1873" t="s">
        <v>50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1226</v>
      </c>
      <c r="B1874" t="s">
        <v>50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1722</v>
      </c>
      <c r="B1875" t="s">
        <v>50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1723</v>
      </c>
      <c r="B1876" t="s">
        <v>50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2175</v>
      </c>
      <c r="B1877" t="s">
        <v>50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1246</v>
      </c>
      <c r="B1878" t="s">
        <v>50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1726</v>
      </c>
      <c r="B1879" t="s">
        <v>50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1244</v>
      </c>
      <c r="B1880" t="s">
        <v>50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1243</v>
      </c>
      <c r="B1881" t="s">
        <v>50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1245</v>
      </c>
      <c r="B1882" t="s">
        <v>50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1732</v>
      </c>
      <c r="B1883" t="s">
        <v>50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1165</v>
      </c>
      <c r="B1884" t="s">
        <v>50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1159</v>
      </c>
      <c r="B1885" t="s">
        <v>50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1164</v>
      </c>
      <c r="B1886" t="s">
        <v>50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1160</v>
      </c>
      <c r="B1887" t="s">
        <v>50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1161</v>
      </c>
      <c r="B1888" t="s">
        <v>50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1162</v>
      </c>
      <c r="B1889" t="s">
        <v>50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1163</v>
      </c>
      <c r="B1890" t="s">
        <v>50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1207</v>
      </c>
      <c r="B1891" t="s">
        <v>50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1209</v>
      </c>
      <c r="B1892" t="s">
        <v>50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1714</v>
      </c>
      <c r="B1893" t="s">
        <v>50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1212</v>
      </c>
      <c r="B1894" t="s">
        <v>50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1210</v>
      </c>
      <c r="B1895" t="s">
        <v>50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1211</v>
      </c>
      <c r="B1896" t="s">
        <v>50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1208</v>
      </c>
      <c r="B1897" t="s">
        <v>50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1229</v>
      </c>
      <c r="B1898" t="s">
        <v>50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1228</v>
      </c>
      <c r="B1899" t="s">
        <v>50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1232</v>
      </c>
      <c r="B1900" t="s">
        <v>50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1227</v>
      </c>
      <c r="B1901" t="s">
        <v>50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1230</v>
      </c>
      <c r="B1902" t="s">
        <v>50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1231</v>
      </c>
      <c r="B1903" t="s">
        <v>50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1724</v>
      </c>
      <c r="B1904" t="s">
        <v>50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1252</v>
      </c>
      <c r="B1905" t="s">
        <v>50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1250</v>
      </c>
      <c r="B1906" t="s">
        <v>50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1727</v>
      </c>
      <c r="B1907" t="s">
        <v>50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1249</v>
      </c>
      <c r="B1908" t="s">
        <v>50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1251</v>
      </c>
      <c r="B1909" t="s">
        <v>50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1247</v>
      </c>
      <c r="B1910" t="s">
        <v>50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1248</v>
      </c>
      <c r="B1911" t="s">
        <v>50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1271</v>
      </c>
      <c r="B1912" t="s">
        <v>50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1268</v>
      </c>
      <c r="B1913" t="s">
        <v>50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1270</v>
      </c>
      <c r="B1914" t="s">
        <v>50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1273</v>
      </c>
      <c r="B1915" t="s">
        <v>50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1272</v>
      </c>
      <c r="B1916" t="s">
        <v>50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1269</v>
      </c>
      <c r="B1917" t="s">
        <v>50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2176</v>
      </c>
      <c r="B1918" t="s">
        <v>50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1292</v>
      </c>
      <c r="B1919" t="s">
        <v>50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2789</v>
      </c>
      <c r="B1920" t="s">
        <v>50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1293</v>
      </c>
      <c r="B1921" t="s">
        <v>50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1170</v>
      </c>
      <c r="B1922" t="s">
        <v>50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2178</v>
      </c>
      <c r="B1923" t="s">
        <v>50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1167</v>
      </c>
      <c r="B1924" t="s">
        <v>50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1168</v>
      </c>
      <c r="B1925" t="s">
        <v>50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1169</v>
      </c>
      <c r="B1926" t="s">
        <v>50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1710</v>
      </c>
      <c r="B1927" t="s">
        <v>50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1166</v>
      </c>
      <c r="B1928" t="s">
        <v>50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1213</v>
      </c>
      <c r="B1929" t="s">
        <v>50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1217</v>
      </c>
      <c r="B1930" t="s">
        <v>50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1715</v>
      </c>
      <c r="B1931" t="s">
        <v>50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1215</v>
      </c>
      <c r="B1932" t="s">
        <v>50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1216</v>
      </c>
      <c r="B1933" t="s">
        <v>50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1214</v>
      </c>
      <c r="B1934" t="s">
        <v>50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1717</v>
      </c>
      <c r="B1935" t="s">
        <v>50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1235</v>
      </c>
      <c r="B1936" t="s">
        <v>50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1236</v>
      </c>
      <c r="B1937" t="s">
        <v>50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1237</v>
      </c>
      <c r="B1938" t="s">
        <v>50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1233</v>
      </c>
      <c r="B1939" t="s">
        <v>50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1721</v>
      </c>
      <c r="B1940" t="s">
        <v>50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1234</v>
      </c>
      <c r="B1941" t="s">
        <v>50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1725</v>
      </c>
      <c r="B1942" t="s">
        <v>50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1257</v>
      </c>
      <c r="B1943" t="s">
        <v>50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1254</v>
      </c>
      <c r="B1944" t="s">
        <v>50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1728</v>
      </c>
      <c r="B1945" t="s">
        <v>50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1730</v>
      </c>
      <c r="B1946" t="s">
        <v>50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1255</v>
      </c>
      <c r="B1947" t="s">
        <v>50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1256</v>
      </c>
      <c r="B1948" t="s">
        <v>50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1253</v>
      </c>
      <c r="B1949" t="s">
        <v>50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1276</v>
      </c>
      <c r="B1950" t="s">
        <v>50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1275</v>
      </c>
      <c r="B1951" t="s">
        <v>50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1277</v>
      </c>
      <c r="B1952" t="s">
        <v>50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1734</v>
      </c>
      <c r="B1953" t="s">
        <v>50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1278</v>
      </c>
      <c r="B1954" t="s">
        <v>50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1274</v>
      </c>
      <c r="B1955" t="s">
        <v>50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1295</v>
      </c>
      <c r="B1956" t="s">
        <v>50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1738</v>
      </c>
      <c r="B1957" t="s">
        <v>50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2790</v>
      </c>
      <c r="B1958" t="s">
        <v>50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1294</v>
      </c>
      <c r="B1959" t="s">
        <v>50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1171</v>
      </c>
      <c r="B1960" t="s">
        <v>50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1172</v>
      </c>
      <c r="B1961" t="s">
        <v>50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1173</v>
      </c>
      <c r="B1962" t="s">
        <v>50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1177</v>
      </c>
      <c r="B1963" t="s">
        <v>50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1174</v>
      </c>
      <c r="B1964" t="s">
        <v>50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1175</v>
      </c>
      <c r="B1965" t="s">
        <v>50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1176</v>
      </c>
      <c r="B1966" t="s">
        <v>50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1239</v>
      </c>
      <c r="B1967" t="s">
        <v>50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2174</v>
      </c>
      <c r="B1968" t="s">
        <v>50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1242</v>
      </c>
      <c r="B1969" t="s">
        <v>50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1719</v>
      </c>
      <c r="B1970" t="s">
        <v>50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1240</v>
      </c>
      <c r="B1971" t="s">
        <v>50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1241</v>
      </c>
      <c r="B1972" t="s">
        <v>50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1238</v>
      </c>
      <c r="B1973" t="s">
        <v>50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1259</v>
      </c>
      <c r="B1974" t="s">
        <v>50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1262</v>
      </c>
      <c r="B1975" t="s">
        <v>50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1729</v>
      </c>
      <c r="B1976" t="s">
        <v>50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1260</v>
      </c>
      <c r="B1977" t="s">
        <v>50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1258</v>
      </c>
      <c r="B1978" t="s">
        <v>50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1261</v>
      </c>
      <c r="B1979" t="s">
        <v>50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1733</v>
      </c>
      <c r="B1980" t="s">
        <v>50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1280</v>
      </c>
      <c r="B1981" t="s">
        <v>50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2182</v>
      </c>
      <c r="B1982" t="s">
        <v>50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1279</v>
      </c>
      <c r="B1983" t="s">
        <v>50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1735</v>
      </c>
      <c r="B1984" t="s">
        <v>50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1736</v>
      </c>
      <c r="B1985" t="s">
        <v>50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1737</v>
      </c>
      <c r="B1986" t="s">
        <v>50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2173</v>
      </c>
      <c r="B1987" t="s">
        <v>50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1297</v>
      </c>
      <c r="B1988" t="s">
        <v>50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2791</v>
      </c>
      <c r="B1989" t="s">
        <v>50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1296</v>
      </c>
      <c r="B1990" t="s">
        <v>50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1182</v>
      </c>
      <c r="B1991" t="s">
        <v>50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1178</v>
      </c>
      <c r="B1992" t="s">
        <v>50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1181</v>
      </c>
      <c r="B1993" t="s">
        <v>50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1180</v>
      </c>
      <c r="B1994" t="s">
        <v>50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1709</v>
      </c>
      <c r="B1995" t="s">
        <v>50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1179</v>
      </c>
      <c r="B1996" t="s">
        <v>50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1712</v>
      </c>
      <c r="B1997" t="s">
        <v>50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2179</v>
      </c>
      <c r="B1998" t="s">
        <v>50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1263</v>
      </c>
      <c r="B1999" t="s">
        <v>50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1266</v>
      </c>
      <c r="B2000" t="s">
        <v>50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1267</v>
      </c>
      <c r="B2001" t="s">
        <v>50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1731</v>
      </c>
      <c r="B2002" t="s">
        <v>50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1264</v>
      </c>
      <c r="B2003" t="s">
        <v>50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1265</v>
      </c>
      <c r="B2004" t="s">
        <v>50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1284</v>
      </c>
      <c r="B2005" t="s">
        <v>50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1281</v>
      </c>
      <c r="B2006" t="s">
        <v>50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1283</v>
      </c>
      <c r="B2007" t="s">
        <v>50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1285</v>
      </c>
      <c r="B2008" t="s">
        <v>50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1282</v>
      </c>
      <c r="B2009" t="s">
        <v>50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1286</v>
      </c>
      <c r="B2010" t="s">
        <v>50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1300</v>
      </c>
      <c r="B2011" t="s">
        <v>50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1299</v>
      </c>
      <c r="B2012" t="s">
        <v>50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2792</v>
      </c>
      <c r="B2013" t="s">
        <v>50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1298</v>
      </c>
      <c r="B2014" t="s">
        <v>50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1187</v>
      </c>
      <c r="B2015" t="s">
        <v>50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1184</v>
      </c>
      <c r="B2016" t="s">
        <v>50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1183</v>
      </c>
      <c r="B2017" t="s">
        <v>50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1186</v>
      </c>
      <c r="B2018" t="s">
        <v>50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1185</v>
      </c>
      <c r="B2019" t="s">
        <v>50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1188</v>
      </c>
      <c r="B2020" t="s">
        <v>50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1289</v>
      </c>
      <c r="B2021" t="s">
        <v>50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2177</v>
      </c>
      <c r="B2022" t="s">
        <v>50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1291</v>
      </c>
      <c r="B2023" t="s">
        <v>50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1288</v>
      </c>
      <c r="B2024" t="s">
        <v>50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1290</v>
      </c>
      <c r="B2025" t="s">
        <v>50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1287</v>
      </c>
      <c r="B2026" t="s">
        <v>50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2172</v>
      </c>
      <c r="B2027" t="s">
        <v>50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1302</v>
      </c>
      <c r="B2028" t="s">
        <v>50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2793</v>
      </c>
      <c r="B2029" t="s">
        <v>50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1301</v>
      </c>
      <c r="B2030" t="s">
        <v>50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732</v>
      </c>
      <c r="B2031" t="s">
        <v>50</v>
      </c>
      <c r="C2031" t="s">
        <v>93</v>
      </c>
      <c r="D2031">
        <v>0</v>
      </c>
      <c r="E2031">
        <v>1.0900099999999999E-5</v>
      </c>
      <c r="F2031">
        <v>1E-10</v>
      </c>
      <c r="G2031" t="s">
        <v>94</v>
      </c>
      <c r="H2031" t="s">
        <v>94</v>
      </c>
      <c r="I2031">
        <v>0</v>
      </c>
      <c r="J2031">
        <v>0</v>
      </c>
      <c r="K2031" t="s">
        <v>1673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733</v>
      </c>
      <c r="B2032" t="s">
        <v>50</v>
      </c>
      <c r="C2032" t="s">
        <v>93</v>
      </c>
      <c r="D2032">
        <v>0</v>
      </c>
      <c r="E2032">
        <v>1.0900099999999999E-5</v>
      </c>
      <c r="F2032">
        <v>1.0000000000000001E-9</v>
      </c>
      <c r="G2032" t="s">
        <v>94</v>
      </c>
      <c r="H2032" t="s">
        <v>94</v>
      </c>
      <c r="I2032">
        <v>0</v>
      </c>
      <c r="J2032">
        <v>0</v>
      </c>
      <c r="K2032" t="s">
        <v>1673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1980</v>
      </c>
      <c r="B2033" t="s">
        <v>50</v>
      </c>
      <c r="C2033" t="s">
        <v>93</v>
      </c>
      <c r="D2033">
        <v>1.0900000000000001E-5</v>
      </c>
      <c r="E2033">
        <v>1.090001E-4</v>
      </c>
      <c r="F2033">
        <v>1.0000000000000001E-9</v>
      </c>
      <c r="G2033" t="s">
        <v>94</v>
      </c>
      <c r="H2033" t="s">
        <v>94</v>
      </c>
      <c r="I2033">
        <v>0</v>
      </c>
      <c r="J2033">
        <v>0</v>
      </c>
      <c r="K2033" t="s">
        <v>1673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734</v>
      </c>
      <c r="B2034" t="s">
        <v>50</v>
      </c>
      <c r="C2034" t="s">
        <v>93</v>
      </c>
      <c r="D2034">
        <v>0</v>
      </c>
      <c r="E2034">
        <v>1.0900099999999999E-5</v>
      </c>
      <c r="F2034">
        <v>1E-8</v>
      </c>
      <c r="G2034" t="s">
        <v>94</v>
      </c>
      <c r="H2034" t="s">
        <v>94</v>
      </c>
      <c r="I2034">
        <v>0</v>
      </c>
      <c r="J2034">
        <v>0</v>
      </c>
      <c r="K2034" t="s">
        <v>1673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1981</v>
      </c>
      <c r="B2035" t="s">
        <v>50</v>
      </c>
      <c r="C2035" t="s">
        <v>93</v>
      </c>
      <c r="D2035">
        <v>1.0900000000000001E-5</v>
      </c>
      <c r="E2035">
        <v>1.090001E-4</v>
      </c>
      <c r="F2035">
        <v>1E-8</v>
      </c>
      <c r="G2035" t="s">
        <v>94</v>
      </c>
      <c r="H2035" t="s">
        <v>94</v>
      </c>
      <c r="I2035">
        <v>0</v>
      </c>
      <c r="J2035">
        <v>0</v>
      </c>
      <c r="K2035" t="s">
        <v>1673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736</v>
      </c>
      <c r="B2036" t="s">
        <v>50</v>
      </c>
      <c r="C2036" t="s">
        <v>93</v>
      </c>
      <c r="D2036">
        <v>1.0900000000000001E-4</v>
      </c>
      <c r="E2036">
        <v>1.0901000000000001E-3</v>
      </c>
      <c r="F2036">
        <v>1E-8</v>
      </c>
      <c r="G2036" t="s">
        <v>94</v>
      </c>
      <c r="H2036" t="s">
        <v>94</v>
      </c>
      <c r="I2036">
        <v>0</v>
      </c>
      <c r="J2036">
        <v>0</v>
      </c>
      <c r="K2036" t="s">
        <v>1673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735</v>
      </c>
      <c r="B2037" t="s">
        <v>50</v>
      </c>
      <c r="C2037" t="s">
        <v>93</v>
      </c>
      <c r="D2037">
        <v>0</v>
      </c>
      <c r="E2037">
        <v>1.0900099999999999E-5</v>
      </c>
      <c r="F2037">
        <v>9.9999999999999995E-8</v>
      </c>
      <c r="G2037" t="s">
        <v>94</v>
      </c>
      <c r="H2037" t="s">
        <v>94</v>
      </c>
      <c r="I2037">
        <v>0</v>
      </c>
      <c r="J2037">
        <v>0</v>
      </c>
      <c r="K2037" t="s">
        <v>1673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1982</v>
      </c>
      <c r="B2038" t="s">
        <v>50</v>
      </c>
      <c r="C2038" t="s">
        <v>93</v>
      </c>
      <c r="D2038">
        <v>1.0900000000000001E-5</v>
      </c>
      <c r="E2038">
        <v>1.090001E-4</v>
      </c>
      <c r="F2038">
        <v>9.9999999999999995E-8</v>
      </c>
      <c r="G2038" t="s">
        <v>94</v>
      </c>
      <c r="H2038" t="s">
        <v>94</v>
      </c>
      <c r="I2038">
        <v>0</v>
      </c>
      <c r="J2038">
        <v>0</v>
      </c>
      <c r="K2038" t="s">
        <v>1673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737</v>
      </c>
      <c r="B2039" t="s">
        <v>50</v>
      </c>
      <c r="C2039" t="s">
        <v>93</v>
      </c>
      <c r="D2039">
        <v>1.0900000000000001E-4</v>
      </c>
      <c r="E2039">
        <v>1.0901000000000001E-3</v>
      </c>
      <c r="F2039">
        <v>9.9999999999999995E-8</v>
      </c>
      <c r="G2039" t="s">
        <v>94</v>
      </c>
      <c r="H2039" t="s">
        <v>94</v>
      </c>
      <c r="I2039">
        <v>0</v>
      </c>
      <c r="J2039">
        <v>0</v>
      </c>
      <c r="K2039" t="s">
        <v>1673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740</v>
      </c>
      <c r="B2040" t="s">
        <v>50</v>
      </c>
      <c r="C2040" t="s">
        <v>93</v>
      </c>
      <c r="D2040">
        <v>1.09E-3</v>
      </c>
      <c r="E2040">
        <v>1.0900099999999999E-2</v>
      </c>
      <c r="F2040">
        <v>9.9999999999999995E-8</v>
      </c>
      <c r="G2040" t="s">
        <v>94</v>
      </c>
      <c r="H2040" t="s">
        <v>94</v>
      </c>
      <c r="I2040">
        <v>0</v>
      </c>
      <c r="J2040">
        <v>0</v>
      </c>
      <c r="K2040" t="s">
        <v>1673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1979</v>
      </c>
      <c r="B2041" t="s">
        <v>50</v>
      </c>
      <c r="C2041" t="s">
        <v>93</v>
      </c>
      <c r="D2041">
        <v>0</v>
      </c>
      <c r="E2041">
        <v>1.0900099999999999E-5</v>
      </c>
      <c r="F2041">
        <v>9.9999999999999995E-7</v>
      </c>
      <c r="G2041" t="s">
        <v>94</v>
      </c>
      <c r="H2041" t="s">
        <v>94</v>
      </c>
      <c r="I2041">
        <v>0</v>
      </c>
      <c r="J2041">
        <v>0</v>
      </c>
      <c r="K2041" t="s">
        <v>1673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1983</v>
      </c>
      <c r="B2042" t="s">
        <v>50</v>
      </c>
      <c r="C2042" t="s">
        <v>93</v>
      </c>
      <c r="D2042">
        <v>1.0900000000000001E-5</v>
      </c>
      <c r="E2042">
        <v>1.090001E-4</v>
      </c>
      <c r="F2042">
        <v>9.9999999999999995E-7</v>
      </c>
      <c r="G2042" t="s">
        <v>94</v>
      </c>
      <c r="H2042" t="s">
        <v>94</v>
      </c>
      <c r="I2042">
        <v>0</v>
      </c>
      <c r="J2042">
        <v>0</v>
      </c>
      <c r="K2042" t="s">
        <v>1673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738</v>
      </c>
      <c r="B2043" t="s">
        <v>50</v>
      </c>
      <c r="C2043" t="s">
        <v>93</v>
      </c>
      <c r="D2043">
        <v>1.0900000000000001E-4</v>
      </c>
      <c r="E2043">
        <v>1.0901000000000001E-3</v>
      </c>
      <c r="F2043">
        <v>9.9999999999999995E-7</v>
      </c>
      <c r="G2043" t="s">
        <v>94</v>
      </c>
      <c r="H2043" t="s">
        <v>94</v>
      </c>
      <c r="I2043">
        <v>0</v>
      </c>
      <c r="J2043">
        <v>0</v>
      </c>
      <c r="K2043" t="s">
        <v>1673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1986</v>
      </c>
      <c r="B2044" t="s">
        <v>50</v>
      </c>
      <c r="C2044" t="s">
        <v>93</v>
      </c>
      <c r="D2044">
        <v>1.09E-3</v>
      </c>
      <c r="E2044">
        <v>1.0900099999999999E-2</v>
      </c>
      <c r="F2044">
        <v>9.9999999999999995E-7</v>
      </c>
      <c r="G2044" t="s">
        <v>94</v>
      </c>
      <c r="H2044" t="s">
        <v>94</v>
      </c>
      <c r="I2044">
        <v>0</v>
      </c>
      <c r="J2044">
        <v>0</v>
      </c>
      <c r="K2044" t="s">
        <v>1673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744</v>
      </c>
      <c r="B2045" t="s">
        <v>50</v>
      </c>
      <c r="C2045" t="s">
        <v>93</v>
      </c>
      <c r="D2045">
        <v>1.09E-2</v>
      </c>
      <c r="E2045">
        <v>0.1090001</v>
      </c>
      <c r="F2045">
        <v>9.9999999999999995E-7</v>
      </c>
      <c r="G2045" t="s">
        <v>94</v>
      </c>
      <c r="H2045" t="s">
        <v>94</v>
      </c>
      <c r="I2045">
        <v>0</v>
      </c>
      <c r="J2045">
        <v>0</v>
      </c>
      <c r="K2045" t="s">
        <v>1673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1984</v>
      </c>
      <c r="B2046" t="s">
        <v>50</v>
      </c>
      <c r="C2046" t="s">
        <v>93</v>
      </c>
      <c r="D2046">
        <v>1.0900000000000001E-5</v>
      </c>
      <c r="E2046">
        <v>1.090001E-4</v>
      </c>
      <c r="F2046">
        <v>1.0000000000000001E-5</v>
      </c>
      <c r="G2046" t="s">
        <v>94</v>
      </c>
      <c r="H2046" t="s">
        <v>94</v>
      </c>
      <c r="I2046">
        <v>0</v>
      </c>
      <c r="J2046">
        <v>0</v>
      </c>
      <c r="K2046" t="s">
        <v>1673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739</v>
      </c>
      <c r="B2047" t="s">
        <v>50</v>
      </c>
      <c r="C2047" t="s">
        <v>93</v>
      </c>
      <c r="D2047">
        <v>1.0900000000000001E-4</v>
      </c>
      <c r="E2047">
        <v>1.0901000000000001E-3</v>
      </c>
      <c r="F2047">
        <v>1.0000000000000001E-5</v>
      </c>
      <c r="G2047" t="s">
        <v>94</v>
      </c>
      <c r="H2047" t="s">
        <v>94</v>
      </c>
      <c r="I2047">
        <v>0</v>
      </c>
      <c r="J2047">
        <v>0</v>
      </c>
      <c r="K2047" t="s">
        <v>1673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741</v>
      </c>
      <c r="B2048" t="s">
        <v>50</v>
      </c>
      <c r="C2048" t="s">
        <v>93</v>
      </c>
      <c r="D2048">
        <v>1.09E-3</v>
      </c>
      <c r="E2048">
        <v>1.0900099999999999E-2</v>
      </c>
      <c r="F2048">
        <v>1.0000000000000001E-5</v>
      </c>
      <c r="G2048" t="s">
        <v>94</v>
      </c>
      <c r="H2048" t="s">
        <v>94</v>
      </c>
      <c r="I2048">
        <v>0</v>
      </c>
      <c r="J2048">
        <v>0</v>
      </c>
      <c r="K2048" t="s">
        <v>1673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745</v>
      </c>
      <c r="B2049" t="s">
        <v>50</v>
      </c>
      <c r="C2049" t="s">
        <v>93</v>
      </c>
      <c r="D2049">
        <v>1.09E-2</v>
      </c>
      <c r="E2049">
        <v>0.1090001</v>
      </c>
      <c r="F2049">
        <v>1.0000000000000001E-5</v>
      </c>
      <c r="G2049" t="s">
        <v>94</v>
      </c>
      <c r="H2049" t="s">
        <v>94</v>
      </c>
      <c r="I2049">
        <v>0</v>
      </c>
      <c r="J2049">
        <v>0</v>
      </c>
      <c r="K2049" t="s">
        <v>1673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747</v>
      </c>
      <c r="B2050" t="s">
        <v>50</v>
      </c>
      <c r="C2050" t="s">
        <v>93</v>
      </c>
      <c r="D2050">
        <v>0.109</v>
      </c>
      <c r="E2050">
        <v>1.0901000000000001</v>
      </c>
      <c r="F2050">
        <v>1.0000000000000001E-5</v>
      </c>
      <c r="G2050" t="s">
        <v>94</v>
      </c>
      <c r="H2050" t="s">
        <v>94</v>
      </c>
      <c r="I2050">
        <v>0</v>
      </c>
      <c r="J2050">
        <v>0</v>
      </c>
      <c r="K2050" t="s">
        <v>1673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1985</v>
      </c>
      <c r="B2051" t="s">
        <v>50</v>
      </c>
      <c r="C2051" t="s">
        <v>93</v>
      </c>
      <c r="D2051">
        <v>1.0900000000000001E-4</v>
      </c>
      <c r="E2051">
        <v>1.0901000000000001E-3</v>
      </c>
      <c r="F2051">
        <v>1E-4</v>
      </c>
      <c r="G2051" t="s">
        <v>94</v>
      </c>
      <c r="H2051" t="s">
        <v>94</v>
      </c>
      <c r="I2051">
        <v>0</v>
      </c>
      <c r="J2051">
        <v>0</v>
      </c>
      <c r="K2051" t="s">
        <v>1673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742</v>
      </c>
      <c r="B2052" t="s">
        <v>50</v>
      </c>
      <c r="C2052" t="s">
        <v>93</v>
      </c>
      <c r="D2052">
        <v>1.09E-3</v>
      </c>
      <c r="E2052">
        <v>1.0900099999999999E-2</v>
      </c>
      <c r="F2052">
        <v>1E-4</v>
      </c>
      <c r="G2052" t="s">
        <v>94</v>
      </c>
      <c r="H2052" t="s">
        <v>94</v>
      </c>
      <c r="I2052">
        <v>0</v>
      </c>
      <c r="J2052">
        <v>0</v>
      </c>
      <c r="K2052" t="s">
        <v>1673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1987</v>
      </c>
      <c r="B2053" t="s">
        <v>50</v>
      </c>
      <c r="C2053" t="s">
        <v>93</v>
      </c>
      <c r="D2053">
        <v>1.09E-2</v>
      </c>
      <c r="E2053">
        <v>0.1090001</v>
      </c>
      <c r="F2053">
        <v>1E-4</v>
      </c>
      <c r="G2053" t="s">
        <v>94</v>
      </c>
      <c r="H2053" t="s">
        <v>94</v>
      </c>
      <c r="I2053">
        <v>0</v>
      </c>
      <c r="J2053">
        <v>0</v>
      </c>
      <c r="K2053" t="s">
        <v>1673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748</v>
      </c>
      <c r="B2054" t="s">
        <v>50</v>
      </c>
      <c r="C2054" t="s">
        <v>93</v>
      </c>
      <c r="D2054">
        <v>0.109</v>
      </c>
      <c r="E2054">
        <v>1.0901000000000001</v>
      </c>
      <c r="F2054">
        <v>1E-4</v>
      </c>
      <c r="G2054" t="s">
        <v>94</v>
      </c>
      <c r="H2054" t="s">
        <v>94</v>
      </c>
      <c r="I2054">
        <v>0</v>
      </c>
      <c r="J2054">
        <v>0</v>
      </c>
      <c r="K2054" t="s">
        <v>1673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1990</v>
      </c>
      <c r="B2055" t="s">
        <v>50</v>
      </c>
      <c r="C2055" t="s">
        <v>93</v>
      </c>
      <c r="D2055">
        <v>1.0900000000000001</v>
      </c>
      <c r="E2055">
        <v>10.9001</v>
      </c>
      <c r="F2055">
        <v>1E-4</v>
      </c>
      <c r="G2055" t="s">
        <v>94</v>
      </c>
      <c r="H2055" t="s">
        <v>94</v>
      </c>
      <c r="I2055">
        <v>0</v>
      </c>
      <c r="J2055">
        <v>0</v>
      </c>
      <c r="K2055" t="s">
        <v>1673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743</v>
      </c>
      <c r="B2056" t="s">
        <v>50</v>
      </c>
      <c r="C2056" t="s">
        <v>93</v>
      </c>
      <c r="D2056">
        <v>1.09E-3</v>
      </c>
      <c r="E2056">
        <v>1.0900099999999999E-2</v>
      </c>
      <c r="F2056">
        <v>1E-3</v>
      </c>
      <c r="G2056" t="s">
        <v>94</v>
      </c>
      <c r="H2056" t="s">
        <v>94</v>
      </c>
      <c r="I2056">
        <v>0</v>
      </c>
      <c r="J2056">
        <v>0</v>
      </c>
      <c r="K2056" t="s">
        <v>1673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746</v>
      </c>
      <c r="B2057" t="s">
        <v>50</v>
      </c>
      <c r="C2057" t="s">
        <v>93</v>
      </c>
      <c r="D2057">
        <v>1.09E-2</v>
      </c>
      <c r="E2057">
        <v>0.1090001</v>
      </c>
      <c r="F2057">
        <v>1E-3</v>
      </c>
      <c r="G2057" t="s">
        <v>94</v>
      </c>
      <c r="H2057" t="s">
        <v>94</v>
      </c>
      <c r="I2057">
        <v>0</v>
      </c>
      <c r="J2057">
        <v>0</v>
      </c>
      <c r="K2057" t="s">
        <v>1673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749</v>
      </c>
      <c r="B2058" t="s">
        <v>50</v>
      </c>
      <c r="C2058" t="s">
        <v>93</v>
      </c>
      <c r="D2058">
        <v>0.109</v>
      </c>
      <c r="E2058">
        <v>1.0901000000000001</v>
      </c>
      <c r="F2058">
        <v>1E-3</v>
      </c>
      <c r="G2058" t="s">
        <v>94</v>
      </c>
      <c r="H2058" t="s">
        <v>94</v>
      </c>
      <c r="I2058">
        <v>0</v>
      </c>
      <c r="J2058">
        <v>0</v>
      </c>
      <c r="K2058" t="s">
        <v>1673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751</v>
      </c>
      <c r="B2059" t="s">
        <v>50</v>
      </c>
      <c r="C2059" t="s">
        <v>93</v>
      </c>
      <c r="D2059">
        <v>1.0900000000000001</v>
      </c>
      <c r="E2059">
        <v>10.9001</v>
      </c>
      <c r="F2059">
        <v>1E-3</v>
      </c>
      <c r="G2059" t="s">
        <v>94</v>
      </c>
      <c r="H2059" t="s">
        <v>94</v>
      </c>
      <c r="I2059">
        <v>0</v>
      </c>
      <c r="J2059">
        <v>0</v>
      </c>
      <c r="K2059" t="s">
        <v>1673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754</v>
      </c>
      <c r="B2060" t="s">
        <v>50</v>
      </c>
      <c r="C2060" t="s">
        <v>93</v>
      </c>
      <c r="D2060">
        <v>10.9</v>
      </c>
      <c r="E2060">
        <v>109.0001</v>
      </c>
      <c r="F2060">
        <v>1E-3</v>
      </c>
      <c r="G2060" t="s">
        <v>94</v>
      </c>
      <c r="H2060" t="s">
        <v>94</v>
      </c>
      <c r="I2060">
        <v>0</v>
      </c>
      <c r="J2060">
        <v>0</v>
      </c>
      <c r="K2060" t="s">
        <v>1673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1988</v>
      </c>
      <c r="B2061" t="s">
        <v>50</v>
      </c>
      <c r="C2061" t="s">
        <v>93</v>
      </c>
      <c r="D2061">
        <v>1.09E-2</v>
      </c>
      <c r="E2061">
        <v>0.1090001</v>
      </c>
      <c r="F2061">
        <v>0.01</v>
      </c>
      <c r="G2061" t="s">
        <v>94</v>
      </c>
      <c r="H2061" t="s">
        <v>94</v>
      </c>
      <c r="I2061">
        <v>0</v>
      </c>
      <c r="J2061">
        <v>0</v>
      </c>
      <c r="K2061" t="s">
        <v>1673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1989</v>
      </c>
      <c r="B2062" t="s">
        <v>50</v>
      </c>
      <c r="C2062" t="s">
        <v>93</v>
      </c>
      <c r="D2062">
        <v>0.109</v>
      </c>
      <c r="E2062">
        <v>1.0901000000000001</v>
      </c>
      <c r="F2062">
        <v>0.01</v>
      </c>
      <c r="G2062" t="s">
        <v>94</v>
      </c>
      <c r="H2062" t="s">
        <v>94</v>
      </c>
      <c r="I2062">
        <v>0</v>
      </c>
      <c r="J2062">
        <v>0</v>
      </c>
      <c r="K2062" t="s">
        <v>1673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1991</v>
      </c>
      <c r="B2063" t="s">
        <v>50</v>
      </c>
      <c r="C2063" t="s">
        <v>93</v>
      </c>
      <c r="D2063">
        <v>1.0900000000000001</v>
      </c>
      <c r="E2063">
        <v>10.9001</v>
      </c>
      <c r="F2063">
        <v>0.01</v>
      </c>
      <c r="G2063" t="s">
        <v>94</v>
      </c>
      <c r="H2063" t="s">
        <v>94</v>
      </c>
      <c r="I2063">
        <v>0</v>
      </c>
      <c r="J2063">
        <v>0</v>
      </c>
      <c r="K2063" t="s">
        <v>1673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755</v>
      </c>
      <c r="B2064" t="s">
        <v>50</v>
      </c>
      <c r="C2064" t="s">
        <v>93</v>
      </c>
      <c r="D2064">
        <v>10.9</v>
      </c>
      <c r="E2064">
        <v>109.0001</v>
      </c>
      <c r="F2064">
        <v>0.01</v>
      </c>
      <c r="G2064" t="s">
        <v>94</v>
      </c>
      <c r="H2064" t="s">
        <v>94</v>
      </c>
      <c r="I2064">
        <v>0</v>
      </c>
      <c r="J2064">
        <v>0</v>
      </c>
      <c r="K2064" t="s">
        <v>1673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759</v>
      </c>
      <c r="B2065" t="s">
        <v>50</v>
      </c>
      <c r="C2065" t="s">
        <v>93</v>
      </c>
      <c r="D2065">
        <v>109</v>
      </c>
      <c r="E2065">
        <v>363.00009999999997</v>
      </c>
      <c r="F2065">
        <v>0.01</v>
      </c>
      <c r="G2065" t="s">
        <v>94</v>
      </c>
      <c r="H2065" t="s">
        <v>94</v>
      </c>
      <c r="I2065">
        <v>0</v>
      </c>
      <c r="J2065">
        <v>0</v>
      </c>
      <c r="K2065" t="s">
        <v>1673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763</v>
      </c>
      <c r="B2066" t="s">
        <v>50</v>
      </c>
      <c r="C2066" t="s">
        <v>93</v>
      </c>
      <c r="D2066">
        <v>363</v>
      </c>
      <c r="E2066">
        <v>990.00009999999997</v>
      </c>
      <c r="F2066">
        <v>0.01</v>
      </c>
      <c r="G2066" t="s">
        <v>94</v>
      </c>
      <c r="H2066" t="s">
        <v>94</v>
      </c>
      <c r="I2066">
        <v>0</v>
      </c>
      <c r="J2066">
        <v>0</v>
      </c>
      <c r="K2066" t="s">
        <v>1673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750</v>
      </c>
      <c r="B2067" t="s">
        <v>50</v>
      </c>
      <c r="C2067" t="s">
        <v>93</v>
      </c>
      <c r="D2067">
        <v>0.109</v>
      </c>
      <c r="E2067">
        <v>1.0901000000000001</v>
      </c>
      <c r="F2067">
        <v>0.1</v>
      </c>
      <c r="G2067" t="s">
        <v>94</v>
      </c>
      <c r="H2067" t="s">
        <v>94</v>
      </c>
      <c r="I2067">
        <v>0</v>
      </c>
      <c r="J2067">
        <v>0</v>
      </c>
      <c r="K2067" t="s">
        <v>1673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752</v>
      </c>
      <c r="B2068" t="s">
        <v>50</v>
      </c>
      <c r="C2068" t="s">
        <v>93</v>
      </c>
      <c r="D2068">
        <v>1.0900000000000001</v>
      </c>
      <c r="E2068">
        <v>10.9001</v>
      </c>
      <c r="F2068">
        <v>0.1</v>
      </c>
      <c r="G2068" t="s">
        <v>94</v>
      </c>
      <c r="H2068" t="s">
        <v>94</v>
      </c>
      <c r="I2068">
        <v>0</v>
      </c>
      <c r="J2068">
        <v>0</v>
      </c>
      <c r="K2068" t="s">
        <v>1673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756</v>
      </c>
      <c r="B2069" t="s">
        <v>50</v>
      </c>
      <c r="C2069" t="s">
        <v>93</v>
      </c>
      <c r="D2069">
        <v>10.9</v>
      </c>
      <c r="E2069">
        <v>109.0001</v>
      </c>
      <c r="F2069">
        <v>0.1</v>
      </c>
      <c r="G2069" t="s">
        <v>94</v>
      </c>
      <c r="H2069" t="s">
        <v>94</v>
      </c>
      <c r="I2069">
        <v>0</v>
      </c>
      <c r="J2069">
        <v>0</v>
      </c>
      <c r="K2069" t="s">
        <v>1673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760</v>
      </c>
      <c r="B2070" t="s">
        <v>50</v>
      </c>
      <c r="C2070" t="s">
        <v>93</v>
      </c>
      <c r="D2070">
        <v>109</v>
      </c>
      <c r="E2070">
        <v>363.00009999999997</v>
      </c>
      <c r="F2070">
        <v>0.1</v>
      </c>
      <c r="G2070" t="s">
        <v>94</v>
      </c>
      <c r="H2070" t="s">
        <v>94</v>
      </c>
      <c r="I2070">
        <v>0</v>
      </c>
      <c r="J2070">
        <v>0</v>
      </c>
      <c r="K2070" t="s">
        <v>1673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764</v>
      </c>
      <c r="B2071" t="s">
        <v>50</v>
      </c>
      <c r="C2071" t="s">
        <v>93</v>
      </c>
      <c r="D2071">
        <v>363</v>
      </c>
      <c r="E2071">
        <v>990.00009999999997</v>
      </c>
      <c r="F2071">
        <v>0.1</v>
      </c>
      <c r="G2071" t="s">
        <v>94</v>
      </c>
      <c r="H2071" t="s">
        <v>94</v>
      </c>
      <c r="I2071">
        <v>0</v>
      </c>
      <c r="J2071">
        <v>0</v>
      </c>
      <c r="K2071" t="s">
        <v>1673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1993</v>
      </c>
      <c r="B2072" t="s">
        <v>50</v>
      </c>
      <c r="C2072" t="s">
        <v>93</v>
      </c>
      <c r="D2072">
        <v>990</v>
      </c>
      <c r="E2072">
        <v>3630.1</v>
      </c>
      <c r="F2072">
        <v>0.1</v>
      </c>
      <c r="G2072" t="s">
        <v>94</v>
      </c>
      <c r="H2072" t="s">
        <v>94</v>
      </c>
      <c r="I2072">
        <v>0</v>
      </c>
      <c r="J2072">
        <v>0</v>
      </c>
      <c r="K2072" t="s">
        <v>1673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1995</v>
      </c>
      <c r="B2073" t="s">
        <v>50</v>
      </c>
      <c r="C2073" t="s">
        <v>93</v>
      </c>
      <c r="D2073">
        <v>3630</v>
      </c>
      <c r="E2073">
        <v>11200.1</v>
      </c>
      <c r="F2073">
        <v>0.1</v>
      </c>
      <c r="G2073" t="s">
        <v>94</v>
      </c>
      <c r="H2073" t="s">
        <v>94</v>
      </c>
      <c r="I2073">
        <v>0</v>
      </c>
      <c r="J2073">
        <v>0</v>
      </c>
      <c r="K2073" t="s">
        <v>1673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773</v>
      </c>
      <c r="B2074" t="s">
        <v>50</v>
      </c>
      <c r="C2074" t="s">
        <v>93</v>
      </c>
      <c r="D2074">
        <v>11200</v>
      </c>
      <c r="E2074">
        <v>20900</v>
      </c>
      <c r="F2074">
        <v>0.1</v>
      </c>
      <c r="G2074" t="s">
        <v>94</v>
      </c>
      <c r="H2074" t="s">
        <v>94</v>
      </c>
      <c r="I2074">
        <v>0</v>
      </c>
      <c r="J2074">
        <v>0</v>
      </c>
      <c r="K2074" t="s">
        <v>1673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2794</v>
      </c>
      <c r="B2075" t="s">
        <v>50</v>
      </c>
      <c r="C2075" t="s">
        <v>93</v>
      </c>
      <c r="D2075">
        <v>20900</v>
      </c>
      <c r="E2075">
        <v>1025000</v>
      </c>
      <c r="F2075">
        <v>0.1</v>
      </c>
      <c r="G2075" t="s">
        <v>94</v>
      </c>
      <c r="H2075" t="s">
        <v>94</v>
      </c>
      <c r="I2075">
        <v>0</v>
      </c>
      <c r="J2075">
        <v>0</v>
      </c>
      <c r="K2075" t="s">
        <v>1673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753</v>
      </c>
      <c r="B2076" t="s">
        <v>50</v>
      </c>
      <c r="C2076" t="s">
        <v>93</v>
      </c>
      <c r="D2076">
        <v>1.0900000000000001</v>
      </c>
      <c r="E2076">
        <v>10.9001</v>
      </c>
      <c r="F2076">
        <v>1</v>
      </c>
      <c r="G2076" t="s">
        <v>94</v>
      </c>
      <c r="H2076" t="s">
        <v>94</v>
      </c>
      <c r="I2076">
        <v>0</v>
      </c>
      <c r="J2076">
        <v>0</v>
      </c>
      <c r="K2076" t="s">
        <v>1673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757</v>
      </c>
      <c r="B2077" t="s">
        <v>50</v>
      </c>
      <c r="C2077" t="s">
        <v>93</v>
      </c>
      <c r="D2077">
        <v>10.9</v>
      </c>
      <c r="E2077">
        <v>109.0001</v>
      </c>
      <c r="F2077">
        <v>1</v>
      </c>
      <c r="G2077" t="s">
        <v>94</v>
      </c>
      <c r="H2077" t="s">
        <v>94</v>
      </c>
      <c r="I2077">
        <v>0</v>
      </c>
      <c r="J2077">
        <v>0</v>
      </c>
      <c r="K2077" t="s">
        <v>1673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761</v>
      </c>
      <c r="B2078" t="s">
        <v>50</v>
      </c>
      <c r="C2078" t="s">
        <v>93</v>
      </c>
      <c r="D2078">
        <v>109</v>
      </c>
      <c r="E2078">
        <v>363.00009999999997</v>
      </c>
      <c r="F2078">
        <v>1</v>
      </c>
      <c r="G2078" t="s">
        <v>94</v>
      </c>
      <c r="H2078" t="s">
        <v>94</v>
      </c>
      <c r="I2078">
        <v>0</v>
      </c>
      <c r="J2078">
        <v>0</v>
      </c>
      <c r="K2078" t="s">
        <v>1673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765</v>
      </c>
      <c r="B2079" t="s">
        <v>50</v>
      </c>
      <c r="C2079" t="s">
        <v>93</v>
      </c>
      <c r="D2079">
        <v>363</v>
      </c>
      <c r="E2079">
        <v>990.00009999999997</v>
      </c>
      <c r="F2079">
        <v>1</v>
      </c>
      <c r="G2079" t="s">
        <v>94</v>
      </c>
      <c r="H2079" t="s">
        <v>94</v>
      </c>
      <c r="I2079">
        <v>0</v>
      </c>
      <c r="J2079">
        <v>0</v>
      </c>
      <c r="K2079" t="s">
        <v>1673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767</v>
      </c>
      <c r="B2080" t="s">
        <v>50</v>
      </c>
      <c r="C2080" t="s">
        <v>93</v>
      </c>
      <c r="D2080">
        <v>990</v>
      </c>
      <c r="E2080">
        <v>3630.1</v>
      </c>
      <c r="F2080">
        <v>1</v>
      </c>
      <c r="G2080" t="s">
        <v>94</v>
      </c>
      <c r="H2080" t="s">
        <v>94</v>
      </c>
      <c r="I2080">
        <v>0</v>
      </c>
      <c r="J2080">
        <v>0</v>
      </c>
      <c r="K2080" t="s">
        <v>1673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770</v>
      </c>
      <c r="B2081" t="s">
        <v>50</v>
      </c>
      <c r="C2081" t="s">
        <v>93</v>
      </c>
      <c r="D2081">
        <v>3630</v>
      </c>
      <c r="E2081">
        <v>11200.1</v>
      </c>
      <c r="F2081">
        <v>1</v>
      </c>
      <c r="G2081" t="s">
        <v>94</v>
      </c>
      <c r="H2081" t="s">
        <v>94</v>
      </c>
      <c r="I2081">
        <v>0</v>
      </c>
      <c r="J2081">
        <v>0</v>
      </c>
      <c r="K2081" t="s">
        <v>1673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1997</v>
      </c>
      <c r="B2082" t="s">
        <v>50</v>
      </c>
      <c r="C2082" t="s">
        <v>93</v>
      </c>
      <c r="D2082">
        <v>11200</v>
      </c>
      <c r="E2082">
        <v>20900</v>
      </c>
      <c r="F2082">
        <v>1</v>
      </c>
      <c r="G2082" t="s">
        <v>94</v>
      </c>
      <c r="H2082" t="s">
        <v>94</v>
      </c>
      <c r="I2082">
        <v>0</v>
      </c>
      <c r="J2082">
        <v>0</v>
      </c>
      <c r="K2082" t="s">
        <v>1673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2795</v>
      </c>
      <c r="B2083" t="s">
        <v>50</v>
      </c>
      <c r="C2083" t="s">
        <v>93</v>
      </c>
      <c r="D2083">
        <v>20900</v>
      </c>
      <c r="E2083">
        <v>1025000</v>
      </c>
      <c r="F2083">
        <v>1</v>
      </c>
      <c r="G2083" t="s">
        <v>94</v>
      </c>
      <c r="H2083" t="s">
        <v>94</v>
      </c>
      <c r="I2083">
        <v>0</v>
      </c>
      <c r="J2083">
        <v>0</v>
      </c>
      <c r="K2083" t="s">
        <v>1673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758</v>
      </c>
      <c r="B2084" t="s">
        <v>50</v>
      </c>
      <c r="C2084" t="s">
        <v>93</v>
      </c>
      <c r="D2084">
        <v>10.9</v>
      </c>
      <c r="E2084">
        <v>109.0001</v>
      </c>
      <c r="F2084">
        <v>10</v>
      </c>
      <c r="G2084" t="s">
        <v>94</v>
      </c>
      <c r="H2084" t="s">
        <v>94</v>
      </c>
      <c r="I2084">
        <v>0</v>
      </c>
      <c r="J2084">
        <v>0</v>
      </c>
      <c r="K2084" t="s">
        <v>1673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762</v>
      </c>
      <c r="B2085" t="s">
        <v>50</v>
      </c>
      <c r="C2085" t="s">
        <v>93</v>
      </c>
      <c r="D2085">
        <v>109</v>
      </c>
      <c r="E2085">
        <v>363.00009999999997</v>
      </c>
      <c r="F2085">
        <v>10</v>
      </c>
      <c r="G2085" t="s">
        <v>94</v>
      </c>
      <c r="H2085" t="s">
        <v>94</v>
      </c>
      <c r="I2085">
        <v>0</v>
      </c>
      <c r="J2085">
        <v>0</v>
      </c>
      <c r="K2085" t="s">
        <v>1673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766</v>
      </c>
      <c r="B2086" t="s">
        <v>50</v>
      </c>
      <c r="C2086" t="s">
        <v>93</v>
      </c>
      <c r="D2086">
        <v>363</v>
      </c>
      <c r="E2086">
        <v>990.00009999999997</v>
      </c>
      <c r="F2086">
        <v>10</v>
      </c>
      <c r="G2086" t="s">
        <v>94</v>
      </c>
      <c r="H2086" t="s">
        <v>94</v>
      </c>
      <c r="I2086">
        <v>0</v>
      </c>
      <c r="J2086">
        <v>0</v>
      </c>
      <c r="K2086" t="s">
        <v>1673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768</v>
      </c>
      <c r="B2087" t="s">
        <v>50</v>
      </c>
      <c r="C2087" t="s">
        <v>93</v>
      </c>
      <c r="D2087">
        <v>990</v>
      </c>
      <c r="E2087">
        <v>3630.1</v>
      </c>
      <c r="F2087">
        <v>10</v>
      </c>
      <c r="G2087" t="s">
        <v>94</v>
      </c>
      <c r="H2087" t="s">
        <v>94</v>
      </c>
      <c r="I2087">
        <v>0</v>
      </c>
      <c r="J2087">
        <v>0</v>
      </c>
      <c r="K2087" t="s">
        <v>1673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771</v>
      </c>
      <c r="B2088" t="s">
        <v>50</v>
      </c>
      <c r="C2088" t="s">
        <v>93</v>
      </c>
      <c r="D2088">
        <v>3630</v>
      </c>
      <c r="E2088">
        <v>11200.1</v>
      </c>
      <c r="F2088">
        <v>10</v>
      </c>
      <c r="G2088" t="s">
        <v>94</v>
      </c>
      <c r="H2088" t="s">
        <v>94</v>
      </c>
      <c r="I2088">
        <v>0</v>
      </c>
      <c r="J2088">
        <v>0</v>
      </c>
      <c r="K2088" t="s">
        <v>1673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774</v>
      </c>
      <c r="B2089" t="s">
        <v>50</v>
      </c>
      <c r="C2089" t="s">
        <v>93</v>
      </c>
      <c r="D2089">
        <v>11200</v>
      </c>
      <c r="E2089">
        <v>20900</v>
      </c>
      <c r="F2089">
        <v>10</v>
      </c>
      <c r="G2089" t="s">
        <v>94</v>
      </c>
      <c r="H2089" t="s">
        <v>94</v>
      </c>
      <c r="I2089">
        <v>0</v>
      </c>
      <c r="J2089">
        <v>0</v>
      </c>
      <c r="K2089" t="s">
        <v>1673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2796</v>
      </c>
      <c r="B2090" t="s">
        <v>50</v>
      </c>
      <c r="C2090" t="s">
        <v>93</v>
      </c>
      <c r="D2090">
        <v>20900</v>
      </c>
      <c r="E2090">
        <v>1025000</v>
      </c>
      <c r="F2090">
        <v>10</v>
      </c>
      <c r="G2090" t="s">
        <v>94</v>
      </c>
      <c r="H2090" t="s">
        <v>94</v>
      </c>
      <c r="I2090">
        <v>0</v>
      </c>
      <c r="J2090">
        <v>0</v>
      </c>
      <c r="K2090" t="s">
        <v>1673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1992</v>
      </c>
      <c r="B2091" t="s">
        <v>50</v>
      </c>
      <c r="C2091" t="s">
        <v>93</v>
      </c>
      <c r="D2091">
        <v>363</v>
      </c>
      <c r="E2091">
        <v>990.00009999999997</v>
      </c>
      <c r="F2091">
        <v>100</v>
      </c>
      <c r="G2091" t="s">
        <v>94</v>
      </c>
      <c r="H2091" t="s">
        <v>94</v>
      </c>
      <c r="I2091">
        <v>0</v>
      </c>
      <c r="J2091">
        <v>0</v>
      </c>
      <c r="K2091" t="s">
        <v>1673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1994</v>
      </c>
      <c r="B2092" t="s">
        <v>50</v>
      </c>
      <c r="C2092" t="s">
        <v>93</v>
      </c>
      <c r="D2092">
        <v>990</v>
      </c>
      <c r="E2092">
        <v>3630.1</v>
      </c>
      <c r="F2092">
        <v>100</v>
      </c>
      <c r="G2092" t="s">
        <v>94</v>
      </c>
      <c r="H2092" t="s">
        <v>94</v>
      </c>
      <c r="I2092">
        <v>0</v>
      </c>
      <c r="J2092">
        <v>0</v>
      </c>
      <c r="K2092" t="s">
        <v>1673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1996</v>
      </c>
      <c r="B2093" t="s">
        <v>50</v>
      </c>
      <c r="C2093" t="s">
        <v>93</v>
      </c>
      <c r="D2093">
        <v>3630</v>
      </c>
      <c r="E2093">
        <v>11200.1</v>
      </c>
      <c r="F2093">
        <v>100</v>
      </c>
      <c r="G2093" t="s">
        <v>94</v>
      </c>
      <c r="H2093" t="s">
        <v>94</v>
      </c>
      <c r="I2093">
        <v>0</v>
      </c>
      <c r="J2093">
        <v>0</v>
      </c>
      <c r="K2093" t="s">
        <v>1673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775</v>
      </c>
      <c r="B2094" t="s">
        <v>50</v>
      </c>
      <c r="C2094" t="s">
        <v>93</v>
      </c>
      <c r="D2094">
        <v>11200</v>
      </c>
      <c r="E2094">
        <v>20900</v>
      </c>
      <c r="F2094">
        <v>100</v>
      </c>
      <c r="G2094" t="s">
        <v>94</v>
      </c>
      <c r="H2094" t="s">
        <v>94</v>
      </c>
      <c r="I2094">
        <v>0</v>
      </c>
      <c r="J2094">
        <v>0</v>
      </c>
      <c r="K2094" t="s">
        <v>1673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2797</v>
      </c>
      <c r="B2095" t="s">
        <v>50</v>
      </c>
      <c r="C2095" t="s">
        <v>93</v>
      </c>
      <c r="D2095">
        <v>20900</v>
      </c>
      <c r="E2095">
        <v>1025000</v>
      </c>
      <c r="F2095">
        <v>100</v>
      </c>
      <c r="G2095" t="s">
        <v>94</v>
      </c>
      <c r="H2095" t="s">
        <v>94</v>
      </c>
      <c r="I2095">
        <v>0</v>
      </c>
      <c r="J2095">
        <v>0</v>
      </c>
      <c r="K2095" t="s">
        <v>1673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769</v>
      </c>
      <c r="B2096" t="s">
        <v>50</v>
      </c>
      <c r="C2096" t="s">
        <v>93</v>
      </c>
      <c r="D2096">
        <v>990</v>
      </c>
      <c r="E2096">
        <v>3630.1</v>
      </c>
      <c r="F2096">
        <v>1000</v>
      </c>
      <c r="G2096" t="s">
        <v>94</v>
      </c>
      <c r="H2096" t="s">
        <v>94</v>
      </c>
      <c r="I2096">
        <v>0</v>
      </c>
      <c r="J2096">
        <v>0</v>
      </c>
      <c r="K2096" t="s">
        <v>1673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772</v>
      </c>
      <c r="B2097" t="s">
        <v>50</v>
      </c>
      <c r="C2097" t="s">
        <v>93</v>
      </c>
      <c r="D2097">
        <v>3630</v>
      </c>
      <c r="E2097">
        <v>11200.1</v>
      </c>
      <c r="F2097">
        <v>1000</v>
      </c>
      <c r="G2097" t="s">
        <v>94</v>
      </c>
      <c r="H2097" t="s">
        <v>94</v>
      </c>
      <c r="I2097">
        <v>0</v>
      </c>
      <c r="J2097">
        <v>0</v>
      </c>
      <c r="K2097" t="s">
        <v>1673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776</v>
      </c>
      <c r="B2098" t="s">
        <v>50</v>
      </c>
      <c r="C2098" t="s">
        <v>93</v>
      </c>
      <c r="D2098">
        <v>11200</v>
      </c>
      <c r="E2098">
        <v>20900</v>
      </c>
      <c r="F2098">
        <v>1000</v>
      </c>
      <c r="G2098" t="s">
        <v>94</v>
      </c>
      <c r="H2098" t="s">
        <v>94</v>
      </c>
      <c r="I2098">
        <v>0</v>
      </c>
      <c r="J2098">
        <v>0</v>
      </c>
      <c r="K2098" t="s">
        <v>1673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2798</v>
      </c>
      <c r="B2099" t="s">
        <v>50</v>
      </c>
      <c r="C2099" t="s">
        <v>93</v>
      </c>
      <c r="D2099">
        <v>20900</v>
      </c>
      <c r="E2099">
        <v>1025000</v>
      </c>
      <c r="F2099">
        <v>1000</v>
      </c>
      <c r="G2099" t="s">
        <v>94</v>
      </c>
      <c r="H2099" t="s">
        <v>94</v>
      </c>
      <c r="I2099">
        <v>0</v>
      </c>
      <c r="J2099">
        <v>0</v>
      </c>
      <c r="K2099" t="s">
        <v>1673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1863</v>
      </c>
      <c r="B2100" t="s">
        <v>50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101</v>
      </c>
      <c r="H2100" t="s">
        <v>15</v>
      </c>
      <c r="I2100">
        <v>0</v>
      </c>
      <c r="J2100">
        <v>0</v>
      </c>
      <c r="K2100" t="s">
        <v>1673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1864</v>
      </c>
      <c r="B2101" t="s">
        <v>50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101</v>
      </c>
      <c r="H2101" t="s">
        <v>15</v>
      </c>
      <c r="I2101">
        <v>0</v>
      </c>
      <c r="J2101">
        <v>0</v>
      </c>
      <c r="K2101" t="s">
        <v>1673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1868</v>
      </c>
      <c r="B2102" t="s">
        <v>50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101</v>
      </c>
      <c r="H2102" t="s">
        <v>15</v>
      </c>
      <c r="I2102">
        <v>0</v>
      </c>
      <c r="J2102">
        <v>0</v>
      </c>
      <c r="K2102" t="s">
        <v>1673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1872</v>
      </c>
      <c r="B2103" t="s">
        <v>50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101</v>
      </c>
      <c r="H2103" t="s">
        <v>15</v>
      </c>
      <c r="I2103">
        <v>0</v>
      </c>
      <c r="J2103">
        <v>0</v>
      </c>
      <c r="K2103" t="s">
        <v>1673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1865</v>
      </c>
      <c r="B2104" t="s">
        <v>50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101</v>
      </c>
      <c r="H2104" t="s">
        <v>15</v>
      </c>
      <c r="I2104">
        <v>0</v>
      </c>
      <c r="J2104">
        <v>0</v>
      </c>
      <c r="K2104" t="s">
        <v>1673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1869</v>
      </c>
      <c r="B2105" t="s">
        <v>50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101</v>
      </c>
      <c r="H2105" t="s">
        <v>15</v>
      </c>
      <c r="I2105">
        <v>0</v>
      </c>
      <c r="J2105">
        <v>0</v>
      </c>
      <c r="K2105" t="s">
        <v>1673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1873</v>
      </c>
      <c r="B2106" t="s">
        <v>50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101</v>
      </c>
      <c r="H2106" t="s">
        <v>15</v>
      </c>
      <c r="I2106">
        <v>0</v>
      </c>
      <c r="J2106">
        <v>0</v>
      </c>
      <c r="K2106" t="s">
        <v>1673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1877</v>
      </c>
      <c r="B2107" t="s">
        <v>50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101</v>
      </c>
      <c r="H2107" t="s">
        <v>15</v>
      </c>
      <c r="I2107">
        <v>0</v>
      </c>
      <c r="J2107">
        <v>0</v>
      </c>
      <c r="K2107" t="s">
        <v>1673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1881</v>
      </c>
      <c r="B2108" t="s">
        <v>50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101</v>
      </c>
      <c r="H2108" t="s">
        <v>15</v>
      </c>
      <c r="I2108">
        <v>0</v>
      </c>
      <c r="J2108">
        <v>0</v>
      </c>
      <c r="K2108" t="s">
        <v>1673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1866</v>
      </c>
      <c r="B2109" t="s">
        <v>50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101</v>
      </c>
      <c r="H2109" t="s">
        <v>15</v>
      </c>
      <c r="I2109">
        <v>0</v>
      </c>
      <c r="J2109">
        <v>0</v>
      </c>
      <c r="K2109" t="s">
        <v>1673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1870</v>
      </c>
      <c r="B2110" t="s">
        <v>50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101</v>
      </c>
      <c r="H2110" t="s">
        <v>15</v>
      </c>
      <c r="I2110">
        <v>0</v>
      </c>
      <c r="J2110">
        <v>0</v>
      </c>
      <c r="K2110" t="s">
        <v>1673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1874</v>
      </c>
      <c r="B2111" t="s">
        <v>50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101</v>
      </c>
      <c r="H2111" t="s">
        <v>15</v>
      </c>
      <c r="I2111">
        <v>0</v>
      </c>
      <c r="J2111">
        <v>0</v>
      </c>
      <c r="K2111" t="s">
        <v>1673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1878</v>
      </c>
      <c r="B2112" t="s">
        <v>50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101</v>
      </c>
      <c r="H2112" t="s">
        <v>15</v>
      </c>
      <c r="I2112">
        <v>0</v>
      </c>
      <c r="J2112">
        <v>0</v>
      </c>
      <c r="K2112" t="s">
        <v>1673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1882</v>
      </c>
      <c r="B2113" t="s">
        <v>50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101</v>
      </c>
      <c r="H2113" t="s">
        <v>15</v>
      </c>
      <c r="I2113">
        <v>0</v>
      </c>
      <c r="J2113">
        <v>0</v>
      </c>
      <c r="K2113" t="s">
        <v>1673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1885</v>
      </c>
      <c r="B2114" t="s">
        <v>50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101</v>
      </c>
      <c r="H2114" t="s">
        <v>15</v>
      </c>
      <c r="I2114">
        <v>0</v>
      </c>
      <c r="J2114">
        <v>0</v>
      </c>
      <c r="K2114" t="s">
        <v>1673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1888</v>
      </c>
      <c r="B2115" t="s">
        <v>50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101</v>
      </c>
      <c r="H2115" t="s">
        <v>15</v>
      </c>
      <c r="I2115">
        <v>0</v>
      </c>
      <c r="J2115">
        <v>0</v>
      </c>
      <c r="K2115" t="s">
        <v>1673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1867</v>
      </c>
      <c r="B2116" t="s">
        <v>50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101</v>
      </c>
      <c r="H2116" t="s">
        <v>15</v>
      </c>
      <c r="I2116">
        <v>0</v>
      </c>
      <c r="J2116">
        <v>0</v>
      </c>
      <c r="K2116" t="s">
        <v>1673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1871</v>
      </c>
      <c r="B2117" t="s">
        <v>50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101</v>
      </c>
      <c r="H2117" t="s">
        <v>15</v>
      </c>
      <c r="I2117">
        <v>0</v>
      </c>
      <c r="J2117">
        <v>0</v>
      </c>
      <c r="K2117" t="s">
        <v>1673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1875</v>
      </c>
      <c r="B2118" t="s">
        <v>50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101</v>
      </c>
      <c r="H2118" t="s">
        <v>15</v>
      </c>
      <c r="I2118">
        <v>0</v>
      </c>
      <c r="J2118">
        <v>0</v>
      </c>
      <c r="K2118" t="s">
        <v>1673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1879</v>
      </c>
      <c r="B2119" t="s">
        <v>50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101</v>
      </c>
      <c r="H2119" t="s">
        <v>15</v>
      </c>
      <c r="I2119">
        <v>0</v>
      </c>
      <c r="J2119">
        <v>0</v>
      </c>
      <c r="K2119" t="s">
        <v>1673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1883</v>
      </c>
      <c r="B2120" t="s">
        <v>50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101</v>
      </c>
      <c r="H2120" t="s">
        <v>15</v>
      </c>
      <c r="I2120">
        <v>0</v>
      </c>
      <c r="J2120">
        <v>0</v>
      </c>
      <c r="K2120" t="s">
        <v>1673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1886</v>
      </c>
      <c r="B2121" t="s">
        <v>50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101</v>
      </c>
      <c r="H2121" t="s">
        <v>15</v>
      </c>
      <c r="I2121">
        <v>0</v>
      </c>
      <c r="J2121">
        <v>0</v>
      </c>
      <c r="K2121" t="s">
        <v>1673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1889</v>
      </c>
      <c r="B2122" t="s">
        <v>50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101</v>
      </c>
      <c r="H2122" t="s">
        <v>15</v>
      </c>
      <c r="I2122">
        <v>0</v>
      </c>
      <c r="J2122">
        <v>0</v>
      </c>
      <c r="K2122" t="s">
        <v>1673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1890</v>
      </c>
      <c r="B2123" t="s">
        <v>50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101</v>
      </c>
      <c r="H2123" t="s">
        <v>15</v>
      </c>
      <c r="I2123">
        <v>0</v>
      </c>
      <c r="J2123">
        <v>0</v>
      </c>
      <c r="K2123" t="s">
        <v>1673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708</v>
      </c>
      <c r="B2124" t="s">
        <v>50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101</v>
      </c>
      <c r="H2124" t="s">
        <v>15</v>
      </c>
      <c r="I2124">
        <v>0</v>
      </c>
      <c r="J2124">
        <v>0</v>
      </c>
      <c r="K2124" t="s">
        <v>1673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1876</v>
      </c>
      <c r="B2125" t="s">
        <v>50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101</v>
      </c>
      <c r="H2125" t="s">
        <v>15</v>
      </c>
      <c r="I2125">
        <v>0</v>
      </c>
      <c r="J2125">
        <v>0</v>
      </c>
      <c r="K2125" t="s">
        <v>1673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1880</v>
      </c>
      <c r="B2126" t="s">
        <v>50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101</v>
      </c>
      <c r="H2126" t="s">
        <v>15</v>
      </c>
      <c r="I2126">
        <v>0</v>
      </c>
      <c r="J2126">
        <v>0</v>
      </c>
      <c r="K2126" t="s">
        <v>1673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1884</v>
      </c>
      <c r="B2127" t="s">
        <v>50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101</v>
      </c>
      <c r="H2127" t="s">
        <v>15</v>
      </c>
      <c r="I2127">
        <v>0</v>
      </c>
      <c r="J2127">
        <v>0</v>
      </c>
      <c r="K2127" t="s">
        <v>1673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1887</v>
      </c>
      <c r="B2128" t="s">
        <v>50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101</v>
      </c>
      <c r="H2128" t="s">
        <v>15</v>
      </c>
      <c r="I2128">
        <v>0</v>
      </c>
      <c r="J2128">
        <v>0</v>
      </c>
      <c r="K2128" t="s">
        <v>1673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704</v>
      </c>
      <c r="B2129" t="s">
        <v>50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101</v>
      </c>
      <c r="H2129" t="s">
        <v>15</v>
      </c>
      <c r="I2129">
        <v>0</v>
      </c>
      <c r="J2129">
        <v>0</v>
      </c>
      <c r="K2129" t="s">
        <v>1673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706</v>
      </c>
      <c r="B2130" t="s">
        <v>50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101</v>
      </c>
      <c r="H2130" t="s">
        <v>15</v>
      </c>
      <c r="I2130">
        <v>0</v>
      </c>
      <c r="J2130">
        <v>0</v>
      </c>
      <c r="K2130" t="s">
        <v>1673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709</v>
      </c>
      <c r="B2131" t="s">
        <v>50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101</v>
      </c>
      <c r="H2131" t="s">
        <v>15</v>
      </c>
      <c r="I2131">
        <v>0</v>
      </c>
      <c r="J2131">
        <v>0</v>
      </c>
      <c r="K2131" t="s">
        <v>1673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711</v>
      </c>
      <c r="B2132" t="s">
        <v>50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101</v>
      </c>
      <c r="H2132" t="s">
        <v>15</v>
      </c>
      <c r="I2132">
        <v>0</v>
      </c>
      <c r="J2132">
        <v>0</v>
      </c>
      <c r="K2132" t="s">
        <v>1673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715</v>
      </c>
      <c r="B2133" t="s">
        <v>50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101</v>
      </c>
      <c r="H2133" t="s">
        <v>16</v>
      </c>
      <c r="I2133">
        <v>0</v>
      </c>
      <c r="J2133">
        <v>0</v>
      </c>
      <c r="K2133" t="s">
        <v>1673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703</v>
      </c>
      <c r="B2134" t="s">
        <v>50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101</v>
      </c>
      <c r="H2134" t="s">
        <v>15</v>
      </c>
      <c r="I2134">
        <v>0</v>
      </c>
      <c r="J2134">
        <v>0</v>
      </c>
      <c r="K2134" t="s">
        <v>1673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705</v>
      </c>
      <c r="B2135" t="s">
        <v>50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101</v>
      </c>
      <c r="H2135" t="s">
        <v>15</v>
      </c>
      <c r="I2135">
        <v>0</v>
      </c>
      <c r="J2135">
        <v>0</v>
      </c>
      <c r="K2135" t="s">
        <v>1673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1891</v>
      </c>
      <c r="B2136" t="s">
        <v>50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101</v>
      </c>
      <c r="H2136" t="s">
        <v>15</v>
      </c>
      <c r="I2136">
        <v>0</v>
      </c>
      <c r="J2136">
        <v>0</v>
      </c>
      <c r="K2136" t="s">
        <v>1673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1892</v>
      </c>
      <c r="B2137" t="s">
        <v>50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101</v>
      </c>
      <c r="H2137" t="s">
        <v>15</v>
      </c>
      <c r="I2137">
        <v>0</v>
      </c>
      <c r="J2137">
        <v>0</v>
      </c>
      <c r="K2137" t="s">
        <v>1673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712</v>
      </c>
      <c r="B2138" t="s">
        <v>50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101</v>
      </c>
      <c r="H2138" t="s">
        <v>15</v>
      </c>
      <c r="I2138">
        <v>0</v>
      </c>
      <c r="J2138">
        <v>0</v>
      </c>
      <c r="K2138" t="s">
        <v>1673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1893</v>
      </c>
      <c r="B2139" t="s">
        <v>50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101</v>
      </c>
      <c r="H2139" t="s">
        <v>16</v>
      </c>
      <c r="I2139">
        <v>0</v>
      </c>
      <c r="J2139">
        <v>0</v>
      </c>
      <c r="K2139" t="s">
        <v>1673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717</v>
      </c>
      <c r="B2140" t="s">
        <v>50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101</v>
      </c>
      <c r="H2140" t="s">
        <v>16</v>
      </c>
      <c r="I2140">
        <v>0</v>
      </c>
      <c r="J2140">
        <v>0</v>
      </c>
      <c r="K2140" t="s">
        <v>1673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720</v>
      </c>
      <c r="B2141" t="s">
        <v>50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101</v>
      </c>
      <c r="H2141" t="s">
        <v>16</v>
      </c>
      <c r="I2141">
        <v>0</v>
      </c>
      <c r="J2141">
        <v>0</v>
      </c>
      <c r="K2141" t="s">
        <v>1673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707</v>
      </c>
      <c r="B2142" t="s">
        <v>50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101</v>
      </c>
      <c r="H2142" t="s">
        <v>15</v>
      </c>
      <c r="I2142">
        <v>0</v>
      </c>
      <c r="J2142">
        <v>0</v>
      </c>
      <c r="K2142" t="s">
        <v>1673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710</v>
      </c>
      <c r="B2143" t="s">
        <v>50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101</v>
      </c>
      <c r="H2143" t="s">
        <v>15</v>
      </c>
      <c r="I2143">
        <v>0</v>
      </c>
      <c r="J2143">
        <v>0</v>
      </c>
      <c r="K2143" t="s">
        <v>1673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713</v>
      </c>
      <c r="B2144" t="s">
        <v>50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101</v>
      </c>
      <c r="H2144" t="s">
        <v>15</v>
      </c>
      <c r="I2144">
        <v>0</v>
      </c>
      <c r="J2144">
        <v>0</v>
      </c>
      <c r="K2144" t="s">
        <v>1673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1894</v>
      </c>
      <c r="B2145" t="s">
        <v>50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101</v>
      </c>
      <c r="H2145" t="s">
        <v>16</v>
      </c>
      <c r="I2145">
        <v>0</v>
      </c>
      <c r="J2145">
        <v>0</v>
      </c>
      <c r="K2145" t="s">
        <v>1673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718</v>
      </c>
      <c r="B2146" t="s">
        <v>50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101</v>
      </c>
      <c r="H2146" t="s">
        <v>16</v>
      </c>
      <c r="I2146">
        <v>0</v>
      </c>
      <c r="J2146">
        <v>0</v>
      </c>
      <c r="K2146" t="s">
        <v>1673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721</v>
      </c>
      <c r="B2147" t="s">
        <v>50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101</v>
      </c>
      <c r="H2147" t="s">
        <v>16</v>
      </c>
      <c r="I2147">
        <v>0</v>
      </c>
      <c r="J2147">
        <v>0</v>
      </c>
      <c r="K2147" t="s">
        <v>1673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723</v>
      </c>
      <c r="B2148" t="s">
        <v>50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101</v>
      </c>
      <c r="H2148" t="s">
        <v>16</v>
      </c>
      <c r="I2148">
        <v>0</v>
      </c>
      <c r="J2148">
        <v>0</v>
      </c>
      <c r="K2148" t="s">
        <v>1673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727</v>
      </c>
      <c r="B2149" t="s">
        <v>50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101</v>
      </c>
      <c r="H2149" t="s">
        <v>16</v>
      </c>
      <c r="I2149">
        <v>0</v>
      </c>
      <c r="J2149">
        <v>0</v>
      </c>
      <c r="K2149" t="s">
        <v>1673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714</v>
      </c>
      <c r="B2150" t="s">
        <v>50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101</v>
      </c>
      <c r="H2150" t="s">
        <v>15</v>
      </c>
      <c r="I2150">
        <v>0</v>
      </c>
      <c r="J2150">
        <v>0</v>
      </c>
      <c r="K2150" t="s">
        <v>1673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716</v>
      </c>
      <c r="B2151" t="s">
        <v>50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101</v>
      </c>
      <c r="H2151" t="s">
        <v>16</v>
      </c>
      <c r="I2151">
        <v>0</v>
      </c>
      <c r="J2151">
        <v>0</v>
      </c>
      <c r="K2151" t="s">
        <v>1673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719</v>
      </c>
      <c r="B2152" t="s">
        <v>50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101</v>
      </c>
      <c r="H2152" t="s">
        <v>16</v>
      </c>
      <c r="I2152">
        <v>0</v>
      </c>
      <c r="J2152">
        <v>0</v>
      </c>
      <c r="K2152" t="s">
        <v>1673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1896</v>
      </c>
      <c r="B2153" t="s">
        <v>50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101</v>
      </c>
      <c r="H2153" t="s">
        <v>16</v>
      </c>
      <c r="I2153">
        <v>0</v>
      </c>
      <c r="J2153">
        <v>0</v>
      </c>
      <c r="K2153" t="s">
        <v>1673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724</v>
      </c>
      <c r="B2154" t="s">
        <v>50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101</v>
      </c>
      <c r="H2154" t="s">
        <v>16</v>
      </c>
      <c r="I2154">
        <v>0</v>
      </c>
      <c r="J2154">
        <v>0</v>
      </c>
      <c r="K2154" t="s">
        <v>1673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728</v>
      </c>
      <c r="B2155" t="s">
        <v>50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101</v>
      </c>
      <c r="H2155" t="s">
        <v>16</v>
      </c>
      <c r="I2155">
        <v>0</v>
      </c>
      <c r="J2155">
        <v>0</v>
      </c>
      <c r="K2155" t="s">
        <v>1673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2799</v>
      </c>
      <c r="B2156" t="s">
        <v>50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101</v>
      </c>
      <c r="H2156" t="s">
        <v>16</v>
      </c>
      <c r="I2156">
        <v>0</v>
      </c>
      <c r="J2156">
        <v>0</v>
      </c>
      <c r="K2156" t="s">
        <v>1673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730</v>
      </c>
      <c r="B2157" t="s">
        <v>50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101</v>
      </c>
      <c r="H2157" t="s">
        <v>16</v>
      </c>
      <c r="I2157">
        <v>0</v>
      </c>
      <c r="J2157">
        <v>0</v>
      </c>
      <c r="K2157" t="s">
        <v>1673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1895</v>
      </c>
      <c r="B2158" t="s">
        <v>50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101</v>
      </c>
      <c r="H2158" t="s">
        <v>16</v>
      </c>
      <c r="I2158">
        <v>0</v>
      </c>
      <c r="J2158">
        <v>0</v>
      </c>
      <c r="K2158" t="s">
        <v>1673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722</v>
      </c>
      <c r="B2159" t="s">
        <v>50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101</v>
      </c>
      <c r="H2159" t="s">
        <v>16</v>
      </c>
      <c r="I2159">
        <v>0</v>
      </c>
      <c r="J2159">
        <v>0</v>
      </c>
      <c r="K2159" t="s">
        <v>1673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725</v>
      </c>
      <c r="B2160" t="s">
        <v>50</v>
      </c>
      <c r="C2160" t="s">
        <v>14</v>
      </c>
      <c r="D2160">
        <v>3.3E-3</v>
      </c>
      <c r="E2160">
        <v>1.1001E-2</v>
      </c>
      <c r="F2160">
        <v>1E-4</v>
      </c>
      <c r="G2160" t="s">
        <v>101</v>
      </c>
      <c r="H2160" t="s">
        <v>16</v>
      </c>
      <c r="I2160">
        <v>0</v>
      </c>
      <c r="J2160">
        <v>0</v>
      </c>
      <c r="K2160" t="s">
        <v>1673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729</v>
      </c>
      <c r="B2161" t="s">
        <v>50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101</v>
      </c>
      <c r="H2161" t="s">
        <v>16</v>
      </c>
      <c r="I2161">
        <v>0</v>
      </c>
      <c r="J2161">
        <v>0</v>
      </c>
      <c r="K2161" t="s">
        <v>1673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2800</v>
      </c>
      <c r="B2162" t="s">
        <v>50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101</v>
      </c>
      <c r="H2162" t="s">
        <v>16</v>
      </c>
      <c r="I2162">
        <v>0</v>
      </c>
      <c r="J2162">
        <v>0</v>
      </c>
      <c r="K2162" t="s">
        <v>1673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1898</v>
      </c>
      <c r="B2163" t="s">
        <v>50</v>
      </c>
      <c r="C2163" t="s">
        <v>14</v>
      </c>
      <c r="D2163">
        <v>0.11</v>
      </c>
      <c r="E2163">
        <v>0.1101</v>
      </c>
      <c r="F2163">
        <v>1E-4</v>
      </c>
      <c r="G2163" t="s">
        <v>101</v>
      </c>
      <c r="H2163" t="s">
        <v>16</v>
      </c>
      <c r="I2163">
        <v>0</v>
      </c>
      <c r="J2163">
        <v>0</v>
      </c>
      <c r="K2163" t="s">
        <v>1673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726</v>
      </c>
      <c r="B2164" t="s">
        <v>50</v>
      </c>
      <c r="C2164" t="s">
        <v>14</v>
      </c>
      <c r="D2164">
        <v>3.3E-3</v>
      </c>
      <c r="E2164">
        <v>1.1001E-2</v>
      </c>
      <c r="F2164">
        <v>1E-3</v>
      </c>
      <c r="G2164" t="s">
        <v>101</v>
      </c>
      <c r="H2164" t="s">
        <v>16</v>
      </c>
      <c r="I2164">
        <v>0</v>
      </c>
      <c r="J2164">
        <v>0</v>
      </c>
      <c r="K2164" t="s">
        <v>1673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1897</v>
      </c>
      <c r="B2165" t="s">
        <v>50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101</v>
      </c>
      <c r="H2165" t="s">
        <v>16</v>
      </c>
      <c r="I2165">
        <v>0</v>
      </c>
      <c r="J2165">
        <v>0</v>
      </c>
      <c r="K2165" t="s">
        <v>1673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2801</v>
      </c>
      <c r="B2166" t="s">
        <v>50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101</v>
      </c>
      <c r="H2166" t="s">
        <v>16</v>
      </c>
      <c r="I2166">
        <v>0</v>
      </c>
      <c r="J2166">
        <v>0</v>
      </c>
      <c r="K2166" t="s">
        <v>1673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731</v>
      </c>
      <c r="B2167" t="s">
        <v>50</v>
      </c>
      <c r="C2167" t="s">
        <v>14</v>
      </c>
      <c r="D2167">
        <v>0.11</v>
      </c>
      <c r="E2167">
        <v>0.1101</v>
      </c>
      <c r="F2167">
        <v>1E-3</v>
      </c>
      <c r="G2167" t="s">
        <v>101</v>
      </c>
      <c r="H2167" t="s">
        <v>16</v>
      </c>
      <c r="I2167">
        <v>0</v>
      </c>
      <c r="J2167">
        <v>0</v>
      </c>
      <c r="K2167" t="s">
        <v>1673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2802</v>
      </c>
      <c r="B2168" t="s">
        <v>50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101</v>
      </c>
      <c r="H2168" t="s">
        <v>16</v>
      </c>
      <c r="I2168">
        <v>0</v>
      </c>
      <c r="J2168">
        <v>0</v>
      </c>
      <c r="K2168" t="s">
        <v>1673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1899</v>
      </c>
      <c r="B2169" t="s">
        <v>50</v>
      </c>
      <c r="C2169" t="s">
        <v>14</v>
      </c>
      <c r="D2169">
        <v>0.11</v>
      </c>
      <c r="E2169">
        <v>0.1101</v>
      </c>
      <c r="F2169">
        <v>0.01</v>
      </c>
      <c r="G2169" t="s">
        <v>101</v>
      </c>
      <c r="H2169" t="s">
        <v>16</v>
      </c>
      <c r="I2169">
        <v>0</v>
      </c>
      <c r="J2169">
        <v>0</v>
      </c>
      <c r="K2169" t="s">
        <v>1673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1900</v>
      </c>
      <c r="B2170" t="s">
        <v>50</v>
      </c>
      <c r="C2170" t="s">
        <v>85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1673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1901</v>
      </c>
      <c r="B2171" t="s">
        <v>50</v>
      </c>
      <c r="C2171" t="s">
        <v>85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1673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1902</v>
      </c>
      <c r="B2172" t="s">
        <v>50</v>
      </c>
      <c r="C2172" t="s">
        <v>85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1673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699</v>
      </c>
      <c r="B2173" t="s">
        <v>50</v>
      </c>
      <c r="C2173" t="s">
        <v>85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1673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1903</v>
      </c>
      <c r="B2174" t="s">
        <v>50</v>
      </c>
      <c r="C2174" t="s">
        <v>85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1673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702</v>
      </c>
      <c r="B2175" t="s">
        <v>50</v>
      </c>
      <c r="C2175" t="s">
        <v>85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1673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1904</v>
      </c>
      <c r="B2176" t="s">
        <v>50</v>
      </c>
      <c r="C2176" t="s">
        <v>85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1673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697</v>
      </c>
      <c r="B2177" t="s">
        <v>50</v>
      </c>
      <c r="C2177" t="s">
        <v>85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1673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698</v>
      </c>
      <c r="B2178" t="s">
        <v>50</v>
      </c>
      <c r="C2178" t="s">
        <v>85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1673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700</v>
      </c>
      <c r="B2179" t="s">
        <v>50</v>
      </c>
      <c r="C2179" t="s">
        <v>85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1673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701</v>
      </c>
      <c r="B2180" t="s">
        <v>50</v>
      </c>
      <c r="C2180" t="s">
        <v>85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1673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1905</v>
      </c>
      <c r="B2181" t="s">
        <v>50</v>
      </c>
      <c r="C2181" t="s">
        <v>85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1673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690</v>
      </c>
      <c r="B2182" t="s">
        <v>50</v>
      </c>
      <c r="C2182" t="s">
        <v>84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1673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1906</v>
      </c>
      <c r="B2183" t="s">
        <v>50</v>
      </c>
      <c r="C2183" t="s">
        <v>84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1673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1907</v>
      </c>
      <c r="B2184" t="s">
        <v>50</v>
      </c>
      <c r="C2184" t="s">
        <v>84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1673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692</v>
      </c>
      <c r="B2185" t="s">
        <v>50</v>
      </c>
      <c r="C2185" t="s">
        <v>84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1673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694</v>
      </c>
      <c r="B2186" t="s">
        <v>50</v>
      </c>
      <c r="C2186" t="s">
        <v>84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1673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695</v>
      </c>
      <c r="B2187" t="s">
        <v>50</v>
      </c>
      <c r="C2187" t="s">
        <v>84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1673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1908</v>
      </c>
      <c r="B2188" t="s">
        <v>50</v>
      </c>
      <c r="C2188" t="s">
        <v>84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1673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1909</v>
      </c>
      <c r="B2189" t="s">
        <v>50</v>
      </c>
      <c r="C2189" t="s">
        <v>84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1673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691</v>
      </c>
      <c r="B2190" t="s">
        <v>50</v>
      </c>
      <c r="C2190" t="s">
        <v>84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1673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693</v>
      </c>
      <c r="B2191" t="s">
        <v>50</v>
      </c>
      <c r="C2191" t="s">
        <v>84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1673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1910</v>
      </c>
      <c r="B2192" t="s">
        <v>50</v>
      </c>
      <c r="C2192" t="s">
        <v>84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1673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696</v>
      </c>
      <c r="B2193" t="s">
        <v>50</v>
      </c>
      <c r="C2193" t="s">
        <v>84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1673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679</v>
      </c>
      <c r="B2194" t="s">
        <v>50</v>
      </c>
      <c r="C2194" t="s">
        <v>83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1673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681</v>
      </c>
      <c r="B2195" t="s">
        <v>50</v>
      </c>
      <c r="C2195" t="s">
        <v>83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1673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683</v>
      </c>
      <c r="B2196" t="s">
        <v>50</v>
      </c>
      <c r="C2196" t="s">
        <v>83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1673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685</v>
      </c>
      <c r="B2197" t="s">
        <v>50</v>
      </c>
      <c r="C2197" t="s">
        <v>83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1673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686</v>
      </c>
      <c r="B2198" t="s">
        <v>50</v>
      </c>
      <c r="C2198" t="s">
        <v>83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1673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688</v>
      </c>
      <c r="B2199" t="s">
        <v>50</v>
      </c>
      <c r="C2199" t="s">
        <v>83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1673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680</v>
      </c>
      <c r="B2200" t="s">
        <v>50</v>
      </c>
      <c r="C2200" t="s">
        <v>83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1673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682</v>
      </c>
      <c r="B2201" t="s">
        <v>50</v>
      </c>
      <c r="C2201" t="s">
        <v>83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1673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684</v>
      </c>
      <c r="B2202" t="s">
        <v>50</v>
      </c>
      <c r="C2202" t="s">
        <v>83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1673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1911</v>
      </c>
      <c r="B2203" t="s">
        <v>50</v>
      </c>
      <c r="C2203" t="s">
        <v>83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1673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687</v>
      </c>
      <c r="B2204" t="s">
        <v>50</v>
      </c>
      <c r="C2204" t="s">
        <v>83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1673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689</v>
      </c>
      <c r="B2205" t="s">
        <v>50</v>
      </c>
      <c r="C2205" t="s">
        <v>83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1673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667</v>
      </c>
      <c r="B2206" t="s">
        <v>50</v>
      </c>
      <c r="C2206" t="s">
        <v>86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1673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669</v>
      </c>
      <c r="B2207" t="s">
        <v>50</v>
      </c>
      <c r="C2207" t="s">
        <v>86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1673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671</v>
      </c>
      <c r="B2208" t="s">
        <v>50</v>
      </c>
      <c r="C2208" t="s">
        <v>86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1673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673</v>
      </c>
      <c r="B2209" t="s">
        <v>50</v>
      </c>
      <c r="C2209" t="s">
        <v>86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1673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675</v>
      </c>
      <c r="B2210" t="s">
        <v>50</v>
      </c>
      <c r="C2210" t="s">
        <v>86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1673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677</v>
      </c>
      <c r="B2211" t="s">
        <v>50</v>
      </c>
      <c r="C2211" t="s">
        <v>86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1673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668</v>
      </c>
      <c r="B2212" t="s">
        <v>50</v>
      </c>
      <c r="C2212" t="s">
        <v>86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1673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670</v>
      </c>
      <c r="B2213" t="s">
        <v>50</v>
      </c>
      <c r="C2213" t="s">
        <v>86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1673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672</v>
      </c>
      <c r="B2214" t="s">
        <v>50</v>
      </c>
      <c r="C2214" t="s">
        <v>86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1673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674</v>
      </c>
      <c r="B2215" t="s">
        <v>50</v>
      </c>
      <c r="C2215" t="s">
        <v>86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1673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676</v>
      </c>
      <c r="B2216" t="s">
        <v>50</v>
      </c>
      <c r="C2216" t="s">
        <v>86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1673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678</v>
      </c>
      <c r="B2217" t="s">
        <v>50</v>
      </c>
      <c r="C2217" t="s">
        <v>86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1673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656</v>
      </c>
      <c r="B2218" t="s">
        <v>50</v>
      </c>
      <c r="C2218" t="s">
        <v>90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1673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658</v>
      </c>
      <c r="B2219" t="s">
        <v>50</v>
      </c>
      <c r="C2219" t="s">
        <v>90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1673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660</v>
      </c>
      <c r="B2220" t="s">
        <v>50</v>
      </c>
      <c r="C2220" t="s">
        <v>90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1673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1920</v>
      </c>
      <c r="B2221" t="s">
        <v>50</v>
      </c>
      <c r="C2221" t="s">
        <v>90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1673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662</v>
      </c>
      <c r="B2222" t="s">
        <v>50</v>
      </c>
      <c r="C2222" t="s">
        <v>90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1673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1921</v>
      </c>
      <c r="B2223" t="s">
        <v>50</v>
      </c>
      <c r="C2223" t="s">
        <v>90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1673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665</v>
      </c>
      <c r="B2224" t="s">
        <v>50</v>
      </c>
      <c r="C2224" t="s">
        <v>90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1673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657</v>
      </c>
      <c r="B2225" t="s">
        <v>50</v>
      </c>
      <c r="C2225" t="s">
        <v>90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1673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659</v>
      </c>
      <c r="B2226" t="s">
        <v>50</v>
      </c>
      <c r="C2226" t="s">
        <v>90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1673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1922</v>
      </c>
      <c r="B2227" t="s">
        <v>50</v>
      </c>
      <c r="C2227" t="s">
        <v>90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1673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661</v>
      </c>
      <c r="B2228" t="s">
        <v>50</v>
      </c>
      <c r="C2228" t="s">
        <v>90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1673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663</v>
      </c>
      <c r="B2229" t="s">
        <v>50</v>
      </c>
      <c r="C2229" t="s">
        <v>90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1673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664</v>
      </c>
      <c r="B2230" t="s">
        <v>50</v>
      </c>
      <c r="C2230" t="s">
        <v>90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1673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666</v>
      </c>
      <c r="B2231" t="s">
        <v>50</v>
      </c>
      <c r="C2231" t="s">
        <v>90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1673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644</v>
      </c>
      <c r="B2232" t="s">
        <v>50</v>
      </c>
      <c r="C2232" t="s">
        <v>91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1673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646</v>
      </c>
      <c r="B2233" t="s">
        <v>50</v>
      </c>
      <c r="C2233" t="s">
        <v>91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1673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1923</v>
      </c>
      <c r="B2234" t="s">
        <v>50</v>
      </c>
      <c r="C2234" t="s">
        <v>91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1673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649</v>
      </c>
      <c r="B2235" t="s">
        <v>50</v>
      </c>
      <c r="C2235" t="s">
        <v>91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1673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650</v>
      </c>
      <c r="B2236" t="s">
        <v>50</v>
      </c>
      <c r="C2236" t="s">
        <v>91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1673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651</v>
      </c>
      <c r="B2237" t="s">
        <v>50</v>
      </c>
      <c r="C2237" t="s">
        <v>91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1673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652</v>
      </c>
      <c r="B2238" t="s">
        <v>50</v>
      </c>
      <c r="C2238" t="s">
        <v>91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1673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654</v>
      </c>
      <c r="B2239" t="s">
        <v>50</v>
      </c>
      <c r="C2239" t="s">
        <v>91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1673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645</v>
      </c>
      <c r="B2240" t="s">
        <v>50</v>
      </c>
      <c r="C2240" t="s">
        <v>91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1673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647</v>
      </c>
      <c r="B2241" t="s">
        <v>50</v>
      </c>
      <c r="C2241" t="s">
        <v>91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1673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648</v>
      </c>
      <c r="B2242" t="s">
        <v>50</v>
      </c>
      <c r="C2242" t="s">
        <v>91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1673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1924</v>
      </c>
      <c r="B2243" t="s">
        <v>50</v>
      </c>
      <c r="C2243" t="s">
        <v>91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1673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1925</v>
      </c>
      <c r="B2244" t="s">
        <v>50</v>
      </c>
      <c r="C2244" t="s">
        <v>91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1673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1926</v>
      </c>
      <c r="B2245" t="s">
        <v>50</v>
      </c>
      <c r="C2245" t="s">
        <v>91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1673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653</v>
      </c>
      <c r="B2246" t="s">
        <v>50</v>
      </c>
      <c r="C2246" t="s">
        <v>91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1673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655</v>
      </c>
      <c r="B2247" t="s">
        <v>50</v>
      </c>
      <c r="C2247" t="s">
        <v>91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1673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636</v>
      </c>
      <c r="B2248" t="s">
        <v>50</v>
      </c>
      <c r="C2248" t="s">
        <v>87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1673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638</v>
      </c>
      <c r="B2249" t="s">
        <v>50</v>
      </c>
      <c r="C2249" t="s">
        <v>87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1673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640</v>
      </c>
      <c r="B2250" t="s">
        <v>50</v>
      </c>
      <c r="C2250" t="s">
        <v>87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1673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642</v>
      </c>
      <c r="B2251" t="s">
        <v>50</v>
      </c>
      <c r="C2251" t="s">
        <v>87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1673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643</v>
      </c>
      <c r="B2252" t="s">
        <v>50</v>
      </c>
      <c r="C2252" t="s">
        <v>87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1673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637</v>
      </c>
      <c r="B2253" t="s">
        <v>50</v>
      </c>
      <c r="C2253" t="s">
        <v>87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1673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639</v>
      </c>
      <c r="B2254" t="s">
        <v>50</v>
      </c>
      <c r="C2254" t="s">
        <v>87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1673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641</v>
      </c>
      <c r="B2255" t="s">
        <v>50</v>
      </c>
      <c r="C2255" t="s">
        <v>87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1673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1912</v>
      </c>
      <c r="B2256" t="s">
        <v>50</v>
      </c>
      <c r="C2256" t="s">
        <v>87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1673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1913</v>
      </c>
      <c r="B2257" t="s">
        <v>50</v>
      </c>
      <c r="C2257" t="s">
        <v>87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1673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628</v>
      </c>
      <c r="B2258" t="s">
        <v>50</v>
      </c>
      <c r="C2258" t="s">
        <v>88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1673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630</v>
      </c>
      <c r="B2259" t="s">
        <v>50</v>
      </c>
      <c r="C2259" t="s">
        <v>88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1673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632</v>
      </c>
      <c r="B2260" t="s">
        <v>50</v>
      </c>
      <c r="C2260" t="s">
        <v>88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1673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1914</v>
      </c>
      <c r="B2261" t="s">
        <v>50</v>
      </c>
      <c r="C2261" t="s">
        <v>88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1673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634</v>
      </c>
      <c r="B2262" t="s">
        <v>50</v>
      </c>
      <c r="C2262" t="s">
        <v>88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1673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629</v>
      </c>
      <c r="B2263" t="s">
        <v>50</v>
      </c>
      <c r="C2263" t="s">
        <v>88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1673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631</v>
      </c>
      <c r="B2264" t="s">
        <v>50</v>
      </c>
      <c r="C2264" t="s">
        <v>88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1673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1915</v>
      </c>
      <c r="B2265" t="s">
        <v>50</v>
      </c>
      <c r="C2265" t="s">
        <v>88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1673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633</v>
      </c>
      <c r="B2266" t="s">
        <v>50</v>
      </c>
      <c r="C2266" t="s">
        <v>88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1673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635</v>
      </c>
      <c r="B2267" t="s">
        <v>50</v>
      </c>
      <c r="C2267" t="s">
        <v>88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1673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1916</v>
      </c>
      <c r="B2268" t="s">
        <v>50</v>
      </c>
      <c r="C2268" t="s">
        <v>89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1673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623</v>
      </c>
      <c r="B2269" t="s">
        <v>50</v>
      </c>
      <c r="C2269" t="s">
        <v>89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1673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1917</v>
      </c>
      <c r="B2270" t="s">
        <v>50</v>
      </c>
      <c r="C2270" t="s">
        <v>89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1673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1918</v>
      </c>
      <c r="B2271" t="s">
        <v>50</v>
      </c>
      <c r="C2271" t="s">
        <v>89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1673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1919</v>
      </c>
      <c r="B2272" t="s">
        <v>50</v>
      </c>
      <c r="C2272" t="s">
        <v>89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1673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622</v>
      </c>
      <c r="B2273" t="s">
        <v>50</v>
      </c>
      <c r="C2273" t="s">
        <v>89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1673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624</v>
      </c>
      <c r="B2274" t="s">
        <v>50</v>
      </c>
      <c r="C2274" t="s">
        <v>89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1673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625</v>
      </c>
      <c r="B2275" t="s">
        <v>50</v>
      </c>
      <c r="C2275" t="s">
        <v>89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1673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626</v>
      </c>
      <c r="B2276" t="s">
        <v>50</v>
      </c>
      <c r="C2276" t="s">
        <v>89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1673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627</v>
      </c>
      <c r="B2277" t="s">
        <v>50</v>
      </c>
      <c r="C2277" t="s">
        <v>89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1673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592</v>
      </c>
      <c r="B2278" t="s">
        <v>50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1673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593</v>
      </c>
      <c r="B2279" t="s">
        <v>50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1673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1683</v>
      </c>
      <c r="B2280" t="s">
        <v>50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1673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1681</v>
      </c>
      <c r="B2281" t="s">
        <v>50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1673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599</v>
      </c>
      <c r="B2282" t="s">
        <v>50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1673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1685</v>
      </c>
      <c r="B2283" t="s">
        <v>50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1673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594</v>
      </c>
      <c r="B2284" t="s">
        <v>50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1673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1684</v>
      </c>
      <c r="B2285" t="s">
        <v>50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1673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602</v>
      </c>
      <c r="B2286" t="s">
        <v>50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1673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604</v>
      </c>
      <c r="B2287" t="s">
        <v>50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1673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1682</v>
      </c>
      <c r="B2288" t="s">
        <v>50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1673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600</v>
      </c>
      <c r="B2289" t="s">
        <v>50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1673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1686</v>
      </c>
      <c r="B2290" t="s">
        <v>50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1673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605</v>
      </c>
      <c r="B2291" t="s">
        <v>50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1673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607</v>
      </c>
      <c r="B2292" t="s">
        <v>50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1673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595</v>
      </c>
      <c r="B2293" t="s">
        <v>50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1673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601</v>
      </c>
      <c r="B2294" t="s">
        <v>50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1673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603</v>
      </c>
      <c r="B2295" t="s">
        <v>50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1673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1688</v>
      </c>
      <c r="B2296" t="s">
        <v>50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1673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608</v>
      </c>
      <c r="B2297" t="s">
        <v>50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1673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612</v>
      </c>
      <c r="B2298" t="s">
        <v>50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1673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1690</v>
      </c>
      <c r="B2299" t="s">
        <v>50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1673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619</v>
      </c>
      <c r="B2300" t="s">
        <v>50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1673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596</v>
      </c>
      <c r="B2301" t="s">
        <v>50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1673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1687</v>
      </c>
      <c r="B2302" t="s">
        <v>50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1673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1689</v>
      </c>
      <c r="B2303" t="s">
        <v>50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1673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609</v>
      </c>
      <c r="B2304" t="s">
        <v>50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1673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613</v>
      </c>
      <c r="B2305" t="s">
        <v>50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1673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616</v>
      </c>
      <c r="B2306" t="s">
        <v>50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1673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620</v>
      </c>
      <c r="B2307" t="s">
        <v>50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1673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597</v>
      </c>
      <c r="B2308" t="s">
        <v>50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1673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606</v>
      </c>
      <c r="B2309" t="s">
        <v>50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1673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610</v>
      </c>
      <c r="B2310" t="s">
        <v>50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1673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614</v>
      </c>
      <c r="B2311" t="s">
        <v>50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1673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617</v>
      </c>
      <c r="B2312" t="s">
        <v>50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1673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1691</v>
      </c>
      <c r="B2313" t="s">
        <v>50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1673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598</v>
      </c>
      <c r="B2314" t="s">
        <v>50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1673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611</v>
      </c>
      <c r="B2315" t="s">
        <v>50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1673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615</v>
      </c>
      <c r="B2316" t="s">
        <v>50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1673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618</v>
      </c>
      <c r="B2317" t="s">
        <v>50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1673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621</v>
      </c>
      <c r="B2318" t="s">
        <v>50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1673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571</v>
      </c>
      <c r="B2319" t="s">
        <v>50</v>
      </c>
      <c r="C2319" t="s">
        <v>54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1673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572</v>
      </c>
      <c r="B2320" t="s">
        <v>50</v>
      </c>
      <c r="C2320" t="s">
        <v>54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1673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575</v>
      </c>
      <c r="B2321" t="s">
        <v>50</v>
      </c>
      <c r="C2321" t="s">
        <v>54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1673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1692</v>
      </c>
      <c r="B2322" t="s">
        <v>50</v>
      </c>
      <c r="C2322" t="s">
        <v>54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1673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576</v>
      </c>
      <c r="B2323" t="s">
        <v>50</v>
      </c>
      <c r="C2323" t="s">
        <v>54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1673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581</v>
      </c>
      <c r="B2324" t="s">
        <v>50</v>
      </c>
      <c r="C2324" t="s">
        <v>54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1673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584</v>
      </c>
      <c r="B2325" t="s">
        <v>50</v>
      </c>
      <c r="C2325" t="s">
        <v>54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1673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588</v>
      </c>
      <c r="B2326" t="s">
        <v>50</v>
      </c>
      <c r="C2326" t="s">
        <v>54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1673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573</v>
      </c>
      <c r="B2327" t="s">
        <v>50</v>
      </c>
      <c r="C2327" t="s">
        <v>54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1673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577</v>
      </c>
      <c r="B2328" t="s">
        <v>50</v>
      </c>
      <c r="C2328" t="s">
        <v>54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1673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582</v>
      </c>
      <c r="B2329" t="s">
        <v>50</v>
      </c>
      <c r="C2329" t="s">
        <v>54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1673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1695</v>
      </c>
      <c r="B2330" t="s">
        <v>50</v>
      </c>
      <c r="C2330" t="s">
        <v>54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1673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589</v>
      </c>
      <c r="B2331" t="s">
        <v>50</v>
      </c>
      <c r="C2331" t="s">
        <v>54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1673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574</v>
      </c>
      <c r="B2332" t="s">
        <v>50</v>
      </c>
      <c r="C2332" t="s">
        <v>54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1673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578</v>
      </c>
      <c r="B2333" t="s">
        <v>50</v>
      </c>
      <c r="C2333" t="s">
        <v>54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1673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1693</v>
      </c>
      <c r="B2334" t="s">
        <v>50</v>
      </c>
      <c r="C2334" t="s">
        <v>54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1673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585</v>
      </c>
      <c r="B2335" t="s">
        <v>50</v>
      </c>
      <c r="C2335" t="s">
        <v>54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1673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590</v>
      </c>
      <c r="B2336" t="s">
        <v>50</v>
      </c>
      <c r="C2336" t="s">
        <v>54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1673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579</v>
      </c>
      <c r="B2337" t="s">
        <v>50</v>
      </c>
      <c r="C2337" t="s">
        <v>54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1673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583</v>
      </c>
      <c r="B2338" t="s">
        <v>50</v>
      </c>
      <c r="C2338" t="s">
        <v>54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1673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586</v>
      </c>
      <c r="B2339" t="s">
        <v>50</v>
      </c>
      <c r="C2339" t="s">
        <v>54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1673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1696</v>
      </c>
      <c r="B2340" t="s">
        <v>50</v>
      </c>
      <c r="C2340" t="s">
        <v>54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1673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580</v>
      </c>
      <c r="B2341" t="s">
        <v>50</v>
      </c>
      <c r="C2341" t="s">
        <v>54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1673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1694</v>
      </c>
      <c r="B2342" t="s">
        <v>50</v>
      </c>
      <c r="C2342" t="s">
        <v>54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1673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587</v>
      </c>
      <c r="B2343" t="s">
        <v>50</v>
      </c>
      <c r="C2343" t="s">
        <v>54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1673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591</v>
      </c>
      <c r="B2344" t="s">
        <v>50</v>
      </c>
      <c r="C2344" t="s">
        <v>54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1673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555</v>
      </c>
      <c r="B2345" t="s">
        <v>50</v>
      </c>
      <c r="C2345" t="s">
        <v>55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1673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560</v>
      </c>
      <c r="B2346" t="s">
        <v>50</v>
      </c>
      <c r="C2346" t="s">
        <v>55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1673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556</v>
      </c>
      <c r="B2347" t="s">
        <v>50</v>
      </c>
      <c r="C2347" t="s">
        <v>55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1673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1698</v>
      </c>
      <c r="B2348" t="s">
        <v>50</v>
      </c>
      <c r="C2348" t="s">
        <v>55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1673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564</v>
      </c>
      <c r="B2349" t="s">
        <v>50</v>
      </c>
      <c r="C2349" t="s">
        <v>55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1673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1701</v>
      </c>
      <c r="B2350" t="s">
        <v>50</v>
      </c>
      <c r="C2350" t="s">
        <v>55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1673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557</v>
      </c>
      <c r="B2351" t="s">
        <v>50</v>
      </c>
      <c r="C2351" t="s">
        <v>55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1673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561</v>
      </c>
      <c r="B2352" t="s">
        <v>50</v>
      </c>
      <c r="C2352" t="s">
        <v>55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1673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565</v>
      </c>
      <c r="B2353" t="s">
        <v>50</v>
      </c>
      <c r="C2353" t="s">
        <v>55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1673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1702</v>
      </c>
      <c r="B2354" t="s">
        <v>50</v>
      </c>
      <c r="C2354" t="s">
        <v>55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1673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558</v>
      </c>
      <c r="B2355" t="s">
        <v>50</v>
      </c>
      <c r="C2355" t="s">
        <v>55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1673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562</v>
      </c>
      <c r="B2356" t="s">
        <v>50</v>
      </c>
      <c r="C2356" t="s">
        <v>55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1673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566</v>
      </c>
      <c r="B2357" t="s">
        <v>50</v>
      </c>
      <c r="C2357" t="s">
        <v>55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1673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568</v>
      </c>
      <c r="B2358" t="s">
        <v>50</v>
      </c>
      <c r="C2358" t="s">
        <v>55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1673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1697</v>
      </c>
      <c r="B2359" t="s">
        <v>50</v>
      </c>
      <c r="C2359" t="s">
        <v>55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1673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563</v>
      </c>
      <c r="B2360" t="s">
        <v>50</v>
      </c>
      <c r="C2360" t="s">
        <v>55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1673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1700</v>
      </c>
      <c r="B2361" t="s">
        <v>50</v>
      </c>
      <c r="C2361" t="s">
        <v>55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1673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569</v>
      </c>
      <c r="B2362" t="s">
        <v>50</v>
      </c>
      <c r="C2362" t="s">
        <v>55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1673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559</v>
      </c>
      <c r="B2363" t="s">
        <v>50</v>
      </c>
      <c r="C2363" t="s">
        <v>55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1673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1699</v>
      </c>
      <c r="B2364" t="s">
        <v>50</v>
      </c>
      <c r="C2364" t="s">
        <v>55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1673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567</v>
      </c>
      <c r="B2365" t="s">
        <v>50</v>
      </c>
      <c r="C2365" t="s">
        <v>55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1673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570</v>
      </c>
      <c r="B2366" t="s">
        <v>50</v>
      </c>
      <c r="C2366" t="s">
        <v>55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1673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538</v>
      </c>
      <c r="B2367" t="s">
        <v>50</v>
      </c>
      <c r="C2367" t="s">
        <v>56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1673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539</v>
      </c>
      <c r="B2368" t="s">
        <v>50</v>
      </c>
      <c r="C2368" t="s">
        <v>56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1673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542</v>
      </c>
      <c r="B2369" t="s">
        <v>50</v>
      </c>
      <c r="C2369" t="s">
        <v>56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1673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546</v>
      </c>
      <c r="B2370" t="s">
        <v>50</v>
      </c>
      <c r="C2370" t="s">
        <v>56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1673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551</v>
      </c>
      <c r="B2371" t="s">
        <v>50</v>
      </c>
      <c r="C2371" t="s">
        <v>56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1673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540</v>
      </c>
      <c r="B2372" t="s">
        <v>50</v>
      </c>
      <c r="C2372" t="s">
        <v>56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1673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543</v>
      </c>
      <c r="B2373" t="s">
        <v>50</v>
      </c>
      <c r="C2373" t="s">
        <v>56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1673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547</v>
      </c>
      <c r="B2374" t="s">
        <v>50</v>
      </c>
      <c r="C2374" t="s">
        <v>56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1673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552</v>
      </c>
      <c r="B2375" t="s">
        <v>50</v>
      </c>
      <c r="C2375" t="s">
        <v>56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1673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1703</v>
      </c>
      <c r="B2376" t="s">
        <v>50</v>
      </c>
      <c r="C2376" t="s">
        <v>56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1673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544</v>
      </c>
      <c r="B2377" t="s">
        <v>50</v>
      </c>
      <c r="C2377" t="s">
        <v>56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1673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548</v>
      </c>
      <c r="B2378" t="s">
        <v>50</v>
      </c>
      <c r="C2378" t="s">
        <v>56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1673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553</v>
      </c>
      <c r="B2379" t="s">
        <v>50</v>
      </c>
      <c r="C2379" t="s">
        <v>56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1673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1704</v>
      </c>
      <c r="B2380" t="s">
        <v>50</v>
      </c>
      <c r="C2380" t="s">
        <v>56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1673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1705</v>
      </c>
      <c r="B2381" t="s">
        <v>50</v>
      </c>
      <c r="C2381" t="s">
        <v>56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1673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549</v>
      </c>
      <c r="B2382" t="s">
        <v>50</v>
      </c>
      <c r="C2382" t="s">
        <v>56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1673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554</v>
      </c>
      <c r="B2383" t="s">
        <v>50</v>
      </c>
      <c r="C2383" t="s">
        <v>56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1673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541</v>
      </c>
      <c r="B2384" t="s">
        <v>50</v>
      </c>
      <c r="C2384" t="s">
        <v>56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1673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545</v>
      </c>
      <c r="B2385" t="s">
        <v>50</v>
      </c>
      <c r="C2385" t="s">
        <v>56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1673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550</v>
      </c>
      <c r="B2386" t="s">
        <v>50</v>
      </c>
      <c r="C2386" t="s">
        <v>56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1673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1706</v>
      </c>
      <c r="B2387" t="s">
        <v>50</v>
      </c>
      <c r="C2387" t="s">
        <v>56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1673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513</v>
      </c>
      <c r="B2388" t="s">
        <v>50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1673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1674</v>
      </c>
      <c r="B2389" t="s">
        <v>50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1673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520</v>
      </c>
      <c r="B2390" t="s">
        <v>50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1673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514</v>
      </c>
      <c r="B2391" t="s">
        <v>50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1673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521</v>
      </c>
      <c r="B2392" t="s">
        <v>50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1673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526</v>
      </c>
      <c r="B2393" t="s">
        <v>50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1673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515</v>
      </c>
      <c r="B2394" t="s">
        <v>50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1673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522</v>
      </c>
      <c r="B2395" t="s">
        <v>50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1673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527</v>
      </c>
      <c r="B2396" t="s">
        <v>50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1673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530</v>
      </c>
      <c r="B2397" t="s">
        <v>50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1673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1675</v>
      </c>
      <c r="B2398" t="s">
        <v>50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1673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523</v>
      </c>
      <c r="B2399" t="s">
        <v>50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1673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528</v>
      </c>
      <c r="B2400" t="s">
        <v>50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1673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531</v>
      </c>
      <c r="B2401" t="s">
        <v>50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1673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2803</v>
      </c>
      <c r="B2402" t="s">
        <v>50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1673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534</v>
      </c>
      <c r="B2403" t="s">
        <v>50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1673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516</v>
      </c>
      <c r="B2404" t="s">
        <v>50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1673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524</v>
      </c>
      <c r="B2405" t="s">
        <v>50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1673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1676</v>
      </c>
      <c r="B2406" t="s">
        <v>50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1673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1678</v>
      </c>
      <c r="B2407" t="s">
        <v>50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1673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2804</v>
      </c>
      <c r="B2408" t="s">
        <v>50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1673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535</v>
      </c>
      <c r="B2409" t="s">
        <v>50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1673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517</v>
      </c>
      <c r="B2410" t="s">
        <v>50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1673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525</v>
      </c>
      <c r="B2411" t="s">
        <v>50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1673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529</v>
      </c>
      <c r="B2412" t="s">
        <v>50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1673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1679</v>
      </c>
      <c r="B2413" t="s">
        <v>50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1673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2805</v>
      </c>
      <c r="B2414" t="s">
        <v>50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1673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1680</v>
      </c>
      <c r="B2415" t="s">
        <v>50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1673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518</v>
      </c>
      <c r="B2416" t="s">
        <v>50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1673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1677</v>
      </c>
      <c r="B2417" t="s">
        <v>50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1673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532</v>
      </c>
      <c r="B2418" t="s">
        <v>50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1673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2806</v>
      </c>
      <c r="B2419" t="s">
        <v>50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1673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536</v>
      </c>
      <c r="B2420" t="s">
        <v>50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1673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519</v>
      </c>
      <c r="B2421" t="s">
        <v>50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1673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533</v>
      </c>
      <c r="B2422" t="s">
        <v>50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1673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2807</v>
      </c>
      <c r="B2423" t="s">
        <v>50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1673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537</v>
      </c>
      <c r="B2424" t="s">
        <v>50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1673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1957</v>
      </c>
      <c r="B2425" t="s">
        <v>50</v>
      </c>
      <c r="C2425" t="s">
        <v>92</v>
      </c>
      <c r="D2425">
        <v>0</v>
      </c>
      <c r="E2425">
        <v>1.090001E-4</v>
      </c>
      <c r="F2425">
        <v>1E-10</v>
      </c>
      <c r="G2425" t="s">
        <v>113</v>
      </c>
      <c r="H2425" t="s">
        <v>113</v>
      </c>
      <c r="I2425">
        <v>0</v>
      </c>
      <c r="J2425">
        <v>0</v>
      </c>
      <c r="K2425" t="s">
        <v>1673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1958</v>
      </c>
      <c r="B2426" t="s">
        <v>50</v>
      </c>
      <c r="C2426" t="s">
        <v>92</v>
      </c>
      <c r="D2426">
        <v>0</v>
      </c>
      <c r="E2426">
        <v>1.090001E-4</v>
      </c>
      <c r="F2426">
        <v>1.0000000000000001E-9</v>
      </c>
      <c r="G2426" t="s">
        <v>113</v>
      </c>
      <c r="H2426" t="s">
        <v>113</v>
      </c>
      <c r="I2426">
        <v>0</v>
      </c>
      <c r="J2426">
        <v>0</v>
      </c>
      <c r="K2426" t="s">
        <v>1673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1959</v>
      </c>
      <c r="B2427" t="s">
        <v>50</v>
      </c>
      <c r="C2427" t="s">
        <v>92</v>
      </c>
      <c r="D2427">
        <v>0</v>
      </c>
      <c r="E2427">
        <v>1.090001E-4</v>
      </c>
      <c r="F2427">
        <v>1E-8</v>
      </c>
      <c r="G2427" t="s">
        <v>113</v>
      </c>
      <c r="H2427" t="s">
        <v>113</v>
      </c>
      <c r="I2427">
        <v>0</v>
      </c>
      <c r="J2427">
        <v>0</v>
      </c>
      <c r="K2427" t="s">
        <v>1673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2808</v>
      </c>
      <c r="B2428" t="s">
        <v>50</v>
      </c>
      <c r="C2428" t="s">
        <v>92</v>
      </c>
      <c r="D2428">
        <v>1.0900000000000001E-4</v>
      </c>
      <c r="E2428">
        <v>1.0901000000000001E-3</v>
      </c>
      <c r="F2428">
        <v>1E-8</v>
      </c>
      <c r="G2428" t="s">
        <v>113</v>
      </c>
      <c r="H2428" t="s">
        <v>113</v>
      </c>
      <c r="I2428">
        <v>0</v>
      </c>
      <c r="J2428">
        <v>0</v>
      </c>
      <c r="K2428" t="s">
        <v>1673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1960</v>
      </c>
      <c r="B2429" t="s">
        <v>50</v>
      </c>
      <c r="C2429" t="s">
        <v>92</v>
      </c>
      <c r="D2429">
        <v>0</v>
      </c>
      <c r="E2429">
        <v>1.090001E-4</v>
      </c>
      <c r="F2429">
        <v>9.9999999999999995E-8</v>
      </c>
      <c r="G2429" t="s">
        <v>113</v>
      </c>
      <c r="H2429" t="s">
        <v>113</v>
      </c>
      <c r="I2429">
        <v>0</v>
      </c>
      <c r="J2429">
        <v>0</v>
      </c>
      <c r="K2429" t="s">
        <v>1673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2809</v>
      </c>
      <c r="B2430" t="s">
        <v>50</v>
      </c>
      <c r="C2430" t="s">
        <v>92</v>
      </c>
      <c r="D2430">
        <v>1.0900000000000001E-4</v>
      </c>
      <c r="E2430">
        <v>1.0901000000000001E-3</v>
      </c>
      <c r="F2430">
        <v>9.9999999999999995E-8</v>
      </c>
      <c r="G2430" t="s">
        <v>113</v>
      </c>
      <c r="H2430" t="s">
        <v>113</v>
      </c>
      <c r="I2430">
        <v>0</v>
      </c>
      <c r="J2430">
        <v>0</v>
      </c>
      <c r="K2430" t="s">
        <v>1673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1966</v>
      </c>
      <c r="B2431" t="s">
        <v>50</v>
      </c>
      <c r="C2431" t="s">
        <v>92</v>
      </c>
      <c r="D2431">
        <v>1.09E-3</v>
      </c>
      <c r="E2431">
        <v>1.0900099999999999E-2</v>
      </c>
      <c r="F2431">
        <v>9.9999999999999995E-8</v>
      </c>
      <c r="G2431" t="s">
        <v>113</v>
      </c>
      <c r="H2431" t="s">
        <v>113</v>
      </c>
      <c r="I2431">
        <v>0</v>
      </c>
      <c r="J2431">
        <v>0</v>
      </c>
      <c r="K2431" t="s">
        <v>1673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1961</v>
      </c>
      <c r="B2432" t="s">
        <v>50</v>
      </c>
      <c r="C2432" t="s">
        <v>92</v>
      </c>
      <c r="D2432">
        <v>0</v>
      </c>
      <c r="E2432">
        <v>1.090001E-4</v>
      </c>
      <c r="F2432">
        <v>9.9999999999999995E-7</v>
      </c>
      <c r="G2432" t="s">
        <v>113</v>
      </c>
      <c r="H2432" t="s">
        <v>113</v>
      </c>
      <c r="I2432">
        <v>0</v>
      </c>
      <c r="J2432">
        <v>0</v>
      </c>
      <c r="K2432" t="s">
        <v>1673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2810</v>
      </c>
      <c r="B2433" t="s">
        <v>50</v>
      </c>
      <c r="C2433" t="s">
        <v>92</v>
      </c>
      <c r="D2433">
        <v>1.0900000000000001E-4</v>
      </c>
      <c r="E2433">
        <v>1.0901000000000001E-3</v>
      </c>
      <c r="F2433">
        <v>9.9999999999999995E-7</v>
      </c>
      <c r="G2433" t="s">
        <v>113</v>
      </c>
      <c r="H2433" t="s">
        <v>113</v>
      </c>
      <c r="I2433">
        <v>0</v>
      </c>
      <c r="J2433">
        <v>0</v>
      </c>
      <c r="K2433" t="s">
        <v>1673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487</v>
      </c>
      <c r="B2434" t="s">
        <v>50</v>
      </c>
      <c r="C2434" t="s">
        <v>92</v>
      </c>
      <c r="D2434">
        <v>1.09E-3</v>
      </c>
      <c r="E2434">
        <v>1.0900099999999999E-2</v>
      </c>
      <c r="F2434">
        <v>9.9999999999999995E-7</v>
      </c>
      <c r="G2434" t="s">
        <v>113</v>
      </c>
      <c r="H2434" t="s">
        <v>113</v>
      </c>
      <c r="I2434">
        <v>0</v>
      </c>
      <c r="J2434">
        <v>0</v>
      </c>
      <c r="K2434" t="s">
        <v>1673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490</v>
      </c>
      <c r="B2435" t="s">
        <v>50</v>
      </c>
      <c r="C2435" t="s">
        <v>92</v>
      </c>
      <c r="D2435">
        <v>1.09E-2</v>
      </c>
      <c r="E2435">
        <v>0.1090001</v>
      </c>
      <c r="F2435">
        <v>9.9999999999999995E-7</v>
      </c>
      <c r="G2435" t="s">
        <v>113</v>
      </c>
      <c r="H2435" t="s">
        <v>113</v>
      </c>
      <c r="I2435">
        <v>0</v>
      </c>
      <c r="J2435">
        <v>0</v>
      </c>
      <c r="K2435" t="s">
        <v>1673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1962</v>
      </c>
      <c r="B2436" t="s">
        <v>50</v>
      </c>
      <c r="C2436" t="s">
        <v>92</v>
      </c>
      <c r="D2436">
        <v>0</v>
      </c>
      <c r="E2436">
        <v>1.090001E-4</v>
      </c>
      <c r="F2436">
        <v>1.0000000000000001E-5</v>
      </c>
      <c r="G2436" t="s">
        <v>113</v>
      </c>
      <c r="H2436" t="s">
        <v>113</v>
      </c>
      <c r="I2436">
        <v>0</v>
      </c>
      <c r="J2436">
        <v>0</v>
      </c>
      <c r="K2436" t="s">
        <v>1673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2811</v>
      </c>
      <c r="B2437" t="s">
        <v>50</v>
      </c>
      <c r="C2437" t="s">
        <v>92</v>
      </c>
      <c r="D2437">
        <v>1.0900000000000001E-4</v>
      </c>
      <c r="E2437">
        <v>1.0901000000000001E-3</v>
      </c>
      <c r="F2437">
        <v>1.0000000000000001E-5</v>
      </c>
      <c r="G2437" t="s">
        <v>113</v>
      </c>
      <c r="H2437" t="s">
        <v>113</v>
      </c>
      <c r="I2437">
        <v>0</v>
      </c>
      <c r="J2437">
        <v>0</v>
      </c>
      <c r="K2437" t="s">
        <v>1673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1967</v>
      </c>
      <c r="B2438" t="s">
        <v>50</v>
      </c>
      <c r="C2438" t="s">
        <v>92</v>
      </c>
      <c r="D2438">
        <v>1.09E-3</v>
      </c>
      <c r="E2438">
        <v>1.0900099999999999E-2</v>
      </c>
      <c r="F2438">
        <v>1.0000000000000001E-5</v>
      </c>
      <c r="G2438" t="s">
        <v>113</v>
      </c>
      <c r="H2438" t="s">
        <v>113</v>
      </c>
      <c r="I2438">
        <v>0</v>
      </c>
      <c r="J2438">
        <v>0</v>
      </c>
      <c r="K2438" t="s">
        <v>1673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491</v>
      </c>
      <c r="B2439" t="s">
        <v>50</v>
      </c>
      <c r="C2439" t="s">
        <v>92</v>
      </c>
      <c r="D2439">
        <v>1.09E-2</v>
      </c>
      <c r="E2439">
        <v>0.1090001</v>
      </c>
      <c r="F2439">
        <v>1.0000000000000001E-5</v>
      </c>
      <c r="G2439" t="s">
        <v>113</v>
      </c>
      <c r="H2439" t="s">
        <v>113</v>
      </c>
      <c r="I2439">
        <v>0</v>
      </c>
      <c r="J2439">
        <v>0</v>
      </c>
      <c r="K2439" t="s">
        <v>1673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1970</v>
      </c>
      <c r="B2440" t="s">
        <v>50</v>
      </c>
      <c r="C2440" t="s">
        <v>92</v>
      </c>
      <c r="D2440">
        <v>0.109</v>
      </c>
      <c r="E2440">
        <v>1.0901000000000001</v>
      </c>
      <c r="F2440">
        <v>1.0000000000000001E-5</v>
      </c>
      <c r="G2440" t="s">
        <v>113</v>
      </c>
      <c r="H2440" t="s">
        <v>113</v>
      </c>
      <c r="I2440">
        <v>0</v>
      </c>
      <c r="J2440">
        <v>0</v>
      </c>
      <c r="K2440" t="s">
        <v>1673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1963</v>
      </c>
      <c r="B2441" t="s">
        <v>50</v>
      </c>
      <c r="C2441" t="s">
        <v>92</v>
      </c>
      <c r="D2441">
        <v>0</v>
      </c>
      <c r="E2441">
        <v>1.090001E-4</v>
      </c>
      <c r="F2441">
        <v>1E-4</v>
      </c>
      <c r="G2441" t="s">
        <v>113</v>
      </c>
      <c r="H2441" t="s">
        <v>113</v>
      </c>
      <c r="I2441">
        <v>0</v>
      </c>
      <c r="J2441">
        <v>0</v>
      </c>
      <c r="K2441" t="s">
        <v>1673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2812</v>
      </c>
      <c r="B2442" t="s">
        <v>50</v>
      </c>
      <c r="C2442" t="s">
        <v>92</v>
      </c>
      <c r="D2442">
        <v>1.0900000000000001E-4</v>
      </c>
      <c r="E2442">
        <v>1.0901000000000001E-3</v>
      </c>
      <c r="F2442">
        <v>1E-4</v>
      </c>
      <c r="G2442" t="s">
        <v>113</v>
      </c>
      <c r="H2442" t="s">
        <v>113</v>
      </c>
      <c r="I2442">
        <v>0</v>
      </c>
      <c r="J2442">
        <v>0</v>
      </c>
      <c r="K2442" t="s">
        <v>1673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488</v>
      </c>
      <c r="B2443" t="s">
        <v>50</v>
      </c>
      <c r="C2443" t="s">
        <v>92</v>
      </c>
      <c r="D2443">
        <v>1.09E-3</v>
      </c>
      <c r="E2443">
        <v>1.0900099999999999E-2</v>
      </c>
      <c r="F2443">
        <v>1E-4</v>
      </c>
      <c r="G2443" t="s">
        <v>113</v>
      </c>
      <c r="H2443" t="s">
        <v>113</v>
      </c>
      <c r="I2443">
        <v>0</v>
      </c>
      <c r="J2443">
        <v>0</v>
      </c>
      <c r="K2443" t="s">
        <v>1673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492</v>
      </c>
      <c r="B2444" t="s">
        <v>50</v>
      </c>
      <c r="C2444" t="s">
        <v>92</v>
      </c>
      <c r="D2444">
        <v>1.09E-2</v>
      </c>
      <c r="E2444">
        <v>0.1090001</v>
      </c>
      <c r="F2444">
        <v>1E-4</v>
      </c>
      <c r="G2444" t="s">
        <v>113</v>
      </c>
      <c r="H2444" t="s">
        <v>113</v>
      </c>
      <c r="I2444">
        <v>0</v>
      </c>
      <c r="J2444">
        <v>0</v>
      </c>
      <c r="K2444" t="s">
        <v>1673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493</v>
      </c>
      <c r="B2445" t="s">
        <v>50</v>
      </c>
      <c r="C2445" t="s">
        <v>92</v>
      </c>
      <c r="D2445">
        <v>0.109</v>
      </c>
      <c r="E2445">
        <v>1.0901000000000001</v>
      </c>
      <c r="F2445">
        <v>1E-4</v>
      </c>
      <c r="G2445" t="s">
        <v>113</v>
      </c>
      <c r="H2445" t="s">
        <v>113</v>
      </c>
      <c r="I2445">
        <v>0</v>
      </c>
      <c r="J2445">
        <v>0</v>
      </c>
      <c r="K2445" t="s">
        <v>1673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496</v>
      </c>
      <c r="B2446" t="s">
        <v>50</v>
      </c>
      <c r="C2446" t="s">
        <v>92</v>
      </c>
      <c r="D2446">
        <v>1.0900000000000001</v>
      </c>
      <c r="E2446">
        <v>10.9001</v>
      </c>
      <c r="F2446">
        <v>1E-4</v>
      </c>
      <c r="G2446" t="s">
        <v>113</v>
      </c>
      <c r="H2446" t="s">
        <v>113</v>
      </c>
      <c r="I2446">
        <v>0</v>
      </c>
      <c r="J2446">
        <v>0</v>
      </c>
      <c r="K2446" t="s">
        <v>1673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1964</v>
      </c>
      <c r="B2447" t="s">
        <v>50</v>
      </c>
      <c r="C2447" t="s">
        <v>92</v>
      </c>
      <c r="D2447">
        <v>0</v>
      </c>
      <c r="E2447">
        <v>1.090001E-4</v>
      </c>
      <c r="F2447">
        <v>1E-3</v>
      </c>
      <c r="G2447" t="s">
        <v>113</v>
      </c>
      <c r="H2447" t="s">
        <v>113</v>
      </c>
      <c r="I2447">
        <v>0</v>
      </c>
      <c r="J2447">
        <v>0</v>
      </c>
      <c r="K2447" t="s">
        <v>1673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489</v>
      </c>
      <c r="B2448" t="s">
        <v>50</v>
      </c>
      <c r="C2448" t="s">
        <v>92</v>
      </c>
      <c r="D2448">
        <v>1.09E-3</v>
      </c>
      <c r="E2448">
        <v>1.0900099999999999E-2</v>
      </c>
      <c r="F2448">
        <v>1E-3</v>
      </c>
      <c r="G2448" t="s">
        <v>113</v>
      </c>
      <c r="H2448" t="s">
        <v>113</v>
      </c>
      <c r="I2448">
        <v>0</v>
      </c>
      <c r="J2448">
        <v>0</v>
      </c>
      <c r="K2448" t="s">
        <v>1673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1968</v>
      </c>
      <c r="B2449" t="s">
        <v>50</v>
      </c>
      <c r="C2449" t="s">
        <v>92</v>
      </c>
      <c r="D2449">
        <v>1.09E-2</v>
      </c>
      <c r="E2449">
        <v>0.1090001</v>
      </c>
      <c r="F2449">
        <v>1E-3</v>
      </c>
      <c r="G2449" t="s">
        <v>113</v>
      </c>
      <c r="H2449" t="s">
        <v>113</v>
      </c>
      <c r="I2449">
        <v>0</v>
      </c>
      <c r="J2449">
        <v>0</v>
      </c>
      <c r="K2449" t="s">
        <v>1673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494</v>
      </c>
      <c r="B2450" t="s">
        <v>50</v>
      </c>
      <c r="C2450" t="s">
        <v>92</v>
      </c>
      <c r="D2450">
        <v>0.109</v>
      </c>
      <c r="E2450">
        <v>1.0901000000000001</v>
      </c>
      <c r="F2450">
        <v>1E-3</v>
      </c>
      <c r="G2450" t="s">
        <v>113</v>
      </c>
      <c r="H2450" t="s">
        <v>113</v>
      </c>
      <c r="I2450">
        <v>0</v>
      </c>
      <c r="J2450">
        <v>0</v>
      </c>
      <c r="K2450" t="s">
        <v>1673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497</v>
      </c>
      <c r="B2451" t="s">
        <v>50</v>
      </c>
      <c r="C2451" t="s">
        <v>92</v>
      </c>
      <c r="D2451">
        <v>1.0900000000000001</v>
      </c>
      <c r="E2451">
        <v>10.9001</v>
      </c>
      <c r="F2451">
        <v>1E-3</v>
      </c>
      <c r="G2451" t="s">
        <v>113</v>
      </c>
      <c r="H2451" t="s">
        <v>113</v>
      </c>
      <c r="I2451">
        <v>0</v>
      </c>
      <c r="J2451">
        <v>0</v>
      </c>
      <c r="K2451" t="s">
        <v>1673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1972</v>
      </c>
      <c r="B2452" t="s">
        <v>50</v>
      </c>
      <c r="C2452" t="s">
        <v>92</v>
      </c>
      <c r="D2452">
        <v>10.9</v>
      </c>
      <c r="E2452">
        <v>109.0001</v>
      </c>
      <c r="F2452">
        <v>1E-3</v>
      </c>
      <c r="G2452" t="s">
        <v>113</v>
      </c>
      <c r="H2452" t="s">
        <v>113</v>
      </c>
      <c r="I2452">
        <v>0</v>
      </c>
      <c r="J2452">
        <v>0</v>
      </c>
      <c r="K2452" t="s">
        <v>1673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503</v>
      </c>
      <c r="B2453" t="s">
        <v>50</v>
      </c>
      <c r="C2453" t="s">
        <v>92</v>
      </c>
      <c r="D2453">
        <v>109</v>
      </c>
      <c r="E2453">
        <v>330.00009999999997</v>
      </c>
      <c r="F2453">
        <v>1E-3</v>
      </c>
      <c r="G2453" t="s">
        <v>113</v>
      </c>
      <c r="H2453" t="s">
        <v>113</v>
      </c>
      <c r="I2453">
        <v>0</v>
      </c>
      <c r="J2453">
        <v>0</v>
      </c>
      <c r="K2453" t="s">
        <v>1673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1965</v>
      </c>
      <c r="B2454" t="s">
        <v>50</v>
      </c>
      <c r="C2454" t="s">
        <v>92</v>
      </c>
      <c r="D2454">
        <v>0</v>
      </c>
      <c r="E2454">
        <v>1.090001E-4</v>
      </c>
      <c r="F2454">
        <v>0.01</v>
      </c>
      <c r="G2454" t="s">
        <v>113</v>
      </c>
      <c r="H2454" t="s">
        <v>113</v>
      </c>
      <c r="I2454">
        <v>0</v>
      </c>
      <c r="J2454">
        <v>0</v>
      </c>
      <c r="K2454" t="s">
        <v>1673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1969</v>
      </c>
      <c r="B2455" t="s">
        <v>50</v>
      </c>
      <c r="C2455" t="s">
        <v>92</v>
      </c>
      <c r="D2455">
        <v>1.09E-2</v>
      </c>
      <c r="E2455">
        <v>0.1090001</v>
      </c>
      <c r="F2455">
        <v>0.01</v>
      </c>
      <c r="G2455" t="s">
        <v>113</v>
      </c>
      <c r="H2455" t="s">
        <v>113</v>
      </c>
      <c r="I2455">
        <v>0</v>
      </c>
      <c r="J2455">
        <v>0</v>
      </c>
      <c r="K2455" t="s">
        <v>1673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1971</v>
      </c>
      <c r="B2456" t="s">
        <v>50</v>
      </c>
      <c r="C2456" t="s">
        <v>92</v>
      </c>
      <c r="D2456">
        <v>0.109</v>
      </c>
      <c r="E2456">
        <v>1.0901000000000001</v>
      </c>
      <c r="F2456">
        <v>0.01</v>
      </c>
      <c r="G2456" t="s">
        <v>113</v>
      </c>
      <c r="H2456" t="s">
        <v>113</v>
      </c>
      <c r="I2456">
        <v>0</v>
      </c>
      <c r="J2456">
        <v>0</v>
      </c>
      <c r="K2456" t="s">
        <v>1673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498</v>
      </c>
      <c r="B2457" t="s">
        <v>50</v>
      </c>
      <c r="C2457" t="s">
        <v>92</v>
      </c>
      <c r="D2457">
        <v>1.0900000000000001</v>
      </c>
      <c r="E2457">
        <v>10.9001</v>
      </c>
      <c r="F2457">
        <v>0.01</v>
      </c>
      <c r="G2457" t="s">
        <v>113</v>
      </c>
      <c r="H2457" t="s">
        <v>113</v>
      </c>
      <c r="I2457">
        <v>0</v>
      </c>
      <c r="J2457">
        <v>0</v>
      </c>
      <c r="K2457" t="s">
        <v>1673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504</v>
      </c>
      <c r="B2458" t="s">
        <v>50</v>
      </c>
      <c r="C2458" t="s">
        <v>92</v>
      </c>
      <c r="D2458">
        <v>109</v>
      </c>
      <c r="E2458">
        <v>330.00009999999997</v>
      </c>
      <c r="F2458">
        <v>0.01</v>
      </c>
      <c r="G2458" t="s">
        <v>113</v>
      </c>
      <c r="H2458" t="s">
        <v>113</v>
      </c>
      <c r="I2458">
        <v>0</v>
      </c>
      <c r="J2458">
        <v>0</v>
      </c>
      <c r="K2458" t="s">
        <v>1673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1976</v>
      </c>
      <c r="B2459" t="s">
        <v>50</v>
      </c>
      <c r="C2459" t="s">
        <v>92</v>
      </c>
      <c r="D2459">
        <v>330</v>
      </c>
      <c r="E2459">
        <v>3000.0001000000002</v>
      </c>
      <c r="F2459">
        <v>0.01</v>
      </c>
      <c r="G2459" t="s">
        <v>113</v>
      </c>
      <c r="H2459" t="s">
        <v>113</v>
      </c>
      <c r="I2459">
        <v>0</v>
      </c>
      <c r="J2459">
        <v>0</v>
      </c>
      <c r="K2459" t="s">
        <v>1673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495</v>
      </c>
      <c r="B2460" t="s">
        <v>50</v>
      </c>
      <c r="C2460" t="s">
        <v>92</v>
      </c>
      <c r="D2460">
        <v>0.109</v>
      </c>
      <c r="E2460">
        <v>1.0901000000000001</v>
      </c>
      <c r="F2460">
        <v>0.1</v>
      </c>
      <c r="G2460" t="s">
        <v>113</v>
      </c>
      <c r="H2460" t="s">
        <v>113</v>
      </c>
      <c r="I2460">
        <v>0</v>
      </c>
      <c r="J2460">
        <v>0</v>
      </c>
      <c r="K2460" t="s">
        <v>1673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499</v>
      </c>
      <c r="B2461" t="s">
        <v>50</v>
      </c>
      <c r="C2461" t="s">
        <v>92</v>
      </c>
      <c r="D2461">
        <v>1.0900000000000001</v>
      </c>
      <c r="E2461">
        <v>10.9001</v>
      </c>
      <c r="F2461">
        <v>0.1</v>
      </c>
      <c r="G2461" t="s">
        <v>113</v>
      </c>
      <c r="H2461" t="s">
        <v>113</v>
      </c>
      <c r="I2461">
        <v>0</v>
      </c>
      <c r="J2461">
        <v>0</v>
      </c>
      <c r="K2461" t="s">
        <v>1673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501</v>
      </c>
      <c r="B2462" t="s">
        <v>50</v>
      </c>
      <c r="C2462" t="s">
        <v>92</v>
      </c>
      <c r="D2462">
        <v>10.9</v>
      </c>
      <c r="E2462">
        <v>109.0001</v>
      </c>
      <c r="F2462">
        <v>0.1</v>
      </c>
      <c r="G2462" t="s">
        <v>113</v>
      </c>
      <c r="H2462" t="s">
        <v>113</v>
      </c>
      <c r="I2462">
        <v>0</v>
      </c>
      <c r="J2462">
        <v>0</v>
      </c>
      <c r="K2462" t="s">
        <v>1673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1974</v>
      </c>
      <c r="B2463" t="s">
        <v>50</v>
      </c>
      <c r="C2463" t="s">
        <v>92</v>
      </c>
      <c r="D2463">
        <v>109</v>
      </c>
      <c r="E2463">
        <v>330.00009999999997</v>
      </c>
      <c r="F2463">
        <v>0.1</v>
      </c>
      <c r="G2463" t="s">
        <v>113</v>
      </c>
      <c r="H2463" t="s">
        <v>113</v>
      </c>
      <c r="I2463">
        <v>0</v>
      </c>
      <c r="J2463">
        <v>0</v>
      </c>
      <c r="K2463" t="s">
        <v>1673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1977</v>
      </c>
      <c r="B2464" t="s">
        <v>50</v>
      </c>
      <c r="C2464" t="s">
        <v>92</v>
      </c>
      <c r="D2464">
        <v>330</v>
      </c>
      <c r="E2464">
        <v>3000.0001000000002</v>
      </c>
      <c r="F2464">
        <v>0.1</v>
      </c>
      <c r="G2464" t="s">
        <v>113</v>
      </c>
      <c r="H2464" t="s">
        <v>113</v>
      </c>
      <c r="I2464">
        <v>0</v>
      </c>
      <c r="J2464">
        <v>0</v>
      </c>
      <c r="K2464" t="s">
        <v>1673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500</v>
      </c>
      <c r="B2465" t="s">
        <v>50</v>
      </c>
      <c r="C2465" t="s">
        <v>92</v>
      </c>
      <c r="D2465">
        <v>1.0900000000000001</v>
      </c>
      <c r="E2465">
        <v>10.9001</v>
      </c>
      <c r="F2465">
        <v>1</v>
      </c>
      <c r="G2465" t="s">
        <v>113</v>
      </c>
      <c r="H2465" t="s">
        <v>113</v>
      </c>
      <c r="I2465">
        <v>0</v>
      </c>
      <c r="J2465">
        <v>0</v>
      </c>
      <c r="K2465" t="s">
        <v>1673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1973</v>
      </c>
      <c r="B2466" t="s">
        <v>50</v>
      </c>
      <c r="C2466" t="s">
        <v>92</v>
      </c>
      <c r="D2466">
        <v>10.9</v>
      </c>
      <c r="E2466">
        <v>109.0001</v>
      </c>
      <c r="F2466">
        <v>1</v>
      </c>
      <c r="G2466" t="s">
        <v>113</v>
      </c>
      <c r="H2466" t="s">
        <v>113</v>
      </c>
      <c r="I2466">
        <v>0</v>
      </c>
      <c r="J2466">
        <v>0</v>
      </c>
      <c r="K2466" t="s">
        <v>1673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1975</v>
      </c>
      <c r="B2467" t="s">
        <v>50</v>
      </c>
      <c r="C2467" t="s">
        <v>92</v>
      </c>
      <c r="D2467">
        <v>109</v>
      </c>
      <c r="E2467">
        <v>330.00009999999997</v>
      </c>
      <c r="F2467">
        <v>1</v>
      </c>
      <c r="G2467" t="s">
        <v>113</v>
      </c>
      <c r="H2467" t="s">
        <v>113</v>
      </c>
      <c r="I2467">
        <v>0</v>
      </c>
      <c r="J2467">
        <v>0</v>
      </c>
      <c r="K2467" t="s">
        <v>1673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506</v>
      </c>
      <c r="B2468" t="s">
        <v>50</v>
      </c>
      <c r="C2468" t="s">
        <v>92</v>
      </c>
      <c r="D2468">
        <v>330</v>
      </c>
      <c r="E2468">
        <v>3000.0001000000002</v>
      </c>
      <c r="F2468">
        <v>1</v>
      </c>
      <c r="G2468" t="s">
        <v>113</v>
      </c>
      <c r="H2468" t="s">
        <v>113</v>
      </c>
      <c r="I2468">
        <v>0</v>
      </c>
      <c r="J2468">
        <v>0</v>
      </c>
      <c r="K2468" t="s">
        <v>1673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502</v>
      </c>
      <c r="B2469" t="s">
        <v>50</v>
      </c>
      <c r="C2469" t="s">
        <v>92</v>
      </c>
      <c r="D2469">
        <v>10.9</v>
      </c>
      <c r="E2469">
        <v>109.0001</v>
      </c>
      <c r="F2469">
        <v>10</v>
      </c>
      <c r="G2469" t="s">
        <v>113</v>
      </c>
      <c r="H2469" t="s">
        <v>113</v>
      </c>
      <c r="I2469">
        <v>0</v>
      </c>
      <c r="J2469">
        <v>0</v>
      </c>
      <c r="K2469" t="s">
        <v>1673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505</v>
      </c>
      <c r="B2470" t="s">
        <v>50</v>
      </c>
      <c r="C2470" t="s">
        <v>92</v>
      </c>
      <c r="D2470">
        <v>109</v>
      </c>
      <c r="E2470">
        <v>330.00009999999997</v>
      </c>
      <c r="F2470">
        <v>10</v>
      </c>
      <c r="G2470" t="s">
        <v>113</v>
      </c>
      <c r="H2470" t="s">
        <v>113</v>
      </c>
      <c r="I2470">
        <v>0</v>
      </c>
      <c r="J2470">
        <v>0</v>
      </c>
      <c r="K2470" t="s">
        <v>1673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507</v>
      </c>
      <c r="B2471" t="s">
        <v>50</v>
      </c>
      <c r="C2471" t="s">
        <v>92</v>
      </c>
      <c r="D2471">
        <v>330</v>
      </c>
      <c r="E2471">
        <v>3000.0001000000002</v>
      </c>
      <c r="F2471">
        <v>10</v>
      </c>
      <c r="G2471" t="s">
        <v>113</v>
      </c>
      <c r="H2471" t="s">
        <v>113</v>
      </c>
      <c r="I2471">
        <v>0</v>
      </c>
      <c r="J2471">
        <v>0</v>
      </c>
      <c r="K2471" t="s">
        <v>1673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509</v>
      </c>
      <c r="B2472" t="s">
        <v>50</v>
      </c>
      <c r="C2472" t="s">
        <v>92</v>
      </c>
      <c r="D2472">
        <v>3000</v>
      </c>
      <c r="E2472">
        <v>11000.1</v>
      </c>
      <c r="F2472">
        <v>10</v>
      </c>
      <c r="G2472" t="s">
        <v>113</v>
      </c>
      <c r="H2472" t="s">
        <v>113</v>
      </c>
      <c r="I2472">
        <v>0</v>
      </c>
      <c r="J2472">
        <v>0</v>
      </c>
      <c r="K2472" t="s">
        <v>1673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2813</v>
      </c>
      <c r="B2473" t="s">
        <v>50</v>
      </c>
      <c r="C2473" t="s">
        <v>92</v>
      </c>
      <c r="D2473">
        <v>11000</v>
      </c>
      <c r="E2473">
        <v>20500</v>
      </c>
      <c r="F2473">
        <v>10</v>
      </c>
      <c r="G2473" t="s">
        <v>113</v>
      </c>
      <c r="H2473" t="s">
        <v>113</v>
      </c>
      <c r="I2473">
        <v>0</v>
      </c>
      <c r="J2473">
        <v>0</v>
      </c>
      <c r="K2473" t="s">
        <v>1673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2814</v>
      </c>
      <c r="B2474" t="s">
        <v>50</v>
      </c>
      <c r="C2474" t="s">
        <v>92</v>
      </c>
      <c r="D2474">
        <v>20500</v>
      </c>
      <c r="E2474">
        <v>1025000</v>
      </c>
      <c r="F2474">
        <v>10</v>
      </c>
      <c r="G2474" t="s">
        <v>113</v>
      </c>
      <c r="H2474" t="s">
        <v>113</v>
      </c>
      <c r="I2474">
        <v>0</v>
      </c>
      <c r="J2474">
        <v>0</v>
      </c>
      <c r="K2474" t="s">
        <v>1673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508</v>
      </c>
      <c r="B2475" t="s">
        <v>50</v>
      </c>
      <c r="C2475" t="s">
        <v>92</v>
      </c>
      <c r="D2475">
        <v>330</v>
      </c>
      <c r="E2475">
        <v>3000.0001000000002</v>
      </c>
      <c r="F2475">
        <v>100</v>
      </c>
      <c r="G2475" t="s">
        <v>113</v>
      </c>
      <c r="H2475" t="s">
        <v>113</v>
      </c>
      <c r="I2475">
        <v>0</v>
      </c>
      <c r="J2475">
        <v>0</v>
      </c>
      <c r="K2475" t="s">
        <v>1673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510</v>
      </c>
      <c r="B2476" t="s">
        <v>50</v>
      </c>
      <c r="C2476" t="s">
        <v>92</v>
      </c>
      <c r="D2476">
        <v>3000</v>
      </c>
      <c r="E2476">
        <v>11000.1</v>
      </c>
      <c r="F2476">
        <v>100</v>
      </c>
      <c r="G2476" t="s">
        <v>113</v>
      </c>
      <c r="H2476" t="s">
        <v>113</v>
      </c>
      <c r="I2476">
        <v>0</v>
      </c>
      <c r="J2476">
        <v>0</v>
      </c>
      <c r="K2476" t="s">
        <v>1673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2815</v>
      </c>
      <c r="B2477" t="s">
        <v>50</v>
      </c>
      <c r="C2477" t="s">
        <v>92</v>
      </c>
      <c r="D2477">
        <v>11000</v>
      </c>
      <c r="E2477">
        <v>20500</v>
      </c>
      <c r="F2477">
        <v>100</v>
      </c>
      <c r="G2477" t="s">
        <v>113</v>
      </c>
      <c r="H2477" t="s">
        <v>113</v>
      </c>
      <c r="I2477">
        <v>0</v>
      </c>
      <c r="J2477">
        <v>0</v>
      </c>
      <c r="K2477" t="s">
        <v>1673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2816</v>
      </c>
      <c r="B2478" t="s">
        <v>50</v>
      </c>
      <c r="C2478" t="s">
        <v>92</v>
      </c>
      <c r="D2478">
        <v>24500</v>
      </c>
      <c r="E2478">
        <v>1025000</v>
      </c>
      <c r="F2478">
        <v>100</v>
      </c>
      <c r="G2478" t="s">
        <v>113</v>
      </c>
      <c r="H2478" t="s">
        <v>113</v>
      </c>
      <c r="I2478">
        <v>0</v>
      </c>
      <c r="J2478">
        <v>0</v>
      </c>
      <c r="K2478" t="s">
        <v>1673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511</v>
      </c>
      <c r="B2479" t="s">
        <v>50</v>
      </c>
      <c r="C2479" t="s">
        <v>92</v>
      </c>
      <c r="D2479">
        <v>3000</v>
      </c>
      <c r="E2479">
        <v>11000.1</v>
      </c>
      <c r="F2479">
        <v>1000</v>
      </c>
      <c r="G2479" t="s">
        <v>113</v>
      </c>
      <c r="H2479" t="s">
        <v>113</v>
      </c>
      <c r="I2479">
        <v>0</v>
      </c>
      <c r="J2479">
        <v>0</v>
      </c>
      <c r="K2479" t="s">
        <v>1673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2817</v>
      </c>
      <c r="B2480" t="s">
        <v>50</v>
      </c>
      <c r="C2480" t="s">
        <v>92</v>
      </c>
      <c r="D2480">
        <v>11000</v>
      </c>
      <c r="E2480">
        <v>20500</v>
      </c>
      <c r="F2480">
        <v>1000</v>
      </c>
      <c r="G2480" t="s">
        <v>113</v>
      </c>
      <c r="H2480" t="s">
        <v>113</v>
      </c>
      <c r="I2480">
        <v>0</v>
      </c>
      <c r="J2480">
        <v>0</v>
      </c>
      <c r="K2480" t="s">
        <v>1673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2818</v>
      </c>
      <c r="B2481" t="s">
        <v>50</v>
      </c>
      <c r="C2481" t="s">
        <v>92</v>
      </c>
      <c r="D2481">
        <v>24500</v>
      </c>
      <c r="E2481">
        <v>1025000</v>
      </c>
      <c r="F2481">
        <v>1000</v>
      </c>
      <c r="G2481" t="s">
        <v>113</v>
      </c>
      <c r="H2481" t="s">
        <v>113</v>
      </c>
      <c r="I2481">
        <v>0</v>
      </c>
      <c r="J2481">
        <v>0</v>
      </c>
      <c r="K2481" t="s">
        <v>1673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512</v>
      </c>
      <c r="B2482" t="s">
        <v>50</v>
      </c>
      <c r="C2482" t="s">
        <v>92</v>
      </c>
      <c r="D2482">
        <v>3000</v>
      </c>
      <c r="E2482">
        <v>11000.1</v>
      </c>
      <c r="F2482">
        <v>10000</v>
      </c>
      <c r="G2482" t="s">
        <v>113</v>
      </c>
      <c r="H2482" t="s">
        <v>113</v>
      </c>
      <c r="I2482">
        <v>0</v>
      </c>
      <c r="J2482">
        <v>0</v>
      </c>
      <c r="K2482" t="s">
        <v>1673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2819</v>
      </c>
      <c r="B2483" t="s">
        <v>50</v>
      </c>
      <c r="C2483" t="s">
        <v>92</v>
      </c>
      <c r="D2483">
        <v>11000</v>
      </c>
      <c r="E2483">
        <v>20500</v>
      </c>
      <c r="F2483">
        <v>10000</v>
      </c>
      <c r="G2483" t="s">
        <v>113</v>
      </c>
      <c r="H2483" t="s">
        <v>113</v>
      </c>
      <c r="I2483">
        <v>0</v>
      </c>
      <c r="J2483">
        <v>0</v>
      </c>
      <c r="K2483" t="s">
        <v>1673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2820</v>
      </c>
      <c r="B2484" t="s">
        <v>50</v>
      </c>
      <c r="C2484" t="s">
        <v>92</v>
      </c>
      <c r="D2484">
        <v>24500</v>
      </c>
      <c r="E2484">
        <v>1025000</v>
      </c>
      <c r="F2484">
        <v>10000</v>
      </c>
      <c r="G2484" t="s">
        <v>113</v>
      </c>
      <c r="H2484" t="s">
        <v>113</v>
      </c>
      <c r="I2484">
        <v>0</v>
      </c>
      <c r="J2484">
        <v>0</v>
      </c>
      <c r="K2484" t="s">
        <v>1673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1978</v>
      </c>
      <c r="B2485" t="s">
        <v>50</v>
      </c>
      <c r="C2485" t="s">
        <v>92</v>
      </c>
      <c r="D2485">
        <v>3000</v>
      </c>
      <c r="E2485">
        <v>11000.1</v>
      </c>
      <c r="F2485">
        <v>100000</v>
      </c>
      <c r="G2485" t="s">
        <v>113</v>
      </c>
      <c r="H2485" t="s">
        <v>113</v>
      </c>
      <c r="I2485">
        <v>0</v>
      </c>
      <c r="J2485">
        <v>0</v>
      </c>
      <c r="K2485" t="s">
        <v>1673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2821</v>
      </c>
      <c r="B2486" t="s">
        <v>50</v>
      </c>
      <c r="C2486" t="s">
        <v>92</v>
      </c>
      <c r="D2486">
        <v>11000</v>
      </c>
      <c r="E2486">
        <v>20500</v>
      </c>
      <c r="F2486">
        <v>100000</v>
      </c>
      <c r="G2486" t="s">
        <v>113</v>
      </c>
      <c r="H2486" t="s">
        <v>113</v>
      </c>
      <c r="I2486">
        <v>0</v>
      </c>
      <c r="J2486">
        <v>0</v>
      </c>
      <c r="K2486" t="s">
        <v>1673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2822</v>
      </c>
      <c r="B2487" t="s">
        <v>50</v>
      </c>
      <c r="C2487" t="s">
        <v>92</v>
      </c>
      <c r="D2487">
        <v>24500</v>
      </c>
      <c r="E2487">
        <v>1025000</v>
      </c>
      <c r="F2487">
        <v>100000</v>
      </c>
      <c r="G2487" t="s">
        <v>113</v>
      </c>
      <c r="H2487" t="s">
        <v>113</v>
      </c>
      <c r="I2487">
        <v>0</v>
      </c>
      <c r="J2487">
        <v>0</v>
      </c>
      <c r="K2487" t="s">
        <v>1673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1927</v>
      </c>
      <c r="B2488" t="s">
        <v>50</v>
      </c>
      <c r="C2488" t="s">
        <v>74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1673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479</v>
      </c>
      <c r="B2489" t="s">
        <v>50</v>
      </c>
      <c r="C2489" t="s">
        <v>74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1673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481</v>
      </c>
      <c r="B2490" t="s">
        <v>50</v>
      </c>
      <c r="C2490" t="s">
        <v>74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1673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482</v>
      </c>
      <c r="B2491" t="s">
        <v>50</v>
      </c>
      <c r="C2491" t="s">
        <v>74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1673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484</v>
      </c>
      <c r="B2492" t="s">
        <v>50</v>
      </c>
      <c r="C2492" t="s">
        <v>74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1673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1928</v>
      </c>
      <c r="B2493" t="s">
        <v>50</v>
      </c>
      <c r="C2493" t="s">
        <v>74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1673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478</v>
      </c>
      <c r="B2494" t="s">
        <v>50</v>
      </c>
      <c r="C2494" t="s">
        <v>74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1673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480</v>
      </c>
      <c r="B2495" t="s">
        <v>50</v>
      </c>
      <c r="C2495" t="s">
        <v>74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1673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1929</v>
      </c>
      <c r="B2496" t="s">
        <v>50</v>
      </c>
      <c r="C2496" t="s">
        <v>74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1673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483</v>
      </c>
      <c r="B2497" t="s">
        <v>50</v>
      </c>
      <c r="C2497" t="s">
        <v>74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1673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485</v>
      </c>
      <c r="B2498" t="s">
        <v>50</v>
      </c>
      <c r="C2498" t="s">
        <v>74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1673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486</v>
      </c>
      <c r="B2499" t="s">
        <v>50</v>
      </c>
      <c r="C2499" t="s">
        <v>74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1673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467</v>
      </c>
      <c r="B2500" t="s">
        <v>50</v>
      </c>
      <c r="C2500" t="s">
        <v>75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1673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468</v>
      </c>
      <c r="B2501" t="s">
        <v>50</v>
      </c>
      <c r="C2501" t="s">
        <v>75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1673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470</v>
      </c>
      <c r="B2502" t="s">
        <v>50</v>
      </c>
      <c r="C2502" t="s">
        <v>75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1673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472</v>
      </c>
      <c r="B2503" t="s">
        <v>50</v>
      </c>
      <c r="C2503" t="s">
        <v>75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1673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474</v>
      </c>
      <c r="B2504" t="s">
        <v>50</v>
      </c>
      <c r="C2504" t="s">
        <v>75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1673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476</v>
      </c>
      <c r="B2505" t="s">
        <v>50</v>
      </c>
      <c r="C2505" t="s">
        <v>75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1673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1930</v>
      </c>
      <c r="B2506" t="s">
        <v>50</v>
      </c>
      <c r="C2506" t="s">
        <v>75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1673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469</v>
      </c>
      <c r="B2507" t="s">
        <v>50</v>
      </c>
      <c r="C2507" t="s">
        <v>75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1673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471</v>
      </c>
      <c r="B2508" t="s">
        <v>50</v>
      </c>
      <c r="C2508" t="s">
        <v>75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1673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473</v>
      </c>
      <c r="B2509" t="s">
        <v>50</v>
      </c>
      <c r="C2509" t="s">
        <v>75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1673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475</v>
      </c>
      <c r="B2510" t="s">
        <v>50</v>
      </c>
      <c r="C2510" t="s">
        <v>75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1673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477</v>
      </c>
      <c r="B2511" t="s">
        <v>50</v>
      </c>
      <c r="C2511" t="s">
        <v>75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1673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459</v>
      </c>
      <c r="B2512" t="s">
        <v>50</v>
      </c>
      <c r="C2512" t="s">
        <v>76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1673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460</v>
      </c>
      <c r="B2513" t="s">
        <v>50</v>
      </c>
      <c r="C2513" t="s">
        <v>76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1673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1931</v>
      </c>
      <c r="B2514" t="s">
        <v>50</v>
      </c>
      <c r="C2514" t="s">
        <v>76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1673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1932</v>
      </c>
      <c r="B2515" t="s">
        <v>50</v>
      </c>
      <c r="C2515" t="s">
        <v>76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1673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463</v>
      </c>
      <c r="B2516" t="s">
        <v>50</v>
      </c>
      <c r="C2516" t="s">
        <v>76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1673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465</v>
      </c>
      <c r="B2517" t="s">
        <v>50</v>
      </c>
      <c r="C2517" t="s">
        <v>76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1673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1933</v>
      </c>
      <c r="B2518" t="s">
        <v>50</v>
      </c>
      <c r="C2518" t="s">
        <v>76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1673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461</v>
      </c>
      <c r="B2519" t="s">
        <v>50</v>
      </c>
      <c r="C2519" t="s">
        <v>76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1673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462</v>
      </c>
      <c r="B2520" t="s">
        <v>50</v>
      </c>
      <c r="C2520" t="s">
        <v>76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1673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1934</v>
      </c>
      <c r="B2521" t="s">
        <v>50</v>
      </c>
      <c r="C2521" t="s">
        <v>76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1673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464</v>
      </c>
      <c r="B2522" t="s">
        <v>50</v>
      </c>
      <c r="C2522" t="s">
        <v>76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1673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466</v>
      </c>
      <c r="B2523" t="s">
        <v>50</v>
      </c>
      <c r="C2523" t="s">
        <v>76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1673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1935</v>
      </c>
      <c r="B2524" t="s">
        <v>50</v>
      </c>
      <c r="C2524" t="s">
        <v>77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1673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451</v>
      </c>
      <c r="B2525" t="s">
        <v>50</v>
      </c>
      <c r="C2525" t="s">
        <v>77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1673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452</v>
      </c>
      <c r="B2526" t="s">
        <v>50</v>
      </c>
      <c r="C2526" t="s">
        <v>77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1673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453</v>
      </c>
      <c r="B2527" t="s">
        <v>50</v>
      </c>
      <c r="C2527" t="s">
        <v>77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1673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455</v>
      </c>
      <c r="B2528" t="s">
        <v>50</v>
      </c>
      <c r="C2528" t="s">
        <v>77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1673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457</v>
      </c>
      <c r="B2529" t="s">
        <v>50</v>
      </c>
      <c r="C2529" t="s">
        <v>77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1673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450</v>
      </c>
      <c r="B2530" t="s">
        <v>50</v>
      </c>
      <c r="C2530" t="s">
        <v>77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1673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1936</v>
      </c>
      <c r="B2531" t="s">
        <v>50</v>
      </c>
      <c r="C2531" t="s">
        <v>77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1673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1937</v>
      </c>
      <c r="B2532" t="s">
        <v>50</v>
      </c>
      <c r="C2532" t="s">
        <v>77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1673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454</v>
      </c>
      <c r="B2533" t="s">
        <v>50</v>
      </c>
      <c r="C2533" t="s">
        <v>77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1673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456</v>
      </c>
      <c r="B2534" t="s">
        <v>50</v>
      </c>
      <c r="C2534" t="s">
        <v>77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1673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458</v>
      </c>
      <c r="B2535" t="s">
        <v>50</v>
      </c>
      <c r="C2535" t="s">
        <v>77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1673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1948</v>
      </c>
      <c r="B2536" t="s">
        <v>50</v>
      </c>
      <c r="C2536" t="s">
        <v>81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1673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1949</v>
      </c>
      <c r="B2537" t="s">
        <v>50</v>
      </c>
      <c r="C2537" t="s">
        <v>81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1673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442</v>
      </c>
      <c r="B2538" t="s">
        <v>50</v>
      </c>
      <c r="C2538" t="s">
        <v>81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1673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444</v>
      </c>
      <c r="B2539" t="s">
        <v>50</v>
      </c>
      <c r="C2539" t="s">
        <v>81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1673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446</v>
      </c>
      <c r="B2540" t="s">
        <v>50</v>
      </c>
      <c r="C2540" t="s">
        <v>81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1673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447</v>
      </c>
      <c r="B2541" t="s">
        <v>50</v>
      </c>
      <c r="C2541" t="s">
        <v>81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1673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448</v>
      </c>
      <c r="B2542" t="s">
        <v>50</v>
      </c>
      <c r="C2542" t="s">
        <v>81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1673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440</v>
      </c>
      <c r="B2543" t="s">
        <v>50</v>
      </c>
      <c r="C2543" t="s">
        <v>81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1673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441</v>
      </c>
      <c r="B2544" t="s">
        <v>50</v>
      </c>
      <c r="C2544" t="s">
        <v>81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1673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443</v>
      </c>
      <c r="B2545" t="s">
        <v>50</v>
      </c>
      <c r="C2545" t="s">
        <v>81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1673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445</v>
      </c>
      <c r="B2546" t="s">
        <v>50</v>
      </c>
      <c r="C2546" t="s">
        <v>81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1673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1950</v>
      </c>
      <c r="B2547" t="s">
        <v>50</v>
      </c>
      <c r="C2547" t="s">
        <v>81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1673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1951</v>
      </c>
      <c r="B2548" t="s">
        <v>50</v>
      </c>
      <c r="C2548" t="s">
        <v>81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1673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449</v>
      </c>
      <c r="B2549" t="s">
        <v>50</v>
      </c>
      <c r="C2549" t="s">
        <v>81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1673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1952</v>
      </c>
      <c r="B2550" t="s">
        <v>50</v>
      </c>
      <c r="C2550" t="s">
        <v>82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1673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1953</v>
      </c>
      <c r="B2551" t="s">
        <v>50</v>
      </c>
      <c r="C2551" t="s">
        <v>82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1673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430</v>
      </c>
      <c r="B2552" t="s">
        <v>50</v>
      </c>
      <c r="C2552" t="s">
        <v>82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1673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1954</v>
      </c>
      <c r="B2553" t="s">
        <v>50</v>
      </c>
      <c r="C2553" t="s">
        <v>82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1673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433</v>
      </c>
      <c r="B2554" t="s">
        <v>50</v>
      </c>
      <c r="C2554" t="s">
        <v>82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1673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434</v>
      </c>
      <c r="B2555" t="s">
        <v>50</v>
      </c>
      <c r="C2555" t="s">
        <v>82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1673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436</v>
      </c>
      <c r="B2556" t="s">
        <v>50</v>
      </c>
      <c r="C2556" t="s">
        <v>82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1673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438</v>
      </c>
      <c r="B2557" t="s">
        <v>50</v>
      </c>
      <c r="C2557" t="s">
        <v>82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1673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1955</v>
      </c>
      <c r="B2558" t="s">
        <v>50</v>
      </c>
      <c r="C2558" t="s">
        <v>82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1673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431</v>
      </c>
      <c r="B2559" t="s">
        <v>50</v>
      </c>
      <c r="C2559" t="s">
        <v>82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1673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432</v>
      </c>
      <c r="B2560" t="s">
        <v>50</v>
      </c>
      <c r="C2560" t="s">
        <v>82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1673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1956</v>
      </c>
      <c r="B2561" t="s">
        <v>50</v>
      </c>
      <c r="C2561" t="s">
        <v>82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1673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435</v>
      </c>
      <c r="B2562" t="s">
        <v>50</v>
      </c>
      <c r="C2562" t="s">
        <v>82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1673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437</v>
      </c>
      <c r="B2563" t="s">
        <v>50</v>
      </c>
      <c r="C2563" t="s">
        <v>82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1673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439</v>
      </c>
      <c r="B2564" t="s">
        <v>50</v>
      </c>
      <c r="C2564" t="s">
        <v>82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1673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424</v>
      </c>
      <c r="B2565" t="s">
        <v>50</v>
      </c>
      <c r="C2565" t="s">
        <v>78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1673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425</v>
      </c>
      <c r="B2566" t="s">
        <v>50</v>
      </c>
      <c r="C2566" t="s">
        <v>78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1673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426</v>
      </c>
      <c r="B2567" t="s">
        <v>50</v>
      </c>
      <c r="C2567" t="s">
        <v>78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1673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427</v>
      </c>
      <c r="B2568" t="s">
        <v>50</v>
      </c>
      <c r="C2568" t="s">
        <v>78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1673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429</v>
      </c>
      <c r="B2569" t="s">
        <v>50</v>
      </c>
      <c r="C2569" t="s">
        <v>78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1673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1938</v>
      </c>
      <c r="B2570" t="s">
        <v>50</v>
      </c>
      <c r="C2570" t="s">
        <v>78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1673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1939</v>
      </c>
      <c r="B2571" t="s">
        <v>50</v>
      </c>
      <c r="C2571" t="s">
        <v>78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1673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1940</v>
      </c>
      <c r="B2572" t="s">
        <v>50</v>
      </c>
      <c r="C2572" t="s">
        <v>78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1673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428</v>
      </c>
      <c r="B2573" t="s">
        <v>50</v>
      </c>
      <c r="C2573" t="s">
        <v>78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1673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1941</v>
      </c>
      <c r="B2574" t="s">
        <v>50</v>
      </c>
      <c r="C2574" t="s">
        <v>78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1673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417</v>
      </c>
      <c r="B2575" t="s">
        <v>50</v>
      </c>
      <c r="C2575" t="s">
        <v>79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1673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419</v>
      </c>
      <c r="B2576" t="s">
        <v>50</v>
      </c>
      <c r="C2576" t="s">
        <v>79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1673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1942</v>
      </c>
      <c r="B2577" t="s">
        <v>50</v>
      </c>
      <c r="C2577" t="s">
        <v>79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1673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1943</v>
      </c>
      <c r="B2578" t="s">
        <v>50</v>
      </c>
      <c r="C2578" t="s">
        <v>79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1673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422</v>
      </c>
      <c r="B2579" t="s">
        <v>50</v>
      </c>
      <c r="C2579" t="s">
        <v>79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1673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418</v>
      </c>
      <c r="B2580" t="s">
        <v>50</v>
      </c>
      <c r="C2580" t="s">
        <v>79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1673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1944</v>
      </c>
      <c r="B2581" t="s">
        <v>50</v>
      </c>
      <c r="C2581" t="s">
        <v>79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1673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420</v>
      </c>
      <c r="B2582" t="s">
        <v>50</v>
      </c>
      <c r="C2582" t="s">
        <v>79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1673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421</v>
      </c>
      <c r="B2583" t="s">
        <v>50</v>
      </c>
      <c r="C2583" t="s">
        <v>79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1673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423</v>
      </c>
      <c r="B2584" t="s">
        <v>50</v>
      </c>
      <c r="C2584" t="s">
        <v>79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1673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410</v>
      </c>
      <c r="B2585" t="s">
        <v>50</v>
      </c>
      <c r="C2585" t="s">
        <v>80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1673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1945</v>
      </c>
      <c r="B2586" t="s">
        <v>50</v>
      </c>
      <c r="C2586" t="s">
        <v>80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1673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1946</v>
      </c>
      <c r="B2587" t="s">
        <v>50</v>
      </c>
      <c r="C2587" t="s">
        <v>80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1673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413</v>
      </c>
      <c r="B2588" t="s">
        <v>50</v>
      </c>
      <c r="C2588" t="s">
        <v>80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1673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415</v>
      </c>
      <c r="B2589" t="s">
        <v>50</v>
      </c>
      <c r="C2589" t="s">
        <v>80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1673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411</v>
      </c>
      <c r="B2590" t="s">
        <v>50</v>
      </c>
      <c r="C2590" t="s">
        <v>80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1673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412</v>
      </c>
      <c r="B2591" t="s">
        <v>50</v>
      </c>
      <c r="C2591" t="s">
        <v>80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1673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1947</v>
      </c>
      <c r="B2592" t="s">
        <v>50</v>
      </c>
      <c r="C2592" t="s">
        <v>80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1673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414</v>
      </c>
      <c r="B2593" t="s">
        <v>50</v>
      </c>
      <c r="C2593" t="s">
        <v>80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1673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416</v>
      </c>
      <c r="B2594" t="s">
        <v>50</v>
      </c>
      <c r="C2594" t="s">
        <v>80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1673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387</v>
      </c>
      <c r="B2595" t="s">
        <v>50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1673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388</v>
      </c>
      <c r="B2596" t="s">
        <v>50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1673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1741</v>
      </c>
      <c r="B2597" t="s">
        <v>50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1673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1739</v>
      </c>
      <c r="B2598" t="s">
        <v>50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1673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1742</v>
      </c>
      <c r="B2599" t="s">
        <v>50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1673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2042</v>
      </c>
      <c r="B2600" t="s">
        <v>50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1673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389</v>
      </c>
      <c r="B2601" t="s">
        <v>50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1673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392</v>
      </c>
      <c r="B2602" t="s">
        <v>50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1673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1743</v>
      </c>
      <c r="B2603" t="s">
        <v>50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1673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395</v>
      </c>
      <c r="B2604" t="s">
        <v>50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1673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390</v>
      </c>
      <c r="B2605" t="s">
        <v>50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1673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393</v>
      </c>
      <c r="B2606" t="s">
        <v>50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1673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394</v>
      </c>
      <c r="B2607" t="s">
        <v>50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1673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396</v>
      </c>
      <c r="B2608" t="s">
        <v>50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1673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1744</v>
      </c>
      <c r="B2609" t="s">
        <v>50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1673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391</v>
      </c>
      <c r="B2610" t="s">
        <v>50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1673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2823</v>
      </c>
      <c r="B2611" t="s">
        <v>50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1673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397</v>
      </c>
      <c r="B2612" t="s">
        <v>50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1673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399</v>
      </c>
      <c r="B2613" t="s">
        <v>50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1673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402</v>
      </c>
      <c r="B2614" t="s">
        <v>50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1673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406</v>
      </c>
      <c r="B2615" t="s">
        <v>50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1673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1740</v>
      </c>
      <c r="B2616" t="s">
        <v>50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1673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398</v>
      </c>
      <c r="B2617" t="s">
        <v>50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1673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400</v>
      </c>
      <c r="B2618" t="s">
        <v>50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1673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403</v>
      </c>
      <c r="B2619" t="s">
        <v>50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1673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407</v>
      </c>
      <c r="B2620" t="s">
        <v>50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1673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401</v>
      </c>
      <c r="B2621" t="s">
        <v>50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1673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404</v>
      </c>
      <c r="B2622" t="s">
        <v>50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1673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408</v>
      </c>
      <c r="B2623" t="s">
        <v>50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1673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405</v>
      </c>
      <c r="B2624" t="s">
        <v>50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1673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409</v>
      </c>
      <c r="B2625" t="s">
        <v>50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1673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2260</v>
      </c>
      <c r="B2626" t="s">
        <v>50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1673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2261</v>
      </c>
      <c r="B2627" t="s">
        <v>50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1673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2262</v>
      </c>
      <c r="B2628" t="s">
        <v>50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1673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2263</v>
      </c>
      <c r="B2629" t="s">
        <v>50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1673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2264</v>
      </c>
      <c r="B2630" t="s">
        <v>50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1673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2265</v>
      </c>
      <c r="B2631" t="s">
        <v>50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1673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2266</v>
      </c>
      <c r="B2632" t="s">
        <v>50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1673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2267</v>
      </c>
      <c r="B2633" t="s">
        <v>50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1673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2268</v>
      </c>
      <c r="B2634" t="s">
        <v>50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1673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2269</v>
      </c>
      <c r="B2635" t="s">
        <v>50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1673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2270</v>
      </c>
      <c r="B2636" t="s">
        <v>50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1673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2271</v>
      </c>
      <c r="B2637" t="s">
        <v>50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1673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2272</v>
      </c>
      <c r="B2638" t="s">
        <v>50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1673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2273</v>
      </c>
      <c r="B2639" t="s">
        <v>50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1673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2274</v>
      </c>
      <c r="B2640" t="s">
        <v>50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1673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2275</v>
      </c>
      <c r="B2641" t="s">
        <v>50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1673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2276</v>
      </c>
      <c r="B2642" t="s">
        <v>50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1673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2277</v>
      </c>
      <c r="B2643" t="s">
        <v>50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1673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2278</v>
      </c>
      <c r="B2644" t="s">
        <v>50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1673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2279</v>
      </c>
      <c r="B2645" t="s">
        <v>50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1673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2280</v>
      </c>
      <c r="B2646" t="s">
        <v>50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1673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2281</v>
      </c>
      <c r="B2647" t="s">
        <v>50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1673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2282</v>
      </c>
      <c r="B2648" t="s">
        <v>50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1673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2283</v>
      </c>
      <c r="B2649" t="s">
        <v>50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1673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2284</v>
      </c>
      <c r="B2650" t="s">
        <v>50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1673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2285</v>
      </c>
      <c r="B2651" t="s">
        <v>50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1673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2286</v>
      </c>
      <c r="B2652" t="s">
        <v>50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1673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2287</v>
      </c>
      <c r="B2653" t="s">
        <v>50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1673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2288</v>
      </c>
      <c r="B2654" t="s">
        <v>50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1673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2289</v>
      </c>
      <c r="B2655" t="s">
        <v>50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1673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2290</v>
      </c>
      <c r="B2656" t="s">
        <v>50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1673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2291</v>
      </c>
      <c r="B2657" t="s">
        <v>50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1673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2292</v>
      </c>
      <c r="B2658" t="s">
        <v>50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1673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2293</v>
      </c>
      <c r="B2659" t="s">
        <v>50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1673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2294</v>
      </c>
      <c r="B2660" t="s">
        <v>50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1673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2295</v>
      </c>
      <c r="B2661" t="s">
        <v>50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1673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2296</v>
      </c>
      <c r="B2662" t="s">
        <v>50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1673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2297</v>
      </c>
      <c r="B2663" t="s">
        <v>50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1673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2298</v>
      </c>
      <c r="B2664" t="s">
        <v>50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1673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2299</v>
      </c>
      <c r="B2665" t="s">
        <v>50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1673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2300</v>
      </c>
      <c r="B2666" t="s">
        <v>50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1673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2301</v>
      </c>
      <c r="B2667" t="s">
        <v>50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1673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2302</v>
      </c>
      <c r="B2668" t="s">
        <v>50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1673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2303</v>
      </c>
      <c r="B2669" t="s">
        <v>50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1673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2304</v>
      </c>
      <c r="B2670" t="s">
        <v>50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1673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2305</v>
      </c>
      <c r="B2671" t="s">
        <v>50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1673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2306</v>
      </c>
      <c r="B2672" t="s">
        <v>50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1673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2307</v>
      </c>
      <c r="B2673" t="s">
        <v>50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1673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2308</v>
      </c>
      <c r="B2674" t="s">
        <v>50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1673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2309</v>
      </c>
      <c r="B2675" t="s">
        <v>50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1673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2310</v>
      </c>
      <c r="B2676" t="s">
        <v>50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1673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2311</v>
      </c>
      <c r="B2677" t="s">
        <v>50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1673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2312</v>
      </c>
      <c r="B2678" t="s">
        <v>50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1673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2313</v>
      </c>
      <c r="B2679" t="s">
        <v>50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1673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2314</v>
      </c>
      <c r="B2680" t="s">
        <v>50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1673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2315</v>
      </c>
      <c r="B2681" t="s">
        <v>50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1673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2316</v>
      </c>
      <c r="B2682" t="s">
        <v>50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1673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2317</v>
      </c>
      <c r="B2683" t="s">
        <v>50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1673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2318</v>
      </c>
      <c r="B2684" t="s">
        <v>50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1673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2319</v>
      </c>
      <c r="B2685" t="s">
        <v>50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1673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2320</v>
      </c>
      <c r="B2686" t="s">
        <v>50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1673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2321</v>
      </c>
      <c r="B2687" t="s">
        <v>50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1673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2824</v>
      </c>
      <c r="B2688" t="s">
        <v>50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1673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2322</v>
      </c>
      <c r="B2689" t="s">
        <v>50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1673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2323</v>
      </c>
      <c r="B2690" t="s">
        <v>50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1673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2324</v>
      </c>
      <c r="B2691" t="s">
        <v>50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1673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2325</v>
      </c>
      <c r="B2692" t="s">
        <v>50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1673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2326</v>
      </c>
      <c r="B2693" t="s">
        <v>50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1673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2825</v>
      </c>
      <c r="B2694" t="s">
        <v>50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1673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2327</v>
      </c>
      <c r="B2695" t="s">
        <v>50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1673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2328</v>
      </c>
      <c r="B2696" t="s">
        <v>50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1673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2329</v>
      </c>
      <c r="B2697" t="s">
        <v>50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1673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2826</v>
      </c>
      <c r="B2698" t="s">
        <v>50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1673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2330</v>
      </c>
      <c r="B2699" t="s">
        <v>50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1673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2827</v>
      </c>
      <c r="B2700" t="s">
        <v>50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1673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3019</v>
      </c>
      <c r="B2701" t="s">
        <v>2828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3020</v>
      </c>
      <c r="B2702" t="s">
        <v>2828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3021</v>
      </c>
      <c r="B2703" t="s">
        <v>2828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3022</v>
      </c>
      <c r="B2704" t="s">
        <v>2828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3023</v>
      </c>
      <c r="B2705" t="s">
        <v>2828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3024</v>
      </c>
      <c r="B2706" t="s">
        <v>2828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3025</v>
      </c>
      <c r="B2707" t="s">
        <v>2828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3026</v>
      </c>
      <c r="B2708" t="s">
        <v>2828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3027</v>
      </c>
      <c r="B2709" t="s">
        <v>2828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3028</v>
      </c>
      <c r="B2710" t="s">
        <v>2828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3029</v>
      </c>
      <c r="B2711" t="s">
        <v>2828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3030</v>
      </c>
      <c r="B2712" t="s">
        <v>2828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3031</v>
      </c>
      <c r="B2713" t="s">
        <v>2828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3032</v>
      </c>
      <c r="B2714" t="s">
        <v>2828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3033</v>
      </c>
      <c r="B2715" t="s">
        <v>2828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3034</v>
      </c>
      <c r="B2716" t="s">
        <v>2828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3035</v>
      </c>
      <c r="B2717" t="s">
        <v>2828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3036</v>
      </c>
      <c r="B2718" t="s">
        <v>2828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3037</v>
      </c>
      <c r="B2719" t="s">
        <v>2828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3038</v>
      </c>
      <c r="B2720" t="s">
        <v>2828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3039</v>
      </c>
      <c r="B2721" t="s">
        <v>2828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3040</v>
      </c>
      <c r="B2722" t="s">
        <v>2828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3041</v>
      </c>
      <c r="B2723" t="s">
        <v>2828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3042</v>
      </c>
      <c r="B2724" t="s">
        <v>2828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3043</v>
      </c>
      <c r="B2725" t="s">
        <v>2828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3044</v>
      </c>
      <c r="B2726" t="s">
        <v>2828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3045</v>
      </c>
      <c r="B2727" t="s">
        <v>2828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3046</v>
      </c>
      <c r="B2728" t="s">
        <v>2828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3047</v>
      </c>
      <c r="B2729" t="s">
        <v>2828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3048</v>
      </c>
      <c r="B2730" t="s">
        <v>2828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3049</v>
      </c>
      <c r="B2731" t="s">
        <v>2828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3050</v>
      </c>
      <c r="B2732" t="s">
        <v>2828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3051</v>
      </c>
      <c r="B2733" t="s">
        <v>2828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3052</v>
      </c>
      <c r="B2734" t="s">
        <v>2828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3053</v>
      </c>
      <c r="B2735" t="s">
        <v>2828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3054</v>
      </c>
      <c r="B2736" t="s">
        <v>2828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3055</v>
      </c>
      <c r="B2737" t="s">
        <v>2828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3056</v>
      </c>
      <c r="B2738" t="s">
        <v>2828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3057</v>
      </c>
      <c r="B2739" t="s">
        <v>2828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3058</v>
      </c>
      <c r="B2740" t="s">
        <v>2828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3059</v>
      </c>
      <c r="B2741" t="s">
        <v>2828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3060</v>
      </c>
      <c r="B2742" t="s">
        <v>2828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3061</v>
      </c>
      <c r="B2743" t="s">
        <v>2828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3062</v>
      </c>
      <c r="B2744" t="s">
        <v>2828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3063</v>
      </c>
      <c r="B2745" t="s">
        <v>2828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3064</v>
      </c>
      <c r="B2746" t="s">
        <v>2828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3065</v>
      </c>
      <c r="B2747" t="s">
        <v>2828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3066</v>
      </c>
      <c r="B2748" t="s">
        <v>2828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3067</v>
      </c>
      <c r="B2749" t="s">
        <v>2828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3068</v>
      </c>
      <c r="B2750" t="s">
        <v>2828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3069</v>
      </c>
      <c r="B2751" t="s">
        <v>2828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3070</v>
      </c>
      <c r="B2752" t="s">
        <v>2828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3071</v>
      </c>
      <c r="B2753" t="s">
        <v>2828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3072</v>
      </c>
      <c r="B2754" t="s">
        <v>2828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3073</v>
      </c>
      <c r="B2755" t="s">
        <v>2828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3074</v>
      </c>
      <c r="B2756" t="s">
        <v>2828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3075</v>
      </c>
      <c r="B2757" t="s">
        <v>2828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3076</v>
      </c>
      <c r="B2758" t="s">
        <v>2828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3077</v>
      </c>
      <c r="B2759" t="s">
        <v>2828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3078</v>
      </c>
      <c r="B2760" t="s">
        <v>2828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3079</v>
      </c>
      <c r="B2761" t="s">
        <v>2828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3080</v>
      </c>
      <c r="B2762" t="s">
        <v>2828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3081</v>
      </c>
      <c r="B2763" t="s">
        <v>2828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3082</v>
      </c>
      <c r="B2764" t="s">
        <v>2828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3083</v>
      </c>
      <c r="B2765" t="s">
        <v>2828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3084</v>
      </c>
      <c r="B2766" t="s">
        <v>2828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3085</v>
      </c>
      <c r="B2767" t="s">
        <v>2828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3086</v>
      </c>
      <c r="B2768" t="s">
        <v>2828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3087</v>
      </c>
      <c r="B2769" t="s">
        <v>2828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3088</v>
      </c>
      <c r="B2770" t="s">
        <v>2828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2829</v>
      </c>
      <c r="B2771" t="s">
        <v>2828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101</v>
      </c>
      <c r="H2771" t="s">
        <v>15</v>
      </c>
      <c r="I2771">
        <v>0</v>
      </c>
      <c r="J2771">
        <v>0</v>
      </c>
      <c r="K2771" t="s">
        <v>1673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2830</v>
      </c>
      <c r="B2772" t="s">
        <v>2828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101</v>
      </c>
      <c r="H2772" t="s">
        <v>15</v>
      </c>
      <c r="I2772">
        <v>0</v>
      </c>
      <c r="J2772">
        <v>0</v>
      </c>
      <c r="K2772" t="s">
        <v>1673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2831</v>
      </c>
      <c r="B2773" t="s">
        <v>2828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101</v>
      </c>
      <c r="H2773" t="s">
        <v>15</v>
      </c>
      <c r="I2773">
        <v>0</v>
      </c>
      <c r="J2773">
        <v>0</v>
      </c>
      <c r="K2773" t="s">
        <v>1673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2832</v>
      </c>
      <c r="B2774" t="s">
        <v>2828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101</v>
      </c>
      <c r="H2774" t="s">
        <v>15</v>
      </c>
      <c r="I2774">
        <v>0</v>
      </c>
      <c r="J2774">
        <v>0</v>
      </c>
      <c r="K2774" t="s">
        <v>1673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2833</v>
      </c>
      <c r="B2775" t="s">
        <v>2828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101</v>
      </c>
      <c r="H2775" t="s">
        <v>15</v>
      </c>
      <c r="I2775">
        <v>0</v>
      </c>
      <c r="J2775">
        <v>0</v>
      </c>
      <c r="K2775" t="s">
        <v>1673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2834</v>
      </c>
      <c r="B2776" t="s">
        <v>2828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101</v>
      </c>
      <c r="H2776" t="s">
        <v>15</v>
      </c>
      <c r="I2776">
        <v>0</v>
      </c>
      <c r="J2776">
        <v>0</v>
      </c>
      <c r="K2776" t="s">
        <v>1673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2835</v>
      </c>
      <c r="B2777" t="s">
        <v>2828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101</v>
      </c>
      <c r="H2777" t="s">
        <v>15</v>
      </c>
      <c r="I2777">
        <v>0</v>
      </c>
      <c r="J2777">
        <v>0</v>
      </c>
      <c r="K2777" t="s">
        <v>1673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2836</v>
      </c>
      <c r="B2778" t="s">
        <v>2828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101</v>
      </c>
      <c r="H2778" t="s">
        <v>15</v>
      </c>
      <c r="I2778">
        <v>0</v>
      </c>
      <c r="J2778">
        <v>0</v>
      </c>
      <c r="K2778" t="s">
        <v>1673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2837</v>
      </c>
      <c r="B2779" t="s">
        <v>2828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101</v>
      </c>
      <c r="H2779" t="s">
        <v>15</v>
      </c>
      <c r="I2779">
        <v>0</v>
      </c>
      <c r="J2779">
        <v>0</v>
      </c>
      <c r="K2779" t="s">
        <v>1673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2838</v>
      </c>
      <c r="B2780" t="s">
        <v>2828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101</v>
      </c>
      <c r="H2780" t="s">
        <v>15</v>
      </c>
      <c r="I2780">
        <v>0</v>
      </c>
      <c r="J2780">
        <v>0</v>
      </c>
      <c r="K2780" t="s">
        <v>1673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2839</v>
      </c>
      <c r="B2781" t="s">
        <v>2828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101</v>
      </c>
      <c r="H2781" t="s">
        <v>15</v>
      </c>
      <c r="I2781">
        <v>0</v>
      </c>
      <c r="J2781">
        <v>0</v>
      </c>
      <c r="K2781" t="s">
        <v>1673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2840</v>
      </c>
      <c r="B2782" t="s">
        <v>2828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101</v>
      </c>
      <c r="H2782" t="s">
        <v>15</v>
      </c>
      <c r="I2782">
        <v>0</v>
      </c>
      <c r="J2782">
        <v>0</v>
      </c>
      <c r="K2782" t="s">
        <v>1673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2841</v>
      </c>
      <c r="B2783" t="s">
        <v>2828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101</v>
      </c>
      <c r="H2783" t="s">
        <v>15</v>
      </c>
      <c r="I2783">
        <v>0</v>
      </c>
      <c r="J2783">
        <v>0</v>
      </c>
      <c r="K2783" t="s">
        <v>1673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2842</v>
      </c>
      <c r="B2784" t="s">
        <v>2828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101</v>
      </c>
      <c r="H2784" t="s">
        <v>15</v>
      </c>
      <c r="I2784">
        <v>0</v>
      </c>
      <c r="J2784">
        <v>0</v>
      </c>
      <c r="K2784" t="s">
        <v>1673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2843</v>
      </c>
      <c r="B2785" t="s">
        <v>2828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101</v>
      </c>
      <c r="H2785" t="s">
        <v>15</v>
      </c>
      <c r="I2785">
        <v>0</v>
      </c>
      <c r="J2785">
        <v>0</v>
      </c>
      <c r="K2785" t="s">
        <v>1673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2844</v>
      </c>
      <c r="B2786" t="s">
        <v>2828</v>
      </c>
      <c r="C2786" t="s">
        <v>84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1673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2845</v>
      </c>
      <c r="B2787" t="s">
        <v>2828</v>
      </c>
      <c r="C2787" t="s">
        <v>84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1673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2846</v>
      </c>
      <c r="B2788" t="s">
        <v>2828</v>
      </c>
      <c r="C2788" t="s">
        <v>84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1673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2847</v>
      </c>
      <c r="B2789" t="s">
        <v>2828</v>
      </c>
      <c r="C2789" t="s">
        <v>84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1673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2848</v>
      </c>
      <c r="B2790" t="s">
        <v>2828</v>
      </c>
      <c r="C2790" t="s">
        <v>84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1673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2849</v>
      </c>
      <c r="B2791" t="s">
        <v>2828</v>
      </c>
      <c r="C2791" t="s">
        <v>84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1673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2850</v>
      </c>
      <c r="B2792" t="s">
        <v>2828</v>
      </c>
      <c r="C2792" t="s">
        <v>84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1673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2851</v>
      </c>
      <c r="B2793" t="s">
        <v>2828</v>
      </c>
      <c r="C2793" t="s">
        <v>84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1673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2852</v>
      </c>
      <c r="B2794" t="s">
        <v>2828</v>
      </c>
      <c r="C2794" t="s">
        <v>83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1673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2853</v>
      </c>
      <c r="B2795" t="s">
        <v>2828</v>
      </c>
      <c r="C2795" t="s">
        <v>83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1673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2854</v>
      </c>
      <c r="B2796" t="s">
        <v>2828</v>
      </c>
      <c r="C2796" t="s">
        <v>83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1673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2855</v>
      </c>
      <c r="B2797" t="s">
        <v>2828</v>
      </c>
      <c r="C2797" t="s">
        <v>83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1673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2856</v>
      </c>
      <c r="B2798" t="s">
        <v>2828</v>
      </c>
      <c r="C2798" t="s">
        <v>83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1673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2857</v>
      </c>
      <c r="B2799" t="s">
        <v>2828</v>
      </c>
      <c r="C2799" t="s">
        <v>83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1673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2858</v>
      </c>
      <c r="B2800" t="s">
        <v>2828</v>
      </c>
      <c r="C2800" t="s">
        <v>86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1673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2859</v>
      </c>
      <c r="B2801" t="s">
        <v>2828</v>
      </c>
      <c r="C2801" t="s">
        <v>86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1673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2860</v>
      </c>
      <c r="B2802" t="s">
        <v>2828</v>
      </c>
      <c r="C2802" t="s">
        <v>86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1673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2861</v>
      </c>
      <c r="B2803" t="s">
        <v>2828</v>
      </c>
      <c r="C2803" t="s">
        <v>86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1673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2862</v>
      </c>
      <c r="B2804" t="s">
        <v>2828</v>
      </c>
      <c r="C2804" t="s">
        <v>86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1673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2863</v>
      </c>
      <c r="B2805" t="s">
        <v>2828</v>
      </c>
      <c r="C2805" t="s">
        <v>86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1673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2864</v>
      </c>
      <c r="B2806" t="s">
        <v>2828</v>
      </c>
      <c r="C2806" t="s">
        <v>87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1673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2865</v>
      </c>
      <c r="B2807" t="s">
        <v>2828</v>
      </c>
      <c r="C2807" t="s">
        <v>87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1673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2866</v>
      </c>
      <c r="B2808" t="s">
        <v>2828</v>
      </c>
      <c r="C2808" t="s">
        <v>87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1673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2867</v>
      </c>
      <c r="B2809" t="s">
        <v>2828</v>
      </c>
      <c r="C2809" t="s">
        <v>87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1673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2868</v>
      </c>
      <c r="B2810" t="s">
        <v>2828</v>
      </c>
      <c r="C2810" t="s">
        <v>88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1673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2869</v>
      </c>
      <c r="B2811" t="s">
        <v>2828</v>
      </c>
      <c r="C2811" t="s">
        <v>88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1673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2870</v>
      </c>
      <c r="B2812" t="s">
        <v>2828</v>
      </c>
      <c r="C2812" t="s">
        <v>88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1673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2871</v>
      </c>
      <c r="B2813" t="s">
        <v>2828</v>
      </c>
      <c r="C2813" t="s">
        <v>88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1673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2872</v>
      </c>
      <c r="B2814" t="s">
        <v>2828</v>
      </c>
      <c r="C2814" t="s">
        <v>89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1673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2873</v>
      </c>
      <c r="B2815" t="s">
        <v>2828</v>
      </c>
      <c r="C2815" t="s">
        <v>89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1673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2874</v>
      </c>
      <c r="B2816" t="s">
        <v>2828</v>
      </c>
      <c r="C2816" t="s">
        <v>89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1673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2875</v>
      </c>
      <c r="B2817" t="s">
        <v>2828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64</v>
      </c>
      <c r="I2817">
        <v>0</v>
      </c>
      <c r="J2817">
        <v>0</v>
      </c>
      <c r="K2817" t="s">
        <v>1673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2876</v>
      </c>
      <c r="B2818" t="s">
        <v>2828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64</v>
      </c>
      <c r="I2818">
        <v>0</v>
      </c>
      <c r="J2818">
        <v>0</v>
      </c>
      <c r="K2818" t="s">
        <v>1673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2877</v>
      </c>
      <c r="B2819" t="s">
        <v>2828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64</v>
      </c>
      <c r="I2819">
        <v>0</v>
      </c>
      <c r="J2819">
        <v>0</v>
      </c>
      <c r="K2819" t="s">
        <v>1673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2878</v>
      </c>
      <c r="B2820" t="s">
        <v>2828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64</v>
      </c>
      <c r="I2820">
        <v>0</v>
      </c>
      <c r="J2820">
        <v>0</v>
      </c>
      <c r="K2820" t="s">
        <v>1673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2879</v>
      </c>
      <c r="B2821" t="s">
        <v>2828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64</v>
      </c>
      <c r="I2821">
        <v>0</v>
      </c>
      <c r="J2821">
        <v>0</v>
      </c>
      <c r="K2821" t="s">
        <v>1673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2880</v>
      </c>
      <c r="B2822" t="s">
        <v>2828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1673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2881</v>
      </c>
      <c r="B2823" t="s">
        <v>2828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64</v>
      </c>
      <c r="I2823">
        <v>0</v>
      </c>
      <c r="J2823">
        <v>0</v>
      </c>
      <c r="K2823" t="s">
        <v>1673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2882</v>
      </c>
      <c r="B2824" t="s">
        <v>2828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64</v>
      </c>
      <c r="I2824">
        <v>0</v>
      </c>
      <c r="J2824">
        <v>0</v>
      </c>
      <c r="K2824" t="s">
        <v>1673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2883</v>
      </c>
      <c r="B2825" t="s">
        <v>2828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1673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2884</v>
      </c>
      <c r="B2826" t="s">
        <v>2828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1673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2885</v>
      </c>
      <c r="B2827" t="s">
        <v>2828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64</v>
      </c>
      <c r="I2827">
        <v>0</v>
      </c>
      <c r="J2827">
        <v>0</v>
      </c>
      <c r="K2827" t="s">
        <v>1673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2886</v>
      </c>
      <c r="B2828" t="s">
        <v>2828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64</v>
      </c>
      <c r="I2828">
        <v>0</v>
      </c>
      <c r="J2828">
        <v>0</v>
      </c>
      <c r="K2828" t="s">
        <v>1673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2887</v>
      </c>
      <c r="B2829" t="s">
        <v>2828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1673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2888</v>
      </c>
      <c r="B2830" t="s">
        <v>2828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1673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2889</v>
      </c>
      <c r="B2831" t="s">
        <v>2828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1673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2890</v>
      </c>
      <c r="B2832" t="s">
        <v>2828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64</v>
      </c>
      <c r="I2832">
        <v>0</v>
      </c>
      <c r="J2832">
        <v>0</v>
      </c>
      <c r="K2832" t="s">
        <v>1673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2891</v>
      </c>
      <c r="B2833" t="s">
        <v>2828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1673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2892</v>
      </c>
      <c r="B2834" t="s">
        <v>2828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1673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2893</v>
      </c>
      <c r="B2835" t="s">
        <v>2828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1673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2894</v>
      </c>
      <c r="B2836" t="s">
        <v>2828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1673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2895</v>
      </c>
      <c r="B2837" t="s">
        <v>2828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1673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2896</v>
      </c>
      <c r="B2838" t="s">
        <v>2828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1673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2897</v>
      </c>
      <c r="B2839" t="s">
        <v>2828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1673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2898</v>
      </c>
      <c r="B2840" t="s">
        <v>2828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1673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2899</v>
      </c>
      <c r="B2841" t="s">
        <v>2828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1673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2900</v>
      </c>
      <c r="B2842" t="s">
        <v>2828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1673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2901</v>
      </c>
      <c r="B2843" t="s">
        <v>2828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1673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2902</v>
      </c>
      <c r="B2844" t="s">
        <v>2828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1673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2903</v>
      </c>
      <c r="B2845" t="s">
        <v>2828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1673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2904</v>
      </c>
      <c r="B2846" t="s">
        <v>2828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1673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2905</v>
      </c>
      <c r="B2847" t="s">
        <v>2828</v>
      </c>
      <c r="C2847" t="s">
        <v>54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1673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2906</v>
      </c>
      <c r="B2848" t="s">
        <v>2828</v>
      </c>
      <c r="C2848" t="s">
        <v>54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1673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2907</v>
      </c>
      <c r="B2849" t="s">
        <v>2828</v>
      </c>
      <c r="C2849" t="s">
        <v>54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1673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2908</v>
      </c>
      <c r="B2850" t="s">
        <v>2828</v>
      </c>
      <c r="C2850" t="s">
        <v>54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1673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2909</v>
      </c>
      <c r="B2851" t="s">
        <v>2828</v>
      </c>
      <c r="C2851" t="s">
        <v>54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1673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2910</v>
      </c>
      <c r="B2852" t="s">
        <v>2828</v>
      </c>
      <c r="C2852" t="s">
        <v>54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1673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2911</v>
      </c>
      <c r="B2853" t="s">
        <v>2828</v>
      </c>
      <c r="C2853" t="s">
        <v>55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1673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2912</v>
      </c>
      <c r="B2854" t="s">
        <v>2828</v>
      </c>
      <c r="C2854" t="s">
        <v>55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1673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2913</v>
      </c>
      <c r="B2855" t="s">
        <v>2828</v>
      </c>
      <c r="C2855" t="s">
        <v>55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1673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2914</v>
      </c>
      <c r="B2856" t="s">
        <v>2828</v>
      </c>
      <c r="C2856" t="s">
        <v>55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1673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2915</v>
      </c>
      <c r="B2857" t="s">
        <v>2828</v>
      </c>
      <c r="C2857" t="s">
        <v>55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1673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2916</v>
      </c>
      <c r="B2858" t="s">
        <v>2828</v>
      </c>
      <c r="C2858" t="s">
        <v>56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1673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2917</v>
      </c>
      <c r="B2859" t="s">
        <v>2828</v>
      </c>
      <c r="C2859" t="s">
        <v>56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1673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2918</v>
      </c>
      <c r="B2860" t="s">
        <v>2828</v>
      </c>
      <c r="C2860" t="s">
        <v>56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1673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2919</v>
      </c>
      <c r="B2861" t="s">
        <v>2828</v>
      </c>
      <c r="C2861" t="s">
        <v>56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1673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2920</v>
      </c>
      <c r="B2862" t="s">
        <v>2828</v>
      </c>
      <c r="C2862" t="s">
        <v>56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1673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2921</v>
      </c>
      <c r="B2863" t="s">
        <v>2828</v>
      </c>
      <c r="C2863" t="s">
        <v>56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1673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2922</v>
      </c>
      <c r="B2864" t="s">
        <v>2828</v>
      </c>
      <c r="C2864" t="s">
        <v>56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1673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2923</v>
      </c>
      <c r="B2865" t="s">
        <v>2828</v>
      </c>
      <c r="C2865" t="s">
        <v>56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1673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2924</v>
      </c>
      <c r="B2866" t="s">
        <v>2828</v>
      </c>
      <c r="C2866" t="s">
        <v>56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1673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2925</v>
      </c>
      <c r="B2867" t="s">
        <v>2828</v>
      </c>
      <c r="C2867" t="s">
        <v>56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1673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2926</v>
      </c>
      <c r="B2868" t="s">
        <v>2828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1673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2927</v>
      </c>
      <c r="B2869" t="s">
        <v>2828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1673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2928</v>
      </c>
      <c r="B2870" t="s">
        <v>2828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1673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2929</v>
      </c>
      <c r="B2871" t="s">
        <v>2828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1673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2930</v>
      </c>
      <c r="B2872" t="s">
        <v>2828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1673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2931</v>
      </c>
      <c r="B2873" t="s">
        <v>2828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1673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2932</v>
      </c>
      <c r="B2874" t="s">
        <v>2828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1673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2933</v>
      </c>
      <c r="B2875" t="s">
        <v>2828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1673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2934</v>
      </c>
      <c r="B2876" t="s">
        <v>2828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1673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2935</v>
      </c>
      <c r="B2877" t="s">
        <v>2828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1673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2936</v>
      </c>
      <c r="B2878" t="s">
        <v>2828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1673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2937</v>
      </c>
      <c r="B2879" t="s">
        <v>2828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1673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2938</v>
      </c>
      <c r="B2880" t="s">
        <v>2828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1673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2939</v>
      </c>
      <c r="B2881" t="s">
        <v>2828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1673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2940</v>
      </c>
      <c r="B2882" t="s">
        <v>2828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1673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2941</v>
      </c>
      <c r="B2883" t="s">
        <v>2828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1673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2942</v>
      </c>
      <c r="B2884" t="s">
        <v>2828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1673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2943</v>
      </c>
      <c r="B2885" t="s">
        <v>2828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1673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2944</v>
      </c>
      <c r="B2886" t="s">
        <v>2828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1673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2945</v>
      </c>
      <c r="B2887" t="s">
        <v>2828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1673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2946</v>
      </c>
      <c r="B2888" t="s">
        <v>2828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1673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2947</v>
      </c>
      <c r="B2889" t="s">
        <v>2828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1673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2948</v>
      </c>
      <c r="B2890" t="s">
        <v>2828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1673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2949</v>
      </c>
      <c r="B2891" t="s">
        <v>2828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1673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2950</v>
      </c>
      <c r="B2892" t="s">
        <v>2828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1673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2951</v>
      </c>
      <c r="B2893" t="s">
        <v>2828</v>
      </c>
      <c r="C2893" t="s">
        <v>75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1673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2952</v>
      </c>
      <c r="B2894" t="s">
        <v>2828</v>
      </c>
      <c r="C2894" t="s">
        <v>75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1673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2953</v>
      </c>
      <c r="B2895" t="s">
        <v>2828</v>
      </c>
      <c r="C2895" t="s">
        <v>75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1673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2954</v>
      </c>
      <c r="B2896" t="s">
        <v>2828</v>
      </c>
      <c r="C2896" t="s">
        <v>75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1673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2955</v>
      </c>
      <c r="B2897" t="s">
        <v>2828</v>
      </c>
      <c r="C2897" t="s">
        <v>75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1673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2956</v>
      </c>
      <c r="B2898" t="s">
        <v>2828</v>
      </c>
      <c r="C2898" t="s">
        <v>75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1673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2957</v>
      </c>
      <c r="B2899" t="s">
        <v>2828</v>
      </c>
      <c r="C2899" t="s">
        <v>75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1673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2958</v>
      </c>
      <c r="B2900" t="s">
        <v>2828</v>
      </c>
      <c r="C2900" t="s">
        <v>75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1673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2959</v>
      </c>
      <c r="B2901" t="s">
        <v>2828</v>
      </c>
      <c r="C2901" t="s">
        <v>76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1673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2960</v>
      </c>
      <c r="B2902" t="s">
        <v>2828</v>
      </c>
      <c r="C2902" t="s">
        <v>76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1673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2961</v>
      </c>
      <c r="B2903" t="s">
        <v>2828</v>
      </c>
      <c r="C2903" t="s">
        <v>76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1673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2962</v>
      </c>
      <c r="B2904" t="s">
        <v>2828</v>
      </c>
      <c r="C2904" t="s">
        <v>76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1673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2963</v>
      </c>
      <c r="B2905" t="s">
        <v>2828</v>
      </c>
      <c r="C2905" t="s">
        <v>76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1673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2964</v>
      </c>
      <c r="B2906" t="s">
        <v>2828</v>
      </c>
      <c r="C2906" t="s">
        <v>76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1673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2965</v>
      </c>
      <c r="B2907" t="s">
        <v>2828</v>
      </c>
      <c r="C2907" t="s">
        <v>77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1673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2966</v>
      </c>
      <c r="B2908" t="s">
        <v>2828</v>
      </c>
      <c r="C2908" t="s">
        <v>77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1673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2967</v>
      </c>
      <c r="B2909" t="s">
        <v>2828</v>
      </c>
      <c r="C2909" t="s">
        <v>77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1673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2968</v>
      </c>
      <c r="B2910" t="s">
        <v>2828</v>
      </c>
      <c r="C2910" t="s">
        <v>77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1673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2969</v>
      </c>
      <c r="B2911" t="s">
        <v>2828</v>
      </c>
      <c r="C2911" t="s">
        <v>77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1673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2970</v>
      </c>
      <c r="B2912" t="s">
        <v>2828</v>
      </c>
      <c r="C2912" t="s">
        <v>77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1673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2971</v>
      </c>
      <c r="B2913" t="s">
        <v>2828</v>
      </c>
      <c r="C2913" t="s">
        <v>78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1673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2972</v>
      </c>
      <c r="B2914" t="s">
        <v>2828</v>
      </c>
      <c r="C2914" t="s">
        <v>78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1673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2973</v>
      </c>
      <c r="B2915" t="s">
        <v>2828</v>
      </c>
      <c r="C2915" t="s">
        <v>78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1673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2974</v>
      </c>
      <c r="B2916" t="s">
        <v>2828</v>
      </c>
      <c r="C2916" t="s">
        <v>78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1673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2975</v>
      </c>
      <c r="B2917" t="s">
        <v>2828</v>
      </c>
      <c r="C2917" t="s">
        <v>79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1673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2976</v>
      </c>
      <c r="B2918" t="s">
        <v>2828</v>
      </c>
      <c r="C2918" t="s">
        <v>79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1673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2977</v>
      </c>
      <c r="B2919" t="s">
        <v>2828</v>
      </c>
      <c r="C2919" t="s">
        <v>79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1673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2978</v>
      </c>
      <c r="B2920" t="s">
        <v>2828</v>
      </c>
      <c r="C2920" t="s">
        <v>79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1673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2979</v>
      </c>
      <c r="B2921" t="s">
        <v>2828</v>
      </c>
      <c r="C2921" t="s">
        <v>80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1673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2980</v>
      </c>
      <c r="B2922" t="s">
        <v>2828</v>
      </c>
      <c r="C2922" t="s">
        <v>80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1673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2981</v>
      </c>
      <c r="B2923" t="s">
        <v>2828</v>
      </c>
      <c r="C2923" t="s">
        <v>80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1673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2982</v>
      </c>
      <c r="B2924" t="s">
        <v>2828</v>
      </c>
      <c r="C2924" t="s">
        <v>80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1673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2983</v>
      </c>
      <c r="B2925" t="s">
        <v>2828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1673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2984</v>
      </c>
      <c r="B2926" t="s">
        <v>2828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1673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2985</v>
      </c>
      <c r="B2927" t="s">
        <v>2828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1673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2986</v>
      </c>
      <c r="B2928" t="s">
        <v>2828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1673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2987</v>
      </c>
      <c r="B2929" t="s">
        <v>2828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1673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2988</v>
      </c>
      <c r="B2930" t="s">
        <v>2828</v>
      </c>
      <c r="C2930" t="s">
        <v>66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1673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2989</v>
      </c>
      <c r="B2931" t="s">
        <v>2828</v>
      </c>
      <c r="C2931" t="s">
        <v>66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1673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2990</v>
      </c>
      <c r="B2932" t="s">
        <v>2828</v>
      </c>
      <c r="C2932" t="s">
        <v>66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1673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2991</v>
      </c>
      <c r="B2933" t="s">
        <v>2828</v>
      </c>
      <c r="C2933" t="s">
        <v>66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1673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2992</v>
      </c>
      <c r="B2934" t="s">
        <v>2828</v>
      </c>
      <c r="C2934" t="s">
        <v>66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1673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2993</v>
      </c>
      <c r="B2935" t="s">
        <v>2828</v>
      </c>
      <c r="C2935" t="s">
        <v>66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1673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2994</v>
      </c>
      <c r="B2936" t="s">
        <v>2828</v>
      </c>
      <c r="C2936" t="s">
        <v>66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1673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2995</v>
      </c>
      <c r="B2937" t="s">
        <v>2828</v>
      </c>
      <c r="C2937" t="s">
        <v>66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1673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2996</v>
      </c>
      <c r="B2938" t="s">
        <v>2828</v>
      </c>
      <c r="C2938" t="s">
        <v>66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1673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2997</v>
      </c>
      <c r="B2939" t="s">
        <v>2828</v>
      </c>
      <c r="C2939" t="s">
        <v>2998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1673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2999</v>
      </c>
      <c r="B2940" t="s">
        <v>2828</v>
      </c>
      <c r="C2940" t="s">
        <v>2998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1673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3000</v>
      </c>
      <c r="B2941" t="s">
        <v>2828</v>
      </c>
      <c r="C2941" t="s">
        <v>2998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1673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3001</v>
      </c>
      <c r="B2942" t="s">
        <v>2828</v>
      </c>
      <c r="C2942" t="s">
        <v>67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1673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3002</v>
      </c>
      <c r="B2943" t="s">
        <v>2828</v>
      </c>
      <c r="C2943" t="s">
        <v>67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1673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3003</v>
      </c>
      <c r="B2944" t="s">
        <v>2828</v>
      </c>
      <c r="C2944" t="s">
        <v>67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1673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3004</v>
      </c>
      <c r="B2945" t="s">
        <v>2828</v>
      </c>
      <c r="C2945" t="s">
        <v>67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1673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3005</v>
      </c>
      <c r="B2946" t="s">
        <v>2828</v>
      </c>
      <c r="C2946" t="s">
        <v>67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1673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3006</v>
      </c>
      <c r="B2947" t="s">
        <v>2828</v>
      </c>
      <c r="C2947" t="s">
        <v>67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1673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3007</v>
      </c>
      <c r="B2948" t="s">
        <v>2828</v>
      </c>
      <c r="C2948" t="s">
        <v>67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1673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3008</v>
      </c>
      <c r="B2949" t="s">
        <v>2828</v>
      </c>
      <c r="C2949" t="s">
        <v>67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1673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3009</v>
      </c>
      <c r="B2950" t="s">
        <v>2828</v>
      </c>
      <c r="C2950" t="s">
        <v>67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1673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3010</v>
      </c>
      <c r="B2951" t="s">
        <v>2828</v>
      </c>
      <c r="C2951" t="s">
        <v>67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1673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3011</v>
      </c>
      <c r="B2952" t="s">
        <v>2828</v>
      </c>
      <c r="C2952" t="s">
        <v>67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1673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3012</v>
      </c>
      <c r="B2953" t="s">
        <v>2828</v>
      </c>
      <c r="C2953" t="s">
        <v>67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1673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3013</v>
      </c>
      <c r="B2954" t="s">
        <v>2828</v>
      </c>
      <c r="C2954" t="s">
        <v>67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1673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3014</v>
      </c>
      <c r="B2955" t="s">
        <v>2828</v>
      </c>
      <c r="C2955" t="s">
        <v>67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1673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3015</v>
      </c>
      <c r="B2956" t="s">
        <v>2828</v>
      </c>
      <c r="C2956" t="s">
        <v>67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1673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3016</v>
      </c>
      <c r="B2957" t="s">
        <v>2828</v>
      </c>
      <c r="C2957" t="s">
        <v>67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1673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3017</v>
      </c>
      <c r="B2958" t="s">
        <v>2828</v>
      </c>
      <c r="C2958" t="s">
        <v>67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1673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3018</v>
      </c>
      <c r="B2959" t="s">
        <v>2828</v>
      </c>
      <c r="C2959" t="s">
        <v>67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1673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98</v>
      </c>
    </row>
    <row r="3" spans="1:2" x14ac:dyDescent="0.25">
      <c r="A3" t="s">
        <v>57</v>
      </c>
      <c r="B3" t="s">
        <v>98</v>
      </c>
    </row>
    <row r="4" spans="1:2" x14ac:dyDescent="0.25">
      <c r="A4" t="s">
        <v>58</v>
      </c>
      <c r="B4" t="s">
        <v>98</v>
      </c>
    </row>
    <row r="5" spans="1:2" x14ac:dyDescent="0.25">
      <c r="A5" t="s">
        <v>59</v>
      </c>
      <c r="B5" t="s">
        <v>98</v>
      </c>
    </row>
    <row r="6" spans="1:2" x14ac:dyDescent="0.25">
      <c r="A6" t="s">
        <v>8</v>
      </c>
      <c r="B6" t="s">
        <v>96</v>
      </c>
    </row>
    <row r="7" spans="1:2" x14ac:dyDescent="0.25">
      <c r="A7" t="s">
        <v>93</v>
      </c>
      <c r="B7" t="s">
        <v>2187</v>
      </c>
    </row>
    <row r="8" spans="1:2" x14ac:dyDescent="0.25">
      <c r="A8" t="s">
        <v>14</v>
      </c>
      <c r="B8" t="s">
        <v>14</v>
      </c>
    </row>
    <row r="9" spans="1:2" x14ac:dyDescent="0.25">
      <c r="A9" t="s">
        <v>85</v>
      </c>
      <c r="B9" t="s">
        <v>100</v>
      </c>
    </row>
    <row r="10" spans="1:2" x14ac:dyDescent="0.25">
      <c r="A10" t="s">
        <v>84</v>
      </c>
      <c r="B10" t="s">
        <v>100</v>
      </c>
    </row>
    <row r="11" spans="1:2" x14ac:dyDescent="0.25">
      <c r="A11" t="s">
        <v>83</v>
      </c>
      <c r="B11" t="s">
        <v>100</v>
      </c>
    </row>
    <row r="12" spans="1:2" x14ac:dyDescent="0.25">
      <c r="A12" t="s">
        <v>86</v>
      </c>
      <c r="B12" t="s">
        <v>100</v>
      </c>
    </row>
    <row r="13" spans="1:2" x14ac:dyDescent="0.25">
      <c r="A13" t="s">
        <v>90</v>
      </c>
      <c r="B13" t="s">
        <v>100</v>
      </c>
    </row>
    <row r="14" spans="1:2" x14ac:dyDescent="0.25">
      <c r="A14" t="s">
        <v>91</v>
      </c>
      <c r="B14" t="s">
        <v>100</v>
      </c>
    </row>
    <row r="15" spans="1:2" x14ac:dyDescent="0.25">
      <c r="A15" t="s">
        <v>87</v>
      </c>
      <c r="B15" t="s">
        <v>100</v>
      </c>
    </row>
    <row r="16" spans="1:2" x14ac:dyDescent="0.25">
      <c r="A16" t="s">
        <v>88</v>
      </c>
      <c r="B16" t="s">
        <v>100</v>
      </c>
    </row>
    <row r="17" spans="1:2" x14ac:dyDescent="0.25">
      <c r="A17" t="s">
        <v>89</v>
      </c>
      <c r="B17" t="s">
        <v>100</v>
      </c>
    </row>
    <row r="18" spans="1:2" x14ac:dyDescent="0.25">
      <c r="A18" t="s">
        <v>43</v>
      </c>
      <c r="B18" t="s">
        <v>99</v>
      </c>
    </row>
    <row r="19" spans="1:2" x14ac:dyDescent="0.25">
      <c r="A19" t="s">
        <v>54</v>
      </c>
      <c r="B19" t="s">
        <v>99</v>
      </c>
    </row>
    <row r="20" spans="1:2" x14ac:dyDescent="0.25">
      <c r="A20" t="s">
        <v>55</v>
      </c>
      <c r="B20" t="s">
        <v>99</v>
      </c>
    </row>
    <row r="21" spans="1:2" x14ac:dyDescent="0.25">
      <c r="A21" t="s">
        <v>56</v>
      </c>
      <c r="B21" t="s">
        <v>99</v>
      </c>
    </row>
    <row r="22" spans="1:2" x14ac:dyDescent="0.25">
      <c r="A22" t="s">
        <v>3</v>
      </c>
      <c r="B22" t="s">
        <v>97</v>
      </c>
    </row>
    <row r="23" spans="1:2" x14ac:dyDescent="0.25">
      <c r="A23" t="s">
        <v>63</v>
      </c>
      <c r="B23" t="s">
        <v>2189</v>
      </c>
    </row>
    <row r="24" spans="1:2" x14ac:dyDescent="0.25">
      <c r="A24" t="s">
        <v>92</v>
      </c>
      <c r="B24" t="s">
        <v>2186</v>
      </c>
    </row>
    <row r="25" spans="1:2" x14ac:dyDescent="0.25">
      <c r="A25" t="s">
        <v>74</v>
      </c>
      <c r="B25" t="s">
        <v>100</v>
      </c>
    </row>
    <row r="26" spans="1:2" x14ac:dyDescent="0.25">
      <c r="A26" t="s">
        <v>75</v>
      </c>
      <c r="B26" t="s">
        <v>100</v>
      </c>
    </row>
    <row r="27" spans="1:2" x14ac:dyDescent="0.25">
      <c r="A27" t="s">
        <v>76</v>
      </c>
      <c r="B27" t="s">
        <v>100</v>
      </c>
    </row>
    <row r="28" spans="1:2" x14ac:dyDescent="0.25">
      <c r="A28" t="s">
        <v>77</v>
      </c>
      <c r="B28" t="s">
        <v>100</v>
      </c>
    </row>
    <row r="29" spans="1:2" x14ac:dyDescent="0.25">
      <c r="A29" t="s">
        <v>81</v>
      </c>
      <c r="B29" t="s">
        <v>100</v>
      </c>
    </row>
    <row r="30" spans="1:2" x14ac:dyDescent="0.25">
      <c r="A30" t="s">
        <v>82</v>
      </c>
      <c r="B30" t="s">
        <v>100</v>
      </c>
    </row>
    <row r="31" spans="1:2" x14ac:dyDescent="0.25">
      <c r="A31" t="s">
        <v>78</v>
      </c>
      <c r="B31" t="s">
        <v>100</v>
      </c>
    </row>
    <row r="32" spans="1:2" x14ac:dyDescent="0.25">
      <c r="A32" t="s">
        <v>79</v>
      </c>
      <c r="B32" t="s">
        <v>100</v>
      </c>
    </row>
    <row r="33" spans="1:2" x14ac:dyDescent="0.25">
      <c r="A33" t="s">
        <v>80</v>
      </c>
      <c r="B33" t="s">
        <v>100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66</v>
      </c>
      <c r="B35" t="s">
        <v>114</v>
      </c>
    </row>
    <row r="36" spans="1:2" x14ac:dyDescent="0.25">
      <c r="A36" t="s">
        <v>67</v>
      </c>
      <c r="B36" t="s">
        <v>2188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68</v>
      </c>
      <c r="B38" t="s">
        <v>2190</v>
      </c>
    </row>
    <row r="39" spans="1:2" x14ac:dyDescent="0.25">
      <c r="A39" t="s">
        <v>69</v>
      </c>
      <c r="B39" t="s">
        <v>2190</v>
      </c>
    </row>
    <row r="40" spans="1:2" x14ac:dyDescent="0.25">
      <c r="A40" t="s">
        <v>70</v>
      </c>
      <c r="B40" t="s">
        <v>2190</v>
      </c>
    </row>
    <row r="41" spans="1:2" x14ac:dyDescent="0.25">
      <c r="A41" t="s">
        <v>71</v>
      </c>
      <c r="B41" t="s">
        <v>2190</v>
      </c>
    </row>
    <row r="42" spans="1:2" x14ac:dyDescent="0.25">
      <c r="A42" t="s">
        <v>72</v>
      </c>
      <c r="B42" t="s">
        <v>2190</v>
      </c>
    </row>
    <row r="43" spans="1:2" x14ac:dyDescent="0.25">
      <c r="A43" t="s">
        <v>73</v>
      </c>
      <c r="B43" t="s">
        <v>2190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Company>Johsnon Gage &amp; Inspection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Electrical Workbook</dc:title>
  <dc:creator>Jeff Hall</dc:creator>
  <cp:lastModifiedBy>Jeff Hall</cp:lastModifiedBy>
  <cp:lastPrinted>2023-08-29T19:15:18Z</cp:lastPrinted>
  <dcterms:created xsi:type="dcterms:W3CDTF">2006-09-16T00:00:00Z</dcterms:created>
  <dcterms:modified xsi:type="dcterms:W3CDTF">2025-03-28T19:59:12Z</dcterms:modified>
  <cp:category>Approved Software</cp:category>
</cp:coreProperties>
</file>