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Electrical Uncertainty versions\"/>
    </mc:Choice>
  </mc:AlternateContent>
  <xr:revisionPtr revIDLastSave="0" documentId="8_{0D764E44-F612-4B47-8180-15E1340D864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Print" sheetId="29" r:id="rId1"/>
    <sheet name="Worksheet" sheetId="3" r:id="rId2"/>
    <sheet name="Items" sheetId="14" r:id="rId3"/>
    <sheet name="Unc. Lookup" sheetId="11" r:id="rId4"/>
  </sheets>
  <functionGroups builtInGroupCount="19"/>
  <definedNames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" i="3" l="1"/>
  <c r="AB6" i="3"/>
  <c r="AC6" i="3"/>
  <c r="H101" i="3" a="1"/>
  <c r="H97" i="3" a="1"/>
  <c r="H96" i="3" a="1"/>
  <c r="H92" i="3" a="1"/>
  <c r="H110" i="3" a="1"/>
  <c r="H94" i="3" a="1"/>
  <c r="H87" i="3" a="1"/>
  <c r="H99" i="3" a="1"/>
  <c r="H102" i="3" a="1"/>
  <c r="H109" i="3" a="1"/>
  <c r="H89" i="3" a="1"/>
  <c r="H108" i="3" a="1"/>
  <c r="H104" i="3" a="1"/>
  <c r="H90" i="3" a="1"/>
  <c r="H91" i="3" a="1"/>
  <c r="H107" i="3" a="1"/>
  <c r="H106" i="3" a="1"/>
  <c r="H103" i="3" a="1"/>
  <c r="H105" i="3" a="1"/>
  <c r="H98" i="3" a="1"/>
  <c r="H95" i="3" a="1"/>
  <c r="H88" i="3" a="1"/>
  <c r="H93" i="3" a="1"/>
  <c r="H100" i="3" a="1"/>
  <c r="H82" i="3" a="1"/>
  <c r="H53" i="3" a="1"/>
  <c r="H77" i="3" a="1"/>
  <c r="H17" i="3" a="1"/>
  <c r="H66" i="3" a="1"/>
  <c r="H49" i="3" a="1"/>
  <c r="H32" i="3" a="1"/>
  <c r="H16" i="3" a="1"/>
  <c r="H55" i="3" a="1"/>
  <c r="H45" i="3" a="1"/>
  <c r="H64" i="3" a="1"/>
  <c r="H42" i="3" a="1"/>
  <c r="H79" i="3" a="1"/>
  <c r="H35" i="3" a="1"/>
  <c r="H33" i="3" a="1"/>
  <c r="H59" i="3" a="1"/>
  <c r="H38" i="3" a="1"/>
  <c r="H85" i="3" a="1"/>
  <c r="H60" i="3" a="1"/>
  <c r="H52" i="3" a="1"/>
  <c r="H31" i="3" a="1"/>
  <c r="H50" i="3" a="1"/>
  <c r="H34" i="3" a="1"/>
  <c r="H26" i="3" a="1"/>
  <c r="H15" i="3" a="1"/>
  <c r="H61" i="3" a="1"/>
  <c r="H51" i="3" a="1"/>
  <c r="H40" i="3" a="1"/>
  <c r="H44" i="3" a="1"/>
  <c r="H27" i="3" a="1"/>
  <c r="H22" i="3" a="1"/>
  <c r="H43" i="3" a="1"/>
  <c r="H21" i="3" a="1"/>
  <c r="H20" i="3" a="1"/>
  <c r="H39" i="3" a="1"/>
  <c r="H54" i="3" a="1"/>
  <c r="H80" i="3" a="1"/>
  <c r="H69" i="3" a="1"/>
  <c r="H78" i="3" a="1"/>
  <c r="H24" i="3" a="1"/>
  <c r="H81" i="3" a="1"/>
  <c r="H56" i="3" a="1"/>
  <c r="H72" i="3" a="1"/>
  <c r="H48" i="3" a="1"/>
  <c r="H25" i="3" a="1"/>
  <c r="H28" i="3" a="1"/>
  <c r="H70" i="3" a="1"/>
  <c r="H62" i="3" a="1"/>
  <c r="H18" i="3" a="1"/>
  <c r="H19" i="3" a="1"/>
  <c r="H83" i="3" a="1"/>
  <c r="H74" i="3" a="1"/>
  <c r="H30" i="3" a="1"/>
  <c r="H63" i="3" a="1"/>
  <c r="H29" i="3" a="1"/>
  <c r="H86" i="3" a="1"/>
  <c r="H47" i="3" a="1"/>
  <c r="H75" i="3" a="1"/>
  <c r="H41" i="3" a="1"/>
  <c r="H46" i="3" a="1"/>
  <c r="H73" i="3" a="1"/>
  <c r="H36" i="3" a="1"/>
  <c r="H76" i="3" a="1"/>
  <c r="H58" i="3" a="1"/>
  <c r="H57" i="3" a="1"/>
  <c r="H23" i="3" a="1"/>
  <c r="H71" i="3" a="1"/>
  <c r="H84" i="3" a="1"/>
  <c r="H68" i="3" a="1"/>
  <c r="H37" i="3" a="1"/>
  <c r="H67" i="3" a="1"/>
  <c r="H65" i="3" a="1"/>
  <c r="AG6" i="3" a="1"/>
  <c r="Y6" i="3" a="1"/>
  <c r="C6" i="3" a="1"/>
  <c r="H6" i="3" a="1"/>
  <c r="H6" i="3" l="1"/>
  <c r="B51" i="3"/>
  <c r="B20" i="3"/>
  <c r="B105" i="3"/>
  <c r="B71" i="3"/>
  <c r="B84" i="3"/>
  <c r="B44" i="3"/>
  <c r="B65" i="3"/>
  <c r="B33" i="3"/>
  <c r="B82" i="3"/>
  <c r="B50" i="3"/>
  <c r="B63" i="3"/>
  <c r="B31" i="3"/>
  <c r="B80" i="3"/>
  <c r="B48" i="3"/>
  <c r="B43" i="3"/>
  <c r="B77" i="3"/>
  <c r="B94" i="3"/>
  <c r="B62" i="3"/>
  <c r="B85" i="3"/>
  <c r="B19" i="3"/>
  <c r="B76" i="3"/>
  <c r="B36" i="3"/>
  <c r="B91" i="3"/>
  <c r="B57" i="3"/>
  <c r="B25" i="3"/>
  <c r="B106" i="3"/>
  <c r="B74" i="3"/>
  <c r="B42" i="3"/>
  <c r="B89" i="3"/>
  <c r="B55" i="3"/>
  <c r="B23" i="3"/>
  <c r="B104" i="3"/>
  <c r="B72" i="3"/>
  <c r="B40" i="3"/>
  <c r="B95" i="3"/>
  <c r="B27" i="3"/>
  <c r="B60" i="3"/>
  <c r="B69" i="3"/>
  <c r="B37" i="3"/>
  <c r="B97" i="3"/>
  <c r="B86" i="3"/>
  <c r="B54" i="3"/>
  <c r="B22" i="3"/>
  <c r="B67" i="3"/>
  <c r="B93" i="3"/>
  <c r="B68" i="3"/>
  <c r="B28" i="3"/>
  <c r="B81" i="3"/>
  <c r="B49" i="3"/>
  <c r="B17" i="3"/>
  <c r="B98" i="3"/>
  <c r="B66" i="3"/>
  <c r="B34" i="3"/>
  <c r="B79" i="3"/>
  <c r="B47" i="3"/>
  <c r="B15" i="3"/>
  <c r="B96" i="3"/>
  <c r="B64" i="3"/>
  <c r="B32" i="3"/>
  <c r="B75" i="3"/>
  <c r="B109" i="3"/>
  <c r="B99" i="3"/>
  <c r="B61" i="3"/>
  <c r="B29" i="3"/>
  <c r="B110" i="3"/>
  <c r="B78" i="3"/>
  <c r="B46" i="3"/>
  <c r="B52" i="3"/>
  <c r="B41" i="3"/>
  <c r="B26" i="3"/>
  <c r="B39" i="3"/>
  <c r="B101" i="3"/>
  <c r="B88" i="3"/>
  <c r="B56" i="3"/>
  <c r="B24" i="3"/>
  <c r="B59" i="3"/>
  <c r="B108" i="3"/>
  <c r="B87" i="3"/>
  <c r="B53" i="3"/>
  <c r="B21" i="3"/>
  <c r="B102" i="3"/>
  <c r="B70" i="3"/>
  <c r="B38" i="3"/>
  <c r="B18" i="3"/>
  <c r="B100" i="3"/>
  <c r="B73" i="3"/>
  <c r="B90" i="3"/>
  <c r="B58" i="3"/>
  <c r="B35" i="3"/>
  <c r="B107" i="3"/>
  <c r="B83" i="3"/>
  <c r="B103" i="3"/>
  <c r="B16" i="3"/>
  <c r="B92" i="3"/>
  <c r="B45" i="3"/>
  <c r="B30" i="3"/>
  <c r="Y6" i="3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D6" i="3" l="1"/>
  <c r="AH6" i="3"/>
  <c r="E6" i="3" s="1"/>
  <c r="F6" i="3" l="1"/>
  <c r="G6" i="3"/>
  <c r="G1" i="29"/>
  <c r="F1" i="29" a="1"/>
  <c r="F1" i="29" l="1"/>
  <c r="AF110" i="3" l="1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AF43" i="3"/>
  <c r="AB43" i="3"/>
  <c r="AC43" i="3"/>
  <c r="AF42" i="3"/>
  <c r="AB42" i="3"/>
  <c r="AC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C79" i="3" a="1"/>
  <c r="C48" i="3" a="1"/>
  <c r="C82" i="3" a="1"/>
  <c r="Y87" i="3" a="1"/>
  <c r="Y104" i="3" a="1"/>
  <c r="Y84" i="3" a="1"/>
  <c r="AG51" i="3" a="1"/>
  <c r="AG104" i="3" a="1"/>
  <c r="AG88" i="3" a="1"/>
  <c r="Y88" i="3" a="1"/>
  <c r="Y80" i="3" a="1"/>
  <c r="AG64" i="3" a="1"/>
  <c r="C58" i="3" a="1"/>
  <c r="Y81" i="3" a="1"/>
  <c r="Y74" i="3" a="1"/>
  <c r="AG95" i="3" a="1"/>
  <c r="AG101" i="3" a="1"/>
  <c r="AG56" i="3" a="1"/>
  <c r="C62" i="3" a="1"/>
  <c r="C83" i="3" a="1"/>
  <c r="C73" i="3" a="1"/>
  <c r="C81" i="3" a="1"/>
  <c r="C97" i="3" a="1"/>
  <c r="C77" i="3" a="1"/>
  <c r="Y95" i="3" a="1"/>
  <c r="Y56" i="3" a="1"/>
  <c r="AG85" i="3" a="1"/>
  <c r="Y77" i="3" a="1"/>
  <c r="Y62" i="3" a="1"/>
  <c r="Y51" i="3" a="1"/>
  <c r="Y90" i="3" a="1"/>
  <c r="Y93" i="3" a="1"/>
  <c r="C68" i="3" a="1"/>
  <c r="AG78" i="3" a="1"/>
  <c r="Y98" i="3" a="1"/>
  <c r="C96" i="3" a="1"/>
  <c r="Y60" i="3" a="1"/>
  <c r="AG79" i="3" a="1"/>
  <c r="AG109" i="3" a="1"/>
  <c r="C60" i="3" a="1"/>
  <c r="C72" i="3" a="1"/>
  <c r="C57" i="3" a="1"/>
  <c r="C51" i="3" a="1"/>
  <c r="C66" i="3" a="1"/>
  <c r="AG102" i="3" a="1"/>
  <c r="Y72" i="3" a="1"/>
  <c r="Y59" i="3" a="1"/>
  <c r="Y68" i="3" a="1"/>
  <c r="Y79" i="3" a="1"/>
  <c r="AG47" i="3" a="1"/>
  <c r="Y73" i="3" a="1"/>
  <c r="Y58" i="3" a="1"/>
  <c r="C98" i="3" a="1"/>
  <c r="C85" i="3" a="1"/>
  <c r="C54" i="3" a="1"/>
  <c r="Y78" i="3" a="1"/>
  <c r="Y101" i="3" a="1"/>
  <c r="AG63" i="3" a="1"/>
  <c r="Y52" i="3" a="1"/>
  <c r="AG76" i="3" a="1"/>
  <c r="AG100" i="3" a="1"/>
  <c r="C104" i="3" a="1"/>
  <c r="C86" i="3" a="1"/>
  <c r="C70" i="3" a="1"/>
  <c r="AG110" i="3" a="1"/>
  <c r="Y71" i="3" a="1"/>
  <c r="AG74" i="3" a="1"/>
  <c r="AG92" i="3" a="1"/>
  <c r="Y103" i="3" a="1"/>
  <c r="AG98" i="3" a="1"/>
  <c r="AG86" i="3" a="1"/>
  <c r="AG69" i="3" a="1"/>
  <c r="AG90" i="3" a="1"/>
  <c r="C87" i="3" a="1"/>
  <c r="C101" i="3" a="1"/>
  <c r="C55" i="3" a="1"/>
  <c r="AG89" i="3" a="1"/>
  <c r="AG46" i="3" a="1"/>
  <c r="C91" i="3" a="1"/>
  <c r="Y61" i="3" a="1"/>
  <c r="C90" i="3" a="1"/>
  <c r="Y49" i="3" a="1"/>
  <c r="Y85" i="3" a="1"/>
  <c r="Y67" i="3" a="1"/>
  <c r="C71" i="3" a="1"/>
  <c r="C106" i="3" a="1"/>
  <c r="C47" i="3" a="1"/>
  <c r="C76" i="3" a="1"/>
  <c r="Y96" i="3" a="1"/>
  <c r="Y91" i="3" a="1"/>
  <c r="Y83" i="3" a="1"/>
  <c r="AG106" i="3" a="1"/>
  <c r="AG67" i="3" a="1"/>
  <c r="Y66" i="3" a="1"/>
  <c r="AG82" i="3" a="1"/>
  <c r="AG55" i="3" a="1"/>
  <c r="AG48" i="3" a="1"/>
  <c r="AG83" i="3" a="1"/>
  <c r="AG84" i="3" a="1"/>
  <c r="AG87" i="3" a="1"/>
  <c r="C46" i="3" a="1"/>
  <c r="C84" i="3" a="1"/>
  <c r="Y65" i="3" a="1"/>
  <c r="Y108" i="3" a="1"/>
  <c r="Y57" i="3" a="1"/>
  <c r="Y105" i="3" a="1"/>
  <c r="AG68" i="3" a="1"/>
  <c r="C102" i="3" a="1"/>
  <c r="C74" i="3" a="1"/>
  <c r="C78" i="3" a="1"/>
  <c r="C59" i="3" a="1"/>
  <c r="C95" i="3" a="1"/>
  <c r="C64" i="3" a="1"/>
  <c r="AG65" i="3" a="1"/>
  <c r="Y63" i="3" a="1"/>
  <c r="Y47" i="3" a="1"/>
  <c r="Y109" i="3" a="1"/>
  <c r="AG91" i="3" a="1"/>
  <c r="AG60" i="3" a="1"/>
  <c r="AG96" i="3" a="1"/>
  <c r="AG77" i="3" a="1"/>
  <c r="AG105" i="3" a="1"/>
  <c r="Y86" i="3" a="1"/>
  <c r="C107" i="3" a="1"/>
  <c r="C56" i="3" a="1"/>
  <c r="Y48" i="3" a="1"/>
  <c r="C50" i="3" a="1"/>
  <c r="Y55" i="3" a="1"/>
  <c r="AG73" i="3" a="1"/>
  <c r="AG54" i="3" a="1"/>
  <c r="Y76" i="3" a="1"/>
  <c r="AG93" i="3" a="1"/>
  <c r="C100" i="3" a="1"/>
  <c r="AG49" i="3" a="1"/>
  <c r="AG80" i="3" a="1"/>
  <c r="Y107" i="3" a="1"/>
  <c r="C53" i="3" a="1"/>
  <c r="C103" i="3" a="1"/>
  <c r="Y50" i="3" a="1"/>
  <c r="Y94" i="3" a="1"/>
  <c r="C94" i="3" a="1"/>
  <c r="Y82" i="3" a="1"/>
  <c r="C92" i="3" a="1"/>
  <c r="C80" i="3" a="1"/>
  <c r="C105" i="3" a="1"/>
  <c r="AG94" i="3" a="1"/>
  <c r="Y54" i="3" a="1"/>
  <c r="AG52" i="3" a="1"/>
  <c r="Y100" i="3" a="1"/>
  <c r="AG70" i="3" a="1"/>
  <c r="Y97" i="3" a="1"/>
  <c r="AG75" i="3" a="1"/>
  <c r="AG53" i="3" a="1"/>
  <c r="C93" i="3" a="1"/>
  <c r="C69" i="3" a="1"/>
  <c r="AG61" i="3" a="1"/>
  <c r="Y64" i="3" a="1"/>
  <c r="Y69" i="3" a="1"/>
  <c r="AG97" i="3" a="1"/>
  <c r="AG108" i="3" a="1"/>
  <c r="Y106" i="3" a="1"/>
  <c r="C109" i="3" a="1"/>
  <c r="C75" i="3" a="1"/>
  <c r="C65" i="3" a="1"/>
  <c r="C61" i="3" a="1"/>
  <c r="C108" i="3" a="1"/>
  <c r="AG66" i="3" a="1"/>
  <c r="Y89" i="3" a="1"/>
  <c r="AG99" i="3" a="1"/>
  <c r="Y110" i="3" a="1"/>
  <c r="AG62" i="3" a="1"/>
  <c r="AG58" i="3" a="1"/>
  <c r="Y53" i="3" a="1"/>
  <c r="C89" i="3" a="1"/>
  <c r="C67" i="3" a="1"/>
  <c r="AG72" i="3" a="1"/>
  <c r="AG71" i="3" a="1"/>
  <c r="Y70" i="3" a="1"/>
  <c r="C88" i="3" a="1"/>
  <c r="Y46" i="3" a="1"/>
  <c r="Y92" i="3" a="1"/>
  <c r="AG81" i="3" a="1"/>
  <c r="Y75" i="3" a="1"/>
  <c r="AG57" i="3" a="1"/>
  <c r="AG103" i="3" a="1"/>
  <c r="AG50" i="3" a="1"/>
  <c r="AG59" i="3" a="1"/>
  <c r="C110" i="3" a="1"/>
  <c r="AG107" i="3" a="1"/>
  <c r="C99" i="3" a="1"/>
  <c r="Y99" i="3" a="1"/>
  <c r="C52" i="3" a="1"/>
  <c r="Y102" i="3" a="1"/>
  <c r="C63" i="3" a="1"/>
  <c r="C49" i="3" a="1"/>
  <c r="C25" i="3" a="1"/>
  <c r="Y17" i="3" a="1"/>
  <c r="Y44" i="3" a="1"/>
  <c r="AG40" i="3" a="1"/>
  <c r="AG41" i="3" a="1"/>
  <c r="C14" i="3" a="1"/>
  <c r="C36" i="3" a="1"/>
  <c r="Y43" i="3" a="1"/>
  <c r="Y40" i="3" a="1"/>
  <c r="C16" i="3" a="1"/>
  <c r="C29" i="3" a="1"/>
  <c r="AG31" i="3" a="1"/>
  <c r="Y41" i="3" a="1"/>
  <c r="AG37" i="3" a="1"/>
  <c r="C26" i="3" a="1"/>
  <c r="AG25" i="3" a="1"/>
  <c r="Y38" i="3" a="1"/>
  <c r="AG32" i="3" a="1"/>
  <c r="Y20" i="3" a="1"/>
  <c r="Y30" i="3" a="1"/>
  <c r="Y22" i="3" a="1"/>
  <c r="AG34" i="3" a="1"/>
  <c r="AG36" i="3" a="1"/>
  <c r="C23" i="3" a="1"/>
  <c r="C31" i="3" a="1"/>
  <c r="AG43" i="3" a="1"/>
  <c r="C34" i="3" a="1"/>
  <c r="AG38" i="3" a="1"/>
  <c r="Y25" i="3" a="1"/>
  <c r="Y16" i="3" a="1"/>
  <c r="C18" i="3" a="1"/>
  <c r="C43" i="3" a="1"/>
  <c r="C21" i="3" a="1"/>
  <c r="Y32" i="3" a="1"/>
  <c r="Y14" i="3" a="1"/>
  <c r="C42" i="3" a="1"/>
  <c r="C37" i="3" a="1"/>
  <c r="AG42" i="3" a="1"/>
  <c r="Y42" i="3" a="1"/>
  <c r="Y39" i="3" a="1"/>
  <c r="AG24" i="3" a="1"/>
  <c r="C45" i="3" a="1"/>
  <c r="Y15" i="3" a="1"/>
  <c r="Y33" i="3" a="1"/>
  <c r="AG15" i="3" a="1"/>
  <c r="C24" i="3" a="1"/>
  <c r="C38" i="3" a="1"/>
  <c r="AG17" i="3" a="1"/>
  <c r="AG22" i="3" a="1"/>
  <c r="C19" i="3" a="1"/>
  <c r="AG30" i="3" a="1"/>
  <c r="AG35" i="3" a="1"/>
  <c r="C28" i="3" a="1"/>
  <c r="Y21" i="3" a="1"/>
  <c r="Y34" i="3" a="1"/>
  <c r="C22" i="3" a="1"/>
  <c r="Y37" i="3" a="1"/>
  <c r="C35" i="3" a="1"/>
  <c r="Y28" i="3" a="1"/>
  <c r="C41" i="3" a="1"/>
  <c r="Y27" i="3" a="1"/>
  <c r="AG28" i="3" a="1"/>
  <c r="C15" i="3" a="1"/>
  <c r="AG21" i="3" a="1"/>
  <c r="C32" i="3" a="1"/>
  <c r="C44" i="3" a="1"/>
  <c r="AG16" i="3" a="1"/>
  <c r="AG29" i="3" a="1"/>
  <c r="AG26" i="3" a="1"/>
  <c r="C40" i="3" a="1"/>
  <c r="AG18" i="3" a="1"/>
  <c r="C39" i="3" a="1"/>
  <c r="Y35" i="3" a="1"/>
  <c r="Y18" i="3" a="1"/>
  <c r="C33" i="3" a="1"/>
  <c r="Y23" i="3" a="1"/>
  <c r="AG20" i="3" a="1"/>
  <c r="C30" i="3" a="1"/>
  <c r="AG14" i="3" a="1"/>
  <c r="C20" i="3" a="1"/>
  <c r="AG44" i="3" a="1"/>
  <c r="AG39" i="3" a="1"/>
  <c r="Y36" i="3" a="1"/>
  <c r="Y29" i="3" a="1"/>
  <c r="AG19" i="3" a="1"/>
  <c r="Y26" i="3" a="1"/>
  <c r="C17" i="3" a="1"/>
  <c r="AG23" i="3" a="1"/>
  <c r="Y24" i="3" a="1"/>
  <c r="Y19" i="3" a="1"/>
  <c r="Y31" i="3" a="1"/>
  <c r="AG45" i="3" a="1"/>
  <c r="AG27" i="3" a="1"/>
  <c r="Y45" i="3" a="1"/>
  <c r="AG33" i="3" a="1"/>
  <c r="C27" i="3" a="1"/>
  <c r="C13" i="3" a="1"/>
  <c r="AG13" i="3" a="1"/>
  <c r="Y13" i="3" a="1"/>
  <c r="Y12" i="3" a="1"/>
  <c r="AG12" i="3" a="1"/>
  <c r="C12" i="3" a="1"/>
  <c r="Y11" i="3" a="1"/>
  <c r="AG11" i="3" a="1"/>
  <c r="C11" i="3" a="1"/>
  <c r="AG10" i="3" a="1"/>
  <c r="C10" i="3" a="1"/>
  <c r="Y10" i="3" a="1"/>
  <c r="AG9" i="3" a="1"/>
  <c r="C9" i="3" a="1"/>
  <c r="Y9" i="3" a="1"/>
  <c r="Y8" i="3" a="1"/>
  <c r="C8" i="3" a="1"/>
  <c r="AG8" i="3" a="1"/>
  <c r="C7" i="3" a="1"/>
  <c r="AG7" i="3" a="1"/>
  <c r="Y7" i="3" a="1"/>
  <c r="C103" i="3" l="1"/>
  <c r="C56" i="3"/>
  <c r="C77" i="3"/>
  <c r="C66" i="3"/>
  <c r="C45" i="3"/>
  <c r="C54" i="3"/>
  <c r="C108" i="3"/>
  <c r="C31" i="3"/>
  <c r="C91" i="3"/>
  <c r="C55" i="3"/>
  <c r="C64" i="3"/>
  <c r="C19" i="3"/>
  <c r="C14" i="3"/>
  <c r="C58" i="3"/>
  <c r="C12" i="3"/>
  <c r="C37" i="3"/>
  <c r="C63" i="3"/>
  <c r="C30" i="3"/>
  <c r="C97" i="3"/>
  <c r="C51" i="3"/>
  <c r="C15" i="3"/>
  <c r="C69" i="3"/>
  <c r="C8" i="3"/>
  <c r="C25" i="3"/>
  <c r="C110" i="3"/>
  <c r="C67" i="3"/>
  <c r="C95" i="3"/>
  <c r="C105" i="3"/>
  <c r="C43" i="3"/>
  <c r="C84" i="3"/>
  <c r="C29" i="3"/>
  <c r="C76" i="3"/>
  <c r="C27" i="3"/>
  <c r="C32" i="3"/>
  <c r="C34" i="3"/>
  <c r="C57" i="3"/>
  <c r="C18" i="3"/>
  <c r="C85" i="3"/>
  <c r="C28" i="3"/>
  <c r="C82" i="3"/>
  <c r="C88" i="3"/>
  <c r="C101" i="3"/>
  <c r="C59" i="3"/>
  <c r="C9" i="3"/>
  <c r="C39" i="3"/>
  <c r="C33" i="3"/>
  <c r="C70" i="3"/>
  <c r="C47" i="3"/>
  <c r="C13" i="3"/>
  <c r="C38" i="3"/>
  <c r="C81" i="3"/>
  <c r="C36" i="3"/>
  <c r="C24" i="3"/>
  <c r="C10" i="3"/>
  <c r="C61" i="3"/>
  <c r="C22" i="3"/>
  <c r="C50" i="3"/>
  <c r="C40" i="3"/>
  <c r="C78" i="3"/>
  <c r="C80" i="3"/>
  <c r="C94" i="3"/>
  <c r="C46" i="3"/>
  <c r="C86" i="3"/>
  <c r="C106" i="3"/>
  <c r="C53" i="3"/>
  <c r="C107" i="3"/>
  <c r="C73" i="3"/>
  <c r="C72" i="3"/>
  <c r="C100" i="3"/>
  <c r="C98" i="3"/>
  <c r="C65" i="3"/>
  <c r="C23" i="3"/>
  <c r="C7" i="3"/>
  <c r="C87" i="3"/>
  <c r="C74" i="3"/>
  <c r="C92" i="3"/>
  <c r="C49" i="3"/>
  <c r="C35" i="3"/>
  <c r="C104" i="3"/>
  <c r="C71" i="3"/>
  <c r="C42" i="3"/>
  <c r="C41" i="3"/>
  <c r="C83" i="3"/>
  <c r="C60" i="3"/>
  <c r="C90" i="3"/>
  <c r="C93" i="3"/>
  <c r="C75" i="3"/>
  <c r="C48" i="3"/>
  <c r="C68" i="3"/>
  <c r="C89" i="3"/>
  <c r="C102" i="3"/>
  <c r="C44" i="3"/>
  <c r="C52" i="3"/>
  <c r="C17" i="3"/>
  <c r="C16" i="3"/>
  <c r="C26" i="3"/>
  <c r="C96" i="3"/>
  <c r="C20" i="3"/>
  <c r="C62" i="3"/>
  <c r="C21" i="3"/>
  <c r="C99" i="3"/>
  <c r="C11" i="3"/>
  <c r="C109" i="3"/>
  <c r="C79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Y110" i="3"/>
  <c r="AG68" i="3"/>
  <c r="AG81" i="3"/>
  <c r="AG69" i="3"/>
  <c r="AG97" i="3"/>
  <c r="AG90" i="3"/>
  <c r="Y56" i="3"/>
  <c r="Y53" i="3"/>
  <c r="Y22" i="3"/>
  <c r="Y25" i="3"/>
  <c r="AG43" i="3"/>
  <c r="D43" i="3" s="1"/>
  <c r="AG8" i="3"/>
  <c r="Y43" i="3"/>
  <c r="Y40" i="3"/>
  <c r="AG54" i="3"/>
  <c r="Y69" i="3"/>
  <c r="AG94" i="3"/>
  <c r="Y70" i="3"/>
  <c r="Y61" i="3"/>
  <c r="Y35" i="3"/>
  <c r="Y90" i="3"/>
  <c r="Y83" i="3"/>
  <c r="Y80" i="3"/>
  <c r="Y47" i="3"/>
  <c r="Y73" i="3"/>
  <c r="Y66" i="3"/>
  <c r="Y11" i="3"/>
  <c r="Y95" i="3"/>
  <c r="Y42" i="3"/>
  <c r="Y89" i="3"/>
  <c r="AG110" i="3"/>
  <c r="Y106" i="3"/>
  <c r="AG65" i="3"/>
  <c r="AG11" i="3"/>
  <c r="Y75" i="3"/>
  <c r="AG70" i="3"/>
  <c r="AG10" i="3"/>
  <c r="Y58" i="3"/>
  <c r="Y85" i="3"/>
  <c r="Y37" i="3"/>
  <c r="AG42" i="3"/>
  <c r="D42" i="3" s="1"/>
  <c r="Y38" i="3"/>
  <c r="Y62" i="3"/>
  <c r="AG74" i="3"/>
  <c r="Y16" i="3"/>
  <c r="AG88" i="3"/>
  <c r="AG49" i="3"/>
  <c r="AG64" i="3"/>
  <c r="AG71" i="3"/>
  <c r="Y78" i="3"/>
  <c r="AG79" i="3"/>
  <c r="AG58" i="3"/>
  <c r="AG72" i="3"/>
  <c r="Y14" i="3"/>
  <c r="AG93" i="3"/>
  <c r="AG46" i="3"/>
  <c r="Y54" i="3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Y64" i="3"/>
  <c r="AG87" i="3"/>
  <c r="Y26" i="3"/>
  <c r="AG91" i="3"/>
  <c r="AG47" i="3"/>
  <c r="AG108" i="3"/>
  <c r="Y41" i="3"/>
  <c r="AG36" i="3"/>
  <c r="Y29" i="3"/>
  <c r="Y99" i="3"/>
  <c r="AG44" i="3"/>
  <c r="AG16" i="3"/>
  <c r="Y9" i="3"/>
  <c r="Y34" i="3"/>
  <c r="AG98" i="3"/>
  <c r="AG59" i="3"/>
  <c r="AG86" i="3"/>
  <c r="AG96" i="3"/>
  <c r="Y77" i="3"/>
  <c r="Y27" i="3"/>
  <c r="Y71" i="3"/>
  <c r="AG7" i="3"/>
  <c r="AG45" i="3"/>
  <c r="AG78" i="3"/>
  <c r="Y28" i="3"/>
  <c r="Y59" i="3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Y7" i="3"/>
  <c r="Y109" i="3"/>
  <c r="Y81" i="3"/>
  <c r="AG41" i="3"/>
  <c r="AH41" i="3" s="1"/>
  <c r="E41" i="3" s="1"/>
  <c r="Y105" i="3"/>
  <c r="AG85" i="3"/>
  <c r="Y60" i="3"/>
  <c r="Y30" i="3"/>
  <c r="AG61" i="3"/>
  <c r="Y57" i="3"/>
  <c r="Y21" i="3"/>
  <c r="AG18" i="3"/>
  <c r="AG56" i="3"/>
  <c r="AG20" i="3"/>
  <c r="Y67" i="3"/>
  <c r="AG52" i="3"/>
  <c r="Y15" i="3"/>
  <c r="AG100" i="3"/>
  <c r="Y97" i="3"/>
  <c r="Y82" i="3"/>
  <c r="AG92" i="3"/>
  <c r="AG28" i="3"/>
  <c r="AG82" i="3"/>
  <c r="AG22" i="3"/>
  <c r="AG32" i="3"/>
  <c r="Y72" i="3"/>
  <c r="AG29" i="3"/>
  <c r="Y44" i="3"/>
  <c r="AG84" i="3"/>
  <c r="Y93" i="3"/>
  <c r="Y104" i="3"/>
  <c r="Y32" i="3"/>
  <c r="Y102" i="3"/>
  <c r="AG48" i="3"/>
  <c r="Y96" i="3"/>
  <c r="Y92" i="3"/>
  <c r="AG77" i="3"/>
  <c r="AG9" i="3"/>
  <c r="Y103" i="3"/>
  <c r="AG75" i="3"/>
  <c r="Y10" i="3"/>
  <c r="Y91" i="3"/>
  <c r="AG106" i="3"/>
  <c r="Y51" i="3"/>
  <c r="AG38" i="3"/>
  <c r="AG30" i="3"/>
  <c r="AG57" i="3"/>
  <c r="Y55" i="3"/>
  <c r="Y94" i="3"/>
  <c r="AG101" i="3"/>
  <c r="AG103" i="3"/>
  <c r="AG105" i="3"/>
  <c r="AG21" i="3"/>
  <c r="AG83" i="3"/>
  <c r="AG67" i="3"/>
  <c r="AG13" i="3"/>
  <c r="AG109" i="3"/>
  <c r="Y68" i="3"/>
  <c r="AG17" i="3"/>
  <c r="Y98" i="3"/>
  <c r="Y74" i="3"/>
  <c r="Y45" i="3"/>
  <c r="Y108" i="3"/>
  <c r="Y19" i="3"/>
  <c r="Y100" i="3"/>
  <c r="AG80" i="3"/>
  <c r="AG104" i="3"/>
  <c r="Y84" i="3"/>
  <c r="D44" i="3" l="1"/>
  <c r="AH57" i="3"/>
  <c r="E57" i="3" s="1"/>
  <c r="AH21" i="3"/>
  <c r="E21" i="3" s="1"/>
  <c r="AH70" i="3"/>
  <c r="E70" i="3" s="1"/>
  <c r="AH105" i="3"/>
  <c r="E105" i="3" s="1"/>
  <c r="AH75" i="3"/>
  <c r="E75" i="3" s="1"/>
  <c r="AH47" i="3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AH50" i="3"/>
  <c r="E50" i="3" s="1"/>
  <c r="AH64" i="3"/>
  <c r="E64" i="3" s="1"/>
  <c r="AH42" i="3"/>
  <c r="AH14" i="3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AH8" i="3"/>
  <c r="AH69" i="3"/>
  <c r="E69" i="3" s="1"/>
  <c r="AH25" i="3"/>
  <c r="AH31" i="3"/>
  <c r="AH104" i="3"/>
  <c r="E104" i="3" s="1"/>
  <c r="AH22" i="3"/>
  <c r="E22" i="3" s="1"/>
  <c r="AH38" i="3"/>
  <c r="AH84" i="3"/>
  <c r="E84" i="3" s="1"/>
  <c r="AH51" i="3"/>
  <c r="E51" i="3" s="1"/>
  <c r="AH86" i="3"/>
  <c r="E86" i="3" s="1"/>
  <c r="AH12" i="3"/>
  <c r="AH46" i="3"/>
  <c r="E46" i="3" s="1"/>
  <c r="AH79" i="3"/>
  <c r="E79" i="3" s="1"/>
  <c r="AH49" i="3"/>
  <c r="E49" i="3" s="1"/>
  <c r="AH10" i="3"/>
  <c r="E10" i="3" s="1"/>
  <c r="AH65" i="3"/>
  <c r="E65" i="3" s="1"/>
  <c r="AH43" i="3"/>
  <c r="AH67" i="3"/>
  <c r="E67" i="3" s="1"/>
  <c r="AH77" i="3"/>
  <c r="E77" i="3" s="1"/>
  <c r="AH28" i="3"/>
  <c r="E28" i="3" s="1"/>
  <c r="AH7" i="3"/>
  <c r="AH36" i="3"/>
  <c r="AH72" i="3"/>
  <c r="E72" i="3" s="1"/>
  <c r="AH90" i="3"/>
  <c r="E90" i="3" s="1"/>
  <c r="AH27" i="3"/>
  <c r="AH73" i="3"/>
  <c r="E73" i="3" s="1"/>
  <c r="AH95" i="3"/>
  <c r="E95" i="3" s="1"/>
  <c r="AH53" i="3"/>
  <c r="E53" i="3" s="1"/>
  <c r="AH100" i="3"/>
  <c r="E100" i="3" s="1"/>
  <c r="AH34" i="3"/>
  <c r="AH39" i="3"/>
  <c r="E39" i="3" s="1"/>
  <c r="AH98" i="3"/>
  <c r="E98" i="3" s="1"/>
  <c r="AH26" i="3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AH23" i="3"/>
  <c r="AH82" i="3"/>
  <c r="E82" i="3" s="1"/>
  <c r="AH45" i="3"/>
  <c r="E45" i="3" s="1"/>
  <c r="AH24" i="3"/>
  <c r="AH54" i="3"/>
  <c r="E54" i="3" s="1"/>
  <c r="AH66" i="3"/>
  <c r="E66" i="3" s="1"/>
  <c r="AH15" i="3"/>
  <c r="E15" i="3" s="1"/>
  <c r="AH35" i="3"/>
  <c r="E35" i="3" s="1"/>
  <c r="AH32" i="3"/>
  <c r="AH59" i="3"/>
  <c r="E59" i="3" s="1"/>
  <c r="AH44" i="3"/>
  <c r="E44" i="3" s="1"/>
  <c r="AH33" i="3"/>
  <c r="E33" i="3" s="1"/>
  <c r="AH81" i="3"/>
  <c r="E81" i="3" s="1"/>
  <c r="AH37" i="3"/>
  <c r="AH40" i="3"/>
  <c r="F17" i="3"/>
  <c r="F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110" i="3" a="1"/>
  <c r="A95" i="3" a="1"/>
  <c r="A106" i="3" a="1"/>
  <c r="A98" i="3" a="1"/>
  <c r="A105" i="3" a="1"/>
  <c r="A102" i="3" a="1"/>
  <c r="A103" i="3" a="1"/>
  <c r="A88" i="3" a="1"/>
  <c r="A91" i="3" a="1"/>
  <c r="A107" i="3" a="1"/>
  <c r="A93" i="3" a="1"/>
  <c r="A97" i="3" a="1"/>
  <c r="A92" i="3" a="1"/>
  <c r="A99" i="3" a="1"/>
  <c r="A89" i="3" a="1"/>
  <c r="A101" i="3" a="1"/>
  <c r="A104" i="3" a="1"/>
  <c r="A90" i="3" a="1"/>
  <c r="A87" i="3" a="1"/>
  <c r="A94" i="3" a="1"/>
  <c r="A100" i="3" a="1"/>
  <c r="A108" i="3" a="1"/>
  <c r="A96" i="3" a="1"/>
  <c r="A109" i="3" a="1"/>
  <c r="A71" i="3" a="1"/>
  <c r="A77" i="3" a="1"/>
  <c r="A73" i="3" a="1"/>
  <c r="A63" i="3" a="1"/>
  <c r="A54" i="3" a="1"/>
  <c r="A83" i="3" a="1"/>
  <c r="A86" i="3" a="1"/>
  <c r="A81" i="3" a="1"/>
  <c r="A47" i="3" a="1"/>
  <c r="A49" i="3" a="1"/>
  <c r="A74" i="3" a="1"/>
  <c r="A76" i="3" a="1"/>
  <c r="A85" i="3" a="1"/>
  <c r="A21" i="3" a="1"/>
  <c r="A29" i="3" a="1"/>
  <c r="A70" i="3" a="1"/>
  <c r="A66" i="3" a="1"/>
  <c r="A15" i="3" a="1"/>
  <c r="A80" i="3" a="1"/>
  <c r="A72" i="3" a="1"/>
  <c r="A16" i="3" a="1"/>
  <c r="A56" i="3" a="1"/>
  <c r="A50" i="3" a="1"/>
  <c r="A79" i="3" a="1"/>
  <c r="A45" i="3" a="1"/>
  <c r="A51" i="3" a="1"/>
  <c r="A41" i="3" a="1"/>
  <c r="A69" i="3" a="1"/>
  <c r="A30" i="3" a="1"/>
  <c r="A68" i="3" a="1"/>
  <c r="A62" i="3" a="1"/>
  <c r="A67" i="3" a="1"/>
  <c r="A75" i="3" a="1"/>
  <c r="A82" i="3" a="1"/>
  <c r="A84" i="3" a="1"/>
  <c r="A60" i="3" a="1"/>
  <c r="A57" i="3" a="1"/>
  <c r="A64" i="3" a="1"/>
  <c r="A58" i="3" a="1"/>
  <c r="A52" i="3" a="1"/>
  <c r="A59" i="3" a="1"/>
  <c r="A22" i="3" a="1"/>
  <c r="A55" i="3" a="1"/>
  <c r="A61" i="3" a="1"/>
  <c r="A65" i="3" a="1"/>
  <c r="A48" i="3" a="1"/>
  <c r="A46" i="3" a="1"/>
  <c r="A78" i="3" a="1"/>
  <c r="A53" i="3" a="1"/>
  <c r="F31" i="3" l="1"/>
  <c r="E31" i="3"/>
  <c r="G42" i="3"/>
  <c r="E42" i="3"/>
  <c r="F13" i="3"/>
  <c r="E13" i="3"/>
  <c r="F40" i="3"/>
  <c r="E40" i="3"/>
  <c r="F12" i="3"/>
  <c r="E12" i="3"/>
  <c r="G38" i="3"/>
  <c r="E38" i="3"/>
  <c r="F25" i="3"/>
  <c r="E25" i="3"/>
  <c r="G20" i="3"/>
  <c r="E20" i="3"/>
  <c r="G19" i="3"/>
  <c r="E19" i="3"/>
  <c r="F37" i="3"/>
  <c r="E37" i="3"/>
  <c r="G34" i="3"/>
  <c r="E34" i="3"/>
  <c r="G36" i="3"/>
  <c r="E36" i="3"/>
  <c r="G24" i="3"/>
  <c r="E24" i="3"/>
  <c r="G11" i="3"/>
  <c r="E11" i="3"/>
  <c r="F32" i="3"/>
  <c r="E32" i="3"/>
  <c r="F23" i="3"/>
  <c r="E23" i="3"/>
  <c r="G26" i="3"/>
  <c r="E26" i="3"/>
  <c r="G27" i="3"/>
  <c r="E27" i="3"/>
  <c r="F7" i="3"/>
  <c r="E7" i="3"/>
  <c r="F43" i="3"/>
  <c r="E43" i="3"/>
  <c r="G8" i="3"/>
  <c r="E8" i="3"/>
  <c r="G14" i="3"/>
  <c r="E14" i="3"/>
  <c r="G17" i="3"/>
  <c r="E17" i="3"/>
  <c r="G12" i="3"/>
  <c r="G13" i="3"/>
  <c r="G25" i="3"/>
  <c r="G39" i="3"/>
  <c r="G10" i="3"/>
  <c r="F11" i="3"/>
  <c r="G18" i="3"/>
  <c r="G37" i="3"/>
  <c r="F38" i="3"/>
  <c r="G9" i="3"/>
  <c r="F20" i="3"/>
  <c r="F9" i="3"/>
  <c r="F27" i="3"/>
  <c r="F18" i="3"/>
  <c r="G44" i="3"/>
  <c r="G28" i="3"/>
  <c r="F19" i="3"/>
  <c r="F24" i="3"/>
  <c r="F34" i="3"/>
  <c r="G40" i="3"/>
  <c r="G31" i="3"/>
  <c r="F10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F33" i="3"/>
  <c r="F26" i="3"/>
  <c r="F14" i="3"/>
  <c r="G35" i="3"/>
  <c r="F8" i="3"/>
  <c r="F35" i="3"/>
  <c r="G23" i="3"/>
  <c r="G43" i="3"/>
  <c r="G33" i="3"/>
  <c r="G7" i="3"/>
  <c r="F36" i="3"/>
  <c r="G32" i="3"/>
  <c r="A26" i="3" a="1"/>
  <c r="A39" i="3" a="1"/>
  <c r="A28" i="3" a="1"/>
  <c r="A33" i="3" a="1"/>
  <c r="A25" i="3" a="1"/>
  <c r="A17" i="3" a="1"/>
  <c r="A44" i="3" a="1"/>
  <c r="A35" i="3" a="1"/>
  <c r="A19" i="3" a="1"/>
  <c r="A32" i="3" a="1"/>
  <c r="A36" i="3" a="1"/>
  <c r="A37" i="3" a="1"/>
  <c r="A31" i="3" a="1"/>
  <c r="A18" i="3" a="1"/>
  <c r="A24" i="3" a="1"/>
  <c r="A34" i="3" a="1"/>
  <c r="A27" i="3" a="1"/>
  <c r="A40" i="3" a="1"/>
  <c r="A43" i="3" a="1"/>
  <c r="A38" i="3" a="1"/>
  <c r="A20" i="3" a="1"/>
  <c r="A23" i="3" a="1"/>
  <c r="A20" i="3" l="1"/>
  <c r="A18" i="3"/>
  <c r="A17" i="3"/>
  <c r="A39" i="3"/>
  <c r="A25" i="3"/>
  <c r="A44" i="3"/>
  <c r="A31" i="3"/>
  <c r="A28" i="3"/>
  <c r="A24" i="3"/>
  <c r="A19" i="3"/>
  <c r="A40" i="3"/>
  <c r="A38" i="3"/>
  <c r="A37" i="3"/>
  <c r="A36" i="3"/>
  <c r="A26" i="3"/>
  <c r="A33" i="3"/>
  <c r="A43" i="3"/>
  <c r="A34" i="3"/>
  <c r="A35" i="3"/>
  <c r="A23" i="3"/>
  <c r="A27" i="3"/>
  <c r="A32" i="3"/>
  <c r="A42" i="3" a="1"/>
  <c r="A42" i="3" l="1"/>
  <c r="H14" i="3" a="1"/>
  <c r="H13" i="3" a="1"/>
  <c r="H12" i="3" a="1"/>
  <c r="H11" i="3" a="1"/>
  <c r="H10" i="3" a="1"/>
  <c r="H9" i="3" a="1"/>
  <c r="H8" i="3" a="1"/>
  <c r="H7" i="3" a="1"/>
  <c r="B12" i="3" l="1"/>
  <c r="H12" i="3"/>
  <c r="H8" i="3"/>
  <c r="B8" i="3"/>
  <c r="H13" i="3"/>
  <c r="B13" i="3"/>
  <c r="B11" i="3"/>
  <c r="H11" i="3"/>
  <c r="B7" i="3"/>
  <c r="H7" i="3"/>
  <c r="B9" i="3"/>
  <c r="H9" i="3"/>
  <c r="B6" i="3"/>
  <c r="B10" i="3"/>
  <c r="H10" i="3"/>
  <c r="B14" i="3"/>
  <c r="H14" i="3"/>
  <c r="A14" i="3" a="1"/>
  <c r="A13" i="3" a="1"/>
  <c r="A12" i="3" a="1"/>
  <c r="A11" i="3" a="1"/>
  <c r="A10" i="3" a="1"/>
  <c r="A9" i="3" a="1"/>
  <c r="A8" i="3" a="1"/>
  <c r="A6" i="3" a="1"/>
  <c r="A7" i="3" a="1"/>
  <c r="A9" i="3" l="1"/>
  <c r="A11" i="3"/>
  <c r="A8" i="3"/>
  <c r="A14" i="3"/>
  <c r="A6" i="3"/>
  <c r="A7" i="3"/>
  <c r="A12" i="3"/>
  <c r="A10" i="3"/>
  <c r="A13" i="3"/>
  <c r="H45" i="29" l="1"/>
  <c r="D45" i="29"/>
  <c r="G43" i="29"/>
  <c r="C43" i="29"/>
  <c r="F42" i="29"/>
  <c r="B42" i="29"/>
  <c r="E41" i="29"/>
  <c r="H40" i="29"/>
  <c r="D40" i="29"/>
  <c r="G39" i="29"/>
  <c r="C39" i="29"/>
  <c r="F38" i="29"/>
  <c r="B38" i="29"/>
  <c r="E37" i="29"/>
  <c r="H36" i="29"/>
  <c r="D36" i="29"/>
  <c r="G34" i="29"/>
  <c r="C34" i="29"/>
  <c r="F33" i="29"/>
  <c r="B33" i="29"/>
  <c r="E32" i="29"/>
  <c r="H31" i="29"/>
  <c r="D31" i="29"/>
  <c r="G30" i="29"/>
  <c r="C30" i="29"/>
  <c r="F29" i="29"/>
  <c r="B29" i="29"/>
  <c r="E28" i="29"/>
  <c r="H27" i="29"/>
  <c r="D27" i="29"/>
  <c r="G25" i="29"/>
  <c r="C25" i="29"/>
  <c r="F24" i="29"/>
  <c r="B24" i="29"/>
  <c r="E22" i="29"/>
  <c r="H20" i="29"/>
  <c r="D20" i="29"/>
  <c r="G19" i="29"/>
  <c r="C19" i="29"/>
  <c r="F18" i="29"/>
  <c r="B18" i="29"/>
  <c r="E16" i="29"/>
  <c r="H15" i="29"/>
  <c r="D15" i="29"/>
  <c r="G14" i="29"/>
  <c r="C14" i="29"/>
  <c r="F13" i="29"/>
  <c r="B13" i="29"/>
  <c r="E12" i="29"/>
  <c r="H10" i="29"/>
  <c r="D10" i="29"/>
  <c r="G9" i="29"/>
  <c r="C9" i="29"/>
  <c r="F8" i="29"/>
  <c r="B8" i="29"/>
  <c r="E7" i="29"/>
  <c r="G45" i="29"/>
  <c r="C45" i="29"/>
  <c r="F43" i="29"/>
  <c r="B43" i="29"/>
  <c r="E42" i="29"/>
  <c r="H41" i="29"/>
  <c r="D41" i="29"/>
  <c r="G40" i="29"/>
  <c r="C40" i="29"/>
  <c r="F39" i="29"/>
  <c r="B39" i="29"/>
  <c r="E38" i="29"/>
  <c r="H37" i="29"/>
  <c r="D37" i="29"/>
  <c r="G36" i="29"/>
  <c r="C36" i="29"/>
  <c r="F34" i="29"/>
  <c r="B34" i="29"/>
  <c r="E33" i="29"/>
  <c r="H32" i="29"/>
  <c r="D32" i="29"/>
  <c r="G31" i="29"/>
  <c r="C31" i="29"/>
  <c r="F30" i="29"/>
  <c r="B30" i="29"/>
  <c r="E29" i="29"/>
  <c r="H28" i="29"/>
  <c r="D28" i="29"/>
  <c r="G27" i="29"/>
  <c r="C27" i="29"/>
  <c r="F25" i="29"/>
  <c r="F45" i="29"/>
  <c r="B45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F36" i="29"/>
  <c r="B36" i="29"/>
  <c r="E34" i="29"/>
  <c r="H33" i="29"/>
  <c r="D33" i="29"/>
  <c r="G32" i="29"/>
  <c r="C32" i="29"/>
  <c r="F31" i="29"/>
  <c r="B31" i="29"/>
  <c r="E30" i="29"/>
  <c r="H29" i="29"/>
  <c r="D29" i="29"/>
  <c r="G28" i="29"/>
  <c r="C28" i="29"/>
  <c r="F27" i="29"/>
  <c r="B27" i="29"/>
  <c r="E25" i="29"/>
  <c r="H24" i="29"/>
  <c r="D24" i="29"/>
  <c r="G22" i="29"/>
  <c r="C22" i="29"/>
  <c r="F20" i="29"/>
  <c r="B20" i="29"/>
  <c r="E19" i="29"/>
  <c r="H18" i="29"/>
  <c r="D18" i="29"/>
  <c r="G16" i="29"/>
  <c r="C16" i="29"/>
  <c r="F15" i="29"/>
  <c r="B15" i="29"/>
  <c r="E14" i="29"/>
  <c r="H13" i="29"/>
  <c r="D13" i="29"/>
  <c r="G12" i="29"/>
  <c r="C12" i="29"/>
  <c r="F10" i="29"/>
  <c r="B10" i="29"/>
  <c r="E9" i="29"/>
  <c r="H8" i="29"/>
  <c r="D8" i="29"/>
  <c r="G7" i="29"/>
  <c r="C7" i="29"/>
  <c r="F6" i="29"/>
  <c r="B6" i="29"/>
  <c r="E45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H34" i="29"/>
  <c r="D34" i="29"/>
  <c r="G33" i="29"/>
  <c r="C33" i="29"/>
  <c r="F32" i="29"/>
  <c r="B32" i="29"/>
  <c r="E31" i="29"/>
  <c r="H30" i="29"/>
  <c r="D30" i="29"/>
  <c r="G29" i="29"/>
  <c r="C29" i="29"/>
  <c r="F28" i="29"/>
  <c r="B28" i="29"/>
  <c r="B25" i="29"/>
  <c r="H22" i="29"/>
  <c r="G20" i="29"/>
  <c r="F19" i="29"/>
  <c r="E18" i="29"/>
  <c r="D16" i="29"/>
  <c r="C15" i="29"/>
  <c r="B14" i="29"/>
  <c r="H12" i="29"/>
  <c r="G10" i="29"/>
  <c r="F9" i="29"/>
  <c r="E8" i="29"/>
  <c r="D7" i="29"/>
  <c r="E6" i="29"/>
  <c r="E27" i="29"/>
  <c r="G24" i="29"/>
  <c r="F22" i="29"/>
  <c r="E20" i="29"/>
  <c r="D19" i="29"/>
  <c r="C18" i="29"/>
  <c r="B16" i="29"/>
  <c r="H14" i="29"/>
  <c r="G13" i="29"/>
  <c r="F12" i="29"/>
  <c r="E10" i="29"/>
  <c r="D9" i="29"/>
  <c r="C8" i="29"/>
  <c r="B7" i="29"/>
  <c r="D6" i="29"/>
  <c r="H25" i="29"/>
  <c r="E24" i="29"/>
  <c r="D22" i="29"/>
  <c r="C20" i="29"/>
  <c r="H16" i="29"/>
  <c r="G15" i="29"/>
  <c r="F14" i="29"/>
  <c r="E13" i="29"/>
  <c r="D12" i="29"/>
  <c r="B9" i="29"/>
  <c r="H7" i="29"/>
  <c r="H6" i="29"/>
  <c r="C6" i="29"/>
  <c r="D25" i="29"/>
  <c r="C24" i="29"/>
  <c r="B22" i="29"/>
  <c r="G18" i="29"/>
  <c r="F16" i="29"/>
  <c r="D14" i="29"/>
  <c r="B12" i="29"/>
  <c r="H9" i="29"/>
  <c r="F7" i="29"/>
  <c r="B19" i="29"/>
  <c r="H19" i="29"/>
  <c r="E15" i="29"/>
  <c r="C13" i="29"/>
  <c r="G8" i="29"/>
  <c r="G6" i="29"/>
  <c r="C10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<sst xmlns="http://schemas.openxmlformats.org/spreadsheetml/2006/main" count="14915" uniqueCount="2808">
  <si>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</si>
  <si>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</si>
  <si>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</si>
  <si>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</si>
  <si>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</si>
  <si>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</si>
  <si>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</si>
  <si>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</si>
  <si>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</si>
  <si>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</si>
  <si>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</si>
  <si>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</si>
  <si>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</si>
  <si>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</si>
  <si>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</si>
  <si>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</si>
  <si>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</si>
  <si>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</si>
  <si>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</si>
  <si>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</si>
  <si>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</si>
  <si>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</si>
  <si>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</si>
  <si>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</si>
  <si>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</si>
  <si>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</si>
  <si>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</si>
  <si>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</si>
  <si>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</si>
  <si>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</si>
  <si>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</si>
  <si>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</si>
  <si>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</si>
  <si>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</si>
  <si>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</si>
  <si>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</si>
  <si>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</si>
  <si>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</si>
  <si>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</si>
  <si>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</si>
  <si>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</si>
  <si>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</si>
  <si>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</si>
  <si>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</si>
  <si>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</si>
  <si>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</si>
  <si>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</si>
  <si>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</si>
  <si>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</si>
  <si>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</si>
  <si>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</si>
  <si>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</si>
  <si>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</si>
  <si>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</si>
  <si>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</si>
  <si>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</si>
  <si>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</si>
  <si>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</si>
  <si>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</si>
  <si>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</si>
  <si>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</si>
  <si>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</si>
  <si>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</si>
  <si>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</si>
  <si>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</si>
  <si>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</si>
  <si>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</si>
  <si>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</si>
  <si>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</si>
  <si>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</si>
  <si>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</si>
  <si>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</si>
  <si>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</si>
  <si>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</si>
  <si>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</si>
  <si>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</si>
  <si>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</si>
  <si>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</si>
  <si>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</si>
  <si>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</si>
  <si>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</si>
  <si>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</si>
  <si>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</si>
  <si>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</si>
  <si>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</si>
  <si>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</si>
  <si>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</si>
  <si>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</si>
  <si>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</si>
  <si>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</si>
  <si>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</si>
  <si>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</si>
  <si>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</si>
  <si>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</si>
  <si>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</si>
  <si>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</si>
  <si>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</si>
  <si>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</si>
  <si>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</si>
  <si>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</si>
  <si>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Volts AC</t>
  </si>
  <si>
    <t>Volts DC</t>
  </si>
  <si>
    <t>Amps AC</t>
  </si>
  <si>
    <t>Amps DC</t>
  </si>
  <si>
    <t>Temperature</t>
  </si>
  <si>
    <t>K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</si>
  <si>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</si>
  <si>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</si>
  <si>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</si>
  <si>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</si>
  <si>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</si>
  <si>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</si>
  <si>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</si>
  <si>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</si>
  <si>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</si>
  <si>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</si>
  <si>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</si>
  <si>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</si>
  <si>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</si>
  <si>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</si>
  <si>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</si>
  <si>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</si>
  <si>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</si>
  <si>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</si>
  <si>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</si>
  <si>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</si>
  <si>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</si>
  <si>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</si>
  <si>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</si>
  <si>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</si>
  <si>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</si>
  <si>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</si>
  <si>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</si>
  <si>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</si>
  <si>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</si>
  <si>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</si>
  <si>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</si>
  <si>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</si>
  <si>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</si>
  <si>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</si>
  <si>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</si>
  <si>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</si>
  <si>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</si>
  <si>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</si>
  <si>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</si>
  <si>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</si>
  <si>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</si>
  <si>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</si>
  <si>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</si>
  <si>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</si>
  <si>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</si>
  <si>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</si>
  <si>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</si>
  <si>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</si>
  <si>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</si>
  <si>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</si>
  <si>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</si>
  <si>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</si>
  <si>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</si>
  <si>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</si>
  <si>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</si>
  <si>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</si>
  <si>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</si>
  <si>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</si>
  <si>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</si>
  <si>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</si>
  <si>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</si>
  <si>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</si>
  <si>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</si>
  <si>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</si>
  <si>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</si>
  <si>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</si>
  <si>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</si>
  <si>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</si>
  <si>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</si>
  <si>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</si>
  <si>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</si>
  <si>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</si>
  <si>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</si>
  <si>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</si>
  <si>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</si>
  <si>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</si>
  <si>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</si>
  <si>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</si>
  <si>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</si>
  <si>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</si>
  <si>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</si>
  <si>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</si>
  <si>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</si>
  <si>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</si>
  <si>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</si>
  <si>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</si>
  <si>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</si>
  <si>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</si>
  <si>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</si>
  <si>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</si>
  <si>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</si>
  <si>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</si>
  <si>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</si>
  <si>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</si>
  <si>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</si>
  <si>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</si>
  <si>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</si>
  <si>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</si>
  <si>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</si>
  <si>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</si>
  <si>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</si>
  <si>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</si>
  <si>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</si>
  <si>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</si>
  <si>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</si>
  <si>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</si>
  <si>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</si>
  <si>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</si>
  <si>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</si>
  <si>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</si>
  <si>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</si>
  <si>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</si>
  <si>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</si>
  <si>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</si>
  <si>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</si>
  <si>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</si>
  <si>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</si>
  <si>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</si>
  <si>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</si>
  <si>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</si>
  <si>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</si>
  <si>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</si>
  <si>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</si>
  <si>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</si>
  <si>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</si>
  <si>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</si>
  <si>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</si>
  <si>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</si>
  <si>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</si>
  <si>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</si>
  <si>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</si>
  <si>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</si>
  <si>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</si>
  <si>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</si>
  <si>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</si>
  <si>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</si>
  <si>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</si>
  <si>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</si>
  <si>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</si>
  <si>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</si>
  <si>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</si>
  <si>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</si>
  <si>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</si>
  <si>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</si>
  <si>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</si>
  <si>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</si>
  <si>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</si>
  <si>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</si>
  <si>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</si>
  <si>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</si>
  <si>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</si>
  <si>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</si>
  <si>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</si>
  <si>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</si>
  <si>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</si>
  <si>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</si>
  <si>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</si>
  <si>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</si>
  <si>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</si>
  <si>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</si>
  <si>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</si>
  <si>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</si>
  <si>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</si>
  <si>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</si>
  <si>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</si>
  <si>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</si>
  <si>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</si>
  <si>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</si>
  <si>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</si>
  <si>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</si>
  <si>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</si>
  <si>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</si>
  <si>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</si>
  <si>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</si>
  <si>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</si>
  <si>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</si>
  <si>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</si>
  <si>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</si>
  <si>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</si>
  <si>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</si>
  <si>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</si>
  <si>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</si>
  <si>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</si>
  <si>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</si>
  <si>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</si>
  <si>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</si>
  <si>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</si>
  <si>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</si>
  <si>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</si>
  <si>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</si>
  <si>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</si>
  <si>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</si>
  <si>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</si>
  <si>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</si>
  <si>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</si>
  <si>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</si>
  <si>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</si>
  <si>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</si>
  <si>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</si>
  <si>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</si>
  <si>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</si>
  <si>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</si>
  <si>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</si>
  <si>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</si>
  <si>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</si>
  <si>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</si>
  <si>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</si>
  <si>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</si>
  <si>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</si>
  <si>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</si>
  <si>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</si>
  <si>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</si>
  <si>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</si>
  <si>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</si>
  <si>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</si>
  <si>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</si>
  <si>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</si>
  <si>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</si>
  <si>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</si>
  <si>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</si>
  <si>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</si>
  <si>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</si>
  <si>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</si>
  <si>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</si>
  <si>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</si>
  <si>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</si>
  <si>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</si>
  <si>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</si>
  <si>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</si>
  <si>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</si>
  <si>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</si>
  <si>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</si>
  <si>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</si>
  <si>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</si>
  <si>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</si>
  <si>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</si>
  <si>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</si>
  <si>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</si>
  <si>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</si>
  <si>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</si>
  <si>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</si>
  <si>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</si>
  <si>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</si>
  <si>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</si>
  <si>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</si>
  <si>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</si>
  <si>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</si>
  <si>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</si>
  <si>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</si>
  <si>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</si>
  <si>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</si>
  <si>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</si>
  <si>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</si>
  <si>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</si>
  <si>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</si>
  <si>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</si>
  <si>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</si>
  <si>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</si>
  <si>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</si>
  <si>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</si>
  <si>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</si>
  <si>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</si>
  <si>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</si>
  <si>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</si>
  <si>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</si>
  <si>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</si>
  <si>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</si>
  <si>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</si>
  <si>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</si>
  <si>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</si>
  <si>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</si>
  <si>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</si>
  <si>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</si>
  <si>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</si>
  <si>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</si>
  <si>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</si>
  <si>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</si>
  <si>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</si>
  <si>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</si>
  <si>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</si>
  <si>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</si>
  <si>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</si>
  <si>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</si>
  <si>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</si>
  <si>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</si>
  <si>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</si>
  <si>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</si>
  <si>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</si>
  <si>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</si>
  <si>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</si>
  <si>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</si>
  <si>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</si>
  <si>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</si>
  <si>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</si>
  <si>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</si>
  <si>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</si>
  <si>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</si>
  <si>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</si>
  <si>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</si>
  <si>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</si>
  <si>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</si>
  <si>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</si>
  <si>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</si>
  <si>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</si>
  <si>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</si>
  <si>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</si>
  <si>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</si>
  <si>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</si>
  <si>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</si>
  <si>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</si>
  <si>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</si>
  <si>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</si>
  <si>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</si>
  <si>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</si>
  <si>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</si>
  <si>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</si>
  <si>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</si>
  <si>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</si>
  <si>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</si>
  <si>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</si>
  <si>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</si>
  <si>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</si>
  <si>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</si>
  <si>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</si>
  <si>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</si>
  <si>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</si>
  <si>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</si>
  <si>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</si>
  <si>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</si>
  <si>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</si>
  <si>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</si>
  <si>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</si>
  <si>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</si>
  <si>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</si>
  <si>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</si>
  <si>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</si>
  <si>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</si>
  <si>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</si>
  <si>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</si>
  <si>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</si>
  <si>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</si>
  <si>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</si>
  <si>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</si>
  <si>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</si>
  <si>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</si>
  <si>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</si>
  <si>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</si>
  <si>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</si>
  <si>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</si>
  <si>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</si>
  <si>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</si>
  <si>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</si>
  <si>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</si>
  <si>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</si>
  <si>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</si>
  <si>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</si>
  <si>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</si>
  <si>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</si>
  <si>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</si>
  <si>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</si>
  <si>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</si>
  <si>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</si>
  <si>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</si>
  <si>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</si>
  <si>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</si>
  <si>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</si>
  <si>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</si>
  <si>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</si>
  <si>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</si>
  <si>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</si>
  <si>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</si>
  <si>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</si>
  <si>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</si>
  <si>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</si>
  <si>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</si>
  <si>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</si>
  <si>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</si>
  <si>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</si>
  <si>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</si>
  <si>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</si>
  <si>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</si>
  <si>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</si>
  <si>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</si>
  <si>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</si>
  <si>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</si>
  <si>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</si>
  <si>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</si>
  <si>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</si>
  <si>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</si>
  <si>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</si>
  <si>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</si>
  <si>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</si>
  <si>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</si>
  <si>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</si>
  <si>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</si>
  <si>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</si>
  <si>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</si>
  <si>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</si>
  <si>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</si>
  <si>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</si>
  <si>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</si>
  <si>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</si>
  <si>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</si>
  <si>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</si>
  <si>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</si>
  <si>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</si>
  <si>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</si>
  <si>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</si>
  <si>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</si>
  <si>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</si>
  <si>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</si>
  <si>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</si>
  <si>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</si>
  <si>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</si>
  <si>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</si>
  <si>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</si>
  <si>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</si>
  <si>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</si>
  <si>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</si>
  <si>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</si>
  <si>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</si>
  <si>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</si>
  <si>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</si>
  <si>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</si>
  <si>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</si>
  <si>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</si>
  <si>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</si>
  <si>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</si>
  <si>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</si>
  <si>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</si>
  <si>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</si>
  <si>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</si>
  <si>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</si>
  <si>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</si>
  <si>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</si>
  <si>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</si>
  <si>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</si>
  <si>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</si>
  <si>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</si>
  <si>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</si>
  <si>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</si>
  <si>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</si>
  <si>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</si>
  <si>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</si>
  <si>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</si>
  <si>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</si>
  <si>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</si>
  <si>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</si>
  <si>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</si>
  <si>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</si>
  <si>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</si>
  <si>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</si>
  <si>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</si>
  <si>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</si>
  <si>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</si>
  <si>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</si>
  <si>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</si>
  <si>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</si>
  <si>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</si>
  <si>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</si>
  <si>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</si>
  <si>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</si>
  <si>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</si>
  <si>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</si>
  <si>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</si>
  <si>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</si>
  <si>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</si>
  <si>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</si>
  <si>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</si>
  <si>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</si>
  <si>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</si>
  <si>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</si>
  <si>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</si>
  <si>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</si>
  <si>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</si>
  <si>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</si>
  <si>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</si>
  <si>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</si>
  <si>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</si>
  <si>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</si>
  <si>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</si>
  <si>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</si>
  <si>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</si>
  <si>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</si>
  <si>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</si>
  <si>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</si>
  <si>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</si>
  <si>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</si>
  <si>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</si>
  <si>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</si>
  <si>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</si>
  <si>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</si>
  <si>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</si>
  <si>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</si>
  <si>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</si>
  <si>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</si>
  <si>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</si>
  <si>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</si>
  <si>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</si>
  <si>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</si>
  <si>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</si>
  <si>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</si>
  <si>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</si>
  <si>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</si>
  <si>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</si>
  <si>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</si>
  <si>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</si>
  <si>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</si>
  <si>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</si>
  <si>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</si>
  <si>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</si>
  <si>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</si>
  <si>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</si>
  <si>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</si>
  <si>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</si>
  <si>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</si>
  <si>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</si>
  <si>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</si>
  <si>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</si>
  <si>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</si>
  <si>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</si>
  <si>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</si>
  <si>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</si>
  <si>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</si>
  <si>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</si>
  <si>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</si>
  <si>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</si>
  <si>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</si>
  <si>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</si>
  <si>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</si>
  <si>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</si>
  <si>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</si>
  <si>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</si>
  <si>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</si>
  <si>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</si>
  <si>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</si>
  <si>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</si>
  <si>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</si>
  <si>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</si>
  <si>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</si>
  <si>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</si>
  <si>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</si>
  <si>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</si>
  <si>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</si>
  <si>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</si>
  <si>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</si>
  <si>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</si>
  <si>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</si>
  <si>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</si>
  <si>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</si>
  <si>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</si>
  <si>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</si>
  <si>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</si>
  <si>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</si>
  <si>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</si>
  <si>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</si>
  <si>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</si>
  <si>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</si>
  <si>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</si>
  <si>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</si>
  <si>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</si>
  <si>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</si>
  <si>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</si>
  <si>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</si>
  <si>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</si>
  <si>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</si>
  <si>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</si>
  <si>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</si>
  <si>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</si>
  <si>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</si>
  <si>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</si>
  <si>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</si>
  <si>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</si>
  <si>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</si>
  <si>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</si>
  <si>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</si>
  <si>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</si>
  <si>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</si>
  <si>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</si>
  <si>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</si>
  <si>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</si>
  <si>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</si>
  <si>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</si>
  <si>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</si>
  <si>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</si>
  <si>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</si>
  <si>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</si>
  <si>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</si>
  <si>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</si>
  <si>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</si>
  <si>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</si>
  <si>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</si>
  <si>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</si>
  <si>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</si>
  <si>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</si>
  <si>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</si>
  <si>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</si>
  <si>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</si>
  <si>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</si>
  <si>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</si>
  <si>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</si>
  <si>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</si>
  <si>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</si>
  <si>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</si>
  <si>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</si>
  <si>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</si>
  <si>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</si>
  <si>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</si>
  <si>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</si>
  <si>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</si>
  <si>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</si>
  <si>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</si>
  <si>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</si>
  <si>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</si>
  <si>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</si>
  <si>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</si>
  <si>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</si>
  <si>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</si>
  <si>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</si>
  <si>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</si>
  <si>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</si>
  <si>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</si>
  <si>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</si>
  <si>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</si>
  <si>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</si>
  <si>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</si>
  <si>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</si>
  <si>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</si>
  <si>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</si>
  <si>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</si>
  <si>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</si>
  <si>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</si>
  <si>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</si>
  <si>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</si>
  <si>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</si>
  <si>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</si>
  <si>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</si>
  <si>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</si>
  <si>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</si>
  <si>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</si>
  <si>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</si>
  <si>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</si>
  <si>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</si>
  <si>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</si>
  <si>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</si>
  <si>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</si>
  <si>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</si>
  <si>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</si>
  <si>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</si>
  <si>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</si>
  <si>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</si>
  <si>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</si>
  <si>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</si>
  <si>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</si>
  <si>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</si>
  <si>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</si>
  <si>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</si>
  <si>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</si>
  <si>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</si>
  <si>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</si>
  <si>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</si>
  <si>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</si>
  <si>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</si>
  <si>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</si>
  <si>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</si>
  <si>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</si>
  <si>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</si>
  <si>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</si>
  <si>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</si>
  <si>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</si>
  <si>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</si>
  <si>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</si>
  <si>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</si>
  <si>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</si>
  <si>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</si>
  <si>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</si>
  <si>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</si>
  <si>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</si>
  <si>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</si>
  <si>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</si>
  <si>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</si>
  <si>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</si>
  <si>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</si>
  <si>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</si>
  <si>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</si>
  <si>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</si>
  <si>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</si>
  <si>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</si>
  <si>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</si>
  <si>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</si>
  <si>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</si>
  <si>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</si>
  <si>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</si>
  <si>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</si>
  <si>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</si>
  <si>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</si>
  <si>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</si>
  <si>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</si>
  <si>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</si>
  <si>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</si>
  <si>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</si>
  <si>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</si>
  <si>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</si>
  <si>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</si>
  <si>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</si>
  <si>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</si>
  <si>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</si>
  <si>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</si>
  <si>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</si>
  <si>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</si>
  <si>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</si>
  <si>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</si>
  <si>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</si>
  <si>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</si>
  <si>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</si>
  <si>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</si>
  <si>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</si>
  <si>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</si>
  <si>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</si>
  <si>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</si>
  <si>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</si>
  <si>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</si>
  <si>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</si>
  <si>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</si>
  <si>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</si>
  <si>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</si>
  <si>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</si>
  <si>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</si>
  <si>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</si>
  <si>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</si>
  <si>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</si>
  <si>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</si>
  <si>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</si>
  <si>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</si>
  <si>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</si>
  <si>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</si>
  <si>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</si>
  <si>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</si>
  <si>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</si>
  <si>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</si>
  <si>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</si>
  <si>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</si>
  <si>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</si>
  <si>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</si>
  <si>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</si>
  <si>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</si>
  <si>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</si>
  <si>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</si>
  <si>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</si>
  <si>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</si>
  <si>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</si>
  <si>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</si>
  <si>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</si>
  <si>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</si>
  <si>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</si>
  <si>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</si>
  <si>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</si>
  <si>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</si>
  <si>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</si>
  <si>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</si>
  <si>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</si>
  <si>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</si>
  <si>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</si>
  <si>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</si>
  <si>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</si>
  <si>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</si>
  <si>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</si>
  <si>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</si>
  <si>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</si>
  <si>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</si>
  <si>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</si>
  <si>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</si>
  <si>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</si>
  <si>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</si>
  <si>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</si>
  <si>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</si>
  <si>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</si>
  <si>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</si>
  <si>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</si>
  <si>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</si>
  <si>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</si>
  <si>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</si>
  <si>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</si>
  <si>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</si>
  <si>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</si>
  <si>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</si>
  <si>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</si>
  <si>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</si>
  <si>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</si>
  <si>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</si>
  <si>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</si>
  <si>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</si>
  <si>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</si>
  <si>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</si>
  <si>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</si>
  <si>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</si>
  <si>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</si>
  <si>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</si>
  <si>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</si>
  <si>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</si>
  <si>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</si>
  <si>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</si>
  <si>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</si>
  <si>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</si>
  <si>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</si>
  <si>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</si>
  <si>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</si>
  <si>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</si>
  <si>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</si>
  <si>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</si>
  <si>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</si>
  <si>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</si>
  <si>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</si>
  <si>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</si>
  <si>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</si>
  <si>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</si>
  <si>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</si>
  <si>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</si>
  <si>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</si>
  <si>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</si>
  <si>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</si>
  <si>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</si>
  <si>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</si>
  <si>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</si>
  <si>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</si>
  <si>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</si>
  <si>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</si>
  <si>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</si>
  <si>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</si>
  <si>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</si>
  <si>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</si>
  <si>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</si>
  <si>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</si>
  <si>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</si>
  <si>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</si>
  <si>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</si>
  <si>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</si>
  <si>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</si>
  <si>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</si>
  <si>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</si>
  <si>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</si>
  <si>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</si>
  <si>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</si>
  <si>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</si>
  <si>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</si>
  <si>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</si>
  <si>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</si>
  <si>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</si>
  <si>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</si>
  <si>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</si>
  <si>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</si>
  <si>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</si>
  <si>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</si>
  <si>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</si>
  <si>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</si>
  <si>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</si>
  <si>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</si>
  <si>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</si>
  <si>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</si>
  <si>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</si>
  <si>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</si>
  <si>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</si>
  <si>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</si>
  <si>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</si>
  <si>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</si>
  <si>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</si>
  <si>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</si>
  <si>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</si>
  <si>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</si>
  <si>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</si>
  <si>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</si>
  <si>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</si>
  <si>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</si>
  <si>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</si>
  <si>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</si>
  <si>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</si>
  <si>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</si>
  <si>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</si>
  <si>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</si>
  <si>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</si>
  <si>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</si>
  <si>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</si>
  <si>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</si>
  <si>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</si>
  <si>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</si>
  <si>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</si>
  <si>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</si>
  <si>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</si>
  <si>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</si>
  <si>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</si>
  <si>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</si>
  <si>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</si>
  <si>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</si>
  <si>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</si>
  <si>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</si>
  <si>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</si>
  <si>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</si>
  <si>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</si>
  <si>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</si>
  <si>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</si>
  <si>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</si>
  <si>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</si>
  <si>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</si>
  <si>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</si>
  <si>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</si>
  <si>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</si>
  <si>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</si>
  <si>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</si>
  <si>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</si>
  <si>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</si>
  <si>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</si>
  <si>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</si>
  <si>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</si>
  <si>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</si>
  <si>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</si>
  <si>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</si>
  <si>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</si>
  <si>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</si>
  <si>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</si>
  <si>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</si>
  <si>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</si>
  <si>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</si>
  <si>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</si>
  <si>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</si>
  <si>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</si>
  <si>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</si>
  <si>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</si>
  <si>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</si>
  <si>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</si>
  <si>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</si>
  <si>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</si>
  <si>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</si>
  <si>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</si>
  <si>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</si>
  <si>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</si>
  <si>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</si>
  <si>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</si>
  <si>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</si>
  <si>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</si>
  <si>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</si>
  <si>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</si>
  <si>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</si>
  <si>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</si>
  <si>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</si>
  <si>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</si>
  <si>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</si>
  <si>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</si>
  <si>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</si>
  <si>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</si>
  <si>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</si>
  <si>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</si>
  <si>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</si>
  <si>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</si>
  <si>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</si>
  <si>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</si>
  <si>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</si>
  <si>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</si>
  <si>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</si>
  <si>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</si>
  <si>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</si>
  <si>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</si>
  <si>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</si>
  <si>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</si>
  <si>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</si>
  <si>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</si>
  <si>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</si>
  <si>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</si>
  <si>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</si>
  <si>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</si>
  <si>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</si>
  <si>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</si>
  <si>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</si>
  <si>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</si>
  <si>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</si>
  <si>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</si>
  <si>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</si>
  <si>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</si>
  <si>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</si>
  <si>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</si>
  <si>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</si>
  <si>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</si>
  <si>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</si>
  <si>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</si>
  <si>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</si>
  <si>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</si>
  <si>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</si>
  <si>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</si>
  <si>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</si>
  <si>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</si>
  <si>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</si>
  <si>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</si>
  <si>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</si>
  <si>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</si>
  <si>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</si>
  <si>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</si>
  <si>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</si>
  <si>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</si>
  <si>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</si>
  <si>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</si>
  <si>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</si>
  <si>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</si>
  <si>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</si>
  <si>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</si>
  <si>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</si>
  <si>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</si>
  <si>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</si>
  <si>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</si>
  <si>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</si>
  <si>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</si>
  <si>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</si>
  <si>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</si>
  <si>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</si>
  <si>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</si>
  <si>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</si>
  <si>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</si>
  <si>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</si>
  <si>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</si>
  <si>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</si>
  <si>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</si>
  <si>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</si>
  <si>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</si>
  <si>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</si>
  <si>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</si>
  <si>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</si>
  <si>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</si>
  <si>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</si>
  <si>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</si>
  <si>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</si>
  <si>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</si>
  <si>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</si>
  <si>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</si>
  <si>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</si>
  <si>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</si>
  <si>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</si>
  <si>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</si>
  <si>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</si>
  <si>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</si>
  <si>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</si>
  <si>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</si>
  <si>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</si>
  <si>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</si>
  <si>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</si>
  <si>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</si>
  <si>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</si>
  <si>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</si>
  <si>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</si>
  <si>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</si>
  <si>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</si>
  <si>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</si>
  <si>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</si>
  <si>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</si>
  <si>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</si>
  <si>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</si>
  <si>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</si>
  <si>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</si>
  <si>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</si>
  <si>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</si>
  <si>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</si>
  <si>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</si>
  <si>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</si>
  <si>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</si>
  <si>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</si>
  <si>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</si>
  <si>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</si>
  <si>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</si>
  <si>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</si>
  <si>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</si>
  <si>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</si>
  <si>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</si>
  <si>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</si>
  <si>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</si>
  <si>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</si>
  <si>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</si>
  <si>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</si>
  <si>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</si>
  <si>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</si>
  <si>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</si>
  <si>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</si>
  <si>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</si>
  <si>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</si>
  <si>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</si>
  <si>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</si>
  <si>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</si>
  <si>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</si>
  <si>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</si>
  <si>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</si>
  <si>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</si>
  <si>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</si>
  <si>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</si>
  <si>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</si>
  <si>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</si>
  <si>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</si>
  <si>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</si>
  <si>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</si>
  <si>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</si>
  <si>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</si>
  <si>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</si>
  <si>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</si>
  <si>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</si>
  <si>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</si>
  <si>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</si>
  <si>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</si>
  <si>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</si>
  <si>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</si>
  <si>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</si>
  <si>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</si>
  <si>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</si>
  <si>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</si>
  <si>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</si>
  <si>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</si>
  <si>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</si>
  <si>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</si>
  <si>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</si>
  <si>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</si>
  <si>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</si>
  <si>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</si>
  <si>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</si>
  <si>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</si>
  <si>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</si>
  <si>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</si>
  <si>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</si>
  <si>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</si>
  <si>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</si>
  <si>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</si>
  <si>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</si>
  <si>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</si>
  <si>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</si>
  <si>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</si>
  <si>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</si>
  <si>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</si>
  <si>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</si>
  <si>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</si>
  <si>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</si>
  <si>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</si>
  <si>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</si>
  <si>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</si>
  <si>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</si>
  <si>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</si>
  <si>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</si>
  <si>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</si>
  <si>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</si>
  <si>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</si>
  <si>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</si>
  <si>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</si>
  <si>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</si>
  <si>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</si>
  <si>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</si>
  <si>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</si>
  <si>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</si>
  <si>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</si>
  <si>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</si>
  <si>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</si>
  <si>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</si>
  <si>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</si>
  <si>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</si>
  <si>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</si>
  <si>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</si>
  <si>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</si>
  <si>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</si>
  <si>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</si>
  <si>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</si>
  <si>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</si>
  <si>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</si>
  <si>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</si>
  <si>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</si>
  <si>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</si>
  <si>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</si>
  <si>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</si>
  <si>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</si>
  <si>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</si>
  <si>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</si>
  <si>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</si>
  <si>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</si>
  <si>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</si>
  <si>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</si>
  <si>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</si>
  <si>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</si>
  <si>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</si>
  <si>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</si>
  <si>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</si>
  <si>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</si>
  <si>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</si>
  <si>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</si>
  <si>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</si>
  <si>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</si>
  <si>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</si>
  <si>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</si>
  <si>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</si>
  <si>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</si>
  <si>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</si>
  <si>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</si>
  <si>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</si>
  <si>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</si>
  <si>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</si>
  <si>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</si>
  <si>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</si>
  <si>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</si>
  <si>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</si>
  <si>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</si>
  <si>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</si>
  <si>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</si>
  <si>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</si>
  <si>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</si>
  <si>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</si>
  <si>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</si>
  <si>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</si>
  <si>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</si>
  <si>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</si>
  <si>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</si>
  <si>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</si>
  <si>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</si>
  <si>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</si>
  <si>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</si>
  <si>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</si>
  <si>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</si>
  <si>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</si>
  <si>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</si>
  <si>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</si>
  <si>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</si>
  <si>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</si>
  <si>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</si>
  <si>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</si>
  <si>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</si>
  <si>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</si>
  <si>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</si>
  <si>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</si>
  <si>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</si>
  <si>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</si>
  <si>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</si>
  <si>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</si>
  <si>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</si>
  <si>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</si>
  <si>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</si>
  <si>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</si>
  <si>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</si>
  <si>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</si>
  <si>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</si>
  <si>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</si>
  <si>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</si>
  <si>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</si>
  <si>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</si>
  <si>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</si>
  <si>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</si>
  <si>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</si>
  <si>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</si>
  <si>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</si>
  <si>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</si>
  <si>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</si>
  <si>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</si>
  <si>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</si>
  <si>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</si>
  <si>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</si>
  <si>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</si>
  <si>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</si>
  <si>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</si>
  <si>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</si>
  <si>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</si>
  <si>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</si>
  <si>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</si>
  <si>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</si>
  <si>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</si>
  <si>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</si>
  <si>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</si>
  <si>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</si>
  <si>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</si>
  <si>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</si>
  <si>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</si>
  <si>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</si>
  <si>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</si>
  <si>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</si>
  <si>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</si>
  <si>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</si>
  <si>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</si>
  <si>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</si>
  <si>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</si>
  <si>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</si>
  <si>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</si>
  <si>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</si>
  <si>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</si>
  <si>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</si>
  <si>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</si>
  <si>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</si>
  <si>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</si>
  <si>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</si>
  <si>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</si>
  <si>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</si>
  <si>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</si>
  <si>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</si>
  <si>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</si>
  <si>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</si>
  <si>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</si>
  <si>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</si>
  <si>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</si>
  <si>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</si>
  <si>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</si>
  <si>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</si>
  <si>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</si>
  <si>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</si>
  <si>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</si>
  <si>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</si>
  <si>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</si>
  <si>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</si>
  <si>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</si>
  <si>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</si>
  <si>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</si>
  <si>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</si>
  <si>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</si>
  <si>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</si>
  <si>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</si>
  <si>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</si>
  <si>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</si>
  <si>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</si>
  <si>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</si>
  <si>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</si>
  <si>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</si>
  <si>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</si>
  <si>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</si>
  <si>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</si>
  <si>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</si>
  <si>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</si>
  <si>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</si>
  <si>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</si>
  <si>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</si>
  <si>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</si>
  <si>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</si>
  <si>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</si>
  <si>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</si>
  <si>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</si>
  <si>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</si>
  <si>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</si>
  <si>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</si>
  <si>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</si>
  <si>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</si>
  <si>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</si>
  <si>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</si>
  <si>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</si>
  <si>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</si>
  <si>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</si>
  <si>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</si>
  <si>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</si>
  <si>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</si>
  <si>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</si>
  <si>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</si>
  <si>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</si>
  <si>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</si>
  <si>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</si>
  <si>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</si>
  <si>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</si>
  <si>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</si>
  <si>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</si>
  <si>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</si>
  <si>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</si>
  <si>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</si>
  <si>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</si>
  <si>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</si>
  <si>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</si>
  <si>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</si>
  <si>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</si>
  <si>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</si>
  <si>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</si>
  <si>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</si>
  <si>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</si>
  <si>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</si>
  <si>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</si>
  <si>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</si>
  <si>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</si>
  <si>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</si>
  <si>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</si>
  <si>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</si>
  <si>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</si>
  <si>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</si>
  <si>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</si>
  <si>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</si>
  <si>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</si>
  <si>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</si>
  <si>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</si>
  <si>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</si>
  <si>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</si>
  <si>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</si>
  <si>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</si>
  <si>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</si>
  <si>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</si>
  <si>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</si>
  <si>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</si>
  <si>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</si>
  <si>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</si>
  <si>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</si>
  <si>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</si>
  <si>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</si>
  <si>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</si>
  <si>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</si>
  <si>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</si>
  <si>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</si>
  <si>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</si>
  <si>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</si>
  <si>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</si>
  <si>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</si>
  <si>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</si>
  <si>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</si>
  <si>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</si>
  <si>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</si>
  <si>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</si>
  <si>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</si>
  <si>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</si>
  <si>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</si>
  <si>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</si>
  <si>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</si>
  <si>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</si>
  <si>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</si>
  <si>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</si>
  <si>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</si>
  <si>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</si>
  <si>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</si>
  <si>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</si>
  <si>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</si>
  <si>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</si>
  <si>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</si>
  <si>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</si>
  <si>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</si>
  <si>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</si>
  <si>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</si>
  <si>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</si>
  <si>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</si>
  <si>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</si>
  <si>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</si>
  <si>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</si>
  <si>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</si>
  <si>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</si>
  <si>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</si>
  <si>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</si>
  <si>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</si>
  <si>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</si>
  <si>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</si>
  <si>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</si>
  <si>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</si>
  <si>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</si>
  <si>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</si>
  <si>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</si>
  <si>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</si>
  <si>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</si>
  <si>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</si>
  <si>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</si>
  <si>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</si>
  <si>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</si>
  <si>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</si>
  <si>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</si>
  <si>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</si>
  <si>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</si>
  <si>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</si>
  <si>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</si>
  <si>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</si>
  <si>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</si>
  <si>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</si>
  <si>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</si>
  <si>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</si>
  <si>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</si>
  <si>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</si>
  <si>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</si>
  <si>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</si>
  <si>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</si>
  <si>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</si>
  <si>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</si>
  <si>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</si>
  <si>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</si>
  <si>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</si>
  <si>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</si>
  <si>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</si>
  <si>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</si>
  <si>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</si>
  <si>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</si>
  <si>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</si>
  <si>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</si>
  <si>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</si>
  <si>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</si>
  <si>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</si>
  <si>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</si>
  <si>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</si>
  <si>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</si>
  <si>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</si>
  <si>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</si>
  <si>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</si>
  <si>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</si>
  <si>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</si>
  <si>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</si>
  <si>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</si>
  <si>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</si>
  <si>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</si>
  <si>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</si>
  <si>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</si>
  <si>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</si>
  <si>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</si>
  <si>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</si>
  <si>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</si>
  <si>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</si>
  <si>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</si>
  <si>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</si>
  <si>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</si>
  <si>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</si>
  <si>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</si>
  <si>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</si>
  <si>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</si>
  <si>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</si>
  <si>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</si>
  <si>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</si>
  <si>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</si>
  <si>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</si>
  <si>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</si>
  <si>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</si>
  <si>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</si>
  <si>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</si>
  <si>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</si>
  <si>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</si>
  <si>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</si>
  <si>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</si>
  <si>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</si>
  <si>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</si>
  <si>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</si>
  <si>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</si>
  <si>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</si>
  <si>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</si>
  <si>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</si>
  <si>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</si>
  <si>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</si>
  <si>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</si>
  <si>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</si>
  <si>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</si>
  <si>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</si>
  <si>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</si>
  <si>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</si>
  <si>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</si>
  <si>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</si>
  <si>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</si>
  <si>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</si>
  <si>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</si>
  <si>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</si>
  <si>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</si>
  <si>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</si>
  <si>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</si>
  <si>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</si>
  <si>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</si>
  <si>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</si>
  <si>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</si>
  <si>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</si>
  <si>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</si>
  <si>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</si>
  <si>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</si>
  <si>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</si>
  <si>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</si>
  <si>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</si>
  <si>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</si>
  <si>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</si>
  <si>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</si>
  <si>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</si>
  <si>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</si>
  <si>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</si>
  <si>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</si>
  <si>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</si>
  <si>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</si>
  <si>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</si>
  <si>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</si>
  <si>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</si>
  <si>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</si>
  <si>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</si>
  <si>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</si>
  <si>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</si>
  <si>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</si>
  <si>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</si>
  <si>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</si>
  <si>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</si>
  <si>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</si>
  <si>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</si>
  <si>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</si>
  <si>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</si>
  <si>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</si>
  <si>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</si>
  <si>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</si>
  <si>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</si>
  <si>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</si>
  <si>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</si>
  <si>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</si>
  <si>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</si>
  <si>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</si>
  <si>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</si>
  <si>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</si>
  <si>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</si>
  <si>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</si>
  <si>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</si>
  <si>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</si>
  <si>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</si>
  <si>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</si>
  <si>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</si>
  <si>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</si>
  <si>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</si>
  <si>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</si>
  <si>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</si>
  <si>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</si>
  <si>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</si>
  <si>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</si>
  <si>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</si>
  <si>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</si>
  <si>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</si>
  <si>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</si>
  <si>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</si>
  <si>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</si>
  <si>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</si>
  <si>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</si>
  <si>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</si>
  <si>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</si>
  <si>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</si>
  <si>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</si>
  <si>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</si>
  <si>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</si>
  <si>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</si>
  <si>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</si>
  <si>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</si>
  <si>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</si>
  <si>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</si>
  <si>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</si>
  <si>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</si>
  <si>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</si>
  <si>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</si>
  <si>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</si>
  <si>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</si>
  <si>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</si>
  <si>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</si>
  <si>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</si>
  <si>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</si>
  <si>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</si>
  <si>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</si>
  <si>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</si>
  <si>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</si>
  <si>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</si>
  <si>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</si>
  <si>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</si>
  <si>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</si>
  <si>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</si>
  <si>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</si>
  <si>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</si>
  <si>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</si>
  <si>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</si>
  <si>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</si>
  <si>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</si>
  <si>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</si>
  <si>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</si>
  <si>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</si>
  <si>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</si>
  <si>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</si>
  <si>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</si>
  <si>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</si>
  <si>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</si>
  <si>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</si>
  <si>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</si>
  <si>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</si>
  <si>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</si>
  <si>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</si>
  <si>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</si>
  <si>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</si>
  <si>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</si>
  <si>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</si>
  <si>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</si>
  <si>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</si>
  <si>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</si>
  <si>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</si>
  <si>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</si>
  <si>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</si>
  <si>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</si>
  <si>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</si>
  <si>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</si>
  <si>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</si>
  <si>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</si>
  <si>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</si>
  <si>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</si>
  <si>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</si>
  <si>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</si>
  <si>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</si>
  <si>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</si>
  <si>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</si>
  <si>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</si>
  <si>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</si>
  <si>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</si>
  <si>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</si>
  <si>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</si>
  <si>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</si>
  <si>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</si>
  <si>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</si>
  <si>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</si>
  <si>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</si>
  <si>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</si>
  <si>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</si>
  <si>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</si>
  <si>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</si>
  <si>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</si>
  <si>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</si>
  <si>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</si>
  <si>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</si>
  <si>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</si>
  <si>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</si>
  <si>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</si>
  <si>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</si>
  <si>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</si>
  <si>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</si>
  <si>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</si>
  <si>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</si>
  <si>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</si>
  <si>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</si>
  <si>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</si>
  <si>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</si>
  <si>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</si>
  <si>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</si>
  <si>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</si>
  <si>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</si>
  <si>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</si>
  <si>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</si>
  <si>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</si>
  <si>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</si>
  <si>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</si>
  <si>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</si>
  <si>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</si>
  <si>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</si>
  <si>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</si>
  <si>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</si>
  <si>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</si>
  <si>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</si>
  <si>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</si>
  <si>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</si>
  <si>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</si>
  <si>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</si>
  <si>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</si>
  <si>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</si>
  <si>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</si>
  <si>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</si>
  <si>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</si>
  <si>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</si>
  <si>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</si>
  <si>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</si>
  <si>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</si>
  <si>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</si>
  <si>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</si>
  <si>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</si>
  <si>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</si>
  <si>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</si>
  <si>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</si>
  <si>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</si>
  <si>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</si>
  <si>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</si>
  <si>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</si>
  <si>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</si>
  <si>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</si>
  <si>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</si>
  <si>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</si>
  <si>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</si>
  <si>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</si>
  <si>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</si>
  <si>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</si>
  <si>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</si>
  <si>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</si>
  <si>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</si>
  <si>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</si>
  <si>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</si>
  <si>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</si>
  <si>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</si>
  <si>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</si>
  <si>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</si>
  <si>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</si>
  <si>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</si>
  <si>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</si>
  <si>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</si>
  <si>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</si>
  <si>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</si>
  <si>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</si>
  <si>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</si>
  <si>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</si>
  <si>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</si>
  <si>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</si>
  <si>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</si>
  <si>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</si>
  <si>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</si>
  <si>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</si>
  <si>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</si>
  <si>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</si>
  <si>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</si>
  <si>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</si>
  <si>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</si>
  <si>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</si>
  <si>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</si>
  <si>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</si>
  <si>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</si>
  <si>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</si>
  <si>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</si>
  <si>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</si>
  <si>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</si>
  <si>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</si>
  <si>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</si>
  <si>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</si>
  <si>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</si>
  <si>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</si>
  <si>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</si>
  <si>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</si>
  <si>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</si>
  <si>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</si>
  <si>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</si>
  <si>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</si>
  <si>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</si>
  <si>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</si>
  <si>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</si>
  <si>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</si>
  <si>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</si>
  <si>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</si>
  <si>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</si>
  <si>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</si>
  <si>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</si>
  <si>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</si>
  <si>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</si>
  <si>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</si>
  <si>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</si>
  <si>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</si>
  <si>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</si>
  <si>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</si>
  <si>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</si>
  <si>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</si>
  <si>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</si>
  <si>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</si>
  <si>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</si>
  <si>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</si>
  <si>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>F88C8130</t>
  </si>
  <si>
    <t>1FE65B8F</t>
  </si>
  <si>
    <t>F78C76CB</t>
  </si>
  <si>
    <t>FBD9088B</t>
  </si>
  <si>
    <t>F7CBA5E7</t>
  </si>
  <si>
    <t>FCA5B5BB</t>
  </si>
  <si>
    <t>E88E0EED</t>
  </si>
  <si>
    <t>E473A5E0</t>
  </si>
  <si>
    <t>F1C44AF1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</si>
  <si>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</si>
  <si>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</si>
  <si>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</si>
  <si>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</si>
  <si>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</si>
  <si>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</si>
  <si>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</si>
  <si>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</si>
  <si>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</si>
  <si>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</si>
  <si>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FC50D808</t>
  </si>
  <si>
    <t>FE78B4FE</t>
  </si>
  <si>
    <t>17B20AEA</t>
  </si>
  <si>
    <t>E4768AE3</t>
  </si>
  <si>
    <t>FE278F48</t>
  </si>
  <si>
    <t>142F20E7</t>
  </si>
  <si>
    <t>E84045FD</t>
  </si>
  <si>
    <t>ECDA26D5</t>
  </si>
  <si>
    <t>E446EA18</t>
  </si>
  <si>
    <t>E0293EB3</t>
  </si>
  <si>
    <t>E1498377</t>
  </si>
  <si>
    <t>F363097C</t>
  </si>
  <si>
    <t>FE3938B9</t>
  </si>
  <si>
    <t>F7CE57E0</t>
  </si>
  <si>
    <t>189D9F8E</t>
  </si>
  <si>
    <t>EF602072</t>
  </si>
  <si>
    <t>FD81139D</t>
  </si>
  <si>
    <t>18C310C1</t>
  </si>
  <si>
    <t>EA7BE941</t>
  </si>
  <si>
    <t>FE62AF8A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</si>
  <si>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</si>
  <si>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</si>
  <si>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</si>
  <si>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</si>
  <si>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</si>
  <si>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</si>
  <si>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</si>
  <si>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</si>
  <si>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</si>
  <si>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</si>
  <si>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</si>
  <si>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</si>
  <si>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</si>
  <si>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</si>
  <si>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</si>
  <si>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</si>
  <si>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</si>
  <si>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</si>
  <si>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</si>
  <si>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1D8035C9</t>
  </si>
  <si>
    <t>1D340B7F</t>
  </si>
  <si>
    <t>1E349F24</t>
  </si>
  <si>
    <t>10158215</t>
  </si>
  <si>
    <t>E06F192F</t>
  </si>
  <si>
    <t>17A5C753</t>
  </si>
  <si>
    <t>FF98CD86</t>
  </si>
  <si>
    <t>EC930CB9</t>
  </si>
  <si>
    <t>1052D4C8</t>
  </si>
  <si>
    <t>EF486AD0</t>
  </si>
  <si>
    <t>E2508830</t>
  </si>
  <si>
    <t>1BC84756</t>
  </si>
  <si>
    <t>EBA86E70</t>
  </si>
  <si>
    <t>E7F690AB</t>
  </si>
  <si>
    <t>180C619F</t>
  </si>
  <si>
    <t>F3F850A7</t>
  </si>
  <si>
    <t>E4641850</t>
  </si>
  <si>
    <t>E43A2945</t>
  </si>
  <si>
    <t>1B55179D</t>
  </si>
  <si>
    <t>FDC2EA45</t>
  </si>
  <si>
    <t>E493686D</t>
  </si>
  <si>
    <t>13F4CDF2</t>
  </si>
  <si>
    <t>E16E36C8</t>
  </si>
  <si>
    <t>EB0DDFBE</t>
  </si>
  <si>
    <t>F94AE26E</t>
  </si>
  <si>
    <t>F1CD9BBA</t>
  </si>
  <si>
    <t>10E212B9</t>
  </si>
  <si>
    <t>FBB67274</t>
  </si>
  <si>
    <t>F52A5DBD</t>
  </si>
  <si>
    <t>13396692</t>
  </si>
  <si>
    <t>1DE5120A</t>
  </si>
  <si>
    <t>1CC72865</t>
  </si>
  <si>
    <t>1032D653</t>
  </si>
  <si>
    <t>EE980806</t>
  </si>
  <si>
    <t>E25BD168</t>
  </si>
  <si>
    <t>192B07FA</t>
  </si>
  <si>
    <t>1DDC1C6B</t>
  </si>
  <si>
    <t>F0B09532</t>
  </si>
  <si>
    <t>FEF1C2F9</t>
  </si>
  <si>
    <t>1E26A588</t>
  </si>
  <si>
    <t>19D3627B</t>
  </si>
  <si>
    <t>E735EAD4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</si>
  <si>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</si>
  <si>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</si>
  <si>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</si>
  <si>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</si>
  <si>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</si>
  <si>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</si>
  <si>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</si>
  <si>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</si>
  <si>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</si>
  <si>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</si>
  <si>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</si>
  <si>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</si>
  <si>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1F750BA5</t>
  </si>
  <si>
    <t>EEFFDD3E</t>
  </si>
  <si>
    <t>ED4BEDA1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</si>
  <si>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</si>
  <si>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</si>
  <si>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</si>
  <si>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</si>
  <si>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</si>
  <si>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</si>
  <si>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</si>
  <si>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</si>
  <si>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1E8040A6</t>
  </si>
  <si>
    <t>1F4FE4D2</t>
  </si>
  <si>
    <t>E95D3A1C</t>
  </si>
  <si>
    <t>F243A912</t>
  </si>
  <si>
    <t>E713EA4B</t>
  </si>
  <si>
    <t>F76DCD2D</t>
  </si>
  <si>
    <t>EF80BDB5</t>
  </si>
  <si>
    <t>E34C0751</t>
  </si>
  <si>
    <t>130327C7</t>
  </si>
  <si>
    <t>18206C63</t>
  </si>
  <si>
    <t>130D8BE5</t>
  </si>
  <si>
    <t>1F3D4789</t>
  </si>
  <si>
    <t>F99251A8</t>
  </si>
  <si>
    <t>EA7F0D49</t>
  </si>
  <si>
    <t>EE092CE0</t>
  </si>
  <si>
    <t>173FF282</t>
  </si>
  <si>
    <t>15C9995F</t>
  </si>
  <si>
    <t>1ACDBE6D</t>
  </si>
  <si>
    <t>1A6BFE8F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</si>
  <si>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</si>
  <si>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</si>
  <si>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</si>
  <si>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</si>
  <si>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</si>
  <si>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</si>
  <si>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</si>
  <si>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</si>
  <si>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</si>
  <si>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</si>
  <si>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</si>
  <si>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</si>
  <si>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</si>
  <si>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</si>
  <si>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</si>
  <si>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</si>
  <si>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</si>
  <si>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FCC5925D</t>
  </si>
  <si>
    <t>E74F0980</t>
  </si>
  <si>
    <t>FBB78DE7</t>
  </si>
  <si>
    <t>E9E10146</t>
  </si>
  <si>
    <t>16231F9B</t>
  </si>
  <si>
    <t>FBA9937B</t>
  </si>
  <si>
    <t>F6247EAC</t>
  </si>
  <si>
    <t>FB28EBF7</t>
  </si>
  <si>
    <t>12C575A6</t>
  </si>
  <si>
    <t>F31BD4D9</t>
  </si>
  <si>
    <t>1A91EDA9</t>
  </si>
  <si>
    <t>188A8657</t>
  </si>
  <si>
    <t>FFDC9E1A</t>
  </si>
  <si>
    <t>148CA21C</t>
  </si>
  <si>
    <t>1C3A91D5</t>
  </si>
  <si>
    <t>10004BE1</t>
  </si>
  <si>
    <t>F995B793</t>
  </si>
  <si>
    <t>F200F477</t>
  </si>
  <si>
    <t>FCB9E189</t>
  </si>
  <si>
    <t>1C6763AE</t>
  </si>
  <si>
    <t>141A042A</t>
  </si>
  <si>
    <t>F942FE20</t>
  </si>
  <si>
    <t>E0C1852D</t>
  </si>
  <si>
    <t>F47B49B6</t>
  </si>
  <si>
    <t>F1381B24</t>
  </si>
  <si>
    <t>FF98AB3D</t>
  </si>
  <si>
    <t>F9688799</t>
  </si>
  <si>
    <t>E8F08B46</t>
  </si>
  <si>
    <t>148365C1</t>
  </si>
  <si>
    <t>F589EC94</t>
  </si>
  <si>
    <t>E4C3B7CA</t>
  </si>
  <si>
    <t>1CE79317</t>
  </si>
  <si>
    <t>F71FC485</t>
  </si>
  <si>
    <t>FB3BC7FC</t>
  </si>
  <si>
    <t>159EDAA5</t>
  </si>
  <si>
    <t>1157D2C5</t>
  </si>
  <si>
    <t>F3197F98</t>
  </si>
  <si>
    <t>17CB52BB</t>
  </si>
  <si>
    <t>EC1EF570</t>
  </si>
  <si>
    <t>140A002F</t>
  </si>
  <si>
    <t>FC1FA128</t>
  </si>
  <si>
    <t>E0C2611A</t>
  </si>
  <si>
    <t>F0230E83</t>
  </si>
  <si>
    <t>109AD0C1</t>
  </si>
  <si>
    <t>FDCF01ED</t>
  </si>
  <si>
    <t>E337A45F</t>
  </si>
  <si>
    <t>EA6FDF40</t>
  </si>
  <si>
    <t>1429A827</t>
  </si>
  <si>
    <t>105F1E76</t>
  </si>
  <si>
    <t>FA29C18C</t>
  </si>
  <si>
    <t>1952D8F6</t>
  </si>
  <si>
    <t>1CB4D25C</t>
  </si>
  <si>
    <t>E230E0F3</t>
  </si>
  <si>
    <t>F95AB071</t>
  </si>
  <si>
    <t>18B1A374</t>
  </si>
  <si>
    <t>1155AC24</t>
  </si>
  <si>
    <t>E86A9D70</t>
  </si>
  <si>
    <t>15BC3623</t>
  </si>
  <si>
    <t>E4A51048</t>
  </si>
  <si>
    <t>FB774CD1</t>
  </si>
  <si>
    <t>F7EB511C</t>
  </si>
  <si>
    <t>FD8F11B1</t>
  </si>
  <si>
    <t>E21FDB39</t>
  </si>
  <si>
    <t>FB1DE9FF</t>
  </si>
  <si>
    <t>E46334EC</t>
  </si>
  <si>
    <t>E1C58773</t>
  </si>
  <si>
    <t>FA9306D7</t>
  </si>
  <si>
    <t>E219714C</t>
  </si>
  <si>
    <t>F6C9EBC9</t>
  </si>
  <si>
    <t>1C207D59</t>
  </si>
  <si>
    <t>1397F5A9</t>
  </si>
  <si>
    <t>F1A65366</t>
  </si>
  <si>
    <t>F45B6DB6</t>
  </si>
  <si>
    <t>FD59672F</t>
  </si>
  <si>
    <t>EF92EEED</t>
  </si>
  <si>
    <t>DC</t>
  </si>
  <si>
    <t/>
  </si>
  <si>
    <t>AC</t>
  </si>
  <si>
    <t>B6B754F</t>
  </si>
  <si>
    <t>C5D6C33</t>
  </si>
  <si>
    <t>566E630</t>
  </si>
  <si>
    <t>F9FA8E0</t>
  </si>
  <si>
    <t>9368542</t>
  </si>
  <si>
    <t>C69C872</t>
  </si>
  <si>
    <t>2F05681</t>
  </si>
  <si>
    <t>E5D9F18</t>
  </si>
  <si>
    <t>150BB49</t>
  </si>
  <si>
    <t>9220A67</t>
  </si>
  <si>
    <t>D0CC6E6</t>
  </si>
  <si>
    <t>3EA2033</t>
  </si>
  <si>
    <t>7C4409</t>
  </si>
  <si>
    <t>6406486</t>
  </si>
  <si>
    <t>63188D3</t>
  </si>
  <si>
    <t>8648EBB</t>
  </si>
  <si>
    <t>7FC5B69</t>
  </si>
  <si>
    <t>58F7469</t>
  </si>
  <si>
    <t>7D8F82D</t>
  </si>
  <si>
    <t>B7FB4C6</t>
  </si>
  <si>
    <t>E68DF04</t>
  </si>
  <si>
    <t>48F665D</t>
  </si>
  <si>
    <t>B45DFB7</t>
  </si>
  <si>
    <t>6338AEC</t>
  </si>
  <si>
    <t>279AD99</t>
  </si>
  <si>
    <t>3467397</t>
  </si>
  <si>
    <t>3F5691B</t>
  </si>
  <si>
    <t>2AA8E1F</t>
  </si>
  <si>
    <t>36378D3</t>
  </si>
  <si>
    <t>6A95B49</t>
  </si>
  <si>
    <t>1C9AAFE</t>
  </si>
  <si>
    <t>851AD7F</t>
  </si>
  <si>
    <t>79A5E92</t>
  </si>
  <si>
    <t>832A7D6</t>
  </si>
  <si>
    <t>50D42A3</t>
  </si>
  <si>
    <t>94D21F</t>
  </si>
  <si>
    <t>A253F9F</t>
  </si>
  <si>
    <t>80830B9</t>
  </si>
  <si>
    <t>85AA974</t>
  </si>
  <si>
    <t>BA6190B</t>
  </si>
  <si>
    <t>794B89</t>
  </si>
  <si>
    <t>94B1F43</t>
  </si>
  <si>
    <t>7866C63</t>
  </si>
  <si>
    <t>FA551EE</t>
  </si>
  <si>
    <t>C307BBF</t>
  </si>
  <si>
    <t>1C8C6A1</t>
  </si>
  <si>
    <t>40BD3C5</t>
  </si>
  <si>
    <t>34FE9E4</t>
  </si>
  <si>
    <t>5BC295D</t>
  </si>
  <si>
    <t>E2F06E4</t>
  </si>
  <si>
    <t>628EDC8</t>
  </si>
  <si>
    <t>E0023C0</t>
  </si>
  <si>
    <t>72CF137</t>
  </si>
  <si>
    <t>D8E00E9</t>
  </si>
  <si>
    <t>F497CD9</t>
  </si>
  <si>
    <t>AD9988C</t>
  </si>
  <si>
    <t>2D3B7AB</t>
  </si>
  <si>
    <t>D3AC1DB</t>
  </si>
  <si>
    <t>CA41FF6</t>
  </si>
  <si>
    <t>6D1819</t>
  </si>
  <si>
    <t>F293871</t>
  </si>
  <si>
    <t>5E544C2</t>
  </si>
  <si>
    <t>7311038</t>
  </si>
  <si>
    <t>9C0BED8</t>
  </si>
  <si>
    <t>B3C0572</t>
  </si>
  <si>
    <t>D20D880</t>
  </si>
  <si>
    <t>8EC6E0A</t>
  </si>
  <si>
    <t>E3509DA</t>
  </si>
  <si>
    <t>8773603</t>
  </si>
  <si>
    <t>6D43019</t>
  </si>
  <si>
    <t>DD0C0E8</t>
  </si>
  <si>
    <t>D0F1C1A</t>
  </si>
  <si>
    <t>35DF2B2</t>
  </si>
  <si>
    <t>5243C2B</t>
  </si>
  <si>
    <t>733B661</t>
  </si>
  <si>
    <t>E5E39E5</t>
  </si>
  <si>
    <t>E05765D</t>
  </si>
  <si>
    <t>E889F69</t>
  </si>
  <si>
    <t>B5AE692</t>
  </si>
  <si>
    <t>DF0F67C</t>
  </si>
  <si>
    <t>BAF6A66</t>
  </si>
  <si>
    <t>54007F</t>
  </si>
  <si>
    <t>8773192</t>
  </si>
  <si>
    <t>1AA6AD9</t>
  </si>
  <si>
    <t>4B403D8</t>
  </si>
  <si>
    <t>6339E8F</t>
  </si>
  <si>
    <t>1B55B56</t>
  </si>
  <si>
    <t>ED06111</t>
  </si>
  <si>
    <t>651FC2C</t>
  </si>
  <si>
    <t>F565BBE</t>
  </si>
  <si>
    <t>FB6AA54</t>
  </si>
  <si>
    <t>5D6539E</t>
  </si>
  <si>
    <t>4B978A1</t>
  </si>
  <si>
    <t>129FC70</t>
  </si>
  <si>
    <t>75377F0</t>
  </si>
  <si>
    <t>FBED151</t>
  </si>
  <si>
    <t>F19B4E5</t>
  </si>
  <si>
    <t>E7C3E7C</t>
  </si>
  <si>
    <t>B3E4F9F</t>
  </si>
  <si>
    <t>9CED0D0</t>
  </si>
  <si>
    <t>7CEF34B</t>
  </si>
  <si>
    <t>BF5C424</t>
  </si>
  <si>
    <t>E607E63</t>
  </si>
  <si>
    <t>D1EFDAF</t>
  </si>
  <si>
    <t>FBF4201</t>
  </si>
  <si>
    <t>BC26D0B</t>
  </si>
  <si>
    <t>C6DEF45</t>
  </si>
  <si>
    <t>4343560</t>
  </si>
  <si>
    <t>2CE512E</t>
  </si>
  <si>
    <t>C1A6D3D</t>
  </si>
  <si>
    <t>7DAE44</t>
  </si>
  <si>
    <t>9D0AF44</t>
  </si>
  <si>
    <t>E5F0A14</t>
  </si>
  <si>
    <t>A6C32C1</t>
  </si>
  <si>
    <t>49634A8</t>
  </si>
  <si>
    <t>78F7B9D</t>
  </si>
  <si>
    <t>3AED9A6</t>
  </si>
  <si>
    <t>A15A0CE</t>
  </si>
  <si>
    <t>FDD4AEE</t>
  </si>
  <si>
    <t>CEE1FF0</t>
  </si>
  <si>
    <t>84CAECD</t>
  </si>
  <si>
    <t>A2AAC25</t>
  </si>
  <si>
    <t>23C6F4E</t>
  </si>
  <si>
    <t>816AAE6</t>
  </si>
  <si>
    <t>AE64B3B</t>
  </si>
  <si>
    <t>FF4D08F</t>
  </si>
  <si>
    <t>31315EB</t>
  </si>
  <si>
    <t>EDE6E78</t>
  </si>
  <si>
    <t>459A6CB</t>
  </si>
  <si>
    <t>E517A44</t>
  </si>
  <si>
    <t>AA8D39B</t>
  </si>
  <si>
    <t>BAFFC6F</t>
  </si>
  <si>
    <t>2ED18AB</t>
  </si>
  <si>
    <t>3DA3D38</t>
  </si>
  <si>
    <t>27466CF</t>
  </si>
  <si>
    <t>485391F</t>
  </si>
  <si>
    <t>6519DCA</t>
  </si>
  <si>
    <t>5E00581</t>
  </si>
  <si>
    <t>73503F7</t>
  </si>
  <si>
    <t>5DAEAB3</t>
  </si>
  <si>
    <t>45FBB83</t>
  </si>
  <si>
    <t>673C09</t>
  </si>
  <si>
    <t>AFF8CB6</t>
  </si>
  <si>
    <t>F3DFAEF</t>
  </si>
  <si>
    <t>F8253FF</t>
  </si>
  <si>
    <t>7D1B861</t>
  </si>
  <si>
    <t>9EAA752</t>
  </si>
  <si>
    <t>859AE29</t>
  </si>
  <si>
    <t>54A2E8A</t>
  </si>
  <si>
    <t>97A58EB</t>
  </si>
  <si>
    <t>FB84161</t>
  </si>
  <si>
    <t>952C21B</t>
  </si>
  <si>
    <t>D6282D9</t>
  </si>
  <si>
    <t>16C78C0</t>
  </si>
  <si>
    <t>ED75CB</t>
  </si>
  <si>
    <t>1B65609</t>
  </si>
  <si>
    <t>42F0931</t>
  </si>
  <si>
    <t>FA003E1</t>
  </si>
  <si>
    <t>1207D0A</t>
  </si>
  <si>
    <t>E9AFFF4</t>
  </si>
  <si>
    <t>19355A4</t>
  </si>
  <si>
    <t>78B2EB4</t>
  </si>
  <si>
    <t>4EC9F29</t>
  </si>
  <si>
    <t>DD55B49</t>
  </si>
  <si>
    <t>1E0D428</t>
  </si>
  <si>
    <t>B5EA3A7</t>
  </si>
  <si>
    <t>34BB2F4</t>
  </si>
  <si>
    <t>75E017E</t>
  </si>
  <si>
    <t>BD01D70</t>
  </si>
  <si>
    <t>98F33C9</t>
  </si>
  <si>
    <t>BF4A479</t>
  </si>
  <si>
    <t>6417A10</t>
  </si>
  <si>
    <t>A717692</t>
  </si>
  <si>
    <t>D7EBFE4</t>
  </si>
  <si>
    <t>9D9A0EC</t>
  </si>
  <si>
    <t>A6CCB88</t>
  </si>
  <si>
    <t>45DB2A0</t>
  </si>
  <si>
    <t>71EAF5D</t>
  </si>
  <si>
    <t>4D74E07</t>
  </si>
  <si>
    <t>AE18500</t>
  </si>
  <si>
    <t>2E8C16B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</si>
  <si>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</si>
  <si>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</si>
  <si>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</si>
  <si>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</si>
  <si>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</si>
  <si>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</si>
  <si>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</si>
  <si>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</si>
  <si>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</si>
  <si>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</si>
  <si>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</si>
  <si>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8F45708</t>
  </si>
  <si>
    <t>4E556B5</t>
  </si>
  <si>
    <t>93129D</t>
  </si>
  <si>
    <t>DD04E0E</t>
  </si>
  <si>
    <t>65102D4</t>
  </si>
  <si>
    <t>7AEEF16</t>
  </si>
  <si>
    <t>36E846C</t>
  </si>
  <si>
    <t>457162</t>
  </si>
  <si>
    <t>FD22369</t>
  </si>
  <si>
    <t>E708499</t>
  </si>
  <si>
    <t>3B382F9</t>
  </si>
  <si>
    <t>7EE3C15</t>
  </si>
  <si>
    <t>92C9CE3</t>
  </si>
  <si>
    <t>EF945920</t>
  </si>
  <si>
    <t>E12BA03</t>
  </si>
  <si>
    <t>EC04BFA</t>
  </si>
  <si>
    <t>45CCEF6</t>
  </si>
  <si>
    <t>1D54BBD</t>
  </si>
  <si>
    <t>DCE9902</t>
  </si>
  <si>
    <t>CF44B99</t>
  </si>
  <si>
    <t>44B2B69</t>
  </si>
  <si>
    <t>912D622</t>
  </si>
  <si>
    <t>5F134AE</t>
  </si>
  <si>
    <t>D96AB59</t>
  </si>
  <si>
    <t>797A447</t>
  </si>
  <si>
    <t>7BE7048</t>
  </si>
  <si>
    <t>95DC1BC</t>
  </si>
  <si>
    <t>AB638D5</t>
  </si>
  <si>
    <t>74A98F4</t>
  </si>
  <si>
    <t>F7A2548</t>
  </si>
  <si>
    <t>37C7352</t>
  </si>
  <si>
    <t>6D40974</t>
  </si>
  <si>
    <t>CB5370C</t>
  </si>
  <si>
    <t>5A72F0F</t>
  </si>
  <si>
    <t>7C2443E</t>
  </si>
  <si>
    <t>93A4BA5</t>
  </si>
  <si>
    <t>FF4B4DC</t>
  </si>
  <si>
    <t>B20D30B</t>
  </si>
  <si>
    <t>EA1BD13</t>
  </si>
  <si>
    <t>2AB197</t>
  </si>
  <si>
    <t>14A637</t>
  </si>
  <si>
    <t>65C9C3D</t>
  </si>
  <si>
    <t>66EF00B</t>
  </si>
  <si>
    <t>B3D417C</t>
  </si>
  <si>
    <t>3FCF48A</t>
  </si>
  <si>
    <t>69DEB2E</t>
  </si>
  <si>
    <t>E31BAA6</t>
  </si>
  <si>
    <t>5D6D69D</t>
  </si>
  <si>
    <t>AD6E287</t>
  </si>
  <si>
    <t>E068C4E</t>
  </si>
  <si>
    <t>C483A7E</t>
  </si>
  <si>
    <t>63FC0E7</t>
  </si>
  <si>
    <t>48940AA</t>
  </si>
  <si>
    <t>BEDC03D</t>
  </si>
  <si>
    <t>DCC0DB1</t>
  </si>
  <si>
    <t>8E32695</t>
  </si>
  <si>
    <t>E899CCA</t>
  </si>
  <si>
    <t>74D6561</t>
  </si>
  <si>
    <t>2C28EE4</t>
  </si>
  <si>
    <t>748F6CB</t>
  </si>
  <si>
    <t>61340AB</t>
  </si>
  <si>
    <t>C9C0A57</t>
  </si>
  <si>
    <t>89EE410</t>
  </si>
  <si>
    <t>3EDD698</t>
  </si>
  <si>
    <t>B641281</t>
  </si>
  <si>
    <t>C66DBE8</t>
  </si>
  <si>
    <t>A988CBF</t>
  </si>
  <si>
    <t>A12FAAE</t>
  </si>
  <si>
    <t>978806F</t>
  </si>
  <si>
    <t>1894332</t>
  </si>
  <si>
    <t>4A42B03</t>
  </si>
  <si>
    <t>E092C4C</t>
  </si>
  <si>
    <t>BC9DC90</t>
  </si>
  <si>
    <t>587A074</t>
  </si>
  <si>
    <t>1930F37</t>
  </si>
  <si>
    <t>D63B9D2</t>
  </si>
  <si>
    <t>7B0CE5A</t>
  </si>
  <si>
    <t>685AEBC</t>
  </si>
  <si>
    <t>CCEC6E7</t>
  </si>
  <si>
    <t>5B5FDEE</t>
  </si>
  <si>
    <t>8F7E8B7</t>
  </si>
  <si>
    <t>4B3C38F</t>
  </si>
  <si>
    <t>60069A1</t>
  </si>
  <si>
    <t>C66C23</t>
  </si>
  <si>
    <t>614BBE3</t>
  </si>
  <si>
    <t>5061C1B</t>
  </si>
  <si>
    <t>543F646</t>
  </si>
  <si>
    <t>A2B90CC</t>
  </si>
  <si>
    <t>C31FE30</t>
  </si>
  <si>
    <t>550608E</t>
  </si>
  <si>
    <t>40E5414</t>
  </si>
  <si>
    <t>B9E7828</t>
  </si>
  <si>
    <t>1D994B5</t>
  </si>
  <si>
    <t>A6BD5EC</t>
  </si>
  <si>
    <t>60D3B54</t>
  </si>
  <si>
    <t>F1AC300</t>
  </si>
  <si>
    <t>D7173EA</t>
  </si>
  <si>
    <t>59D6FC5</t>
  </si>
  <si>
    <t>66FD998</t>
  </si>
  <si>
    <t>B813761</t>
  </si>
  <si>
    <t>57CD13B</t>
  </si>
  <si>
    <t>EEC3B2D</t>
  </si>
  <si>
    <t>82C88A7</t>
  </si>
  <si>
    <t>E698E52</t>
  </si>
  <si>
    <t>6A54F25</t>
  </si>
  <si>
    <t>1EF15A0</t>
  </si>
  <si>
    <t>901DDDB</t>
  </si>
  <si>
    <t>108FAC5</t>
  </si>
  <si>
    <t>AE00252</t>
  </si>
  <si>
    <t>40EFAE0</t>
  </si>
  <si>
    <t>5995215</t>
  </si>
  <si>
    <t>19748AF</t>
  </si>
  <si>
    <t>55EE173</t>
  </si>
  <si>
    <t>5A1F434</t>
  </si>
  <si>
    <t>EB39599</t>
  </si>
  <si>
    <t>3099D44</t>
  </si>
  <si>
    <t>87192BF</t>
  </si>
  <si>
    <t>45D7801</t>
  </si>
  <si>
    <t>E33B047</t>
  </si>
  <si>
    <t>B4CA727</t>
  </si>
  <si>
    <t>5885D95</t>
  </si>
  <si>
    <t>209A378</t>
  </si>
  <si>
    <t>1C3F074</t>
  </si>
  <si>
    <t>5603FD3</t>
  </si>
  <si>
    <t>A0C51D</t>
  </si>
  <si>
    <t>DC36BFE</t>
  </si>
  <si>
    <t>3121C06</t>
  </si>
  <si>
    <t>C00DDD</t>
  </si>
  <si>
    <t>74E8481</t>
  </si>
  <si>
    <t>6AF0E93</t>
  </si>
  <si>
    <t>D2CA814</t>
  </si>
  <si>
    <t>20737B7</t>
  </si>
  <si>
    <t>20D54DE</t>
  </si>
  <si>
    <t>29FB1B6</t>
  </si>
  <si>
    <t>741CDD1</t>
  </si>
  <si>
    <t>F288024</t>
  </si>
  <si>
    <t>82D5129</t>
  </si>
  <si>
    <t>98151F1</t>
  </si>
  <si>
    <t>9CD850E</t>
  </si>
  <si>
    <t>A0C5598</t>
  </si>
  <si>
    <t>A0523C0</t>
  </si>
  <si>
    <t>8960E3</t>
  </si>
  <si>
    <t>D13AFD1</t>
  </si>
  <si>
    <t>23F13EE</t>
  </si>
  <si>
    <t>E715291</t>
  </si>
  <si>
    <t>109AAAA</t>
  </si>
  <si>
    <t>2799D11</t>
  </si>
  <si>
    <t>D60715D</t>
  </si>
  <si>
    <t>672C20</t>
  </si>
  <si>
    <t>B46CCCC</t>
  </si>
  <si>
    <t>79ED618</t>
  </si>
  <si>
    <t>A77C354</t>
  </si>
  <si>
    <t>7C0EE58</t>
  </si>
  <si>
    <t>719DD55</t>
  </si>
  <si>
    <t>69AECAC</t>
  </si>
  <si>
    <t>1D9312</t>
  </si>
  <si>
    <t>906DF27</t>
  </si>
  <si>
    <t>BF328DE</t>
  </si>
  <si>
    <t>21BA979</t>
  </si>
  <si>
    <t>D593A13</t>
  </si>
  <si>
    <t>236939</t>
  </si>
  <si>
    <t>4F5CEB3</t>
  </si>
  <si>
    <t>817CA49</t>
  </si>
  <si>
    <t>4789D43</t>
  </si>
  <si>
    <t>4B05126</t>
  </si>
  <si>
    <t>7DCF3AE</t>
  </si>
  <si>
    <t>100AB6B</t>
  </si>
  <si>
    <t>7495241</t>
  </si>
  <si>
    <t>45E3E61</t>
  </si>
  <si>
    <t>B46C009</t>
  </si>
  <si>
    <t>90D92AB</t>
  </si>
  <si>
    <t>F7AFBF4</t>
  </si>
  <si>
    <t>9E7213C</t>
  </si>
  <si>
    <t>2478AF2</t>
  </si>
  <si>
    <t>82A8ED0</t>
  </si>
  <si>
    <t>4C27024</t>
  </si>
  <si>
    <t>F82C93B</t>
  </si>
  <si>
    <t>C806ED</t>
  </si>
  <si>
    <t>6FD60DF</t>
  </si>
  <si>
    <t>CDAB4DF</t>
  </si>
  <si>
    <t>2F405C9</t>
  </si>
  <si>
    <t>A8A3050</t>
  </si>
  <si>
    <t>1B7977C</t>
  </si>
  <si>
    <t>662C22B</t>
  </si>
  <si>
    <t>FF929AA</t>
  </si>
  <si>
    <t>9E52C2A</t>
  </si>
  <si>
    <t>9D07158</t>
  </si>
  <si>
    <t>5FED3C4</t>
  </si>
  <si>
    <t>E16D777</t>
  </si>
  <si>
    <t>3661D1D</t>
  </si>
  <si>
    <t>2CF8855</t>
  </si>
  <si>
    <t>9D1089D</t>
  </si>
  <si>
    <t>D683745</t>
  </si>
  <si>
    <t>A28E633</t>
  </si>
  <si>
    <t>4919A1B</t>
  </si>
  <si>
    <t>5B02AE2</t>
  </si>
  <si>
    <t>8B94E97</t>
  </si>
  <si>
    <t>3E1C2BB</t>
  </si>
  <si>
    <t>207B24F</t>
  </si>
  <si>
    <t>BC5ADC2</t>
  </si>
  <si>
    <t>35E2ACF</t>
  </si>
  <si>
    <t>22D083C</t>
  </si>
  <si>
    <t>2A2F70</t>
  </si>
  <si>
    <t>8BCAB36</t>
  </si>
  <si>
    <t>4F2395C</t>
  </si>
  <si>
    <t>120E1FE</t>
  </si>
  <si>
    <t>DABB314</t>
  </si>
  <si>
    <t>52409B1</t>
  </si>
  <si>
    <t>631A4D1</t>
  </si>
  <si>
    <t>22F398A</t>
  </si>
  <si>
    <t>1980E90</t>
  </si>
  <si>
    <t>272F788</t>
  </si>
  <si>
    <t>9D1912D</t>
  </si>
  <si>
    <t>165B4F5</t>
  </si>
  <si>
    <t>DD5878C</t>
  </si>
  <si>
    <t>3C75655</t>
  </si>
  <si>
    <t>298CF82</t>
  </si>
  <si>
    <t>1F3D883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</si>
  <si>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</si>
  <si>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</si>
  <si>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</si>
  <si>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</si>
  <si>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</si>
  <si>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</si>
  <si>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</si>
  <si>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</si>
  <si>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</si>
  <si>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</si>
  <si>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</si>
  <si>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</si>
  <si>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</si>
  <si>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218741</t>
  </si>
  <si>
    <t>F3CB4AA</t>
  </si>
  <si>
    <t>4EC3943</t>
  </si>
  <si>
    <t>B864270</t>
  </si>
  <si>
    <t>3A5F88A</t>
  </si>
  <si>
    <t>6EDEE35</t>
  </si>
  <si>
    <t>4E246AC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</si>
  <si>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</si>
  <si>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</si>
  <si>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</si>
  <si>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</si>
  <si>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</si>
  <si>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</si>
  <si>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</si>
  <si>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</si>
  <si>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16A95ED</t>
  </si>
  <si>
    <t>CA63E9A</t>
  </si>
  <si>
    <t>B65D201</t>
  </si>
  <si>
    <t>17E588</t>
  </si>
  <si>
    <t>9A94382</t>
  </si>
  <si>
    <t>530E887</t>
  </si>
  <si>
    <t>3208365</t>
  </si>
  <si>
    <t>3DE6AB3</t>
  </si>
  <si>
    <t>FB72D7E</t>
  </si>
  <si>
    <t>43B2612</t>
  </si>
  <si>
    <t>E254717</t>
  </si>
  <si>
    <t>BDC2FD8</t>
  </si>
  <si>
    <t>8E23C47</t>
  </si>
  <si>
    <t>9055E6C</t>
  </si>
  <si>
    <t>43D397A</t>
  </si>
  <si>
    <t>E0B1B72</t>
  </si>
  <si>
    <t>F8D68C9</t>
  </si>
  <si>
    <t>35CED21</t>
  </si>
  <si>
    <t>D62538D</t>
  </si>
  <si>
    <t>C56EAA</t>
  </si>
  <si>
    <t>2D3F043</t>
  </si>
  <si>
    <t>DDE8291</t>
  </si>
  <si>
    <t>AF8A8F7</t>
  </si>
  <si>
    <t>B61758F</t>
  </si>
  <si>
    <t>EE48C26</t>
  </si>
  <si>
    <t>E4838AA</t>
  </si>
  <si>
    <t>96D76DE</t>
  </si>
  <si>
    <t>7B11074</t>
  </si>
  <si>
    <t>EBE4218</t>
  </si>
  <si>
    <t>4EC3C92</t>
  </si>
  <si>
    <t>D2BAC05</t>
  </si>
  <si>
    <t>3384E48</t>
  </si>
  <si>
    <t>136A7A4</t>
  </si>
  <si>
    <t>26FAC98</t>
  </si>
  <si>
    <t>8146E1C</t>
  </si>
  <si>
    <t>B467759</t>
  </si>
  <si>
    <t>70FFEE0</t>
  </si>
  <si>
    <t>6077783</t>
  </si>
  <si>
    <t>7961702</t>
  </si>
  <si>
    <t>6841505</t>
  </si>
  <si>
    <t>CE7196E</t>
  </si>
  <si>
    <t>928A57B</t>
  </si>
  <si>
    <t>9628634</t>
  </si>
  <si>
    <t>C88589D</t>
  </si>
  <si>
    <t>BDC7377</t>
  </si>
  <si>
    <t>3689690</t>
  </si>
  <si>
    <t>614FCF2</t>
  </si>
  <si>
    <t>6B36AAC</t>
  </si>
  <si>
    <t>A3E7F1F</t>
  </si>
  <si>
    <t>531F5B8</t>
  </si>
  <si>
    <t>651630B</t>
  </si>
  <si>
    <t>EB2D39F</t>
  </si>
  <si>
    <t>F63D767</t>
  </si>
  <si>
    <t>5113FDC</t>
  </si>
  <si>
    <t>3CF6CB1</t>
  </si>
  <si>
    <t>A206C5D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</si>
  <si>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</si>
  <si>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</si>
  <si>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</si>
  <si>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</si>
  <si>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</si>
  <si>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</si>
  <si>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</si>
  <si>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</si>
  <si>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</si>
  <si>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</si>
  <si>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</si>
  <si>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</si>
  <si>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</si>
  <si>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</si>
  <si>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</si>
  <si>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</si>
  <si>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</si>
  <si>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</si>
  <si>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</si>
  <si>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</si>
  <si>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</si>
  <si>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</si>
  <si>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</si>
  <si>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</si>
  <si>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</si>
  <si>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</si>
  <si>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</si>
  <si>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</si>
  <si>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</si>
  <si>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</si>
  <si>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AD59378</t>
  </si>
  <si>
    <t>82F7C4C</t>
  </si>
  <si>
    <t>6020491</t>
  </si>
  <si>
    <t>794DB05</t>
  </si>
  <si>
    <t>CFE342C</t>
  </si>
  <si>
    <t>1E14761</t>
  </si>
  <si>
    <t>F0FDE4A</t>
  </si>
  <si>
    <t>9EE73F9</t>
  </si>
  <si>
    <t>824F958</t>
  </si>
  <si>
    <t>FD879F9</t>
  </si>
  <si>
    <t>3AA7137</t>
  </si>
  <si>
    <t>9D59FF1</t>
  </si>
  <si>
    <t>3F8E888</t>
  </si>
  <si>
    <t>2FE4D46</t>
  </si>
  <si>
    <t>7766E4B</t>
  </si>
  <si>
    <t>73384F1</t>
  </si>
  <si>
    <t>3298C0A</t>
  </si>
  <si>
    <t>2DA1054</t>
  </si>
  <si>
    <t>89A6FA8</t>
  </si>
  <si>
    <t>149D9D4</t>
  </si>
  <si>
    <t>79ED1E3</t>
  </si>
  <si>
    <t>56FC64D</t>
  </si>
  <si>
    <t>E21360B</t>
  </si>
  <si>
    <t>4453F23</t>
  </si>
  <si>
    <t>7C46969</t>
  </si>
  <si>
    <t>48B1750</t>
  </si>
  <si>
    <t>3B8D0C6</t>
  </si>
  <si>
    <t>AC180BA</t>
  </si>
  <si>
    <t>1C3D6A9</t>
  </si>
  <si>
    <t>4171A9A</t>
  </si>
  <si>
    <t>80E0A26</t>
  </si>
  <si>
    <t>7313C34</t>
  </si>
  <si>
    <t>10E68C0</t>
  </si>
  <si>
    <t>4EF8F2D</t>
  </si>
  <si>
    <t>48BA320</t>
  </si>
  <si>
    <t>5974959</t>
  </si>
  <si>
    <t>2E6A956</t>
  </si>
  <si>
    <t>F413297</t>
  </si>
  <si>
    <t>868AB8C</t>
  </si>
  <si>
    <t>B04BFEC</t>
  </si>
  <si>
    <t>D4F8CE7</t>
  </si>
  <si>
    <t>A2755B</t>
  </si>
  <si>
    <t>E5AF9D9</t>
  </si>
  <si>
    <t>3BCE215</t>
  </si>
  <si>
    <t>B7887EC</t>
  </si>
  <si>
    <t>496D6D9</t>
  </si>
  <si>
    <t>2FAE0BD</t>
  </si>
  <si>
    <t>BE08866</t>
  </si>
  <si>
    <t>A97528D</t>
  </si>
  <si>
    <t>8E76930</t>
  </si>
  <si>
    <t>B8DAFBB</t>
  </si>
  <si>
    <t>877F165</t>
  </si>
  <si>
    <t>5693799</t>
  </si>
  <si>
    <t>A80E3FC</t>
  </si>
  <si>
    <t>C769787</t>
  </si>
  <si>
    <t>28A5FC8</t>
  </si>
  <si>
    <t>63A2688</t>
  </si>
  <si>
    <t>415663E</t>
  </si>
  <si>
    <t>5DB966D</t>
  </si>
  <si>
    <t>7C8E0AC</t>
  </si>
  <si>
    <t>8C058B2</t>
  </si>
  <si>
    <t>F34D301</t>
  </si>
  <si>
    <t>7C2333D</t>
  </si>
  <si>
    <t>B36BA6D</t>
  </si>
  <si>
    <t>27715D2</t>
  </si>
  <si>
    <t>CE1A5C6</t>
  </si>
  <si>
    <t>B8FE101</t>
  </si>
  <si>
    <t>933285E</t>
  </si>
  <si>
    <t>DEC95F3</t>
  </si>
  <si>
    <t>8D1810D</t>
  </si>
  <si>
    <t>762ECC6</t>
  </si>
  <si>
    <t>91936AF</t>
  </si>
  <si>
    <t>54F4CAB</t>
  </si>
  <si>
    <t>CF06F59</t>
  </si>
  <si>
    <t>19EB1DA</t>
  </si>
  <si>
    <t>F606FDC</t>
  </si>
  <si>
    <t>418AC58</t>
  </si>
  <si>
    <t>1585E6E</t>
  </si>
  <si>
    <t>D597D77</t>
  </si>
  <si>
    <t>3F24DF3</t>
  </si>
  <si>
    <t>3002E87</t>
  </si>
  <si>
    <t>B4E8AEC</t>
  </si>
  <si>
    <t>3BC0A5C</t>
  </si>
  <si>
    <t>45BDFB</t>
  </si>
  <si>
    <t>3B4F474</t>
  </si>
  <si>
    <t>7E7478F</t>
  </si>
  <si>
    <t>8498EE1</t>
  </si>
  <si>
    <t>440AD51</t>
  </si>
  <si>
    <t>E28C172</t>
  </si>
  <si>
    <t>6CBE388</t>
  </si>
  <si>
    <t>33A2FC4</t>
  </si>
  <si>
    <t>9C00920</t>
  </si>
  <si>
    <t>C92ECAE</t>
  </si>
  <si>
    <t>96A6C05</t>
  </si>
  <si>
    <t>5F3162B</t>
  </si>
  <si>
    <t>39BD8AA</t>
  </si>
  <si>
    <t>2EC7775</t>
  </si>
  <si>
    <t>1AA069B</t>
  </si>
  <si>
    <t>76901F1</t>
  </si>
  <si>
    <t>4DCD497</t>
  </si>
  <si>
    <t>F277199</t>
  </si>
  <si>
    <t>E64476</t>
  </si>
  <si>
    <t>E4A3FF8</t>
  </si>
  <si>
    <t>873E6FC</t>
  </si>
  <si>
    <t>9A79B0F</t>
  </si>
  <si>
    <t>56A60E5</t>
  </si>
  <si>
    <t>D84317D</t>
  </si>
  <si>
    <t>D67F37F</t>
  </si>
  <si>
    <t>9752137</t>
  </si>
  <si>
    <t>DCBEC7A</t>
  </si>
  <si>
    <t>DD11CD6</t>
  </si>
  <si>
    <t>7CE4CD2</t>
  </si>
  <si>
    <t>C945FF0</t>
  </si>
  <si>
    <t>6C199BD</t>
  </si>
  <si>
    <t>83032BD</t>
  </si>
  <si>
    <t>B87EB90</t>
  </si>
  <si>
    <t>8218DAF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</si>
</sst>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5" borderId="21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9" fillId="7" borderId="0" xfId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5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7" fillId="12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9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6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0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0" fillId="0" borderId="17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2" xfId="0" applyBorder="1" applyProtection="1">
      <protection locked="0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  <xf numFmtId="0" fontId="0" fillId="0" borderId="0" xfId="0" pivotButton="1"/>
    <xf numFmtId="0" fontId="24" fillId="13" borderId="0" xfId="0" applyFont="1" applyFill="1"/>
    <xf numFmtId="0" fontId="22" fillId="11" borderId="0" xfId="0" applyFont="1" applyFill="1"/>
    <xf numFmtId="0" fontId="23" fillId="10" borderId="0" xfId="0" applyFont="1" applyFill="1"/>
    <xf numFmtId="0" fontId="6" fillId="7" borderId="0" xfId="1" applyNumberFormat="1" applyFont="1" applyFill="1" applyAlignment="1">
      <alignment horizontal="center"/>
    </xf>
    <xf numFmtId="0" fontId="29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0" applyFont="1" applyAlignment="1">
      <alignment horizontal="right"/>
    </xf>
    <xf numFmtId="0" fontId="0" fillId="4" borderId="2" xfId="0" applyFill="1" applyBorder="1"/>
    <xf numFmtId="0" fontId="0" fillId="4" borderId="3" xfId="0" applyFill="1" applyBorder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0" xfId="0" applyFont="1" applyFill="1" applyAlignment="1">
      <alignment horizontal="center" wrapText="1"/>
    </xf>
    <xf numFmtId="0" fontId="5" fillId="4" borderId="1" xfId="0" applyFont="1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1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503"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6782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8976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75.681856134259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81">
        <n v="-308899653"/>
        <n v="496692070"/>
        <n v="236682244"/>
        <n v="262234357"/>
        <n v="-172668313"/>
        <n v="382924314"/>
        <n v="410868578"/>
        <n v="-130603686"/>
        <n v="-417944664"/>
        <s v=""/>
        <n v="-21486868"/>
        <n v="-6474445"/>
        <n v="251385326"/>
        <n v="-146082280"/>
        <n v="267957746"/>
        <n v="-103933429"/>
        <n v="341390981"/>
        <n v="226361642"/>
        <n v="120236181"/>
        <n v="-57753614"/>
        <n v="-465464144"/>
        <n v="-83086660"/>
        <n v="280793810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88135951" u="1"/>
        <n v="-451075182" u="1"/>
        <n v="440718739" u="1"/>
        <n v="486747132" u="1"/>
        <n v="192705586" u="1"/>
        <n v="-514705909" u="1"/>
        <n v="351166055" u="1"/>
        <n v="-246462777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-156211742" u="1"/>
        <n v="412275362" u="1"/>
        <n v="270387093" u="1"/>
        <n v="-160627480" u="1"/>
        <n v="-497140906" u="1"/>
        <n v="505942544" u="1"/>
        <n v="-427630886" u="1"/>
        <n v="427068135" u="1"/>
        <n v="318803657" u="1"/>
        <n v="-150401807" u="1"/>
        <n v="94988977" u="1"/>
        <n v="-457617973" u="1"/>
        <n v="-396379885" u="1"/>
        <n v="-533201877" u="1"/>
        <n v="-203194944" u="1"/>
        <n v="349634441" u="1"/>
        <n v="32522917" u="1"/>
        <n v="495477226" u="1"/>
        <n v="-140695640" u="1"/>
        <n v="-79395897" u="1"/>
        <n v="261165363" u="1"/>
        <n v="-55482732" u="1"/>
        <n v="30288501" u="1"/>
        <n v="25850167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82">
        <item m="1" x="45"/>
        <item m="1" x="48"/>
        <item m="1" x="61"/>
        <item m="1" x="52"/>
        <item m="1" x="68"/>
        <item m="1" x="41"/>
        <item m="1" x="63"/>
        <item m="1" x="49"/>
        <item m="1" x="39"/>
        <item m="1" x="71"/>
        <item m="1" x="53"/>
        <item m="1" x="60"/>
        <item m="1" x="66"/>
        <item m="1" x="50"/>
        <item m="1" x="37"/>
        <item m="1" x="54"/>
        <item m="1" x="79"/>
        <item m="1" x="55"/>
        <item m="1" x="44"/>
        <item m="1" x="51"/>
        <item m="1" x="80"/>
        <item m="1" x="59"/>
        <item m="1" x="65"/>
        <item m="1" x="35"/>
        <item m="1" x="72"/>
        <item m="1" x="34"/>
        <item m="1" x="58"/>
        <item m="1" x="42"/>
        <item m="1" x="38"/>
        <item m="1" x="43"/>
        <item m="1" x="74"/>
        <item m="1" x="62"/>
        <item m="1" x="36"/>
        <item m="1" x="56"/>
        <item m="1" x="67"/>
        <item m="1" x="64"/>
        <item m="1" x="77"/>
        <item m="1" x="76"/>
        <item m="1" x="40"/>
        <item m="1" x="69"/>
        <item x="7"/>
        <item m="1" x="46"/>
        <item x="10"/>
        <item x="11"/>
        <item x="12"/>
        <item x="13"/>
        <item x="14"/>
        <item x="15"/>
        <item x="16"/>
        <item m="1" x="47"/>
        <item m="1" x="75"/>
        <item x="19"/>
        <item x="20"/>
        <item x="21"/>
        <item m="1" x="70"/>
        <item x="23"/>
        <item x="24"/>
        <item x="25"/>
        <item x="26"/>
        <item x="29"/>
        <item x="28"/>
        <item x="27"/>
        <item x="30"/>
        <item x="31"/>
        <item x="32"/>
        <item x="33"/>
        <item m="1" x="73"/>
        <item h="1" x="9"/>
        <item m="1" x="57"/>
        <item x="17"/>
        <item x="18"/>
        <item x="22"/>
        <item x="0"/>
        <item x="1"/>
        <item x="2"/>
        <item x="3"/>
        <item x="4"/>
        <item x="5"/>
        <item x="6"/>
        <item m="1" x="78"/>
        <item x="8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5"/>
    </i>
    <i r="1">
      <x v="56"/>
    </i>
    <i r="1">
      <x v="57"/>
    </i>
    <i r="1">
      <x v="71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40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2"/>
    </i>
    <i r="1">
      <x v="72"/>
    </i>
  </rowItems>
  <colItems count="1">
    <i/>
  </colItems>
  <formats count="477">
    <format dxfId="502">
      <pivotArea dataOnly="0" labelOnly="1" fieldPosition="0">
        <references count="1">
          <reference field="1" count="1">
            <x v="0"/>
          </reference>
        </references>
      </pivotArea>
    </format>
    <format dxfId="50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50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9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9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96">
      <pivotArea dataOnly="0" labelOnly="1" fieldPosition="0">
        <references count="1">
          <reference field="1" count="1">
            <x v="1"/>
          </reference>
        </references>
      </pivotArea>
    </format>
    <format dxfId="49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9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9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9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9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90">
      <pivotArea dataOnly="0" labelOnly="1" fieldPosition="0">
        <references count="1">
          <reference field="1" count="1">
            <x v="3"/>
          </reference>
        </references>
      </pivotArea>
    </format>
    <format dxfId="48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8">
      <pivotArea dataOnly="0" labelOnly="1" fieldPosition="0">
        <references count="1">
          <reference field="1" count="1">
            <x v="4"/>
          </reference>
        </references>
      </pivotArea>
    </format>
    <format dxfId="48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86">
      <pivotArea dataOnly="0" labelOnly="1" fieldPosition="0">
        <references count="1">
          <reference field="1" count="1">
            <x v="6"/>
          </reference>
        </references>
      </pivotArea>
    </format>
    <format dxfId="48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83">
      <pivotArea dataOnly="0" labelOnly="1" fieldPosition="0">
        <references count="1">
          <reference field="1" count="1">
            <x v="2"/>
          </reference>
        </references>
      </pivotArea>
    </format>
    <format dxfId="48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8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8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79">
      <pivotArea dataOnly="0" labelOnly="1" fieldPosition="0">
        <references count="1">
          <reference field="1" count="1">
            <x v="7"/>
          </reference>
        </references>
      </pivotArea>
    </format>
    <format dxfId="47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7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7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7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7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7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7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70">
      <pivotArea dataOnly="0" labelOnly="1" fieldPosition="0">
        <references count="1">
          <reference field="1" count="1">
            <x v="8"/>
          </reference>
        </references>
      </pivotArea>
    </format>
    <format dxfId="46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6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6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6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65">
      <pivotArea dataOnly="0" labelOnly="1" fieldPosition="0">
        <references count="1">
          <reference field="1" count="1">
            <x v="9"/>
          </reference>
        </references>
      </pivotArea>
    </format>
    <format dxfId="46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6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62">
      <pivotArea dataOnly="0" labelOnly="1" fieldPosition="0">
        <references count="1">
          <reference field="1" count="1">
            <x v="10"/>
          </reference>
        </references>
      </pivotArea>
    </format>
    <format dxfId="46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6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5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57">
      <pivotArea dataOnly="0" labelOnly="1" fieldPosition="0">
        <references count="1">
          <reference field="1" count="1">
            <x v="10"/>
          </reference>
        </references>
      </pivotArea>
    </format>
    <format dxfId="45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5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53">
      <pivotArea dataOnly="0" labelOnly="1" fieldPosition="0">
        <references count="1">
          <reference field="1" count="1">
            <x v="10"/>
          </reference>
        </references>
      </pivotArea>
    </format>
    <format dxfId="45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5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49">
      <pivotArea dataOnly="0" labelOnly="1" fieldPosition="0">
        <references count="1">
          <reference field="1" count="1">
            <x v="0"/>
          </reference>
        </references>
      </pivotArea>
    </format>
    <format dxfId="44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7">
      <pivotArea dataOnly="0" labelOnly="1" fieldPosition="0">
        <references count="1">
          <reference field="1" count="1">
            <x v="3"/>
          </reference>
        </references>
      </pivotArea>
    </format>
    <format dxfId="446">
      <pivotArea dataOnly="0" labelOnly="1" fieldPosition="0">
        <references count="1">
          <reference field="1" count="1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3">
      <pivotArea dataOnly="0" labelOnly="1" fieldPosition="0">
        <references count="1">
          <reference field="1" count="1">
            <x v="4"/>
          </reference>
        </references>
      </pivotArea>
    </format>
    <format dxfId="44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41">
      <pivotArea dataOnly="0" labelOnly="1" fieldPosition="0">
        <references count="1">
          <reference field="1" count="1">
            <x v="6"/>
          </reference>
        </references>
      </pivotArea>
    </format>
    <format dxfId="44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3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36">
      <pivotArea dataOnly="0" labelOnly="1" fieldPosition="0">
        <references count="1">
          <reference field="1" count="1">
            <x v="3"/>
          </reference>
        </references>
      </pivotArea>
    </format>
    <format dxfId="435">
      <pivotArea dataOnly="0" labelOnly="1" fieldPosition="0">
        <references count="1">
          <reference field="1" count="1">
            <x v="3"/>
          </reference>
        </references>
      </pivotArea>
    </format>
    <format dxfId="43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30">
      <pivotArea dataOnly="0" labelOnly="1" fieldPosition="0">
        <references count="1">
          <reference field="1" count="1">
            <x v="4"/>
          </reference>
        </references>
      </pivotArea>
    </format>
    <format dxfId="42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8">
      <pivotArea dataOnly="0" labelOnly="1" fieldPosition="0">
        <references count="1">
          <reference field="1" count="1">
            <x v="6"/>
          </reference>
        </references>
      </pivotArea>
    </format>
    <format dxfId="42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6">
      <pivotArea dataOnly="0" labelOnly="1" fieldPosition="0">
        <references count="1">
          <reference field="1" count="1">
            <x v="3"/>
          </reference>
        </references>
      </pivotArea>
    </format>
    <format dxfId="425">
      <pivotArea dataOnly="0" labelOnly="1" fieldPosition="0">
        <references count="1">
          <reference field="1" count="1">
            <x v="4"/>
          </reference>
        </references>
      </pivotArea>
    </format>
    <format dxfId="42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22">
      <pivotArea dataOnly="0" labelOnly="1" fieldPosition="0">
        <references count="1">
          <reference field="1" count="1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20">
      <pivotArea dataOnly="0" labelOnly="1" fieldPosition="0">
        <references count="1">
          <reference field="1" count="1">
            <x v="8"/>
          </reference>
        </references>
      </pivotArea>
    </format>
    <format dxfId="41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18">
      <pivotArea dataOnly="0" labelOnly="1" fieldPosition="0">
        <references count="1">
          <reference field="1" count="1">
            <x v="9"/>
          </reference>
        </references>
      </pivotArea>
    </format>
    <format dxfId="417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16">
      <pivotArea dataOnly="0" labelOnly="1" fieldPosition="0">
        <references count="1">
          <reference field="1" count="1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1">
      <pivotArea dataOnly="0" labelOnly="1" fieldPosition="0">
        <references count="1">
          <reference field="1" count="1">
            <x v="7"/>
          </reference>
        </references>
      </pivotArea>
    </format>
    <format dxfId="41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9">
      <pivotArea dataOnly="0" labelOnly="1" fieldPosition="0">
        <references count="1">
          <reference field="1" count="1">
            <x v="8"/>
          </reference>
        </references>
      </pivotArea>
    </format>
    <format dxfId="40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0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40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40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40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403">
      <pivotArea dataOnly="0" labelOnly="1" fieldPosition="0">
        <references count="1">
          <reference field="1" count="1">
            <x v="11"/>
          </reference>
        </references>
      </pivotArea>
    </format>
    <format dxfId="40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4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99">
      <pivotArea type="all" dataOnly="0" outline="0" fieldPosition="0"/>
    </format>
    <format dxfId="398">
      <pivotArea field="1" type="button" dataOnly="0" labelOnly="1" outline="0" axis="axisRow" fieldPosition="0"/>
    </format>
    <format dxfId="397">
      <pivotArea dataOnly="0" labelOnly="1" fieldPosition="0">
        <references count="1">
          <reference field="1" count="0"/>
        </references>
      </pivotArea>
    </format>
    <format dxfId="39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9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9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9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9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9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9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8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88">
      <pivotArea type="all" dataOnly="0" outline="0" fieldPosition="0"/>
    </format>
    <format dxfId="387">
      <pivotArea field="1" type="button" dataOnly="0" labelOnly="1" outline="0" axis="axisRow" fieldPosition="0"/>
    </format>
    <format dxfId="386">
      <pivotArea dataOnly="0" labelOnly="1" fieldPosition="0">
        <references count="1">
          <reference field="1" count="0"/>
        </references>
      </pivotArea>
    </format>
    <format dxfId="38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8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8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8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8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8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7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7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77">
      <pivotArea type="all" dataOnly="0" outline="0" fieldPosition="0"/>
    </format>
    <format dxfId="376">
      <pivotArea field="1" type="button" dataOnly="0" labelOnly="1" outline="0" axis="axisRow" fieldPosition="0"/>
    </format>
    <format dxfId="375">
      <pivotArea dataOnly="0" labelOnly="1" fieldPosition="0">
        <references count="1">
          <reference field="1" count="0"/>
        </references>
      </pivotArea>
    </format>
    <format dxfId="37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7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7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7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7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6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6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6">
      <pivotArea dataOnly="0" labelOnly="1" fieldPosition="0">
        <references count="1">
          <reference field="1" count="1">
            <x v="0"/>
          </reference>
        </references>
      </pivotArea>
    </format>
    <format dxfId="3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60">
      <pivotArea dataOnly="0" labelOnly="1" fieldPosition="0">
        <references count="1">
          <reference field="1" count="1">
            <x v="1"/>
          </reference>
        </references>
      </pivotArea>
    </format>
    <format dxfId="3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54">
      <pivotArea dataOnly="0" labelOnly="1" fieldPosition="0">
        <references count="1">
          <reference field="1" count="1">
            <x v="2"/>
          </reference>
        </references>
      </pivotArea>
    </format>
    <format dxfId="3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50">
      <pivotArea dataOnly="0" labelOnly="1" fieldPosition="0">
        <references count="1">
          <reference field="1" count="1">
            <x v="3"/>
          </reference>
        </references>
      </pivotArea>
    </format>
    <format dxfId="3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8">
      <pivotArea dataOnly="0" labelOnly="1" fieldPosition="0">
        <references count="1">
          <reference field="1" count="1">
            <x v="6"/>
          </reference>
        </references>
      </pivotArea>
    </format>
    <format dxfId="34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5">
      <pivotArea dataOnly="0" labelOnly="1" fieldPosition="0">
        <references count="1">
          <reference field="1" count="1">
            <x v="7"/>
          </reference>
        </references>
      </pivotArea>
    </format>
    <format dxfId="3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36">
      <pivotArea dataOnly="0" labelOnly="1" fieldPosition="0">
        <references count="1">
          <reference field="1" count="1">
            <x v="8"/>
          </reference>
        </references>
      </pivotArea>
    </format>
    <format dxfId="3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2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2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27">
      <pivotArea dataOnly="0" labelOnly="1" fieldPosition="0">
        <references count="1">
          <reference field="1" count="1">
            <x v="11"/>
          </reference>
        </references>
      </pivotArea>
    </format>
    <format dxfId="32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5">
      <pivotArea dataOnly="0" labelOnly="1" fieldPosition="0">
        <references count="1">
          <reference field="1" count="1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0"/>
          </reference>
        </references>
      </pivotArea>
    </format>
    <format dxfId="32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1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1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1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1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1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13">
      <pivotArea dataOnly="0" labelOnly="1" fieldPosition="0">
        <references count="1">
          <reference field="1" count="1">
            <x v="1"/>
          </reference>
        </references>
      </pivotArea>
    </format>
    <format dxfId="312">
      <pivotArea dataOnly="0" labelOnly="1" fieldPosition="0">
        <references count="1">
          <reference field="1" count="1">
            <x v="1"/>
          </reference>
        </references>
      </pivotArea>
    </format>
    <format dxfId="31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1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1">
      <pivotArea dataOnly="0" labelOnly="1" fieldPosition="0">
        <references count="1">
          <reference field="1" count="1">
            <x v="2"/>
          </reference>
        </references>
      </pivotArea>
    </format>
    <format dxfId="300">
      <pivotArea dataOnly="0" labelOnly="1" fieldPosition="0">
        <references count="1">
          <reference field="1" count="1">
            <x v="2"/>
          </reference>
        </references>
      </pivotArea>
    </format>
    <format dxfId="29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3">
      <pivotArea dataOnly="0" labelOnly="1" fieldPosition="0">
        <references count="1">
          <reference field="1" count="1">
            <x v="3"/>
          </reference>
        </references>
      </pivotArea>
    </format>
    <format dxfId="292">
      <pivotArea dataOnly="0" labelOnly="1" fieldPosition="0">
        <references count="1">
          <reference field="1" count="1">
            <x v="3"/>
          </reference>
        </references>
      </pivotArea>
    </format>
    <format dxfId="29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89">
      <pivotArea dataOnly="0" labelOnly="1" fieldPosition="0">
        <references count="1">
          <reference field="1" count="1">
            <x v="6"/>
          </reference>
        </references>
      </pivotArea>
    </format>
    <format dxfId="288">
      <pivotArea dataOnly="0" labelOnly="1" fieldPosition="0">
        <references count="1">
          <reference field="1" count="1">
            <x v="6"/>
          </reference>
        </references>
      </pivotArea>
    </format>
    <format dxfId="28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3">
      <pivotArea dataOnly="0" labelOnly="1" fieldPosition="0">
        <references count="1">
          <reference field="1" count="1">
            <x v="7"/>
          </reference>
        </references>
      </pivotArea>
    </format>
    <format dxfId="282">
      <pivotArea dataOnly="0" labelOnly="1" fieldPosition="0">
        <references count="1">
          <reference field="1" count="1">
            <x v="7"/>
          </reference>
        </references>
      </pivotArea>
    </format>
    <format dxfId="28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8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5">
      <pivotArea dataOnly="0" labelOnly="1" fieldPosition="0">
        <references count="1">
          <reference field="1" count="1">
            <x v="8"/>
          </reference>
        </references>
      </pivotArea>
    </format>
    <format dxfId="264">
      <pivotArea dataOnly="0" labelOnly="1" fieldPosition="0">
        <references count="1">
          <reference field="1" count="1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5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5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5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4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4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47">
      <pivotArea dataOnly="0" labelOnly="1" fieldPosition="0">
        <references count="1">
          <reference field="1" count="1">
            <x v="11"/>
          </reference>
        </references>
      </pivotArea>
    </format>
    <format dxfId="246">
      <pivotArea dataOnly="0" labelOnly="1" fieldPosition="0">
        <references count="1">
          <reference field="1" count="1">
            <x v="11"/>
          </reference>
        </references>
      </pivotArea>
    </format>
    <format dxfId="2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43">
      <pivotArea dataOnly="0" labelOnly="1" fieldPosition="0">
        <references count="1">
          <reference field="1" count="1">
            <x v="0"/>
          </reference>
        </references>
      </pivotArea>
    </format>
    <format dxfId="24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4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4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3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3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37">
      <pivotArea dataOnly="0" labelOnly="1" fieldPosition="0">
        <references count="1">
          <reference field="1" count="1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1">
      <pivotArea dataOnly="0" labelOnly="1" fieldPosition="0">
        <references count="1">
          <reference field="1" count="1">
            <x v="2"/>
          </reference>
        </references>
      </pivotArea>
    </format>
    <format dxfId="23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1">
          <reference field="1" count="1">
            <x v="3"/>
          </reference>
        </references>
      </pivotArea>
    </format>
    <format dxfId="22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5">
      <pivotArea dataOnly="0" labelOnly="1" fieldPosition="0">
        <references count="1">
          <reference field="1" count="1">
            <x v="6"/>
          </reference>
        </references>
      </pivotArea>
    </format>
    <format dxfId="22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2">
      <pivotArea dataOnly="0" labelOnly="1" fieldPosition="0">
        <references count="1">
          <reference field="1" count="1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1">
          <reference field="1" count="1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1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1">
          <reference field="1" count="1">
            <x v="11"/>
          </reference>
        </references>
      </pivotArea>
    </format>
    <format dxfId="20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8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8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8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8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4">
      <pivotArea dataOnly="0" labelOnly="1" fieldPosition="0">
        <references count="1">
          <reference field="1" count="1">
            <x v="11"/>
          </reference>
        </references>
      </pivotArea>
    </format>
    <format dxfId="17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9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68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67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6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53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52">
      <pivotArea dataOnly="0" labelOnly="1" fieldPosition="0">
        <references count="1">
          <reference field="1" count="1">
            <x v="12"/>
          </reference>
        </references>
      </pivotArea>
    </format>
    <format dxfId="151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50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49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37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136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135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134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1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1">
          <reference field="1" count="1">
            <x v="1"/>
          </reference>
        </references>
      </pivotArea>
    </format>
    <format dxfId="11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1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1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1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14">
      <pivotArea dataOnly="0" labelOnly="1" fieldPosition="0">
        <references count="1">
          <reference field="1" count="1">
            <x v="2"/>
          </reference>
        </references>
      </pivotArea>
    </format>
    <format dxfId="11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1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1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10">
      <pivotArea dataOnly="0" labelOnly="1" fieldPosition="0">
        <references count="1">
          <reference field="1" count="1">
            <x v="3"/>
          </reference>
        </references>
      </pivotArea>
    </format>
    <format dxfId="10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08">
      <pivotArea dataOnly="0" labelOnly="1" fieldPosition="0">
        <references count="1">
          <reference field="1" count="1">
            <x v="6"/>
          </reference>
        </references>
      </pivotArea>
    </format>
    <format dxfId="10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0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05">
      <pivotArea dataOnly="0" labelOnly="1" fieldPosition="0">
        <references count="1">
          <reference field="1" count="1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1">
          <reference field="1" count="6">
            <x v="0"/>
            <x v="1"/>
            <x v="2"/>
            <x v="3"/>
            <x v="6"/>
            <x v="7"/>
          </reference>
        </references>
      </pivotArea>
    </format>
    <format dxfId="9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97">
      <pivotArea dataOnly="0" labelOnly="1" fieldPosition="0">
        <references count="2">
          <reference field="0" count="5">
            <x v="53"/>
            <x v="55"/>
            <x v="56"/>
            <x v="57"/>
            <x v="71"/>
          </reference>
          <reference field="1" count="1" selected="0">
            <x v="1"/>
          </reference>
        </references>
      </pivotArea>
    </format>
    <format dxfId="9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95">
      <pivotArea dataOnly="0" labelOnly="1" fieldPosition="0">
        <references count="2">
          <reference field="0" count="2">
            <x v="69"/>
            <x v="70"/>
          </reference>
          <reference field="1" count="1" selected="0">
            <x v="6"/>
          </reference>
        </references>
      </pivotArea>
    </format>
    <format dxfId="94">
      <pivotArea dataOnly="0" labelOnly="1" fieldPosition="0">
        <references count="2">
          <reference field="0" count="5">
            <x v="40"/>
            <x v="73"/>
            <x v="74"/>
            <x v="75"/>
            <x v="76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1">
          <reference field="1" count="1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9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9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87">
      <pivotArea dataOnly="0" labelOnly="1" fieldPosition="0">
        <references count="1">
          <reference field="1" count="1">
            <x v="1"/>
          </reference>
        </references>
      </pivotArea>
    </format>
    <format dxfId="8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8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8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8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82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81">
      <pivotArea dataOnly="0" labelOnly="1" fieldPosition="0">
        <references count="1">
          <reference field="1" count="1">
            <x v="2"/>
          </reference>
        </references>
      </pivotArea>
    </format>
    <format dxfId="8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7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7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77">
      <pivotArea dataOnly="0" labelOnly="1" fieldPosition="0">
        <references count="1">
          <reference field="1" count="1">
            <x v="3"/>
          </reference>
        </references>
      </pivotArea>
    </format>
    <format dxfId="7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75">
      <pivotArea dataOnly="0" labelOnly="1" fieldPosition="0">
        <references count="1">
          <reference field="1" count="1">
            <x v="6"/>
          </reference>
        </references>
      </pivotArea>
    </format>
    <format dxfId="7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7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72">
      <pivotArea dataOnly="0" labelOnly="1" fieldPosition="0">
        <references count="1">
          <reference field="1" count="1">
            <x v="7"/>
          </reference>
        </references>
      </pivotArea>
    </format>
    <format dxfId="7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70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6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6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6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66">
      <pivotArea dataOnly="0" labelOnly="1" fieldPosition="0">
        <references count="1">
          <reference field="1" count="1">
            <x v="0"/>
          </reference>
        </references>
      </pivotArea>
    </format>
    <format dxfId="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60">
      <pivotArea dataOnly="0" labelOnly="1" fieldPosition="0">
        <references count="1">
          <reference field="1" count="1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1">
          <reference field="1" count="1">
            <x v="8"/>
          </reference>
        </references>
      </pivotArea>
    </format>
    <format dxfId="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1">
          <reference field="1" count="1">
            <x v="12"/>
          </reference>
        </references>
      </pivotArea>
    </format>
    <format dxfId="26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B8F51E-B1AD-444B-BF26-31DA0D90BD6A}" name="Table1" displayName="Table1" ref="A1:H43" totalsRowShown="0" headerRowDxfId="24" dataDxfId="23">
  <autoFilter ref="A1:H43" xr:uid="{77B8F51E-B1AD-444B-BF26-31DA0D90BD6A}"/>
  <tableColumns count="8">
    <tableColumn id="1" xr3:uid="{C382A785-9121-4454-A540-EB7A49A82C98}" name="Item" dataDxfId="22"/>
    <tableColumn id="2" xr3:uid="{EB23FD15-2CEA-412C-86A4-E891562A3515}" name="Function" dataDxfId="21"/>
    <tableColumn id="3" xr3:uid="{351403D9-6856-492D-BC5A-D72135C3C835}" name="special" dataDxfId="20"/>
    <tableColumn id="4" xr3:uid="{708A95A2-B95D-41B7-BD75-3EE3B3D1B597}" name="coil_used" dataDxfId="19"/>
    <tableColumn id="5" xr3:uid="{131B2AB3-C207-45F6-9BB9-DCDE03A3C37A}" name="wire_type" dataDxfId="18"/>
    <tableColumn id="6" xr3:uid="{29B8D9E7-C13D-4986-9C28-B5B2EE6C290F}" name="meas_unit" dataDxfId="17"/>
    <tableColumn id="7" xr3:uid="{28E03394-6DA8-44EC-B9FB-3EF9328146A6}" name="secondary_unit" dataDxfId="16"/>
    <tableColumn id="8" xr3:uid="{939109EF-D7E1-4A51-9A78-31114AB0AFF6}" name="Polarity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ID" dataDxfId="14"/>
    <tableColumn id="2" xr3:uid="{BB172C60-529D-4396-AA73-9C19FA1C5155}" name="Standard" dataDxfId="13"/>
    <tableColumn id="3" xr3:uid="{E9C1A59A-ED27-4B88-9B1E-29A6D97D3E2A}" name="Item" dataDxfId="12"/>
    <tableColumn id="4" xr3:uid="{2A1EFD98-5873-4087-AED3-C50A413162E1}" name="Range1_Low" dataDxfId="11"/>
    <tableColumn id="5" xr3:uid="{0846A209-7F8E-4ACE-A8B8-D0ACB5864346}" name="Range1_High" dataDxfId="10"/>
    <tableColumn id="6" xr3:uid="{FB580057-7846-4706-A622-0CCD9BE8AA37}" name="Res" dataDxfId="9"/>
    <tableColumn id="7" xr3:uid="{B077B238-F3B3-43B6-9A1A-AACF06D12F00}" name="Meas_Units" dataDxfId="8"/>
    <tableColumn id="8" xr3:uid="{E53EC664-50D0-4DD7-B23D-1E0E75075DCC}" name="Uncert_Units" dataDxfId="7"/>
    <tableColumn id="9" xr3:uid="{B1743536-2D05-4455-8603-D33D6210DE61}" name="Range2_Low" dataDxfId="6"/>
    <tableColumn id="10" xr3:uid="{8E230881-6475-4AEE-9D0D-E23679337D61}" name="Range2_High" dataDxfId="5"/>
    <tableColumn id="11" xr3:uid="{E0886CC1-10E8-4A15-9132-96F22EC633E4}" name="Range2_Units" dataDxfId="4"/>
    <tableColumn id="12" xr3:uid="{A4F44AC5-CC84-40FC-8833-CD9CD9BCE922}" name="Base" dataDxfId="3"/>
    <tableColumn id="13" xr3:uid="{B174B1F2-1ECC-4947-8DCA-3F7BAC37D208}" name="Mult" dataDxfId="2"/>
    <tableColumn id="14" xr3:uid="{375A20EF-FEE9-426C-8FF8-E4C930BF5D2C}" name="Base2" dataDxfId="1"/>
    <tableColumn id="15" xr3:uid="{DD350654-D067-4C74-B6CC-3900EC0CD7E9}" name="Mult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zoomScaleNormal="100" workbookViewId="0">
      <selection activeCell="K26" sqref="K26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08"/>
      <c r="B1" s="108"/>
      <c r="C1" s="127" t="s">
        <v>64</v>
      </c>
      <c r="D1" s="128"/>
      <c r="E1" s="128"/>
      <c r="F1" s="107" t="str" cm="1">
        <f t="array" ref="F1">IfZero(Worksheet!F2)</f>
        <v>56561-12354</v>
      </c>
      <c r="G1" s="109">
        <f>Worksheet!F3</f>
        <v>45196</v>
      </c>
    </row>
    <row r="2" spans="1:8" x14ac:dyDescent="0.25">
      <c r="A2" s="108"/>
      <c r="B2" s="108"/>
      <c r="C2" s="96"/>
      <c r="D2" s="96"/>
      <c r="E2" s="96"/>
      <c r="F2" s="96"/>
      <c r="G2" s="97"/>
    </row>
    <row r="3" spans="1:8" ht="25.5" x14ac:dyDescent="0.25">
      <c r="A3" s="106"/>
      <c r="B3" s="98" t="s">
        <v>18</v>
      </c>
      <c r="C3" s="98" t="s">
        <v>30</v>
      </c>
      <c r="D3" s="110" t="s">
        <v>31</v>
      </c>
      <c r="E3" s="98" t="s">
        <v>32</v>
      </c>
      <c r="F3" s="98" t="s">
        <v>33</v>
      </c>
      <c r="G3" s="99" t="s">
        <v>34</v>
      </c>
    </row>
    <row r="4" spans="1:8" hidden="1" x14ac:dyDescent="0.25">
      <c r="A4" s="117" t="s">
        <v>2031</v>
      </c>
      <c r="B4" s="92">
        <v>3</v>
      </c>
      <c r="C4" s="92">
        <v>4</v>
      </c>
      <c r="D4" s="92">
        <v>5</v>
      </c>
      <c r="E4" s="92">
        <v>6</v>
      </c>
      <c r="F4" s="92">
        <v>7</v>
      </c>
      <c r="G4" s="92">
        <v>8</v>
      </c>
    </row>
    <row r="5" spans="1:8" x14ac:dyDescent="0.25">
      <c r="A5" s="118" t="s">
        <v>103</v>
      </c>
      <c r="B5" s="100"/>
      <c r="C5" s="100"/>
      <c r="D5" s="100"/>
      <c r="E5" s="100"/>
      <c r="F5" s="100"/>
      <c r="G5" s="100"/>
    </row>
    <row r="6" spans="1:8" x14ac:dyDescent="0.25">
      <c r="A6" s="120">
        <v>-181566174</v>
      </c>
      <c r="B6" s="94" t="str">
        <f>IFERROR(VLOOKUP($A6,Worksheet!$A$5:$I$110,B$4,FALSE),"")</f>
        <v/>
      </c>
      <c r="C6" s="94" t="str">
        <f>IFERROR(VLOOKUP($A6,Worksheet!$A$5:$I$110,C$4,FALSE),"")</f>
        <v/>
      </c>
      <c r="D6" s="94" t="str">
        <f>IFERROR(VLOOKUP($A6,Worksheet!$A$5:$I$110,D$4,FALSE),"")</f>
        <v/>
      </c>
      <c r="E6" s="94" t="str">
        <f>IFERROR(VLOOKUP($A6,Worksheet!$A$5:$I$110,E$4,FALSE),"")</f>
        <v/>
      </c>
      <c r="F6" s="94" t="str">
        <f>IFERROR(VLOOKUP($A6,Worksheet!$A$5:$I$110,F$4,FALSE),"")</f>
        <v/>
      </c>
      <c r="G6" s="94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19">
        <v>407318084</v>
      </c>
      <c r="B7" s="93" t="str">
        <f>IFERROR(VLOOKUP($A7,Worksheet!$A$5:$I$110,B$4,FALSE),"")</f>
        <v/>
      </c>
      <c r="C7" s="93" t="str">
        <f>IFERROR(VLOOKUP($A7,Worksheet!$A$5:$I$110,C$4,FALSE),"")</f>
        <v/>
      </c>
      <c r="D7" s="93" t="str">
        <f>IFERROR(VLOOKUP($A7,Worksheet!$A$5:$I$110,D$4,FALSE),"")</f>
        <v/>
      </c>
      <c r="E7" s="93" t="str">
        <f>IFERROR(VLOOKUP($A7,Worksheet!$A$5:$I$110,E$4,FALSE),"")</f>
        <v/>
      </c>
      <c r="F7" s="93" t="str">
        <f>IFERROR(VLOOKUP($A7,Worksheet!$A$5:$I$110,F$4,FALSE),"")</f>
        <v/>
      </c>
      <c r="G7" s="93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0">
        <v>330404380</v>
      </c>
      <c r="B8" s="94" t="str">
        <f>IFERROR(VLOOKUP($A8,Worksheet!$A$5:$I$110,B$4,FALSE),"")</f>
        <v/>
      </c>
      <c r="C8" s="94" t="str">
        <f>IFERROR(VLOOKUP($A8,Worksheet!$A$5:$I$110,C$4,FALSE),"")</f>
        <v/>
      </c>
      <c r="D8" s="94" t="str">
        <f>IFERROR(VLOOKUP($A8,Worksheet!$A$5:$I$110,D$4,FALSE),"")</f>
        <v/>
      </c>
      <c r="E8" s="94" t="str">
        <f>IFERROR(VLOOKUP($A8,Worksheet!$A$5:$I$110,E$4,FALSE),"")</f>
        <v/>
      </c>
      <c r="F8" s="94" t="str">
        <f>IFERROR(VLOOKUP($A8,Worksheet!$A$5:$I$110,F$4,FALSE),"")</f>
        <v/>
      </c>
      <c r="G8" s="94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19">
        <v>-182569286</v>
      </c>
      <c r="B9" s="93" t="str">
        <f>IFERROR(VLOOKUP($A9,Worksheet!$A$5:$I$110,B$4,FALSE),"")</f>
        <v/>
      </c>
      <c r="C9" s="93" t="str">
        <f>IFERROR(VLOOKUP($A9,Worksheet!$A$5:$I$110,C$4,FALSE),"")</f>
        <v/>
      </c>
      <c r="D9" s="93" t="str">
        <f>IFERROR(VLOOKUP($A9,Worksheet!$A$5:$I$110,D$4,FALSE),"")</f>
        <v/>
      </c>
      <c r="E9" s="93" t="str">
        <f>IFERROR(VLOOKUP($A9,Worksheet!$A$5:$I$110,E$4,FALSE),"")</f>
        <v/>
      </c>
      <c r="F9" s="93" t="str">
        <f>IFERROR(VLOOKUP($A9,Worksheet!$A$5:$I$110,F$4,FALSE),"")</f>
        <v/>
      </c>
      <c r="G9" s="93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0">
        <v>82324729</v>
      </c>
      <c r="B10" s="94" t="str">
        <f>IFERROR(VLOOKUP($A10,Worksheet!$A$5:$I$110,B$4,FALSE),"")</f>
        <v/>
      </c>
      <c r="C10" s="94" t="str">
        <f>IFERROR(VLOOKUP($A10,Worksheet!$A$5:$I$110,C$4,FALSE),"")</f>
        <v/>
      </c>
      <c r="D10" s="94" t="str">
        <f>IFERROR(VLOOKUP($A10,Worksheet!$A$5:$I$110,D$4,FALSE),"")</f>
        <v/>
      </c>
      <c r="E10" s="94" t="str">
        <f>IFERROR(VLOOKUP($A10,Worksheet!$A$5:$I$110,E$4,FALSE),"")</f>
        <v/>
      </c>
      <c r="F10" s="94" t="str">
        <f>IFERROR(VLOOKUP($A10,Worksheet!$A$5:$I$110,F$4,FALSE),"")</f>
        <v/>
      </c>
      <c r="G10" s="94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18" t="s">
        <v>102</v>
      </c>
      <c r="B11" s="100"/>
      <c r="C11" s="100"/>
      <c r="D11" s="100"/>
      <c r="E11" s="100"/>
      <c r="F11" s="100"/>
      <c r="G11" s="100"/>
    </row>
    <row r="12" spans="1:8" x14ac:dyDescent="0.25">
      <c r="A12" s="120">
        <v>-83086660</v>
      </c>
      <c r="B12" s="94" t="str">
        <f>IFERROR(VLOOKUP($A12,Worksheet!$A$5:$I$110,B$4,FALSE),"")</f>
        <v/>
      </c>
      <c r="C12" s="94" t="str">
        <f>IFERROR(VLOOKUP($A12,Worksheet!$A$5:$I$110,C$4,FALSE),"")</f>
        <v/>
      </c>
      <c r="D12" s="94" t="str">
        <f>IFERROR(VLOOKUP($A12,Worksheet!$A$5:$I$110,D$4,FALSE),"")</f>
        <v/>
      </c>
      <c r="E12" s="94" t="str">
        <f>IFERROR(VLOOKUP($A12,Worksheet!$A$5:$I$110,E$4,FALSE),"")</f>
        <v/>
      </c>
      <c r="F12" s="94" t="str">
        <f>IFERROR(VLOOKUP($A12,Worksheet!$A$5:$I$110,F$4,FALSE),"")</f>
        <v/>
      </c>
      <c r="G12" s="94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19">
        <v>-139962380</v>
      </c>
      <c r="B13" s="93" t="str">
        <f>IFERROR(VLOOKUP($A13,Worksheet!$A$5:$I$110,B$4,FALSE),"")</f>
        <v/>
      </c>
      <c r="C13" s="93" t="str">
        <f>IFERROR(VLOOKUP($A13,Worksheet!$A$5:$I$110,C$4,FALSE),"")</f>
        <v/>
      </c>
      <c r="D13" s="93" t="str">
        <f>IFERROR(VLOOKUP($A13,Worksheet!$A$5:$I$110,D$4,FALSE),"")</f>
        <v/>
      </c>
      <c r="E13" s="93" t="str">
        <f>IFERROR(VLOOKUP($A13,Worksheet!$A$5:$I$110,E$4,FALSE),"")</f>
        <v/>
      </c>
      <c r="F13" s="93" t="str">
        <f>IFERROR(VLOOKUP($A13,Worksheet!$A$5:$I$110,F$4,FALSE),"")</f>
        <v/>
      </c>
      <c r="G13" s="93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0">
        <v>-421364563</v>
      </c>
      <c r="B14" s="94" t="str">
        <f>IFERROR(VLOOKUP($A14,Worksheet!$A$5:$I$110,B$4,FALSE),"")</f>
        <v/>
      </c>
      <c r="C14" s="94" t="str">
        <f>IFERROR(VLOOKUP($A14,Worksheet!$A$5:$I$110,C$4,FALSE),"")</f>
        <v/>
      </c>
      <c r="D14" s="94" t="str">
        <f>IFERROR(VLOOKUP($A14,Worksheet!$A$5:$I$110,D$4,FALSE),"")</f>
        <v/>
      </c>
      <c r="E14" s="94" t="str">
        <f>IFERROR(VLOOKUP($A14,Worksheet!$A$5:$I$110,E$4,FALSE),"")</f>
        <v/>
      </c>
      <c r="F14" s="94" t="str">
        <f>IFERROR(VLOOKUP($A14,Worksheet!$A$5:$I$110,F$4,FALSE),"")</f>
        <v/>
      </c>
      <c r="G14" s="94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19">
        <v>-175935206</v>
      </c>
      <c r="B15" s="93" t="str">
        <f>IFERROR(VLOOKUP($A15,Worksheet!$A$5:$I$110,B$4,FALSE),"")</f>
        <v/>
      </c>
      <c r="C15" s="93" t="str">
        <f>IFERROR(VLOOKUP($A15,Worksheet!$A$5:$I$110,C$4,FALSE),"")</f>
        <v/>
      </c>
      <c r="D15" s="93" t="str">
        <f>IFERROR(VLOOKUP($A15,Worksheet!$A$5:$I$110,D$4,FALSE),"")</f>
        <v/>
      </c>
      <c r="E15" s="93" t="str">
        <f>IFERROR(VLOOKUP($A15,Worksheet!$A$5:$I$110,E$4,FALSE),"")</f>
        <v/>
      </c>
      <c r="F15" s="93" t="str">
        <f>IFERROR(VLOOKUP($A15,Worksheet!$A$5:$I$110,F$4,FALSE),"")</f>
        <v/>
      </c>
      <c r="G15" s="93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0">
        <v>280793810</v>
      </c>
      <c r="B16" s="94" t="str">
        <f>IFERROR(VLOOKUP($A16,Worksheet!$A$5:$I$110,B$4,FALSE),"")</f>
        <v/>
      </c>
      <c r="C16" s="94" t="str">
        <f>IFERROR(VLOOKUP($A16,Worksheet!$A$5:$I$110,C$4,FALSE),"")</f>
        <v/>
      </c>
      <c r="D16" s="94" t="str">
        <f>IFERROR(VLOOKUP($A16,Worksheet!$A$5:$I$110,D$4,FALSE),"")</f>
        <v/>
      </c>
      <c r="E16" s="94" t="str">
        <f>IFERROR(VLOOKUP($A16,Worksheet!$A$5:$I$110,E$4,FALSE),"")</f>
        <v/>
      </c>
      <c r="F16" s="94" t="str">
        <f>IFERROR(VLOOKUP($A16,Worksheet!$A$5:$I$110,F$4,FALSE),"")</f>
        <v/>
      </c>
      <c r="G16" s="94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18" t="s">
        <v>104</v>
      </c>
      <c r="B17" s="100"/>
      <c r="C17" s="100"/>
      <c r="D17" s="100"/>
      <c r="E17" s="100"/>
      <c r="F17" s="100"/>
      <c r="G17" s="100"/>
    </row>
    <row r="18" spans="1:8" x14ac:dyDescent="0.25">
      <c r="A18" s="120">
        <v>36563959</v>
      </c>
      <c r="B18" s="94" t="str">
        <f>IFERROR(VLOOKUP($A18,Worksheet!$A$5:$I$110,B$4,FALSE),"")</f>
        <v/>
      </c>
      <c r="C18" s="94" t="str">
        <f>IFERROR(VLOOKUP($A18,Worksheet!$A$5:$I$110,C$4,FALSE),"")</f>
        <v/>
      </c>
      <c r="D18" s="94" t="str">
        <f>IFERROR(VLOOKUP($A18,Worksheet!$A$5:$I$110,D$4,FALSE),"")</f>
        <v/>
      </c>
      <c r="E18" s="94" t="str">
        <f>IFERROR(VLOOKUP($A18,Worksheet!$A$5:$I$110,E$4,FALSE),"")</f>
        <v/>
      </c>
      <c r="F18" s="94" t="str">
        <f>IFERROR(VLOOKUP($A18,Worksheet!$A$5:$I$110,F$4,FALSE),"")</f>
        <v/>
      </c>
      <c r="G18" s="94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19">
        <v>-66073833</v>
      </c>
      <c r="B19" s="93" t="str">
        <f>IFERROR(VLOOKUP($A19,Worksheet!$A$5:$I$110,B$4,FALSE),"")</f>
        <v/>
      </c>
      <c r="C19" s="93" t="str">
        <f>IFERROR(VLOOKUP($A19,Worksheet!$A$5:$I$110,C$4,FALSE),"")</f>
        <v/>
      </c>
      <c r="D19" s="93" t="str">
        <f>IFERROR(VLOOKUP($A19,Worksheet!$A$5:$I$110,D$4,FALSE),"")</f>
        <v/>
      </c>
      <c r="E19" s="93" t="str">
        <f>IFERROR(VLOOKUP($A19,Worksheet!$A$5:$I$110,E$4,FALSE),"")</f>
        <v/>
      </c>
      <c r="F19" s="93" t="str">
        <f>IFERROR(VLOOKUP($A19,Worksheet!$A$5:$I$110,F$4,FALSE),"")</f>
        <v/>
      </c>
      <c r="G19" s="93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0">
        <v>465457095</v>
      </c>
      <c r="B20" s="94" t="str">
        <f>IFERROR(VLOOKUP($A20,Worksheet!$A$5:$I$110,B$4,FALSE),"")</f>
        <v/>
      </c>
      <c r="C20" s="94" t="str">
        <f>IFERROR(VLOOKUP($A20,Worksheet!$A$5:$I$110,C$4,FALSE),"")</f>
        <v/>
      </c>
      <c r="D20" s="94" t="str">
        <f>IFERROR(VLOOKUP($A20,Worksheet!$A$5:$I$110,D$4,FALSE),"")</f>
        <v/>
      </c>
      <c r="E20" s="94" t="str">
        <f>IFERROR(VLOOKUP($A20,Worksheet!$A$5:$I$110,E$4,FALSE),"")</f>
        <v/>
      </c>
      <c r="F20" s="94" t="str">
        <f>IFERROR(VLOOKUP($A20,Worksheet!$A$5:$I$110,F$4,FALSE),"")</f>
        <v/>
      </c>
      <c r="G20" s="94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18" t="s">
        <v>14</v>
      </c>
      <c r="B21" s="100"/>
      <c r="C21" s="100"/>
      <c r="D21" s="100"/>
      <c r="E21" s="100"/>
      <c r="F21" s="100"/>
      <c r="G21" s="100"/>
    </row>
    <row r="22" spans="1:8" x14ac:dyDescent="0.25">
      <c r="A22" s="120">
        <v>-57753614</v>
      </c>
      <c r="B22" s="94" t="str">
        <f>IFERROR(VLOOKUP($A22,Worksheet!$A$5:$I$110,B$4,FALSE),"")</f>
        <v/>
      </c>
      <c r="C22" s="94" t="str">
        <f>IFERROR(VLOOKUP($A22,Worksheet!$A$5:$I$110,C$4,FALSE),"")</f>
        <v/>
      </c>
      <c r="D22" s="94" t="str">
        <f>IFERROR(VLOOKUP($A22,Worksheet!$A$5:$I$110,D$4,FALSE),"")</f>
        <v/>
      </c>
      <c r="E22" s="94" t="str">
        <f>IFERROR(VLOOKUP($A22,Worksheet!$A$5:$I$110,E$4,FALSE),"")</f>
        <v/>
      </c>
      <c r="F22" s="94" t="str">
        <f>IFERROR(VLOOKUP($A22,Worksheet!$A$5:$I$110,F$4,FALSE),"")</f>
        <v/>
      </c>
      <c r="G22" s="94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18" t="s">
        <v>7</v>
      </c>
      <c r="B23" s="100"/>
      <c r="C23" s="100"/>
      <c r="D23" s="100"/>
      <c r="E23" s="100"/>
      <c r="F23" s="100"/>
      <c r="G23" s="100"/>
    </row>
    <row r="24" spans="1:8" x14ac:dyDescent="0.25">
      <c r="A24" s="120">
        <v>226361642</v>
      </c>
      <c r="B24" s="94" t="str">
        <f>IFERROR(VLOOKUP($A24,Worksheet!$A$5:$I$110,B$4,FALSE),"")</f>
        <v/>
      </c>
      <c r="C24" s="94" t="str">
        <f>IFERROR(VLOOKUP($A24,Worksheet!$A$5:$I$110,C$4,FALSE),"")</f>
        <v/>
      </c>
      <c r="D24" s="94" t="str">
        <f>IFERROR(VLOOKUP($A24,Worksheet!$A$5:$I$110,D$4,FALSE),"")</f>
        <v/>
      </c>
      <c r="E24" s="94" t="str">
        <f>IFERROR(VLOOKUP($A24,Worksheet!$A$5:$I$110,E$4,FALSE),"")</f>
        <v/>
      </c>
      <c r="F24" s="94" t="str">
        <f>IFERROR(VLOOKUP($A24,Worksheet!$A$5:$I$110,F$4,FALSE),"")</f>
        <v/>
      </c>
      <c r="G24" s="94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19">
        <v>120236181</v>
      </c>
      <c r="B25" s="93" t="str">
        <f>IFERROR(VLOOKUP($A25,Worksheet!$A$5:$I$110,B$4,FALSE),"")</f>
        <v/>
      </c>
      <c r="C25" s="93" t="str">
        <f>IFERROR(VLOOKUP($A25,Worksheet!$A$5:$I$110,C$4,FALSE),"")</f>
        <v/>
      </c>
      <c r="D25" s="93" t="str">
        <f>IFERROR(VLOOKUP($A25,Worksheet!$A$5:$I$110,D$4,FALSE),"")</f>
        <v/>
      </c>
      <c r="E25" s="93" t="str">
        <f>IFERROR(VLOOKUP($A25,Worksheet!$A$5:$I$110,E$4,FALSE),"")</f>
        <v/>
      </c>
      <c r="F25" s="93" t="str">
        <f>IFERROR(VLOOKUP($A25,Worksheet!$A$5:$I$110,F$4,FALSE),"")</f>
        <v/>
      </c>
      <c r="G25" s="93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18" t="s">
        <v>100</v>
      </c>
      <c r="B26" s="100"/>
      <c r="C26" s="100"/>
      <c r="D26" s="100"/>
      <c r="E26" s="100"/>
      <c r="F26" s="100"/>
      <c r="G26" s="100"/>
    </row>
    <row r="27" spans="1:8" x14ac:dyDescent="0.25">
      <c r="A27" s="119">
        <v>-130603686</v>
      </c>
      <c r="B27" s="93" t="str">
        <f>IFERROR(VLOOKUP($A27,Worksheet!$A$5:$I$110,B$4,FALSE),"")</f>
        <v/>
      </c>
      <c r="C27" s="93" t="str">
        <f>IFERROR(VLOOKUP($A27,Worksheet!$A$5:$I$110,C$4,FALSE),"")</f>
        <v/>
      </c>
      <c r="D27" s="93" t="str">
        <f>IFERROR(VLOOKUP($A27,Worksheet!$A$5:$I$110,D$4,FALSE),"")</f>
        <v/>
      </c>
      <c r="E27" s="93" t="str">
        <f>IFERROR(VLOOKUP($A27,Worksheet!$A$5:$I$110,E$4,FALSE),"")</f>
        <v/>
      </c>
      <c r="F27" s="93" t="str">
        <f>IFERROR(VLOOKUP($A27,Worksheet!$A$5:$I$110,F$4,FALSE),"")</f>
        <v/>
      </c>
      <c r="G27" s="93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0">
        <v>496692070</v>
      </c>
      <c r="B28" s="94" t="str">
        <f>IFERROR(VLOOKUP($A28,Worksheet!$A$5:$I$110,B$4,FALSE),"")</f>
        <v/>
      </c>
      <c r="C28" s="94" t="str">
        <f>IFERROR(VLOOKUP($A28,Worksheet!$A$5:$I$110,C$4,FALSE),"")</f>
        <v/>
      </c>
      <c r="D28" s="94" t="str">
        <f>IFERROR(VLOOKUP($A28,Worksheet!$A$5:$I$110,D$4,FALSE),"")</f>
        <v/>
      </c>
      <c r="E28" s="94" t="str">
        <f>IFERROR(VLOOKUP($A28,Worksheet!$A$5:$I$110,E$4,FALSE),"")</f>
        <v/>
      </c>
      <c r="F28" s="94" t="str">
        <f>IFERROR(VLOOKUP($A28,Worksheet!$A$5:$I$110,F$4,FALSE),"")</f>
        <v/>
      </c>
      <c r="G28" s="94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19">
        <v>236682244</v>
      </c>
      <c r="B29" s="93" t="str">
        <f>IFERROR(VLOOKUP($A29,Worksheet!$A$5:$I$110,B$4,FALSE),"")</f>
        <v/>
      </c>
      <c r="C29" s="93" t="str">
        <f>IFERROR(VLOOKUP($A29,Worksheet!$A$5:$I$110,C$4,FALSE),"")</f>
        <v/>
      </c>
      <c r="D29" s="93" t="str">
        <f>IFERROR(VLOOKUP($A29,Worksheet!$A$5:$I$110,D$4,FALSE),"")</f>
        <v/>
      </c>
      <c r="E29" s="93" t="str">
        <f>IFERROR(VLOOKUP($A29,Worksheet!$A$5:$I$110,E$4,FALSE),"")</f>
        <v/>
      </c>
      <c r="F29" s="93" t="str">
        <f>IFERROR(VLOOKUP($A29,Worksheet!$A$5:$I$110,F$4,FALSE),"")</f>
        <v/>
      </c>
      <c r="G29" s="93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0">
        <v>262234357</v>
      </c>
      <c r="B30" s="94" t="str">
        <f>IFERROR(VLOOKUP($A30,Worksheet!$A$5:$I$110,B$4,FALSE),"")</f>
        <v/>
      </c>
      <c r="C30" s="94" t="str">
        <f>IFERROR(VLOOKUP($A30,Worksheet!$A$5:$I$110,C$4,FALSE),"")</f>
        <v/>
      </c>
      <c r="D30" s="94" t="str">
        <f>IFERROR(VLOOKUP($A30,Worksheet!$A$5:$I$110,D$4,FALSE),"")</f>
        <v/>
      </c>
      <c r="E30" s="94" t="str">
        <f>IFERROR(VLOOKUP($A30,Worksheet!$A$5:$I$110,E$4,FALSE),"")</f>
        <v/>
      </c>
      <c r="F30" s="94" t="str">
        <f>IFERROR(VLOOKUP($A30,Worksheet!$A$5:$I$110,F$4,FALSE),"")</f>
        <v/>
      </c>
      <c r="G30" s="94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19">
        <v>-172668313</v>
      </c>
      <c r="B31" s="93" t="str">
        <f>IFERROR(VLOOKUP($A31,Worksheet!$A$5:$I$110,B$4,FALSE),"")</f>
        <v/>
      </c>
      <c r="C31" s="93" t="str">
        <f>IFERROR(VLOOKUP($A31,Worksheet!$A$5:$I$110,C$4,FALSE),"")</f>
        <v/>
      </c>
      <c r="D31" s="93" t="str">
        <f>IFERROR(VLOOKUP($A31,Worksheet!$A$5:$I$110,D$4,FALSE),"")</f>
        <v/>
      </c>
      <c r="E31" s="93" t="str">
        <f>IFERROR(VLOOKUP($A31,Worksheet!$A$5:$I$110,E$4,FALSE),"")</f>
        <v/>
      </c>
      <c r="F31" s="93" t="str">
        <f>IFERROR(VLOOKUP($A31,Worksheet!$A$5:$I$110,F$4,FALSE),"")</f>
        <v/>
      </c>
      <c r="G31" s="93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0">
        <v>382924314</v>
      </c>
      <c r="B32" s="94" t="str">
        <f>IFERROR(VLOOKUP($A32,Worksheet!$A$5:$I$110,B$4,FALSE),"")</f>
        <v/>
      </c>
      <c r="C32" s="94" t="str">
        <f>IFERROR(VLOOKUP($A32,Worksheet!$A$5:$I$110,C$4,FALSE),"")</f>
        <v/>
      </c>
      <c r="D32" s="94" t="str">
        <f>IFERROR(VLOOKUP($A32,Worksheet!$A$5:$I$110,D$4,FALSE),"")</f>
        <v/>
      </c>
      <c r="E32" s="94" t="str">
        <f>IFERROR(VLOOKUP($A32,Worksheet!$A$5:$I$110,E$4,FALSE),"")</f>
        <v/>
      </c>
      <c r="F32" s="94" t="str">
        <f>IFERROR(VLOOKUP($A32,Worksheet!$A$5:$I$110,F$4,FALSE),"")</f>
        <v/>
      </c>
      <c r="G32" s="94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19">
        <v>410868578</v>
      </c>
      <c r="B33" s="93" t="str">
        <f>IFERROR(VLOOKUP($A33,Worksheet!$A$5:$I$110,B$4,FALSE),"")</f>
        <v/>
      </c>
      <c r="C33" s="93" t="str">
        <f>IFERROR(VLOOKUP($A33,Worksheet!$A$5:$I$110,C$4,FALSE),"")</f>
        <v/>
      </c>
      <c r="D33" s="93" t="str">
        <f>IFERROR(VLOOKUP($A33,Worksheet!$A$5:$I$110,D$4,FALSE),"")</f>
        <v/>
      </c>
      <c r="E33" s="93" t="str">
        <f>IFERROR(VLOOKUP($A33,Worksheet!$A$5:$I$110,E$4,FALSE),"")</f>
        <v/>
      </c>
      <c r="F33" s="93" t="str">
        <f>IFERROR(VLOOKUP($A33,Worksheet!$A$5:$I$110,F$4,FALSE),"")</f>
        <v/>
      </c>
      <c r="G33" s="93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0">
        <v>-417944664</v>
      </c>
      <c r="B34" s="94" t="str">
        <f>IFERROR(VLOOKUP($A34,Worksheet!$A$5:$I$110,B$4,FALSE),"")</f>
        <v/>
      </c>
      <c r="C34" s="94" t="str">
        <f>IFERROR(VLOOKUP($A34,Worksheet!$A$5:$I$110,C$4,FALSE),"")</f>
        <v/>
      </c>
      <c r="D34" s="94" t="str">
        <f>IFERROR(VLOOKUP($A34,Worksheet!$A$5:$I$110,D$4,FALSE),"")</f>
        <v/>
      </c>
      <c r="E34" s="94" t="str">
        <f>IFERROR(VLOOKUP($A34,Worksheet!$A$5:$I$110,E$4,FALSE),"")</f>
        <v/>
      </c>
      <c r="F34" s="94" t="str">
        <f>IFERROR(VLOOKUP($A34,Worksheet!$A$5:$I$110,F$4,FALSE),"")</f>
        <v/>
      </c>
      <c r="G34" s="94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18" t="s">
        <v>101</v>
      </c>
      <c r="B35" s="100"/>
      <c r="C35" s="100"/>
      <c r="D35" s="100"/>
      <c r="E35" s="100"/>
      <c r="F35" s="100"/>
      <c r="G35" s="100"/>
    </row>
    <row r="36" spans="1:8" x14ac:dyDescent="0.25">
      <c r="A36" s="120">
        <v>-21486868</v>
      </c>
      <c r="B36" s="94" t="str">
        <f>IFERROR(VLOOKUP($A36,Worksheet!$A$5:$I$110,B$4,FALSE),"")</f>
        <v/>
      </c>
      <c r="C36" s="94" t="str">
        <f>IFERROR(VLOOKUP($A36,Worksheet!$A$5:$I$110,C$4,FALSE),"")</f>
        <v/>
      </c>
      <c r="D36" s="94" t="str">
        <f>IFERROR(VLOOKUP($A36,Worksheet!$A$5:$I$110,D$4,FALSE),"")</f>
        <v/>
      </c>
      <c r="E36" s="94" t="str">
        <f>IFERROR(VLOOKUP($A36,Worksheet!$A$5:$I$110,E$4,FALSE),"")</f>
        <v/>
      </c>
      <c r="F36" s="94" t="str">
        <f>IFERROR(VLOOKUP($A36,Worksheet!$A$5:$I$110,F$4,FALSE),"")</f>
        <v/>
      </c>
      <c r="G36" s="94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19">
        <v>-6474445</v>
      </c>
      <c r="B37" s="93" t="str">
        <f>IFERROR(VLOOKUP($A37,Worksheet!$A$5:$I$110,B$4,FALSE),"")</f>
        <v/>
      </c>
      <c r="C37" s="93" t="str">
        <f>IFERROR(VLOOKUP($A37,Worksheet!$A$5:$I$110,C$4,FALSE),"")</f>
        <v/>
      </c>
      <c r="D37" s="93" t="str">
        <f>IFERROR(VLOOKUP($A37,Worksheet!$A$5:$I$110,D$4,FALSE),"")</f>
        <v/>
      </c>
      <c r="E37" s="93" t="str">
        <f>IFERROR(VLOOKUP($A37,Worksheet!$A$5:$I$110,E$4,FALSE),"")</f>
        <v/>
      </c>
      <c r="F37" s="93" t="str">
        <f>IFERROR(VLOOKUP($A37,Worksheet!$A$5:$I$110,F$4,FALSE),"")</f>
        <v/>
      </c>
      <c r="G37" s="93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0">
        <v>251385326</v>
      </c>
      <c r="B38" s="94" t="str">
        <f>IFERROR(VLOOKUP($A38,Worksheet!$A$5:$I$110,B$4,FALSE),"")</f>
        <v/>
      </c>
      <c r="C38" s="94" t="str">
        <f>IFERROR(VLOOKUP($A38,Worksheet!$A$5:$I$110,C$4,FALSE),"")</f>
        <v/>
      </c>
      <c r="D38" s="94" t="str">
        <f>IFERROR(VLOOKUP($A38,Worksheet!$A$5:$I$110,D$4,FALSE),"")</f>
        <v/>
      </c>
      <c r="E38" s="94" t="str">
        <f>IFERROR(VLOOKUP($A38,Worksheet!$A$5:$I$110,E$4,FALSE),"")</f>
        <v/>
      </c>
      <c r="F38" s="94" t="str">
        <f>IFERROR(VLOOKUP($A38,Worksheet!$A$5:$I$110,F$4,FALSE),"")</f>
        <v/>
      </c>
      <c r="G38" s="94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19">
        <v>-146082280</v>
      </c>
      <c r="B39" s="93" t="str">
        <f>IFERROR(VLOOKUP($A39,Worksheet!$A$5:$I$110,B$4,FALSE),"")</f>
        <v/>
      </c>
      <c r="C39" s="93" t="str">
        <f>IFERROR(VLOOKUP($A39,Worksheet!$A$5:$I$110,C$4,FALSE),"")</f>
        <v/>
      </c>
      <c r="D39" s="93" t="str">
        <f>IFERROR(VLOOKUP($A39,Worksheet!$A$5:$I$110,D$4,FALSE),"")</f>
        <v/>
      </c>
      <c r="E39" s="93" t="str">
        <f>IFERROR(VLOOKUP($A39,Worksheet!$A$5:$I$110,E$4,FALSE),"")</f>
        <v/>
      </c>
      <c r="F39" s="93" t="str">
        <f>IFERROR(VLOOKUP($A39,Worksheet!$A$5:$I$110,F$4,FALSE),"")</f>
        <v/>
      </c>
      <c r="G39" s="93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0">
        <v>267957746</v>
      </c>
      <c r="B40" s="94" t="str">
        <f>IFERROR(VLOOKUP($A40,Worksheet!$A$5:$I$110,B$4,FALSE),"")</f>
        <v/>
      </c>
      <c r="C40" s="94" t="str">
        <f>IFERROR(VLOOKUP($A40,Worksheet!$A$5:$I$110,C$4,FALSE),"")</f>
        <v/>
      </c>
      <c r="D40" s="94" t="str">
        <f>IFERROR(VLOOKUP($A40,Worksheet!$A$5:$I$110,D$4,FALSE),"")</f>
        <v/>
      </c>
      <c r="E40" s="94" t="str">
        <f>IFERROR(VLOOKUP($A40,Worksheet!$A$5:$I$110,E$4,FALSE),"")</f>
        <v/>
      </c>
      <c r="F40" s="94" t="str">
        <f>IFERROR(VLOOKUP($A40,Worksheet!$A$5:$I$110,F$4,FALSE),"")</f>
        <v/>
      </c>
      <c r="G40" s="94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19">
        <v>-103933429</v>
      </c>
      <c r="B41" s="93" t="str">
        <f>IFERROR(VLOOKUP($A41,Worksheet!$A$5:$I$110,B$4,FALSE),"")</f>
        <v/>
      </c>
      <c r="C41" s="93" t="str">
        <f>IFERROR(VLOOKUP($A41,Worksheet!$A$5:$I$110,C$4,FALSE),"")</f>
        <v/>
      </c>
      <c r="D41" s="93" t="str">
        <f>IFERROR(VLOOKUP($A41,Worksheet!$A$5:$I$110,D$4,FALSE),"")</f>
        <v/>
      </c>
      <c r="E41" s="93" t="str">
        <f>IFERROR(VLOOKUP($A41,Worksheet!$A$5:$I$110,E$4,FALSE),"")</f>
        <v/>
      </c>
      <c r="F41" s="93" t="str">
        <f>IFERROR(VLOOKUP($A41,Worksheet!$A$5:$I$110,F$4,FALSE),"")</f>
        <v/>
      </c>
      <c r="G41" s="93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0">
        <v>341390981</v>
      </c>
      <c r="B42" s="94" t="str">
        <f>IFERROR(VLOOKUP($A42,Worksheet!$A$5:$I$110,B$4,FALSE),"")</f>
        <v/>
      </c>
      <c r="C42" s="94" t="str">
        <f>IFERROR(VLOOKUP($A42,Worksheet!$A$5:$I$110,C$4,FALSE),"")</f>
        <v/>
      </c>
      <c r="D42" s="94" t="str">
        <f>IFERROR(VLOOKUP($A42,Worksheet!$A$5:$I$110,D$4,FALSE),"")</f>
        <v/>
      </c>
      <c r="E42" s="94" t="str">
        <f>IFERROR(VLOOKUP($A42,Worksheet!$A$5:$I$110,E$4,FALSE),"")</f>
        <v/>
      </c>
      <c r="F42" s="94" t="str">
        <f>IFERROR(VLOOKUP($A42,Worksheet!$A$5:$I$110,F$4,FALSE),"")</f>
        <v/>
      </c>
      <c r="G42" s="94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19">
        <v>-465464144</v>
      </c>
      <c r="B43" s="93" t="str">
        <f>IFERROR(VLOOKUP($A43,Worksheet!$A$5:$I$110,B$4,FALSE),"")</f>
        <v/>
      </c>
      <c r="C43" s="93" t="str">
        <f>IFERROR(VLOOKUP($A43,Worksheet!$A$5:$I$110,C$4,FALSE),"")</f>
        <v/>
      </c>
      <c r="D43" s="93" t="str">
        <f>IFERROR(VLOOKUP($A43,Worksheet!$A$5:$I$110,D$4,FALSE),"")</f>
        <v/>
      </c>
      <c r="E43" s="93" t="str">
        <f>IFERROR(VLOOKUP($A43,Worksheet!$A$5:$I$110,E$4,FALSE),"")</f>
        <v/>
      </c>
      <c r="F43" s="93" t="str">
        <f>IFERROR(VLOOKUP($A43,Worksheet!$A$5:$I$110,F$4,FALSE),"")</f>
        <v/>
      </c>
      <c r="G43" s="93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18" t="s">
        <v>119</v>
      </c>
      <c r="B44" s="100"/>
      <c r="C44" s="100"/>
      <c r="D44" s="100"/>
      <c r="E44" s="100"/>
      <c r="F44" s="100"/>
      <c r="G44" s="100"/>
    </row>
    <row r="45" spans="1:8" x14ac:dyDescent="0.25">
      <c r="A45" s="119">
        <v>-308899653</v>
      </c>
      <c r="B45" s="93" t="str">
        <f>IFERROR(VLOOKUP($A45,Worksheet!$A$5:$I$110,B$4,FALSE),"")</f>
        <v/>
      </c>
      <c r="C45" s="93" t="str">
        <f>IFERROR(VLOOKUP($A45,Worksheet!$A$5:$I$110,C$4,FALSE),"")</f>
        <v/>
      </c>
      <c r="D45" s="93" t="str">
        <f>IFERROR(VLOOKUP($A45,Worksheet!$A$5:$I$110,D$4,FALSE),"")</f>
        <v/>
      </c>
      <c r="E45" s="93" t="str">
        <f>IFERROR(VLOOKUP($A45,Worksheet!$A$5:$I$110,E$4,FALSE),"")</f>
        <v/>
      </c>
      <c r="F45" s="93" t="str">
        <f>IFERROR(VLOOKUP($A45,Worksheet!$A$5:$I$110,F$4,FALSE),"")</f>
        <v/>
      </c>
      <c r="G45" s="93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4"/>
      <c r="C46" s="124"/>
      <c r="D46" s="124"/>
      <c r="E46" s="124"/>
      <c r="F46" s="124"/>
      <c r="G46" s="124"/>
    </row>
    <row r="47" spans="1:8" x14ac:dyDescent="0.25">
      <c r="B47" s="124"/>
      <c r="C47" s="124"/>
      <c r="D47" s="124"/>
      <c r="E47" s="124"/>
      <c r="F47" s="124"/>
      <c r="G47" s="124"/>
    </row>
    <row r="48" spans="1:8" x14ac:dyDescent="0.25">
      <c r="B48" s="124"/>
      <c r="C48" s="124"/>
      <c r="D48" s="124"/>
      <c r="E48" s="124"/>
      <c r="F48" s="124"/>
      <c r="G48" s="124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opLeftCell="G1" zoomScaleNormal="100" workbookViewId="0">
      <selection activeCell="AD19" sqref="AD19"/>
    </sheetView>
  </sheetViews>
  <sheetFormatPr defaultColWidth="9.28515625" defaultRowHeight="15" x14ac:dyDescent="0.25"/>
  <cols>
    <col min="1" max="1" width="14.42578125" style="88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85" customWidth="1"/>
    <col min="10" max="10" width="8.5703125" style="102" hidden="1" customWidth="1"/>
    <col min="11" max="11" width="6" style="63" customWidth="1"/>
    <col min="12" max="12" width="7.5703125" style="63" customWidth="1"/>
    <col min="13" max="13" width="25.7109375" customWidth="1"/>
    <col min="14" max="14" width="8" customWidth="1"/>
    <col min="15" max="15" width="7.7109375" hidden="1" customWidth="1"/>
    <col min="16" max="16" width="7.5703125" hidden="1" customWidth="1"/>
    <col min="17" max="17" width="7.28515625" hidden="1" customWidth="1"/>
    <col min="18" max="18" width="8.28515625" hidden="1" customWidth="1"/>
    <col min="19" max="19" width="9.85546875" style="63" bestFit="1" customWidth="1"/>
    <col min="20" max="20" width="5.28515625" style="63" bestFit="1" customWidth="1"/>
    <col min="21" max="21" width="12.7109375" style="63" customWidth="1"/>
    <col min="22" max="22" width="13.7109375" style="63" customWidth="1"/>
    <col min="23" max="23" width="8" style="63" customWidth="1"/>
    <col min="24" max="25" width="9.28515625" style="63"/>
    <col min="26" max="26" width="9.28515625" style="63" bestFit="1" customWidth="1"/>
    <col min="27" max="27" width="10.28515625" style="63" bestFit="1" customWidth="1"/>
    <col min="28" max="28" width="10.7109375" customWidth="1"/>
    <col min="29" max="29" width="11.28515625" customWidth="1"/>
    <col min="30" max="31" width="10.42578125" style="63" customWidth="1"/>
    <col min="32" max="32" width="10.28515625" hidden="1" customWidth="1"/>
    <col min="33" max="33" width="13.140625" hidden="1" customWidth="1"/>
    <col min="34" max="34" width="9.140625" hidden="1" customWidth="1"/>
    <col min="35" max="35" width="9.140625" bestFit="1" customWidth="1"/>
    <col min="36" max="38" width="12" customWidth="1"/>
  </cols>
  <sheetData>
    <row r="1" spans="1:38" ht="18.75" x14ac:dyDescent="0.3">
      <c r="A1" s="121"/>
      <c r="B1" s="1"/>
      <c r="C1" s="2"/>
      <c r="D1" s="3" t="s">
        <v>20</v>
      </c>
      <c r="E1" s="2"/>
      <c r="F1" s="2" t="s">
        <v>63</v>
      </c>
      <c r="G1" s="2"/>
      <c r="H1" s="25"/>
      <c r="I1" s="55"/>
      <c r="J1" s="103"/>
      <c r="K1" s="52"/>
      <c r="L1" s="33"/>
      <c r="M1" s="137" t="s">
        <v>138</v>
      </c>
      <c r="N1" s="4"/>
      <c r="O1" s="5"/>
      <c r="P1" s="5"/>
      <c r="Q1" s="5"/>
      <c r="R1" s="5"/>
      <c r="S1" s="125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32"/>
      <c r="AH1" s="90"/>
    </row>
    <row r="2" spans="1:38" ht="18" x14ac:dyDescent="0.25">
      <c r="A2" s="87"/>
      <c r="B2" s="10"/>
      <c r="C2" s="131" t="s">
        <v>64</v>
      </c>
      <c r="D2" s="132"/>
      <c r="E2" s="132"/>
      <c r="F2" s="53" t="s">
        <v>2034</v>
      </c>
      <c r="G2" s="11"/>
      <c r="H2" s="26"/>
      <c r="I2" s="56"/>
      <c r="J2" s="101"/>
      <c r="K2" s="49"/>
      <c r="L2" s="34"/>
      <c r="M2" s="137"/>
      <c r="N2" s="12"/>
      <c r="O2" s="5"/>
      <c r="P2" s="5"/>
      <c r="Q2" s="5"/>
      <c r="R2" s="5"/>
      <c r="S2" s="125"/>
      <c r="T2" s="7"/>
      <c r="U2" s="7"/>
      <c r="V2" s="6"/>
      <c r="W2" s="7"/>
      <c r="X2" s="8" t="s">
        <v>24</v>
      </c>
      <c r="Y2" s="7"/>
      <c r="Z2" s="7"/>
      <c r="AA2" s="9" t="s">
        <v>26</v>
      </c>
      <c r="AB2" s="7"/>
      <c r="AC2" s="7"/>
      <c r="AD2" s="7" t="s">
        <v>5</v>
      </c>
      <c r="AE2" s="30" t="s">
        <v>25</v>
      </c>
      <c r="AF2" s="6"/>
      <c r="AG2" s="32"/>
      <c r="AH2" s="90"/>
    </row>
    <row r="3" spans="1:38" ht="16.5" customHeight="1" thickBot="1" x14ac:dyDescent="0.3">
      <c r="A3" s="87"/>
      <c r="B3" s="10"/>
      <c r="C3" s="13"/>
      <c r="D3" s="14"/>
      <c r="E3" s="115"/>
      <c r="F3" s="80">
        <v>45196</v>
      </c>
      <c r="G3" s="15"/>
      <c r="H3" s="26"/>
      <c r="I3" s="56"/>
      <c r="J3" s="101"/>
      <c r="K3" s="111"/>
      <c r="L3" s="34"/>
      <c r="M3" s="59">
        <v>45176.398333333331</v>
      </c>
      <c r="N3" s="5"/>
      <c r="O3" s="5"/>
      <c r="P3" s="5"/>
      <c r="Q3" s="5"/>
      <c r="R3" s="5"/>
      <c r="S3" s="125"/>
      <c r="T3" s="7"/>
      <c r="U3" s="133" t="s">
        <v>27</v>
      </c>
      <c r="V3" s="28"/>
      <c r="W3" s="7"/>
      <c r="X3" s="8"/>
      <c r="Y3" s="7"/>
      <c r="Z3" s="7" t="s">
        <v>1929</v>
      </c>
      <c r="AA3" s="7"/>
      <c r="AB3" s="7"/>
      <c r="AC3" s="7"/>
      <c r="AD3" s="7" t="s">
        <v>11</v>
      </c>
      <c r="AE3" s="7"/>
      <c r="AF3" s="6"/>
      <c r="AG3" s="129" t="s">
        <v>50</v>
      </c>
      <c r="AH3" s="91"/>
    </row>
    <row r="4" spans="1:38" ht="15.75" x14ac:dyDescent="0.25">
      <c r="A4" s="87"/>
      <c r="B4" s="1"/>
      <c r="C4" s="14"/>
      <c r="E4" s="14"/>
      <c r="F4" s="14"/>
      <c r="G4" s="14"/>
      <c r="H4" s="26"/>
      <c r="I4" s="56"/>
      <c r="J4" s="101"/>
      <c r="K4" s="49"/>
      <c r="L4" s="34"/>
      <c r="M4" s="16"/>
      <c r="N4" s="95" t="s">
        <v>2030</v>
      </c>
      <c r="O4" s="5"/>
      <c r="P4" s="5"/>
      <c r="Q4" s="5"/>
      <c r="R4" s="5"/>
      <c r="S4" s="125"/>
      <c r="T4" s="7"/>
      <c r="U4" s="133"/>
      <c r="V4" s="28"/>
      <c r="W4" s="7"/>
      <c r="X4" s="8"/>
      <c r="Y4" s="7"/>
      <c r="Z4" s="7" t="s">
        <v>62</v>
      </c>
      <c r="AA4" s="7"/>
      <c r="AB4" s="7"/>
      <c r="AC4" s="7"/>
      <c r="AD4" s="17"/>
      <c r="AE4" s="17"/>
      <c r="AF4" s="6"/>
      <c r="AG4" s="129"/>
      <c r="AH4" s="91"/>
    </row>
    <row r="5" spans="1:38" ht="39" customHeight="1" x14ac:dyDescent="0.25">
      <c r="A5" s="122" t="s">
        <v>2032</v>
      </c>
      <c r="B5" s="37" t="s">
        <v>29</v>
      </c>
      <c r="C5" s="38" t="s">
        <v>18</v>
      </c>
      <c r="D5" s="39" t="s">
        <v>30</v>
      </c>
      <c r="E5" s="38" t="s">
        <v>31</v>
      </c>
      <c r="F5" s="38" t="s">
        <v>32</v>
      </c>
      <c r="G5" s="38" t="s">
        <v>33</v>
      </c>
      <c r="H5" s="40" t="s">
        <v>34</v>
      </c>
      <c r="I5" s="57" t="s">
        <v>98</v>
      </c>
      <c r="J5" s="104" t="s">
        <v>0</v>
      </c>
      <c r="K5" s="36" t="s">
        <v>48</v>
      </c>
      <c r="L5" s="35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26" t="s">
        <v>116</v>
      </c>
      <c r="T5" s="29" t="s">
        <v>117</v>
      </c>
      <c r="U5" s="134"/>
      <c r="V5" s="29" t="s">
        <v>28</v>
      </c>
      <c r="W5" s="20" t="s">
        <v>18</v>
      </c>
      <c r="X5" s="21" t="s">
        <v>36</v>
      </c>
      <c r="Y5" s="22" t="s">
        <v>37</v>
      </c>
      <c r="Z5" s="22" t="s">
        <v>38</v>
      </c>
      <c r="AA5" s="22" t="s">
        <v>39</v>
      </c>
      <c r="AB5" s="22" t="s">
        <v>41</v>
      </c>
      <c r="AC5" s="22" t="s">
        <v>40</v>
      </c>
      <c r="AD5" s="51" t="s">
        <v>17</v>
      </c>
      <c r="AE5" s="135" t="s">
        <v>42</v>
      </c>
      <c r="AF5" s="136"/>
      <c r="AG5" s="130"/>
      <c r="AH5" s="91" t="s">
        <v>2033</v>
      </c>
      <c r="AI5" s="27"/>
      <c r="AJ5" s="54"/>
      <c r="AK5" s="27"/>
      <c r="AL5" s="27"/>
    </row>
    <row r="6" spans="1:38" x14ac:dyDescent="0.25">
      <c r="A6" s="123" t="str" cm="1">
        <f t="array" ref="A6">IfEmpty(TRIM(_xlfn.CONCAT(C6:H6)),"",CRC32HASH(_xlfn.CONCAT(C6:H6)))</f>
        <v/>
      </c>
      <c r="B6" s="10" t="str">
        <f>IFERROR(VLOOKUP(J6,Table1[],2,FALSE),"")</f>
        <v/>
      </c>
      <c r="C6" s="41" t="str" cm="1">
        <f t="array" ref="C6">W6&amp;" "&amp;IfEmpty(U6,X6)</f>
        <v xml:space="preserve"> </v>
      </c>
      <c r="D6" s="50" t="str">
        <f t="shared" ref="D6:D37" si="0">IF(OR(X6="°C", X6="°F"), Z6 &amp; " " &amp; X6, IF(RIGHT(AG6,2)="Hz", AF6 &amp; " @ " &amp; Z6 &amp; AG6, Z6 &amp; " " &amp; AG6 &amp; Y6 &amp; " " &amp; AF6))</f>
        <v xml:space="preserve">  </v>
      </c>
      <c r="E6" s="67" t="str">
        <f>IFERROR(ROUND(AVERAGE(N6:R6),-LOG10(V6))&amp;AH6,"")</f>
        <v/>
      </c>
      <c r="F6" s="48" t="str">
        <f t="shared" ref="F6:F37" si="1">IF(AB6="","",AB6&amp;$AH6)</f>
        <v/>
      </c>
      <c r="G6" s="48" t="str">
        <f t="shared" ref="G6:G37" si="2">IF(AC6="","",AC6&amp;$AH6)</f>
        <v/>
      </c>
      <c r="H6" s="42" t="str" cm="1">
        <f t="array" ref="H6:J6">IFERROR(CalcUnc(K6,L6,S6,T6,V6,X6,AD6,AE6,N6:R6,Z6,AA6),"")</f>
        <v/>
      </c>
      <c r="I6" s="58" t="str">
        <v/>
      </c>
      <c r="J6" s="105" t="str">
        <v/>
      </c>
      <c r="K6" s="65"/>
      <c r="L6" s="66"/>
      <c r="M6" s="24"/>
      <c r="N6" s="60"/>
      <c r="O6" s="61"/>
      <c r="P6" s="61"/>
      <c r="Q6" s="61"/>
      <c r="R6" s="62"/>
      <c r="S6" s="69"/>
      <c r="T6" s="69"/>
      <c r="U6" s="69"/>
      <c r="V6" s="70"/>
      <c r="W6" s="71"/>
      <c r="X6" s="72"/>
      <c r="Y6" s="89" t="str" cm="1">
        <f t="array" ref="Y6">GetPolarity(X6,AE6)</f>
        <v/>
      </c>
      <c r="Z6" s="73"/>
      <c r="AA6" s="74"/>
      <c r="AB6" s="86" t="str">
        <f t="shared" ref="AB6:AB37" si="3">IF(V6&lt;&gt;"",ROUND(Z6-AA6,-LOG10(V6)),"")</f>
        <v/>
      </c>
      <c r="AC6" s="86" t="str">
        <f t="shared" ref="AC6:AC37" si="4">IF(V6&lt;&gt;"",ROUND(Z6+AA6,-LOG10(V6)),"")</f>
        <v/>
      </c>
      <c r="AD6" s="78"/>
      <c r="AE6" s="79"/>
      <c r="AF6" s="23" t="str">
        <f>IF(RIGHT(AE6,2)="Hz","@ ","")&amp;AD6&amp;AE6</f>
        <v/>
      </c>
      <c r="AG6" s="31" t="str" cm="1">
        <f t="array" ref="AG6">FilterSpecialCharacters(X6)</f>
        <v/>
      </c>
      <c r="AH6" s="90" t="str">
        <f>" "&amp;AG6&amp;IF($Y6="",""," ("&amp;$Y6&amp;")")</f>
        <v xml:space="preserve"> </v>
      </c>
    </row>
    <row r="7" spans="1:38" x14ac:dyDescent="0.25">
      <c r="A7" s="123" t="str" cm="1">
        <f t="array" ref="A7">IfEmpty(TRIM(_xlfn.CONCAT(C7:H7)),"",CRC32HASH(_xlfn.CONCAT(C7:H7)))</f>
        <v/>
      </c>
      <c r="B7" s="46" t="str">
        <f>IFERROR(VLOOKUP(J7,Table1[],2,FALSE),"")</f>
        <v/>
      </c>
      <c r="C7" s="43" t="str" cm="1">
        <f t="array" ref="C7">W7&amp;" "&amp;IfEmpty(U7,X7)</f>
        <v xml:space="preserve"> </v>
      </c>
      <c r="D7" s="44" t="str">
        <f t="shared" si="0"/>
        <v xml:space="preserve">  </v>
      </c>
      <c r="E7" s="68" t="str">
        <f>IFERROR(ROUND(AVERAGE(N7:R7),-LOG10(V7))&amp;AH7,"")</f>
        <v/>
      </c>
      <c r="F7" s="49" t="str">
        <f t="shared" si="1"/>
        <v/>
      </c>
      <c r="G7" s="49" t="str">
        <f t="shared" si="2"/>
        <v/>
      </c>
      <c r="H7" s="45" t="str" cm="1">
        <f t="array" ref="H7:J7">IFERROR(CalcUnc(K7,L7,S7,T7,V7,X7,AD7,AE7,N7:R7,Z7,AA7),"")</f>
        <v/>
      </c>
      <c r="I7" s="58" t="str">
        <v/>
      </c>
      <c r="J7" s="105" t="str">
        <v/>
      </c>
      <c r="K7" s="65"/>
      <c r="L7" s="66"/>
      <c r="M7" s="24"/>
      <c r="N7" s="60"/>
      <c r="O7" s="61"/>
      <c r="P7" s="61"/>
      <c r="Q7" s="61"/>
      <c r="R7" s="62"/>
      <c r="S7" s="69"/>
      <c r="T7" s="69"/>
      <c r="U7" s="69"/>
      <c r="V7" s="70"/>
      <c r="W7" s="71"/>
      <c r="X7" s="75"/>
      <c r="Y7" s="89" t="str" cm="1">
        <f t="array" ref="Y7">GetPolarity(X7,AE7)</f>
        <v/>
      </c>
      <c r="Z7" s="73"/>
      <c r="AA7" s="74"/>
      <c r="AB7" s="86" t="str">
        <f t="shared" si="3"/>
        <v/>
      </c>
      <c r="AC7" s="86" t="str">
        <f t="shared" si="4"/>
        <v/>
      </c>
      <c r="AD7" s="78"/>
      <c r="AE7" s="79"/>
      <c r="AF7" s="23" t="str">
        <f t="shared" ref="AF7:AF70" si="5">IF(RIGHT(AE7,2)="Hz","@ ","")&amp;AD7&amp;AE7</f>
        <v/>
      </c>
      <c r="AG7" s="31" t="str" cm="1">
        <f t="array" ref="AG7">FilterSpecialCharacters(X7)</f>
        <v/>
      </c>
      <c r="AH7" s="90" t="str">
        <f t="shared" ref="AH7:AH70" si="6">" "&amp;AG7&amp;IF($Y7="",""," ("&amp;$Y7&amp;")")</f>
        <v xml:space="preserve"> </v>
      </c>
    </row>
    <row r="8" spans="1:38" x14ac:dyDescent="0.25">
      <c r="A8" s="123" t="str" cm="1">
        <f t="array" ref="A8">IfEmpty(TRIM(_xlfn.CONCAT(C8:H8)),"",CRC32HASH(_xlfn.CONCAT(C8:H8)))</f>
        <v/>
      </c>
      <c r="B8" s="10" t="str">
        <f>IFERROR(VLOOKUP(J8,Table1[],2,FALSE),"")</f>
        <v/>
      </c>
      <c r="C8" s="41" t="str" cm="1">
        <f t="array" ref="C8">W8&amp;" "&amp;IfEmpty(U8,X8)</f>
        <v xml:space="preserve"> </v>
      </c>
      <c r="D8" s="50" t="str">
        <f t="shared" si="0"/>
        <v xml:space="preserve">  </v>
      </c>
      <c r="E8" s="67" t="str">
        <f t="shared" ref="E8:E71" si="7">IFERROR(ROUND(AVERAGE(N8:R8),-LOG10(V8))&amp;AH8,"")</f>
        <v/>
      </c>
      <c r="F8" s="48" t="str">
        <f t="shared" si="1"/>
        <v/>
      </c>
      <c r="G8" s="48" t="str">
        <f t="shared" si="2"/>
        <v/>
      </c>
      <c r="H8" s="42" t="str" cm="1">
        <f t="array" ref="H8:J8">IFERROR(CalcUnc(K8,L8,S8,T8,V8,X8,AD8,AE8,N8:R8,Z8,AA8),"")</f>
        <v/>
      </c>
      <c r="I8" s="58" t="str">
        <v/>
      </c>
      <c r="J8" s="105" t="str">
        <v/>
      </c>
      <c r="K8" s="65"/>
      <c r="L8" s="66"/>
      <c r="M8" s="24"/>
      <c r="N8" s="60"/>
      <c r="O8" s="61"/>
      <c r="P8" s="61"/>
      <c r="Q8" s="61"/>
      <c r="R8" s="62"/>
      <c r="S8" s="69"/>
      <c r="T8" s="69"/>
      <c r="U8" s="69"/>
      <c r="V8" s="70"/>
      <c r="W8" s="71"/>
      <c r="X8" s="75"/>
      <c r="Y8" s="89" t="str" cm="1">
        <f t="array" ref="Y8">GetPolarity(X8,AE8)</f>
        <v/>
      </c>
      <c r="Z8" s="73"/>
      <c r="AA8" s="74"/>
      <c r="AB8" s="86" t="str">
        <f t="shared" si="3"/>
        <v/>
      </c>
      <c r="AC8" s="86" t="str">
        <f t="shared" si="4"/>
        <v/>
      </c>
      <c r="AD8" s="78"/>
      <c r="AE8" s="79"/>
      <c r="AF8" s="23" t="str">
        <f t="shared" si="5"/>
        <v/>
      </c>
      <c r="AG8" s="31" t="str" cm="1">
        <f t="array" ref="AG8">FilterSpecialCharacters(X8)</f>
        <v/>
      </c>
      <c r="AH8" s="90" t="str">
        <f t="shared" si="6"/>
        <v xml:space="preserve"> </v>
      </c>
    </row>
    <row r="9" spans="1:38" x14ac:dyDescent="0.25">
      <c r="A9" s="123" t="str" cm="1">
        <f t="array" ref="A9">IfEmpty(TRIM(_xlfn.CONCAT(C9:H9)),"",CRC32HASH(_xlfn.CONCAT(C9:H9)))</f>
        <v/>
      </c>
      <c r="B9" s="46" t="str">
        <f>IFERROR(VLOOKUP(J9,Table1[],2,FALSE),"")</f>
        <v/>
      </c>
      <c r="C9" s="43" t="str" cm="1">
        <f t="array" ref="C9">W9&amp;" "&amp;IfEmpty(U9,X9)</f>
        <v xml:space="preserve"> </v>
      </c>
      <c r="D9" s="44" t="str">
        <f t="shared" si="0"/>
        <v xml:space="preserve">  </v>
      </c>
      <c r="E9" s="68" t="str">
        <f t="shared" si="7"/>
        <v/>
      </c>
      <c r="F9" s="49" t="str">
        <f t="shared" si="1"/>
        <v/>
      </c>
      <c r="G9" s="49" t="str">
        <f t="shared" si="2"/>
        <v/>
      </c>
      <c r="H9" s="45" t="str" cm="1">
        <f t="array" ref="H9:J9">IFERROR(CalcUnc(K9,L9,S9,T9,V9,X9,AD9,AE9,N9:R9,Z9,AA9),"")</f>
        <v/>
      </c>
      <c r="I9" s="58" t="str">
        <v/>
      </c>
      <c r="J9" s="105" t="str">
        <v/>
      </c>
      <c r="K9" s="65"/>
      <c r="L9" s="66"/>
      <c r="M9" s="24"/>
      <c r="N9" s="60"/>
      <c r="O9" s="61"/>
      <c r="P9" s="61"/>
      <c r="Q9" s="61"/>
      <c r="R9" s="62"/>
      <c r="S9" s="69"/>
      <c r="T9" s="69"/>
      <c r="U9" s="69"/>
      <c r="V9" s="70"/>
      <c r="W9" s="71"/>
      <c r="X9" s="75"/>
      <c r="Y9" s="89" t="str" cm="1">
        <f t="array" ref="Y9">GetPolarity(X9,AE9)</f>
        <v/>
      </c>
      <c r="Z9" s="73"/>
      <c r="AA9" s="74"/>
      <c r="AB9" s="86" t="str">
        <f t="shared" si="3"/>
        <v/>
      </c>
      <c r="AC9" s="86" t="str">
        <f t="shared" si="4"/>
        <v/>
      </c>
      <c r="AD9" s="78"/>
      <c r="AE9" s="79"/>
      <c r="AF9" s="23" t="str">
        <f t="shared" si="5"/>
        <v/>
      </c>
      <c r="AG9" s="31" t="str" cm="1">
        <f t="array" ref="AG9">FilterSpecialCharacters(X9)</f>
        <v/>
      </c>
      <c r="AH9" s="90" t="str">
        <f t="shared" si="6"/>
        <v xml:space="preserve"> </v>
      </c>
    </row>
    <row r="10" spans="1:38" x14ac:dyDescent="0.25">
      <c r="A10" s="123" t="str" cm="1">
        <f t="array" ref="A10">IfEmpty(TRIM(_xlfn.CONCAT(C10:H10)),"",CRC32HASH(_xlfn.CONCAT(C10:H10)))</f>
        <v/>
      </c>
      <c r="B10" s="10" t="str">
        <f>IFERROR(VLOOKUP(J10,Table1[],2,FALSE),"")</f>
        <v/>
      </c>
      <c r="C10" s="41" t="str" cm="1">
        <f t="array" ref="C10">W10&amp;" "&amp;IfEmpty(U10,X10)</f>
        <v xml:space="preserve"> </v>
      </c>
      <c r="D10" s="50" t="str">
        <f t="shared" si="0"/>
        <v xml:space="preserve">  </v>
      </c>
      <c r="E10" s="67" t="str">
        <f t="shared" si="7"/>
        <v/>
      </c>
      <c r="F10" s="48" t="str">
        <f t="shared" si="1"/>
        <v/>
      </c>
      <c r="G10" s="48" t="str">
        <f t="shared" si="2"/>
        <v/>
      </c>
      <c r="H10" s="42" t="str" cm="1">
        <f t="array" ref="H10:J10">IFERROR(CalcUnc(K10,L10,S10,T10,V10,X10,AD10,AE10,N10:R10,Z10,AA10),"")</f>
        <v/>
      </c>
      <c r="I10" s="58" t="str">
        <v/>
      </c>
      <c r="J10" s="105" t="str">
        <v/>
      </c>
      <c r="K10" s="65"/>
      <c r="L10" s="66"/>
      <c r="M10" s="24"/>
      <c r="N10" s="60"/>
      <c r="O10" s="61"/>
      <c r="P10" s="61"/>
      <c r="Q10" s="61"/>
      <c r="R10" s="62"/>
      <c r="S10" s="69"/>
      <c r="T10" s="69"/>
      <c r="U10" s="69"/>
      <c r="V10" s="70"/>
      <c r="W10" s="71"/>
      <c r="X10" s="75"/>
      <c r="Y10" s="89" t="str" cm="1">
        <f t="array" ref="Y10">GetPolarity(X10,AE10)</f>
        <v/>
      </c>
      <c r="Z10" s="73"/>
      <c r="AA10" s="74"/>
      <c r="AB10" s="86" t="str">
        <f t="shared" si="3"/>
        <v/>
      </c>
      <c r="AC10" s="86" t="str">
        <f t="shared" si="4"/>
        <v/>
      </c>
      <c r="AD10" s="78"/>
      <c r="AE10" s="79"/>
      <c r="AF10" s="23" t="str">
        <f t="shared" si="5"/>
        <v/>
      </c>
      <c r="AG10" s="31" t="str" cm="1">
        <f t="array" ref="AG10">FilterSpecialCharacters(X10)</f>
        <v/>
      </c>
      <c r="AH10" s="90" t="str">
        <f t="shared" si="6"/>
        <v xml:space="preserve"> </v>
      </c>
    </row>
    <row r="11" spans="1:38" x14ac:dyDescent="0.25">
      <c r="A11" s="123" t="str" cm="1">
        <f t="array" ref="A11">IfEmpty(TRIM(_xlfn.CONCAT(C11:H11)),"",CRC32HASH(_xlfn.CONCAT(C11:H11)))</f>
        <v/>
      </c>
      <c r="B11" s="46" t="str">
        <f>IFERROR(VLOOKUP(J11,Table1[],2,FALSE),"")</f>
        <v/>
      </c>
      <c r="C11" s="43" t="str" cm="1">
        <f t="array" ref="C11">W11&amp;" "&amp;IfEmpty(U11,X11)</f>
        <v xml:space="preserve"> </v>
      </c>
      <c r="D11" s="44" t="str">
        <f t="shared" si="0"/>
        <v xml:space="preserve">  </v>
      </c>
      <c r="E11" s="68" t="str">
        <f t="shared" si="7"/>
        <v/>
      </c>
      <c r="F11" s="49" t="str">
        <f t="shared" si="1"/>
        <v/>
      </c>
      <c r="G11" s="49" t="str">
        <f t="shared" si="2"/>
        <v/>
      </c>
      <c r="H11" s="45" t="str" cm="1">
        <f t="array" ref="H11:J11">IFERROR(CalcUnc(K11,L11,S11,T11,V11,X11,AD11,AE11,N11:R11,Z11,AA11),"")</f>
        <v/>
      </c>
      <c r="I11" s="58" t="str">
        <v/>
      </c>
      <c r="J11" s="105" t="str">
        <v/>
      </c>
      <c r="K11" s="65"/>
      <c r="L11" s="66"/>
      <c r="M11" s="24"/>
      <c r="N11" s="60"/>
      <c r="O11" s="61"/>
      <c r="P11" s="61"/>
      <c r="Q11" s="61"/>
      <c r="R11" s="62"/>
      <c r="S11" s="69"/>
      <c r="T11" s="69"/>
      <c r="U11" s="69"/>
      <c r="V11" s="70"/>
      <c r="W11" s="71"/>
      <c r="X11" s="75"/>
      <c r="Y11" s="89" t="str" cm="1">
        <f t="array" ref="Y11">GetPolarity(X11,AE11)</f>
        <v/>
      </c>
      <c r="Z11" s="73"/>
      <c r="AA11" s="74"/>
      <c r="AB11" s="86" t="str">
        <f t="shared" si="3"/>
        <v/>
      </c>
      <c r="AC11" s="86" t="str">
        <f t="shared" si="4"/>
        <v/>
      </c>
      <c r="AD11" s="78"/>
      <c r="AE11" s="79"/>
      <c r="AF11" s="23" t="str">
        <f t="shared" si="5"/>
        <v/>
      </c>
      <c r="AG11" s="31" t="str" cm="1">
        <f t="array" ref="AG11">FilterSpecialCharacters(X11)</f>
        <v/>
      </c>
      <c r="AH11" s="90" t="str">
        <f t="shared" si="6"/>
        <v xml:space="preserve"> </v>
      </c>
    </row>
    <row r="12" spans="1:38" x14ac:dyDescent="0.25">
      <c r="A12" s="123" t="str" cm="1">
        <f t="array" ref="A12">IfEmpty(TRIM(_xlfn.CONCAT(C12:H12)),"",CRC32HASH(_xlfn.CONCAT(C12:H12)))</f>
        <v/>
      </c>
      <c r="B12" s="10" t="str">
        <f>IFERROR(VLOOKUP(J12,Table1[],2,FALSE),"")</f>
        <v/>
      </c>
      <c r="C12" s="41" t="str" cm="1">
        <f t="array" ref="C12">W12&amp;" "&amp;IfEmpty(U12,X12)</f>
        <v xml:space="preserve"> </v>
      </c>
      <c r="D12" s="50" t="str">
        <f t="shared" si="0"/>
        <v xml:space="preserve">  </v>
      </c>
      <c r="E12" s="67" t="str">
        <f t="shared" si="7"/>
        <v/>
      </c>
      <c r="F12" s="48" t="str">
        <f t="shared" si="1"/>
        <v/>
      </c>
      <c r="G12" s="48" t="str">
        <f t="shared" si="2"/>
        <v/>
      </c>
      <c r="H12" s="42" t="str" cm="1">
        <f t="array" ref="H12:J12">IFERROR(CalcUnc(K12,L12,S12,T12,V12,X12,AD12,AE12,N12:R12,Z12,AA12),"")</f>
        <v/>
      </c>
      <c r="I12" s="58" t="str">
        <v/>
      </c>
      <c r="J12" s="105" t="str">
        <v/>
      </c>
      <c r="K12" s="65"/>
      <c r="L12" s="66"/>
      <c r="M12" s="24"/>
      <c r="N12" s="60"/>
      <c r="O12" s="60"/>
      <c r="P12" s="61"/>
      <c r="Q12" s="61"/>
      <c r="R12" s="62"/>
      <c r="S12" s="69"/>
      <c r="T12" s="69"/>
      <c r="U12" s="69"/>
      <c r="V12" s="70"/>
      <c r="W12" s="71"/>
      <c r="X12" s="75"/>
      <c r="Y12" s="89" t="str" cm="1">
        <f t="array" ref="Y12">GetPolarity(X12,AE12)</f>
        <v/>
      </c>
      <c r="Z12" s="73"/>
      <c r="AA12" s="74"/>
      <c r="AB12" s="86" t="str">
        <f t="shared" si="3"/>
        <v/>
      </c>
      <c r="AC12" s="86" t="str">
        <f t="shared" si="4"/>
        <v/>
      </c>
      <c r="AD12" s="78"/>
      <c r="AE12" s="79"/>
      <c r="AF12" s="23" t="str">
        <f t="shared" si="5"/>
        <v/>
      </c>
      <c r="AG12" s="31" t="str" cm="1">
        <f t="array" ref="AG12">FilterSpecialCharacters(X12)</f>
        <v/>
      </c>
      <c r="AH12" s="90" t="str">
        <f t="shared" si="6"/>
        <v xml:space="preserve"> </v>
      </c>
    </row>
    <row r="13" spans="1:38" x14ac:dyDescent="0.25">
      <c r="A13" s="123" t="str" cm="1">
        <f t="array" ref="A13">IfEmpty(TRIM(_xlfn.CONCAT(C13:H13)),"",CRC32HASH(_xlfn.CONCAT(C13:H13)))</f>
        <v/>
      </c>
      <c r="B13" s="46" t="str">
        <f>IFERROR(VLOOKUP(J13,Table1[],2,FALSE),"")</f>
        <v/>
      </c>
      <c r="C13" s="43" t="str" cm="1">
        <f t="array" ref="C13">W13&amp;" "&amp;IfEmpty(U13,X13)</f>
        <v xml:space="preserve"> </v>
      </c>
      <c r="D13" s="44" t="str">
        <f t="shared" si="0"/>
        <v xml:space="preserve">  </v>
      </c>
      <c r="E13" s="68" t="str">
        <f t="shared" si="7"/>
        <v/>
      </c>
      <c r="F13" s="49" t="str">
        <f t="shared" si="1"/>
        <v/>
      </c>
      <c r="G13" s="49" t="str">
        <f t="shared" si="2"/>
        <v/>
      </c>
      <c r="H13" s="45" t="str" cm="1">
        <f t="array" ref="H13:J13">IFERROR(CalcUnc(K13,L13,S13,T13,V13,X13,AD13,AE13,N13:R13,Z13,AA13),"")</f>
        <v/>
      </c>
      <c r="I13" s="58" t="str">
        <v/>
      </c>
      <c r="J13" s="105" t="str">
        <v/>
      </c>
      <c r="K13" s="65"/>
      <c r="L13" s="66"/>
      <c r="M13" s="24"/>
      <c r="N13" s="60"/>
      <c r="O13" s="61"/>
      <c r="P13" s="61"/>
      <c r="Q13" s="61"/>
      <c r="R13" s="62"/>
      <c r="S13" s="69"/>
      <c r="T13" s="69"/>
      <c r="U13" s="69"/>
      <c r="V13" s="70"/>
      <c r="W13" s="71"/>
      <c r="X13" s="75"/>
      <c r="Y13" s="89" t="str" cm="1">
        <f t="array" ref="Y13">GetPolarity(X13,AE13)</f>
        <v/>
      </c>
      <c r="Z13" s="73"/>
      <c r="AA13" s="71"/>
      <c r="AB13" s="86" t="str">
        <f t="shared" si="3"/>
        <v/>
      </c>
      <c r="AC13" s="86" t="str">
        <f t="shared" si="4"/>
        <v/>
      </c>
      <c r="AD13" s="73"/>
      <c r="AE13" s="71"/>
      <c r="AF13" s="23" t="str">
        <f t="shared" si="5"/>
        <v/>
      </c>
      <c r="AG13" s="31" t="str" cm="1">
        <f t="array" ref="AG13">FilterSpecialCharacters(X13)</f>
        <v/>
      </c>
      <c r="AH13" s="90" t="str">
        <f t="shared" si="6"/>
        <v xml:space="preserve"> </v>
      </c>
    </row>
    <row r="14" spans="1:38" x14ac:dyDescent="0.25">
      <c r="A14" s="123" t="str" cm="1">
        <f t="array" ref="A14">IfEmpty(TRIM(_xlfn.CONCAT(C14:H14)),"",CRC32HASH(_xlfn.CONCAT(C14:H14)))</f>
        <v/>
      </c>
      <c r="B14" s="10" t="str">
        <f>IFERROR(VLOOKUP(J14,Table1[],2,FALSE),"")</f>
        <v/>
      </c>
      <c r="C14" s="41" t="str" cm="1">
        <f t="array" ref="C14">W14&amp;" "&amp;IfEmpty(U14,X14)</f>
        <v xml:space="preserve"> </v>
      </c>
      <c r="D14" s="50" t="str">
        <f t="shared" si="0"/>
        <v xml:space="preserve">  </v>
      </c>
      <c r="E14" s="67" t="str">
        <f t="shared" si="7"/>
        <v/>
      </c>
      <c r="F14" s="48" t="str">
        <f t="shared" si="1"/>
        <v/>
      </c>
      <c r="G14" s="48" t="str">
        <f t="shared" si="2"/>
        <v/>
      </c>
      <c r="H14" s="42" t="str" cm="1">
        <f t="array" ref="H14:J14">IFERROR(CalcUnc(K14,L14,S14,T14,V14,X14,AD14,AE14,N14:R14,Z14,AA14),"")</f>
        <v/>
      </c>
      <c r="I14" s="58" t="str">
        <v/>
      </c>
      <c r="J14" s="105" t="str">
        <v/>
      </c>
      <c r="K14" s="65"/>
      <c r="L14" s="66"/>
      <c r="M14" s="24"/>
      <c r="N14" s="60"/>
      <c r="O14" s="61"/>
      <c r="P14" s="61"/>
      <c r="Q14" s="61"/>
      <c r="R14" s="62"/>
      <c r="S14" s="69"/>
      <c r="T14" s="69"/>
      <c r="U14" s="69"/>
      <c r="V14" s="70"/>
      <c r="W14" s="71"/>
      <c r="X14" s="75"/>
      <c r="Y14" s="89" t="str" cm="1">
        <f t="array" ref="Y14">GetPolarity(X14,AE14)</f>
        <v/>
      </c>
      <c r="Z14" s="73"/>
      <c r="AA14" s="71"/>
      <c r="AB14" s="86" t="str">
        <f t="shared" si="3"/>
        <v/>
      </c>
      <c r="AC14" s="86" t="str">
        <f t="shared" si="4"/>
        <v/>
      </c>
      <c r="AD14" s="73"/>
      <c r="AE14" s="71"/>
      <c r="AF14" s="23" t="str">
        <f t="shared" si="5"/>
        <v/>
      </c>
      <c r="AG14" s="31" t="str" cm="1">
        <f t="array" ref="AG14">FilterSpecialCharacters(X14)</f>
        <v/>
      </c>
      <c r="AH14" s="90" t="str">
        <f t="shared" si="6"/>
        <v xml:space="preserve"> </v>
      </c>
    </row>
    <row r="15" spans="1:38" x14ac:dyDescent="0.25">
      <c r="A15" s="123" t="str" cm="1">
        <f t="array" ref="A15">IfEmpty(TRIM(_xlfn.CONCAT(C15:H15)),"",CRC32HASH(_xlfn.CONCAT(C15:H15)))</f>
        <v/>
      </c>
      <c r="B15" s="46" t="str">
        <f>IFERROR(VLOOKUP(J15,Table1[],2,FALSE),"")</f>
        <v/>
      </c>
      <c r="C15" s="43" t="str" cm="1">
        <f t="array" ref="C15">W15&amp;" "&amp;IfEmpty(U15,X15)</f>
        <v xml:space="preserve"> </v>
      </c>
      <c r="D15" s="44" t="str">
        <f t="shared" si="0"/>
        <v xml:space="preserve">  </v>
      </c>
      <c r="E15" s="68" t="str">
        <f t="shared" si="7"/>
        <v/>
      </c>
      <c r="F15" s="49" t="str">
        <f t="shared" si="1"/>
        <v/>
      </c>
      <c r="G15" s="49" t="str">
        <f t="shared" si="2"/>
        <v/>
      </c>
      <c r="H15" s="45" t="str" cm="1">
        <f t="array" ref="H15:J15">IFERROR(CalcUnc(K15,L15,S15,T15,V15,X15,AD15,AE15,N15:R15,Z15,AA15),"")</f>
        <v/>
      </c>
      <c r="I15" s="58" t="str">
        <v/>
      </c>
      <c r="J15" s="105" t="str">
        <v/>
      </c>
      <c r="K15" s="65"/>
      <c r="L15" s="66"/>
      <c r="M15" s="24"/>
      <c r="N15" s="60"/>
      <c r="O15" s="61"/>
      <c r="P15" s="61"/>
      <c r="Q15" s="61"/>
      <c r="R15" s="62"/>
      <c r="S15" s="69"/>
      <c r="T15" s="69"/>
      <c r="U15" s="69"/>
      <c r="V15" s="70"/>
      <c r="W15" s="71"/>
      <c r="X15" s="75"/>
      <c r="Y15" s="89" t="str" cm="1">
        <f t="array" ref="Y15">GetPolarity(X15,AE15)</f>
        <v/>
      </c>
      <c r="Z15" s="73"/>
      <c r="AA15" s="71"/>
      <c r="AB15" s="86" t="str">
        <f t="shared" si="3"/>
        <v/>
      </c>
      <c r="AC15" s="86" t="str">
        <f t="shared" si="4"/>
        <v/>
      </c>
      <c r="AD15" s="73"/>
      <c r="AE15" s="71"/>
      <c r="AF15" s="23" t="str">
        <f t="shared" si="5"/>
        <v/>
      </c>
      <c r="AG15" s="31" t="str" cm="1">
        <f t="array" ref="AG15">FilterSpecialCharacters(X15)</f>
        <v/>
      </c>
      <c r="AH15" s="90" t="str">
        <f t="shared" si="6"/>
        <v xml:space="preserve"> </v>
      </c>
      <c r="AI15" s="47"/>
    </row>
    <row r="16" spans="1:38" x14ac:dyDescent="0.25">
      <c r="A16" s="123" t="str" cm="1">
        <f t="array" ref="A16">IfEmpty(TRIM(_xlfn.CONCAT(C16:H16)),"",CRC32HASH(_xlfn.CONCAT(C16:H16)))</f>
        <v/>
      </c>
      <c r="B16" s="10" t="str">
        <f>IFERROR(VLOOKUP(J16,Table1[],2,FALSE),"")</f>
        <v/>
      </c>
      <c r="C16" s="41" t="str" cm="1">
        <f t="array" ref="C16">W16&amp;" "&amp;IfEmpty(U16,X16)</f>
        <v xml:space="preserve"> </v>
      </c>
      <c r="D16" s="50" t="str">
        <f t="shared" si="0"/>
        <v xml:space="preserve">  </v>
      </c>
      <c r="E16" s="67" t="str">
        <f t="shared" si="7"/>
        <v/>
      </c>
      <c r="F16" s="48" t="str">
        <f t="shared" si="1"/>
        <v/>
      </c>
      <c r="G16" s="48" t="str">
        <f t="shared" si="2"/>
        <v/>
      </c>
      <c r="H16" s="42" t="str" cm="1">
        <f t="array" ref="H16:J16">IFERROR(CalcUnc(K16,L16,S16,T16,V16,X16,AD16,AE16,N16:R16,Z16,AA16),"")</f>
        <v/>
      </c>
      <c r="I16" s="58" t="str">
        <v/>
      </c>
      <c r="J16" s="105" t="str">
        <v/>
      </c>
      <c r="K16" s="65"/>
      <c r="L16" s="66"/>
      <c r="M16" s="24"/>
      <c r="N16" s="60"/>
      <c r="O16" s="61"/>
      <c r="P16" s="61"/>
      <c r="Q16" s="61"/>
      <c r="R16" s="62"/>
      <c r="S16" s="69"/>
      <c r="T16" s="69"/>
      <c r="U16" s="69"/>
      <c r="V16" s="70"/>
      <c r="W16" s="71"/>
      <c r="X16" s="75"/>
      <c r="Y16" s="89" t="str" cm="1">
        <f t="array" ref="Y16">GetPolarity(X16,AE16)</f>
        <v/>
      </c>
      <c r="Z16" s="73"/>
      <c r="AA16" s="71"/>
      <c r="AB16" s="86" t="str">
        <f t="shared" si="3"/>
        <v/>
      </c>
      <c r="AC16" s="86" t="str">
        <f t="shared" si="4"/>
        <v/>
      </c>
      <c r="AD16" s="73"/>
      <c r="AE16" s="71"/>
      <c r="AF16" s="23" t="str">
        <f t="shared" si="5"/>
        <v/>
      </c>
      <c r="AG16" s="31" t="str" cm="1">
        <f t="array" ref="AG16">FilterSpecialCharacters(X16)</f>
        <v/>
      </c>
      <c r="AH16" s="90" t="str">
        <f t="shared" si="6"/>
        <v xml:space="preserve"> </v>
      </c>
      <c r="AI16" s="47"/>
    </row>
    <row r="17" spans="1:35" x14ac:dyDescent="0.25">
      <c r="A17" s="123" t="str" cm="1">
        <f t="array" ref="A17">IfEmpty(TRIM(_xlfn.CONCAT(C17:H17)),"",CRC32HASH(_xlfn.CONCAT(C17:H17)))</f>
        <v/>
      </c>
      <c r="B17" s="46" t="str">
        <f>IFERROR(VLOOKUP(J17,Table1[],2,FALSE),"")</f>
        <v/>
      </c>
      <c r="C17" s="43" t="str" cm="1">
        <f t="array" ref="C17">W17&amp;" "&amp;IfEmpty(U17,X17)</f>
        <v xml:space="preserve"> </v>
      </c>
      <c r="D17" s="44" t="str">
        <f t="shared" si="0"/>
        <v xml:space="preserve">  </v>
      </c>
      <c r="E17" s="68" t="str">
        <f t="shared" si="7"/>
        <v/>
      </c>
      <c r="F17" s="49" t="str">
        <f t="shared" si="1"/>
        <v/>
      </c>
      <c r="G17" s="49" t="str">
        <f t="shared" si="2"/>
        <v/>
      </c>
      <c r="H17" s="45" t="str" cm="1">
        <f t="array" ref="H17:J17">IFERROR(CalcUnc(K17,L17,S17,T17,V17,X17,AD17,AE17,N17:R17,Z17,AA17),"")</f>
        <v/>
      </c>
      <c r="I17" s="58" t="str">
        <v/>
      </c>
      <c r="J17" s="105" t="str">
        <v/>
      </c>
      <c r="K17" s="65"/>
      <c r="L17" s="66"/>
      <c r="M17" s="24"/>
      <c r="N17" s="60"/>
      <c r="O17" s="61"/>
      <c r="P17" s="61"/>
      <c r="Q17" s="61"/>
      <c r="R17" s="62"/>
      <c r="S17" s="69"/>
      <c r="T17" s="69"/>
      <c r="U17" s="69"/>
      <c r="V17" s="69"/>
      <c r="W17" s="71"/>
      <c r="X17" s="75"/>
      <c r="Y17" s="89" t="str" cm="1">
        <f t="array" ref="Y17">GetPolarity(X17,AE17)</f>
        <v/>
      </c>
      <c r="Z17" s="73"/>
      <c r="AA17" s="71"/>
      <c r="AB17" s="86" t="str">
        <f t="shared" si="3"/>
        <v/>
      </c>
      <c r="AC17" s="86" t="str">
        <f t="shared" si="4"/>
        <v/>
      </c>
      <c r="AD17" s="73"/>
      <c r="AE17" s="71"/>
      <c r="AF17" s="23" t="str">
        <f t="shared" si="5"/>
        <v/>
      </c>
      <c r="AG17" s="31" t="str" cm="1">
        <f t="array" ref="AG17">FilterSpecialCharacters(X17)</f>
        <v/>
      </c>
      <c r="AH17" s="90" t="str">
        <f t="shared" si="6"/>
        <v xml:space="preserve"> </v>
      </c>
    </row>
    <row r="18" spans="1:35" x14ac:dyDescent="0.25">
      <c r="A18" s="123" t="str" cm="1">
        <f t="array" ref="A18">IfEmpty(TRIM(_xlfn.CONCAT(C18:H18)),"",CRC32HASH(_xlfn.CONCAT(C18:H18)))</f>
        <v/>
      </c>
      <c r="B18" s="10" t="str">
        <f>IFERROR(VLOOKUP(J18,Table1[],2,FALSE),"")</f>
        <v/>
      </c>
      <c r="C18" s="41" t="str" cm="1">
        <f t="array" ref="C18">W18&amp;" "&amp;IfEmpty(U18,X18)</f>
        <v xml:space="preserve"> </v>
      </c>
      <c r="D18" s="50" t="str">
        <f t="shared" si="0"/>
        <v xml:space="preserve">  </v>
      </c>
      <c r="E18" s="67" t="str">
        <f t="shared" si="7"/>
        <v/>
      </c>
      <c r="F18" s="48" t="str">
        <f t="shared" si="1"/>
        <v/>
      </c>
      <c r="G18" s="48" t="str">
        <f t="shared" si="2"/>
        <v/>
      </c>
      <c r="H18" s="42" t="str" cm="1">
        <f t="array" ref="H18:J18">IFERROR(CalcUnc(K18,L18,S18,T18,V18,X18,AD18,AE18,N18:R18,Z18,AA18),"")</f>
        <v/>
      </c>
      <c r="I18" s="58" t="str">
        <v/>
      </c>
      <c r="J18" s="105" t="str">
        <v/>
      </c>
      <c r="K18" s="65"/>
      <c r="L18" s="66"/>
      <c r="M18" s="24"/>
      <c r="N18" s="60"/>
      <c r="O18" s="61"/>
      <c r="P18" s="61"/>
      <c r="Q18" s="61"/>
      <c r="R18" s="62"/>
      <c r="S18" s="69"/>
      <c r="T18" s="69"/>
      <c r="U18" s="69"/>
      <c r="V18" s="70"/>
      <c r="W18" s="71"/>
      <c r="X18" s="75"/>
      <c r="Y18" s="89" t="str" cm="1">
        <f t="array" ref="Y18">GetPolarity(X18,AE18)</f>
        <v/>
      </c>
      <c r="Z18" s="73"/>
      <c r="AA18" s="71"/>
      <c r="AB18" s="86" t="str">
        <f t="shared" si="3"/>
        <v/>
      </c>
      <c r="AC18" s="86" t="str">
        <f t="shared" si="4"/>
        <v/>
      </c>
      <c r="AD18" s="73"/>
      <c r="AE18" s="71"/>
      <c r="AF18" s="23" t="str">
        <f t="shared" si="5"/>
        <v/>
      </c>
      <c r="AG18" s="31" t="str" cm="1">
        <f t="array" ref="AG18">FilterSpecialCharacters(X18)</f>
        <v/>
      </c>
      <c r="AH18" s="90" t="str">
        <f t="shared" si="6"/>
        <v xml:space="preserve"> </v>
      </c>
    </row>
    <row r="19" spans="1:35" x14ac:dyDescent="0.25">
      <c r="A19" s="123" t="str" cm="1">
        <f t="array" ref="A19">IfEmpty(TRIM(_xlfn.CONCAT(C19:H19)),"",CRC32HASH(_xlfn.CONCAT(C19:H19)))</f>
        <v/>
      </c>
      <c r="B19" s="46" t="str">
        <f>IFERROR(VLOOKUP(J19,Table1[],2,FALSE),"")</f>
        <v/>
      </c>
      <c r="C19" s="43" t="str" cm="1">
        <f t="array" ref="C19">W19&amp;" "&amp;IfEmpty(U19,X19)</f>
        <v xml:space="preserve"> </v>
      </c>
      <c r="D19" s="44" t="str">
        <f t="shared" si="0"/>
        <v xml:space="preserve">  </v>
      </c>
      <c r="E19" s="68" t="str">
        <f t="shared" si="7"/>
        <v/>
      </c>
      <c r="F19" s="49" t="str">
        <f t="shared" si="1"/>
        <v/>
      </c>
      <c r="G19" s="49" t="str">
        <f t="shared" si="2"/>
        <v/>
      </c>
      <c r="H19" s="45" t="str" cm="1">
        <f t="array" ref="H19:J19">IFERROR(CalcUnc(K19,L19,S19,T19,V19,X19,AD19,AE19,N19:R19,Z19,AA19),"")</f>
        <v/>
      </c>
      <c r="I19" s="58" t="str">
        <v/>
      </c>
      <c r="J19" s="105" t="str">
        <v/>
      </c>
      <c r="K19" s="65"/>
      <c r="L19" s="66"/>
      <c r="M19" s="24"/>
      <c r="N19" s="60"/>
      <c r="O19" s="61"/>
      <c r="P19" s="61"/>
      <c r="Q19" s="61"/>
      <c r="R19" s="62"/>
      <c r="S19" s="69"/>
      <c r="T19" s="69"/>
      <c r="U19" s="69"/>
      <c r="V19" s="70"/>
      <c r="W19" s="71"/>
      <c r="X19" s="75"/>
      <c r="Y19" s="89" t="str" cm="1">
        <f t="array" ref="Y19">GetPolarity(X19,AE19)</f>
        <v/>
      </c>
      <c r="Z19" s="73"/>
      <c r="AA19" s="71"/>
      <c r="AB19" s="86" t="str">
        <f t="shared" si="3"/>
        <v/>
      </c>
      <c r="AC19" s="86" t="str">
        <f t="shared" si="4"/>
        <v/>
      </c>
      <c r="AD19" s="73"/>
      <c r="AE19" s="71"/>
      <c r="AF19" s="23" t="str">
        <f t="shared" si="5"/>
        <v/>
      </c>
      <c r="AG19" s="31" t="str" cm="1">
        <f t="array" ref="AG19">FilterSpecialCharacters(X19)</f>
        <v/>
      </c>
      <c r="AH19" s="90" t="str">
        <f t="shared" si="6"/>
        <v xml:space="preserve"> </v>
      </c>
    </row>
    <row r="20" spans="1:35" x14ac:dyDescent="0.25">
      <c r="A20" s="123" t="str" cm="1">
        <f t="array" ref="A20">IfEmpty(TRIM(_xlfn.CONCAT(C20:H20)),"",CRC32HASH(_xlfn.CONCAT(C20:H20)))</f>
        <v/>
      </c>
      <c r="B20" s="10" t="str">
        <f>IFERROR(VLOOKUP(J20,Table1[],2,FALSE),"")</f>
        <v/>
      </c>
      <c r="C20" s="41" t="str" cm="1">
        <f t="array" ref="C20">W20&amp;" "&amp;IfEmpty(U20,X20)</f>
        <v xml:space="preserve"> </v>
      </c>
      <c r="D20" s="50" t="str">
        <f t="shared" si="0"/>
        <v xml:space="preserve">  </v>
      </c>
      <c r="E20" s="67" t="str">
        <f t="shared" si="7"/>
        <v/>
      </c>
      <c r="F20" s="48" t="str">
        <f t="shared" si="1"/>
        <v/>
      </c>
      <c r="G20" s="48" t="str">
        <f t="shared" si="2"/>
        <v/>
      </c>
      <c r="H20" s="42" t="str" cm="1">
        <f t="array" ref="H20:J20">IFERROR(CalcUnc(K20,L20,S20,T20,V20,X20,AD20,AE20,N20:R20,Z20,AA20),"")</f>
        <v/>
      </c>
      <c r="I20" s="58" t="str">
        <v/>
      </c>
      <c r="J20" s="105" t="str">
        <v/>
      </c>
      <c r="K20" s="65"/>
      <c r="L20" s="66"/>
      <c r="M20" s="24"/>
      <c r="N20" s="60"/>
      <c r="O20" s="61"/>
      <c r="P20" s="61"/>
      <c r="Q20" s="61"/>
      <c r="R20" s="62"/>
      <c r="S20" s="69"/>
      <c r="T20" s="69"/>
      <c r="U20" s="69"/>
      <c r="V20" s="70"/>
      <c r="W20" s="71"/>
      <c r="X20" s="75"/>
      <c r="Y20" s="89" t="str" cm="1">
        <f t="array" ref="Y20">GetPolarity(X20,AE20)</f>
        <v/>
      </c>
      <c r="Z20" s="73"/>
      <c r="AA20" s="71"/>
      <c r="AB20" s="86" t="str">
        <f t="shared" si="3"/>
        <v/>
      </c>
      <c r="AC20" s="86" t="str">
        <f t="shared" si="4"/>
        <v/>
      </c>
      <c r="AD20" s="73"/>
      <c r="AE20" s="71"/>
      <c r="AF20" s="23" t="str">
        <f t="shared" si="5"/>
        <v/>
      </c>
      <c r="AG20" s="31" t="str" cm="1">
        <f t="array" ref="AG20">FilterSpecialCharacters(X20)</f>
        <v/>
      </c>
      <c r="AH20" s="90" t="str">
        <f t="shared" si="6"/>
        <v xml:space="preserve"> </v>
      </c>
    </row>
    <row r="21" spans="1:35" x14ac:dyDescent="0.25">
      <c r="A21" s="123" t="str" cm="1">
        <f t="array" ref="A21">IfEmpty(TRIM(_xlfn.CONCAT(C21:H21)),"",CRC32HASH(_xlfn.CONCAT(C21:H21)))</f>
        <v/>
      </c>
      <c r="B21" s="46" t="str">
        <f>IFERROR(VLOOKUP(J21,Table1[],2,FALSE),"")</f>
        <v/>
      </c>
      <c r="C21" s="43" t="str" cm="1">
        <f t="array" ref="C21">W21&amp;" "&amp;IfEmpty(U21,X21)</f>
        <v xml:space="preserve"> </v>
      </c>
      <c r="D21" s="44" t="str">
        <f t="shared" si="0"/>
        <v xml:space="preserve">  </v>
      </c>
      <c r="E21" s="68" t="str">
        <f t="shared" si="7"/>
        <v/>
      </c>
      <c r="F21" s="49" t="str">
        <f t="shared" si="1"/>
        <v/>
      </c>
      <c r="G21" s="49" t="str">
        <f t="shared" si="2"/>
        <v/>
      </c>
      <c r="H21" s="45" t="str" cm="1">
        <f t="array" ref="H21:J21">IFERROR(CalcUnc(K21,L21,S21,T21,V21,X21,AD21,AE21,N21:R21,Z21,AA21),"")</f>
        <v/>
      </c>
      <c r="I21" s="58" t="str">
        <v/>
      </c>
      <c r="J21" s="105" t="str">
        <v/>
      </c>
      <c r="K21" s="65"/>
      <c r="L21" s="66"/>
      <c r="M21" s="24"/>
      <c r="N21" s="60"/>
      <c r="O21" s="61"/>
      <c r="P21" s="61"/>
      <c r="Q21" s="61"/>
      <c r="R21" s="62"/>
      <c r="S21" s="69"/>
      <c r="T21" s="69"/>
      <c r="U21" s="69"/>
      <c r="V21" s="70"/>
      <c r="W21" s="71"/>
      <c r="X21" s="75"/>
      <c r="Y21" s="89" t="str" cm="1">
        <f t="array" ref="Y21">GetPolarity(X21,AE21)</f>
        <v/>
      </c>
      <c r="Z21" s="73"/>
      <c r="AA21" s="71"/>
      <c r="AB21" s="86" t="str">
        <f t="shared" si="3"/>
        <v/>
      </c>
      <c r="AC21" s="86" t="str">
        <f t="shared" si="4"/>
        <v/>
      </c>
      <c r="AD21" s="73"/>
      <c r="AE21" s="71"/>
      <c r="AF21" s="23" t="str">
        <f t="shared" si="5"/>
        <v/>
      </c>
      <c r="AG21" s="31" t="str" cm="1">
        <f t="array" ref="AG21">FilterSpecialCharacters(X21)</f>
        <v/>
      </c>
      <c r="AH21" s="90" t="str">
        <f t="shared" si="6"/>
        <v xml:space="preserve"> </v>
      </c>
      <c r="AI21" s="47"/>
    </row>
    <row r="22" spans="1:35" x14ac:dyDescent="0.25">
      <c r="A22" s="123" t="str" cm="1">
        <f t="array" ref="A22">IfEmpty(TRIM(_xlfn.CONCAT(C22:H22)),"",CRC32HASH(_xlfn.CONCAT(C22:H22)))</f>
        <v/>
      </c>
      <c r="B22" s="10" t="str">
        <f>IFERROR(VLOOKUP(J22,Table1[],2,FALSE),"")</f>
        <v/>
      </c>
      <c r="C22" s="41" t="str" cm="1">
        <f t="array" ref="C22">W22&amp;" "&amp;IfEmpty(U22,X22)</f>
        <v xml:space="preserve"> </v>
      </c>
      <c r="D22" s="50" t="str">
        <f t="shared" si="0"/>
        <v xml:space="preserve">  </v>
      </c>
      <c r="E22" s="67" t="str">
        <f t="shared" si="7"/>
        <v/>
      </c>
      <c r="F22" s="48" t="str">
        <f t="shared" si="1"/>
        <v/>
      </c>
      <c r="G22" s="48" t="str">
        <f t="shared" si="2"/>
        <v/>
      </c>
      <c r="H22" s="42" t="str" cm="1">
        <f t="array" ref="H22:J22">IFERROR(CalcUnc(K22,L22,S22,T22,V22,X22,AD22,AE22,N22:R22,Z22,AA22),"")</f>
        <v/>
      </c>
      <c r="I22" s="58" t="str">
        <v/>
      </c>
      <c r="J22" s="105" t="str">
        <v/>
      </c>
      <c r="K22" s="65"/>
      <c r="L22" s="66"/>
      <c r="M22" s="24"/>
      <c r="N22" s="60"/>
      <c r="O22" s="61"/>
      <c r="P22" s="61"/>
      <c r="Q22" s="61"/>
      <c r="R22" s="62"/>
      <c r="S22" s="69"/>
      <c r="T22" s="69"/>
      <c r="U22" s="69"/>
      <c r="V22" s="70"/>
      <c r="W22" s="71"/>
      <c r="X22" s="75"/>
      <c r="Y22" s="89" t="str" cm="1">
        <f t="array" ref="Y22">GetPolarity(X22,AE22)</f>
        <v/>
      </c>
      <c r="Z22" s="73"/>
      <c r="AA22" s="71"/>
      <c r="AB22" s="86" t="str">
        <f t="shared" si="3"/>
        <v/>
      </c>
      <c r="AC22" s="86" t="str">
        <f t="shared" si="4"/>
        <v/>
      </c>
      <c r="AD22" s="73"/>
      <c r="AE22" s="71"/>
      <c r="AF22" s="23" t="str">
        <f t="shared" si="5"/>
        <v/>
      </c>
      <c r="AG22" s="31" t="str" cm="1">
        <f t="array" ref="AG22">FilterSpecialCharacters(X22)</f>
        <v/>
      </c>
      <c r="AH22" s="90" t="str">
        <f t="shared" si="6"/>
        <v xml:space="preserve"> </v>
      </c>
      <c r="AI22" s="47"/>
    </row>
    <row r="23" spans="1:35" x14ac:dyDescent="0.25">
      <c r="A23" s="123" t="str" cm="1">
        <f t="array" ref="A23">IfEmpty(TRIM(_xlfn.CONCAT(C23:H23)),"",CRC32HASH(_xlfn.CONCAT(C23:H23)))</f>
        <v/>
      </c>
      <c r="B23" s="46" t="str">
        <f>IFERROR(VLOOKUP(J23,Table1[],2,FALSE),"")</f>
        <v/>
      </c>
      <c r="C23" s="43" t="str" cm="1">
        <f t="array" ref="C23">W23&amp;" "&amp;IfEmpty(U23,X23)</f>
        <v xml:space="preserve"> </v>
      </c>
      <c r="D23" s="44" t="str">
        <f t="shared" si="0"/>
        <v xml:space="preserve">  </v>
      </c>
      <c r="E23" s="68" t="str">
        <f t="shared" si="7"/>
        <v/>
      </c>
      <c r="F23" s="49" t="str">
        <f t="shared" si="1"/>
        <v/>
      </c>
      <c r="G23" s="49" t="str">
        <f t="shared" si="2"/>
        <v/>
      </c>
      <c r="H23" s="45" t="str" cm="1">
        <f t="array" ref="H23:J23">IFERROR(CalcUnc(K23,L23,S23,T23,V23,X23,AD23,AE23,N23:R23,Z23,AA23),"")</f>
        <v/>
      </c>
      <c r="I23" s="58" t="str">
        <v/>
      </c>
      <c r="J23" s="105" t="str">
        <v/>
      </c>
      <c r="K23" s="65"/>
      <c r="L23" s="66"/>
      <c r="M23" s="24"/>
      <c r="N23" s="60"/>
      <c r="O23" s="61"/>
      <c r="P23" s="61"/>
      <c r="Q23" s="61"/>
      <c r="R23" s="62"/>
      <c r="S23" s="69"/>
      <c r="T23" s="69"/>
      <c r="U23" s="69"/>
      <c r="V23" s="70"/>
      <c r="W23" s="71"/>
      <c r="X23" s="75"/>
      <c r="Y23" s="89" t="str" cm="1">
        <f t="array" ref="Y23">GetPolarity(X23,AE23)</f>
        <v/>
      </c>
      <c r="Z23" s="73"/>
      <c r="AA23" s="71"/>
      <c r="AB23" s="86" t="str">
        <f t="shared" si="3"/>
        <v/>
      </c>
      <c r="AC23" s="86" t="str">
        <f t="shared" si="4"/>
        <v/>
      </c>
      <c r="AD23" s="73"/>
      <c r="AE23" s="71"/>
      <c r="AF23" s="23" t="str">
        <f t="shared" si="5"/>
        <v/>
      </c>
      <c r="AG23" s="31" t="str" cm="1">
        <f t="array" ref="AG23">FilterSpecialCharacters(X23)</f>
        <v/>
      </c>
      <c r="AH23" s="90" t="str">
        <f t="shared" si="6"/>
        <v xml:space="preserve"> </v>
      </c>
    </row>
    <row r="24" spans="1:35" x14ac:dyDescent="0.25">
      <c r="A24" s="123" t="str" cm="1">
        <f t="array" ref="A24">IfEmpty(TRIM(_xlfn.CONCAT(C24:H24)),"",CRC32HASH(_xlfn.CONCAT(C24:H24)))</f>
        <v/>
      </c>
      <c r="B24" s="10" t="str">
        <f>IFERROR(VLOOKUP(J24,Table1[],2,FALSE),"")</f>
        <v/>
      </c>
      <c r="C24" s="41" t="str" cm="1">
        <f t="array" ref="C24">W24&amp;" "&amp;IfEmpty(U24,X24)</f>
        <v xml:space="preserve"> </v>
      </c>
      <c r="D24" s="50" t="str">
        <f t="shared" si="0"/>
        <v xml:space="preserve">  </v>
      </c>
      <c r="E24" s="67" t="str">
        <f t="shared" si="7"/>
        <v/>
      </c>
      <c r="F24" s="48" t="str">
        <f t="shared" si="1"/>
        <v/>
      </c>
      <c r="G24" s="48" t="str">
        <f t="shared" si="2"/>
        <v/>
      </c>
      <c r="H24" s="42" t="str" cm="1">
        <f t="array" ref="H24:J24">IFERROR(CalcUnc(K24,L24,S24,T24,V24,X24,AD24,AE24,N24:R24,Z24,AA24),"")</f>
        <v/>
      </c>
      <c r="I24" s="58" t="str">
        <v/>
      </c>
      <c r="J24" s="105" t="str">
        <v/>
      </c>
      <c r="K24" s="65"/>
      <c r="L24" s="66"/>
      <c r="M24" s="24"/>
      <c r="N24" s="60"/>
      <c r="O24" s="61"/>
      <c r="P24" s="61"/>
      <c r="Q24" s="61"/>
      <c r="R24" s="62"/>
      <c r="S24" s="69"/>
      <c r="T24" s="69"/>
      <c r="U24" s="69"/>
      <c r="V24" s="70"/>
      <c r="W24" s="71"/>
      <c r="X24" s="75"/>
      <c r="Y24" s="89" t="str" cm="1">
        <f t="array" ref="Y24">GetPolarity(X24,AE24)</f>
        <v/>
      </c>
      <c r="Z24" s="73"/>
      <c r="AA24" s="71"/>
      <c r="AB24" s="86" t="str">
        <f t="shared" si="3"/>
        <v/>
      </c>
      <c r="AC24" s="86" t="str">
        <f t="shared" si="4"/>
        <v/>
      </c>
      <c r="AD24" s="73"/>
      <c r="AE24" s="71"/>
      <c r="AF24" s="23" t="str">
        <f t="shared" si="5"/>
        <v/>
      </c>
      <c r="AG24" s="31" t="str" cm="1">
        <f t="array" ref="AG24">FilterSpecialCharacters(X24)</f>
        <v/>
      </c>
      <c r="AH24" s="90" t="str">
        <f t="shared" si="6"/>
        <v xml:space="preserve"> </v>
      </c>
    </row>
    <row r="25" spans="1:35" x14ac:dyDescent="0.25">
      <c r="A25" s="123" t="str" cm="1">
        <f t="array" ref="A25">IfEmpty(TRIM(_xlfn.CONCAT(C25:H25)),"",CRC32HASH(_xlfn.CONCAT(C25:H25)))</f>
        <v/>
      </c>
      <c r="B25" s="46" t="str">
        <f>IFERROR(VLOOKUP(J25,Table1[],2,FALSE),"")</f>
        <v/>
      </c>
      <c r="C25" s="43" t="str" cm="1">
        <f t="array" ref="C25">W25&amp;" "&amp;IfEmpty(U25,X25)</f>
        <v xml:space="preserve"> </v>
      </c>
      <c r="D25" s="44" t="str">
        <f t="shared" si="0"/>
        <v xml:space="preserve">  </v>
      </c>
      <c r="E25" s="68" t="str">
        <f t="shared" si="7"/>
        <v/>
      </c>
      <c r="F25" s="49" t="str">
        <f t="shared" si="1"/>
        <v/>
      </c>
      <c r="G25" s="49" t="str">
        <f t="shared" si="2"/>
        <v/>
      </c>
      <c r="H25" s="45" t="str" cm="1">
        <f t="array" ref="H25:J25">IFERROR(CalcUnc(K25,L25,S25,T25,V25,X25,AD25,AE25,N25:R25,Z25,AA25),"")</f>
        <v/>
      </c>
      <c r="I25" s="58" t="str">
        <v/>
      </c>
      <c r="J25" s="105" t="str">
        <v/>
      </c>
      <c r="K25" s="65"/>
      <c r="L25" s="66"/>
      <c r="M25" s="24"/>
      <c r="N25" s="60"/>
      <c r="O25" s="61"/>
      <c r="P25" s="61"/>
      <c r="Q25" s="61"/>
      <c r="R25" s="62"/>
      <c r="S25" s="69"/>
      <c r="T25" s="69"/>
      <c r="U25" s="69"/>
      <c r="V25" s="76"/>
      <c r="W25" s="71"/>
      <c r="X25" s="72"/>
      <c r="Y25" s="89" t="str" cm="1">
        <f t="array" ref="Y25">GetPolarity(X25,AE25)</f>
        <v/>
      </c>
      <c r="Z25" s="73"/>
      <c r="AA25" s="71"/>
      <c r="AB25" s="86" t="str">
        <f t="shared" si="3"/>
        <v/>
      </c>
      <c r="AC25" s="86" t="str">
        <f t="shared" si="4"/>
        <v/>
      </c>
      <c r="AD25" s="73"/>
      <c r="AE25" s="71"/>
      <c r="AF25" s="23" t="str">
        <f t="shared" si="5"/>
        <v/>
      </c>
      <c r="AG25" s="31" t="str" cm="1">
        <f t="array" ref="AG25">FilterSpecialCharacters(X25)</f>
        <v/>
      </c>
      <c r="AH25" s="90" t="str">
        <f t="shared" si="6"/>
        <v xml:space="preserve"> </v>
      </c>
    </row>
    <row r="26" spans="1:35" x14ac:dyDescent="0.25">
      <c r="A26" s="123" t="str" cm="1">
        <f t="array" ref="A26">IfEmpty(TRIM(_xlfn.CONCAT(C26:H26)),"",CRC32HASH(_xlfn.CONCAT(C26:H26)))</f>
        <v/>
      </c>
      <c r="B26" s="10" t="str">
        <f>IFERROR(VLOOKUP(J26,Table1[],2,FALSE),"")</f>
        <v/>
      </c>
      <c r="C26" s="41" t="str" cm="1">
        <f t="array" ref="C26">W26&amp;" "&amp;IfEmpty(U26,X26)</f>
        <v xml:space="preserve"> </v>
      </c>
      <c r="D26" s="50" t="str">
        <f t="shared" si="0"/>
        <v xml:space="preserve">  </v>
      </c>
      <c r="E26" s="67" t="str">
        <f t="shared" si="7"/>
        <v/>
      </c>
      <c r="F26" s="48" t="str">
        <f t="shared" si="1"/>
        <v/>
      </c>
      <c r="G26" s="48" t="str">
        <f t="shared" si="2"/>
        <v/>
      </c>
      <c r="H26" s="42" t="str" cm="1">
        <f t="array" ref="H26:J26">IFERROR(CalcUnc(K26,L26,S26,T26,V26,X26,AD26,AE26,N26:R26,Z26,AA26),"")</f>
        <v/>
      </c>
      <c r="I26" s="58" t="str">
        <v/>
      </c>
      <c r="J26" s="105" t="str">
        <v/>
      </c>
      <c r="K26" s="65"/>
      <c r="L26" s="66"/>
      <c r="M26" s="24"/>
      <c r="N26" s="60"/>
      <c r="O26" s="61"/>
      <c r="P26" s="61"/>
      <c r="Q26" s="61"/>
      <c r="R26" s="62"/>
      <c r="S26" s="69"/>
      <c r="T26" s="69"/>
      <c r="U26" s="69"/>
      <c r="V26" s="76"/>
      <c r="W26" s="71"/>
      <c r="X26" s="72"/>
      <c r="Y26" s="89" t="str" cm="1">
        <f t="array" ref="Y26">GetPolarity(X26,AE26)</f>
        <v/>
      </c>
      <c r="Z26" s="73"/>
      <c r="AA26" s="71"/>
      <c r="AB26" s="86" t="str">
        <f t="shared" si="3"/>
        <v/>
      </c>
      <c r="AC26" s="86" t="str">
        <f t="shared" si="4"/>
        <v/>
      </c>
      <c r="AD26" s="73"/>
      <c r="AE26" s="71"/>
      <c r="AF26" s="23" t="str">
        <f t="shared" si="5"/>
        <v/>
      </c>
      <c r="AG26" s="31" t="str" cm="1">
        <f t="array" ref="AG26">FilterSpecialCharacters(X26)</f>
        <v/>
      </c>
      <c r="AH26" s="90" t="str">
        <f t="shared" si="6"/>
        <v xml:space="preserve"> </v>
      </c>
    </row>
    <row r="27" spans="1:35" x14ac:dyDescent="0.25">
      <c r="A27" s="123" t="str" cm="1">
        <f t="array" ref="A27">IfEmpty(TRIM(_xlfn.CONCAT(C27:H27)),"",CRC32HASH(_xlfn.CONCAT(C27:H27)))</f>
        <v/>
      </c>
      <c r="B27" s="46" t="str">
        <f>IFERROR(VLOOKUP(J27,Table1[],2,FALSE),"")</f>
        <v/>
      </c>
      <c r="C27" s="43" t="str" cm="1">
        <f t="array" ref="C27">W27&amp;" "&amp;IfEmpty(U27,X27)</f>
        <v xml:space="preserve"> </v>
      </c>
      <c r="D27" s="44" t="str">
        <f t="shared" si="0"/>
        <v xml:space="preserve">  </v>
      </c>
      <c r="E27" s="68" t="str">
        <f t="shared" si="7"/>
        <v/>
      </c>
      <c r="F27" s="49" t="str">
        <f t="shared" si="1"/>
        <v/>
      </c>
      <c r="G27" s="49" t="str">
        <f t="shared" si="2"/>
        <v/>
      </c>
      <c r="H27" s="45" t="str" cm="1">
        <f t="array" ref="H27:J27">IFERROR(CalcUnc(K27,L27,S27,T27,V27,X27,AD27,AE27,N27:R27,Z27,AA27),"")</f>
        <v/>
      </c>
      <c r="I27" s="58" t="str">
        <v/>
      </c>
      <c r="J27" s="105" t="str">
        <v/>
      </c>
      <c r="K27" s="65"/>
      <c r="L27" s="66"/>
      <c r="M27" s="24"/>
      <c r="N27" s="60"/>
      <c r="O27" s="61"/>
      <c r="P27" s="61"/>
      <c r="Q27" s="61"/>
      <c r="R27" s="62"/>
      <c r="S27" s="69"/>
      <c r="T27" s="69"/>
      <c r="U27" s="69"/>
      <c r="V27" s="76"/>
      <c r="W27" s="71"/>
      <c r="X27" s="72"/>
      <c r="Y27" s="89" t="str" cm="1">
        <f t="array" ref="Y27">GetPolarity(X27,AE27)</f>
        <v/>
      </c>
      <c r="Z27" s="73"/>
      <c r="AA27" s="71"/>
      <c r="AB27" s="86" t="str">
        <f t="shared" si="3"/>
        <v/>
      </c>
      <c r="AC27" s="86" t="str">
        <f t="shared" si="4"/>
        <v/>
      </c>
      <c r="AD27" s="73"/>
      <c r="AE27" s="71"/>
      <c r="AF27" s="23" t="str">
        <f t="shared" si="5"/>
        <v/>
      </c>
      <c r="AG27" s="31" t="str" cm="1">
        <f t="array" ref="AG27">FilterSpecialCharacters(X27)</f>
        <v/>
      </c>
      <c r="AH27" s="90" t="str">
        <f t="shared" si="6"/>
        <v xml:space="preserve"> </v>
      </c>
    </row>
    <row r="28" spans="1:35" x14ac:dyDescent="0.25">
      <c r="A28" s="123" t="str" cm="1">
        <f t="array" ref="A28">IfEmpty(TRIM(_xlfn.CONCAT(C28:H28)),"",CRC32HASH(_xlfn.CONCAT(C28:H28)))</f>
        <v/>
      </c>
      <c r="B28" s="10" t="str">
        <f>IFERROR(VLOOKUP(J28,Table1[],2,FALSE),"")</f>
        <v/>
      </c>
      <c r="C28" s="41" t="str" cm="1">
        <f t="array" ref="C28">W28&amp;" "&amp;IfEmpty(U28,X28)</f>
        <v xml:space="preserve"> </v>
      </c>
      <c r="D28" s="50" t="str">
        <f t="shared" si="0"/>
        <v xml:space="preserve">  </v>
      </c>
      <c r="E28" s="67" t="str">
        <f t="shared" si="7"/>
        <v/>
      </c>
      <c r="F28" s="48" t="str">
        <f t="shared" si="1"/>
        <v/>
      </c>
      <c r="G28" s="48" t="str">
        <f t="shared" si="2"/>
        <v/>
      </c>
      <c r="H28" s="42" t="str" cm="1">
        <f t="array" ref="H28:J28">IFERROR(CalcUnc(K28,L28,S28,T28,V28,X28,AD28,AE28,N28:R28,Z28,AA28),"")</f>
        <v/>
      </c>
      <c r="I28" s="58" t="str">
        <v/>
      </c>
      <c r="J28" s="105" t="str">
        <v/>
      </c>
      <c r="K28" s="65"/>
      <c r="L28" s="66"/>
      <c r="M28" s="24"/>
      <c r="N28" s="60"/>
      <c r="O28" s="61"/>
      <c r="P28" s="61"/>
      <c r="Q28" s="61"/>
      <c r="R28" s="62"/>
      <c r="S28" s="69"/>
      <c r="T28" s="69"/>
      <c r="U28" s="69"/>
      <c r="V28" s="76"/>
      <c r="W28" s="71"/>
      <c r="X28" s="72"/>
      <c r="Y28" s="89" t="str" cm="1">
        <f t="array" ref="Y28">GetPolarity(X28,AE28)</f>
        <v/>
      </c>
      <c r="Z28" s="73"/>
      <c r="AA28" s="71"/>
      <c r="AB28" s="86" t="str">
        <f t="shared" si="3"/>
        <v/>
      </c>
      <c r="AC28" s="86" t="str">
        <f t="shared" si="4"/>
        <v/>
      </c>
      <c r="AD28" s="73"/>
      <c r="AE28" s="71"/>
      <c r="AF28" s="23" t="str">
        <f t="shared" si="5"/>
        <v/>
      </c>
      <c r="AG28" s="31" t="str" cm="1">
        <f t="array" ref="AG28">FilterSpecialCharacters(X28)</f>
        <v/>
      </c>
      <c r="AH28" s="90" t="str">
        <f t="shared" si="6"/>
        <v xml:space="preserve"> </v>
      </c>
    </row>
    <row r="29" spans="1:35" x14ac:dyDescent="0.25">
      <c r="A29" s="123" t="str" cm="1">
        <f t="array" ref="A29">IfEmpty(TRIM(_xlfn.CONCAT(C29:H29)),"",CRC32HASH(_xlfn.CONCAT(C29:H29)))</f>
        <v/>
      </c>
      <c r="B29" s="46" t="str">
        <f>IFERROR(VLOOKUP(J29,Table1[],2,FALSE),"")</f>
        <v/>
      </c>
      <c r="C29" s="43" t="str" cm="1">
        <f t="array" ref="C29">W29&amp;" "&amp;IfEmpty(U29,X29)</f>
        <v xml:space="preserve"> </v>
      </c>
      <c r="D29" s="44" t="str">
        <f t="shared" si="0"/>
        <v xml:space="preserve">  </v>
      </c>
      <c r="E29" s="68" t="str">
        <f t="shared" si="7"/>
        <v/>
      </c>
      <c r="F29" s="49" t="str">
        <f t="shared" si="1"/>
        <v/>
      </c>
      <c r="G29" s="49" t="str">
        <f t="shared" si="2"/>
        <v/>
      </c>
      <c r="H29" s="45" t="str" cm="1">
        <f t="array" ref="H29:J29">IFERROR(CalcUnc(K29,L29,S29,T29,V29,X29,AD29,AE29,N29:R29,Z29,AA29),"")</f>
        <v/>
      </c>
      <c r="I29" s="58" t="str">
        <v/>
      </c>
      <c r="J29" s="105" t="str">
        <v/>
      </c>
      <c r="K29" s="65"/>
      <c r="L29" s="66"/>
      <c r="M29" s="24"/>
      <c r="N29" s="60"/>
      <c r="O29" s="61"/>
      <c r="P29" s="61"/>
      <c r="Q29" s="61"/>
      <c r="R29" s="62"/>
      <c r="S29" s="69"/>
      <c r="T29" s="69"/>
      <c r="U29" s="69"/>
      <c r="V29" s="76"/>
      <c r="W29" s="71"/>
      <c r="X29" s="72"/>
      <c r="Y29" s="89" t="str" cm="1">
        <f t="array" ref="Y29">GetPolarity(X29,AE29)</f>
        <v/>
      </c>
      <c r="Z29" s="73"/>
      <c r="AA29" s="71"/>
      <c r="AB29" s="86" t="str">
        <f t="shared" si="3"/>
        <v/>
      </c>
      <c r="AC29" s="86" t="str">
        <f t="shared" si="4"/>
        <v/>
      </c>
      <c r="AD29" s="73"/>
      <c r="AE29" s="71"/>
      <c r="AF29" s="23" t="str">
        <f t="shared" si="5"/>
        <v/>
      </c>
      <c r="AG29" s="31" t="str" cm="1">
        <f t="array" ref="AG29">FilterSpecialCharacters(X29)</f>
        <v/>
      </c>
      <c r="AH29" s="90" t="str">
        <f t="shared" si="6"/>
        <v xml:space="preserve"> </v>
      </c>
    </row>
    <row r="30" spans="1:35" x14ac:dyDescent="0.25">
      <c r="A30" s="123" t="str" cm="1">
        <f t="array" ref="A30">IfEmpty(TRIM(_xlfn.CONCAT(C30:H30)),"",CRC32HASH(_xlfn.CONCAT(C30:H30)))</f>
        <v/>
      </c>
      <c r="B30" s="10" t="str">
        <f>IFERROR(VLOOKUP(J30,Table1[],2,FALSE),"")</f>
        <v/>
      </c>
      <c r="C30" s="41" t="str" cm="1">
        <f t="array" ref="C30">W30&amp;" "&amp;IfEmpty(U30,X30)</f>
        <v xml:space="preserve"> </v>
      </c>
      <c r="D30" s="50" t="str">
        <f t="shared" si="0"/>
        <v xml:space="preserve">  </v>
      </c>
      <c r="E30" s="67" t="str">
        <f t="shared" si="7"/>
        <v/>
      </c>
      <c r="F30" s="48" t="str">
        <f t="shared" si="1"/>
        <v/>
      </c>
      <c r="G30" s="48" t="str">
        <f t="shared" si="2"/>
        <v/>
      </c>
      <c r="H30" s="42" t="str" cm="1">
        <f t="array" ref="H30:J30">IFERROR(CalcUnc(K30,L30,S30,T30,V30,X30,AD30,AE30,N30:R30,Z30,AA30),"")</f>
        <v/>
      </c>
      <c r="I30" s="58" t="str">
        <v/>
      </c>
      <c r="J30" s="105" t="str">
        <v/>
      </c>
      <c r="K30" s="65"/>
      <c r="L30" s="66"/>
      <c r="M30" s="24"/>
      <c r="N30" s="60"/>
      <c r="O30" s="61"/>
      <c r="P30" s="61"/>
      <c r="Q30" s="61"/>
      <c r="R30" s="62"/>
      <c r="S30" s="69"/>
      <c r="T30" s="69"/>
      <c r="U30" s="69"/>
      <c r="V30" s="76"/>
      <c r="W30" s="71"/>
      <c r="X30" s="72"/>
      <c r="Y30" s="89" t="str" cm="1">
        <f t="array" ref="Y30">GetPolarity(X30,AE30)</f>
        <v/>
      </c>
      <c r="Z30" s="73"/>
      <c r="AA30" s="71"/>
      <c r="AB30" s="86" t="str">
        <f t="shared" si="3"/>
        <v/>
      </c>
      <c r="AC30" s="86" t="str">
        <f t="shared" si="4"/>
        <v/>
      </c>
      <c r="AD30" s="73"/>
      <c r="AE30" s="71"/>
      <c r="AF30" s="23" t="str">
        <f t="shared" si="5"/>
        <v/>
      </c>
      <c r="AG30" s="31" t="str" cm="1">
        <f t="array" ref="AG30">FilterSpecialCharacters(X30)</f>
        <v/>
      </c>
      <c r="AH30" s="90" t="str">
        <f t="shared" si="6"/>
        <v xml:space="preserve"> </v>
      </c>
    </row>
    <row r="31" spans="1:35" x14ac:dyDescent="0.25">
      <c r="A31" s="123" t="str" cm="1">
        <f t="array" ref="A31">IfEmpty(TRIM(_xlfn.CONCAT(C31:H31)),"",CRC32HASH(_xlfn.CONCAT(C31:H31)))</f>
        <v/>
      </c>
      <c r="B31" s="46" t="str">
        <f>IFERROR(VLOOKUP(J31,Table1[],2,FALSE),"")</f>
        <v/>
      </c>
      <c r="C31" s="43" t="str" cm="1">
        <f t="array" ref="C31">W31&amp;" "&amp;IfEmpty(U31,X31)</f>
        <v xml:space="preserve"> </v>
      </c>
      <c r="D31" s="44" t="str">
        <f t="shared" si="0"/>
        <v xml:space="preserve">  </v>
      </c>
      <c r="E31" s="68" t="str">
        <f t="shared" si="7"/>
        <v/>
      </c>
      <c r="F31" s="49" t="str">
        <f t="shared" si="1"/>
        <v/>
      </c>
      <c r="G31" s="49" t="str">
        <f t="shared" si="2"/>
        <v/>
      </c>
      <c r="H31" s="45" t="str" cm="1">
        <f t="array" ref="H31:J31">IFERROR(CalcUnc(K31,L31,S31,T31,V31,X31,AD31,AE31,N31:R31,Z31,AA31),"")</f>
        <v/>
      </c>
      <c r="I31" s="58" t="str">
        <v/>
      </c>
      <c r="J31" s="105" t="str">
        <v/>
      </c>
      <c r="K31" s="65"/>
      <c r="L31" s="66"/>
      <c r="M31" s="24"/>
      <c r="N31" s="60"/>
      <c r="O31" s="61"/>
      <c r="P31" s="61"/>
      <c r="Q31" s="61"/>
      <c r="R31" s="62"/>
      <c r="S31" s="69"/>
      <c r="T31" s="69"/>
      <c r="U31" s="69"/>
      <c r="V31" s="76"/>
      <c r="W31" s="71"/>
      <c r="X31" s="72"/>
      <c r="Y31" s="89" t="str" cm="1">
        <f t="array" ref="Y31">GetPolarity(X31,AE31)</f>
        <v/>
      </c>
      <c r="Z31" s="73"/>
      <c r="AA31" s="71"/>
      <c r="AB31" s="86" t="str">
        <f t="shared" si="3"/>
        <v/>
      </c>
      <c r="AC31" s="86" t="str">
        <f t="shared" si="4"/>
        <v/>
      </c>
      <c r="AD31" s="73"/>
      <c r="AE31" s="71"/>
      <c r="AF31" s="23" t="str">
        <f t="shared" si="5"/>
        <v/>
      </c>
      <c r="AG31" s="31" t="str" cm="1">
        <f t="array" ref="AG31">FilterSpecialCharacters(X31)</f>
        <v/>
      </c>
      <c r="AH31" s="90" t="str">
        <f t="shared" si="6"/>
        <v xml:space="preserve"> </v>
      </c>
    </row>
    <row r="32" spans="1:35" x14ac:dyDescent="0.25">
      <c r="A32" s="123" cm="1">
        <f t="array" ref="A32">IfEmpty(TRIM(_xlfn.CONCAT(C32:H32)),"",CRC32HASH(_xlfn.CONCAT(C32:H32)))</f>
        <v>517287664</v>
      </c>
      <c r="B32" s="10" t="str">
        <f>IFERROR(VLOOKUP(J32,Table1[],2,FALSE),"")</f>
        <v/>
      </c>
      <c r="C32" s="41" t="str" cm="1">
        <f t="array" ref="C32">W32&amp;" "&amp;IfEmpty(U32,X32)</f>
        <v xml:space="preserve"> </v>
      </c>
      <c r="D32" s="50" t="str">
        <f t="shared" si="0"/>
        <v xml:space="preserve">  @ 45Hz</v>
      </c>
      <c r="E32" s="67" t="str">
        <f t="shared" si="7"/>
        <v/>
      </c>
      <c r="F32" s="48" t="str">
        <f t="shared" si="1"/>
        <v/>
      </c>
      <c r="G32" s="48" t="str">
        <f t="shared" si="2"/>
        <v/>
      </c>
      <c r="H32" s="42" t="str" cm="1">
        <f t="array" ref="H32:J32">IFERROR(CalcUnc(K32,L32,S32,T32,V32,X32,AD32,AE32,N32:R32,Z32,AA32),"")</f>
        <v/>
      </c>
      <c r="I32" s="58" t="str">
        <v/>
      </c>
      <c r="J32" s="105" t="str">
        <v/>
      </c>
      <c r="K32" s="65"/>
      <c r="L32" s="66"/>
      <c r="M32" s="24"/>
      <c r="N32" s="60"/>
      <c r="O32" s="61"/>
      <c r="P32" s="61"/>
      <c r="Q32" s="61"/>
      <c r="R32" s="62"/>
      <c r="S32" s="69"/>
      <c r="T32" s="69"/>
      <c r="U32" s="69"/>
      <c r="V32" s="76"/>
      <c r="W32" s="71"/>
      <c r="X32" s="72"/>
      <c r="Y32" s="89" t="str" cm="1">
        <f t="array" ref="Y32">GetPolarity(X32,AE32)</f>
        <v/>
      </c>
      <c r="Z32" s="73"/>
      <c r="AA32" s="71"/>
      <c r="AB32" s="86" t="str">
        <f t="shared" si="3"/>
        <v/>
      </c>
      <c r="AC32" s="86" t="str">
        <f t="shared" si="4"/>
        <v/>
      </c>
      <c r="AD32" s="73">
        <v>45</v>
      </c>
      <c r="AE32" s="71" t="s">
        <v>9</v>
      </c>
      <c r="AF32" s="23" t="str">
        <f t="shared" si="5"/>
        <v>@ 45Hz</v>
      </c>
      <c r="AG32" s="31" t="str" cm="1">
        <f t="array" ref="AG32">FilterSpecialCharacters(X32)</f>
        <v/>
      </c>
      <c r="AH32" s="90" t="str">
        <f t="shared" si="6"/>
        <v xml:space="preserve"> </v>
      </c>
    </row>
    <row r="33" spans="1:34" x14ac:dyDescent="0.25">
      <c r="A33" s="123" cm="1">
        <f t="array" ref="A33">IfEmpty(TRIM(_xlfn.CONCAT(C33:H33)),"",CRC32HASH(_xlfn.CONCAT(C33:H33)))</f>
        <v>-369397826</v>
      </c>
      <c r="B33" s="46" t="str">
        <f>IFERROR(VLOOKUP(J33,Table1[],2,FALSE),"")</f>
        <v/>
      </c>
      <c r="C33" s="43" t="str" cm="1">
        <f t="array" ref="C33">W33&amp;" "&amp;IfEmpty(U33,X33)</f>
        <v xml:space="preserve"> </v>
      </c>
      <c r="D33" s="44" t="str">
        <f t="shared" si="0"/>
        <v xml:space="preserve">  @ 1kHz</v>
      </c>
      <c r="E33" s="68" t="str">
        <f t="shared" si="7"/>
        <v/>
      </c>
      <c r="F33" s="49" t="str">
        <f t="shared" si="1"/>
        <v/>
      </c>
      <c r="G33" s="49" t="str">
        <f t="shared" si="2"/>
        <v/>
      </c>
      <c r="H33" s="45" t="str" cm="1">
        <f t="array" ref="H33:J33">IFERROR(CalcUnc(K33,L33,S33,T33,V33,X33,AD33,AE33,N33:R33,Z33,AA33),"")</f>
        <v/>
      </c>
      <c r="I33" s="58" t="str">
        <v/>
      </c>
      <c r="J33" s="105" t="str">
        <v/>
      </c>
      <c r="K33" s="65"/>
      <c r="L33" s="66"/>
      <c r="M33" s="24"/>
      <c r="N33" s="60"/>
      <c r="O33" s="61"/>
      <c r="P33" s="61"/>
      <c r="Q33" s="61"/>
      <c r="R33" s="62"/>
      <c r="S33" s="69"/>
      <c r="T33" s="69"/>
      <c r="U33" s="69"/>
      <c r="V33" s="76"/>
      <c r="W33" s="71"/>
      <c r="X33" s="72"/>
      <c r="Y33" s="89" t="str" cm="1">
        <f t="array" ref="Y33">GetPolarity(X33,AE33)</f>
        <v/>
      </c>
      <c r="Z33" s="73"/>
      <c r="AA33" s="71"/>
      <c r="AB33" s="86" t="str">
        <f t="shared" si="3"/>
        <v/>
      </c>
      <c r="AC33" s="86" t="str">
        <f t="shared" si="4"/>
        <v/>
      </c>
      <c r="AD33" s="73">
        <v>1</v>
      </c>
      <c r="AE33" s="71" t="s">
        <v>10</v>
      </c>
      <c r="AF33" s="23" t="str">
        <f t="shared" si="5"/>
        <v>@ 1kHz</v>
      </c>
      <c r="AG33" s="31" t="str" cm="1">
        <f t="array" ref="AG33">FilterSpecialCharacters(X33)</f>
        <v/>
      </c>
      <c r="AH33" s="90" t="str">
        <f t="shared" si="6"/>
        <v xml:space="preserve"> </v>
      </c>
    </row>
    <row r="34" spans="1:34" x14ac:dyDescent="0.25">
      <c r="A34" s="123" cm="1">
        <f t="array" ref="A34">IfEmpty(TRIM(_xlfn.CONCAT(C34:H34)),"",CRC32HASH(_xlfn.CONCAT(C34:H34)))</f>
        <v>-369397826</v>
      </c>
      <c r="B34" s="10" t="str">
        <f>IFERROR(VLOOKUP(J34,Table1[],2,FALSE),"")</f>
        <v/>
      </c>
      <c r="C34" s="41" t="str" cm="1">
        <f t="array" ref="C34">W34&amp;" "&amp;IfEmpty(U34,X34)</f>
        <v xml:space="preserve"> </v>
      </c>
      <c r="D34" s="50" t="str">
        <f t="shared" si="0"/>
        <v xml:space="preserve">  @ 1kHz</v>
      </c>
      <c r="E34" s="67" t="str">
        <f t="shared" si="7"/>
        <v/>
      </c>
      <c r="F34" s="48" t="str">
        <f t="shared" si="1"/>
        <v/>
      </c>
      <c r="G34" s="48" t="str">
        <f t="shared" si="2"/>
        <v/>
      </c>
      <c r="H34" s="42" t="str" cm="1">
        <f t="array" ref="H34:J34">IFERROR(CalcUnc(K34,L34,S34,T34,V34,X34,AD34,AE34,N34:R34,Z34,AA34),"")</f>
        <v/>
      </c>
      <c r="I34" s="58" t="str">
        <v/>
      </c>
      <c r="J34" s="105" t="str">
        <v/>
      </c>
      <c r="K34" s="65"/>
      <c r="L34" s="66"/>
      <c r="M34" s="24"/>
      <c r="N34" s="60"/>
      <c r="O34" s="61"/>
      <c r="P34" s="61"/>
      <c r="Q34" s="61"/>
      <c r="R34" s="62"/>
      <c r="S34" s="69"/>
      <c r="T34" s="69"/>
      <c r="U34" s="69"/>
      <c r="V34" s="76"/>
      <c r="W34" s="71"/>
      <c r="X34" s="72"/>
      <c r="Y34" s="89" t="str" cm="1">
        <f t="array" ref="Y34">GetPolarity(X34,AE34)</f>
        <v/>
      </c>
      <c r="Z34" s="73"/>
      <c r="AA34" s="71"/>
      <c r="AB34" s="86" t="str">
        <f t="shared" si="3"/>
        <v/>
      </c>
      <c r="AC34" s="86" t="str">
        <f t="shared" si="4"/>
        <v/>
      </c>
      <c r="AD34" s="73">
        <v>1</v>
      </c>
      <c r="AE34" s="71" t="s">
        <v>10</v>
      </c>
      <c r="AF34" s="23" t="str">
        <f t="shared" si="5"/>
        <v>@ 1kHz</v>
      </c>
      <c r="AG34" s="31" t="str" cm="1">
        <f t="array" ref="AG34">FilterSpecialCharacters(X34)</f>
        <v/>
      </c>
      <c r="AH34" s="90" t="str">
        <f t="shared" si="6"/>
        <v xml:space="preserve"> </v>
      </c>
    </row>
    <row r="35" spans="1:34" x14ac:dyDescent="0.25">
      <c r="A35" s="123" cm="1">
        <f t="array" ref="A35">IfEmpty(TRIM(_xlfn.CONCAT(C35:H35)),"",CRC32HASH(_xlfn.CONCAT(C35:H35)))</f>
        <v>517287664</v>
      </c>
      <c r="B35" s="46" t="str">
        <f>IFERROR(VLOOKUP(J35,Table1[],2,FALSE),"")</f>
        <v/>
      </c>
      <c r="C35" s="43" t="str" cm="1">
        <f t="array" ref="C35">W35&amp;" "&amp;IfEmpty(U35,X35)</f>
        <v xml:space="preserve"> </v>
      </c>
      <c r="D35" s="44" t="str">
        <f t="shared" si="0"/>
        <v xml:space="preserve">  @ 45Hz</v>
      </c>
      <c r="E35" s="68" t="str">
        <f t="shared" si="7"/>
        <v/>
      </c>
      <c r="F35" s="49" t="str">
        <f t="shared" si="1"/>
        <v/>
      </c>
      <c r="G35" s="49" t="str">
        <f t="shared" si="2"/>
        <v/>
      </c>
      <c r="H35" s="45" t="str" cm="1">
        <f t="array" ref="H35:J35">IFERROR(CalcUnc(K35,L35,S35,T35,V35,X35,AD35,AE35,N35:R35,Z35,AA35),"")</f>
        <v/>
      </c>
      <c r="I35" s="58" t="str">
        <v/>
      </c>
      <c r="J35" s="105" t="str">
        <v/>
      </c>
      <c r="K35" s="65"/>
      <c r="L35" s="66"/>
      <c r="M35" s="24"/>
      <c r="N35" s="60"/>
      <c r="O35" s="61"/>
      <c r="P35" s="61"/>
      <c r="Q35" s="61"/>
      <c r="R35" s="62"/>
      <c r="S35" s="69"/>
      <c r="T35" s="69"/>
      <c r="U35" s="69"/>
      <c r="V35" s="76"/>
      <c r="W35" s="71"/>
      <c r="X35" s="72"/>
      <c r="Y35" s="89" t="str" cm="1">
        <f t="array" ref="Y35">GetPolarity(X35,AE35)</f>
        <v/>
      </c>
      <c r="Z35" s="73"/>
      <c r="AA35" s="71"/>
      <c r="AB35" s="86" t="str">
        <f t="shared" si="3"/>
        <v/>
      </c>
      <c r="AC35" s="86" t="str">
        <f t="shared" si="4"/>
        <v/>
      </c>
      <c r="AD35" s="73">
        <v>45</v>
      </c>
      <c r="AE35" s="71" t="s">
        <v>9</v>
      </c>
      <c r="AF35" s="23" t="str">
        <f t="shared" si="5"/>
        <v>@ 45Hz</v>
      </c>
      <c r="AG35" s="31" t="str" cm="1">
        <f t="array" ref="AG35">FilterSpecialCharacters(X35)</f>
        <v/>
      </c>
      <c r="AH35" s="90" t="str">
        <f t="shared" si="6"/>
        <v xml:space="preserve"> </v>
      </c>
    </row>
    <row r="36" spans="1:34" x14ac:dyDescent="0.25">
      <c r="A36" s="123" cm="1">
        <f t="array" ref="A36">IfEmpty(TRIM(_xlfn.CONCAT(C36:H36)),"",CRC32HASH(_xlfn.CONCAT(C36:H36)))</f>
        <v>-369397826</v>
      </c>
      <c r="B36" s="10" t="str">
        <f>IFERROR(VLOOKUP(J36,Table1[],2,FALSE),"")</f>
        <v/>
      </c>
      <c r="C36" s="41" t="str" cm="1">
        <f t="array" ref="C36">W36&amp;" "&amp;IfEmpty(U36,X36)</f>
        <v xml:space="preserve"> </v>
      </c>
      <c r="D36" s="50" t="str">
        <f t="shared" si="0"/>
        <v xml:space="preserve">  @ 1kHz</v>
      </c>
      <c r="E36" s="67" t="str">
        <f t="shared" si="7"/>
        <v/>
      </c>
      <c r="F36" s="48" t="str">
        <f t="shared" si="1"/>
        <v/>
      </c>
      <c r="G36" s="48" t="str">
        <f t="shared" si="2"/>
        <v/>
      </c>
      <c r="H36" s="42" t="str" cm="1">
        <f t="array" ref="H36:J36">IFERROR(CalcUnc(K36,L36,S36,T36,V36,X36,AD36,AE36,N36:R36,Z36,AA36),"")</f>
        <v/>
      </c>
      <c r="I36" s="58" t="str">
        <v/>
      </c>
      <c r="J36" s="105" t="str">
        <v/>
      </c>
      <c r="K36" s="65"/>
      <c r="L36" s="66"/>
      <c r="M36" s="24"/>
      <c r="N36" s="60"/>
      <c r="O36" s="61"/>
      <c r="P36" s="61"/>
      <c r="Q36" s="61"/>
      <c r="R36" s="62"/>
      <c r="S36" s="69"/>
      <c r="T36" s="69"/>
      <c r="U36" s="69"/>
      <c r="V36" s="76"/>
      <c r="W36" s="71"/>
      <c r="X36" s="72"/>
      <c r="Y36" s="89" t="str" cm="1">
        <f t="array" ref="Y36">GetPolarity(X36,AE36)</f>
        <v/>
      </c>
      <c r="Z36" s="73"/>
      <c r="AA36" s="71"/>
      <c r="AB36" s="86" t="str">
        <f t="shared" si="3"/>
        <v/>
      </c>
      <c r="AC36" s="86" t="str">
        <f t="shared" si="4"/>
        <v/>
      </c>
      <c r="AD36" s="73">
        <v>1</v>
      </c>
      <c r="AE36" s="71" t="s">
        <v>10</v>
      </c>
      <c r="AF36" s="23" t="str">
        <f t="shared" si="5"/>
        <v>@ 1kHz</v>
      </c>
      <c r="AG36" s="31" t="str" cm="1">
        <f t="array" ref="AG36">FilterSpecialCharacters(X36)</f>
        <v/>
      </c>
      <c r="AH36" s="90" t="str">
        <f t="shared" si="6"/>
        <v xml:space="preserve"> </v>
      </c>
    </row>
    <row r="37" spans="1:34" x14ac:dyDescent="0.25">
      <c r="A37" s="123" t="str" cm="1">
        <f t="array" ref="A37">IfEmpty(TRIM(_xlfn.CONCAT(C37:H37)),"",CRC32HASH(_xlfn.CONCAT(C37:H37)))</f>
        <v/>
      </c>
      <c r="B37" s="46" t="str">
        <f>IFERROR(VLOOKUP(J37,Table1[],2,FALSE),"")</f>
        <v/>
      </c>
      <c r="C37" s="43" t="str" cm="1">
        <f t="array" ref="C37">W37&amp;" "&amp;IfEmpty(U37,X37)</f>
        <v xml:space="preserve"> </v>
      </c>
      <c r="D37" s="44" t="str">
        <f t="shared" si="0"/>
        <v xml:space="preserve">  </v>
      </c>
      <c r="E37" s="68" t="str">
        <f t="shared" si="7"/>
        <v/>
      </c>
      <c r="F37" s="49" t="str">
        <f t="shared" si="1"/>
        <v/>
      </c>
      <c r="G37" s="49" t="str">
        <f t="shared" si="2"/>
        <v/>
      </c>
      <c r="H37" s="45" t="str" cm="1">
        <f t="array" ref="H37:J37">IFERROR(CalcUnc(K37,L37,S37,T37,V37,X37,AD37,AE37,N37:R37,Z37,AA37),"")</f>
        <v/>
      </c>
      <c r="I37" s="58" t="str">
        <v/>
      </c>
      <c r="J37" s="105" t="str">
        <v/>
      </c>
      <c r="K37" s="65"/>
      <c r="L37" s="66"/>
      <c r="M37" s="24"/>
      <c r="N37" s="60"/>
      <c r="O37" s="61"/>
      <c r="P37" s="61"/>
      <c r="Q37" s="61"/>
      <c r="R37" s="62"/>
      <c r="S37" s="69"/>
      <c r="T37" s="69"/>
      <c r="U37" s="69"/>
      <c r="V37" s="76"/>
      <c r="W37" s="71"/>
      <c r="X37" s="72"/>
      <c r="Y37" s="89" t="str" cm="1">
        <f t="array" ref="Y37">GetPolarity(X37,AE37)</f>
        <v/>
      </c>
      <c r="Z37" s="73"/>
      <c r="AA37" s="71"/>
      <c r="AB37" s="86" t="str">
        <f t="shared" si="3"/>
        <v/>
      </c>
      <c r="AC37" s="86" t="str">
        <f t="shared" si="4"/>
        <v/>
      </c>
      <c r="AD37" s="73"/>
      <c r="AE37" s="71"/>
      <c r="AF37" s="23" t="str">
        <f t="shared" si="5"/>
        <v/>
      </c>
      <c r="AG37" s="31" t="str" cm="1">
        <f t="array" ref="AG37">FilterSpecialCharacters(X37)</f>
        <v/>
      </c>
      <c r="AH37" s="90" t="str">
        <f t="shared" si="6"/>
        <v xml:space="preserve"> </v>
      </c>
    </row>
    <row r="38" spans="1:34" x14ac:dyDescent="0.25">
      <c r="A38" s="123" t="str" cm="1">
        <f t="array" ref="A38">IfEmpty(TRIM(_xlfn.CONCAT(C38:H38)),"",CRC32HASH(_xlfn.CONCAT(C38:H38)))</f>
        <v/>
      </c>
      <c r="B38" s="10" t="str">
        <f>IFERROR(VLOOKUP(J38,Table1[],2,FALSE),"")</f>
        <v/>
      </c>
      <c r="C38" s="41" t="str" cm="1">
        <f t="array" ref="C38">W38&amp;" "&amp;IfEmpty(U38,X38)</f>
        <v xml:space="preserve"> </v>
      </c>
      <c r="D38" s="50" t="str">
        <f t="shared" ref="D38:D69" si="8">IF(OR(X38="°C", X38="°F"), Z38 &amp; " " &amp; X38, IF(RIGHT(AG38,2)="Hz", AF38 &amp; " @ " &amp; Z38 &amp; AG38, Z38 &amp; " " &amp; AG38 &amp; Y38 &amp; " " &amp; AF38))</f>
        <v xml:space="preserve">  </v>
      </c>
      <c r="E38" s="67" t="str">
        <f t="shared" si="7"/>
        <v/>
      </c>
      <c r="F38" s="48" t="str">
        <f t="shared" ref="F38:F69" si="9">IF(AB38="","",AB38&amp;$AH38)</f>
        <v/>
      </c>
      <c r="G38" s="48" t="str">
        <f t="shared" ref="G38:G69" si="10">IF(AC38="","",AC38&amp;$AH38)</f>
        <v/>
      </c>
      <c r="H38" s="42" t="str" cm="1">
        <f t="array" ref="H38:J38">IFERROR(CalcUnc(K38,L38,S38,T38,V38,X38,AD38,AE38,N38:R38,Z38,AA38),"")</f>
        <v/>
      </c>
      <c r="I38" s="58" t="str">
        <v/>
      </c>
      <c r="J38" s="105" t="str">
        <v/>
      </c>
      <c r="K38" s="65"/>
      <c r="L38" s="66"/>
      <c r="M38" s="24"/>
      <c r="N38" s="60"/>
      <c r="O38" s="61"/>
      <c r="P38" s="61"/>
      <c r="Q38" s="61"/>
      <c r="R38" s="62"/>
      <c r="S38" s="69"/>
      <c r="T38" s="69"/>
      <c r="U38" s="69"/>
      <c r="V38" s="76"/>
      <c r="W38" s="71"/>
      <c r="X38" s="72"/>
      <c r="Y38" s="89" t="str" cm="1">
        <f t="array" ref="Y38">GetPolarity(X38,AE38)</f>
        <v/>
      </c>
      <c r="Z38" s="73"/>
      <c r="AA38" s="71"/>
      <c r="AB38" s="86" t="str">
        <f t="shared" ref="AB38:AB69" si="11">IF(V38&lt;&gt;"",ROUND(Z38-AA38,-LOG10(V38)),"")</f>
        <v/>
      </c>
      <c r="AC38" s="86" t="str">
        <f t="shared" ref="AC38:AC69" si="12">IF(V38&lt;&gt;"",ROUND(Z38+AA38,-LOG10(V38)),"")</f>
        <v/>
      </c>
      <c r="AD38" s="73"/>
      <c r="AE38" s="71"/>
      <c r="AF38" s="23" t="str">
        <f t="shared" si="5"/>
        <v/>
      </c>
      <c r="AG38" s="31" t="str" cm="1">
        <f t="array" ref="AG38">FilterSpecialCharacters(X38)</f>
        <v/>
      </c>
      <c r="AH38" s="90" t="str">
        <f t="shared" si="6"/>
        <v xml:space="preserve"> </v>
      </c>
    </row>
    <row r="39" spans="1:34" x14ac:dyDescent="0.25">
      <c r="A39" s="123" t="str" cm="1">
        <f t="array" ref="A39">IfEmpty(TRIM(_xlfn.CONCAT(C39:H39)),"",CRC32HASH(_xlfn.CONCAT(C39:H39)))</f>
        <v/>
      </c>
      <c r="B39" s="46" t="str">
        <f>IFERROR(VLOOKUP(J39,Table1[],2,FALSE),"")</f>
        <v/>
      </c>
      <c r="C39" s="43" t="str" cm="1">
        <f t="array" ref="C39">W39&amp;" "&amp;IfEmpty(U39,X39)</f>
        <v xml:space="preserve"> </v>
      </c>
      <c r="D39" s="44" t="str">
        <f t="shared" si="8"/>
        <v xml:space="preserve">  </v>
      </c>
      <c r="E39" s="68" t="str">
        <f t="shared" si="7"/>
        <v/>
      </c>
      <c r="F39" s="49" t="str">
        <f t="shared" si="9"/>
        <v/>
      </c>
      <c r="G39" s="49" t="str">
        <f t="shared" si="10"/>
        <v/>
      </c>
      <c r="H39" s="45" t="str" cm="1">
        <f t="array" ref="H39:J39">IFERROR(CalcUnc(K39,L39,S39,T39,V39,X39,AD39,AE39,N39:R39,Z39,AA39),"")</f>
        <v/>
      </c>
      <c r="I39" s="58" t="str">
        <v/>
      </c>
      <c r="J39" s="105" t="str">
        <v/>
      </c>
      <c r="K39" s="65"/>
      <c r="L39" s="66"/>
      <c r="M39" s="24"/>
      <c r="N39" s="60"/>
      <c r="O39" s="61"/>
      <c r="P39" s="61"/>
      <c r="Q39" s="61"/>
      <c r="R39" s="62"/>
      <c r="S39" s="69"/>
      <c r="T39" s="69"/>
      <c r="U39" s="69"/>
      <c r="V39" s="76"/>
      <c r="W39" s="71"/>
      <c r="X39" s="72"/>
      <c r="Y39" s="89" t="str" cm="1">
        <f t="array" ref="Y39">GetPolarity(X39,AE39)</f>
        <v/>
      </c>
      <c r="Z39" s="73"/>
      <c r="AA39" s="71"/>
      <c r="AB39" s="86" t="str">
        <f t="shared" si="11"/>
        <v/>
      </c>
      <c r="AC39" s="86" t="str">
        <f t="shared" si="12"/>
        <v/>
      </c>
      <c r="AD39" s="73"/>
      <c r="AE39" s="71"/>
      <c r="AF39" s="23" t="str">
        <f t="shared" si="5"/>
        <v/>
      </c>
      <c r="AG39" s="31" t="str" cm="1">
        <f t="array" ref="AG39">FilterSpecialCharacters(X39)</f>
        <v/>
      </c>
      <c r="AH39" s="90" t="str">
        <f t="shared" si="6"/>
        <v xml:space="preserve"> </v>
      </c>
    </row>
    <row r="40" spans="1:34" x14ac:dyDescent="0.25">
      <c r="A40" s="123" t="str" cm="1">
        <f t="array" ref="A40">IfEmpty(TRIM(_xlfn.CONCAT(C40:H40)),"",CRC32HASH(_xlfn.CONCAT(C40:H40)))</f>
        <v/>
      </c>
      <c r="B40" s="10" t="str">
        <f>IFERROR(VLOOKUP(J40,Table1[],2,FALSE),"")</f>
        <v/>
      </c>
      <c r="C40" s="41" t="str" cm="1">
        <f t="array" ref="C40">W40&amp;" "&amp;IfEmpty(U40,X40)</f>
        <v xml:space="preserve"> </v>
      </c>
      <c r="D40" s="50" t="str">
        <f t="shared" si="8"/>
        <v xml:space="preserve">  </v>
      </c>
      <c r="E40" s="67" t="str">
        <f t="shared" si="7"/>
        <v/>
      </c>
      <c r="F40" s="48" t="str">
        <f t="shared" si="9"/>
        <v/>
      </c>
      <c r="G40" s="48" t="str">
        <f t="shared" si="10"/>
        <v/>
      </c>
      <c r="H40" s="42" t="str" cm="1">
        <f t="array" ref="H40:J40">IFERROR(CalcUnc(K40,L40,S40,T40,V40,X40,AD40,AE40,N40:R40,Z40,AA40),"")</f>
        <v/>
      </c>
      <c r="I40" s="58" t="str">
        <v/>
      </c>
      <c r="J40" s="105" t="str">
        <v/>
      </c>
      <c r="K40" s="65"/>
      <c r="L40" s="66"/>
      <c r="M40" s="24"/>
      <c r="N40" s="60"/>
      <c r="O40" s="61"/>
      <c r="P40" s="61"/>
      <c r="Q40" s="61"/>
      <c r="R40" s="62"/>
      <c r="S40" s="69"/>
      <c r="T40" s="69"/>
      <c r="U40" s="69"/>
      <c r="V40" s="76"/>
      <c r="W40" s="71"/>
      <c r="X40" s="72"/>
      <c r="Y40" s="89" t="str" cm="1">
        <f t="array" ref="Y40">GetPolarity(X40,AE40)</f>
        <v/>
      </c>
      <c r="Z40" s="73"/>
      <c r="AA40" s="71"/>
      <c r="AB40" s="86" t="str">
        <f t="shared" si="11"/>
        <v/>
      </c>
      <c r="AC40" s="86" t="str">
        <f t="shared" si="12"/>
        <v/>
      </c>
      <c r="AD40" s="73"/>
      <c r="AE40" s="71"/>
      <c r="AF40" s="23" t="str">
        <f t="shared" si="5"/>
        <v/>
      </c>
      <c r="AG40" s="31" t="str" cm="1">
        <f t="array" ref="AG40">FilterSpecialCharacters(X40)</f>
        <v/>
      </c>
      <c r="AH40" s="90" t="str">
        <f t="shared" si="6"/>
        <v xml:space="preserve"> </v>
      </c>
    </row>
    <row r="41" spans="1:34" x14ac:dyDescent="0.25">
      <c r="A41" s="123" t="str" cm="1">
        <f t="array" ref="A41">IfEmpty(TRIM(_xlfn.CONCAT(C41:H41)),"",CRC32HASH(_xlfn.CONCAT(C41:H41)))</f>
        <v/>
      </c>
      <c r="B41" s="46" t="str">
        <f>IFERROR(VLOOKUP(J41,Table1[],2,FALSE),"")</f>
        <v/>
      </c>
      <c r="C41" s="43" t="str" cm="1">
        <f t="array" ref="C41">W41&amp;" "&amp;IfEmpty(U41,X41)</f>
        <v xml:space="preserve"> </v>
      </c>
      <c r="D41" s="44" t="str">
        <f t="shared" si="8"/>
        <v xml:space="preserve">  </v>
      </c>
      <c r="E41" s="68" t="str">
        <f t="shared" si="7"/>
        <v/>
      </c>
      <c r="F41" s="49" t="str">
        <f t="shared" si="9"/>
        <v/>
      </c>
      <c r="G41" s="49" t="str">
        <f t="shared" si="10"/>
        <v/>
      </c>
      <c r="H41" s="45" t="str" cm="1">
        <f t="array" ref="H41:J41">IFERROR(CalcUnc(K41,L41,S41,T41,V41,X41,AD41,AE41,N41:R41,Z41,AA41),"")</f>
        <v/>
      </c>
      <c r="I41" s="58" t="str">
        <v/>
      </c>
      <c r="J41" s="105" t="str">
        <v/>
      </c>
      <c r="K41" s="65"/>
      <c r="L41" s="66"/>
      <c r="M41" s="24"/>
      <c r="N41" s="60"/>
      <c r="O41" s="61"/>
      <c r="P41" s="61"/>
      <c r="Q41" s="61"/>
      <c r="R41" s="62"/>
      <c r="S41" s="69"/>
      <c r="T41" s="69"/>
      <c r="U41" s="69"/>
      <c r="V41" s="76"/>
      <c r="W41" s="71"/>
      <c r="X41" s="72"/>
      <c r="Y41" s="89" t="str" cm="1">
        <f t="array" ref="Y41">GetPolarity(X41,AE41)</f>
        <v/>
      </c>
      <c r="Z41" s="73"/>
      <c r="AA41" s="71"/>
      <c r="AB41" s="86" t="str">
        <f t="shared" si="11"/>
        <v/>
      </c>
      <c r="AC41" s="86" t="str">
        <f t="shared" si="12"/>
        <v/>
      </c>
      <c r="AD41" s="73"/>
      <c r="AE41" s="71"/>
      <c r="AF41" s="23" t="str">
        <f t="shared" si="5"/>
        <v/>
      </c>
      <c r="AG41" s="31" t="str" cm="1">
        <f t="array" ref="AG41">FilterSpecialCharacters(X41)</f>
        <v/>
      </c>
      <c r="AH41" s="90" t="str">
        <f t="shared" si="6"/>
        <v xml:space="preserve"> </v>
      </c>
    </row>
    <row r="42" spans="1:34" x14ac:dyDescent="0.25">
      <c r="A42" s="123" t="str" cm="1">
        <f t="array" ref="A42">IfEmpty(TRIM(_xlfn.CONCAT(C42:H42)),"",CRC32HASH(_xlfn.CONCAT(C42:H42)))</f>
        <v/>
      </c>
      <c r="B42" s="10" t="str">
        <f>IFERROR(VLOOKUP(J42,Table1[],2,FALSE),"")</f>
        <v/>
      </c>
      <c r="C42" s="41" t="str" cm="1">
        <f t="array" ref="C42">W42&amp;" "&amp;IfEmpty(U42,X42)</f>
        <v xml:space="preserve"> </v>
      </c>
      <c r="D42" s="50" t="str">
        <f t="shared" si="8"/>
        <v xml:space="preserve">  </v>
      </c>
      <c r="E42" s="67" t="str">
        <f t="shared" si="7"/>
        <v/>
      </c>
      <c r="F42" s="48" t="str">
        <f t="shared" si="9"/>
        <v/>
      </c>
      <c r="G42" s="48" t="str">
        <f t="shared" si="10"/>
        <v/>
      </c>
      <c r="H42" s="42" t="str" cm="1">
        <f t="array" ref="H42:J42">IFERROR(CalcUnc(K42,L42,S42,T42,V42,X42,AD42,AE42,N42:R42,Z42,AA42),"")</f>
        <v/>
      </c>
      <c r="I42" s="58" t="str">
        <v/>
      </c>
      <c r="J42" s="105" t="str">
        <v/>
      </c>
      <c r="K42" s="65"/>
      <c r="L42" s="66"/>
      <c r="M42" s="24"/>
      <c r="N42" s="60"/>
      <c r="O42" s="61"/>
      <c r="P42" s="61"/>
      <c r="Q42" s="61"/>
      <c r="R42" s="62"/>
      <c r="S42" s="69"/>
      <c r="T42" s="69"/>
      <c r="U42" s="69"/>
      <c r="V42" s="76"/>
      <c r="W42" s="71"/>
      <c r="X42" s="72"/>
      <c r="Y42" s="89" t="str" cm="1">
        <f t="array" ref="Y42">GetPolarity(X42,AE42)</f>
        <v/>
      </c>
      <c r="Z42" s="73"/>
      <c r="AA42" s="71"/>
      <c r="AB42" s="86" t="str">
        <f t="shared" si="11"/>
        <v/>
      </c>
      <c r="AC42" s="86" t="str">
        <f t="shared" si="12"/>
        <v/>
      </c>
      <c r="AD42" s="73"/>
      <c r="AE42" s="71"/>
      <c r="AF42" s="23" t="str">
        <f t="shared" si="5"/>
        <v/>
      </c>
      <c r="AG42" s="31" t="str" cm="1">
        <f t="array" ref="AG42">FilterSpecialCharacters(X42)</f>
        <v/>
      </c>
      <c r="AH42" s="90" t="str">
        <f t="shared" si="6"/>
        <v xml:space="preserve"> </v>
      </c>
    </row>
    <row r="43" spans="1:34" x14ac:dyDescent="0.25">
      <c r="A43" s="123" t="str" cm="1">
        <f t="array" ref="A43">IfEmpty(TRIM(_xlfn.CONCAT(C43:H43)),"",CRC32HASH(_xlfn.CONCAT(C43:H43)))</f>
        <v/>
      </c>
      <c r="B43" s="46" t="str">
        <f>IFERROR(VLOOKUP(J43,Table1[],2,FALSE),"")</f>
        <v/>
      </c>
      <c r="C43" s="43" t="str" cm="1">
        <f t="array" ref="C43">W43&amp;" "&amp;IfEmpty(U43,X43)</f>
        <v xml:space="preserve"> </v>
      </c>
      <c r="D43" s="44" t="str">
        <f t="shared" si="8"/>
        <v xml:space="preserve">  </v>
      </c>
      <c r="E43" s="68" t="str">
        <f t="shared" si="7"/>
        <v/>
      </c>
      <c r="F43" s="49" t="str">
        <f t="shared" si="9"/>
        <v/>
      </c>
      <c r="G43" s="49" t="str">
        <f t="shared" si="10"/>
        <v/>
      </c>
      <c r="H43" s="45" t="str" cm="1">
        <f t="array" ref="H43:J43">IFERROR(CalcUnc(K43,L43,S43,T43,V43,X43,AD43,AE43,N43:R43,Z43,AA43),"")</f>
        <v/>
      </c>
      <c r="I43" s="58" t="str">
        <v/>
      </c>
      <c r="J43" s="105" t="str">
        <v/>
      </c>
      <c r="K43" s="65"/>
      <c r="L43" s="66"/>
      <c r="M43" s="24"/>
      <c r="N43" s="60"/>
      <c r="O43" s="61"/>
      <c r="P43" s="61"/>
      <c r="Q43" s="61"/>
      <c r="R43" s="62"/>
      <c r="S43" s="69"/>
      <c r="T43" s="69"/>
      <c r="U43" s="69"/>
      <c r="V43" s="76"/>
      <c r="W43" s="71"/>
      <c r="X43" s="72"/>
      <c r="Y43" s="89" t="str" cm="1">
        <f t="array" ref="Y43">GetPolarity(X43,AE43)</f>
        <v/>
      </c>
      <c r="Z43" s="73"/>
      <c r="AA43" s="71"/>
      <c r="AB43" s="86" t="str">
        <f t="shared" si="11"/>
        <v/>
      </c>
      <c r="AC43" s="86" t="str">
        <f t="shared" si="12"/>
        <v/>
      </c>
      <c r="AD43" s="73"/>
      <c r="AE43" s="71"/>
      <c r="AF43" s="23" t="str">
        <f t="shared" si="5"/>
        <v/>
      </c>
      <c r="AG43" s="31" t="str" cm="1">
        <f t="array" ref="AG43">FilterSpecialCharacters(X43)</f>
        <v/>
      </c>
      <c r="AH43" s="90" t="str">
        <f t="shared" si="6"/>
        <v xml:space="preserve"> </v>
      </c>
    </row>
    <row r="44" spans="1:34" x14ac:dyDescent="0.25">
      <c r="A44" s="123" t="str" cm="1">
        <f t="array" ref="A44">IfEmpty(TRIM(_xlfn.CONCAT(C44:H44)),"",CRC32HASH(_xlfn.CONCAT(C44:H44)))</f>
        <v/>
      </c>
      <c r="B44" s="10" t="str">
        <f>IFERROR(VLOOKUP(J44,Table1[],2,FALSE),"")</f>
        <v/>
      </c>
      <c r="C44" s="41" t="str" cm="1">
        <f t="array" ref="C44">W44&amp;" "&amp;IfEmpty(U44,X44)</f>
        <v xml:space="preserve"> </v>
      </c>
      <c r="D44" s="50" t="str">
        <f t="shared" si="8"/>
        <v xml:space="preserve">  </v>
      </c>
      <c r="E44" s="67" t="str">
        <f t="shared" si="7"/>
        <v/>
      </c>
      <c r="F44" s="48" t="str">
        <f t="shared" si="9"/>
        <v/>
      </c>
      <c r="G44" s="48" t="str">
        <f t="shared" si="10"/>
        <v/>
      </c>
      <c r="H44" s="42" t="str" cm="1">
        <f t="array" ref="H44:J44">IFERROR(CalcUnc(K44,L44,S44,T44,V44,X44,AD44,AE44,N44:R44,Z44,AA44),"")</f>
        <v/>
      </c>
      <c r="I44" s="58" t="str">
        <v/>
      </c>
      <c r="J44" s="105" t="str">
        <v/>
      </c>
      <c r="K44" s="65"/>
      <c r="L44" s="66"/>
      <c r="M44" s="24"/>
      <c r="N44" s="60"/>
      <c r="O44" s="61"/>
      <c r="P44" s="61"/>
      <c r="Q44" s="61"/>
      <c r="R44" s="62"/>
      <c r="S44" s="69"/>
      <c r="T44" s="69"/>
      <c r="U44" s="69"/>
      <c r="V44" s="76"/>
      <c r="W44" s="71"/>
      <c r="X44" s="72"/>
      <c r="Y44" s="89" t="str" cm="1">
        <f t="array" ref="Y44">GetPolarity(X44,AE44)</f>
        <v/>
      </c>
      <c r="Z44" s="73"/>
      <c r="AA44" s="71"/>
      <c r="AB44" s="86" t="str">
        <f t="shared" si="11"/>
        <v/>
      </c>
      <c r="AC44" s="86" t="str">
        <f t="shared" si="12"/>
        <v/>
      </c>
      <c r="AD44" s="73"/>
      <c r="AE44" s="71"/>
      <c r="AF44" s="23" t="str">
        <f t="shared" si="5"/>
        <v/>
      </c>
      <c r="AG44" s="31" t="str" cm="1">
        <f t="array" ref="AG44">FilterSpecialCharacters(X44)</f>
        <v/>
      </c>
      <c r="AH44" s="90" t="str">
        <f t="shared" si="6"/>
        <v xml:space="preserve"> </v>
      </c>
    </row>
    <row r="45" spans="1:34" x14ac:dyDescent="0.25">
      <c r="A45" s="123" t="str" cm="1">
        <f t="array" ref="A45">IfEmpty(TRIM(_xlfn.CONCAT(C45:H45)),"",CRC32HASH(_xlfn.CONCAT(C45:H45)))</f>
        <v/>
      </c>
      <c r="B45" s="46" t="str">
        <f>IFERROR(VLOOKUP(J45,Table1[],2,FALSE),"")</f>
        <v/>
      </c>
      <c r="C45" s="43" t="str" cm="1">
        <f t="array" ref="C45">W45&amp;" "&amp;IfEmpty(U45,X45)</f>
        <v xml:space="preserve"> </v>
      </c>
      <c r="D45" s="44" t="str">
        <f t="shared" si="8"/>
        <v xml:space="preserve">  </v>
      </c>
      <c r="E45" s="68" t="str">
        <f t="shared" si="7"/>
        <v/>
      </c>
      <c r="F45" s="49" t="str">
        <f t="shared" si="9"/>
        <v/>
      </c>
      <c r="G45" s="49" t="str">
        <f t="shared" si="10"/>
        <v/>
      </c>
      <c r="H45" s="45" t="str" cm="1">
        <f t="array" ref="H45:J45">IFERROR(CalcUnc(K45,L45,S45,T45,V45,X45,AD45,AE45,N45:R45,Z45,AA45),"")</f>
        <v/>
      </c>
      <c r="I45" s="58" t="str">
        <v/>
      </c>
      <c r="J45" s="105" t="str">
        <v/>
      </c>
      <c r="K45" s="65"/>
      <c r="L45" s="66"/>
      <c r="M45" s="24"/>
      <c r="N45" s="60"/>
      <c r="O45" s="61"/>
      <c r="P45" s="61"/>
      <c r="Q45" s="61"/>
      <c r="R45" s="62"/>
      <c r="S45" s="69"/>
      <c r="T45" s="69"/>
      <c r="U45" s="69"/>
      <c r="V45" s="76"/>
      <c r="W45" s="71"/>
      <c r="X45" s="72"/>
      <c r="Y45" s="89" t="str" cm="1">
        <f t="array" ref="Y45">GetPolarity(X45,AE45)</f>
        <v/>
      </c>
      <c r="Z45" s="73"/>
      <c r="AA45" s="77"/>
      <c r="AB45" s="86" t="str">
        <f t="shared" si="11"/>
        <v/>
      </c>
      <c r="AC45" s="86" t="str">
        <f t="shared" si="12"/>
        <v/>
      </c>
      <c r="AD45" s="73"/>
      <c r="AE45" s="71"/>
      <c r="AF45" s="23" t="str">
        <f t="shared" si="5"/>
        <v/>
      </c>
      <c r="AG45" s="31" t="str" cm="1">
        <f t="array" ref="AG45">FilterSpecialCharacters(X45)</f>
        <v/>
      </c>
      <c r="AH45" s="90" t="str">
        <f t="shared" si="6"/>
        <v xml:space="preserve"> </v>
      </c>
    </row>
    <row r="46" spans="1:34" x14ac:dyDescent="0.25">
      <c r="A46" s="123" t="str" cm="1">
        <f t="array" ref="A46">IfEmpty(TRIM(_xlfn.CONCAT(C46:H46)),"",CRC32HASH(_xlfn.CONCAT(C46:H46)))</f>
        <v/>
      </c>
      <c r="B46" s="10" t="str">
        <f>IFERROR(VLOOKUP(J46,Table1[],2,FALSE),"")</f>
        <v/>
      </c>
      <c r="C46" s="41" t="str" cm="1">
        <f t="array" ref="C46">W46&amp;" "&amp;IfEmpty(U46,X46)</f>
        <v xml:space="preserve"> </v>
      </c>
      <c r="D46" s="50" t="str">
        <f t="shared" si="8"/>
        <v xml:space="preserve">  </v>
      </c>
      <c r="E46" s="67" t="str">
        <f t="shared" si="7"/>
        <v/>
      </c>
      <c r="F46" s="48" t="str">
        <f t="shared" si="9"/>
        <v/>
      </c>
      <c r="G46" s="48" t="str">
        <f t="shared" si="10"/>
        <v/>
      </c>
      <c r="H46" s="42" t="str" cm="1">
        <f t="array" ref="H46:J46">IFERROR(CalcUnc(K46,L46,S46,T46,V46,X46,AD46,AE46,N46:R46,Z46,AA46),"")</f>
        <v/>
      </c>
      <c r="I46" s="58" t="str">
        <v/>
      </c>
      <c r="J46" s="105" t="str">
        <v/>
      </c>
      <c r="K46" s="65"/>
      <c r="L46" s="66"/>
      <c r="M46" s="24"/>
      <c r="N46" s="60"/>
      <c r="O46" s="61"/>
      <c r="P46" s="61"/>
      <c r="Q46" s="61"/>
      <c r="R46" s="62"/>
      <c r="S46" s="69"/>
      <c r="T46" s="69"/>
      <c r="U46" s="69"/>
      <c r="V46" s="76"/>
      <c r="W46" s="71"/>
      <c r="X46" s="72"/>
      <c r="Y46" s="89" t="str" cm="1">
        <f t="array" ref="Y46">GetPolarity(X46,AE46)</f>
        <v/>
      </c>
      <c r="Z46" s="73"/>
      <c r="AA46" s="77"/>
      <c r="AB46" s="86" t="str">
        <f t="shared" si="11"/>
        <v/>
      </c>
      <c r="AC46" s="86" t="str">
        <f t="shared" si="12"/>
        <v/>
      </c>
      <c r="AD46" s="73"/>
      <c r="AE46" s="71"/>
      <c r="AF46" s="23" t="str">
        <f t="shared" si="5"/>
        <v/>
      </c>
      <c r="AG46" s="31" t="str" cm="1">
        <f t="array" ref="AG46">FilterSpecialCharacters(X46)</f>
        <v/>
      </c>
      <c r="AH46" s="90" t="str">
        <f t="shared" si="6"/>
        <v xml:space="preserve"> </v>
      </c>
    </row>
    <row r="47" spans="1:34" x14ac:dyDescent="0.25">
      <c r="A47" s="123" t="str" cm="1">
        <f t="array" ref="A47">IfEmpty(TRIM(_xlfn.CONCAT(C47:H47)),"",CRC32HASH(_xlfn.CONCAT(C47:H47)))</f>
        <v/>
      </c>
      <c r="B47" s="46" t="str">
        <f>IFERROR(VLOOKUP(J47,Table1[],2,FALSE),"")</f>
        <v/>
      </c>
      <c r="C47" s="43" t="str" cm="1">
        <f t="array" ref="C47">W47&amp;" "&amp;IfEmpty(U47,X47)</f>
        <v xml:space="preserve"> </v>
      </c>
      <c r="D47" s="44" t="str">
        <f t="shared" si="8"/>
        <v xml:space="preserve">  </v>
      </c>
      <c r="E47" s="68" t="str">
        <f t="shared" si="7"/>
        <v/>
      </c>
      <c r="F47" s="49" t="str">
        <f t="shared" si="9"/>
        <v/>
      </c>
      <c r="G47" s="49" t="str">
        <f t="shared" si="10"/>
        <v/>
      </c>
      <c r="H47" s="45" t="str" cm="1">
        <f t="array" ref="H47:J47">IFERROR(CalcUnc(K47,L47,S47,T47,V47,X47,AD47,AE47,N47:R47,Z47,AA47),"")</f>
        <v/>
      </c>
      <c r="I47" s="58" t="str">
        <v/>
      </c>
      <c r="J47" s="105" t="str">
        <v/>
      </c>
      <c r="K47" s="65"/>
      <c r="L47" s="66"/>
      <c r="M47" s="24"/>
      <c r="N47" s="60"/>
      <c r="O47" s="61"/>
      <c r="P47" s="61"/>
      <c r="Q47" s="61"/>
      <c r="R47" s="62"/>
      <c r="S47" s="69"/>
      <c r="T47" s="69"/>
      <c r="U47" s="69"/>
      <c r="V47" s="76"/>
      <c r="W47" s="71"/>
      <c r="X47" s="72"/>
      <c r="Y47" s="89" t="str" cm="1">
        <f t="array" ref="Y47">GetPolarity(X47,AE47)</f>
        <v/>
      </c>
      <c r="Z47" s="73"/>
      <c r="AA47" s="77"/>
      <c r="AB47" s="86" t="str">
        <f t="shared" si="11"/>
        <v/>
      </c>
      <c r="AC47" s="86" t="str">
        <f t="shared" si="12"/>
        <v/>
      </c>
      <c r="AD47" s="73"/>
      <c r="AE47" s="71"/>
      <c r="AF47" s="23" t="str">
        <f t="shared" si="5"/>
        <v/>
      </c>
      <c r="AG47" s="31" t="str" cm="1">
        <f t="array" ref="AG47">FilterSpecialCharacters(X47)</f>
        <v/>
      </c>
      <c r="AH47" s="90" t="str">
        <f t="shared" si="6"/>
        <v xml:space="preserve"> </v>
      </c>
    </row>
    <row r="48" spans="1:34" x14ac:dyDescent="0.25">
      <c r="A48" s="123" t="str" cm="1">
        <f t="array" ref="A48">IfEmpty(TRIM(_xlfn.CONCAT(C48:H48)),"",CRC32HASH(_xlfn.CONCAT(C48:H48)))</f>
        <v/>
      </c>
      <c r="B48" s="10" t="str">
        <f>IFERROR(VLOOKUP(J48,Table1[],2,FALSE),"")</f>
        <v/>
      </c>
      <c r="C48" s="41" t="str" cm="1">
        <f t="array" ref="C48">W48&amp;" "&amp;IfEmpty(U48,X48)</f>
        <v xml:space="preserve"> </v>
      </c>
      <c r="D48" s="50" t="str">
        <f t="shared" si="8"/>
        <v xml:space="preserve">  </v>
      </c>
      <c r="E48" s="67" t="str">
        <f t="shared" si="7"/>
        <v/>
      </c>
      <c r="F48" s="48" t="str">
        <f t="shared" si="9"/>
        <v/>
      </c>
      <c r="G48" s="48" t="str">
        <f t="shared" si="10"/>
        <v/>
      </c>
      <c r="H48" s="42" t="str" cm="1">
        <f t="array" ref="H48:J48">IFERROR(CalcUnc(K48,L48,S48,T48,V48,X48,AD48,AE48,N48:R48,Z48,AA48),"")</f>
        <v/>
      </c>
      <c r="I48" s="58" t="str">
        <v/>
      </c>
      <c r="J48" s="105" t="str">
        <v/>
      </c>
      <c r="K48" s="65"/>
      <c r="L48" s="66"/>
      <c r="M48" s="24"/>
      <c r="N48" s="60"/>
      <c r="O48" s="61"/>
      <c r="P48" s="61"/>
      <c r="Q48" s="61"/>
      <c r="R48" s="62"/>
      <c r="S48" s="69"/>
      <c r="T48" s="69"/>
      <c r="U48" s="69"/>
      <c r="V48" s="76"/>
      <c r="W48" s="71"/>
      <c r="X48" s="72"/>
      <c r="Y48" s="89" t="str" cm="1">
        <f t="array" ref="Y48">GetPolarity(X48,AE48)</f>
        <v/>
      </c>
      <c r="Z48" s="73"/>
      <c r="AA48" s="77"/>
      <c r="AB48" s="86" t="str">
        <f t="shared" si="11"/>
        <v/>
      </c>
      <c r="AC48" s="86" t="str">
        <f t="shared" si="12"/>
        <v/>
      </c>
      <c r="AD48" s="73"/>
      <c r="AE48" s="71"/>
      <c r="AF48" s="23" t="str">
        <f t="shared" si="5"/>
        <v/>
      </c>
      <c r="AG48" s="31" t="str" cm="1">
        <f t="array" ref="AG48">FilterSpecialCharacters(X48)</f>
        <v/>
      </c>
      <c r="AH48" s="90" t="str">
        <f t="shared" si="6"/>
        <v xml:space="preserve"> </v>
      </c>
    </row>
    <row r="49" spans="1:34" x14ac:dyDescent="0.25">
      <c r="A49" s="123" t="str" cm="1">
        <f t="array" ref="A49">IfEmpty(TRIM(_xlfn.CONCAT(C49:H49)),"",CRC32HASH(_xlfn.CONCAT(C49:H49)))</f>
        <v/>
      </c>
      <c r="B49" s="46" t="str">
        <f>IFERROR(VLOOKUP(J49,Table1[],2,FALSE),"")</f>
        <v/>
      </c>
      <c r="C49" s="43" t="str" cm="1">
        <f t="array" ref="C49">W49&amp;" "&amp;IfEmpty(U49,X49)</f>
        <v xml:space="preserve"> </v>
      </c>
      <c r="D49" s="44" t="str">
        <f t="shared" si="8"/>
        <v xml:space="preserve">  </v>
      </c>
      <c r="E49" s="68" t="str">
        <f t="shared" si="7"/>
        <v/>
      </c>
      <c r="F49" s="49" t="str">
        <f t="shared" si="9"/>
        <v/>
      </c>
      <c r="G49" s="49" t="str">
        <f t="shared" si="10"/>
        <v/>
      </c>
      <c r="H49" s="45" t="str" cm="1">
        <f t="array" ref="H49:J49">IFERROR(CalcUnc(K49,L49,S49,T49,V49,X49,AD49,AE49,N49:R49,Z49,AA49),"")</f>
        <v/>
      </c>
      <c r="I49" s="58" t="str">
        <v/>
      </c>
      <c r="J49" s="105" t="str">
        <v/>
      </c>
      <c r="K49" s="65"/>
      <c r="L49" s="66"/>
      <c r="M49" s="24"/>
      <c r="N49" s="60"/>
      <c r="O49" s="61"/>
      <c r="P49" s="61"/>
      <c r="Q49" s="61"/>
      <c r="R49" s="62"/>
      <c r="S49" s="69"/>
      <c r="T49" s="69"/>
      <c r="U49" s="69"/>
      <c r="V49" s="76"/>
      <c r="W49" s="71"/>
      <c r="X49" s="72"/>
      <c r="Y49" s="89" t="str" cm="1">
        <f t="array" ref="Y49">GetPolarity(X49,AE49)</f>
        <v/>
      </c>
      <c r="Z49" s="73"/>
      <c r="AA49" s="77"/>
      <c r="AB49" s="86" t="str">
        <f t="shared" si="11"/>
        <v/>
      </c>
      <c r="AC49" s="86" t="str">
        <f t="shared" si="12"/>
        <v/>
      </c>
      <c r="AD49" s="73"/>
      <c r="AE49" s="71"/>
      <c r="AF49" s="23" t="str">
        <f t="shared" si="5"/>
        <v/>
      </c>
      <c r="AG49" s="31" t="str" cm="1">
        <f t="array" ref="AG49">FilterSpecialCharacters(X49)</f>
        <v/>
      </c>
      <c r="AH49" s="90" t="str">
        <f t="shared" si="6"/>
        <v xml:space="preserve"> </v>
      </c>
    </row>
    <row r="50" spans="1:34" x14ac:dyDescent="0.25">
      <c r="A50" s="123" t="str" cm="1">
        <f t="array" ref="A50">IfEmpty(TRIM(_xlfn.CONCAT(C50:H50)),"",CRC32HASH(_xlfn.CONCAT(C50:H50)))</f>
        <v/>
      </c>
      <c r="B50" s="10" t="str">
        <f>IFERROR(VLOOKUP(J50,Table1[],2,FALSE),"")</f>
        <v/>
      </c>
      <c r="C50" s="41" t="str" cm="1">
        <f t="array" ref="C50">W50&amp;" "&amp;IfEmpty(U50,X50)</f>
        <v xml:space="preserve"> </v>
      </c>
      <c r="D50" s="50" t="str">
        <f t="shared" si="8"/>
        <v xml:space="preserve">  </v>
      </c>
      <c r="E50" s="67" t="str">
        <f t="shared" si="7"/>
        <v/>
      </c>
      <c r="F50" s="48" t="str">
        <f t="shared" si="9"/>
        <v/>
      </c>
      <c r="G50" s="48" t="str">
        <f t="shared" si="10"/>
        <v/>
      </c>
      <c r="H50" s="42" t="str" cm="1">
        <f t="array" ref="H50:J50">IFERROR(CalcUnc(K50,L50,S50,T50,V50,X50,AD50,AE50,N50:R50,Z50,AA50),"")</f>
        <v/>
      </c>
      <c r="I50" s="58" t="str">
        <v/>
      </c>
      <c r="J50" s="105" t="str">
        <v/>
      </c>
      <c r="K50" s="65"/>
      <c r="L50" s="66"/>
      <c r="M50" s="24"/>
      <c r="N50" s="60"/>
      <c r="O50" s="61"/>
      <c r="P50" s="61"/>
      <c r="Q50" s="61"/>
      <c r="R50" s="62"/>
      <c r="S50" s="69"/>
      <c r="T50" s="69"/>
      <c r="U50" s="69"/>
      <c r="V50" s="76"/>
      <c r="W50" s="71"/>
      <c r="X50" s="72"/>
      <c r="Y50" s="89" t="str" cm="1">
        <f t="array" ref="Y50">GetPolarity(X50,AE50)</f>
        <v/>
      </c>
      <c r="Z50" s="73"/>
      <c r="AA50" s="77"/>
      <c r="AB50" s="86" t="str">
        <f t="shared" si="11"/>
        <v/>
      </c>
      <c r="AC50" s="86" t="str">
        <f t="shared" si="12"/>
        <v/>
      </c>
      <c r="AD50" s="73"/>
      <c r="AE50" s="71"/>
      <c r="AF50" s="23" t="str">
        <f t="shared" si="5"/>
        <v/>
      </c>
      <c r="AG50" s="31" t="str" cm="1">
        <f t="array" ref="AG50">FilterSpecialCharacters(X50)</f>
        <v/>
      </c>
      <c r="AH50" s="90" t="str">
        <f t="shared" si="6"/>
        <v xml:space="preserve"> </v>
      </c>
    </row>
    <row r="51" spans="1:34" x14ac:dyDescent="0.25">
      <c r="A51" s="123" t="str" cm="1">
        <f t="array" ref="A51">IfEmpty(TRIM(_xlfn.CONCAT(C51:H51)),"",CRC32HASH(_xlfn.CONCAT(C51:H51)))</f>
        <v/>
      </c>
      <c r="B51" s="46" t="str">
        <f>IFERROR(VLOOKUP(J51,Table1[],2,FALSE),"")</f>
        <v/>
      </c>
      <c r="C51" s="43" t="str" cm="1">
        <f t="array" ref="C51">W51&amp;" "&amp;IfEmpty(U51,X51)</f>
        <v xml:space="preserve"> </v>
      </c>
      <c r="D51" s="44" t="str">
        <f t="shared" si="8"/>
        <v xml:space="preserve">  </v>
      </c>
      <c r="E51" s="68" t="str">
        <f t="shared" si="7"/>
        <v/>
      </c>
      <c r="F51" s="49" t="str">
        <f t="shared" si="9"/>
        <v/>
      </c>
      <c r="G51" s="49" t="str">
        <f t="shared" si="10"/>
        <v/>
      </c>
      <c r="H51" s="45" t="str" cm="1">
        <f t="array" ref="H51:J51">IFERROR(CalcUnc(K51,L51,S51,T51,V51,X51,AD51,AE51,N51:R51,Z51,AA51),"")</f>
        <v/>
      </c>
      <c r="I51" s="58" t="str">
        <v/>
      </c>
      <c r="J51" s="105" t="str">
        <v/>
      </c>
      <c r="K51" s="65"/>
      <c r="L51" s="66"/>
      <c r="M51" s="24"/>
      <c r="N51" s="60"/>
      <c r="O51" s="61"/>
      <c r="P51" s="61"/>
      <c r="Q51" s="61"/>
      <c r="R51" s="62"/>
      <c r="S51" s="69"/>
      <c r="T51" s="69"/>
      <c r="U51" s="69"/>
      <c r="V51" s="76"/>
      <c r="W51" s="71"/>
      <c r="X51" s="72"/>
      <c r="Y51" s="89" t="str" cm="1">
        <f t="array" ref="Y51">GetPolarity(X51,AE51)</f>
        <v/>
      </c>
      <c r="Z51" s="73"/>
      <c r="AA51" s="77"/>
      <c r="AB51" s="86" t="str">
        <f t="shared" si="11"/>
        <v/>
      </c>
      <c r="AC51" s="86" t="str">
        <f t="shared" si="12"/>
        <v/>
      </c>
      <c r="AD51" s="73"/>
      <c r="AE51" s="71"/>
      <c r="AF51" s="23" t="str">
        <f t="shared" si="5"/>
        <v/>
      </c>
      <c r="AG51" s="31" t="str" cm="1">
        <f t="array" ref="AG51">FilterSpecialCharacters(X51)</f>
        <v/>
      </c>
      <c r="AH51" s="90" t="str">
        <f t="shared" si="6"/>
        <v xml:space="preserve"> </v>
      </c>
    </row>
    <row r="52" spans="1:34" x14ac:dyDescent="0.25">
      <c r="A52" s="123" t="str" cm="1">
        <f t="array" ref="A52">IfEmpty(TRIM(_xlfn.CONCAT(C52:H52)),"",CRC32HASH(_xlfn.CONCAT(C52:H52)))</f>
        <v/>
      </c>
      <c r="B52" s="10" t="str">
        <f>IFERROR(VLOOKUP(J52,Table1[],2,FALSE),"")</f>
        <v/>
      </c>
      <c r="C52" s="41" t="str" cm="1">
        <f t="array" ref="C52">W52&amp;" "&amp;IfEmpty(U52,X52)</f>
        <v xml:space="preserve"> </v>
      </c>
      <c r="D52" s="50" t="str">
        <f t="shared" si="8"/>
        <v xml:space="preserve">  </v>
      </c>
      <c r="E52" s="67" t="str">
        <f t="shared" si="7"/>
        <v/>
      </c>
      <c r="F52" s="48" t="str">
        <f t="shared" si="9"/>
        <v/>
      </c>
      <c r="G52" s="48" t="str">
        <f t="shared" si="10"/>
        <v/>
      </c>
      <c r="H52" s="42" t="str" cm="1">
        <f t="array" ref="H52:J52">IFERROR(CalcUnc(K52,L52,S52,T52,V52,X52,AD52,AE52,N52:R52,Z52,AA52),"")</f>
        <v/>
      </c>
      <c r="I52" s="58" t="str">
        <v/>
      </c>
      <c r="J52" s="105" t="str">
        <v/>
      </c>
      <c r="K52" s="65"/>
      <c r="L52" s="66"/>
      <c r="M52" s="24"/>
      <c r="N52" s="60"/>
      <c r="O52" s="61"/>
      <c r="P52" s="61"/>
      <c r="Q52" s="61"/>
      <c r="R52" s="62"/>
      <c r="S52" s="69"/>
      <c r="T52" s="69"/>
      <c r="U52" s="69"/>
      <c r="V52" s="76"/>
      <c r="W52" s="71"/>
      <c r="X52" s="72"/>
      <c r="Y52" s="89" t="str" cm="1">
        <f t="array" ref="Y52">GetPolarity(X52,AE52)</f>
        <v/>
      </c>
      <c r="Z52" s="73"/>
      <c r="AA52" s="77"/>
      <c r="AB52" s="86" t="str">
        <f t="shared" si="11"/>
        <v/>
      </c>
      <c r="AC52" s="86" t="str">
        <f t="shared" si="12"/>
        <v/>
      </c>
      <c r="AD52" s="73"/>
      <c r="AE52" s="71"/>
      <c r="AF52" s="23" t="str">
        <f t="shared" si="5"/>
        <v/>
      </c>
      <c r="AG52" s="31" t="str" cm="1">
        <f t="array" ref="AG52">FilterSpecialCharacters(X52)</f>
        <v/>
      </c>
      <c r="AH52" s="90" t="str">
        <f t="shared" si="6"/>
        <v xml:space="preserve"> </v>
      </c>
    </row>
    <row r="53" spans="1:34" x14ac:dyDescent="0.25">
      <c r="A53" s="123" t="str" cm="1">
        <f t="array" ref="A53">IfEmpty(TRIM(_xlfn.CONCAT(C53:H53)),"",CRC32HASH(_xlfn.CONCAT(C53:H53)))</f>
        <v/>
      </c>
      <c r="B53" s="46" t="str">
        <f>IFERROR(VLOOKUP(J53,Table1[],2,FALSE),"")</f>
        <v/>
      </c>
      <c r="C53" s="43" t="str" cm="1">
        <f t="array" ref="C53">W53&amp;" "&amp;IfEmpty(U53,X53)</f>
        <v xml:space="preserve"> </v>
      </c>
      <c r="D53" s="44" t="str">
        <f t="shared" si="8"/>
        <v xml:space="preserve">  </v>
      </c>
      <c r="E53" s="68" t="str">
        <f t="shared" si="7"/>
        <v/>
      </c>
      <c r="F53" s="49" t="str">
        <f t="shared" si="9"/>
        <v/>
      </c>
      <c r="G53" s="49" t="str">
        <f t="shared" si="10"/>
        <v/>
      </c>
      <c r="H53" s="45" t="str" cm="1">
        <f t="array" ref="H53:J53">IFERROR(CalcUnc(K53,L53,S53,T53,V53,X53,AD53,AE53,N53:R53,Z53,AA53),"")</f>
        <v/>
      </c>
      <c r="I53" s="58" t="str">
        <v/>
      </c>
      <c r="J53" s="105" t="str">
        <v/>
      </c>
      <c r="K53" s="65"/>
      <c r="L53" s="66"/>
      <c r="M53" s="24"/>
      <c r="N53" s="60"/>
      <c r="O53" s="61"/>
      <c r="P53" s="61"/>
      <c r="Q53" s="61"/>
      <c r="R53" s="62"/>
      <c r="S53" s="69"/>
      <c r="T53" s="69"/>
      <c r="U53" s="69"/>
      <c r="V53" s="76"/>
      <c r="W53" s="71"/>
      <c r="X53" s="72"/>
      <c r="Y53" s="89" t="str" cm="1">
        <f t="array" ref="Y53">GetPolarity(X53,AE53)</f>
        <v/>
      </c>
      <c r="Z53" s="73"/>
      <c r="AA53" s="77"/>
      <c r="AB53" s="86" t="str">
        <f t="shared" si="11"/>
        <v/>
      </c>
      <c r="AC53" s="86" t="str">
        <f t="shared" si="12"/>
        <v/>
      </c>
      <c r="AD53" s="73"/>
      <c r="AE53" s="71"/>
      <c r="AF53" s="23" t="str">
        <f t="shared" si="5"/>
        <v/>
      </c>
      <c r="AG53" s="31" t="str" cm="1">
        <f t="array" ref="AG53">FilterSpecialCharacters(X53)</f>
        <v/>
      </c>
      <c r="AH53" s="90" t="str">
        <f t="shared" si="6"/>
        <v xml:space="preserve"> </v>
      </c>
    </row>
    <row r="54" spans="1:34" x14ac:dyDescent="0.25">
      <c r="A54" s="123" t="str" cm="1">
        <f t="array" ref="A54">IfEmpty(TRIM(_xlfn.CONCAT(C54:H54)),"",CRC32HASH(_xlfn.CONCAT(C54:H54)))</f>
        <v/>
      </c>
      <c r="B54" s="10" t="str">
        <f>IFERROR(VLOOKUP(J54,Table1[],2,FALSE),"")</f>
        <v/>
      </c>
      <c r="C54" s="41" t="str" cm="1">
        <f t="array" ref="C54">W54&amp;" "&amp;IfEmpty(U54,X54)</f>
        <v xml:space="preserve"> </v>
      </c>
      <c r="D54" s="50" t="str">
        <f t="shared" si="8"/>
        <v xml:space="preserve">  </v>
      </c>
      <c r="E54" s="67" t="str">
        <f t="shared" si="7"/>
        <v/>
      </c>
      <c r="F54" s="48" t="str">
        <f t="shared" si="9"/>
        <v/>
      </c>
      <c r="G54" s="48" t="str">
        <f t="shared" si="10"/>
        <v/>
      </c>
      <c r="H54" s="42" t="str" cm="1">
        <f t="array" ref="H54:J54">IFERROR(CalcUnc(K54,L54,S54,T54,V54,X54,AD54,AE54,N54:R54,Z54,AA54),"")</f>
        <v/>
      </c>
      <c r="I54" s="58" t="str">
        <v/>
      </c>
      <c r="J54" s="105" t="str">
        <v/>
      </c>
      <c r="K54" s="65"/>
      <c r="L54" s="66"/>
      <c r="M54" s="24"/>
      <c r="N54" s="60"/>
      <c r="O54" s="61"/>
      <c r="P54" s="61"/>
      <c r="Q54" s="61"/>
      <c r="R54" s="62"/>
      <c r="S54" s="69"/>
      <c r="T54" s="69"/>
      <c r="U54" s="69"/>
      <c r="V54" s="76"/>
      <c r="W54" s="71"/>
      <c r="X54" s="72"/>
      <c r="Y54" s="89" t="str" cm="1">
        <f t="array" ref="Y54">GetPolarity(X54,AE54)</f>
        <v/>
      </c>
      <c r="Z54" s="73"/>
      <c r="AA54" s="77"/>
      <c r="AB54" s="86" t="str">
        <f t="shared" si="11"/>
        <v/>
      </c>
      <c r="AC54" s="86" t="str">
        <f t="shared" si="12"/>
        <v/>
      </c>
      <c r="AD54" s="73"/>
      <c r="AE54" s="71"/>
      <c r="AF54" s="23" t="str">
        <f t="shared" si="5"/>
        <v/>
      </c>
      <c r="AG54" s="31" t="str" cm="1">
        <f t="array" ref="AG54">FilterSpecialCharacters(X54)</f>
        <v/>
      </c>
      <c r="AH54" s="90" t="str">
        <f t="shared" si="6"/>
        <v xml:space="preserve"> </v>
      </c>
    </row>
    <row r="55" spans="1:34" x14ac:dyDescent="0.25">
      <c r="A55" s="123" t="str" cm="1">
        <f t="array" ref="A55">IfEmpty(TRIM(_xlfn.CONCAT(C55:H55)),"",CRC32HASH(_xlfn.CONCAT(C55:H55)))</f>
        <v/>
      </c>
      <c r="B55" s="46" t="str">
        <f>IFERROR(VLOOKUP(J55,Table1[],2,FALSE),"")</f>
        <v/>
      </c>
      <c r="C55" s="43" t="str" cm="1">
        <f t="array" ref="C55">W55&amp;" "&amp;IfEmpty(U55,X55)</f>
        <v xml:space="preserve"> </v>
      </c>
      <c r="D55" s="44" t="str">
        <f t="shared" si="8"/>
        <v xml:space="preserve">  </v>
      </c>
      <c r="E55" s="68" t="str">
        <f t="shared" si="7"/>
        <v/>
      </c>
      <c r="F55" s="49" t="str">
        <f t="shared" si="9"/>
        <v/>
      </c>
      <c r="G55" s="49" t="str">
        <f t="shared" si="10"/>
        <v/>
      </c>
      <c r="H55" s="45" t="str" cm="1">
        <f t="array" ref="H55:J55">IFERROR(CalcUnc(K55,L55,S55,T55,V55,X55,AD55,AE55,N55:R55,Z55,AA55),"")</f>
        <v/>
      </c>
      <c r="I55" s="58" t="str">
        <v/>
      </c>
      <c r="J55" s="105" t="str">
        <v/>
      </c>
      <c r="K55" s="65"/>
      <c r="L55" s="66"/>
      <c r="M55" s="24"/>
      <c r="N55" s="60"/>
      <c r="O55" s="61"/>
      <c r="P55" s="61"/>
      <c r="Q55" s="61"/>
      <c r="R55" s="62"/>
      <c r="S55" s="69"/>
      <c r="T55" s="69"/>
      <c r="U55" s="69"/>
      <c r="V55" s="76"/>
      <c r="W55" s="71"/>
      <c r="X55" s="72"/>
      <c r="Y55" s="89" t="str" cm="1">
        <f t="array" ref="Y55">GetPolarity(X55,AE55)</f>
        <v/>
      </c>
      <c r="Z55" s="73"/>
      <c r="AA55" s="77"/>
      <c r="AB55" s="86" t="str">
        <f t="shared" si="11"/>
        <v/>
      </c>
      <c r="AC55" s="86" t="str">
        <f t="shared" si="12"/>
        <v/>
      </c>
      <c r="AD55" s="73"/>
      <c r="AE55" s="71"/>
      <c r="AF55" s="23" t="str">
        <f t="shared" si="5"/>
        <v/>
      </c>
      <c r="AG55" s="31" t="str" cm="1">
        <f t="array" ref="AG55">FilterSpecialCharacters(X55)</f>
        <v/>
      </c>
      <c r="AH55" s="90" t="str">
        <f t="shared" si="6"/>
        <v xml:space="preserve"> </v>
      </c>
    </row>
    <row r="56" spans="1:34" x14ac:dyDescent="0.25">
      <c r="A56" s="123" t="str" cm="1">
        <f t="array" ref="A56">IfEmpty(TRIM(_xlfn.CONCAT(C56:H56)),"",CRC32HASH(_xlfn.CONCAT(C56:H56)))</f>
        <v/>
      </c>
      <c r="B56" s="10" t="str">
        <f>IFERROR(VLOOKUP(J56,Table1[],2,FALSE),"")</f>
        <v/>
      </c>
      <c r="C56" s="41" t="str" cm="1">
        <f t="array" ref="C56">W56&amp;" "&amp;IfEmpty(U56,X56)</f>
        <v xml:space="preserve"> </v>
      </c>
      <c r="D56" s="50" t="str">
        <f t="shared" si="8"/>
        <v xml:space="preserve">  </v>
      </c>
      <c r="E56" s="67" t="str">
        <f t="shared" si="7"/>
        <v/>
      </c>
      <c r="F56" s="48" t="str">
        <f t="shared" si="9"/>
        <v/>
      </c>
      <c r="G56" s="48" t="str">
        <f t="shared" si="10"/>
        <v/>
      </c>
      <c r="H56" s="42" t="str" cm="1">
        <f t="array" ref="H56:J56">IFERROR(CalcUnc(K56,L56,S56,T56,V56,X56,AD56,AE56,N56:R56,Z56,AA56),"")</f>
        <v/>
      </c>
      <c r="I56" s="58" t="str">
        <v/>
      </c>
      <c r="J56" s="105" t="str">
        <v/>
      </c>
      <c r="K56" s="65"/>
      <c r="L56" s="66"/>
      <c r="M56" s="24"/>
      <c r="N56" s="60"/>
      <c r="O56" s="61"/>
      <c r="P56" s="61"/>
      <c r="Q56" s="61"/>
      <c r="R56" s="62"/>
      <c r="S56" s="69"/>
      <c r="T56" s="69"/>
      <c r="U56" s="69"/>
      <c r="V56" s="76"/>
      <c r="W56" s="71"/>
      <c r="X56" s="72"/>
      <c r="Y56" s="89" t="str" cm="1">
        <f t="array" ref="Y56">GetPolarity(X56,AE56)</f>
        <v/>
      </c>
      <c r="Z56" s="73"/>
      <c r="AA56" s="77"/>
      <c r="AB56" s="86" t="str">
        <f t="shared" si="11"/>
        <v/>
      </c>
      <c r="AC56" s="86" t="str">
        <f t="shared" si="12"/>
        <v/>
      </c>
      <c r="AD56" s="73"/>
      <c r="AE56" s="71"/>
      <c r="AF56" s="23" t="str">
        <f t="shared" si="5"/>
        <v/>
      </c>
      <c r="AG56" s="31" t="str" cm="1">
        <f t="array" ref="AG56">FilterSpecialCharacters(X56)</f>
        <v/>
      </c>
      <c r="AH56" s="90" t="str">
        <f t="shared" si="6"/>
        <v xml:space="preserve"> </v>
      </c>
    </row>
    <row r="57" spans="1:34" x14ac:dyDescent="0.25">
      <c r="A57" s="123" t="str" cm="1">
        <f t="array" ref="A57">IfEmpty(TRIM(_xlfn.CONCAT(C57:H57)),"",CRC32HASH(_xlfn.CONCAT(C57:H57)))</f>
        <v/>
      </c>
      <c r="B57" s="46" t="str">
        <f>IFERROR(VLOOKUP(J57,Table1[],2,FALSE),"")</f>
        <v/>
      </c>
      <c r="C57" s="43" t="str" cm="1">
        <f t="array" ref="C57">W57&amp;" "&amp;IfEmpty(U57,X57)</f>
        <v xml:space="preserve"> </v>
      </c>
      <c r="D57" s="44" t="str">
        <f t="shared" si="8"/>
        <v xml:space="preserve">  </v>
      </c>
      <c r="E57" s="68" t="str">
        <f t="shared" si="7"/>
        <v/>
      </c>
      <c r="F57" s="49" t="str">
        <f t="shared" si="9"/>
        <v/>
      </c>
      <c r="G57" s="49" t="str">
        <f t="shared" si="10"/>
        <v/>
      </c>
      <c r="H57" s="45" t="str" cm="1">
        <f t="array" ref="H57:J57">IFERROR(CalcUnc(K57,L57,S57,T57,V57,X57,AD57,AE57,N57:R57,Z57,AA57),"")</f>
        <v/>
      </c>
      <c r="I57" s="58" t="str">
        <v/>
      </c>
      <c r="J57" s="105" t="str">
        <v/>
      </c>
      <c r="K57" s="65"/>
      <c r="L57" s="66"/>
      <c r="M57" s="24"/>
      <c r="N57" s="60"/>
      <c r="O57" s="61"/>
      <c r="P57" s="61"/>
      <c r="Q57" s="61"/>
      <c r="R57" s="62"/>
      <c r="S57" s="69"/>
      <c r="T57" s="69"/>
      <c r="U57" s="69"/>
      <c r="V57" s="76"/>
      <c r="W57" s="71"/>
      <c r="X57" s="72"/>
      <c r="Y57" s="89" t="str" cm="1">
        <f t="array" ref="Y57">GetPolarity(X57,AE57)</f>
        <v/>
      </c>
      <c r="Z57" s="73"/>
      <c r="AA57" s="77"/>
      <c r="AB57" s="86" t="str">
        <f t="shared" si="11"/>
        <v/>
      </c>
      <c r="AC57" s="86" t="str">
        <f t="shared" si="12"/>
        <v/>
      </c>
      <c r="AD57" s="73"/>
      <c r="AE57" s="71"/>
      <c r="AF57" s="23" t="str">
        <f t="shared" si="5"/>
        <v/>
      </c>
      <c r="AG57" s="31" t="str" cm="1">
        <f t="array" ref="AG57">FilterSpecialCharacters(X57)</f>
        <v/>
      </c>
      <c r="AH57" s="90" t="str">
        <f t="shared" si="6"/>
        <v xml:space="preserve"> </v>
      </c>
    </row>
    <row r="58" spans="1:34" x14ac:dyDescent="0.25">
      <c r="A58" s="123" t="str" cm="1">
        <f t="array" ref="A58">IfEmpty(TRIM(_xlfn.CONCAT(C58:H58)),"",CRC32HASH(_xlfn.CONCAT(C58:H58)))</f>
        <v/>
      </c>
      <c r="B58" s="10" t="str">
        <f>IFERROR(VLOOKUP(J58,Table1[],2,FALSE),"")</f>
        <v/>
      </c>
      <c r="C58" s="41" t="str" cm="1">
        <f t="array" ref="C58">W58&amp;" "&amp;IfEmpty(U58,X58)</f>
        <v xml:space="preserve"> </v>
      </c>
      <c r="D58" s="50" t="str">
        <f t="shared" si="8"/>
        <v xml:space="preserve">  </v>
      </c>
      <c r="E58" s="67" t="str">
        <f t="shared" si="7"/>
        <v/>
      </c>
      <c r="F58" s="48" t="str">
        <f t="shared" si="9"/>
        <v/>
      </c>
      <c r="G58" s="48" t="str">
        <f t="shared" si="10"/>
        <v/>
      </c>
      <c r="H58" s="42" t="str" cm="1">
        <f t="array" ref="H58:J58">IFERROR(CalcUnc(K58,L58,S58,T58,V58,X58,AD58,AE58,N58:R58,Z58,AA58),"")</f>
        <v/>
      </c>
      <c r="I58" s="58" t="str">
        <v/>
      </c>
      <c r="J58" s="105" t="str">
        <v/>
      </c>
      <c r="K58" s="65"/>
      <c r="L58" s="66"/>
      <c r="M58" s="24"/>
      <c r="N58" s="60"/>
      <c r="O58" s="61"/>
      <c r="P58" s="61"/>
      <c r="Q58" s="61"/>
      <c r="R58" s="62"/>
      <c r="S58" s="69"/>
      <c r="T58" s="69"/>
      <c r="U58" s="69"/>
      <c r="V58" s="76"/>
      <c r="W58" s="71"/>
      <c r="X58" s="72"/>
      <c r="Y58" s="89" t="str" cm="1">
        <f t="array" ref="Y58">GetPolarity(X58,AE58)</f>
        <v/>
      </c>
      <c r="Z58" s="73"/>
      <c r="AA58" s="77"/>
      <c r="AB58" s="86" t="str">
        <f t="shared" si="11"/>
        <v/>
      </c>
      <c r="AC58" s="86" t="str">
        <f t="shared" si="12"/>
        <v/>
      </c>
      <c r="AD58" s="73"/>
      <c r="AE58" s="71"/>
      <c r="AF58" s="23" t="str">
        <f t="shared" si="5"/>
        <v/>
      </c>
      <c r="AG58" s="31" t="str" cm="1">
        <f t="array" ref="AG58">FilterSpecialCharacters(X58)</f>
        <v/>
      </c>
      <c r="AH58" s="90" t="str">
        <f t="shared" si="6"/>
        <v xml:space="preserve"> </v>
      </c>
    </row>
    <row r="59" spans="1:34" x14ac:dyDescent="0.25">
      <c r="A59" s="123" t="str" cm="1">
        <f t="array" ref="A59">IfEmpty(TRIM(_xlfn.CONCAT(C59:H59)),"",CRC32HASH(_xlfn.CONCAT(C59:H59)))</f>
        <v/>
      </c>
      <c r="B59" s="46" t="str">
        <f>IFERROR(VLOOKUP(J59,Table1[],2,FALSE),"")</f>
        <v/>
      </c>
      <c r="C59" s="43" t="str" cm="1">
        <f t="array" ref="C59">W59&amp;" "&amp;IfEmpty(U59,X59)</f>
        <v xml:space="preserve"> </v>
      </c>
      <c r="D59" s="44" t="str">
        <f t="shared" si="8"/>
        <v xml:space="preserve">  </v>
      </c>
      <c r="E59" s="68" t="str">
        <f t="shared" si="7"/>
        <v/>
      </c>
      <c r="F59" s="49" t="str">
        <f t="shared" si="9"/>
        <v/>
      </c>
      <c r="G59" s="49" t="str">
        <f t="shared" si="10"/>
        <v/>
      </c>
      <c r="H59" s="45" t="str" cm="1">
        <f t="array" ref="H59:J59">IFERROR(CalcUnc(K59,L59,S59,T59,V59,X59,AD59,AE59,N59:R59,Z59,AA59),"")</f>
        <v/>
      </c>
      <c r="I59" s="58" t="str">
        <v/>
      </c>
      <c r="J59" s="105" t="str">
        <v/>
      </c>
      <c r="K59" s="65"/>
      <c r="L59" s="66"/>
      <c r="M59" s="24"/>
      <c r="N59" s="60"/>
      <c r="O59" s="61"/>
      <c r="P59" s="61"/>
      <c r="Q59" s="61"/>
      <c r="R59" s="62"/>
      <c r="S59" s="69"/>
      <c r="T59" s="69"/>
      <c r="U59" s="69"/>
      <c r="V59" s="76"/>
      <c r="W59" s="71"/>
      <c r="X59" s="72"/>
      <c r="Y59" s="89" t="str" cm="1">
        <f t="array" ref="Y59">GetPolarity(X59,AE59)</f>
        <v/>
      </c>
      <c r="Z59" s="73"/>
      <c r="AA59" s="77"/>
      <c r="AB59" s="86" t="str">
        <f t="shared" si="11"/>
        <v/>
      </c>
      <c r="AC59" s="86" t="str">
        <f t="shared" si="12"/>
        <v/>
      </c>
      <c r="AD59" s="73"/>
      <c r="AE59" s="71"/>
      <c r="AF59" s="23" t="str">
        <f t="shared" si="5"/>
        <v/>
      </c>
      <c r="AG59" s="31" t="str" cm="1">
        <f t="array" ref="AG59">FilterSpecialCharacters(X59)</f>
        <v/>
      </c>
      <c r="AH59" s="90" t="str">
        <f t="shared" si="6"/>
        <v xml:space="preserve"> </v>
      </c>
    </row>
    <row r="60" spans="1:34" x14ac:dyDescent="0.25">
      <c r="A60" s="123" t="str" cm="1">
        <f t="array" ref="A60">IfEmpty(TRIM(_xlfn.CONCAT(C60:H60)),"",CRC32HASH(_xlfn.CONCAT(C60:H60)))</f>
        <v/>
      </c>
      <c r="B60" s="10" t="str">
        <f>IFERROR(VLOOKUP(J60,Table1[],2,FALSE),"")</f>
        <v/>
      </c>
      <c r="C60" s="41" t="str" cm="1">
        <f t="array" ref="C60">W60&amp;" "&amp;IfEmpty(U60,X60)</f>
        <v xml:space="preserve"> </v>
      </c>
      <c r="D60" s="50" t="str">
        <f t="shared" si="8"/>
        <v xml:space="preserve">  </v>
      </c>
      <c r="E60" s="67" t="str">
        <f t="shared" si="7"/>
        <v/>
      </c>
      <c r="F60" s="48" t="str">
        <f t="shared" si="9"/>
        <v/>
      </c>
      <c r="G60" s="48" t="str">
        <f t="shared" si="10"/>
        <v/>
      </c>
      <c r="H60" s="42" t="str" cm="1">
        <f t="array" ref="H60:J60">IFERROR(CalcUnc(K60,L60,S60,T60,V60,X60,AD60,AE60,N60:R60,Z60,AA60),"")</f>
        <v/>
      </c>
      <c r="I60" s="58" t="str">
        <v/>
      </c>
      <c r="J60" s="105" t="str">
        <v/>
      </c>
      <c r="K60" s="65"/>
      <c r="L60" s="66"/>
      <c r="M60" s="24"/>
      <c r="N60" s="60"/>
      <c r="O60" s="61"/>
      <c r="P60" s="61"/>
      <c r="Q60" s="61"/>
      <c r="R60" s="62"/>
      <c r="S60" s="69"/>
      <c r="T60" s="69"/>
      <c r="U60" s="69"/>
      <c r="V60" s="76"/>
      <c r="W60" s="71"/>
      <c r="X60" s="72"/>
      <c r="Y60" s="89" t="str" cm="1">
        <f t="array" ref="Y60">GetPolarity(X60,AE60)</f>
        <v/>
      </c>
      <c r="Z60" s="73"/>
      <c r="AA60" s="77"/>
      <c r="AB60" s="86" t="str">
        <f t="shared" si="11"/>
        <v/>
      </c>
      <c r="AC60" s="86" t="str">
        <f t="shared" si="12"/>
        <v/>
      </c>
      <c r="AD60" s="73"/>
      <c r="AE60" s="71"/>
      <c r="AF60" s="23" t="str">
        <f t="shared" si="5"/>
        <v/>
      </c>
      <c r="AG60" s="31" t="str" cm="1">
        <f t="array" ref="AG60">FilterSpecialCharacters(X60)</f>
        <v/>
      </c>
      <c r="AH60" s="90" t="str">
        <f t="shared" si="6"/>
        <v xml:space="preserve"> </v>
      </c>
    </row>
    <row r="61" spans="1:34" x14ac:dyDescent="0.25">
      <c r="A61" s="123" t="str" cm="1">
        <f t="array" ref="A61">IfEmpty(TRIM(_xlfn.CONCAT(C61:H61)),"",CRC32HASH(_xlfn.CONCAT(C61:H61)))</f>
        <v/>
      </c>
      <c r="B61" s="46" t="str">
        <f>IFERROR(VLOOKUP(J61,Table1[],2,FALSE),"")</f>
        <v/>
      </c>
      <c r="C61" s="43" t="str" cm="1">
        <f t="array" ref="C61">W61&amp;" "&amp;IfEmpty(U61,X61)</f>
        <v xml:space="preserve"> </v>
      </c>
      <c r="D61" s="44" t="str">
        <f t="shared" si="8"/>
        <v xml:space="preserve">  </v>
      </c>
      <c r="E61" s="68" t="str">
        <f t="shared" si="7"/>
        <v/>
      </c>
      <c r="F61" s="49" t="str">
        <f t="shared" si="9"/>
        <v/>
      </c>
      <c r="G61" s="49" t="str">
        <f t="shared" si="10"/>
        <v/>
      </c>
      <c r="H61" s="45" t="str" cm="1">
        <f t="array" ref="H61:J61">IFERROR(CalcUnc(K61,L61,S61,T61,V61,X61,AD61,AE61,N61:R61,Z61,AA61),"")</f>
        <v/>
      </c>
      <c r="I61" s="58" t="str">
        <v/>
      </c>
      <c r="J61" s="105" t="str">
        <v/>
      </c>
      <c r="K61" s="65"/>
      <c r="L61" s="66"/>
      <c r="M61" s="24"/>
      <c r="N61" s="60"/>
      <c r="O61" s="61"/>
      <c r="P61" s="61"/>
      <c r="Q61" s="61"/>
      <c r="R61" s="62"/>
      <c r="S61" s="69"/>
      <c r="T61" s="69"/>
      <c r="U61" s="69"/>
      <c r="V61" s="76"/>
      <c r="W61" s="71"/>
      <c r="X61" s="72"/>
      <c r="Y61" s="89" t="str" cm="1">
        <f t="array" ref="Y61">GetPolarity(X61,AE61)</f>
        <v/>
      </c>
      <c r="Z61" s="73"/>
      <c r="AA61" s="77"/>
      <c r="AB61" s="86" t="str">
        <f t="shared" si="11"/>
        <v/>
      </c>
      <c r="AC61" s="86" t="str">
        <f t="shared" si="12"/>
        <v/>
      </c>
      <c r="AD61" s="73"/>
      <c r="AE61" s="71"/>
      <c r="AF61" s="23" t="str">
        <f t="shared" si="5"/>
        <v/>
      </c>
      <c r="AG61" s="31" t="str" cm="1">
        <f t="array" ref="AG61">FilterSpecialCharacters(X61)</f>
        <v/>
      </c>
      <c r="AH61" s="90" t="str">
        <f t="shared" si="6"/>
        <v xml:space="preserve"> </v>
      </c>
    </row>
    <row r="62" spans="1:34" x14ac:dyDescent="0.25">
      <c r="A62" s="123" t="str" cm="1">
        <f t="array" ref="A62">IfEmpty(TRIM(_xlfn.CONCAT(C62:H62)),"",CRC32HASH(_xlfn.CONCAT(C62:H62)))</f>
        <v/>
      </c>
      <c r="B62" s="10" t="str">
        <f>IFERROR(VLOOKUP(J62,Table1[],2,FALSE),"")</f>
        <v/>
      </c>
      <c r="C62" s="41" t="str" cm="1">
        <f t="array" ref="C62">W62&amp;" "&amp;IfEmpty(U62,X62)</f>
        <v xml:space="preserve"> </v>
      </c>
      <c r="D62" s="50" t="str">
        <f t="shared" si="8"/>
        <v xml:space="preserve">  </v>
      </c>
      <c r="E62" s="67" t="str">
        <f t="shared" si="7"/>
        <v/>
      </c>
      <c r="F62" s="48" t="str">
        <f t="shared" si="9"/>
        <v/>
      </c>
      <c r="G62" s="48" t="str">
        <f t="shared" si="10"/>
        <v/>
      </c>
      <c r="H62" s="42" t="str" cm="1">
        <f t="array" ref="H62:J62">IFERROR(CalcUnc(K62,L62,S62,T62,V62,X62,AD62,AE62,N62:R62,Z62,AA62),"")</f>
        <v/>
      </c>
      <c r="I62" s="58" t="str">
        <v/>
      </c>
      <c r="J62" s="105" t="str">
        <v/>
      </c>
      <c r="K62" s="65"/>
      <c r="L62" s="66"/>
      <c r="M62" s="24"/>
      <c r="N62" s="60"/>
      <c r="O62" s="61"/>
      <c r="P62" s="61"/>
      <c r="Q62" s="61"/>
      <c r="R62" s="62"/>
      <c r="S62" s="69"/>
      <c r="T62" s="69"/>
      <c r="U62" s="69"/>
      <c r="V62" s="76"/>
      <c r="W62" s="71"/>
      <c r="X62" s="72"/>
      <c r="Y62" s="89" t="str" cm="1">
        <f t="array" ref="Y62">GetPolarity(X62,AE62)</f>
        <v/>
      </c>
      <c r="Z62" s="73"/>
      <c r="AA62" s="77"/>
      <c r="AB62" s="86" t="str">
        <f t="shared" si="11"/>
        <v/>
      </c>
      <c r="AC62" s="86" t="str">
        <f t="shared" si="12"/>
        <v/>
      </c>
      <c r="AD62" s="73"/>
      <c r="AE62" s="71"/>
      <c r="AF62" s="23" t="str">
        <f t="shared" si="5"/>
        <v/>
      </c>
      <c r="AG62" s="31" t="str" cm="1">
        <f t="array" ref="AG62">FilterSpecialCharacters(X62)</f>
        <v/>
      </c>
      <c r="AH62" s="90" t="str">
        <f t="shared" si="6"/>
        <v xml:space="preserve"> </v>
      </c>
    </row>
    <row r="63" spans="1:34" x14ac:dyDescent="0.25">
      <c r="A63" s="123" t="str" cm="1">
        <f t="array" ref="A63">IfEmpty(TRIM(_xlfn.CONCAT(C63:H63)),"",CRC32HASH(_xlfn.CONCAT(C63:H63)))</f>
        <v/>
      </c>
      <c r="B63" s="46" t="str">
        <f>IFERROR(VLOOKUP(J63,Table1[],2,FALSE),"")</f>
        <v/>
      </c>
      <c r="C63" s="43" t="str" cm="1">
        <f t="array" ref="C63">W63&amp;" "&amp;IfEmpty(U63,X63)</f>
        <v xml:space="preserve"> </v>
      </c>
      <c r="D63" s="44" t="str">
        <f t="shared" si="8"/>
        <v xml:space="preserve">  </v>
      </c>
      <c r="E63" s="68" t="str">
        <f t="shared" si="7"/>
        <v/>
      </c>
      <c r="F63" s="49" t="str">
        <f t="shared" si="9"/>
        <v/>
      </c>
      <c r="G63" s="49" t="str">
        <f t="shared" si="10"/>
        <v/>
      </c>
      <c r="H63" s="45" t="str" cm="1">
        <f t="array" ref="H63:J63">IFERROR(CalcUnc(K63,L63,S63,T63,V63,X63,AD63,AE63,N63:R63,Z63,AA63),"")</f>
        <v/>
      </c>
      <c r="I63" s="58" t="str">
        <v/>
      </c>
      <c r="J63" s="105" t="str">
        <v/>
      </c>
      <c r="K63" s="65"/>
      <c r="L63" s="66"/>
      <c r="M63" s="24"/>
      <c r="N63" s="60"/>
      <c r="O63" s="61"/>
      <c r="P63" s="61"/>
      <c r="Q63" s="61"/>
      <c r="R63" s="62"/>
      <c r="S63" s="69"/>
      <c r="T63" s="69"/>
      <c r="U63" s="69"/>
      <c r="V63" s="76"/>
      <c r="W63" s="71"/>
      <c r="X63" s="72"/>
      <c r="Y63" s="89" t="str" cm="1">
        <f t="array" ref="Y63">GetPolarity(X63,AE63)</f>
        <v/>
      </c>
      <c r="Z63" s="73"/>
      <c r="AA63" s="77"/>
      <c r="AB63" s="86" t="str">
        <f t="shared" si="11"/>
        <v/>
      </c>
      <c r="AC63" s="86" t="str">
        <f t="shared" si="12"/>
        <v/>
      </c>
      <c r="AD63" s="73"/>
      <c r="AE63" s="71"/>
      <c r="AF63" s="23" t="str">
        <f t="shared" si="5"/>
        <v/>
      </c>
      <c r="AG63" s="31" t="str" cm="1">
        <f t="array" ref="AG63">FilterSpecialCharacters(X63)</f>
        <v/>
      </c>
      <c r="AH63" s="90" t="str">
        <f t="shared" si="6"/>
        <v xml:space="preserve"> </v>
      </c>
    </row>
    <row r="64" spans="1:34" x14ac:dyDescent="0.25">
      <c r="A64" s="123" t="str" cm="1">
        <f t="array" ref="A64">IfEmpty(TRIM(_xlfn.CONCAT(C64:H64)),"",CRC32HASH(_xlfn.CONCAT(C64:H64)))</f>
        <v/>
      </c>
      <c r="B64" s="10" t="str">
        <f>IFERROR(VLOOKUP(J64,Table1[],2,FALSE),"")</f>
        <v/>
      </c>
      <c r="C64" s="41" t="str" cm="1">
        <f t="array" ref="C64">W64&amp;" "&amp;IfEmpty(U64,X64)</f>
        <v xml:space="preserve"> </v>
      </c>
      <c r="D64" s="50" t="str">
        <f t="shared" si="8"/>
        <v xml:space="preserve">  </v>
      </c>
      <c r="E64" s="67" t="str">
        <f t="shared" si="7"/>
        <v/>
      </c>
      <c r="F64" s="48" t="str">
        <f t="shared" si="9"/>
        <v/>
      </c>
      <c r="G64" s="48" t="str">
        <f t="shared" si="10"/>
        <v/>
      </c>
      <c r="H64" s="42" t="str" cm="1">
        <f t="array" ref="H64:J64">IFERROR(CalcUnc(K64,L64,S64,T64,V64,X64,AD64,AE64,N64:R64,Z64,AA64),"")</f>
        <v/>
      </c>
      <c r="I64" s="58" t="str">
        <v/>
      </c>
      <c r="J64" s="105" t="str">
        <v/>
      </c>
      <c r="K64" s="65"/>
      <c r="L64" s="66"/>
      <c r="M64" s="24"/>
      <c r="N64" s="60"/>
      <c r="O64" s="61"/>
      <c r="P64" s="61"/>
      <c r="Q64" s="61"/>
      <c r="R64" s="62"/>
      <c r="S64" s="69"/>
      <c r="T64" s="69"/>
      <c r="U64" s="69"/>
      <c r="V64" s="76"/>
      <c r="W64" s="71"/>
      <c r="X64" s="72"/>
      <c r="Y64" s="89" t="str" cm="1">
        <f t="array" ref="Y64">GetPolarity(X64,AE64)</f>
        <v/>
      </c>
      <c r="Z64" s="73"/>
      <c r="AA64" s="77"/>
      <c r="AB64" s="86" t="str">
        <f t="shared" si="11"/>
        <v/>
      </c>
      <c r="AC64" s="86" t="str">
        <f t="shared" si="12"/>
        <v/>
      </c>
      <c r="AD64" s="73"/>
      <c r="AE64" s="71"/>
      <c r="AF64" s="23" t="str">
        <f t="shared" si="5"/>
        <v/>
      </c>
      <c r="AG64" s="31" t="str" cm="1">
        <f t="array" ref="AG64">FilterSpecialCharacters(X64)</f>
        <v/>
      </c>
      <c r="AH64" s="90" t="str">
        <f t="shared" si="6"/>
        <v xml:space="preserve"> </v>
      </c>
    </row>
    <row r="65" spans="1:34" x14ac:dyDescent="0.25">
      <c r="A65" s="123" t="str" cm="1">
        <f t="array" ref="A65">IfEmpty(TRIM(_xlfn.CONCAT(C65:H65)),"",CRC32HASH(_xlfn.CONCAT(C65:H65)))</f>
        <v/>
      </c>
      <c r="B65" s="46" t="str">
        <f>IFERROR(VLOOKUP(J65,Table1[],2,FALSE),"")</f>
        <v/>
      </c>
      <c r="C65" s="43" t="str" cm="1">
        <f t="array" ref="C65">W65&amp;" "&amp;IfEmpty(U65,X65)</f>
        <v xml:space="preserve"> </v>
      </c>
      <c r="D65" s="44" t="str">
        <f t="shared" si="8"/>
        <v xml:space="preserve">  </v>
      </c>
      <c r="E65" s="68" t="str">
        <f t="shared" si="7"/>
        <v/>
      </c>
      <c r="F65" s="49" t="str">
        <f t="shared" si="9"/>
        <v/>
      </c>
      <c r="G65" s="49" t="str">
        <f t="shared" si="10"/>
        <v/>
      </c>
      <c r="H65" s="45" t="str" cm="1">
        <f t="array" ref="H65:J65">IFERROR(CalcUnc(K65,L65,S65,T65,V65,X65,AD65,AE65,N65:R65,Z65,AA65),"")</f>
        <v/>
      </c>
      <c r="I65" s="58" t="str">
        <v/>
      </c>
      <c r="J65" s="105" t="str">
        <v/>
      </c>
      <c r="K65" s="65"/>
      <c r="L65" s="66"/>
      <c r="M65" s="24"/>
      <c r="N65" s="60"/>
      <c r="O65" s="61"/>
      <c r="P65" s="61"/>
      <c r="Q65" s="61"/>
      <c r="R65" s="62"/>
      <c r="S65" s="69"/>
      <c r="T65" s="69"/>
      <c r="U65" s="69"/>
      <c r="V65" s="76"/>
      <c r="W65" s="71"/>
      <c r="X65" s="72"/>
      <c r="Y65" s="89" t="str" cm="1">
        <f t="array" ref="Y65">GetPolarity(X65,AE65)</f>
        <v/>
      </c>
      <c r="Z65" s="73"/>
      <c r="AA65" s="77"/>
      <c r="AB65" s="86" t="str">
        <f t="shared" si="11"/>
        <v/>
      </c>
      <c r="AC65" s="86" t="str">
        <f t="shared" si="12"/>
        <v/>
      </c>
      <c r="AD65" s="73"/>
      <c r="AE65" s="71"/>
      <c r="AF65" s="23" t="str">
        <f t="shared" si="5"/>
        <v/>
      </c>
      <c r="AG65" s="31" t="str" cm="1">
        <f t="array" ref="AG65">FilterSpecialCharacters(X65)</f>
        <v/>
      </c>
      <c r="AH65" s="90" t="str">
        <f t="shared" si="6"/>
        <v xml:space="preserve"> </v>
      </c>
    </row>
    <row r="66" spans="1:34" x14ac:dyDescent="0.25">
      <c r="A66" s="123" t="str" cm="1">
        <f t="array" ref="A66">IfEmpty(TRIM(_xlfn.CONCAT(C66:H66)),"",CRC32HASH(_xlfn.CONCAT(C66:H66)))</f>
        <v/>
      </c>
      <c r="B66" s="10" t="str">
        <f>IFERROR(VLOOKUP(J66,Table1[],2,FALSE),"")</f>
        <v/>
      </c>
      <c r="C66" s="41" t="str" cm="1">
        <f t="array" ref="C66">W66&amp;" "&amp;IfEmpty(U66,X66)</f>
        <v xml:space="preserve"> </v>
      </c>
      <c r="D66" s="50" t="str">
        <f t="shared" si="8"/>
        <v xml:space="preserve">  </v>
      </c>
      <c r="E66" s="67" t="str">
        <f t="shared" si="7"/>
        <v/>
      </c>
      <c r="F66" s="48" t="str">
        <f t="shared" si="9"/>
        <v/>
      </c>
      <c r="G66" s="48" t="str">
        <f t="shared" si="10"/>
        <v/>
      </c>
      <c r="H66" s="42" t="str" cm="1">
        <f t="array" ref="H66:J66">IFERROR(CalcUnc(K66,L66,S66,T66,V66,X66,AD66,AE66,N66:R66,Z66,AA66),"")</f>
        <v/>
      </c>
      <c r="I66" s="58" t="str">
        <v/>
      </c>
      <c r="J66" s="105" t="str">
        <v/>
      </c>
      <c r="K66" s="65"/>
      <c r="L66" s="66"/>
      <c r="M66" s="24"/>
      <c r="N66" s="60"/>
      <c r="O66" s="61"/>
      <c r="P66" s="61"/>
      <c r="Q66" s="61"/>
      <c r="R66" s="62"/>
      <c r="S66" s="69"/>
      <c r="T66" s="69"/>
      <c r="U66" s="69"/>
      <c r="V66" s="76"/>
      <c r="W66" s="71"/>
      <c r="X66" s="72"/>
      <c r="Y66" s="89" t="str" cm="1">
        <f t="array" ref="Y66">GetPolarity(X66,AE66)</f>
        <v/>
      </c>
      <c r="Z66" s="73"/>
      <c r="AA66" s="77"/>
      <c r="AB66" s="86" t="str">
        <f t="shared" si="11"/>
        <v/>
      </c>
      <c r="AC66" s="86" t="str">
        <f t="shared" si="12"/>
        <v/>
      </c>
      <c r="AD66" s="73"/>
      <c r="AE66" s="71"/>
      <c r="AF66" s="23" t="str">
        <f t="shared" si="5"/>
        <v/>
      </c>
      <c r="AG66" s="31" t="str" cm="1">
        <f t="array" ref="AG66">FilterSpecialCharacters(X66)</f>
        <v/>
      </c>
      <c r="AH66" s="90" t="str">
        <f t="shared" si="6"/>
        <v xml:space="preserve"> </v>
      </c>
    </row>
    <row r="67" spans="1:34" x14ac:dyDescent="0.25">
      <c r="A67" s="123" t="str" cm="1">
        <f t="array" ref="A67">IfEmpty(TRIM(_xlfn.CONCAT(C67:H67)),"",CRC32HASH(_xlfn.CONCAT(C67:H67)))</f>
        <v/>
      </c>
      <c r="B67" s="46" t="str">
        <f>IFERROR(VLOOKUP(J67,Table1[],2,FALSE),"")</f>
        <v/>
      </c>
      <c r="C67" s="43" t="str" cm="1">
        <f t="array" ref="C67">W67&amp;" "&amp;IfEmpty(U67,X67)</f>
        <v xml:space="preserve"> </v>
      </c>
      <c r="D67" s="44" t="str">
        <f t="shared" si="8"/>
        <v xml:space="preserve">  </v>
      </c>
      <c r="E67" s="68" t="str">
        <f t="shared" si="7"/>
        <v/>
      </c>
      <c r="F67" s="49" t="str">
        <f t="shared" si="9"/>
        <v/>
      </c>
      <c r="G67" s="49" t="str">
        <f t="shared" si="10"/>
        <v/>
      </c>
      <c r="H67" s="45" t="str" cm="1">
        <f t="array" ref="H67:J67">IFERROR(CalcUnc(K67,L67,S67,T67,V67,X67,AD67,AE67,N67:R67,Z67,AA67),"")</f>
        <v/>
      </c>
      <c r="I67" s="58" t="str">
        <v/>
      </c>
      <c r="J67" s="105" t="str">
        <v/>
      </c>
      <c r="K67" s="65"/>
      <c r="L67" s="66"/>
      <c r="M67" s="24"/>
      <c r="N67" s="60"/>
      <c r="O67" s="61"/>
      <c r="P67" s="61"/>
      <c r="Q67" s="61"/>
      <c r="R67" s="62"/>
      <c r="S67" s="69"/>
      <c r="T67" s="69"/>
      <c r="U67" s="69"/>
      <c r="V67" s="76"/>
      <c r="W67" s="71"/>
      <c r="X67" s="72"/>
      <c r="Y67" s="89" t="str" cm="1">
        <f t="array" ref="Y67">GetPolarity(X67,AE67)</f>
        <v/>
      </c>
      <c r="Z67" s="73"/>
      <c r="AA67" s="77"/>
      <c r="AB67" s="86" t="str">
        <f t="shared" si="11"/>
        <v/>
      </c>
      <c r="AC67" s="86" t="str">
        <f t="shared" si="12"/>
        <v/>
      </c>
      <c r="AD67" s="73"/>
      <c r="AE67" s="71"/>
      <c r="AF67" s="23" t="str">
        <f t="shared" si="5"/>
        <v/>
      </c>
      <c r="AG67" s="31" t="str" cm="1">
        <f t="array" ref="AG67">FilterSpecialCharacters(X67)</f>
        <v/>
      </c>
      <c r="AH67" s="90" t="str">
        <f t="shared" si="6"/>
        <v xml:space="preserve"> </v>
      </c>
    </row>
    <row r="68" spans="1:34" x14ac:dyDescent="0.25">
      <c r="A68" s="123" t="str" cm="1">
        <f t="array" ref="A68">IfEmpty(TRIM(_xlfn.CONCAT(C68:H68)),"",CRC32HASH(_xlfn.CONCAT(C68:H68)))</f>
        <v/>
      </c>
      <c r="B68" s="10" t="str">
        <f>IFERROR(VLOOKUP(J68,Table1[],2,FALSE),"")</f>
        <v/>
      </c>
      <c r="C68" s="41" t="str" cm="1">
        <f t="array" ref="C68">W68&amp;" "&amp;IfEmpty(U68,X68)</f>
        <v xml:space="preserve"> </v>
      </c>
      <c r="D68" s="50" t="str">
        <f t="shared" si="8"/>
        <v xml:space="preserve">  </v>
      </c>
      <c r="E68" s="67" t="str">
        <f t="shared" si="7"/>
        <v/>
      </c>
      <c r="F68" s="48" t="str">
        <f t="shared" si="9"/>
        <v/>
      </c>
      <c r="G68" s="48" t="str">
        <f t="shared" si="10"/>
        <v/>
      </c>
      <c r="H68" s="42" t="str" cm="1">
        <f t="array" ref="H68:J68">IFERROR(CalcUnc(K68,L68,S68,T68,V68,X68,AD68,AE68,N68:R68,Z68,AA68),"")</f>
        <v/>
      </c>
      <c r="I68" s="58" t="str">
        <v/>
      </c>
      <c r="J68" s="105" t="str">
        <v/>
      </c>
      <c r="K68" s="65"/>
      <c r="L68" s="66"/>
      <c r="M68" s="24"/>
      <c r="N68" s="60"/>
      <c r="O68" s="61"/>
      <c r="P68" s="61"/>
      <c r="Q68" s="61"/>
      <c r="R68" s="62"/>
      <c r="S68" s="69"/>
      <c r="T68" s="69"/>
      <c r="U68" s="69"/>
      <c r="V68" s="76"/>
      <c r="W68" s="71"/>
      <c r="X68" s="72"/>
      <c r="Y68" s="89" t="str" cm="1">
        <f t="array" ref="Y68">GetPolarity(X68,AE68)</f>
        <v/>
      </c>
      <c r="Z68" s="73"/>
      <c r="AA68" s="77"/>
      <c r="AB68" s="86" t="str">
        <f t="shared" si="11"/>
        <v/>
      </c>
      <c r="AC68" s="86" t="str">
        <f t="shared" si="12"/>
        <v/>
      </c>
      <c r="AD68" s="73"/>
      <c r="AE68" s="71"/>
      <c r="AF68" s="23" t="str">
        <f t="shared" si="5"/>
        <v/>
      </c>
      <c r="AG68" s="31" t="str" cm="1">
        <f t="array" ref="AG68">FilterSpecialCharacters(X68)</f>
        <v/>
      </c>
      <c r="AH68" s="90" t="str">
        <f t="shared" si="6"/>
        <v xml:space="preserve"> </v>
      </c>
    </row>
    <row r="69" spans="1:34" x14ac:dyDescent="0.25">
      <c r="A69" s="123" t="str" cm="1">
        <f t="array" ref="A69">IfEmpty(TRIM(_xlfn.CONCAT(C69:H69)),"",CRC32HASH(_xlfn.CONCAT(C69:H69)))</f>
        <v/>
      </c>
      <c r="B69" s="46" t="str">
        <f>IFERROR(VLOOKUP(J69,Table1[],2,FALSE),"")</f>
        <v/>
      </c>
      <c r="C69" s="43" t="str" cm="1">
        <f t="array" ref="C69">W69&amp;" "&amp;IfEmpty(U69,X69)</f>
        <v xml:space="preserve"> </v>
      </c>
      <c r="D69" s="44" t="str">
        <f t="shared" si="8"/>
        <v xml:space="preserve">  </v>
      </c>
      <c r="E69" s="68" t="str">
        <f t="shared" si="7"/>
        <v/>
      </c>
      <c r="F69" s="49" t="str">
        <f t="shared" si="9"/>
        <v/>
      </c>
      <c r="G69" s="49" t="str">
        <f t="shared" si="10"/>
        <v/>
      </c>
      <c r="H69" s="45" t="str" cm="1">
        <f t="array" ref="H69:J69">IFERROR(CalcUnc(K69,L69,S69,T69,V69,X69,AD69,AE69,N69:R69,Z69,AA69),"")</f>
        <v/>
      </c>
      <c r="I69" s="58" t="str">
        <v/>
      </c>
      <c r="J69" s="105" t="str">
        <v/>
      </c>
      <c r="K69" s="65"/>
      <c r="L69" s="66"/>
      <c r="M69" s="24"/>
      <c r="N69" s="60"/>
      <c r="O69" s="61"/>
      <c r="P69" s="61"/>
      <c r="Q69" s="61"/>
      <c r="R69" s="62"/>
      <c r="S69" s="69"/>
      <c r="T69" s="69"/>
      <c r="U69" s="69"/>
      <c r="V69" s="76"/>
      <c r="W69" s="71"/>
      <c r="X69" s="72"/>
      <c r="Y69" s="89" t="str" cm="1">
        <f t="array" ref="Y69">GetPolarity(X69,AE69)</f>
        <v/>
      </c>
      <c r="Z69" s="73"/>
      <c r="AA69" s="77"/>
      <c r="AB69" s="86" t="str">
        <f t="shared" si="11"/>
        <v/>
      </c>
      <c r="AC69" s="86" t="str">
        <f t="shared" si="12"/>
        <v/>
      </c>
      <c r="AD69" s="73"/>
      <c r="AE69" s="71"/>
      <c r="AF69" s="23" t="str">
        <f t="shared" si="5"/>
        <v/>
      </c>
      <c r="AG69" s="31" t="str" cm="1">
        <f t="array" ref="AG69">FilterSpecialCharacters(X69)</f>
        <v/>
      </c>
      <c r="AH69" s="90" t="str">
        <f t="shared" si="6"/>
        <v xml:space="preserve"> </v>
      </c>
    </row>
    <row r="70" spans="1:34" x14ac:dyDescent="0.25">
      <c r="A70" s="123" t="str" cm="1">
        <f t="array" ref="A70">IfEmpty(TRIM(_xlfn.CONCAT(C70:H70)),"",CRC32HASH(_xlfn.CONCAT(C70:H70)))</f>
        <v/>
      </c>
      <c r="B70" s="10" t="str">
        <f>IFERROR(VLOOKUP(J70,Table1[],2,FALSE),"")</f>
        <v/>
      </c>
      <c r="C70" s="41" t="str" cm="1">
        <f t="array" ref="C70">W70&amp;" "&amp;IfEmpty(U70,X70)</f>
        <v xml:space="preserve"> </v>
      </c>
      <c r="D70" s="50" t="str">
        <f t="shared" ref="D70:D101" si="13">IF(OR(X70="°C", X70="°F"), Z70 &amp; " " &amp; X70, IF(RIGHT(AG70,2)="Hz", AF70 &amp; " @ " &amp; Z70 &amp; AG70, Z70 &amp; " " &amp; AG70 &amp; Y70 &amp; " " &amp; AF70))</f>
        <v xml:space="preserve">  </v>
      </c>
      <c r="E70" s="67" t="str">
        <f t="shared" si="7"/>
        <v/>
      </c>
      <c r="F70" s="48" t="str">
        <f t="shared" ref="F70:F101" si="14">IF(AB70="","",AB70&amp;$AH70)</f>
        <v/>
      </c>
      <c r="G70" s="48" t="str">
        <f t="shared" ref="G70:G101" si="15">IF(AC70="","",AC70&amp;$AH70)</f>
        <v/>
      </c>
      <c r="H70" s="42" t="str" cm="1">
        <f t="array" ref="H70:J70">IFERROR(CalcUnc(K70,L70,S70,T70,V70,X70,AD70,AE70,N70:R70,Z70,AA70),"")</f>
        <v/>
      </c>
      <c r="I70" s="58" t="str">
        <v/>
      </c>
      <c r="J70" s="105" t="str">
        <v/>
      </c>
      <c r="K70" s="65"/>
      <c r="L70" s="66"/>
      <c r="M70" s="24"/>
      <c r="N70" s="60"/>
      <c r="O70" s="61"/>
      <c r="P70" s="61"/>
      <c r="Q70" s="61"/>
      <c r="R70" s="62"/>
      <c r="S70" s="69"/>
      <c r="T70" s="69"/>
      <c r="U70" s="69"/>
      <c r="V70" s="76"/>
      <c r="W70" s="71"/>
      <c r="X70" s="72"/>
      <c r="Y70" s="89" t="str" cm="1">
        <f t="array" ref="Y70">GetPolarity(X70,AE70)</f>
        <v/>
      </c>
      <c r="Z70" s="73"/>
      <c r="AA70" s="71"/>
      <c r="AB70" s="86" t="str">
        <f t="shared" ref="AB70:AB101" si="16">IF(V70&lt;&gt;"",ROUND(Z70-AA70,-LOG10(V70)),"")</f>
        <v/>
      </c>
      <c r="AC70" s="86" t="str">
        <f t="shared" ref="AC70:AC101" si="17">IF(V70&lt;&gt;"",ROUND(Z70+AA70,-LOG10(V70)),"")</f>
        <v/>
      </c>
      <c r="AD70" s="73"/>
      <c r="AE70" s="71"/>
      <c r="AF70" s="23" t="str">
        <f t="shared" si="5"/>
        <v/>
      </c>
      <c r="AG70" s="31" t="str" cm="1">
        <f t="array" ref="AG70">FilterSpecialCharacters(X70)</f>
        <v/>
      </c>
      <c r="AH70" s="90" t="str">
        <f t="shared" si="6"/>
        <v xml:space="preserve"> </v>
      </c>
    </row>
    <row r="71" spans="1:34" x14ac:dyDescent="0.25">
      <c r="A71" s="123" t="str" cm="1">
        <f t="array" ref="A71">IfEmpty(TRIM(_xlfn.CONCAT(C71:H71)),"",CRC32HASH(_xlfn.CONCAT(C71:H71)))</f>
        <v/>
      </c>
      <c r="B71" s="46" t="str">
        <f>IFERROR(VLOOKUP(J71,Table1[],2,FALSE),"")</f>
        <v/>
      </c>
      <c r="C71" s="43" t="str" cm="1">
        <f t="array" ref="C71">W71&amp;" "&amp;IfEmpty(U71,X71)</f>
        <v xml:space="preserve"> </v>
      </c>
      <c r="D71" s="44" t="str">
        <f t="shared" si="13"/>
        <v xml:space="preserve">  </v>
      </c>
      <c r="E71" s="68" t="str">
        <f t="shared" si="7"/>
        <v/>
      </c>
      <c r="F71" s="49" t="str">
        <f t="shared" si="14"/>
        <v/>
      </c>
      <c r="G71" s="49" t="str">
        <f t="shared" si="15"/>
        <v/>
      </c>
      <c r="H71" s="45" t="str" cm="1">
        <f t="array" ref="H71:J71">IFERROR(CalcUnc(K71,L71,S71,T71,V71,X71,AD71,AE71,N71:R71,Z71,AA71),"")</f>
        <v/>
      </c>
      <c r="I71" s="58" t="str">
        <v/>
      </c>
      <c r="J71" s="105" t="str">
        <v/>
      </c>
      <c r="K71" s="65"/>
      <c r="L71" s="66"/>
      <c r="M71" s="24"/>
      <c r="N71" s="60"/>
      <c r="O71" s="61"/>
      <c r="P71" s="61"/>
      <c r="Q71" s="61"/>
      <c r="R71" s="62"/>
      <c r="S71" s="69"/>
      <c r="T71" s="69"/>
      <c r="U71" s="69"/>
      <c r="V71" s="76"/>
      <c r="W71" s="71"/>
      <c r="X71" s="72"/>
      <c r="Y71" s="89" t="str" cm="1">
        <f t="array" ref="Y71">GetPolarity(X71,AE71)</f>
        <v/>
      </c>
      <c r="Z71" s="73"/>
      <c r="AA71" s="71"/>
      <c r="AB71" s="86" t="str">
        <f t="shared" si="16"/>
        <v/>
      </c>
      <c r="AC71" s="86" t="str">
        <f t="shared" si="17"/>
        <v/>
      </c>
      <c r="AD71" s="73"/>
      <c r="AE71" s="71"/>
      <c r="AF71" s="23" t="str">
        <f t="shared" ref="AF71:AF110" si="18">IF(RIGHT(AE71,2)="Hz","@ ","")&amp;AD71&amp;AE71</f>
        <v/>
      </c>
      <c r="AG71" s="31" t="str" cm="1">
        <f t="array" ref="AG71">FilterSpecialCharacters(X71)</f>
        <v/>
      </c>
      <c r="AH71" s="90" t="str">
        <f t="shared" ref="AH71:AH110" si="19">" "&amp;AG71&amp;IF($Y71="",""," ("&amp;$Y71&amp;")")</f>
        <v xml:space="preserve"> </v>
      </c>
    </row>
    <row r="72" spans="1:34" x14ac:dyDescent="0.25">
      <c r="A72" s="123" t="str" cm="1">
        <f t="array" ref="A72">IfEmpty(TRIM(_xlfn.CONCAT(C72:H72)),"",CRC32HASH(_xlfn.CONCAT(C72:H72)))</f>
        <v/>
      </c>
      <c r="B72" s="10" t="str">
        <f>IFERROR(VLOOKUP(J72,Table1[],2,FALSE),"")</f>
        <v/>
      </c>
      <c r="C72" s="41" t="str" cm="1">
        <f t="array" ref="C72">W72&amp;" "&amp;IfEmpty(U72,X72)</f>
        <v xml:space="preserve"> </v>
      </c>
      <c r="D72" s="50" t="str">
        <f t="shared" si="13"/>
        <v xml:space="preserve">  </v>
      </c>
      <c r="E72" s="67" t="str">
        <f t="shared" ref="E72:E110" si="20">IFERROR(ROUND(AVERAGE(N72:R72),-LOG10(V72))&amp;AH72,"")</f>
        <v/>
      </c>
      <c r="F72" s="48" t="str">
        <f t="shared" si="14"/>
        <v/>
      </c>
      <c r="G72" s="48" t="str">
        <f t="shared" si="15"/>
        <v/>
      </c>
      <c r="H72" s="42" t="str" cm="1">
        <f t="array" ref="H72:J72">IFERROR(CalcUnc(K72,L72,S72,T72,V72,X72,AD72,AE72,N72:R72,Z72,AA72),"")</f>
        <v/>
      </c>
      <c r="I72" s="58" t="str">
        <v/>
      </c>
      <c r="J72" s="105" t="str">
        <v/>
      </c>
      <c r="K72" s="65"/>
      <c r="L72" s="66"/>
      <c r="M72" s="24"/>
      <c r="N72" s="60"/>
      <c r="O72" s="61"/>
      <c r="P72" s="61"/>
      <c r="Q72" s="61"/>
      <c r="R72" s="62"/>
      <c r="S72" s="69"/>
      <c r="T72" s="69"/>
      <c r="U72" s="69"/>
      <c r="V72" s="76"/>
      <c r="W72" s="71"/>
      <c r="X72" s="72"/>
      <c r="Y72" s="89" t="str" cm="1">
        <f t="array" ref="Y72">GetPolarity(X72,AE72)</f>
        <v/>
      </c>
      <c r="Z72" s="73"/>
      <c r="AA72" s="71"/>
      <c r="AB72" s="86" t="str">
        <f t="shared" si="16"/>
        <v/>
      </c>
      <c r="AC72" s="86" t="str">
        <f t="shared" si="17"/>
        <v/>
      </c>
      <c r="AD72" s="73"/>
      <c r="AE72" s="71"/>
      <c r="AF72" s="23" t="str">
        <f t="shared" si="18"/>
        <v/>
      </c>
      <c r="AG72" s="31" t="str" cm="1">
        <f t="array" ref="AG72">FilterSpecialCharacters(X72)</f>
        <v/>
      </c>
      <c r="AH72" s="90" t="str">
        <f t="shared" si="19"/>
        <v xml:space="preserve"> </v>
      </c>
    </row>
    <row r="73" spans="1:34" x14ac:dyDescent="0.25">
      <c r="A73" s="123" t="str" cm="1">
        <f t="array" ref="A73">IfEmpty(TRIM(_xlfn.CONCAT(C73:H73)),"",CRC32HASH(_xlfn.CONCAT(C73:H73)))</f>
        <v/>
      </c>
      <c r="B73" s="46" t="str">
        <f>IFERROR(VLOOKUP(J73,Table1[],2,FALSE),"")</f>
        <v/>
      </c>
      <c r="C73" s="43" t="str" cm="1">
        <f t="array" ref="C73">W73&amp;" "&amp;IfEmpty(U73,X73)</f>
        <v xml:space="preserve"> </v>
      </c>
      <c r="D73" s="44" t="str">
        <f t="shared" si="13"/>
        <v xml:space="preserve">  </v>
      </c>
      <c r="E73" s="68" t="str">
        <f t="shared" si="20"/>
        <v/>
      </c>
      <c r="F73" s="49" t="str">
        <f t="shared" si="14"/>
        <v/>
      </c>
      <c r="G73" s="49" t="str">
        <f t="shared" si="15"/>
        <v/>
      </c>
      <c r="H73" s="45" t="str" cm="1">
        <f t="array" ref="H73:J73">IFERROR(CalcUnc(K73,L73,S73,T73,V73,X73,AD73,AE73,N73:R73,Z73,AA73),"")</f>
        <v/>
      </c>
      <c r="I73" s="58" t="str">
        <v/>
      </c>
      <c r="J73" s="105" t="str">
        <v/>
      </c>
      <c r="K73" s="65"/>
      <c r="L73" s="66"/>
      <c r="M73" s="24"/>
      <c r="N73" s="60"/>
      <c r="O73" s="61"/>
      <c r="P73" s="61"/>
      <c r="Q73" s="61"/>
      <c r="R73" s="62"/>
      <c r="S73" s="69"/>
      <c r="T73" s="69"/>
      <c r="U73" s="69"/>
      <c r="V73" s="76"/>
      <c r="W73" s="71"/>
      <c r="X73" s="72"/>
      <c r="Y73" s="89" t="str" cm="1">
        <f t="array" ref="Y73">GetPolarity(X73,AE73)</f>
        <v/>
      </c>
      <c r="Z73" s="73"/>
      <c r="AA73" s="71"/>
      <c r="AB73" s="86" t="str">
        <f t="shared" si="16"/>
        <v/>
      </c>
      <c r="AC73" s="86" t="str">
        <f t="shared" si="17"/>
        <v/>
      </c>
      <c r="AD73" s="73"/>
      <c r="AE73" s="71"/>
      <c r="AF73" s="23" t="str">
        <f t="shared" si="18"/>
        <v/>
      </c>
      <c r="AG73" s="31" t="str" cm="1">
        <f t="array" ref="AG73">FilterSpecialCharacters(X73)</f>
        <v/>
      </c>
      <c r="AH73" s="90" t="str">
        <f t="shared" si="19"/>
        <v xml:space="preserve"> </v>
      </c>
    </row>
    <row r="74" spans="1:34" x14ac:dyDescent="0.25">
      <c r="A74" s="123" t="str" cm="1">
        <f t="array" ref="A74">IfEmpty(TRIM(_xlfn.CONCAT(C74:H74)),"",CRC32HASH(_xlfn.CONCAT(C74:H74)))</f>
        <v/>
      </c>
      <c r="B74" s="10" t="str">
        <f>IFERROR(VLOOKUP(J74,Table1[],2,FALSE),"")</f>
        <v/>
      </c>
      <c r="C74" s="41" t="str" cm="1">
        <f t="array" ref="C74">W74&amp;" "&amp;IfEmpty(U74,X74)</f>
        <v xml:space="preserve"> </v>
      </c>
      <c r="D74" s="50" t="str">
        <f t="shared" si="13"/>
        <v xml:space="preserve">  </v>
      </c>
      <c r="E74" s="67" t="str">
        <f t="shared" si="20"/>
        <v/>
      </c>
      <c r="F74" s="48" t="str">
        <f t="shared" si="14"/>
        <v/>
      </c>
      <c r="G74" s="48" t="str">
        <f t="shared" si="15"/>
        <v/>
      </c>
      <c r="H74" s="42" t="str" cm="1">
        <f t="array" ref="H74:J74">IFERROR(CalcUnc(K74,L74,S74,T74,V74,X74,AD74,AE74,N74:R74,Z74,AA74),"")</f>
        <v/>
      </c>
      <c r="I74" s="58" t="str">
        <v/>
      </c>
      <c r="J74" s="105" t="str">
        <v/>
      </c>
      <c r="K74" s="65"/>
      <c r="L74" s="66"/>
      <c r="M74" s="24"/>
      <c r="N74" s="60"/>
      <c r="O74" s="61"/>
      <c r="P74" s="61"/>
      <c r="Q74" s="61"/>
      <c r="R74" s="62"/>
      <c r="S74" s="69"/>
      <c r="T74" s="69"/>
      <c r="U74" s="69"/>
      <c r="V74" s="76"/>
      <c r="W74" s="71"/>
      <c r="X74" s="72"/>
      <c r="Y74" s="89" t="str" cm="1">
        <f t="array" ref="Y74">GetPolarity(X74,AE74)</f>
        <v/>
      </c>
      <c r="Z74" s="73"/>
      <c r="AA74" s="71"/>
      <c r="AB74" s="86" t="str">
        <f t="shared" si="16"/>
        <v/>
      </c>
      <c r="AC74" s="86" t="str">
        <f t="shared" si="17"/>
        <v/>
      </c>
      <c r="AD74" s="73"/>
      <c r="AE74" s="71"/>
      <c r="AF74" s="23" t="str">
        <f t="shared" si="18"/>
        <v/>
      </c>
      <c r="AG74" s="31" t="str" cm="1">
        <f t="array" ref="AG74">FilterSpecialCharacters(X74)</f>
        <v/>
      </c>
      <c r="AH74" s="90" t="str">
        <f t="shared" si="19"/>
        <v xml:space="preserve"> </v>
      </c>
    </row>
    <row r="75" spans="1:34" x14ac:dyDescent="0.25">
      <c r="A75" s="123" t="str" cm="1">
        <f t="array" ref="A75">IfEmpty(TRIM(_xlfn.CONCAT(C75:H75)),"",CRC32HASH(_xlfn.CONCAT(C75:H75)))</f>
        <v/>
      </c>
      <c r="B75" s="46" t="str">
        <f>IFERROR(VLOOKUP(J75,Table1[],2,FALSE),"")</f>
        <v/>
      </c>
      <c r="C75" s="43" t="str" cm="1">
        <f t="array" ref="C75">W75&amp;" "&amp;IfEmpty(U75,X75)</f>
        <v xml:space="preserve"> </v>
      </c>
      <c r="D75" s="44" t="str">
        <f t="shared" si="13"/>
        <v xml:space="preserve">  </v>
      </c>
      <c r="E75" s="68" t="str">
        <f t="shared" si="20"/>
        <v/>
      </c>
      <c r="F75" s="49" t="str">
        <f t="shared" si="14"/>
        <v/>
      </c>
      <c r="G75" s="49" t="str">
        <f t="shared" si="15"/>
        <v/>
      </c>
      <c r="H75" s="45" t="str" cm="1">
        <f t="array" ref="H75:J75">IFERROR(CalcUnc(K75,L75,S75,T75,V75,X75,AD75,AE75,N75:R75,Z75,AA75),"")</f>
        <v/>
      </c>
      <c r="I75" s="58" t="str">
        <v/>
      </c>
      <c r="J75" s="105" t="str">
        <v/>
      </c>
      <c r="K75" s="65"/>
      <c r="L75" s="66"/>
      <c r="M75" s="24"/>
      <c r="N75" s="60"/>
      <c r="O75" s="61"/>
      <c r="P75" s="61"/>
      <c r="Q75" s="61"/>
      <c r="R75" s="62"/>
      <c r="S75" s="69"/>
      <c r="T75" s="69"/>
      <c r="U75" s="69"/>
      <c r="V75" s="76"/>
      <c r="W75" s="71"/>
      <c r="X75" s="72"/>
      <c r="Y75" s="89" t="str" cm="1">
        <f t="array" ref="Y75">GetPolarity(X75,AE75)</f>
        <v/>
      </c>
      <c r="Z75" s="73"/>
      <c r="AA75" s="71"/>
      <c r="AB75" s="86" t="str">
        <f t="shared" si="16"/>
        <v/>
      </c>
      <c r="AC75" s="86" t="str">
        <f t="shared" si="17"/>
        <v/>
      </c>
      <c r="AD75" s="73"/>
      <c r="AE75" s="71"/>
      <c r="AF75" s="23" t="str">
        <f t="shared" si="18"/>
        <v/>
      </c>
      <c r="AG75" s="31" t="str" cm="1">
        <f t="array" ref="AG75">FilterSpecialCharacters(X75)</f>
        <v/>
      </c>
      <c r="AH75" s="90" t="str">
        <f t="shared" si="19"/>
        <v xml:space="preserve"> </v>
      </c>
    </row>
    <row r="76" spans="1:34" x14ac:dyDescent="0.25">
      <c r="A76" s="123" t="str" cm="1">
        <f t="array" ref="A76">IfEmpty(TRIM(_xlfn.CONCAT(C76:H76)),"",CRC32HASH(_xlfn.CONCAT(C76:H76)))</f>
        <v/>
      </c>
      <c r="B76" s="10" t="str">
        <f>IFERROR(VLOOKUP(J76,Table1[],2,FALSE),"")</f>
        <v/>
      </c>
      <c r="C76" s="41" t="str" cm="1">
        <f t="array" ref="C76">W76&amp;" "&amp;IfEmpty(U76,X76)</f>
        <v xml:space="preserve"> </v>
      </c>
      <c r="D76" s="50" t="str">
        <f t="shared" si="13"/>
        <v xml:space="preserve">  </v>
      </c>
      <c r="E76" s="67" t="str">
        <f t="shared" si="20"/>
        <v/>
      </c>
      <c r="F76" s="48" t="str">
        <f t="shared" si="14"/>
        <v/>
      </c>
      <c r="G76" s="48" t="str">
        <f t="shared" si="15"/>
        <v/>
      </c>
      <c r="H76" s="42" t="str" cm="1">
        <f t="array" ref="H76:J76">IFERROR(CalcUnc(K76,L76,S76,T76,V76,X76,AD76,AE76,N76:R76,Z76,AA76),"")</f>
        <v/>
      </c>
      <c r="I76" s="58" t="str">
        <v/>
      </c>
      <c r="J76" s="105" t="str">
        <v/>
      </c>
      <c r="K76" s="65"/>
      <c r="L76" s="66"/>
      <c r="M76" s="24"/>
      <c r="N76" s="60"/>
      <c r="O76" s="61"/>
      <c r="P76" s="61"/>
      <c r="Q76" s="61"/>
      <c r="R76" s="62"/>
      <c r="S76" s="69"/>
      <c r="T76" s="69"/>
      <c r="U76" s="69"/>
      <c r="V76" s="76"/>
      <c r="W76" s="71"/>
      <c r="X76" s="72"/>
      <c r="Y76" s="89" t="str" cm="1">
        <f t="array" ref="Y76">GetPolarity(X76,AE76)</f>
        <v/>
      </c>
      <c r="Z76" s="73"/>
      <c r="AA76" s="71"/>
      <c r="AB76" s="86" t="str">
        <f t="shared" si="16"/>
        <v/>
      </c>
      <c r="AC76" s="86" t="str">
        <f t="shared" si="17"/>
        <v/>
      </c>
      <c r="AD76" s="73"/>
      <c r="AE76" s="71"/>
      <c r="AF76" s="23" t="str">
        <f t="shared" si="18"/>
        <v/>
      </c>
      <c r="AG76" s="31" t="str" cm="1">
        <f t="array" ref="AG76">FilterSpecialCharacters(X76)</f>
        <v/>
      </c>
      <c r="AH76" s="90" t="str">
        <f t="shared" si="19"/>
        <v xml:space="preserve"> </v>
      </c>
    </row>
    <row r="77" spans="1:34" x14ac:dyDescent="0.25">
      <c r="A77" s="123" t="str" cm="1">
        <f t="array" ref="A77">IfEmpty(TRIM(_xlfn.CONCAT(C77:H77)),"",CRC32HASH(_xlfn.CONCAT(C77:H77)))</f>
        <v/>
      </c>
      <c r="B77" s="46" t="str">
        <f>IFERROR(VLOOKUP(J77,Table1[],2,FALSE),"")</f>
        <v/>
      </c>
      <c r="C77" s="43" t="str" cm="1">
        <f t="array" ref="C77">W77&amp;" "&amp;IfEmpty(U77,X77)</f>
        <v xml:space="preserve"> </v>
      </c>
      <c r="D77" s="44" t="str">
        <f t="shared" si="13"/>
        <v xml:space="preserve">  </v>
      </c>
      <c r="E77" s="68" t="str">
        <f t="shared" si="20"/>
        <v/>
      </c>
      <c r="F77" s="49" t="str">
        <f t="shared" si="14"/>
        <v/>
      </c>
      <c r="G77" s="49" t="str">
        <f t="shared" si="15"/>
        <v/>
      </c>
      <c r="H77" s="45" t="str" cm="1">
        <f t="array" ref="H77:J77">IFERROR(CalcUnc(K77,L77,S77,T77,V77,X77,AD77,AE77,N77:R77,Z77,AA77),"")</f>
        <v/>
      </c>
      <c r="I77" s="58" t="str">
        <v/>
      </c>
      <c r="J77" s="105" t="str">
        <v/>
      </c>
      <c r="K77" s="65"/>
      <c r="L77" s="66"/>
      <c r="M77" s="24"/>
      <c r="N77" s="60"/>
      <c r="O77" s="61"/>
      <c r="P77" s="61"/>
      <c r="Q77" s="61"/>
      <c r="R77" s="62"/>
      <c r="S77" s="69"/>
      <c r="T77" s="69"/>
      <c r="U77" s="69"/>
      <c r="V77" s="76"/>
      <c r="W77" s="71"/>
      <c r="X77" s="72"/>
      <c r="Y77" s="89" t="str" cm="1">
        <f t="array" ref="Y77">GetPolarity(X77,AE77)</f>
        <v/>
      </c>
      <c r="Z77" s="73"/>
      <c r="AA77" s="71"/>
      <c r="AB77" s="86" t="str">
        <f t="shared" si="16"/>
        <v/>
      </c>
      <c r="AC77" s="86" t="str">
        <f t="shared" si="17"/>
        <v/>
      </c>
      <c r="AD77" s="73"/>
      <c r="AE77" s="71"/>
      <c r="AF77" s="23" t="str">
        <f t="shared" si="18"/>
        <v/>
      </c>
      <c r="AG77" s="31" t="str" cm="1">
        <f t="array" ref="AG77">FilterSpecialCharacters(X77)</f>
        <v/>
      </c>
      <c r="AH77" s="90" t="str">
        <f t="shared" si="19"/>
        <v xml:space="preserve"> </v>
      </c>
    </row>
    <row r="78" spans="1:34" x14ac:dyDescent="0.25">
      <c r="A78" s="123" t="str" cm="1">
        <f t="array" ref="A78">IfEmpty(TRIM(_xlfn.CONCAT(C78:H78)),"",CRC32HASH(_xlfn.CONCAT(C78:H78)))</f>
        <v/>
      </c>
      <c r="B78" s="10" t="str">
        <f>IFERROR(VLOOKUP(J78,Table1[],2,FALSE),"")</f>
        <v/>
      </c>
      <c r="C78" s="41" t="str" cm="1">
        <f t="array" ref="C78">W78&amp;" "&amp;IfEmpty(U78,X78)</f>
        <v xml:space="preserve"> </v>
      </c>
      <c r="D78" s="50" t="str">
        <f t="shared" si="13"/>
        <v xml:space="preserve">  </v>
      </c>
      <c r="E78" s="67" t="str">
        <f t="shared" si="20"/>
        <v/>
      </c>
      <c r="F78" s="48" t="str">
        <f t="shared" si="14"/>
        <v/>
      </c>
      <c r="G78" s="48" t="str">
        <f t="shared" si="15"/>
        <v/>
      </c>
      <c r="H78" s="42" t="str" cm="1">
        <f t="array" ref="H78:J78">IFERROR(CalcUnc(K78,L78,S78,T78,V78,X78,AD78,AE78,N78:R78,Z78,AA78),"")</f>
        <v/>
      </c>
      <c r="I78" s="58" t="str">
        <v/>
      </c>
      <c r="J78" s="105" t="str">
        <v/>
      </c>
      <c r="K78" s="65"/>
      <c r="L78" s="66"/>
      <c r="M78" s="24"/>
      <c r="N78" s="60"/>
      <c r="O78" s="61"/>
      <c r="P78" s="61"/>
      <c r="Q78" s="61"/>
      <c r="R78" s="62"/>
      <c r="S78" s="69"/>
      <c r="T78" s="69"/>
      <c r="U78" s="69"/>
      <c r="V78" s="76"/>
      <c r="W78" s="71"/>
      <c r="X78" s="72"/>
      <c r="Y78" s="89" t="str" cm="1">
        <f t="array" ref="Y78">GetPolarity(X78,AE78)</f>
        <v/>
      </c>
      <c r="Z78" s="73"/>
      <c r="AA78" s="71"/>
      <c r="AB78" s="86" t="str">
        <f t="shared" si="16"/>
        <v/>
      </c>
      <c r="AC78" s="86" t="str">
        <f t="shared" si="17"/>
        <v/>
      </c>
      <c r="AD78" s="73"/>
      <c r="AE78" s="71"/>
      <c r="AF78" s="23" t="str">
        <f t="shared" si="18"/>
        <v/>
      </c>
      <c r="AG78" s="31" t="str" cm="1">
        <f t="array" ref="AG78">FilterSpecialCharacters(X78)</f>
        <v/>
      </c>
      <c r="AH78" s="90" t="str">
        <f t="shared" si="19"/>
        <v xml:space="preserve"> </v>
      </c>
    </row>
    <row r="79" spans="1:34" x14ac:dyDescent="0.25">
      <c r="A79" s="123" t="str" cm="1">
        <f t="array" ref="A79">IfEmpty(TRIM(_xlfn.CONCAT(C79:H79)),"",CRC32HASH(_xlfn.CONCAT(C79:H79)))</f>
        <v/>
      </c>
      <c r="B79" s="46" t="str">
        <f>IFERROR(VLOOKUP(J79,Table1[],2,FALSE),"")</f>
        <v/>
      </c>
      <c r="C79" s="43" t="str" cm="1">
        <f t="array" ref="C79">W79&amp;" "&amp;IfEmpty(U79,X79)</f>
        <v xml:space="preserve"> </v>
      </c>
      <c r="D79" s="44" t="str">
        <f t="shared" si="13"/>
        <v xml:space="preserve">  </v>
      </c>
      <c r="E79" s="68" t="str">
        <f t="shared" si="20"/>
        <v/>
      </c>
      <c r="F79" s="49" t="str">
        <f t="shared" si="14"/>
        <v/>
      </c>
      <c r="G79" s="49" t="str">
        <f t="shared" si="15"/>
        <v/>
      </c>
      <c r="H79" s="45" t="str" cm="1">
        <f t="array" ref="H79:J79">IFERROR(CalcUnc(K79,L79,S79,T79,V79,X79,AD79,AE79,N79:R79,Z79,AA79),"")</f>
        <v/>
      </c>
      <c r="I79" s="58" t="str">
        <v/>
      </c>
      <c r="J79" s="105" t="str">
        <v/>
      </c>
      <c r="K79" s="65"/>
      <c r="L79" s="66"/>
      <c r="M79" s="24"/>
      <c r="N79" s="60"/>
      <c r="O79" s="61"/>
      <c r="P79" s="61"/>
      <c r="Q79" s="61"/>
      <c r="R79" s="62"/>
      <c r="S79" s="69"/>
      <c r="T79" s="69"/>
      <c r="U79" s="69"/>
      <c r="V79" s="76"/>
      <c r="W79" s="71"/>
      <c r="X79" s="72"/>
      <c r="Y79" s="89" t="str" cm="1">
        <f t="array" ref="Y79">GetPolarity(X79,AE79)</f>
        <v/>
      </c>
      <c r="Z79" s="73"/>
      <c r="AA79" s="71"/>
      <c r="AB79" s="86" t="str">
        <f t="shared" si="16"/>
        <v/>
      </c>
      <c r="AC79" s="86" t="str">
        <f t="shared" si="17"/>
        <v/>
      </c>
      <c r="AD79" s="73"/>
      <c r="AE79" s="71"/>
      <c r="AF79" s="23" t="str">
        <f t="shared" si="18"/>
        <v/>
      </c>
      <c r="AG79" s="31" t="str" cm="1">
        <f t="array" ref="AG79">FilterSpecialCharacters(X79)</f>
        <v/>
      </c>
      <c r="AH79" s="90" t="str">
        <f t="shared" si="19"/>
        <v xml:space="preserve"> </v>
      </c>
    </row>
    <row r="80" spans="1:34" x14ac:dyDescent="0.25">
      <c r="A80" s="123" t="str" cm="1">
        <f t="array" ref="A80">IfEmpty(TRIM(_xlfn.CONCAT(C80:H80)),"",CRC32HASH(_xlfn.CONCAT(C80:H80)))</f>
        <v/>
      </c>
      <c r="B80" s="10" t="str">
        <f>IFERROR(VLOOKUP(J80,Table1[],2,FALSE),"")</f>
        <v/>
      </c>
      <c r="C80" s="41" t="str" cm="1">
        <f t="array" ref="C80">W80&amp;" "&amp;IfEmpty(U80,X80)</f>
        <v xml:space="preserve"> </v>
      </c>
      <c r="D80" s="50" t="str">
        <f t="shared" si="13"/>
        <v xml:space="preserve">  </v>
      </c>
      <c r="E80" s="67" t="str">
        <f t="shared" si="20"/>
        <v/>
      </c>
      <c r="F80" s="48" t="str">
        <f t="shared" si="14"/>
        <v/>
      </c>
      <c r="G80" s="48" t="str">
        <f t="shared" si="15"/>
        <v/>
      </c>
      <c r="H80" s="42" t="str" cm="1">
        <f t="array" ref="H80:J80">IFERROR(CalcUnc(K80,L80,S80,T80,V80,X80,AD80,AE80,N80:R80,Z80,AA80),"")</f>
        <v/>
      </c>
      <c r="I80" s="58" t="str">
        <v/>
      </c>
      <c r="J80" s="105" t="str">
        <v/>
      </c>
      <c r="K80" s="65"/>
      <c r="L80" s="66"/>
      <c r="M80" s="24"/>
      <c r="N80" s="60"/>
      <c r="O80" s="61"/>
      <c r="P80" s="61"/>
      <c r="Q80" s="61"/>
      <c r="R80" s="62"/>
      <c r="S80" s="69"/>
      <c r="T80" s="69"/>
      <c r="U80" s="69"/>
      <c r="V80" s="76"/>
      <c r="W80" s="71"/>
      <c r="X80" s="72"/>
      <c r="Y80" s="89" t="str" cm="1">
        <f t="array" ref="Y80">GetPolarity(X80,AE80)</f>
        <v/>
      </c>
      <c r="Z80" s="73"/>
      <c r="AA80" s="71"/>
      <c r="AB80" s="86" t="str">
        <f t="shared" si="16"/>
        <v/>
      </c>
      <c r="AC80" s="86" t="str">
        <f t="shared" si="17"/>
        <v/>
      </c>
      <c r="AD80" s="73"/>
      <c r="AE80" s="71"/>
      <c r="AF80" s="23" t="str">
        <f t="shared" si="18"/>
        <v/>
      </c>
      <c r="AG80" s="31" t="str" cm="1">
        <f t="array" ref="AG80">FilterSpecialCharacters(X80)</f>
        <v/>
      </c>
      <c r="AH80" s="90" t="str">
        <f t="shared" si="19"/>
        <v xml:space="preserve"> </v>
      </c>
    </row>
    <row r="81" spans="1:34" x14ac:dyDescent="0.25">
      <c r="A81" s="123" t="str" cm="1">
        <f t="array" ref="A81">IfEmpty(TRIM(_xlfn.CONCAT(C81:H81)),"",CRC32HASH(_xlfn.CONCAT(C81:H81)))</f>
        <v/>
      </c>
      <c r="B81" s="46" t="str">
        <f>IFERROR(VLOOKUP(J81,Table1[],2,FALSE),"")</f>
        <v/>
      </c>
      <c r="C81" s="43" t="str" cm="1">
        <f t="array" ref="C81">W81&amp;" "&amp;IfEmpty(U81,X81)</f>
        <v xml:space="preserve"> </v>
      </c>
      <c r="D81" s="44" t="str">
        <f t="shared" si="13"/>
        <v xml:space="preserve">  </v>
      </c>
      <c r="E81" s="68" t="str">
        <f t="shared" si="20"/>
        <v/>
      </c>
      <c r="F81" s="49" t="str">
        <f t="shared" si="14"/>
        <v/>
      </c>
      <c r="G81" s="49" t="str">
        <f t="shared" si="15"/>
        <v/>
      </c>
      <c r="H81" s="45" t="str" cm="1">
        <f t="array" ref="H81:J81">IFERROR(CalcUnc(K81,L81,S81,T81,V81,X81,AD81,AE81,N81:R81,Z81,AA81),"")</f>
        <v/>
      </c>
      <c r="I81" s="58" t="str">
        <v/>
      </c>
      <c r="J81" s="105" t="str">
        <v/>
      </c>
      <c r="K81" s="65"/>
      <c r="L81" s="66"/>
      <c r="M81" s="24"/>
      <c r="N81" s="60"/>
      <c r="O81" s="61"/>
      <c r="P81" s="61"/>
      <c r="Q81" s="61"/>
      <c r="R81" s="62"/>
      <c r="S81" s="69"/>
      <c r="T81" s="69"/>
      <c r="U81" s="69"/>
      <c r="V81" s="76"/>
      <c r="W81" s="71"/>
      <c r="X81" s="72"/>
      <c r="Y81" s="89" t="str" cm="1">
        <f t="array" ref="Y81">GetPolarity(X81,AE81)</f>
        <v/>
      </c>
      <c r="Z81" s="73"/>
      <c r="AA81" s="71"/>
      <c r="AB81" s="86" t="str">
        <f t="shared" si="16"/>
        <v/>
      </c>
      <c r="AC81" s="86" t="str">
        <f t="shared" si="17"/>
        <v/>
      </c>
      <c r="AD81" s="73"/>
      <c r="AE81" s="71"/>
      <c r="AF81" s="23" t="str">
        <f t="shared" si="18"/>
        <v/>
      </c>
      <c r="AG81" s="31" t="str" cm="1">
        <f t="array" ref="AG81">FilterSpecialCharacters(X81)</f>
        <v/>
      </c>
      <c r="AH81" s="90" t="str">
        <f t="shared" si="19"/>
        <v xml:space="preserve"> </v>
      </c>
    </row>
    <row r="82" spans="1:34" x14ac:dyDescent="0.25">
      <c r="A82" s="123" t="str" cm="1">
        <f t="array" ref="A82">IfEmpty(TRIM(_xlfn.CONCAT(C82:H82)),"",CRC32HASH(_xlfn.CONCAT(C82:H82)))</f>
        <v/>
      </c>
      <c r="B82" s="10" t="str">
        <f>IFERROR(VLOOKUP(J82,Table1[],2,FALSE),"")</f>
        <v/>
      </c>
      <c r="C82" s="41" t="str" cm="1">
        <f t="array" ref="C82">W82&amp;" "&amp;IfEmpty(U82,X82)</f>
        <v xml:space="preserve"> </v>
      </c>
      <c r="D82" s="50" t="str">
        <f t="shared" si="13"/>
        <v xml:space="preserve">  </v>
      </c>
      <c r="E82" s="67" t="str">
        <f t="shared" si="20"/>
        <v/>
      </c>
      <c r="F82" s="48" t="str">
        <f t="shared" si="14"/>
        <v/>
      </c>
      <c r="G82" s="48" t="str">
        <f t="shared" si="15"/>
        <v/>
      </c>
      <c r="H82" s="42" t="str" cm="1">
        <f t="array" ref="H82:J82">IFERROR(CalcUnc(K82,L82,S82,T82,V82,X82,AD82,AE82,N82:R82,Z82,AA82),"")</f>
        <v/>
      </c>
      <c r="I82" s="58" t="str">
        <v/>
      </c>
      <c r="J82" s="105" t="str">
        <v/>
      </c>
      <c r="K82" s="65"/>
      <c r="L82" s="66"/>
      <c r="M82" s="24"/>
      <c r="N82" s="60"/>
      <c r="O82" s="61"/>
      <c r="P82" s="61"/>
      <c r="Q82" s="61"/>
      <c r="R82" s="62"/>
      <c r="S82" s="69"/>
      <c r="T82" s="69"/>
      <c r="U82" s="69"/>
      <c r="V82" s="76"/>
      <c r="W82" s="71"/>
      <c r="X82" s="72"/>
      <c r="Y82" s="89" t="str" cm="1">
        <f t="array" ref="Y82">GetPolarity(X82,AE82)</f>
        <v/>
      </c>
      <c r="Z82" s="73"/>
      <c r="AA82" s="71"/>
      <c r="AB82" s="86" t="str">
        <f t="shared" si="16"/>
        <v/>
      </c>
      <c r="AC82" s="86" t="str">
        <f t="shared" si="17"/>
        <v/>
      </c>
      <c r="AD82" s="73"/>
      <c r="AE82" s="71"/>
      <c r="AF82" s="23" t="str">
        <f t="shared" si="18"/>
        <v/>
      </c>
      <c r="AG82" s="31" t="str" cm="1">
        <f t="array" ref="AG82">FilterSpecialCharacters(X82)</f>
        <v/>
      </c>
      <c r="AH82" s="90" t="str">
        <f t="shared" si="19"/>
        <v xml:space="preserve"> </v>
      </c>
    </row>
    <row r="83" spans="1:34" x14ac:dyDescent="0.25">
      <c r="A83" s="123" t="str" cm="1">
        <f t="array" ref="A83">IfEmpty(TRIM(_xlfn.CONCAT(C83:H83)),"",CRC32HASH(_xlfn.CONCAT(C83:H83)))</f>
        <v/>
      </c>
      <c r="B83" s="46" t="str">
        <f>IFERROR(VLOOKUP(J83,Table1[],2,FALSE),"")</f>
        <v/>
      </c>
      <c r="C83" s="43" t="str" cm="1">
        <f t="array" ref="C83">W83&amp;" "&amp;IfEmpty(U83,X83)</f>
        <v xml:space="preserve"> </v>
      </c>
      <c r="D83" s="44" t="str">
        <f t="shared" si="13"/>
        <v xml:space="preserve">  </v>
      </c>
      <c r="E83" s="68" t="str">
        <f t="shared" si="20"/>
        <v/>
      </c>
      <c r="F83" s="49" t="str">
        <f t="shared" si="14"/>
        <v/>
      </c>
      <c r="G83" s="49" t="str">
        <f t="shared" si="15"/>
        <v/>
      </c>
      <c r="H83" s="45" t="str" cm="1">
        <f t="array" ref="H83:J83">IFERROR(CalcUnc(K83,L83,S83,T83,V83,X83,AD83,AE83,N83:R83,Z83,AA83),"")</f>
        <v/>
      </c>
      <c r="I83" s="58" t="str">
        <v/>
      </c>
      <c r="J83" s="105" t="str">
        <v/>
      </c>
      <c r="K83" s="65"/>
      <c r="L83" s="66"/>
      <c r="M83" s="24"/>
      <c r="N83" s="60"/>
      <c r="O83" s="61"/>
      <c r="P83" s="61"/>
      <c r="Q83" s="61"/>
      <c r="R83" s="62"/>
      <c r="S83" s="69"/>
      <c r="T83" s="69"/>
      <c r="U83" s="69"/>
      <c r="V83" s="76"/>
      <c r="W83" s="71"/>
      <c r="X83" s="72"/>
      <c r="Y83" s="89" t="str" cm="1">
        <f t="array" ref="Y83">GetPolarity(X83,AE83)</f>
        <v/>
      </c>
      <c r="Z83" s="73"/>
      <c r="AA83" s="71"/>
      <c r="AB83" s="86" t="str">
        <f t="shared" si="16"/>
        <v/>
      </c>
      <c r="AC83" s="86" t="str">
        <f t="shared" si="17"/>
        <v/>
      </c>
      <c r="AD83" s="73"/>
      <c r="AE83" s="71"/>
      <c r="AF83" s="23" t="str">
        <f t="shared" si="18"/>
        <v/>
      </c>
      <c r="AG83" s="31" t="str" cm="1">
        <f t="array" ref="AG83">FilterSpecialCharacters(X83)</f>
        <v/>
      </c>
      <c r="AH83" s="90" t="str">
        <f t="shared" si="19"/>
        <v xml:space="preserve"> </v>
      </c>
    </row>
    <row r="84" spans="1:34" x14ac:dyDescent="0.25">
      <c r="A84" s="123" t="str" cm="1">
        <f t="array" ref="A84">IfEmpty(TRIM(_xlfn.CONCAT(C84:H84)),"",CRC32HASH(_xlfn.CONCAT(C84:H84)))</f>
        <v/>
      </c>
      <c r="B84" s="10" t="str">
        <f>IFERROR(VLOOKUP(J84,Table1[],2,FALSE),"")</f>
        <v/>
      </c>
      <c r="C84" s="41" t="str" cm="1">
        <f t="array" ref="C84">W84&amp;" "&amp;IfEmpty(U84,X84)</f>
        <v xml:space="preserve"> </v>
      </c>
      <c r="D84" s="50" t="str">
        <f t="shared" si="13"/>
        <v xml:space="preserve">  </v>
      </c>
      <c r="E84" s="67" t="str">
        <f t="shared" si="20"/>
        <v/>
      </c>
      <c r="F84" s="48" t="str">
        <f t="shared" si="14"/>
        <v/>
      </c>
      <c r="G84" s="48" t="str">
        <f t="shared" si="15"/>
        <v/>
      </c>
      <c r="H84" s="42" t="str" cm="1">
        <f t="array" ref="H84:J84">IFERROR(CalcUnc(K84,L84,S84,T84,V84,X84,AD84,AE84,N84:R84,Z84,AA84),"")</f>
        <v/>
      </c>
      <c r="I84" s="58" t="str">
        <v/>
      </c>
      <c r="J84" s="105" t="str">
        <v/>
      </c>
      <c r="K84" s="65"/>
      <c r="L84" s="66"/>
      <c r="M84" s="24"/>
      <c r="N84" s="60"/>
      <c r="O84" s="61"/>
      <c r="P84" s="61"/>
      <c r="Q84" s="61"/>
      <c r="R84" s="62"/>
      <c r="S84" s="69"/>
      <c r="T84" s="69"/>
      <c r="U84" s="69"/>
      <c r="V84" s="76"/>
      <c r="W84" s="71"/>
      <c r="X84" s="72"/>
      <c r="Y84" s="89" t="str" cm="1">
        <f t="array" ref="Y84">GetPolarity(X84,AE84)</f>
        <v/>
      </c>
      <c r="Z84" s="73"/>
      <c r="AA84" s="71"/>
      <c r="AB84" s="86" t="str">
        <f t="shared" si="16"/>
        <v/>
      </c>
      <c r="AC84" s="86" t="str">
        <f t="shared" si="17"/>
        <v/>
      </c>
      <c r="AD84" s="73"/>
      <c r="AE84" s="71"/>
      <c r="AF84" s="23" t="str">
        <f t="shared" si="18"/>
        <v/>
      </c>
      <c r="AG84" s="31" t="str" cm="1">
        <f t="array" ref="AG84">FilterSpecialCharacters(X84)</f>
        <v/>
      </c>
      <c r="AH84" s="90" t="str">
        <f t="shared" si="19"/>
        <v xml:space="preserve"> </v>
      </c>
    </row>
    <row r="85" spans="1:34" x14ac:dyDescent="0.25">
      <c r="A85" s="123" t="str" cm="1">
        <f t="array" ref="A85">IfEmpty(TRIM(_xlfn.CONCAT(C85:H85)),"",CRC32HASH(_xlfn.CONCAT(C85:H85)))</f>
        <v/>
      </c>
      <c r="B85" s="46" t="str">
        <f>IFERROR(VLOOKUP(J85,Table1[],2,FALSE),"")</f>
        <v/>
      </c>
      <c r="C85" s="43" t="str" cm="1">
        <f t="array" ref="C85">W85&amp;" "&amp;IfEmpty(U85,X85)</f>
        <v xml:space="preserve"> </v>
      </c>
      <c r="D85" s="44" t="str">
        <f t="shared" si="13"/>
        <v xml:space="preserve">  </v>
      </c>
      <c r="E85" s="68" t="str">
        <f t="shared" si="20"/>
        <v/>
      </c>
      <c r="F85" s="49" t="str">
        <f t="shared" si="14"/>
        <v/>
      </c>
      <c r="G85" s="49" t="str">
        <f t="shared" si="15"/>
        <v/>
      </c>
      <c r="H85" s="45" t="str" cm="1">
        <f t="array" ref="H85:J85">IFERROR(CalcUnc(K85,L85,S85,T85,V85,X85,AD85,AE85,N85:R85,Z85,AA85),"")</f>
        <v/>
      </c>
      <c r="I85" s="58" t="str">
        <v/>
      </c>
      <c r="J85" s="105" t="str">
        <v/>
      </c>
      <c r="K85" s="65"/>
      <c r="L85" s="66"/>
      <c r="M85" s="24"/>
      <c r="N85" s="60"/>
      <c r="O85" s="61"/>
      <c r="P85" s="61"/>
      <c r="Q85" s="61"/>
      <c r="R85" s="62"/>
      <c r="S85" s="69"/>
      <c r="T85" s="69"/>
      <c r="U85" s="69"/>
      <c r="V85" s="76"/>
      <c r="W85" s="71"/>
      <c r="X85" s="72"/>
      <c r="Y85" s="89" t="str" cm="1">
        <f t="array" ref="Y85">GetPolarity(X85,AE85)</f>
        <v/>
      </c>
      <c r="Z85" s="73"/>
      <c r="AA85" s="71"/>
      <c r="AB85" s="86" t="str">
        <f t="shared" si="16"/>
        <v/>
      </c>
      <c r="AC85" s="86" t="str">
        <f t="shared" si="17"/>
        <v/>
      </c>
      <c r="AD85" s="73"/>
      <c r="AE85" s="71"/>
      <c r="AF85" s="23" t="str">
        <f t="shared" si="18"/>
        <v/>
      </c>
      <c r="AG85" s="31" t="str" cm="1">
        <f t="array" ref="AG85">FilterSpecialCharacters(X85)</f>
        <v/>
      </c>
      <c r="AH85" s="90" t="str">
        <f t="shared" si="19"/>
        <v xml:space="preserve"> </v>
      </c>
    </row>
    <row r="86" spans="1:34" x14ac:dyDescent="0.25">
      <c r="A86" s="123" t="str" cm="1">
        <f t="array" ref="A86">IfEmpty(TRIM(_xlfn.CONCAT(C86:H86)),"",CRC32HASH(_xlfn.CONCAT(C86:H86)))</f>
        <v/>
      </c>
      <c r="B86" s="10" t="str">
        <f>IFERROR(VLOOKUP(J86,Table1[],2,FALSE),"")</f>
        <v/>
      </c>
      <c r="C86" s="41" t="str" cm="1">
        <f t="array" ref="C86">W86&amp;" "&amp;IfEmpty(U86,X86)</f>
        <v xml:space="preserve"> </v>
      </c>
      <c r="D86" s="50" t="str">
        <f t="shared" si="13"/>
        <v xml:space="preserve">  </v>
      </c>
      <c r="E86" s="67" t="str">
        <f t="shared" si="20"/>
        <v/>
      </c>
      <c r="F86" s="48" t="str">
        <f t="shared" si="14"/>
        <v/>
      </c>
      <c r="G86" s="48" t="str">
        <f t="shared" si="15"/>
        <v/>
      </c>
      <c r="H86" s="42" t="str" cm="1">
        <f t="array" ref="H86:J86">IFERROR(CalcUnc(K86,L86,S86,T86,V86,X86,AD86,AE86,N86:R86,Z86,AA86),"")</f>
        <v/>
      </c>
      <c r="I86" s="58" t="str">
        <v/>
      </c>
      <c r="J86" s="105" t="str">
        <v/>
      </c>
      <c r="K86" s="65"/>
      <c r="L86" s="66"/>
      <c r="M86" s="24"/>
      <c r="N86" s="60"/>
      <c r="O86" s="61"/>
      <c r="P86" s="61"/>
      <c r="Q86" s="61"/>
      <c r="R86" s="62"/>
      <c r="S86" s="69"/>
      <c r="T86" s="69"/>
      <c r="U86" s="69"/>
      <c r="V86" s="76"/>
      <c r="W86" s="71"/>
      <c r="X86" s="72"/>
      <c r="Y86" s="89" t="str" cm="1">
        <f t="array" ref="Y86">GetPolarity(X86,AE86)</f>
        <v/>
      </c>
      <c r="Z86" s="73"/>
      <c r="AA86" s="71"/>
      <c r="AB86" s="86" t="str">
        <f t="shared" si="16"/>
        <v/>
      </c>
      <c r="AC86" s="86" t="str">
        <f t="shared" si="17"/>
        <v/>
      </c>
      <c r="AD86" s="73"/>
      <c r="AE86" s="71"/>
      <c r="AF86" s="23" t="str">
        <f t="shared" si="18"/>
        <v/>
      </c>
      <c r="AG86" s="31" t="str" cm="1">
        <f t="array" ref="AG86">FilterSpecialCharacters(X86)</f>
        <v/>
      </c>
      <c r="AH86" s="90" t="str">
        <f t="shared" si="19"/>
        <v xml:space="preserve"> </v>
      </c>
    </row>
    <row r="87" spans="1:34" x14ac:dyDescent="0.25">
      <c r="A87" s="123" t="str" cm="1">
        <f t="array" ref="A87">IfEmpty(TRIM(_xlfn.CONCAT(C87:H87)),"",CRC32HASH(_xlfn.CONCAT(C87:H87)))</f>
        <v/>
      </c>
      <c r="B87" s="46" t="str">
        <f>IFERROR(VLOOKUP(J87,Table1[],2,FALSE),"")</f>
        <v/>
      </c>
      <c r="C87" s="43" t="str" cm="1">
        <f t="array" ref="C87">W87&amp;" "&amp;IfEmpty(U87,X87)</f>
        <v xml:space="preserve"> </v>
      </c>
      <c r="D87" s="44" t="str">
        <f t="shared" si="13"/>
        <v xml:space="preserve">  </v>
      </c>
      <c r="E87" s="68" t="str">
        <f t="shared" si="20"/>
        <v/>
      </c>
      <c r="F87" s="49" t="str">
        <f t="shared" si="14"/>
        <v/>
      </c>
      <c r="G87" s="49" t="str">
        <f t="shared" si="15"/>
        <v/>
      </c>
      <c r="H87" s="45" t="str" cm="1">
        <f t="array" ref="H87:J87">IFERROR(CalcUnc(K87,L87,S87,T87,V87,X87,AD87,AE87,N87:R87,Z87,AA87),"")</f>
        <v/>
      </c>
      <c r="I87" s="58" t="str">
        <v/>
      </c>
      <c r="J87" s="105" t="str">
        <v/>
      </c>
      <c r="K87" s="65"/>
      <c r="L87" s="66"/>
      <c r="M87" s="24"/>
      <c r="N87" s="60"/>
      <c r="O87" s="61"/>
      <c r="P87" s="61"/>
      <c r="Q87" s="61"/>
      <c r="R87" s="62"/>
      <c r="S87" s="69"/>
      <c r="T87" s="69"/>
      <c r="U87" s="69"/>
      <c r="V87" s="76"/>
      <c r="W87" s="71"/>
      <c r="X87" s="72"/>
      <c r="Y87" s="89" t="str" cm="1">
        <f t="array" ref="Y87">GetPolarity(X87,AE87)</f>
        <v/>
      </c>
      <c r="Z87" s="73"/>
      <c r="AA87" s="71"/>
      <c r="AB87" s="86" t="str">
        <f t="shared" si="16"/>
        <v/>
      </c>
      <c r="AC87" s="86" t="str">
        <f t="shared" si="17"/>
        <v/>
      </c>
      <c r="AD87" s="73"/>
      <c r="AE87" s="71"/>
      <c r="AF87" s="23" t="str">
        <f t="shared" si="18"/>
        <v/>
      </c>
      <c r="AG87" s="31" t="str" cm="1">
        <f t="array" ref="AG87">FilterSpecialCharacters(X87)</f>
        <v/>
      </c>
      <c r="AH87" s="90" t="str">
        <f t="shared" si="19"/>
        <v xml:space="preserve"> </v>
      </c>
    </row>
    <row r="88" spans="1:34" x14ac:dyDescent="0.25">
      <c r="A88" s="123" t="str" cm="1">
        <f t="array" ref="A88">IfEmpty(TRIM(_xlfn.CONCAT(C88:H88)),"",CRC32HASH(_xlfn.CONCAT(C88:H88)))</f>
        <v/>
      </c>
      <c r="B88" s="10" t="str">
        <f>IFERROR(VLOOKUP(J88,Table1[],2,FALSE),"")</f>
        <v/>
      </c>
      <c r="C88" s="41" t="str" cm="1">
        <f t="array" ref="C88">W88&amp;" "&amp;IfEmpty(U88,X88)</f>
        <v xml:space="preserve"> </v>
      </c>
      <c r="D88" s="50" t="str">
        <f t="shared" si="13"/>
        <v xml:space="preserve">  </v>
      </c>
      <c r="E88" s="67" t="str">
        <f t="shared" si="20"/>
        <v/>
      </c>
      <c r="F88" s="48" t="str">
        <f t="shared" si="14"/>
        <v/>
      </c>
      <c r="G88" s="48" t="str">
        <f t="shared" si="15"/>
        <v/>
      </c>
      <c r="H88" s="42" t="str" cm="1">
        <f t="array" ref="H88:J88">IFERROR(CalcUnc(K88,L88,S88,T88,V88,X88,AD88,AE88,N88:R88,Z88,AA88),"")</f>
        <v/>
      </c>
      <c r="I88" s="58" t="str">
        <v/>
      </c>
      <c r="J88" s="105" t="str">
        <v/>
      </c>
      <c r="K88" s="65"/>
      <c r="L88" s="66"/>
      <c r="M88" s="24"/>
      <c r="N88" s="60"/>
      <c r="O88" s="61"/>
      <c r="P88" s="61"/>
      <c r="Q88" s="61"/>
      <c r="R88" s="62"/>
      <c r="S88" s="69"/>
      <c r="T88" s="69"/>
      <c r="U88" s="69"/>
      <c r="V88" s="76"/>
      <c r="W88" s="71"/>
      <c r="X88" s="72"/>
      <c r="Y88" s="89" t="str" cm="1">
        <f t="array" ref="Y88">GetPolarity(X88,AE88)</f>
        <v/>
      </c>
      <c r="Z88" s="73"/>
      <c r="AA88" s="71"/>
      <c r="AB88" s="86" t="str">
        <f t="shared" si="16"/>
        <v/>
      </c>
      <c r="AC88" s="86" t="str">
        <f t="shared" si="17"/>
        <v/>
      </c>
      <c r="AD88" s="73"/>
      <c r="AE88" s="71"/>
      <c r="AF88" s="23" t="str">
        <f t="shared" si="18"/>
        <v/>
      </c>
      <c r="AG88" s="31" t="str" cm="1">
        <f t="array" ref="AG88">FilterSpecialCharacters(X88)</f>
        <v/>
      </c>
      <c r="AH88" s="90" t="str">
        <f t="shared" si="19"/>
        <v xml:space="preserve"> </v>
      </c>
    </row>
    <row r="89" spans="1:34" x14ac:dyDescent="0.25">
      <c r="A89" s="123" t="str" cm="1">
        <f t="array" ref="A89">IfEmpty(TRIM(_xlfn.CONCAT(C89:H89)),"",CRC32HASH(_xlfn.CONCAT(C89:H89)))</f>
        <v/>
      </c>
      <c r="B89" s="46" t="str">
        <f>IFERROR(VLOOKUP(J89,Table1[],2,FALSE),"")</f>
        <v/>
      </c>
      <c r="C89" s="43" t="str" cm="1">
        <f t="array" ref="C89">W89&amp;" "&amp;IfEmpty(U89,X89)</f>
        <v xml:space="preserve"> </v>
      </c>
      <c r="D89" s="44" t="str">
        <f t="shared" si="13"/>
        <v xml:space="preserve">  </v>
      </c>
      <c r="E89" s="68" t="str">
        <f t="shared" si="20"/>
        <v/>
      </c>
      <c r="F89" s="49" t="str">
        <f t="shared" si="14"/>
        <v/>
      </c>
      <c r="G89" s="49" t="str">
        <f t="shared" si="15"/>
        <v/>
      </c>
      <c r="H89" s="45" t="str" cm="1">
        <f t="array" ref="H89:J89">IFERROR(CalcUnc(K89,L89,S89,T89,V89,X89,AD89,AE89,N89:R89,Z89,AA89),"")</f>
        <v/>
      </c>
      <c r="I89" s="58" t="str">
        <v/>
      </c>
      <c r="J89" s="105" t="str">
        <v/>
      </c>
      <c r="K89" s="65"/>
      <c r="L89" s="66"/>
      <c r="M89" s="24"/>
      <c r="N89" s="60"/>
      <c r="O89" s="61"/>
      <c r="P89" s="61"/>
      <c r="Q89" s="61"/>
      <c r="R89" s="62"/>
      <c r="S89" s="69"/>
      <c r="T89" s="69"/>
      <c r="U89" s="69"/>
      <c r="V89" s="76"/>
      <c r="W89" s="71"/>
      <c r="X89" s="72"/>
      <c r="Y89" s="89" t="str" cm="1">
        <f t="array" ref="Y89">GetPolarity(X89,AE89)</f>
        <v/>
      </c>
      <c r="Z89" s="73"/>
      <c r="AA89" s="71"/>
      <c r="AB89" s="86" t="str">
        <f t="shared" si="16"/>
        <v/>
      </c>
      <c r="AC89" s="86" t="str">
        <f t="shared" si="17"/>
        <v/>
      </c>
      <c r="AD89" s="73"/>
      <c r="AE89" s="71"/>
      <c r="AF89" s="23" t="str">
        <f t="shared" si="18"/>
        <v/>
      </c>
      <c r="AG89" s="31" t="str" cm="1">
        <f t="array" ref="AG89">FilterSpecialCharacters(X89)</f>
        <v/>
      </c>
      <c r="AH89" s="90" t="str">
        <f t="shared" si="19"/>
        <v xml:space="preserve"> </v>
      </c>
    </row>
    <row r="90" spans="1:34" x14ac:dyDescent="0.25">
      <c r="A90" s="123" t="str" cm="1">
        <f t="array" ref="A90">IfEmpty(TRIM(_xlfn.CONCAT(C90:H90)),"",CRC32HASH(_xlfn.CONCAT(C90:H90)))</f>
        <v/>
      </c>
      <c r="B90" s="10" t="str">
        <f>IFERROR(VLOOKUP(J90,Table1[],2,FALSE),"")</f>
        <v/>
      </c>
      <c r="C90" s="41" t="str" cm="1">
        <f t="array" ref="C90">W90&amp;" "&amp;IfEmpty(U90,X90)</f>
        <v xml:space="preserve"> </v>
      </c>
      <c r="D90" s="50" t="str">
        <f t="shared" si="13"/>
        <v xml:space="preserve">  </v>
      </c>
      <c r="E90" s="67" t="str">
        <f t="shared" si="20"/>
        <v/>
      </c>
      <c r="F90" s="48" t="str">
        <f t="shared" si="14"/>
        <v/>
      </c>
      <c r="G90" s="48" t="str">
        <f t="shared" si="15"/>
        <v/>
      </c>
      <c r="H90" s="42" t="str" cm="1">
        <f t="array" ref="H90:J90">IFERROR(CalcUnc(K90,L90,S90,T90,V90,X90,AD90,AE90,N90:R90,Z90,AA90),"")</f>
        <v/>
      </c>
      <c r="I90" s="58" t="str">
        <v/>
      </c>
      <c r="J90" s="105" t="str">
        <v/>
      </c>
      <c r="K90" s="65"/>
      <c r="L90" s="66"/>
      <c r="M90" s="24"/>
      <c r="N90" s="60"/>
      <c r="O90" s="61"/>
      <c r="P90" s="61"/>
      <c r="Q90" s="61"/>
      <c r="R90" s="62"/>
      <c r="S90" s="69"/>
      <c r="T90" s="69"/>
      <c r="U90" s="69"/>
      <c r="V90" s="76"/>
      <c r="W90" s="71"/>
      <c r="X90" s="72"/>
      <c r="Y90" s="89" t="str" cm="1">
        <f t="array" ref="Y90">GetPolarity(X90,AE90)</f>
        <v/>
      </c>
      <c r="Z90" s="73"/>
      <c r="AA90" s="71"/>
      <c r="AB90" s="86" t="str">
        <f t="shared" si="16"/>
        <v/>
      </c>
      <c r="AC90" s="86" t="str">
        <f t="shared" si="17"/>
        <v/>
      </c>
      <c r="AD90" s="73"/>
      <c r="AE90" s="71"/>
      <c r="AF90" s="23" t="str">
        <f t="shared" si="18"/>
        <v/>
      </c>
      <c r="AG90" s="31" t="str" cm="1">
        <f t="array" ref="AG90">FilterSpecialCharacters(X90)</f>
        <v/>
      </c>
      <c r="AH90" s="90" t="str">
        <f t="shared" si="19"/>
        <v xml:space="preserve"> </v>
      </c>
    </row>
    <row r="91" spans="1:34" x14ac:dyDescent="0.25">
      <c r="A91" s="123" t="str" cm="1">
        <f t="array" ref="A91">IfEmpty(TRIM(_xlfn.CONCAT(C91:H91)),"",CRC32HASH(_xlfn.CONCAT(C91:H91)))</f>
        <v/>
      </c>
      <c r="B91" s="46" t="str">
        <f>IFERROR(VLOOKUP(J91,Table1[],2,FALSE),"")</f>
        <v/>
      </c>
      <c r="C91" s="43" t="str" cm="1">
        <f t="array" ref="C91">W91&amp;" "&amp;IfEmpty(U91,X91)</f>
        <v xml:space="preserve"> </v>
      </c>
      <c r="D91" s="44" t="str">
        <f t="shared" si="13"/>
        <v xml:space="preserve">  </v>
      </c>
      <c r="E91" s="68" t="str">
        <f t="shared" si="20"/>
        <v/>
      </c>
      <c r="F91" s="49" t="str">
        <f t="shared" si="14"/>
        <v/>
      </c>
      <c r="G91" s="49" t="str">
        <f t="shared" si="15"/>
        <v/>
      </c>
      <c r="H91" s="45" t="str" cm="1">
        <f t="array" ref="H91:J91">IFERROR(CalcUnc(K91,L91,S91,T91,V91,X91,AD91,AE91,N91:R91,Z91,AA91),"")</f>
        <v/>
      </c>
      <c r="I91" s="58" t="str">
        <v/>
      </c>
      <c r="J91" s="105" t="str">
        <v/>
      </c>
      <c r="K91" s="65"/>
      <c r="L91" s="66"/>
      <c r="M91" s="24"/>
      <c r="N91" s="60"/>
      <c r="O91" s="61"/>
      <c r="P91" s="61"/>
      <c r="Q91" s="61"/>
      <c r="R91" s="62"/>
      <c r="S91" s="69"/>
      <c r="T91" s="69"/>
      <c r="U91" s="69"/>
      <c r="V91" s="76"/>
      <c r="W91" s="71"/>
      <c r="X91" s="72"/>
      <c r="Y91" s="89" t="str" cm="1">
        <f t="array" ref="Y91">GetPolarity(X91,AE91)</f>
        <v/>
      </c>
      <c r="Z91" s="73"/>
      <c r="AA91" s="71"/>
      <c r="AB91" s="86" t="str">
        <f t="shared" si="16"/>
        <v/>
      </c>
      <c r="AC91" s="86" t="str">
        <f t="shared" si="17"/>
        <v/>
      </c>
      <c r="AD91" s="73"/>
      <c r="AE91" s="71"/>
      <c r="AF91" s="23" t="str">
        <f t="shared" si="18"/>
        <v/>
      </c>
      <c r="AG91" s="31" t="str" cm="1">
        <f t="array" ref="AG91">FilterSpecialCharacters(X91)</f>
        <v/>
      </c>
      <c r="AH91" s="90" t="str">
        <f t="shared" si="19"/>
        <v xml:space="preserve"> </v>
      </c>
    </row>
    <row r="92" spans="1:34" x14ac:dyDescent="0.25">
      <c r="A92" s="123" t="str" cm="1">
        <f t="array" ref="A92">IfEmpty(TRIM(_xlfn.CONCAT(C92:H92)),"",CRC32HASH(_xlfn.CONCAT(C92:H92)))</f>
        <v/>
      </c>
      <c r="B92" s="10" t="str">
        <f>IFERROR(VLOOKUP(J92,Table1[],2,FALSE),"")</f>
        <v/>
      </c>
      <c r="C92" s="41" t="str" cm="1">
        <f t="array" ref="C92">W92&amp;" "&amp;IfEmpty(U92,X92)</f>
        <v xml:space="preserve"> </v>
      </c>
      <c r="D92" s="50" t="str">
        <f t="shared" si="13"/>
        <v xml:space="preserve">  </v>
      </c>
      <c r="E92" s="67" t="str">
        <f t="shared" si="20"/>
        <v/>
      </c>
      <c r="F92" s="48" t="str">
        <f t="shared" si="14"/>
        <v/>
      </c>
      <c r="G92" s="48" t="str">
        <f t="shared" si="15"/>
        <v/>
      </c>
      <c r="H92" s="42" t="str" cm="1">
        <f t="array" ref="H92:J92">IFERROR(CalcUnc(K92,L92,S92,T92,V92,X92,AD92,AE92,N92:R92,Z92,AA92),"")</f>
        <v/>
      </c>
      <c r="I92" s="58" t="str">
        <v/>
      </c>
      <c r="J92" s="105" t="str">
        <v/>
      </c>
      <c r="K92" s="65"/>
      <c r="L92" s="66"/>
      <c r="M92" s="24"/>
      <c r="N92" s="60"/>
      <c r="O92" s="61"/>
      <c r="P92" s="61"/>
      <c r="Q92" s="61"/>
      <c r="R92" s="62"/>
      <c r="S92" s="69"/>
      <c r="T92" s="69"/>
      <c r="U92" s="69"/>
      <c r="V92" s="76"/>
      <c r="W92" s="71"/>
      <c r="X92" s="72"/>
      <c r="Y92" s="89" t="str" cm="1">
        <f t="array" ref="Y92">GetPolarity(X92,AE92)</f>
        <v/>
      </c>
      <c r="Z92" s="73"/>
      <c r="AA92" s="71"/>
      <c r="AB92" s="86" t="str">
        <f t="shared" si="16"/>
        <v/>
      </c>
      <c r="AC92" s="86" t="str">
        <f t="shared" si="17"/>
        <v/>
      </c>
      <c r="AD92" s="73"/>
      <c r="AE92" s="71"/>
      <c r="AF92" s="23" t="str">
        <f t="shared" si="18"/>
        <v/>
      </c>
      <c r="AG92" s="31" t="str" cm="1">
        <f t="array" ref="AG92">FilterSpecialCharacters(X92)</f>
        <v/>
      </c>
      <c r="AH92" s="90" t="str">
        <f t="shared" si="19"/>
        <v xml:space="preserve"> </v>
      </c>
    </row>
    <row r="93" spans="1:34" x14ac:dyDescent="0.25">
      <c r="A93" s="123" t="str" cm="1">
        <f t="array" ref="A93">IfEmpty(TRIM(_xlfn.CONCAT(C93:H93)),"",CRC32HASH(_xlfn.CONCAT(C93:H93)))</f>
        <v/>
      </c>
      <c r="B93" s="46" t="str">
        <f>IFERROR(VLOOKUP(J93,Table1[],2,FALSE),"")</f>
        <v/>
      </c>
      <c r="C93" s="43" t="str" cm="1">
        <f t="array" ref="C93">W93&amp;" "&amp;IfEmpty(U93,X93)</f>
        <v xml:space="preserve"> </v>
      </c>
      <c r="D93" s="44" t="str">
        <f t="shared" si="13"/>
        <v xml:space="preserve">  </v>
      </c>
      <c r="E93" s="68" t="str">
        <f t="shared" si="20"/>
        <v/>
      </c>
      <c r="F93" s="49" t="str">
        <f t="shared" si="14"/>
        <v/>
      </c>
      <c r="G93" s="49" t="str">
        <f t="shared" si="15"/>
        <v/>
      </c>
      <c r="H93" s="45" t="str" cm="1">
        <f t="array" ref="H93:J93">IFERROR(CalcUnc(K93,L93,S93,T93,V93,X93,AD93,AE93,N93:R93,Z93,AA93),"")</f>
        <v/>
      </c>
      <c r="I93" s="58" t="str">
        <v/>
      </c>
      <c r="J93" s="105" t="str">
        <v/>
      </c>
      <c r="K93" s="65"/>
      <c r="L93" s="66"/>
      <c r="M93" s="24"/>
      <c r="N93" s="60"/>
      <c r="O93" s="61"/>
      <c r="P93" s="61"/>
      <c r="Q93" s="61"/>
      <c r="R93" s="62"/>
      <c r="S93" s="69"/>
      <c r="T93" s="69"/>
      <c r="U93" s="69"/>
      <c r="V93" s="76"/>
      <c r="W93" s="71"/>
      <c r="X93" s="72"/>
      <c r="Y93" s="89" t="str" cm="1">
        <f t="array" ref="Y93">GetPolarity(X93,AE93)</f>
        <v/>
      </c>
      <c r="Z93" s="73"/>
      <c r="AA93" s="71"/>
      <c r="AB93" s="86" t="str">
        <f t="shared" si="16"/>
        <v/>
      </c>
      <c r="AC93" s="86" t="str">
        <f t="shared" si="17"/>
        <v/>
      </c>
      <c r="AD93" s="73"/>
      <c r="AE93" s="71"/>
      <c r="AF93" s="23" t="str">
        <f t="shared" si="18"/>
        <v/>
      </c>
      <c r="AG93" s="31" t="str" cm="1">
        <f t="array" ref="AG93">FilterSpecialCharacters(X93)</f>
        <v/>
      </c>
      <c r="AH93" s="90" t="str">
        <f t="shared" si="19"/>
        <v xml:space="preserve"> </v>
      </c>
    </row>
    <row r="94" spans="1:34" x14ac:dyDescent="0.25">
      <c r="A94" s="123" t="str" cm="1">
        <f t="array" ref="A94">IfEmpty(TRIM(_xlfn.CONCAT(C94:H94)),"",CRC32HASH(_xlfn.CONCAT(C94:H94)))</f>
        <v/>
      </c>
      <c r="B94" s="10" t="str">
        <f>IFERROR(VLOOKUP(J94,Table1[],2,FALSE),"")</f>
        <v/>
      </c>
      <c r="C94" s="41" t="str" cm="1">
        <f t="array" ref="C94">W94&amp;" "&amp;IfEmpty(U94,X94)</f>
        <v xml:space="preserve"> </v>
      </c>
      <c r="D94" s="50" t="str">
        <f t="shared" si="13"/>
        <v xml:space="preserve">  </v>
      </c>
      <c r="E94" s="67" t="str">
        <f t="shared" si="20"/>
        <v/>
      </c>
      <c r="F94" s="48" t="str">
        <f t="shared" si="14"/>
        <v/>
      </c>
      <c r="G94" s="48" t="str">
        <f t="shared" si="15"/>
        <v/>
      </c>
      <c r="H94" s="42" t="str" cm="1">
        <f t="array" ref="H94:J94">IFERROR(CalcUnc(K94,L94,S94,T94,V94,X94,AD94,AE94,N94:R94,Z94,AA94),"")</f>
        <v/>
      </c>
      <c r="I94" s="58" t="str">
        <v/>
      </c>
      <c r="J94" s="105" t="str">
        <v/>
      </c>
      <c r="K94" s="65"/>
      <c r="L94" s="66"/>
      <c r="M94" s="24"/>
      <c r="N94" s="60"/>
      <c r="O94" s="61"/>
      <c r="P94" s="61"/>
      <c r="Q94" s="61"/>
      <c r="R94" s="62"/>
      <c r="S94" s="69"/>
      <c r="T94" s="69"/>
      <c r="U94" s="69"/>
      <c r="V94" s="76"/>
      <c r="W94" s="71"/>
      <c r="X94" s="72"/>
      <c r="Y94" s="89" t="str" cm="1">
        <f t="array" ref="Y94">GetPolarity(X94,AE94)</f>
        <v/>
      </c>
      <c r="Z94" s="73"/>
      <c r="AA94" s="71"/>
      <c r="AB94" s="86" t="str">
        <f t="shared" si="16"/>
        <v/>
      </c>
      <c r="AC94" s="86" t="str">
        <f t="shared" si="17"/>
        <v/>
      </c>
      <c r="AD94" s="73"/>
      <c r="AE94" s="71"/>
      <c r="AF94" s="23" t="str">
        <f t="shared" si="18"/>
        <v/>
      </c>
      <c r="AG94" s="31" t="str" cm="1">
        <f t="array" ref="AG94">FilterSpecialCharacters(X94)</f>
        <v/>
      </c>
      <c r="AH94" s="90" t="str">
        <f t="shared" si="19"/>
        <v xml:space="preserve"> </v>
      </c>
    </row>
    <row r="95" spans="1:34" x14ac:dyDescent="0.25">
      <c r="A95" s="123" t="str" cm="1">
        <f t="array" ref="A95">IfEmpty(TRIM(_xlfn.CONCAT(C95:H95)),"",CRC32HASH(_xlfn.CONCAT(C95:H95)))</f>
        <v/>
      </c>
      <c r="B95" s="46" t="str">
        <f>IFERROR(VLOOKUP(J95,Table1[],2,FALSE),"")</f>
        <v/>
      </c>
      <c r="C95" s="43" t="str" cm="1">
        <f t="array" ref="C95">W95&amp;" "&amp;IfEmpty(U95,X95)</f>
        <v xml:space="preserve"> </v>
      </c>
      <c r="D95" s="44" t="str">
        <f t="shared" si="13"/>
        <v xml:space="preserve">  </v>
      </c>
      <c r="E95" s="68" t="str">
        <f t="shared" si="20"/>
        <v/>
      </c>
      <c r="F95" s="49" t="str">
        <f t="shared" si="14"/>
        <v/>
      </c>
      <c r="G95" s="49" t="str">
        <f t="shared" si="15"/>
        <v/>
      </c>
      <c r="H95" s="45" t="str" cm="1">
        <f t="array" ref="H95:J95">IFERROR(CalcUnc(K95,L95,S95,T95,V95,X95,AD95,AE95,N95:R95,Z95,AA95),"")</f>
        <v/>
      </c>
      <c r="I95" s="58" t="str">
        <v/>
      </c>
      <c r="J95" s="105" t="str">
        <v/>
      </c>
      <c r="K95" s="65"/>
      <c r="L95" s="66"/>
      <c r="M95" s="24"/>
      <c r="N95" s="60"/>
      <c r="O95" s="61"/>
      <c r="P95" s="61"/>
      <c r="Q95" s="61"/>
      <c r="R95" s="62"/>
      <c r="S95" s="69"/>
      <c r="T95" s="69"/>
      <c r="U95" s="69"/>
      <c r="V95" s="76"/>
      <c r="W95" s="71"/>
      <c r="X95" s="72"/>
      <c r="Y95" s="89" t="str" cm="1">
        <f t="array" ref="Y95">GetPolarity(X95,AE95)</f>
        <v/>
      </c>
      <c r="Z95" s="73"/>
      <c r="AA95" s="71"/>
      <c r="AB95" s="86" t="str">
        <f t="shared" si="16"/>
        <v/>
      </c>
      <c r="AC95" s="86" t="str">
        <f t="shared" si="17"/>
        <v/>
      </c>
      <c r="AD95" s="73"/>
      <c r="AE95" s="71"/>
      <c r="AF95" s="23" t="str">
        <f t="shared" si="18"/>
        <v/>
      </c>
      <c r="AG95" s="31" t="str" cm="1">
        <f t="array" ref="AG95">FilterSpecialCharacters(X95)</f>
        <v/>
      </c>
      <c r="AH95" s="90" t="str">
        <f t="shared" si="19"/>
        <v xml:space="preserve"> </v>
      </c>
    </row>
    <row r="96" spans="1:34" x14ac:dyDescent="0.25">
      <c r="A96" s="123" t="str" cm="1">
        <f t="array" ref="A96">IfEmpty(TRIM(_xlfn.CONCAT(C96:H96)),"",CRC32HASH(_xlfn.CONCAT(C96:H96)))</f>
        <v/>
      </c>
      <c r="B96" s="10" t="str">
        <f>IFERROR(VLOOKUP(J96,Table1[],2,FALSE),"")</f>
        <v/>
      </c>
      <c r="C96" s="41" t="str" cm="1">
        <f t="array" ref="C96">W96&amp;" "&amp;IfEmpty(U96,X96)</f>
        <v xml:space="preserve"> </v>
      </c>
      <c r="D96" s="50" t="str">
        <f t="shared" si="13"/>
        <v xml:space="preserve">  </v>
      </c>
      <c r="E96" s="67" t="str">
        <f t="shared" si="20"/>
        <v/>
      </c>
      <c r="F96" s="48" t="str">
        <f t="shared" si="14"/>
        <v/>
      </c>
      <c r="G96" s="48" t="str">
        <f t="shared" si="15"/>
        <v/>
      </c>
      <c r="H96" s="42" t="str" cm="1">
        <f t="array" ref="H96:J96">IFERROR(CalcUnc(K96,L96,S96,T96,V96,X96,AD96,AE96,N96:R96,Z96,AA96),"")</f>
        <v/>
      </c>
      <c r="I96" s="58" t="str">
        <v/>
      </c>
      <c r="J96" s="105" t="str">
        <v/>
      </c>
      <c r="K96" s="65"/>
      <c r="L96" s="66"/>
      <c r="M96" s="24"/>
      <c r="N96" s="60"/>
      <c r="O96" s="61"/>
      <c r="P96" s="61"/>
      <c r="Q96" s="61"/>
      <c r="R96" s="62"/>
      <c r="S96" s="69"/>
      <c r="T96" s="69"/>
      <c r="U96" s="69"/>
      <c r="V96" s="76"/>
      <c r="W96" s="71"/>
      <c r="X96" s="72"/>
      <c r="Y96" s="89" t="str" cm="1">
        <f t="array" ref="Y96">GetPolarity(X96,AE96)</f>
        <v/>
      </c>
      <c r="Z96" s="73"/>
      <c r="AA96" s="71"/>
      <c r="AB96" s="86" t="str">
        <f t="shared" si="16"/>
        <v/>
      </c>
      <c r="AC96" s="86" t="str">
        <f t="shared" si="17"/>
        <v/>
      </c>
      <c r="AD96" s="73"/>
      <c r="AE96" s="71"/>
      <c r="AF96" s="23" t="str">
        <f t="shared" si="18"/>
        <v/>
      </c>
      <c r="AG96" s="31" t="str" cm="1">
        <f t="array" ref="AG96">FilterSpecialCharacters(X96)</f>
        <v/>
      </c>
      <c r="AH96" s="90" t="str">
        <f t="shared" si="19"/>
        <v xml:space="preserve"> </v>
      </c>
    </row>
    <row r="97" spans="1:34" x14ac:dyDescent="0.25">
      <c r="A97" s="123" t="str" cm="1">
        <f t="array" ref="A97">IfEmpty(TRIM(_xlfn.CONCAT(C97:H97)),"",CRC32HASH(_xlfn.CONCAT(C97:H97)))</f>
        <v/>
      </c>
      <c r="B97" s="46" t="str">
        <f>IFERROR(VLOOKUP(J97,Table1[],2,FALSE),"")</f>
        <v/>
      </c>
      <c r="C97" s="43" t="str" cm="1">
        <f t="array" ref="C97">W97&amp;" "&amp;IfEmpty(U97,X97)</f>
        <v xml:space="preserve"> </v>
      </c>
      <c r="D97" s="44" t="str">
        <f t="shared" si="13"/>
        <v xml:space="preserve">  </v>
      </c>
      <c r="E97" s="68" t="str">
        <f t="shared" si="20"/>
        <v/>
      </c>
      <c r="F97" s="49" t="str">
        <f t="shared" si="14"/>
        <v/>
      </c>
      <c r="G97" s="49" t="str">
        <f t="shared" si="15"/>
        <v/>
      </c>
      <c r="H97" s="45" t="str" cm="1">
        <f t="array" ref="H97:J97">IFERROR(CalcUnc(K97,L97,S97,T97,V97,X97,AD97,AE97,N97:R97,Z97,AA97),"")</f>
        <v/>
      </c>
      <c r="I97" s="58" t="str">
        <v/>
      </c>
      <c r="J97" s="105" t="str">
        <v/>
      </c>
      <c r="K97" s="65"/>
      <c r="L97" s="66"/>
      <c r="M97" s="24"/>
      <c r="N97" s="60"/>
      <c r="O97" s="61"/>
      <c r="P97" s="61"/>
      <c r="Q97" s="61"/>
      <c r="R97" s="62"/>
      <c r="S97" s="69"/>
      <c r="T97" s="69"/>
      <c r="U97" s="69"/>
      <c r="V97" s="76"/>
      <c r="W97" s="71"/>
      <c r="X97" s="72"/>
      <c r="Y97" s="89" t="str" cm="1">
        <f t="array" ref="Y97">GetPolarity(X97,AE97)</f>
        <v/>
      </c>
      <c r="Z97" s="73"/>
      <c r="AA97" s="71"/>
      <c r="AB97" s="86" t="str">
        <f t="shared" si="16"/>
        <v/>
      </c>
      <c r="AC97" s="86" t="str">
        <f t="shared" si="17"/>
        <v/>
      </c>
      <c r="AD97" s="73"/>
      <c r="AE97" s="71"/>
      <c r="AF97" s="23" t="str">
        <f t="shared" si="18"/>
        <v/>
      </c>
      <c r="AG97" s="31" t="str" cm="1">
        <f t="array" ref="AG97">FilterSpecialCharacters(X97)</f>
        <v/>
      </c>
      <c r="AH97" s="90" t="str">
        <f t="shared" si="19"/>
        <v xml:space="preserve"> </v>
      </c>
    </row>
    <row r="98" spans="1:34" x14ac:dyDescent="0.25">
      <c r="A98" s="123" t="str" cm="1">
        <f t="array" ref="A98">IfEmpty(TRIM(_xlfn.CONCAT(C98:H98)),"",CRC32HASH(_xlfn.CONCAT(C98:H98)))</f>
        <v/>
      </c>
      <c r="B98" s="10" t="str">
        <f>IFERROR(VLOOKUP(J98,Table1[],2,FALSE),"")</f>
        <v/>
      </c>
      <c r="C98" s="41" t="str" cm="1">
        <f t="array" ref="C98">W98&amp;" "&amp;IfEmpty(U98,X98)</f>
        <v xml:space="preserve"> </v>
      </c>
      <c r="D98" s="50" t="str">
        <f t="shared" si="13"/>
        <v xml:space="preserve">  </v>
      </c>
      <c r="E98" s="67" t="str">
        <f t="shared" si="20"/>
        <v/>
      </c>
      <c r="F98" s="48" t="str">
        <f t="shared" si="14"/>
        <v/>
      </c>
      <c r="G98" s="48" t="str">
        <f t="shared" si="15"/>
        <v/>
      </c>
      <c r="H98" s="42" t="str" cm="1">
        <f t="array" ref="H98:J98">IFERROR(CalcUnc(K98,L98,S98,T98,V98,X98,AD98,AE98,N98:R98,Z98,AA98),"")</f>
        <v/>
      </c>
      <c r="I98" s="58" t="str">
        <v/>
      </c>
      <c r="J98" s="105" t="str">
        <v/>
      </c>
      <c r="K98" s="65"/>
      <c r="L98" s="66"/>
      <c r="M98" s="24"/>
      <c r="N98" s="60"/>
      <c r="O98" s="61"/>
      <c r="P98" s="61"/>
      <c r="Q98" s="61"/>
      <c r="R98" s="62"/>
      <c r="S98" s="69"/>
      <c r="T98" s="69"/>
      <c r="U98" s="69"/>
      <c r="V98" s="76"/>
      <c r="W98" s="71"/>
      <c r="X98" s="72"/>
      <c r="Y98" s="89" t="str" cm="1">
        <f t="array" ref="Y98">GetPolarity(X98,AE98)</f>
        <v/>
      </c>
      <c r="Z98" s="73"/>
      <c r="AA98" s="71"/>
      <c r="AB98" s="86" t="str">
        <f t="shared" si="16"/>
        <v/>
      </c>
      <c r="AC98" s="86" t="str">
        <f t="shared" si="17"/>
        <v/>
      </c>
      <c r="AD98" s="73"/>
      <c r="AE98" s="71"/>
      <c r="AF98" s="23" t="str">
        <f t="shared" si="18"/>
        <v/>
      </c>
      <c r="AG98" s="31" t="str" cm="1">
        <f t="array" ref="AG98">FilterSpecialCharacters(X98)</f>
        <v/>
      </c>
      <c r="AH98" s="90" t="str">
        <f t="shared" si="19"/>
        <v xml:space="preserve"> </v>
      </c>
    </row>
    <row r="99" spans="1:34" x14ac:dyDescent="0.25">
      <c r="A99" s="123" t="str" cm="1">
        <f t="array" ref="A99">IfEmpty(TRIM(_xlfn.CONCAT(C99:H99)),"",CRC32HASH(_xlfn.CONCAT(C99:H99)))</f>
        <v/>
      </c>
      <c r="B99" s="46" t="str">
        <f>IFERROR(VLOOKUP(J99,Table1[],2,FALSE),"")</f>
        <v/>
      </c>
      <c r="C99" s="43" t="str" cm="1">
        <f t="array" ref="C99">W99&amp;" "&amp;IfEmpty(U99,X99)</f>
        <v xml:space="preserve"> </v>
      </c>
      <c r="D99" s="44" t="str">
        <f t="shared" si="13"/>
        <v xml:space="preserve">  </v>
      </c>
      <c r="E99" s="68" t="str">
        <f t="shared" si="20"/>
        <v/>
      </c>
      <c r="F99" s="49" t="str">
        <f t="shared" si="14"/>
        <v/>
      </c>
      <c r="G99" s="49" t="str">
        <f t="shared" si="15"/>
        <v/>
      </c>
      <c r="H99" s="45" t="str" cm="1">
        <f t="array" ref="H99:J99">IFERROR(CalcUnc(K99,L99,S99,T99,V99,X99,AD99,AE99,N99:R99,Z99,AA99),"")</f>
        <v/>
      </c>
      <c r="I99" s="58" t="str">
        <v/>
      </c>
      <c r="J99" s="105" t="str">
        <v/>
      </c>
      <c r="K99" s="65"/>
      <c r="L99" s="66"/>
      <c r="M99" s="24"/>
      <c r="N99" s="60"/>
      <c r="O99" s="61"/>
      <c r="P99" s="61"/>
      <c r="Q99" s="61"/>
      <c r="R99" s="62"/>
      <c r="S99" s="69"/>
      <c r="T99" s="69"/>
      <c r="U99" s="69"/>
      <c r="V99" s="76"/>
      <c r="W99" s="71"/>
      <c r="X99" s="72"/>
      <c r="Y99" s="89" t="str" cm="1">
        <f t="array" ref="Y99">GetPolarity(X99,AE99)</f>
        <v/>
      </c>
      <c r="Z99" s="73"/>
      <c r="AA99" s="71"/>
      <c r="AB99" s="86" t="str">
        <f t="shared" si="16"/>
        <v/>
      </c>
      <c r="AC99" s="86" t="str">
        <f t="shared" si="17"/>
        <v/>
      </c>
      <c r="AD99" s="73"/>
      <c r="AE99" s="71"/>
      <c r="AF99" s="23" t="str">
        <f t="shared" si="18"/>
        <v/>
      </c>
      <c r="AG99" s="31" t="str" cm="1">
        <f t="array" ref="AG99">FilterSpecialCharacters(X99)</f>
        <v/>
      </c>
      <c r="AH99" s="90" t="str">
        <f t="shared" si="19"/>
        <v xml:space="preserve"> </v>
      </c>
    </row>
    <row r="100" spans="1:34" x14ac:dyDescent="0.25">
      <c r="A100" s="123" t="str" cm="1">
        <f t="array" ref="A100">IfEmpty(TRIM(_xlfn.CONCAT(C100:H100)),"",CRC32HASH(_xlfn.CONCAT(C100:H100)))</f>
        <v/>
      </c>
      <c r="B100" s="10" t="str">
        <f>IFERROR(VLOOKUP(J100,Table1[],2,FALSE),"")</f>
        <v/>
      </c>
      <c r="C100" s="41" t="str" cm="1">
        <f t="array" ref="C100">W100&amp;" "&amp;IfEmpty(U100,X100)</f>
        <v xml:space="preserve"> </v>
      </c>
      <c r="D100" s="50" t="str">
        <f t="shared" si="13"/>
        <v xml:space="preserve">  </v>
      </c>
      <c r="E100" s="67" t="str">
        <f t="shared" si="20"/>
        <v/>
      </c>
      <c r="F100" s="48" t="str">
        <f t="shared" si="14"/>
        <v/>
      </c>
      <c r="G100" s="48" t="str">
        <f t="shared" si="15"/>
        <v/>
      </c>
      <c r="H100" s="42" t="str" cm="1">
        <f t="array" ref="H100:J100">IFERROR(CalcUnc(K100,L100,S100,T100,V100,X100,AD100,AE100,N100:R100,Z100,AA100),"")</f>
        <v/>
      </c>
      <c r="I100" s="58" t="str">
        <v/>
      </c>
      <c r="J100" s="105" t="str">
        <v/>
      </c>
      <c r="K100" s="65"/>
      <c r="L100" s="66"/>
      <c r="M100" s="24"/>
      <c r="N100" s="60"/>
      <c r="O100" s="61"/>
      <c r="P100" s="61"/>
      <c r="Q100" s="61"/>
      <c r="R100" s="62"/>
      <c r="S100" s="69"/>
      <c r="T100" s="69"/>
      <c r="U100" s="69"/>
      <c r="V100" s="76"/>
      <c r="W100" s="71"/>
      <c r="X100" s="72"/>
      <c r="Y100" s="89" t="str" cm="1">
        <f t="array" ref="Y100">GetPolarity(X100,AE100)</f>
        <v/>
      </c>
      <c r="Z100" s="73"/>
      <c r="AA100" s="71"/>
      <c r="AB100" s="86" t="str">
        <f t="shared" si="16"/>
        <v/>
      </c>
      <c r="AC100" s="86" t="str">
        <f t="shared" si="17"/>
        <v/>
      </c>
      <c r="AD100" s="73"/>
      <c r="AE100" s="71"/>
      <c r="AF100" s="23" t="str">
        <f t="shared" si="18"/>
        <v/>
      </c>
      <c r="AG100" s="31" t="str" cm="1">
        <f t="array" ref="AG100">FilterSpecialCharacters(X100)</f>
        <v/>
      </c>
      <c r="AH100" s="90" t="str">
        <f t="shared" si="19"/>
        <v xml:space="preserve"> </v>
      </c>
    </row>
    <row r="101" spans="1:34" x14ac:dyDescent="0.25">
      <c r="A101" s="123" t="str" cm="1">
        <f t="array" ref="A101">IfEmpty(TRIM(_xlfn.CONCAT(C101:H101)),"",CRC32HASH(_xlfn.CONCAT(C101:H101)))</f>
        <v/>
      </c>
      <c r="B101" s="46" t="str">
        <f>IFERROR(VLOOKUP(J101,Table1[],2,FALSE),"")</f>
        <v/>
      </c>
      <c r="C101" s="43" t="str" cm="1">
        <f t="array" ref="C101">W101&amp;" "&amp;IfEmpty(U101,X101)</f>
        <v xml:space="preserve"> </v>
      </c>
      <c r="D101" s="44" t="str">
        <f t="shared" si="13"/>
        <v xml:space="preserve">  </v>
      </c>
      <c r="E101" s="68" t="str">
        <f t="shared" si="20"/>
        <v/>
      </c>
      <c r="F101" s="49" t="str">
        <f t="shared" si="14"/>
        <v/>
      </c>
      <c r="G101" s="49" t="str">
        <f t="shared" si="15"/>
        <v/>
      </c>
      <c r="H101" s="45" t="str" cm="1">
        <f t="array" ref="H101:J101">IFERROR(CalcUnc(K101,L101,S101,T101,V101,X101,AD101,AE101,N101:R101,Z101,AA101),"")</f>
        <v/>
      </c>
      <c r="I101" s="58" t="str">
        <v/>
      </c>
      <c r="J101" s="105" t="str">
        <v/>
      </c>
      <c r="K101" s="65"/>
      <c r="L101" s="66"/>
      <c r="M101" s="24"/>
      <c r="N101" s="60"/>
      <c r="O101" s="61"/>
      <c r="P101" s="61"/>
      <c r="Q101" s="61"/>
      <c r="R101" s="62"/>
      <c r="S101" s="69"/>
      <c r="T101" s="69"/>
      <c r="U101" s="69"/>
      <c r="V101" s="76"/>
      <c r="W101" s="71"/>
      <c r="X101" s="72"/>
      <c r="Y101" s="89" t="str" cm="1">
        <f t="array" ref="Y101">GetPolarity(X101,AE101)</f>
        <v/>
      </c>
      <c r="Z101" s="73"/>
      <c r="AA101" s="71"/>
      <c r="AB101" s="86" t="str">
        <f t="shared" si="16"/>
        <v/>
      </c>
      <c r="AC101" s="86" t="str">
        <f t="shared" si="17"/>
        <v/>
      </c>
      <c r="AD101" s="73"/>
      <c r="AE101" s="71"/>
      <c r="AF101" s="23" t="str">
        <f t="shared" si="18"/>
        <v/>
      </c>
      <c r="AG101" s="31" t="str" cm="1">
        <f t="array" ref="AG101">FilterSpecialCharacters(X101)</f>
        <v/>
      </c>
      <c r="AH101" s="90" t="str">
        <f t="shared" si="19"/>
        <v xml:space="preserve"> </v>
      </c>
    </row>
    <row r="102" spans="1:34" x14ac:dyDescent="0.25">
      <c r="A102" s="123" t="str" cm="1">
        <f t="array" ref="A102">IfEmpty(TRIM(_xlfn.CONCAT(C102:H102)),"",CRC32HASH(_xlfn.CONCAT(C102:H102)))</f>
        <v/>
      </c>
      <c r="B102" s="10" t="str">
        <f>IFERROR(VLOOKUP(J102,Table1[],2,FALSE),"")</f>
        <v/>
      </c>
      <c r="C102" s="41" t="str" cm="1">
        <f t="array" ref="C102">W102&amp;" "&amp;IfEmpty(U102,X102)</f>
        <v xml:space="preserve"> </v>
      </c>
      <c r="D102" s="50" t="str">
        <f t="shared" ref="D102:D110" si="21">IF(OR(X102="°C", X102="°F"), Z102 &amp; " " &amp; X102, IF(RIGHT(AG102,2)="Hz", AF102 &amp; " @ " &amp; Z102 &amp; AG102, Z102 &amp; " " &amp; AG102 &amp; Y102 &amp; " " &amp; AF102))</f>
        <v xml:space="preserve">  </v>
      </c>
      <c r="E102" s="67" t="str">
        <f t="shared" si="20"/>
        <v/>
      </c>
      <c r="F102" s="48" t="str">
        <f t="shared" ref="F102:F110" si="22">IF(AB102="","",AB102&amp;$AH102)</f>
        <v/>
      </c>
      <c r="G102" s="48" t="str">
        <f t="shared" ref="G102:G110" si="23">IF(AC102="","",AC102&amp;$AH102)</f>
        <v/>
      </c>
      <c r="H102" s="42" t="str" cm="1">
        <f t="array" ref="H102:J102">IFERROR(CalcUnc(K102,L102,S102,T102,V102,X102,AD102,AE102,N102:R102,Z102,AA102),"")</f>
        <v/>
      </c>
      <c r="I102" s="58" t="str">
        <v/>
      </c>
      <c r="J102" s="105" t="str">
        <v/>
      </c>
      <c r="K102" s="65"/>
      <c r="L102" s="66"/>
      <c r="M102" s="24"/>
      <c r="N102" s="60"/>
      <c r="O102" s="61"/>
      <c r="P102" s="61"/>
      <c r="Q102" s="61"/>
      <c r="R102" s="62"/>
      <c r="S102" s="69"/>
      <c r="T102" s="69"/>
      <c r="U102" s="69"/>
      <c r="V102" s="76"/>
      <c r="W102" s="71"/>
      <c r="X102" s="72"/>
      <c r="Y102" s="89" t="str" cm="1">
        <f t="array" ref="Y102">GetPolarity(X102,AE102)</f>
        <v/>
      </c>
      <c r="Z102" s="73"/>
      <c r="AA102" s="71"/>
      <c r="AB102" s="86" t="str">
        <f t="shared" ref="AB102:AB110" si="24">IF(V102&lt;&gt;"",ROUND(Z102-AA102,-LOG10(V102)),"")</f>
        <v/>
      </c>
      <c r="AC102" s="86" t="str">
        <f t="shared" ref="AC102:AC110" si="25">IF(V102&lt;&gt;"",ROUND(Z102+AA102,-LOG10(V102)),"")</f>
        <v/>
      </c>
      <c r="AD102" s="73"/>
      <c r="AE102" s="71"/>
      <c r="AF102" s="23" t="str">
        <f t="shared" si="18"/>
        <v/>
      </c>
      <c r="AG102" s="31" t="str" cm="1">
        <f t="array" ref="AG102">FilterSpecialCharacters(X102)</f>
        <v/>
      </c>
      <c r="AH102" s="90" t="str">
        <f t="shared" si="19"/>
        <v xml:space="preserve"> </v>
      </c>
    </row>
    <row r="103" spans="1:34" x14ac:dyDescent="0.25">
      <c r="A103" s="123" t="str" cm="1">
        <f t="array" ref="A103">IfEmpty(TRIM(_xlfn.CONCAT(C103:H103)),"",CRC32HASH(_xlfn.CONCAT(C103:H103)))</f>
        <v/>
      </c>
      <c r="B103" s="46" t="str">
        <f>IFERROR(VLOOKUP(J103,Table1[],2,FALSE),"")</f>
        <v/>
      </c>
      <c r="C103" s="43" t="str" cm="1">
        <f t="array" ref="C103">W103&amp;" "&amp;IfEmpty(U103,X103)</f>
        <v xml:space="preserve"> </v>
      </c>
      <c r="D103" s="44" t="str">
        <f t="shared" si="21"/>
        <v xml:space="preserve">  </v>
      </c>
      <c r="E103" s="68" t="str">
        <f t="shared" si="20"/>
        <v/>
      </c>
      <c r="F103" s="49" t="str">
        <f t="shared" si="22"/>
        <v/>
      </c>
      <c r="G103" s="49" t="str">
        <f t="shared" si="23"/>
        <v/>
      </c>
      <c r="H103" s="45" t="str" cm="1">
        <f t="array" ref="H103:J103">IFERROR(CalcUnc(K103,L103,S103,T103,V103,X103,AD103,AE103,N103:R103,Z103,AA103),"")</f>
        <v/>
      </c>
      <c r="I103" s="58" t="str">
        <v/>
      </c>
      <c r="J103" s="105" t="str">
        <v/>
      </c>
      <c r="K103" s="65"/>
      <c r="L103" s="66"/>
      <c r="M103" s="24"/>
      <c r="N103" s="60"/>
      <c r="O103" s="61"/>
      <c r="P103" s="61"/>
      <c r="Q103" s="61"/>
      <c r="R103" s="62"/>
      <c r="S103" s="69"/>
      <c r="T103" s="69"/>
      <c r="U103" s="69"/>
      <c r="V103" s="76"/>
      <c r="W103" s="71"/>
      <c r="X103" s="72"/>
      <c r="Y103" s="89" t="str" cm="1">
        <f t="array" ref="Y103">GetPolarity(X103,AE103)</f>
        <v/>
      </c>
      <c r="Z103" s="73"/>
      <c r="AA103" s="71"/>
      <c r="AB103" s="86" t="str">
        <f t="shared" si="24"/>
        <v/>
      </c>
      <c r="AC103" s="86" t="str">
        <f t="shared" si="25"/>
        <v/>
      </c>
      <c r="AD103" s="73"/>
      <c r="AE103" s="71"/>
      <c r="AF103" s="23" t="str">
        <f t="shared" si="18"/>
        <v/>
      </c>
      <c r="AG103" s="31" t="str" cm="1">
        <f t="array" ref="AG103">FilterSpecialCharacters(X103)</f>
        <v/>
      </c>
      <c r="AH103" s="90" t="str">
        <f t="shared" si="19"/>
        <v xml:space="preserve"> </v>
      </c>
    </row>
    <row r="104" spans="1:34" x14ac:dyDescent="0.25">
      <c r="A104" s="123" t="str" cm="1">
        <f t="array" ref="A104">IfEmpty(TRIM(_xlfn.CONCAT(C104:H104)),"",CRC32HASH(_xlfn.CONCAT(C104:H104)))</f>
        <v/>
      </c>
      <c r="B104" s="10" t="str">
        <f>IFERROR(VLOOKUP(J104,Table1[],2,FALSE),"")</f>
        <v/>
      </c>
      <c r="C104" s="41" t="str" cm="1">
        <f t="array" ref="C104">W104&amp;" "&amp;IfEmpty(U104,X104)</f>
        <v xml:space="preserve"> </v>
      </c>
      <c r="D104" s="50" t="str">
        <f t="shared" si="21"/>
        <v xml:space="preserve">  </v>
      </c>
      <c r="E104" s="67" t="str">
        <f t="shared" si="20"/>
        <v/>
      </c>
      <c r="F104" s="48" t="str">
        <f t="shared" si="22"/>
        <v/>
      </c>
      <c r="G104" s="48" t="str">
        <f t="shared" si="23"/>
        <v/>
      </c>
      <c r="H104" s="42" t="str" cm="1">
        <f t="array" ref="H104:J104">IFERROR(CalcUnc(K104,L104,S104,T104,V104,X104,AD104,AE104,N104:R104,Z104,AA104),"")</f>
        <v/>
      </c>
      <c r="I104" s="58" t="str">
        <v/>
      </c>
      <c r="J104" s="105" t="str">
        <v/>
      </c>
      <c r="K104" s="65"/>
      <c r="L104" s="66"/>
      <c r="M104" s="24"/>
      <c r="N104" s="60"/>
      <c r="O104" s="61"/>
      <c r="P104" s="61"/>
      <c r="Q104" s="61"/>
      <c r="R104" s="62"/>
      <c r="S104" s="69"/>
      <c r="T104" s="69"/>
      <c r="U104" s="69"/>
      <c r="V104" s="76"/>
      <c r="W104" s="71"/>
      <c r="X104" s="72"/>
      <c r="Y104" s="89" t="str" cm="1">
        <f t="array" ref="Y104">GetPolarity(X104,AE104)</f>
        <v/>
      </c>
      <c r="Z104" s="73"/>
      <c r="AA104" s="71"/>
      <c r="AB104" s="86" t="str">
        <f t="shared" si="24"/>
        <v/>
      </c>
      <c r="AC104" s="86" t="str">
        <f t="shared" si="25"/>
        <v/>
      </c>
      <c r="AD104" s="73"/>
      <c r="AE104" s="71"/>
      <c r="AF104" s="23" t="str">
        <f t="shared" si="18"/>
        <v/>
      </c>
      <c r="AG104" s="31" t="str" cm="1">
        <f t="array" ref="AG104">FilterSpecialCharacters(X104)</f>
        <v/>
      </c>
      <c r="AH104" s="90" t="str">
        <f t="shared" si="19"/>
        <v xml:space="preserve"> </v>
      </c>
    </row>
    <row r="105" spans="1:34" x14ac:dyDescent="0.25">
      <c r="A105" s="123" t="str" cm="1">
        <f t="array" ref="A105">IfEmpty(TRIM(_xlfn.CONCAT(C105:H105)),"",CRC32HASH(_xlfn.CONCAT(C105:H105)))</f>
        <v/>
      </c>
      <c r="B105" s="46" t="str">
        <f>IFERROR(VLOOKUP(J105,Table1[],2,FALSE),"")</f>
        <v/>
      </c>
      <c r="C105" s="43" t="str" cm="1">
        <f t="array" ref="C105">W105&amp;" "&amp;IfEmpty(U105,X105)</f>
        <v xml:space="preserve"> </v>
      </c>
      <c r="D105" s="44" t="str">
        <f t="shared" si="21"/>
        <v xml:space="preserve">  </v>
      </c>
      <c r="E105" s="68" t="str">
        <f t="shared" si="20"/>
        <v/>
      </c>
      <c r="F105" s="49" t="str">
        <f t="shared" si="22"/>
        <v/>
      </c>
      <c r="G105" s="49" t="str">
        <f t="shared" si="23"/>
        <v/>
      </c>
      <c r="H105" s="45" t="str" cm="1">
        <f t="array" ref="H105:J105">IFERROR(CalcUnc(K105,L105,S105,T105,V105,X105,AD105,AE105,N105:R105,Z105,AA105),"")</f>
        <v/>
      </c>
      <c r="I105" s="58" t="str">
        <v/>
      </c>
      <c r="J105" s="105" t="str">
        <v/>
      </c>
      <c r="K105" s="65"/>
      <c r="L105" s="66"/>
      <c r="M105" s="24"/>
      <c r="N105" s="60"/>
      <c r="O105" s="61"/>
      <c r="P105" s="61"/>
      <c r="Q105" s="61"/>
      <c r="R105" s="62"/>
      <c r="S105" s="69"/>
      <c r="T105" s="69"/>
      <c r="U105" s="69"/>
      <c r="V105" s="76"/>
      <c r="W105" s="71"/>
      <c r="X105" s="72"/>
      <c r="Y105" s="89" t="str" cm="1">
        <f t="array" ref="Y105">GetPolarity(X105,AE105)</f>
        <v/>
      </c>
      <c r="Z105" s="73"/>
      <c r="AA105" s="71"/>
      <c r="AB105" s="86" t="str">
        <f t="shared" si="24"/>
        <v/>
      </c>
      <c r="AC105" s="86" t="str">
        <f t="shared" si="25"/>
        <v/>
      </c>
      <c r="AD105" s="73"/>
      <c r="AE105" s="71"/>
      <c r="AF105" s="23" t="str">
        <f t="shared" si="18"/>
        <v/>
      </c>
      <c r="AG105" s="31" t="str" cm="1">
        <f t="array" ref="AG105">FilterSpecialCharacters(X105)</f>
        <v/>
      </c>
      <c r="AH105" s="90" t="str">
        <f t="shared" si="19"/>
        <v xml:space="preserve"> </v>
      </c>
    </row>
    <row r="106" spans="1:34" x14ac:dyDescent="0.25">
      <c r="A106" s="123" t="str" cm="1">
        <f t="array" ref="A106">IfEmpty(TRIM(_xlfn.CONCAT(C106:H106)),"",CRC32HASH(_xlfn.CONCAT(C106:H106)))</f>
        <v/>
      </c>
      <c r="B106" s="10" t="str">
        <f>IFERROR(VLOOKUP(J106,Table1[],2,FALSE),"")</f>
        <v/>
      </c>
      <c r="C106" s="41" t="str" cm="1">
        <f t="array" ref="C106">W106&amp;" "&amp;IfEmpty(U106,X106)</f>
        <v xml:space="preserve"> </v>
      </c>
      <c r="D106" s="50" t="str">
        <f t="shared" si="21"/>
        <v xml:space="preserve">  </v>
      </c>
      <c r="E106" s="67" t="str">
        <f t="shared" si="20"/>
        <v/>
      </c>
      <c r="F106" s="48" t="str">
        <f t="shared" si="22"/>
        <v/>
      </c>
      <c r="G106" s="48" t="str">
        <f t="shared" si="23"/>
        <v/>
      </c>
      <c r="H106" s="42" t="str" cm="1">
        <f t="array" ref="H106:J106">IFERROR(CalcUnc(K106,L106,S106,T106,V106,X106,AD106,AE106,N106:R106,Z106,AA106),"")</f>
        <v/>
      </c>
      <c r="I106" s="58" t="str">
        <v/>
      </c>
      <c r="J106" s="105" t="str">
        <v/>
      </c>
      <c r="K106" s="65"/>
      <c r="L106" s="66"/>
      <c r="M106" s="24"/>
      <c r="N106" s="60"/>
      <c r="O106" s="61"/>
      <c r="P106" s="61"/>
      <c r="Q106" s="61"/>
      <c r="R106" s="62"/>
      <c r="S106" s="69"/>
      <c r="T106" s="69"/>
      <c r="U106" s="69"/>
      <c r="V106" s="76"/>
      <c r="W106" s="71"/>
      <c r="X106" s="72"/>
      <c r="Y106" s="89" t="str" cm="1">
        <f t="array" ref="Y106">GetPolarity(X106,AE106)</f>
        <v/>
      </c>
      <c r="Z106" s="73"/>
      <c r="AA106" s="71"/>
      <c r="AB106" s="86" t="str">
        <f t="shared" si="24"/>
        <v/>
      </c>
      <c r="AC106" s="86" t="str">
        <f t="shared" si="25"/>
        <v/>
      </c>
      <c r="AD106" s="73"/>
      <c r="AE106" s="71"/>
      <c r="AF106" s="23" t="str">
        <f t="shared" si="18"/>
        <v/>
      </c>
      <c r="AG106" s="31" t="str" cm="1">
        <f t="array" ref="AG106">FilterSpecialCharacters(X106)</f>
        <v/>
      </c>
      <c r="AH106" s="90" t="str">
        <f t="shared" si="19"/>
        <v xml:space="preserve"> </v>
      </c>
    </row>
    <row r="107" spans="1:34" x14ac:dyDescent="0.25">
      <c r="A107" s="123" t="str" cm="1">
        <f t="array" ref="A107">IfEmpty(TRIM(_xlfn.CONCAT(C107:H107)),"",CRC32HASH(_xlfn.CONCAT(C107:H107)))</f>
        <v/>
      </c>
      <c r="B107" s="46" t="str">
        <f>IFERROR(VLOOKUP(J107,Table1[],2,FALSE),"")</f>
        <v/>
      </c>
      <c r="C107" s="43" t="str" cm="1">
        <f t="array" ref="C107">W107&amp;" "&amp;IfEmpty(U107,X107)</f>
        <v xml:space="preserve"> </v>
      </c>
      <c r="D107" s="44" t="str">
        <f t="shared" si="21"/>
        <v xml:space="preserve">  </v>
      </c>
      <c r="E107" s="68" t="str">
        <f t="shared" si="20"/>
        <v/>
      </c>
      <c r="F107" s="49" t="str">
        <f t="shared" si="22"/>
        <v/>
      </c>
      <c r="G107" s="49" t="str">
        <f t="shared" si="23"/>
        <v/>
      </c>
      <c r="H107" s="45" t="str" cm="1">
        <f t="array" ref="H107:J107">IFERROR(CalcUnc(K107,L107,S107,T107,V107,X107,AD107,AE107,N107:R107,Z107,AA107),"")</f>
        <v/>
      </c>
      <c r="I107" s="58" t="str">
        <v/>
      </c>
      <c r="J107" s="105" t="str">
        <v/>
      </c>
      <c r="K107" s="65"/>
      <c r="L107" s="66"/>
      <c r="M107" s="24"/>
      <c r="N107" s="60"/>
      <c r="O107" s="61"/>
      <c r="P107" s="61"/>
      <c r="Q107" s="61"/>
      <c r="R107" s="62"/>
      <c r="S107" s="69"/>
      <c r="T107" s="69"/>
      <c r="U107" s="69"/>
      <c r="V107" s="76"/>
      <c r="W107" s="71"/>
      <c r="X107" s="72"/>
      <c r="Y107" s="89" t="str" cm="1">
        <f t="array" ref="Y107">GetPolarity(X107,AE107)</f>
        <v/>
      </c>
      <c r="Z107" s="73"/>
      <c r="AA107" s="71"/>
      <c r="AB107" s="86" t="str">
        <f t="shared" si="24"/>
        <v/>
      </c>
      <c r="AC107" s="86" t="str">
        <f t="shared" si="25"/>
        <v/>
      </c>
      <c r="AD107" s="73"/>
      <c r="AE107" s="71"/>
      <c r="AF107" s="23" t="str">
        <f t="shared" si="18"/>
        <v/>
      </c>
      <c r="AG107" s="31" t="str" cm="1">
        <f t="array" ref="AG107">FilterSpecialCharacters(X107)</f>
        <v/>
      </c>
      <c r="AH107" s="90" t="str">
        <f t="shared" si="19"/>
        <v xml:space="preserve"> </v>
      </c>
    </row>
    <row r="108" spans="1:34" x14ac:dyDescent="0.25">
      <c r="A108" s="123" t="str" cm="1">
        <f t="array" ref="A108">IfEmpty(TRIM(_xlfn.CONCAT(C108:H108)),"",CRC32HASH(_xlfn.CONCAT(C108:H108)))</f>
        <v/>
      </c>
      <c r="B108" s="10" t="str">
        <f>IFERROR(VLOOKUP(J108,Table1[],2,FALSE),"")</f>
        <v/>
      </c>
      <c r="C108" s="41" t="str" cm="1">
        <f t="array" ref="C108">W108&amp;" "&amp;IfEmpty(U108,X108)</f>
        <v xml:space="preserve"> </v>
      </c>
      <c r="D108" s="50" t="str">
        <f t="shared" si="21"/>
        <v xml:space="preserve">  </v>
      </c>
      <c r="E108" s="67" t="str">
        <f t="shared" si="20"/>
        <v/>
      </c>
      <c r="F108" s="48" t="str">
        <f t="shared" si="22"/>
        <v/>
      </c>
      <c r="G108" s="48" t="str">
        <f t="shared" si="23"/>
        <v/>
      </c>
      <c r="H108" s="42" t="str" cm="1">
        <f t="array" ref="H108:J108">IFERROR(CalcUnc(K108,L108,S108,T108,V108,X108,AD108,AE108,N108:R108,Z108,AA108),"")</f>
        <v/>
      </c>
      <c r="I108" s="58" t="str">
        <v/>
      </c>
      <c r="J108" s="105" t="str">
        <v/>
      </c>
      <c r="K108" s="65"/>
      <c r="L108" s="66"/>
      <c r="M108" s="24"/>
      <c r="N108" s="60"/>
      <c r="O108" s="61"/>
      <c r="P108" s="61"/>
      <c r="Q108" s="61"/>
      <c r="R108" s="62"/>
      <c r="S108" s="69"/>
      <c r="T108" s="69"/>
      <c r="U108" s="69"/>
      <c r="V108" s="76"/>
      <c r="W108" s="71"/>
      <c r="X108" s="72"/>
      <c r="Y108" s="89" t="str" cm="1">
        <f t="array" ref="Y108">GetPolarity(X108,AE108)</f>
        <v/>
      </c>
      <c r="Z108" s="73"/>
      <c r="AA108" s="71"/>
      <c r="AB108" s="86" t="str">
        <f t="shared" si="24"/>
        <v/>
      </c>
      <c r="AC108" s="86" t="str">
        <f t="shared" si="25"/>
        <v/>
      </c>
      <c r="AD108" s="73"/>
      <c r="AE108" s="71"/>
      <c r="AF108" s="23" t="str">
        <f t="shared" si="18"/>
        <v/>
      </c>
      <c r="AG108" s="31" t="str" cm="1">
        <f t="array" ref="AG108">FilterSpecialCharacters(X108)</f>
        <v/>
      </c>
      <c r="AH108" s="90" t="str">
        <f t="shared" si="19"/>
        <v xml:space="preserve"> </v>
      </c>
    </row>
    <row r="109" spans="1:34" x14ac:dyDescent="0.25">
      <c r="A109" s="123" t="str" cm="1">
        <f t="array" ref="A109">IfEmpty(TRIM(_xlfn.CONCAT(C109:H109)),"",CRC32HASH(_xlfn.CONCAT(C109:H109)))</f>
        <v/>
      </c>
      <c r="B109" s="46" t="str">
        <f>IFERROR(VLOOKUP(J109,Table1[],2,FALSE),"")</f>
        <v/>
      </c>
      <c r="C109" s="43" t="str" cm="1">
        <f t="array" ref="C109">W109&amp;" "&amp;IfEmpty(U109,X109)</f>
        <v xml:space="preserve"> </v>
      </c>
      <c r="D109" s="44" t="str">
        <f t="shared" si="21"/>
        <v xml:space="preserve">  </v>
      </c>
      <c r="E109" s="68" t="str">
        <f t="shared" si="20"/>
        <v/>
      </c>
      <c r="F109" s="49" t="str">
        <f t="shared" si="22"/>
        <v/>
      </c>
      <c r="G109" s="49" t="str">
        <f t="shared" si="23"/>
        <v/>
      </c>
      <c r="H109" s="45" t="str" cm="1">
        <f t="array" ref="H109:J109">IFERROR(CalcUnc(K109,L109,S109,T109,V109,X109,AD109,AE109,N109:R109,Z109,AA109),"")</f>
        <v/>
      </c>
      <c r="I109" s="58" t="str">
        <v/>
      </c>
      <c r="J109" s="105" t="str">
        <v/>
      </c>
      <c r="K109" s="65"/>
      <c r="L109" s="66"/>
      <c r="M109" s="24"/>
      <c r="N109" s="60"/>
      <c r="O109" s="61"/>
      <c r="P109" s="61"/>
      <c r="Q109" s="61"/>
      <c r="R109" s="62"/>
      <c r="S109" s="69"/>
      <c r="T109" s="69"/>
      <c r="U109" s="69"/>
      <c r="V109" s="76"/>
      <c r="W109" s="71"/>
      <c r="X109" s="72"/>
      <c r="Y109" s="89" t="str" cm="1">
        <f t="array" ref="Y109">GetPolarity(X109,AE109)</f>
        <v/>
      </c>
      <c r="Z109" s="73"/>
      <c r="AA109" s="71"/>
      <c r="AB109" s="86" t="str">
        <f t="shared" si="24"/>
        <v/>
      </c>
      <c r="AC109" s="86" t="str">
        <f t="shared" si="25"/>
        <v/>
      </c>
      <c r="AD109" s="73"/>
      <c r="AE109" s="71"/>
      <c r="AF109" s="23" t="str">
        <f t="shared" si="18"/>
        <v/>
      </c>
      <c r="AG109" s="31" t="str" cm="1">
        <f t="array" ref="AG109">FilterSpecialCharacters(X109)</f>
        <v/>
      </c>
      <c r="AH109" s="90" t="str">
        <f t="shared" si="19"/>
        <v xml:space="preserve"> </v>
      </c>
    </row>
    <row r="110" spans="1:34" x14ac:dyDescent="0.25">
      <c r="A110" s="123" t="str" cm="1">
        <f t="array" ref="A110">IfEmpty(TRIM(_xlfn.CONCAT(C110:H110)),"",CRC32HASH(_xlfn.CONCAT(C110:H110)))</f>
        <v/>
      </c>
      <c r="B110" s="10" t="str">
        <f>IFERROR(VLOOKUP(J110,Table1[],2,FALSE),"")</f>
        <v/>
      </c>
      <c r="C110" s="41" t="str" cm="1">
        <f t="array" ref="C110">W110&amp;" "&amp;IfEmpty(U110,X110)</f>
        <v xml:space="preserve"> </v>
      </c>
      <c r="D110" s="50" t="str">
        <f t="shared" si="21"/>
        <v xml:space="preserve">  </v>
      </c>
      <c r="E110" s="67" t="str">
        <f t="shared" si="20"/>
        <v/>
      </c>
      <c r="F110" s="48" t="str">
        <f t="shared" si="22"/>
        <v/>
      </c>
      <c r="G110" s="48" t="str">
        <f t="shared" si="23"/>
        <v/>
      </c>
      <c r="H110" s="42" t="str" cm="1">
        <f t="array" ref="H110:J110">IFERROR(CalcUnc(K110,L110,S110,T110,V110,X110,AD110,AE110,N110:R110,Z110,AA110),"")</f>
        <v/>
      </c>
      <c r="I110" s="58" t="str">
        <v/>
      </c>
      <c r="J110" s="105" t="str">
        <v/>
      </c>
      <c r="K110" s="65"/>
      <c r="L110" s="66"/>
      <c r="M110" s="81"/>
      <c r="N110" s="82"/>
      <c r="O110" s="83"/>
      <c r="P110" s="83"/>
      <c r="Q110" s="83"/>
      <c r="R110" s="84"/>
      <c r="S110" s="69"/>
      <c r="T110" s="69"/>
      <c r="U110" s="69"/>
      <c r="V110" s="76"/>
      <c r="W110" s="71"/>
      <c r="X110" s="72"/>
      <c r="Y110" s="89" t="str" cm="1">
        <f t="array" ref="Y110">GetPolarity(X110,AE110)</f>
        <v/>
      </c>
      <c r="Z110" s="73"/>
      <c r="AA110" s="71"/>
      <c r="AB110" s="86" t="str">
        <f t="shared" si="24"/>
        <v/>
      </c>
      <c r="AC110" s="86" t="str">
        <f t="shared" si="25"/>
        <v/>
      </c>
      <c r="AD110" s="73"/>
      <c r="AE110" s="71"/>
      <c r="AF110" s="23" t="str">
        <f t="shared" si="18"/>
        <v/>
      </c>
      <c r="AG110" s="31" t="str" cm="1">
        <f t="array" ref="AG110">FilterSpecialCharacters(X110)</f>
        <v/>
      </c>
      <c r="AH110" s="90" t="str">
        <f t="shared" si="19"/>
        <v xml:space="preserve"> </v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25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"Bond,Insulation,meas"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workbookViewId="0">
      <selection activeCell="J11" sqref="J11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0.7109375" bestFit="1" customWidth="1"/>
    <col min="4" max="4" width="11.5703125" customWidth="1"/>
    <col min="5" max="5" width="12.140625" customWidth="1"/>
    <col min="6" max="6" width="12.42578125" customWidth="1"/>
    <col min="7" max="7" width="16.7109375" customWidth="1"/>
    <col min="8" max="8" width="12.42578125" customWidth="1"/>
  </cols>
  <sheetData>
    <row r="1" spans="1:8" x14ac:dyDescent="0.25">
      <c r="A1" s="116" t="s">
        <v>0</v>
      </c>
      <c r="B1" s="116" t="s">
        <v>29</v>
      </c>
      <c r="C1" s="116" t="s">
        <v>120</v>
      </c>
      <c r="D1" s="116" t="s">
        <v>121</v>
      </c>
      <c r="E1" s="116" t="s">
        <v>122</v>
      </c>
      <c r="F1" s="116" t="s">
        <v>136</v>
      </c>
      <c r="G1" s="116" t="s">
        <v>137</v>
      </c>
      <c r="H1" s="116" t="s">
        <v>1928</v>
      </c>
    </row>
    <row r="2" spans="1:8" x14ac:dyDescent="0.25">
      <c r="A2" s="116" t="s">
        <v>3</v>
      </c>
      <c r="B2" s="116" t="s">
        <v>101</v>
      </c>
      <c r="C2" s="116"/>
      <c r="D2" s="116"/>
      <c r="E2" s="116"/>
      <c r="F2" s="116" t="s">
        <v>6</v>
      </c>
      <c r="G2" s="116"/>
      <c r="H2" s="116" t="s">
        <v>2164</v>
      </c>
    </row>
    <row r="3" spans="1:8" x14ac:dyDescent="0.25">
      <c r="A3" s="116" t="s">
        <v>43</v>
      </c>
      <c r="B3" s="116" t="s">
        <v>103</v>
      </c>
      <c r="C3" s="116"/>
      <c r="D3" s="116"/>
      <c r="E3" s="116"/>
      <c r="F3" s="116" t="s">
        <v>13</v>
      </c>
      <c r="G3" s="116"/>
      <c r="H3" s="116" t="s">
        <v>2164</v>
      </c>
    </row>
    <row r="4" spans="1:8" x14ac:dyDescent="0.25">
      <c r="A4" s="116" t="s">
        <v>55</v>
      </c>
      <c r="B4" s="116" t="s">
        <v>103</v>
      </c>
      <c r="C4" s="116"/>
      <c r="D4" s="116" t="s">
        <v>123</v>
      </c>
      <c r="E4" s="116"/>
      <c r="F4" s="116" t="s">
        <v>13</v>
      </c>
      <c r="G4" s="116"/>
      <c r="H4" s="116" t="s">
        <v>2164</v>
      </c>
    </row>
    <row r="5" spans="1:8" x14ac:dyDescent="0.25">
      <c r="A5" s="116" t="s">
        <v>56</v>
      </c>
      <c r="B5" s="116" t="s">
        <v>103</v>
      </c>
      <c r="C5" s="116"/>
      <c r="D5" s="116" t="s">
        <v>124</v>
      </c>
      <c r="E5" s="116"/>
      <c r="F5" s="116" t="s">
        <v>13</v>
      </c>
      <c r="G5" s="116"/>
      <c r="H5" s="116" t="s">
        <v>2164</v>
      </c>
    </row>
    <row r="6" spans="1:8" x14ac:dyDescent="0.25">
      <c r="A6" s="116" t="s">
        <v>57</v>
      </c>
      <c r="B6" s="116" t="s">
        <v>103</v>
      </c>
      <c r="C6" s="116"/>
      <c r="D6" s="116" t="s">
        <v>125</v>
      </c>
      <c r="E6" s="116"/>
      <c r="F6" s="116" t="s">
        <v>13</v>
      </c>
      <c r="G6" s="116"/>
      <c r="H6" s="116" t="s">
        <v>2164</v>
      </c>
    </row>
    <row r="7" spans="1:8" x14ac:dyDescent="0.25">
      <c r="A7" s="116" t="s">
        <v>7</v>
      </c>
      <c r="B7" s="116" t="s">
        <v>7</v>
      </c>
      <c r="C7" s="116"/>
      <c r="D7" s="116"/>
      <c r="E7" s="116"/>
      <c r="F7" s="116" t="s">
        <v>99</v>
      </c>
      <c r="G7" s="116"/>
      <c r="H7" s="116" t="s">
        <v>2165</v>
      </c>
    </row>
    <row r="8" spans="1:8" x14ac:dyDescent="0.25">
      <c r="A8" s="116" t="s">
        <v>8</v>
      </c>
      <c r="B8" s="116" t="s">
        <v>100</v>
      </c>
      <c r="C8" s="116"/>
      <c r="D8" s="116"/>
      <c r="E8" s="116"/>
      <c r="F8" s="116" t="s">
        <v>6</v>
      </c>
      <c r="G8" s="116" t="s">
        <v>10</v>
      </c>
      <c r="H8" s="116" t="s">
        <v>2166</v>
      </c>
    </row>
    <row r="9" spans="1:8" x14ac:dyDescent="0.25">
      <c r="A9" s="116" t="s">
        <v>17</v>
      </c>
      <c r="B9" s="116" t="s">
        <v>17</v>
      </c>
      <c r="C9" s="116"/>
      <c r="D9" s="116"/>
      <c r="E9" s="116"/>
      <c r="F9" s="116" t="s">
        <v>9</v>
      </c>
      <c r="G9" s="116"/>
      <c r="H9" s="116" t="s">
        <v>2165</v>
      </c>
    </row>
    <row r="10" spans="1:8" x14ac:dyDescent="0.25">
      <c r="A10" s="116" t="s">
        <v>44</v>
      </c>
      <c r="B10" s="116" t="s">
        <v>102</v>
      </c>
      <c r="C10" s="116"/>
      <c r="D10" s="116"/>
      <c r="E10" s="116"/>
      <c r="F10" s="116" t="s">
        <v>13</v>
      </c>
      <c r="G10" s="116" t="s">
        <v>10</v>
      </c>
      <c r="H10" s="116" t="s">
        <v>2166</v>
      </c>
    </row>
    <row r="11" spans="1:8" x14ac:dyDescent="0.25">
      <c r="A11" s="116" t="s">
        <v>58</v>
      </c>
      <c r="B11" s="116" t="s">
        <v>102</v>
      </c>
      <c r="C11" s="116"/>
      <c r="D11" s="116" t="s">
        <v>123</v>
      </c>
      <c r="E11" s="116"/>
      <c r="F11" s="116" t="s">
        <v>13</v>
      </c>
      <c r="G11" s="116" t="s">
        <v>10</v>
      </c>
      <c r="H11" s="116" t="s">
        <v>2166</v>
      </c>
    </row>
    <row r="12" spans="1:8" x14ac:dyDescent="0.25">
      <c r="A12" s="116" t="s">
        <v>59</v>
      </c>
      <c r="B12" s="116" t="s">
        <v>102</v>
      </c>
      <c r="C12" s="116"/>
      <c r="D12" s="116" t="s">
        <v>124</v>
      </c>
      <c r="E12" s="116"/>
      <c r="F12" s="116" t="s">
        <v>13</v>
      </c>
      <c r="G12" s="116" t="s">
        <v>10</v>
      </c>
      <c r="H12" s="116" t="s">
        <v>2166</v>
      </c>
    </row>
    <row r="13" spans="1:8" x14ac:dyDescent="0.25">
      <c r="A13" s="116" t="s">
        <v>60</v>
      </c>
      <c r="B13" s="116" t="s">
        <v>102</v>
      </c>
      <c r="C13" s="116"/>
      <c r="D13" s="116" t="s">
        <v>125</v>
      </c>
      <c r="E13" s="116"/>
      <c r="F13" s="116" t="s">
        <v>13</v>
      </c>
      <c r="G13" s="116" t="s">
        <v>10</v>
      </c>
      <c r="H13" s="116" t="s">
        <v>2166</v>
      </c>
    </row>
    <row r="14" spans="1:8" x14ac:dyDescent="0.25">
      <c r="A14" s="116" t="s">
        <v>14</v>
      </c>
      <c r="B14" s="116" t="s">
        <v>14</v>
      </c>
      <c r="C14" s="116"/>
      <c r="D14" s="116"/>
      <c r="E14" s="116"/>
      <c r="F14" s="116" t="s">
        <v>106</v>
      </c>
      <c r="G14" s="116"/>
      <c r="H14" s="116" t="s">
        <v>2165</v>
      </c>
    </row>
    <row r="15" spans="1:8" x14ac:dyDescent="0.25">
      <c r="A15" s="116" t="s">
        <v>88</v>
      </c>
      <c r="B15" s="116" t="s">
        <v>104</v>
      </c>
      <c r="C15" s="116"/>
      <c r="D15" s="116"/>
      <c r="E15" s="116" t="s">
        <v>126</v>
      </c>
      <c r="F15" s="116" t="s">
        <v>23</v>
      </c>
      <c r="G15" s="116"/>
      <c r="H15" s="116" t="s">
        <v>2165</v>
      </c>
    </row>
    <row r="16" spans="1:8" x14ac:dyDescent="0.25">
      <c r="A16" s="116" t="s">
        <v>87</v>
      </c>
      <c r="B16" s="116" t="s">
        <v>104</v>
      </c>
      <c r="C16" s="116"/>
      <c r="D16" s="116"/>
      <c r="E16" s="116" t="s">
        <v>127</v>
      </c>
      <c r="F16" s="116" t="s">
        <v>23</v>
      </c>
      <c r="G16" s="116"/>
      <c r="H16" s="116" t="s">
        <v>2165</v>
      </c>
    </row>
    <row r="17" spans="1:8" x14ac:dyDescent="0.25">
      <c r="A17" s="116" t="s">
        <v>86</v>
      </c>
      <c r="B17" s="116" t="s">
        <v>104</v>
      </c>
      <c r="C17" s="116"/>
      <c r="D17" s="116"/>
      <c r="E17" s="116" t="s">
        <v>105</v>
      </c>
      <c r="F17" s="116" t="s">
        <v>23</v>
      </c>
      <c r="G17" s="116"/>
      <c r="H17" s="116" t="s">
        <v>2165</v>
      </c>
    </row>
    <row r="18" spans="1:8" x14ac:dyDescent="0.25">
      <c r="A18" s="116" t="s">
        <v>89</v>
      </c>
      <c r="B18" s="116" t="s">
        <v>104</v>
      </c>
      <c r="C18" s="116"/>
      <c r="D18" s="116"/>
      <c r="E18" s="116" t="s">
        <v>128</v>
      </c>
      <c r="F18" s="116" t="s">
        <v>23</v>
      </c>
      <c r="G18" s="116"/>
      <c r="H18" s="116" t="s">
        <v>2165</v>
      </c>
    </row>
    <row r="19" spans="1:8" x14ac:dyDescent="0.25">
      <c r="A19" s="116" t="s">
        <v>90</v>
      </c>
      <c r="B19" s="116" t="s">
        <v>104</v>
      </c>
      <c r="C19" s="116"/>
      <c r="D19" s="116"/>
      <c r="E19" s="116" t="s">
        <v>129</v>
      </c>
      <c r="F19" s="116" t="s">
        <v>23</v>
      </c>
      <c r="G19" s="116"/>
      <c r="H19" s="116" t="s">
        <v>2165</v>
      </c>
    </row>
    <row r="20" spans="1:8" x14ac:dyDescent="0.25">
      <c r="A20" s="116" t="s">
        <v>91</v>
      </c>
      <c r="B20" s="116" t="s">
        <v>104</v>
      </c>
      <c r="C20" s="116"/>
      <c r="D20" s="116"/>
      <c r="E20" s="116" t="s">
        <v>130</v>
      </c>
      <c r="F20" s="116" t="s">
        <v>23</v>
      </c>
      <c r="G20" s="116"/>
      <c r="H20" s="116" t="s">
        <v>2165</v>
      </c>
    </row>
    <row r="21" spans="1:8" x14ac:dyDescent="0.25">
      <c r="A21" s="116" t="s">
        <v>92</v>
      </c>
      <c r="B21" s="116" t="s">
        <v>104</v>
      </c>
      <c r="C21" s="116"/>
      <c r="D21" s="116"/>
      <c r="E21" s="116" t="s">
        <v>131</v>
      </c>
      <c r="F21" s="116" t="s">
        <v>23</v>
      </c>
      <c r="G21" s="116"/>
      <c r="H21" s="116" t="s">
        <v>2165</v>
      </c>
    </row>
    <row r="22" spans="1:8" x14ac:dyDescent="0.25">
      <c r="A22" s="116" t="s">
        <v>93</v>
      </c>
      <c r="B22" s="116" t="s">
        <v>104</v>
      </c>
      <c r="C22" s="116"/>
      <c r="D22" s="116"/>
      <c r="E22" s="116" t="s">
        <v>132</v>
      </c>
      <c r="F22" s="116" t="s">
        <v>23</v>
      </c>
      <c r="G22" s="116"/>
      <c r="H22" s="116" t="s">
        <v>2165</v>
      </c>
    </row>
    <row r="23" spans="1:8" x14ac:dyDescent="0.25">
      <c r="A23" s="116" t="s">
        <v>94</v>
      </c>
      <c r="B23" s="116" t="s">
        <v>104</v>
      </c>
      <c r="C23" s="116"/>
      <c r="D23" s="116"/>
      <c r="E23" s="116" t="s">
        <v>133</v>
      </c>
      <c r="F23" s="116" t="s">
        <v>23</v>
      </c>
      <c r="G23" s="116"/>
      <c r="H23" s="116" t="s">
        <v>2165</v>
      </c>
    </row>
    <row r="24" spans="1:8" x14ac:dyDescent="0.25">
      <c r="A24" s="116" t="s">
        <v>77</v>
      </c>
      <c r="B24" s="116" t="s">
        <v>104</v>
      </c>
      <c r="C24" s="116"/>
      <c r="D24" s="116"/>
      <c r="E24" s="116" t="s">
        <v>126</v>
      </c>
      <c r="F24" s="116" t="s">
        <v>26</v>
      </c>
      <c r="G24" s="116"/>
      <c r="H24" s="116" t="s">
        <v>2165</v>
      </c>
    </row>
    <row r="25" spans="1:8" x14ac:dyDescent="0.25">
      <c r="A25" s="116" t="s">
        <v>78</v>
      </c>
      <c r="B25" s="116" t="s">
        <v>104</v>
      </c>
      <c r="C25" s="116"/>
      <c r="D25" s="116"/>
      <c r="E25" s="116" t="s">
        <v>127</v>
      </c>
      <c r="F25" s="116" t="s">
        <v>26</v>
      </c>
      <c r="G25" s="116"/>
      <c r="H25" s="116" t="s">
        <v>2165</v>
      </c>
    </row>
    <row r="26" spans="1:8" x14ac:dyDescent="0.25">
      <c r="A26" s="116" t="s">
        <v>79</v>
      </c>
      <c r="B26" s="116" t="s">
        <v>104</v>
      </c>
      <c r="C26" s="116"/>
      <c r="D26" s="116"/>
      <c r="E26" s="116" t="s">
        <v>105</v>
      </c>
      <c r="F26" s="116" t="s">
        <v>26</v>
      </c>
      <c r="G26" s="116"/>
      <c r="H26" s="116" t="s">
        <v>2165</v>
      </c>
    </row>
    <row r="27" spans="1:8" x14ac:dyDescent="0.25">
      <c r="A27" s="116" t="s">
        <v>80</v>
      </c>
      <c r="B27" s="116" t="s">
        <v>104</v>
      </c>
      <c r="C27" s="116"/>
      <c r="D27" s="116"/>
      <c r="E27" s="116" t="s">
        <v>128</v>
      </c>
      <c r="F27" s="116" t="s">
        <v>26</v>
      </c>
      <c r="G27" s="116"/>
      <c r="H27" s="116" t="s">
        <v>2165</v>
      </c>
    </row>
    <row r="28" spans="1:8" x14ac:dyDescent="0.25">
      <c r="A28" s="116" t="s">
        <v>81</v>
      </c>
      <c r="B28" s="116" t="s">
        <v>104</v>
      </c>
      <c r="C28" s="116"/>
      <c r="D28" s="116"/>
      <c r="E28" s="116" t="s">
        <v>129</v>
      </c>
      <c r="F28" s="116" t="s">
        <v>26</v>
      </c>
      <c r="G28" s="116"/>
      <c r="H28" s="116" t="s">
        <v>2165</v>
      </c>
    </row>
    <row r="29" spans="1:8" x14ac:dyDescent="0.25">
      <c r="A29" s="116" t="s">
        <v>82</v>
      </c>
      <c r="B29" s="116" t="s">
        <v>104</v>
      </c>
      <c r="C29" s="116"/>
      <c r="D29" s="116"/>
      <c r="E29" s="116" t="s">
        <v>130</v>
      </c>
      <c r="F29" s="116" t="s">
        <v>26</v>
      </c>
      <c r="G29" s="116"/>
      <c r="H29" s="116" t="s">
        <v>2165</v>
      </c>
    </row>
    <row r="30" spans="1:8" x14ac:dyDescent="0.25">
      <c r="A30" s="116" t="s">
        <v>83</v>
      </c>
      <c r="B30" s="116" t="s">
        <v>104</v>
      </c>
      <c r="C30" s="116"/>
      <c r="D30" s="116"/>
      <c r="E30" s="116" t="s">
        <v>131</v>
      </c>
      <c r="F30" s="116" t="s">
        <v>26</v>
      </c>
      <c r="G30" s="116"/>
      <c r="H30" s="116" t="s">
        <v>2165</v>
      </c>
    </row>
    <row r="31" spans="1:8" x14ac:dyDescent="0.25">
      <c r="A31" s="116" t="s">
        <v>84</v>
      </c>
      <c r="B31" s="116" t="s">
        <v>104</v>
      </c>
      <c r="C31" s="116"/>
      <c r="D31" s="116"/>
      <c r="E31" s="116" t="s">
        <v>132</v>
      </c>
      <c r="F31" s="116" t="s">
        <v>26</v>
      </c>
      <c r="G31" s="116"/>
      <c r="H31" s="116" t="s">
        <v>2165</v>
      </c>
    </row>
    <row r="32" spans="1:8" x14ac:dyDescent="0.25">
      <c r="A32" s="116" t="s">
        <v>85</v>
      </c>
      <c r="B32" s="116" t="s">
        <v>104</v>
      </c>
      <c r="C32" s="116"/>
      <c r="D32" s="116"/>
      <c r="E32" s="116" t="s">
        <v>133</v>
      </c>
      <c r="F32" s="116" t="s">
        <v>26</v>
      </c>
      <c r="G32" s="116"/>
      <c r="H32" s="116" t="s">
        <v>2165</v>
      </c>
    </row>
    <row r="33" spans="1:8" x14ac:dyDescent="0.25">
      <c r="A33" s="116" t="s">
        <v>95</v>
      </c>
      <c r="B33" s="116" t="s">
        <v>2036</v>
      </c>
      <c r="C33" s="116"/>
      <c r="D33" s="116"/>
      <c r="E33" s="116"/>
      <c r="F33" s="116" t="s">
        <v>118</v>
      </c>
      <c r="G33" s="116"/>
      <c r="H33" s="116" t="s">
        <v>2164</v>
      </c>
    </row>
    <row r="34" spans="1:8" x14ac:dyDescent="0.25">
      <c r="A34" s="116" t="s">
        <v>96</v>
      </c>
      <c r="B34" s="116" t="s">
        <v>2037</v>
      </c>
      <c r="C34" s="116"/>
      <c r="D34" s="116"/>
      <c r="E34" s="116"/>
      <c r="F34" s="116" t="s">
        <v>97</v>
      </c>
      <c r="G34" s="116"/>
      <c r="H34" s="116" t="s">
        <v>2166</v>
      </c>
    </row>
    <row r="35" spans="1:8" x14ac:dyDescent="0.25">
      <c r="A35" s="116" t="s">
        <v>66</v>
      </c>
      <c r="B35" s="116" t="s">
        <v>2039</v>
      </c>
      <c r="C35" s="116" t="s">
        <v>134</v>
      </c>
      <c r="D35" s="116"/>
      <c r="E35" s="116"/>
      <c r="F35" s="116" t="s">
        <v>6</v>
      </c>
      <c r="G35" s="116"/>
      <c r="H35" s="116" t="s">
        <v>2164</v>
      </c>
    </row>
    <row r="36" spans="1:8" x14ac:dyDescent="0.25">
      <c r="A36" s="116" t="s">
        <v>69</v>
      </c>
      <c r="B36" s="116" t="s">
        <v>119</v>
      </c>
      <c r="C36" s="116" t="s">
        <v>119</v>
      </c>
      <c r="D36" s="116"/>
      <c r="E36" s="116"/>
      <c r="F36" s="116" t="s">
        <v>6</v>
      </c>
      <c r="G36" s="116"/>
      <c r="H36" s="116" t="s">
        <v>2164</v>
      </c>
    </row>
    <row r="37" spans="1:8" x14ac:dyDescent="0.25">
      <c r="A37" s="116" t="s">
        <v>70</v>
      </c>
      <c r="B37" s="116" t="s">
        <v>2038</v>
      </c>
      <c r="C37" s="116" t="s">
        <v>119</v>
      </c>
      <c r="D37" s="116"/>
      <c r="E37" s="116"/>
      <c r="F37" s="116" t="s">
        <v>99</v>
      </c>
      <c r="G37" s="116"/>
      <c r="H37" s="116" t="s">
        <v>2165</v>
      </c>
    </row>
    <row r="38" spans="1:8" x14ac:dyDescent="0.25">
      <c r="A38" s="116" t="s">
        <v>71</v>
      </c>
      <c r="B38" s="116" t="s">
        <v>2040</v>
      </c>
      <c r="C38" s="116" t="s">
        <v>135</v>
      </c>
      <c r="D38" s="116"/>
      <c r="E38" s="116" t="s">
        <v>127</v>
      </c>
      <c r="F38" s="116"/>
      <c r="G38" s="116"/>
      <c r="H38" s="116" t="s">
        <v>2165</v>
      </c>
    </row>
    <row r="39" spans="1:8" x14ac:dyDescent="0.25">
      <c r="A39" s="116" t="s">
        <v>72</v>
      </c>
      <c r="B39" s="116" t="s">
        <v>2040</v>
      </c>
      <c r="C39" s="116" t="s">
        <v>135</v>
      </c>
      <c r="D39" s="116"/>
      <c r="E39" s="116" t="s">
        <v>105</v>
      </c>
      <c r="F39" s="116"/>
      <c r="G39" s="116"/>
      <c r="H39" s="116" t="s">
        <v>2165</v>
      </c>
    </row>
    <row r="40" spans="1:8" x14ac:dyDescent="0.25">
      <c r="A40" s="116" t="s">
        <v>73</v>
      </c>
      <c r="B40" s="116" t="s">
        <v>2040</v>
      </c>
      <c r="C40" s="116" t="s">
        <v>135</v>
      </c>
      <c r="D40" s="116"/>
      <c r="E40" s="116" t="s">
        <v>128</v>
      </c>
      <c r="F40" s="116"/>
      <c r="G40" s="116"/>
      <c r="H40" s="116" t="s">
        <v>2165</v>
      </c>
    </row>
    <row r="41" spans="1:8" x14ac:dyDescent="0.25">
      <c r="A41" s="116" t="s">
        <v>74</v>
      </c>
      <c r="B41" s="116" t="s">
        <v>2040</v>
      </c>
      <c r="C41" s="116" t="s">
        <v>135</v>
      </c>
      <c r="D41" s="116"/>
      <c r="E41" s="116" t="s">
        <v>129</v>
      </c>
      <c r="F41" s="116"/>
      <c r="G41" s="116"/>
      <c r="H41" s="116" t="s">
        <v>2165</v>
      </c>
    </row>
    <row r="42" spans="1:8" x14ac:dyDescent="0.25">
      <c r="A42" s="116" t="s">
        <v>75</v>
      </c>
      <c r="B42" s="116" t="s">
        <v>2040</v>
      </c>
      <c r="C42" s="116" t="s">
        <v>135</v>
      </c>
      <c r="D42" s="116"/>
      <c r="E42" s="116" t="s">
        <v>130</v>
      </c>
      <c r="F42" s="116"/>
      <c r="G42" s="116"/>
      <c r="H42" s="116" t="s">
        <v>2165</v>
      </c>
    </row>
    <row r="43" spans="1:8" x14ac:dyDescent="0.25">
      <c r="A43" s="116" t="s">
        <v>76</v>
      </c>
      <c r="B43" s="116" t="s">
        <v>2040</v>
      </c>
      <c r="C43" s="116" t="s">
        <v>135</v>
      </c>
      <c r="D43" s="116"/>
      <c r="E43" s="116" t="s">
        <v>131</v>
      </c>
      <c r="F43" s="116"/>
      <c r="G43" s="116"/>
      <c r="H43" s="116" t="s">
        <v>2165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abSelected="1" zoomScaleNormal="100" workbookViewId="0">
      <selection activeCell="G17" sqref="G17"/>
    </sheetView>
  </sheetViews>
  <sheetFormatPr defaultRowHeight="15" x14ac:dyDescent="0.25"/>
  <cols>
    <col min="1" max="1" width="11.140625" style="63" bestFit="1" customWidth="1"/>
    <col min="2" max="2" width="14.140625" style="63" bestFit="1" customWidth="1"/>
    <col min="3" max="3" width="14.28515625" style="63" bestFit="1" customWidth="1"/>
    <col min="4" max="4" width="14.7109375" style="63" bestFit="1" customWidth="1"/>
    <col min="5" max="5" width="12" style="63" bestFit="1" customWidth="1"/>
    <col min="6" max="6" width="13.85546875" style="63" bestFit="1" customWidth="1"/>
    <col min="7" max="7" width="15" style="63" bestFit="1" customWidth="1"/>
    <col min="8" max="8" width="14.28515625" style="63" bestFit="1" customWidth="1"/>
    <col min="9" max="9" width="14.7109375" style="63" bestFit="1" customWidth="1"/>
    <col min="10" max="10" width="15.5703125" style="63" bestFit="1" customWidth="1"/>
    <col min="11" max="14" width="12" style="63" bestFit="1" customWidth="1"/>
    <col min="15" max="15" width="10.42578125" style="64" bestFit="1" customWidth="1"/>
  </cols>
  <sheetData>
    <row r="1" spans="1:15" x14ac:dyDescent="0.25">
      <c r="A1" t="s">
        <v>139</v>
      </c>
      <c r="B1" t="s">
        <v>54</v>
      </c>
      <c r="C1" t="s">
        <v>0</v>
      </c>
      <c r="D1" t="s">
        <v>107</v>
      </c>
      <c r="E1" t="s">
        <v>108</v>
      </c>
      <c r="F1" t="s">
        <v>1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19</v>
      </c>
      <c r="M1" t="s">
        <v>2</v>
      </c>
      <c r="N1" t="s">
        <v>114</v>
      </c>
      <c r="O1" s="64" t="s">
        <v>115</v>
      </c>
    </row>
    <row r="2" spans="1:15" x14ac:dyDescent="0.25">
      <c r="A2" s="112" t="s">
        <v>140</v>
      </c>
      <c r="B2" s="113" t="s">
        <v>53</v>
      </c>
      <c r="C2" s="113" t="s">
        <v>66</v>
      </c>
      <c r="D2" s="113">
        <v>0</v>
      </c>
      <c r="E2" s="113">
        <v>1E-3</v>
      </c>
      <c r="F2" s="113">
        <v>1E-8</v>
      </c>
      <c r="G2" s="113" t="s">
        <v>6</v>
      </c>
      <c r="H2" s="113" t="s">
        <v>5</v>
      </c>
      <c r="I2" s="113">
        <v>0</v>
      </c>
      <c r="J2" s="113">
        <v>0</v>
      </c>
      <c r="K2" s="113"/>
      <c r="L2" s="113">
        <v>0.62</v>
      </c>
      <c r="M2" s="113">
        <v>4.5</v>
      </c>
      <c r="N2" s="113">
        <v>2.7845000000000002E-2</v>
      </c>
      <c r="O2" s="64">
        <v>71.95</v>
      </c>
    </row>
    <row r="3" spans="1:15" x14ac:dyDescent="0.25">
      <c r="A3" s="114" t="s">
        <v>146</v>
      </c>
      <c r="B3" s="63" t="s">
        <v>53</v>
      </c>
      <c r="C3" s="63" t="s">
        <v>66</v>
      </c>
      <c r="D3" s="63">
        <v>1E-3</v>
      </c>
      <c r="E3" s="63">
        <v>0.01</v>
      </c>
      <c r="F3" s="63">
        <v>1E-8</v>
      </c>
      <c r="G3" s="63" t="s">
        <v>6</v>
      </c>
      <c r="H3" s="63" t="s">
        <v>5</v>
      </c>
      <c r="I3" s="63">
        <v>0</v>
      </c>
      <c r="J3" s="63">
        <v>0</v>
      </c>
      <c r="L3" s="63">
        <v>0.62</v>
      </c>
      <c r="M3" s="63">
        <v>4.5</v>
      </c>
      <c r="N3" s="63">
        <v>6.0671999999999997E-2</v>
      </c>
      <c r="O3" s="64">
        <v>48.506</v>
      </c>
    </row>
    <row r="4" spans="1:15" x14ac:dyDescent="0.25">
      <c r="A4" s="114" t="s">
        <v>141</v>
      </c>
      <c r="B4" s="63" t="s">
        <v>53</v>
      </c>
      <c r="C4" s="63" t="s">
        <v>66</v>
      </c>
      <c r="D4" s="63">
        <v>0</v>
      </c>
      <c r="E4" s="63">
        <v>1E-3</v>
      </c>
      <c r="F4" s="63">
        <v>9.9999999999999995E-8</v>
      </c>
      <c r="G4" s="63" t="s">
        <v>6</v>
      </c>
      <c r="H4" s="63" t="s">
        <v>5</v>
      </c>
      <c r="I4" s="63">
        <v>0</v>
      </c>
      <c r="J4" s="63">
        <v>0</v>
      </c>
      <c r="L4" s="63">
        <v>0.62</v>
      </c>
      <c r="M4" s="63">
        <v>4.5</v>
      </c>
      <c r="N4" s="63">
        <v>6.2206999999999998E-2</v>
      </c>
      <c r="O4" s="64">
        <v>53.073</v>
      </c>
    </row>
    <row r="5" spans="1:15" x14ac:dyDescent="0.25">
      <c r="A5" s="114" t="s">
        <v>147</v>
      </c>
      <c r="B5" s="63" t="s">
        <v>53</v>
      </c>
      <c r="C5" s="63" t="s">
        <v>66</v>
      </c>
      <c r="D5" s="63">
        <v>1E-3</v>
      </c>
      <c r="E5" s="63">
        <v>0.01</v>
      </c>
      <c r="F5" s="63">
        <v>9.9999999999999995E-8</v>
      </c>
      <c r="G5" s="63" t="s">
        <v>6</v>
      </c>
      <c r="H5" s="63" t="s">
        <v>5</v>
      </c>
      <c r="I5" s="63">
        <v>0</v>
      </c>
      <c r="J5" s="63">
        <v>0</v>
      </c>
      <c r="L5" s="63">
        <v>0.62</v>
      </c>
      <c r="M5" s="63">
        <v>4.5</v>
      </c>
      <c r="N5" s="63">
        <v>7.6235999999999998E-2</v>
      </c>
      <c r="O5" s="64">
        <v>47.253999999999998</v>
      </c>
    </row>
    <row r="6" spans="1:15" x14ac:dyDescent="0.25">
      <c r="A6" s="114" t="s">
        <v>151</v>
      </c>
      <c r="B6" s="63" t="s">
        <v>53</v>
      </c>
      <c r="C6" s="63" t="s">
        <v>66</v>
      </c>
      <c r="D6" s="63">
        <v>0.01</v>
      </c>
      <c r="E6" s="63">
        <v>0.1</v>
      </c>
      <c r="F6" s="63">
        <v>9.9999999999999995E-8</v>
      </c>
      <c r="G6" s="63" t="s">
        <v>6</v>
      </c>
      <c r="H6" s="63" t="s">
        <v>5</v>
      </c>
      <c r="I6" s="63">
        <v>0</v>
      </c>
      <c r="J6" s="63">
        <v>0</v>
      </c>
      <c r="L6" s="63">
        <v>0.48</v>
      </c>
      <c r="M6" s="63">
        <v>37</v>
      </c>
      <c r="N6" s="63">
        <v>0.47363</v>
      </c>
      <c r="O6" s="64">
        <v>36.624000000000002</v>
      </c>
    </row>
    <row r="7" spans="1:15" x14ac:dyDescent="0.25">
      <c r="A7" s="114" t="s">
        <v>142</v>
      </c>
      <c r="B7" s="63" t="s">
        <v>53</v>
      </c>
      <c r="C7" s="63" t="s">
        <v>66</v>
      </c>
      <c r="D7" s="63">
        <v>0</v>
      </c>
      <c r="E7" s="63">
        <v>1E-3</v>
      </c>
      <c r="F7" s="63">
        <v>9.9999999999999995E-7</v>
      </c>
      <c r="G7" s="63" t="s">
        <v>6</v>
      </c>
      <c r="H7" s="63" t="s">
        <v>5</v>
      </c>
      <c r="I7" s="63">
        <v>0</v>
      </c>
      <c r="J7" s="63">
        <v>0</v>
      </c>
      <c r="L7" s="63">
        <v>0.62</v>
      </c>
      <c r="M7" s="63">
        <v>4.5</v>
      </c>
      <c r="N7" s="63">
        <v>0.58020000000000005</v>
      </c>
      <c r="O7" s="64">
        <v>8.2951999999999995</v>
      </c>
    </row>
    <row r="8" spans="1:15" x14ac:dyDescent="0.25">
      <c r="A8" s="114" t="s">
        <v>2167</v>
      </c>
      <c r="B8" s="63" t="s">
        <v>53</v>
      </c>
      <c r="C8" s="63" t="s">
        <v>66</v>
      </c>
      <c r="D8" s="63">
        <v>1E-3</v>
      </c>
      <c r="E8" s="63">
        <v>0.01</v>
      </c>
      <c r="F8" s="63">
        <v>9.9999999999999995E-7</v>
      </c>
      <c r="G8" s="63" t="s">
        <v>6</v>
      </c>
      <c r="H8" s="63" t="s">
        <v>5</v>
      </c>
      <c r="I8" s="63">
        <v>0</v>
      </c>
      <c r="J8" s="63">
        <v>0</v>
      </c>
      <c r="L8" s="63">
        <v>0.62</v>
      </c>
      <c r="M8" s="63">
        <v>19.155000000000001</v>
      </c>
      <c r="N8" s="63">
        <v>0.56725000000000003</v>
      </c>
      <c r="O8" s="64">
        <v>22.911999999999999</v>
      </c>
    </row>
    <row r="9" spans="1:15" x14ac:dyDescent="0.25">
      <c r="A9" s="114" t="s">
        <v>152</v>
      </c>
      <c r="B9" s="63" t="s">
        <v>53</v>
      </c>
      <c r="C9" s="63" t="s">
        <v>66</v>
      </c>
      <c r="D9" s="63">
        <v>0.01</v>
      </c>
      <c r="E9" s="63">
        <v>0.1</v>
      </c>
      <c r="F9" s="63">
        <v>9.9999999999999995E-7</v>
      </c>
      <c r="G9" s="63" t="s">
        <v>6</v>
      </c>
      <c r="H9" s="63" t="s">
        <v>5</v>
      </c>
      <c r="I9" s="63">
        <v>0</v>
      </c>
      <c r="J9" s="63">
        <v>0</v>
      </c>
      <c r="L9" s="63">
        <v>0.66959999999999997</v>
      </c>
      <c r="M9" s="63">
        <v>35.075000000000003</v>
      </c>
      <c r="N9" s="63">
        <v>0.66822999999999999</v>
      </c>
      <c r="O9" s="64">
        <v>35.079000000000001</v>
      </c>
    </row>
    <row r="10" spans="1:15" x14ac:dyDescent="0.25">
      <c r="A10" s="114" t="s">
        <v>156</v>
      </c>
      <c r="B10" s="63" t="s">
        <v>53</v>
      </c>
      <c r="C10" s="63" t="s">
        <v>66</v>
      </c>
      <c r="D10" s="63">
        <v>0.1</v>
      </c>
      <c r="E10" s="63">
        <v>1</v>
      </c>
      <c r="F10" s="63">
        <v>9.9999999999999995E-7</v>
      </c>
      <c r="G10" s="63" t="s">
        <v>6</v>
      </c>
      <c r="H10" s="63" t="s">
        <v>5</v>
      </c>
      <c r="I10" s="63">
        <v>0</v>
      </c>
      <c r="J10" s="63">
        <v>0</v>
      </c>
      <c r="L10" s="63">
        <v>4.7</v>
      </c>
      <c r="M10" s="63">
        <v>41</v>
      </c>
      <c r="N10" s="63">
        <v>4.6517999999999997</v>
      </c>
      <c r="O10" s="64">
        <v>40.781999999999996</v>
      </c>
    </row>
    <row r="11" spans="1:15" x14ac:dyDescent="0.25">
      <c r="A11" s="114" t="s">
        <v>143</v>
      </c>
      <c r="B11" s="63" t="s">
        <v>53</v>
      </c>
      <c r="C11" s="63" t="s">
        <v>66</v>
      </c>
      <c r="D11" s="63">
        <v>0</v>
      </c>
      <c r="E11" s="63">
        <v>1E-3</v>
      </c>
      <c r="F11" s="63">
        <v>1.0000000000000001E-5</v>
      </c>
      <c r="G11" s="63" t="s">
        <v>6</v>
      </c>
      <c r="H11" s="63" t="s">
        <v>5</v>
      </c>
      <c r="I11" s="63">
        <v>0</v>
      </c>
      <c r="J11" s="63">
        <v>0</v>
      </c>
      <c r="L11" s="63">
        <v>5.8</v>
      </c>
      <c r="M11" s="63">
        <v>0.89276</v>
      </c>
      <c r="N11" s="63">
        <v>5.8</v>
      </c>
      <c r="O11" s="64">
        <v>0.83626</v>
      </c>
    </row>
    <row r="12" spans="1:15" x14ac:dyDescent="0.25">
      <c r="A12" s="114" t="s">
        <v>148</v>
      </c>
      <c r="B12" s="63" t="s">
        <v>53</v>
      </c>
      <c r="C12" s="63" t="s">
        <v>66</v>
      </c>
      <c r="D12" s="63">
        <v>1E-3</v>
      </c>
      <c r="E12" s="63">
        <v>0.01</v>
      </c>
      <c r="F12" s="63">
        <v>1.0000000000000001E-5</v>
      </c>
      <c r="G12" s="63" t="s">
        <v>6</v>
      </c>
      <c r="H12" s="63" t="s">
        <v>5</v>
      </c>
      <c r="I12" s="63">
        <v>0</v>
      </c>
      <c r="J12" s="63">
        <v>0</v>
      </c>
      <c r="L12" s="63">
        <v>5.7983000000000002</v>
      </c>
      <c r="M12" s="63">
        <v>2.7570000000000001</v>
      </c>
      <c r="N12" s="63">
        <v>5.7983000000000002</v>
      </c>
      <c r="O12" s="64">
        <v>2.7323</v>
      </c>
    </row>
    <row r="13" spans="1:15" x14ac:dyDescent="0.25">
      <c r="A13" s="114" t="s">
        <v>153</v>
      </c>
      <c r="B13" s="63" t="s">
        <v>53</v>
      </c>
      <c r="C13" s="63" t="s">
        <v>66</v>
      </c>
      <c r="D13" s="63">
        <v>0.01</v>
      </c>
      <c r="E13" s="63">
        <v>0.1</v>
      </c>
      <c r="F13" s="63">
        <v>1.0000000000000001E-5</v>
      </c>
      <c r="G13" s="63" t="s">
        <v>6</v>
      </c>
      <c r="H13" s="63" t="s">
        <v>5</v>
      </c>
      <c r="I13" s="63">
        <v>0</v>
      </c>
      <c r="J13" s="63">
        <v>0</v>
      </c>
      <c r="L13" s="63">
        <v>5.7206999999999999</v>
      </c>
      <c r="M13" s="63">
        <v>14.051</v>
      </c>
      <c r="N13" s="63">
        <v>5.7199</v>
      </c>
      <c r="O13" s="64">
        <v>14.036</v>
      </c>
    </row>
    <row r="14" spans="1:15" x14ac:dyDescent="0.25">
      <c r="A14" s="114" t="s">
        <v>157</v>
      </c>
      <c r="B14" s="63" t="s">
        <v>53</v>
      </c>
      <c r="C14" s="63" t="s">
        <v>66</v>
      </c>
      <c r="D14" s="63">
        <v>0.1</v>
      </c>
      <c r="E14" s="63">
        <v>1</v>
      </c>
      <c r="F14" s="63">
        <v>1.0000000000000001E-5</v>
      </c>
      <c r="G14" s="63" t="s">
        <v>6</v>
      </c>
      <c r="H14" s="63" t="s">
        <v>5</v>
      </c>
      <c r="I14" s="63">
        <v>0</v>
      </c>
      <c r="J14" s="63">
        <v>0</v>
      </c>
      <c r="L14" s="63">
        <v>6.5522999999999998</v>
      </c>
      <c r="M14" s="63">
        <v>39.255000000000003</v>
      </c>
      <c r="N14" s="63">
        <v>6.5388999999999999</v>
      </c>
      <c r="O14" s="64">
        <v>39.26</v>
      </c>
    </row>
    <row r="15" spans="1:15" x14ac:dyDescent="0.25">
      <c r="A15" s="114" t="s">
        <v>161</v>
      </c>
      <c r="B15" s="63" t="s">
        <v>53</v>
      </c>
      <c r="C15" s="63" t="s">
        <v>66</v>
      </c>
      <c r="D15" s="63">
        <v>1</v>
      </c>
      <c r="E15" s="63">
        <v>10</v>
      </c>
      <c r="F15" s="63">
        <v>1.0000000000000001E-5</v>
      </c>
      <c r="G15" s="63" t="s">
        <v>6</v>
      </c>
      <c r="H15" s="63" t="s">
        <v>5</v>
      </c>
      <c r="I15" s="63">
        <v>0</v>
      </c>
      <c r="J15" s="63">
        <v>0</v>
      </c>
      <c r="L15" s="63">
        <v>47</v>
      </c>
      <c r="M15" s="63">
        <v>35</v>
      </c>
      <c r="N15" s="63">
        <v>46.375999999999998</v>
      </c>
      <c r="O15" s="64">
        <v>34.813000000000002</v>
      </c>
    </row>
    <row r="16" spans="1:15" x14ac:dyDescent="0.25">
      <c r="A16" s="114" t="s">
        <v>144</v>
      </c>
      <c r="B16" s="63" t="s">
        <v>53</v>
      </c>
      <c r="C16" s="63" t="s">
        <v>66</v>
      </c>
      <c r="D16" s="63">
        <v>0</v>
      </c>
      <c r="E16" s="63">
        <v>1E-3</v>
      </c>
      <c r="F16" s="63">
        <v>1E-4</v>
      </c>
      <c r="G16" s="63" t="s">
        <v>6</v>
      </c>
      <c r="H16" s="63" t="s">
        <v>5</v>
      </c>
      <c r="I16" s="63">
        <v>0</v>
      </c>
      <c r="J16" s="63">
        <v>0</v>
      </c>
      <c r="L16" s="63">
        <v>58</v>
      </c>
      <c r="M16" s="63">
        <v>0.10624</v>
      </c>
      <c r="N16" s="63">
        <v>58</v>
      </c>
      <c r="O16" s="64">
        <v>8.3632999999999999E-2</v>
      </c>
    </row>
    <row r="17" spans="1:15" x14ac:dyDescent="0.25">
      <c r="A17" s="114" t="s">
        <v>149</v>
      </c>
      <c r="B17" s="63" t="s">
        <v>53</v>
      </c>
      <c r="C17" s="63" t="s">
        <v>66</v>
      </c>
      <c r="D17" s="63">
        <v>1E-3</v>
      </c>
      <c r="E17" s="63">
        <v>0.01</v>
      </c>
      <c r="F17" s="63">
        <v>1E-4</v>
      </c>
      <c r="G17" s="63" t="s">
        <v>6</v>
      </c>
      <c r="H17" s="63" t="s">
        <v>5</v>
      </c>
      <c r="I17" s="63">
        <v>0</v>
      </c>
      <c r="J17" s="63">
        <v>0</v>
      </c>
      <c r="L17" s="63">
        <v>58</v>
      </c>
      <c r="M17" s="63">
        <v>0.2838</v>
      </c>
      <c r="N17" s="63">
        <v>58</v>
      </c>
      <c r="O17" s="64">
        <v>0.27384999999999998</v>
      </c>
    </row>
    <row r="18" spans="1:15" x14ac:dyDescent="0.25">
      <c r="A18" s="114" t="s">
        <v>154</v>
      </c>
      <c r="B18" s="63" t="s">
        <v>53</v>
      </c>
      <c r="C18" s="63" t="s">
        <v>66</v>
      </c>
      <c r="D18" s="63">
        <v>0.01</v>
      </c>
      <c r="E18" s="63">
        <v>0.1</v>
      </c>
      <c r="F18" s="63">
        <v>1E-4</v>
      </c>
      <c r="G18" s="63" t="s">
        <v>6</v>
      </c>
      <c r="H18" s="63" t="s">
        <v>5</v>
      </c>
      <c r="I18" s="63">
        <v>0</v>
      </c>
      <c r="J18" s="63">
        <v>0</v>
      </c>
      <c r="L18" s="63">
        <v>57.991</v>
      </c>
      <c r="M18" s="63">
        <v>1.5773999999999999</v>
      </c>
      <c r="N18" s="63">
        <v>57.99</v>
      </c>
      <c r="O18" s="64">
        <v>1.5689</v>
      </c>
    </row>
    <row r="19" spans="1:15" x14ac:dyDescent="0.25">
      <c r="A19" s="114" t="s">
        <v>158</v>
      </c>
      <c r="B19" s="63" t="s">
        <v>53</v>
      </c>
      <c r="C19" s="63" t="s">
        <v>66</v>
      </c>
      <c r="D19" s="63">
        <v>0.1</v>
      </c>
      <c r="E19" s="63">
        <v>1</v>
      </c>
      <c r="F19" s="63">
        <v>1E-4</v>
      </c>
      <c r="G19" s="63" t="s">
        <v>6</v>
      </c>
      <c r="H19" s="63" t="s">
        <v>5</v>
      </c>
      <c r="I19" s="63">
        <v>0</v>
      </c>
      <c r="J19" s="63">
        <v>0</v>
      </c>
      <c r="L19" s="63">
        <v>56.988999999999997</v>
      </c>
      <c r="M19" s="63">
        <v>16.704999999999998</v>
      </c>
      <c r="N19" s="63">
        <v>56.981000000000002</v>
      </c>
      <c r="O19" s="64">
        <v>16.693000000000001</v>
      </c>
    </row>
    <row r="20" spans="1:15" x14ac:dyDescent="0.25">
      <c r="A20" s="114" t="s">
        <v>162</v>
      </c>
      <c r="B20" s="63" t="s">
        <v>53</v>
      </c>
      <c r="C20" s="63" t="s">
        <v>66</v>
      </c>
      <c r="D20" s="63">
        <v>1</v>
      </c>
      <c r="E20" s="63">
        <v>10</v>
      </c>
      <c r="F20" s="63">
        <v>1E-4</v>
      </c>
      <c r="G20" s="63" t="s">
        <v>6</v>
      </c>
      <c r="H20" s="63" t="s">
        <v>5</v>
      </c>
      <c r="I20" s="63">
        <v>0</v>
      </c>
      <c r="J20" s="63">
        <v>0</v>
      </c>
      <c r="L20" s="63">
        <v>66.457999999999998</v>
      </c>
      <c r="M20" s="63">
        <v>33.231999999999999</v>
      </c>
      <c r="N20" s="63">
        <v>66.382000000000005</v>
      </c>
      <c r="O20" s="64">
        <v>33.231999999999999</v>
      </c>
    </row>
    <row r="21" spans="1:15" x14ac:dyDescent="0.25">
      <c r="A21" s="114" t="s">
        <v>167</v>
      </c>
      <c r="B21" s="63" t="s">
        <v>53</v>
      </c>
      <c r="C21" s="63" t="s">
        <v>66</v>
      </c>
      <c r="D21" s="63">
        <v>10</v>
      </c>
      <c r="E21" s="63">
        <v>100</v>
      </c>
      <c r="F21" s="63">
        <v>1E-4</v>
      </c>
      <c r="G21" s="63" t="s">
        <v>6</v>
      </c>
      <c r="H21" s="63" t="s">
        <v>4</v>
      </c>
      <c r="I21" s="63">
        <v>0</v>
      </c>
      <c r="J21" s="63">
        <v>0</v>
      </c>
      <c r="L21" s="63">
        <v>0.57999999999999996</v>
      </c>
      <c r="M21" s="63">
        <v>4.1000000000000002E-2</v>
      </c>
      <c r="N21" s="63">
        <v>0.57894999999999996</v>
      </c>
      <c r="O21" s="64">
        <v>4.0740999999999999E-2</v>
      </c>
    </row>
    <row r="22" spans="1:15" x14ac:dyDescent="0.25">
      <c r="A22" s="114" t="s">
        <v>145</v>
      </c>
      <c r="B22" s="63" t="s">
        <v>53</v>
      </c>
      <c r="C22" s="63" t="s">
        <v>66</v>
      </c>
      <c r="D22" s="63">
        <v>0</v>
      </c>
      <c r="E22" s="63">
        <v>1E-3</v>
      </c>
      <c r="F22" s="63">
        <v>1E-3</v>
      </c>
      <c r="G22" s="63" t="s">
        <v>6</v>
      </c>
      <c r="H22" s="63" t="s">
        <v>5</v>
      </c>
      <c r="I22" s="63">
        <v>0</v>
      </c>
      <c r="J22" s="63">
        <v>0</v>
      </c>
      <c r="L22" s="63">
        <v>580</v>
      </c>
      <c r="M22" s="63">
        <v>1.7406000000000001E-2</v>
      </c>
      <c r="N22" s="63">
        <v>580</v>
      </c>
      <c r="O22" s="64">
        <v>8.3633000000000006E-3</v>
      </c>
    </row>
    <row r="23" spans="1:15" x14ac:dyDescent="0.25">
      <c r="A23" s="114" t="s">
        <v>150</v>
      </c>
      <c r="B23" s="63" t="s">
        <v>53</v>
      </c>
      <c r="C23" s="63" t="s">
        <v>66</v>
      </c>
      <c r="D23" s="63">
        <v>1E-3</v>
      </c>
      <c r="E23" s="63">
        <v>0.01</v>
      </c>
      <c r="F23" s="63">
        <v>1E-3</v>
      </c>
      <c r="G23" s="63" t="s">
        <v>6</v>
      </c>
      <c r="H23" s="63" t="s">
        <v>5</v>
      </c>
      <c r="I23" s="63">
        <v>0</v>
      </c>
      <c r="J23" s="63">
        <v>0</v>
      </c>
      <c r="L23" s="63">
        <v>580</v>
      </c>
      <c r="M23" s="63">
        <v>3.1364000000000003E-2</v>
      </c>
      <c r="N23" s="63">
        <v>580</v>
      </c>
      <c r="O23" s="64">
        <v>2.7386000000000001E-2</v>
      </c>
    </row>
    <row r="24" spans="1:15" x14ac:dyDescent="0.25">
      <c r="A24" s="114" t="s">
        <v>2168</v>
      </c>
      <c r="B24" s="63" t="s">
        <v>53</v>
      </c>
      <c r="C24" s="63" t="s">
        <v>66</v>
      </c>
      <c r="D24" s="63">
        <v>0.01</v>
      </c>
      <c r="E24" s="63">
        <v>0.1</v>
      </c>
      <c r="F24" s="63">
        <v>1E-3</v>
      </c>
      <c r="G24" s="63" t="s">
        <v>6</v>
      </c>
      <c r="H24" s="63" t="s">
        <v>5</v>
      </c>
      <c r="I24" s="63">
        <v>0</v>
      </c>
      <c r="J24" s="63">
        <v>0</v>
      </c>
      <c r="L24" s="63">
        <v>580</v>
      </c>
      <c r="M24" s="63">
        <v>0.16048999999999999</v>
      </c>
      <c r="N24" s="63">
        <v>580</v>
      </c>
      <c r="O24" s="64">
        <v>0.15709999999999999</v>
      </c>
    </row>
    <row r="25" spans="1:15" x14ac:dyDescent="0.25">
      <c r="A25" s="114" t="s">
        <v>159</v>
      </c>
      <c r="B25" s="63" t="s">
        <v>53</v>
      </c>
      <c r="C25" s="63" t="s">
        <v>66</v>
      </c>
      <c r="D25" s="63">
        <v>0.1</v>
      </c>
      <c r="E25" s="63">
        <v>1</v>
      </c>
      <c r="F25" s="63">
        <v>1E-3</v>
      </c>
      <c r="G25" s="63" t="s">
        <v>6</v>
      </c>
      <c r="H25" s="63" t="s">
        <v>5</v>
      </c>
      <c r="I25" s="63">
        <v>0</v>
      </c>
      <c r="J25" s="63">
        <v>0</v>
      </c>
      <c r="L25" s="63">
        <v>579.88</v>
      </c>
      <c r="M25" s="63">
        <v>1.9084000000000001</v>
      </c>
      <c r="N25" s="63">
        <v>579.88</v>
      </c>
      <c r="O25" s="64">
        <v>1.9012</v>
      </c>
    </row>
    <row r="26" spans="1:15" x14ac:dyDescent="0.25">
      <c r="A26" s="114" t="s">
        <v>163</v>
      </c>
      <c r="B26" s="63" t="s">
        <v>53</v>
      </c>
      <c r="C26" s="63" t="s">
        <v>66</v>
      </c>
      <c r="D26" s="63">
        <v>1</v>
      </c>
      <c r="E26" s="63">
        <v>10</v>
      </c>
      <c r="F26" s="63">
        <v>1E-3</v>
      </c>
      <c r="G26" s="63" t="s">
        <v>6</v>
      </c>
      <c r="H26" s="63" t="s">
        <v>5</v>
      </c>
      <c r="I26" s="63">
        <v>0</v>
      </c>
      <c r="J26" s="63">
        <v>0</v>
      </c>
      <c r="L26" s="63">
        <v>572.80999999999995</v>
      </c>
      <c r="M26" s="63">
        <v>12.879</v>
      </c>
      <c r="N26" s="63">
        <v>572.76</v>
      </c>
      <c r="O26" s="64">
        <v>12.867000000000001</v>
      </c>
    </row>
    <row r="27" spans="1:15" x14ac:dyDescent="0.25">
      <c r="A27" s="114" t="s">
        <v>168</v>
      </c>
      <c r="B27" s="63" t="s">
        <v>53</v>
      </c>
      <c r="C27" s="63" t="s">
        <v>66</v>
      </c>
      <c r="D27" s="63">
        <v>10</v>
      </c>
      <c r="E27" s="63">
        <v>100</v>
      </c>
      <c r="F27" s="63">
        <v>1E-3</v>
      </c>
      <c r="G27" s="63" t="s">
        <v>6</v>
      </c>
      <c r="H27" s="63" t="s">
        <v>4</v>
      </c>
      <c r="I27" s="63">
        <v>0</v>
      </c>
      <c r="J27" s="63">
        <v>0</v>
      </c>
      <c r="L27" s="63">
        <v>0.74950000000000006</v>
      </c>
      <c r="M27" s="63">
        <v>3.9399000000000003E-2</v>
      </c>
      <c r="N27" s="63">
        <v>0.74878999999999996</v>
      </c>
      <c r="O27" s="64">
        <v>3.9399000000000003E-2</v>
      </c>
    </row>
    <row r="28" spans="1:15" x14ac:dyDescent="0.25">
      <c r="A28" s="114" t="s">
        <v>155</v>
      </c>
      <c r="B28" s="63" t="s">
        <v>53</v>
      </c>
      <c r="C28" s="63" t="s">
        <v>66</v>
      </c>
      <c r="D28" s="63">
        <v>0.01</v>
      </c>
      <c r="E28" s="63">
        <v>0.1</v>
      </c>
      <c r="F28" s="63">
        <v>0.01</v>
      </c>
      <c r="G28" s="63" t="s">
        <v>6</v>
      </c>
      <c r="H28" s="63" t="s">
        <v>5</v>
      </c>
      <c r="I28" s="63">
        <v>0</v>
      </c>
      <c r="J28" s="63">
        <v>0</v>
      </c>
      <c r="L28" s="63">
        <v>5800</v>
      </c>
      <c r="M28" s="63">
        <v>1.7066999999999999E-2</v>
      </c>
      <c r="N28" s="63">
        <v>5800</v>
      </c>
      <c r="O28" s="64">
        <v>1.5709999999999998E-2</v>
      </c>
    </row>
    <row r="29" spans="1:15" x14ac:dyDescent="0.25">
      <c r="A29" s="114" t="s">
        <v>2169</v>
      </c>
      <c r="B29" s="63" t="s">
        <v>53</v>
      </c>
      <c r="C29" s="63" t="s">
        <v>66</v>
      </c>
      <c r="D29" s="63">
        <v>0.1</v>
      </c>
      <c r="E29" s="63">
        <v>1</v>
      </c>
      <c r="F29" s="63">
        <v>0.01</v>
      </c>
      <c r="G29" s="63" t="s">
        <v>6</v>
      </c>
      <c r="H29" s="63" t="s">
        <v>5</v>
      </c>
      <c r="I29" s="63">
        <v>0</v>
      </c>
      <c r="J29" s="63">
        <v>0</v>
      </c>
      <c r="L29" s="63">
        <v>5800</v>
      </c>
      <c r="M29" s="63">
        <v>0.19328999999999999</v>
      </c>
      <c r="N29" s="63">
        <v>5800</v>
      </c>
      <c r="O29" s="64">
        <v>0.19042000000000001</v>
      </c>
    </row>
    <row r="30" spans="1:15" x14ac:dyDescent="0.25">
      <c r="A30" s="114" t="s">
        <v>164</v>
      </c>
      <c r="B30" s="63" t="s">
        <v>53</v>
      </c>
      <c r="C30" s="63" t="s">
        <v>66</v>
      </c>
      <c r="D30" s="63">
        <v>1</v>
      </c>
      <c r="E30" s="63">
        <v>10</v>
      </c>
      <c r="F30" s="63">
        <v>0.01</v>
      </c>
      <c r="G30" s="63" t="s">
        <v>6</v>
      </c>
      <c r="H30" s="63" t="s">
        <v>5</v>
      </c>
      <c r="I30" s="63">
        <v>0</v>
      </c>
      <c r="J30" s="63">
        <v>0</v>
      </c>
      <c r="L30" s="63">
        <v>5799.2</v>
      </c>
      <c r="M30" s="63">
        <v>1.4325000000000001</v>
      </c>
      <c r="N30" s="63">
        <v>5799.1</v>
      </c>
      <c r="O30" s="64">
        <v>1.4258999999999999</v>
      </c>
    </row>
    <row r="31" spans="1:15" x14ac:dyDescent="0.25">
      <c r="A31" s="114" t="s">
        <v>169</v>
      </c>
      <c r="B31" s="63" t="s">
        <v>53</v>
      </c>
      <c r="C31" s="63" t="s">
        <v>66</v>
      </c>
      <c r="D31" s="63">
        <v>10</v>
      </c>
      <c r="E31" s="63">
        <v>100</v>
      </c>
      <c r="F31" s="63">
        <v>0.01</v>
      </c>
      <c r="G31" s="63" t="s">
        <v>6</v>
      </c>
      <c r="H31" s="63" t="s">
        <v>4</v>
      </c>
      <c r="I31" s="63">
        <v>0</v>
      </c>
      <c r="J31" s="63">
        <v>0</v>
      </c>
      <c r="L31" s="63">
        <v>5.7108999999999996</v>
      </c>
      <c r="M31" s="63">
        <v>1.7264000000000002E-2</v>
      </c>
      <c r="N31" s="63">
        <v>5.7104999999999997</v>
      </c>
      <c r="O31" s="64">
        <v>1.7250999999999999E-2</v>
      </c>
    </row>
    <row r="32" spans="1:15" x14ac:dyDescent="0.25">
      <c r="A32" s="114" t="s">
        <v>160</v>
      </c>
      <c r="B32" s="63" t="s">
        <v>53</v>
      </c>
      <c r="C32" s="63" t="s">
        <v>66</v>
      </c>
      <c r="D32" s="63">
        <v>0.1</v>
      </c>
      <c r="E32" s="63">
        <v>1</v>
      </c>
      <c r="F32" s="63">
        <v>0.1</v>
      </c>
      <c r="G32" s="63" t="s">
        <v>6</v>
      </c>
      <c r="H32" s="63" t="s">
        <v>5</v>
      </c>
      <c r="I32" s="63">
        <v>0</v>
      </c>
      <c r="J32" s="63">
        <v>0</v>
      </c>
      <c r="L32" s="63">
        <v>58000</v>
      </c>
      <c r="M32" s="63">
        <v>2.0188000000000001E-2</v>
      </c>
      <c r="N32" s="63">
        <v>58000</v>
      </c>
      <c r="O32" s="64">
        <v>1.9042E-2</v>
      </c>
    </row>
    <row r="33" spans="1:15" x14ac:dyDescent="0.25">
      <c r="A33" s="114" t="s">
        <v>165</v>
      </c>
      <c r="B33" s="63" t="s">
        <v>53</v>
      </c>
      <c r="C33" s="63" t="s">
        <v>66</v>
      </c>
      <c r="D33" s="63">
        <v>1</v>
      </c>
      <c r="E33" s="63">
        <v>10</v>
      </c>
      <c r="F33" s="63">
        <v>0.1</v>
      </c>
      <c r="G33" s="63" t="s">
        <v>6</v>
      </c>
      <c r="H33" s="63" t="s">
        <v>5</v>
      </c>
      <c r="I33" s="63">
        <v>0</v>
      </c>
      <c r="J33" s="63">
        <v>0</v>
      </c>
      <c r="L33" s="63">
        <v>58000</v>
      </c>
      <c r="M33" s="63">
        <v>0.1454</v>
      </c>
      <c r="N33" s="63">
        <v>58000</v>
      </c>
      <c r="O33" s="64">
        <v>0.14276</v>
      </c>
    </row>
    <row r="34" spans="1:15" x14ac:dyDescent="0.25">
      <c r="A34" s="114" t="s">
        <v>170</v>
      </c>
      <c r="B34" s="63" t="s">
        <v>53</v>
      </c>
      <c r="C34" s="63" t="s">
        <v>66</v>
      </c>
      <c r="D34" s="63">
        <v>10</v>
      </c>
      <c r="E34" s="63">
        <v>100</v>
      </c>
      <c r="F34" s="63">
        <v>0.1</v>
      </c>
      <c r="G34" s="63" t="s">
        <v>6</v>
      </c>
      <c r="H34" s="63" t="s">
        <v>4</v>
      </c>
      <c r="I34" s="63">
        <v>0</v>
      </c>
      <c r="J34" s="63">
        <v>0</v>
      </c>
      <c r="L34" s="63">
        <v>57.988999999999997</v>
      </c>
      <c r="M34" s="63">
        <v>1.9846E-3</v>
      </c>
      <c r="N34" s="63">
        <v>57.988999999999997</v>
      </c>
      <c r="O34" s="64">
        <v>1.9773E-3</v>
      </c>
    </row>
    <row r="35" spans="1:15" x14ac:dyDescent="0.25">
      <c r="A35" s="114" t="s">
        <v>166</v>
      </c>
      <c r="B35" s="63" t="s">
        <v>53</v>
      </c>
      <c r="C35" s="63" t="s">
        <v>66</v>
      </c>
      <c r="D35" s="63">
        <v>1</v>
      </c>
      <c r="E35" s="63">
        <v>10</v>
      </c>
      <c r="F35" s="63">
        <v>1</v>
      </c>
      <c r="G35" s="63" t="s">
        <v>6</v>
      </c>
      <c r="H35" s="63" t="s">
        <v>5</v>
      </c>
      <c r="I35" s="63">
        <v>0</v>
      </c>
      <c r="J35" s="63">
        <v>0</v>
      </c>
      <c r="L35" s="63">
        <v>580000</v>
      </c>
      <c r="M35" s="63">
        <v>1.5330999999999999E-2</v>
      </c>
      <c r="N35" s="63">
        <v>580000</v>
      </c>
      <c r="O35" s="64">
        <v>1.4276E-2</v>
      </c>
    </row>
    <row r="36" spans="1:15" x14ac:dyDescent="0.25">
      <c r="A36" s="114" t="s">
        <v>2170</v>
      </c>
      <c r="B36" s="63" t="s">
        <v>53</v>
      </c>
      <c r="C36" s="63" t="s">
        <v>66</v>
      </c>
      <c r="D36" s="63">
        <v>10</v>
      </c>
      <c r="E36" s="63">
        <v>100</v>
      </c>
      <c r="F36" s="63">
        <v>1</v>
      </c>
      <c r="G36" s="63" t="s">
        <v>6</v>
      </c>
      <c r="H36" s="63" t="s">
        <v>4</v>
      </c>
      <c r="I36" s="63">
        <v>0</v>
      </c>
      <c r="J36" s="63">
        <v>0</v>
      </c>
      <c r="L36" s="63">
        <v>580</v>
      </c>
      <c r="M36" s="63">
        <v>2.0100000000000001E-4</v>
      </c>
      <c r="N36" s="63">
        <v>580</v>
      </c>
      <c r="O36" s="64">
        <v>1.9806000000000001E-4</v>
      </c>
    </row>
    <row r="37" spans="1:15" x14ac:dyDescent="0.25">
      <c r="A37" s="114" t="s">
        <v>2041</v>
      </c>
      <c r="B37" s="63" t="s">
        <v>53</v>
      </c>
      <c r="C37" s="63" t="s">
        <v>7</v>
      </c>
      <c r="D37" s="63">
        <v>0</v>
      </c>
      <c r="E37" s="63">
        <v>1000</v>
      </c>
      <c r="F37" s="63">
        <v>9.9999999999999995E-7</v>
      </c>
      <c r="G37" s="63" t="s">
        <v>46</v>
      </c>
      <c r="H37" s="63" t="s">
        <v>68</v>
      </c>
      <c r="I37" s="63">
        <v>0</v>
      </c>
      <c r="J37" s="63">
        <v>0</v>
      </c>
      <c r="L37" s="63">
        <v>3</v>
      </c>
      <c r="M37" s="63">
        <v>0.12</v>
      </c>
      <c r="N37" s="63">
        <v>2.3273220000000001</v>
      </c>
      <c r="O37" s="64">
        <v>8.0813122000000001E-2</v>
      </c>
    </row>
    <row r="38" spans="1:15" x14ac:dyDescent="0.25">
      <c r="A38" s="114" t="s">
        <v>2171</v>
      </c>
      <c r="B38" s="63" t="s">
        <v>53</v>
      </c>
      <c r="C38" s="63" t="s">
        <v>7</v>
      </c>
      <c r="D38" s="63">
        <v>0</v>
      </c>
      <c r="E38" s="63">
        <v>1000</v>
      </c>
      <c r="F38" s="63">
        <v>1.0000000000000001E-5</v>
      </c>
      <c r="G38" s="63" t="s">
        <v>46</v>
      </c>
      <c r="H38" s="63" t="s">
        <v>68</v>
      </c>
      <c r="I38" s="63">
        <v>0</v>
      </c>
      <c r="J38" s="63">
        <v>0</v>
      </c>
      <c r="L38" s="63">
        <v>3</v>
      </c>
      <c r="M38" s="63">
        <v>0.12</v>
      </c>
      <c r="N38" s="63">
        <v>3.963721</v>
      </c>
      <c r="O38" s="64">
        <v>7.9376769999999999E-2</v>
      </c>
    </row>
    <row r="39" spans="1:15" x14ac:dyDescent="0.25">
      <c r="A39" s="114" t="s">
        <v>2042</v>
      </c>
      <c r="B39" s="63" t="s">
        <v>53</v>
      </c>
      <c r="C39" s="63" t="s">
        <v>7</v>
      </c>
      <c r="D39" s="63">
        <v>1000</v>
      </c>
      <c r="E39" s="63">
        <v>10000</v>
      </c>
      <c r="F39" s="63">
        <v>1.0000000000000001E-5</v>
      </c>
      <c r="G39" s="63" t="s">
        <v>46</v>
      </c>
      <c r="H39" s="63" t="s">
        <v>68</v>
      </c>
      <c r="I39" s="63">
        <v>0</v>
      </c>
      <c r="J39" s="63">
        <v>0</v>
      </c>
      <c r="L39" s="63">
        <v>24.035060000000001</v>
      </c>
      <c r="M39" s="63">
        <v>6.9213540000000004E-2</v>
      </c>
      <c r="N39" s="63">
        <v>23.295500000000001</v>
      </c>
      <c r="O39" s="64">
        <v>6.9264220000000001E-2</v>
      </c>
    </row>
    <row r="40" spans="1:15" x14ac:dyDescent="0.25">
      <c r="A40" s="114" t="s">
        <v>2043</v>
      </c>
      <c r="B40" s="63" t="s">
        <v>53</v>
      </c>
      <c r="C40" s="63" t="s">
        <v>7</v>
      </c>
      <c r="D40" s="63">
        <v>0</v>
      </c>
      <c r="E40" s="63">
        <v>1000</v>
      </c>
      <c r="F40" s="63">
        <v>1E-4</v>
      </c>
      <c r="G40" s="63" t="s">
        <v>46</v>
      </c>
      <c r="H40" s="63" t="s">
        <v>68</v>
      </c>
      <c r="I40" s="63">
        <v>0</v>
      </c>
      <c r="J40" s="63">
        <v>0</v>
      </c>
      <c r="L40" s="63">
        <v>63.692799999999998</v>
      </c>
      <c r="M40" s="63">
        <v>6.2659430000000002E-2</v>
      </c>
      <c r="N40" s="63">
        <v>54.207389999999997</v>
      </c>
      <c r="O40" s="64">
        <v>4.7163209999999997E-2</v>
      </c>
    </row>
    <row r="41" spans="1:15" x14ac:dyDescent="0.25">
      <c r="A41" s="114" t="s">
        <v>2044</v>
      </c>
      <c r="B41" s="63" t="s">
        <v>53</v>
      </c>
      <c r="C41" s="63" t="s">
        <v>7</v>
      </c>
      <c r="D41" s="63">
        <v>1000</v>
      </c>
      <c r="E41" s="63">
        <v>10000</v>
      </c>
      <c r="F41" s="63">
        <v>1E-4</v>
      </c>
      <c r="G41" s="63" t="s">
        <v>46</v>
      </c>
      <c r="H41" s="63" t="s">
        <v>68</v>
      </c>
      <c r="I41" s="63">
        <v>0</v>
      </c>
      <c r="J41" s="63">
        <v>0</v>
      </c>
      <c r="L41" s="63">
        <v>66.558580000000006</v>
      </c>
      <c r="M41" s="63">
        <v>6.6055710000000004E-2</v>
      </c>
      <c r="N41" s="63">
        <v>41.389360000000003</v>
      </c>
      <c r="O41" s="64">
        <v>6.7687049999999999E-2</v>
      </c>
    </row>
    <row r="42" spans="1:15" x14ac:dyDescent="0.25">
      <c r="A42" s="114" t="s">
        <v>2172</v>
      </c>
      <c r="B42" s="63" t="s">
        <v>53</v>
      </c>
      <c r="C42" s="63" t="s">
        <v>7</v>
      </c>
      <c r="D42" s="63">
        <v>10000</v>
      </c>
      <c r="E42" s="63">
        <v>100000</v>
      </c>
      <c r="F42" s="63">
        <v>1E-4</v>
      </c>
      <c r="G42" s="63" t="s">
        <v>46</v>
      </c>
      <c r="H42" s="63" t="s">
        <v>45</v>
      </c>
      <c r="I42" s="63">
        <v>0</v>
      </c>
      <c r="J42" s="63">
        <v>0</v>
      </c>
      <c r="L42" s="63">
        <v>0.24035100000000001</v>
      </c>
      <c r="M42" s="63">
        <v>6.9214000000000005E-5</v>
      </c>
      <c r="N42" s="63">
        <v>0.232955</v>
      </c>
      <c r="O42" s="64">
        <v>6.9264000000000006E-5</v>
      </c>
    </row>
    <row r="43" spans="1:15" x14ac:dyDescent="0.25">
      <c r="A43" s="114" t="s">
        <v>2045</v>
      </c>
      <c r="B43" s="63" t="s">
        <v>53</v>
      </c>
      <c r="C43" s="63" t="s">
        <v>7</v>
      </c>
      <c r="D43" s="63">
        <v>0</v>
      </c>
      <c r="E43" s="63">
        <v>1000</v>
      </c>
      <c r="F43" s="63">
        <v>1E-3</v>
      </c>
      <c r="G43" s="63" t="s">
        <v>46</v>
      </c>
      <c r="H43" s="63" t="s">
        <v>68</v>
      </c>
      <c r="I43" s="63">
        <v>0</v>
      </c>
      <c r="J43" s="63">
        <v>0</v>
      </c>
      <c r="L43" s="63">
        <v>600.322</v>
      </c>
      <c r="M43" s="63">
        <v>9.648081E-2</v>
      </c>
      <c r="N43" s="63">
        <v>579.44470000000001</v>
      </c>
      <c r="O43" s="64">
        <v>6.4835800000000001E-3</v>
      </c>
    </row>
    <row r="44" spans="1:15" x14ac:dyDescent="0.25">
      <c r="A44" s="114" t="s">
        <v>2046</v>
      </c>
      <c r="B44" s="63" t="s">
        <v>53</v>
      </c>
      <c r="C44" s="63" t="s">
        <v>7</v>
      </c>
      <c r="D44" s="63">
        <v>1000</v>
      </c>
      <c r="E44" s="63">
        <v>10000</v>
      </c>
      <c r="F44" s="63">
        <v>1E-3</v>
      </c>
      <c r="G44" s="63" t="s">
        <v>46</v>
      </c>
      <c r="H44" s="63" t="s">
        <v>68</v>
      </c>
      <c r="I44" s="63">
        <v>0</v>
      </c>
      <c r="J44" s="63">
        <v>0</v>
      </c>
      <c r="L44" s="63">
        <v>643.21469999999999</v>
      </c>
      <c r="M44" s="63">
        <v>5.475087E-2</v>
      </c>
      <c r="N44" s="63">
        <v>550.19219999999996</v>
      </c>
      <c r="O44" s="64">
        <v>3.7118350000000001E-2</v>
      </c>
    </row>
    <row r="45" spans="1:15" x14ac:dyDescent="0.25">
      <c r="A45" s="114" t="s">
        <v>2047</v>
      </c>
      <c r="B45" s="63" t="s">
        <v>53</v>
      </c>
      <c r="C45" s="63" t="s">
        <v>7</v>
      </c>
      <c r="D45" s="63">
        <v>10000</v>
      </c>
      <c r="E45" s="63">
        <v>100000</v>
      </c>
      <c r="F45" s="63">
        <v>1E-3</v>
      </c>
      <c r="G45" s="63" t="s">
        <v>46</v>
      </c>
      <c r="H45" s="63" t="s">
        <v>45</v>
      </c>
      <c r="I45" s="63">
        <v>0</v>
      </c>
      <c r="J45" s="63">
        <v>0</v>
      </c>
      <c r="L45" s="63">
        <v>0.66558600000000001</v>
      </c>
      <c r="M45" s="63">
        <v>6.6056000000000006E-5</v>
      </c>
      <c r="N45" s="63">
        <v>0.41389399999999998</v>
      </c>
      <c r="O45" s="64">
        <v>6.7687000000000004E-5</v>
      </c>
    </row>
    <row r="46" spans="1:15" x14ac:dyDescent="0.25">
      <c r="A46" s="114" t="s">
        <v>2048</v>
      </c>
      <c r="B46" s="63" t="s">
        <v>53</v>
      </c>
      <c r="C46" s="63" t="s">
        <v>7</v>
      </c>
      <c r="D46" s="63">
        <v>0</v>
      </c>
      <c r="E46" s="63">
        <v>1000</v>
      </c>
      <c r="F46" s="63">
        <v>0.01</v>
      </c>
      <c r="G46" s="63" t="s">
        <v>46</v>
      </c>
      <c r="H46" s="63" t="s">
        <v>45</v>
      </c>
      <c r="I46" s="63">
        <v>0</v>
      </c>
      <c r="J46" s="63">
        <v>0</v>
      </c>
      <c r="L46" s="63">
        <v>5.8513330000000003</v>
      </c>
      <c r="M46" s="63">
        <v>2.4804960000000001E-4</v>
      </c>
      <c r="N46" s="63">
        <v>5.799944</v>
      </c>
      <c r="O46" s="64">
        <v>6.5168999999999998E-7</v>
      </c>
    </row>
    <row r="47" spans="1:15" x14ac:dyDescent="0.25">
      <c r="A47" s="114" t="s">
        <v>2049</v>
      </c>
      <c r="B47" s="63" t="s">
        <v>53</v>
      </c>
      <c r="C47" s="63" t="s">
        <v>7</v>
      </c>
      <c r="D47" s="63">
        <v>1000</v>
      </c>
      <c r="E47" s="63">
        <v>10000</v>
      </c>
      <c r="F47" s="63">
        <v>0.01</v>
      </c>
      <c r="G47" s="63" t="s">
        <v>46</v>
      </c>
      <c r="H47" s="63" t="s">
        <v>45</v>
      </c>
      <c r="I47" s="63">
        <v>0</v>
      </c>
      <c r="J47" s="63">
        <v>0</v>
      </c>
      <c r="L47" s="63">
        <v>6.0044399999999998</v>
      </c>
      <c r="M47" s="63">
        <v>9.5075639999999998E-5</v>
      </c>
      <c r="N47" s="63">
        <v>5.7959269999999998</v>
      </c>
      <c r="O47" s="64">
        <v>4.8090290000000002E-6</v>
      </c>
    </row>
    <row r="48" spans="1:15" x14ac:dyDescent="0.25">
      <c r="A48" s="114" t="s">
        <v>2050</v>
      </c>
      <c r="B48" s="63" t="s">
        <v>53</v>
      </c>
      <c r="C48" s="63" t="s">
        <v>7</v>
      </c>
      <c r="D48" s="63">
        <v>10000</v>
      </c>
      <c r="E48" s="63">
        <v>100000</v>
      </c>
      <c r="F48" s="63">
        <v>0.01</v>
      </c>
      <c r="G48" s="63" t="s">
        <v>46</v>
      </c>
      <c r="H48" s="63" t="s">
        <v>45</v>
      </c>
      <c r="I48" s="63">
        <v>0</v>
      </c>
      <c r="J48" s="63">
        <v>0</v>
      </c>
      <c r="L48" s="63">
        <v>6.4321469999999996</v>
      </c>
      <c r="M48" s="63">
        <v>5.4750999999999998E-5</v>
      </c>
      <c r="N48" s="63">
        <v>5.5019220000000004</v>
      </c>
      <c r="O48" s="64">
        <v>3.7117999999999999E-5</v>
      </c>
    </row>
    <row r="49" spans="1:15" x14ac:dyDescent="0.25">
      <c r="A49" s="114" t="s">
        <v>2051</v>
      </c>
      <c r="B49" s="63" t="s">
        <v>53</v>
      </c>
      <c r="C49" s="63" t="s">
        <v>7</v>
      </c>
      <c r="D49" s="63">
        <v>1000</v>
      </c>
      <c r="E49" s="63">
        <v>10000</v>
      </c>
      <c r="F49" s="63">
        <v>0.1</v>
      </c>
      <c r="G49" s="63" t="s">
        <v>46</v>
      </c>
      <c r="H49" s="63" t="s">
        <v>45</v>
      </c>
      <c r="I49" s="63">
        <v>0</v>
      </c>
      <c r="J49" s="63">
        <v>0</v>
      </c>
      <c r="L49" s="63">
        <v>58.513469999999998</v>
      </c>
      <c r="M49" s="63">
        <v>2.4788890000000002E-4</v>
      </c>
      <c r="N49" s="63">
        <v>57.999589999999998</v>
      </c>
      <c r="O49" s="64">
        <v>4.8273899999999997E-7</v>
      </c>
    </row>
    <row r="50" spans="1:15" x14ac:dyDescent="0.25">
      <c r="A50" s="114" t="s">
        <v>2052</v>
      </c>
      <c r="B50" s="63" t="s">
        <v>53</v>
      </c>
      <c r="C50" s="63" t="s">
        <v>7</v>
      </c>
      <c r="D50" s="63">
        <v>10000</v>
      </c>
      <c r="E50" s="63">
        <v>100000</v>
      </c>
      <c r="F50" s="63">
        <v>0.1</v>
      </c>
      <c r="G50" s="63" t="s">
        <v>46</v>
      </c>
      <c r="H50" s="63" t="s">
        <v>45</v>
      </c>
      <c r="I50" s="63">
        <v>0</v>
      </c>
      <c r="J50" s="63">
        <v>0</v>
      </c>
      <c r="L50" s="63">
        <v>60.044400000000003</v>
      </c>
      <c r="M50" s="63">
        <v>9.5075999999999996E-5</v>
      </c>
      <c r="N50" s="63">
        <v>57.959269999999997</v>
      </c>
      <c r="O50" s="64">
        <v>4.809E-6</v>
      </c>
    </row>
    <row r="51" spans="1:15" x14ac:dyDescent="0.25">
      <c r="A51" s="114" t="s">
        <v>2173</v>
      </c>
      <c r="B51" s="63" t="s">
        <v>53</v>
      </c>
      <c r="C51" s="63" t="s">
        <v>7</v>
      </c>
      <c r="D51" s="63">
        <v>10000</v>
      </c>
      <c r="E51" s="63">
        <v>100000</v>
      </c>
      <c r="F51" s="63">
        <v>1</v>
      </c>
      <c r="G51" s="63" t="s">
        <v>46</v>
      </c>
      <c r="H51" s="63" t="s">
        <v>45</v>
      </c>
      <c r="I51" s="63">
        <v>0</v>
      </c>
      <c r="J51" s="63">
        <v>0</v>
      </c>
      <c r="L51" s="63">
        <v>585.13469999999995</v>
      </c>
      <c r="M51" s="63">
        <v>2.47889E-4</v>
      </c>
      <c r="N51" s="63">
        <v>579.99590000000001</v>
      </c>
      <c r="O51" s="64">
        <v>4.8299999999999997E-7</v>
      </c>
    </row>
    <row r="52" spans="1:15" x14ac:dyDescent="0.25">
      <c r="A52" s="114" t="s">
        <v>2053</v>
      </c>
      <c r="B52" s="63" t="s">
        <v>53</v>
      </c>
      <c r="C52" s="63" t="s">
        <v>7</v>
      </c>
      <c r="D52" s="63">
        <v>100000</v>
      </c>
      <c r="E52" s="63">
        <v>1000</v>
      </c>
      <c r="F52" s="63">
        <v>1</v>
      </c>
      <c r="G52" s="63" t="s">
        <v>46</v>
      </c>
      <c r="H52" s="63" t="s">
        <v>45</v>
      </c>
      <c r="I52" s="63">
        <v>0</v>
      </c>
      <c r="J52" s="63">
        <v>0</v>
      </c>
      <c r="L52" s="63">
        <v>2.4035060000000001</v>
      </c>
      <c r="M52" s="63">
        <v>6.9214000000000005E-5</v>
      </c>
      <c r="N52" s="63">
        <v>2.3295499999999998</v>
      </c>
      <c r="O52" s="64">
        <v>6.9264000000000006E-5</v>
      </c>
    </row>
    <row r="53" spans="1:15" x14ac:dyDescent="0.25">
      <c r="A53" s="114" t="s">
        <v>2174</v>
      </c>
      <c r="B53" s="63" t="s">
        <v>53</v>
      </c>
      <c r="C53" s="63" t="s">
        <v>7</v>
      </c>
      <c r="D53" s="63">
        <v>1000</v>
      </c>
      <c r="E53" s="63">
        <v>10000</v>
      </c>
      <c r="F53" s="63">
        <v>10</v>
      </c>
      <c r="G53" s="63" t="s">
        <v>46</v>
      </c>
      <c r="H53" s="63" t="s">
        <v>45</v>
      </c>
      <c r="I53" s="63">
        <v>0</v>
      </c>
      <c r="J53" s="63">
        <v>0</v>
      </c>
      <c r="L53" s="63">
        <v>24.035060000000001</v>
      </c>
      <c r="M53" s="63">
        <v>6.9214000000000005E-5</v>
      </c>
      <c r="N53" s="63">
        <v>23.295500000000001</v>
      </c>
      <c r="O53" s="64">
        <v>6.9264000000000006E-5</v>
      </c>
    </row>
    <row r="54" spans="1:15" x14ac:dyDescent="0.25">
      <c r="A54" s="114" t="s">
        <v>2054</v>
      </c>
      <c r="B54" s="63" t="s">
        <v>53</v>
      </c>
      <c r="C54" s="63" t="s">
        <v>7</v>
      </c>
      <c r="D54" s="63">
        <v>100000</v>
      </c>
      <c r="E54" s="63">
        <v>1000</v>
      </c>
      <c r="F54" s="63">
        <v>10</v>
      </c>
      <c r="G54" s="63" t="s">
        <v>46</v>
      </c>
      <c r="H54" s="63" t="s">
        <v>45</v>
      </c>
      <c r="I54" s="63">
        <v>0</v>
      </c>
      <c r="J54" s="63">
        <v>0</v>
      </c>
      <c r="L54" s="63">
        <v>6.6558580000000003</v>
      </c>
      <c r="M54" s="63">
        <v>6.6056000000000006E-5</v>
      </c>
      <c r="N54" s="63">
        <v>4.1389360000000002</v>
      </c>
      <c r="O54" s="64">
        <v>6.7687000000000004E-5</v>
      </c>
    </row>
    <row r="55" spans="1:15" x14ac:dyDescent="0.25">
      <c r="A55" s="114" t="s">
        <v>2055</v>
      </c>
      <c r="B55" s="63" t="s">
        <v>53</v>
      </c>
      <c r="C55" s="63" t="s">
        <v>7</v>
      </c>
      <c r="D55" s="63">
        <v>1000</v>
      </c>
      <c r="E55" s="63">
        <v>10000</v>
      </c>
      <c r="F55" s="63">
        <v>100</v>
      </c>
      <c r="G55" s="63" t="s">
        <v>46</v>
      </c>
      <c r="H55" s="63" t="s">
        <v>45</v>
      </c>
      <c r="I55" s="63">
        <v>0</v>
      </c>
      <c r="J55" s="63">
        <v>0</v>
      </c>
      <c r="L55" s="63">
        <v>66.558580000000006</v>
      </c>
      <c r="M55" s="63">
        <v>6.6056000000000006E-5</v>
      </c>
      <c r="N55" s="63">
        <v>41.389360000000003</v>
      </c>
      <c r="O55" s="64">
        <v>6.7688000000000007E-5</v>
      </c>
    </row>
    <row r="56" spans="1:15" x14ac:dyDescent="0.25">
      <c r="A56" s="114" t="s">
        <v>2056</v>
      </c>
      <c r="B56" s="63" t="s">
        <v>53</v>
      </c>
      <c r="C56" s="63" t="s">
        <v>7</v>
      </c>
      <c r="D56" s="63">
        <v>10000</v>
      </c>
      <c r="E56" s="63">
        <v>100000</v>
      </c>
      <c r="F56" s="63">
        <v>100</v>
      </c>
      <c r="G56" s="63" t="s">
        <v>46</v>
      </c>
      <c r="H56" s="63" t="s">
        <v>46</v>
      </c>
      <c r="I56" s="63">
        <v>0</v>
      </c>
      <c r="J56" s="63">
        <v>0</v>
      </c>
      <c r="L56" s="63">
        <v>0.46937299999999998</v>
      </c>
      <c r="M56" s="63">
        <v>6.9199999999999998E-8</v>
      </c>
      <c r="N56" s="63">
        <v>0.46348800000000001</v>
      </c>
      <c r="O56" s="64">
        <v>6.9300000000000005E-8</v>
      </c>
    </row>
    <row r="57" spans="1:15" x14ac:dyDescent="0.25">
      <c r="A57" s="114" t="s">
        <v>2057</v>
      </c>
      <c r="B57" s="63" t="s">
        <v>53</v>
      </c>
      <c r="C57" s="63" t="s">
        <v>7</v>
      </c>
      <c r="D57" s="63">
        <v>100000</v>
      </c>
      <c r="E57" s="63">
        <v>1000</v>
      </c>
      <c r="F57" s="63">
        <v>100</v>
      </c>
      <c r="G57" s="63" t="s">
        <v>46</v>
      </c>
      <c r="H57" s="63" t="s">
        <v>45</v>
      </c>
      <c r="I57" s="63">
        <v>0</v>
      </c>
      <c r="J57" s="63">
        <v>0</v>
      </c>
      <c r="L57" s="63">
        <v>64.321470000000005</v>
      </c>
      <c r="M57" s="63">
        <v>5.4750999999999998E-5</v>
      </c>
      <c r="N57" s="63">
        <v>55.019219999999997</v>
      </c>
      <c r="O57" s="64">
        <v>3.7117999999999999E-5</v>
      </c>
    </row>
    <row r="58" spans="1:15" x14ac:dyDescent="0.25">
      <c r="A58" s="114" t="s">
        <v>2175</v>
      </c>
      <c r="B58" s="63" t="s">
        <v>53</v>
      </c>
      <c r="C58" s="63" t="s">
        <v>7</v>
      </c>
      <c r="D58" s="63">
        <v>1000</v>
      </c>
      <c r="E58" s="63">
        <v>10000</v>
      </c>
      <c r="F58" s="63">
        <v>1000</v>
      </c>
      <c r="G58" s="63" t="s">
        <v>46</v>
      </c>
      <c r="H58" s="63" t="s">
        <v>45</v>
      </c>
      <c r="I58" s="63">
        <v>0</v>
      </c>
      <c r="J58" s="63">
        <v>0</v>
      </c>
      <c r="L58" s="63">
        <v>643.21469999999999</v>
      </c>
      <c r="M58" s="63">
        <v>5.4750999999999998E-5</v>
      </c>
      <c r="N58" s="63">
        <v>550.19200000000001</v>
      </c>
      <c r="O58" s="64">
        <v>3.7117999999999999E-5</v>
      </c>
    </row>
    <row r="59" spans="1:15" x14ac:dyDescent="0.25">
      <c r="A59" s="114" t="s">
        <v>2058</v>
      </c>
      <c r="B59" s="63" t="s">
        <v>53</v>
      </c>
      <c r="C59" s="63" t="s">
        <v>7</v>
      </c>
      <c r="D59" s="63">
        <v>10000</v>
      </c>
      <c r="E59" s="63">
        <v>100000</v>
      </c>
      <c r="F59" s="63">
        <v>1000</v>
      </c>
      <c r="G59" s="63" t="s">
        <v>46</v>
      </c>
      <c r="H59" s="63" t="s">
        <v>46</v>
      </c>
      <c r="I59" s="63">
        <v>0</v>
      </c>
      <c r="J59" s="63">
        <v>0</v>
      </c>
      <c r="L59" s="63">
        <v>0.82927600000000001</v>
      </c>
      <c r="M59" s="63">
        <v>6.6699999999999995E-8</v>
      </c>
      <c r="N59" s="63">
        <v>0.61212599999999995</v>
      </c>
      <c r="O59" s="64">
        <v>6.8099999999999994E-8</v>
      </c>
    </row>
    <row r="60" spans="1:15" x14ac:dyDescent="0.25">
      <c r="A60" s="114" t="s">
        <v>2059</v>
      </c>
      <c r="B60" s="63" t="s">
        <v>53</v>
      </c>
      <c r="C60" s="63" t="s">
        <v>7</v>
      </c>
      <c r="D60" s="63">
        <v>100000</v>
      </c>
      <c r="E60" s="63">
        <v>1000</v>
      </c>
      <c r="F60" s="63">
        <v>1000</v>
      </c>
      <c r="G60" s="63" t="s">
        <v>46</v>
      </c>
      <c r="H60" s="63" t="s">
        <v>45</v>
      </c>
      <c r="I60" s="63">
        <v>0</v>
      </c>
      <c r="J60" s="63">
        <v>0</v>
      </c>
      <c r="L60" s="63">
        <v>600.44399999999996</v>
      </c>
      <c r="M60" s="63">
        <v>9.5075999999999996E-5</v>
      </c>
      <c r="N60" s="63">
        <v>579.59270000000004</v>
      </c>
      <c r="O60" s="64">
        <v>4.809E-6</v>
      </c>
    </row>
    <row r="61" spans="1:15" x14ac:dyDescent="0.25">
      <c r="A61" s="114" t="s">
        <v>2060</v>
      </c>
      <c r="B61" s="63" t="s">
        <v>53</v>
      </c>
      <c r="C61" s="63" t="s">
        <v>7</v>
      </c>
      <c r="D61" s="63">
        <v>1000</v>
      </c>
      <c r="E61" s="63">
        <v>10000</v>
      </c>
      <c r="F61" s="63">
        <v>10000</v>
      </c>
      <c r="G61" s="63" t="s">
        <v>46</v>
      </c>
      <c r="H61" s="63" t="s">
        <v>46</v>
      </c>
      <c r="I61" s="63">
        <v>0</v>
      </c>
      <c r="J61" s="63">
        <v>0</v>
      </c>
      <c r="L61" s="63">
        <v>6.0044399999999998</v>
      </c>
      <c r="M61" s="63">
        <v>9.5075999999999997E-8</v>
      </c>
      <c r="N61" s="63">
        <v>5.7959269999999998</v>
      </c>
      <c r="O61" s="64">
        <v>4.8090000000000002E-9</v>
      </c>
    </row>
    <row r="62" spans="1:15" x14ac:dyDescent="0.25">
      <c r="A62" s="114" t="s">
        <v>2061</v>
      </c>
      <c r="B62" s="63" t="s">
        <v>53</v>
      </c>
      <c r="C62" s="63" t="s">
        <v>7</v>
      </c>
      <c r="D62" s="63">
        <v>10000</v>
      </c>
      <c r="E62" s="63">
        <v>100000</v>
      </c>
      <c r="F62" s="63">
        <v>10000</v>
      </c>
      <c r="G62" s="63" t="s">
        <v>46</v>
      </c>
      <c r="H62" s="63" t="s">
        <v>46</v>
      </c>
      <c r="I62" s="63">
        <v>0</v>
      </c>
      <c r="J62" s="63">
        <v>0</v>
      </c>
      <c r="L62" s="63">
        <v>6.4546739999999998</v>
      </c>
      <c r="M62" s="63">
        <v>5.5899999999999998E-8</v>
      </c>
      <c r="N62" s="63">
        <v>5.527107</v>
      </c>
      <c r="O62" s="64">
        <v>3.8700000000000002E-8</v>
      </c>
    </row>
    <row r="63" spans="1:15" x14ac:dyDescent="0.25">
      <c r="A63" s="114" t="s">
        <v>2176</v>
      </c>
      <c r="B63" s="63" t="s">
        <v>53</v>
      </c>
      <c r="C63" s="63" t="s">
        <v>7</v>
      </c>
      <c r="D63" s="63">
        <v>100000</v>
      </c>
      <c r="E63" s="63">
        <v>1000</v>
      </c>
      <c r="F63" s="63">
        <v>10000</v>
      </c>
      <c r="G63" s="63" t="s">
        <v>46</v>
      </c>
      <c r="H63" s="63" t="s">
        <v>46</v>
      </c>
      <c r="I63" s="63">
        <v>0</v>
      </c>
      <c r="J63" s="63">
        <v>0</v>
      </c>
      <c r="L63" s="63">
        <v>5.8513470999999999</v>
      </c>
      <c r="M63" s="63">
        <v>2.47889E-7</v>
      </c>
      <c r="N63" s="63">
        <v>5.7999590999999997</v>
      </c>
      <c r="O63" s="64">
        <v>4.8299999999999999E-10</v>
      </c>
    </row>
    <row r="64" spans="1:15" x14ac:dyDescent="0.25">
      <c r="A64" s="114" t="s">
        <v>2062</v>
      </c>
      <c r="B64" s="63" t="s">
        <v>53</v>
      </c>
      <c r="C64" s="63" t="s">
        <v>7</v>
      </c>
      <c r="D64" s="63">
        <v>1000</v>
      </c>
      <c r="E64" s="63">
        <v>10000</v>
      </c>
      <c r="F64" s="63">
        <v>100000</v>
      </c>
      <c r="G64" s="63" t="s">
        <v>46</v>
      </c>
      <c r="H64" s="63" t="s">
        <v>46</v>
      </c>
      <c r="I64" s="63">
        <v>0</v>
      </c>
      <c r="J64" s="63">
        <v>0</v>
      </c>
      <c r="L64" s="63">
        <v>58.513469999999998</v>
      </c>
      <c r="M64" s="63">
        <v>2.47889E-7</v>
      </c>
      <c r="N64" s="63">
        <v>57.999589999999998</v>
      </c>
      <c r="O64" s="64">
        <v>4.8299999999999999E-10</v>
      </c>
    </row>
    <row r="65" spans="1:15" x14ac:dyDescent="0.25">
      <c r="A65" s="114" t="s">
        <v>2063</v>
      </c>
      <c r="B65" s="63" t="s">
        <v>53</v>
      </c>
      <c r="C65" s="63" t="s">
        <v>7</v>
      </c>
      <c r="D65" s="63">
        <v>10000</v>
      </c>
      <c r="E65" s="63">
        <v>100000</v>
      </c>
      <c r="F65" s="63">
        <v>100000</v>
      </c>
      <c r="G65" s="63" t="s">
        <v>46</v>
      </c>
      <c r="H65" s="63" t="s">
        <v>46</v>
      </c>
      <c r="I65" s="63">
        <v>0</v>
      </c>
      <c r="J65" s="63">
        <v>0</v>
      </c>
      <c r="L65" s="63">
        <v>60.046087</v>
      </c>
      <c r="M65" s="63">
        <v>9.53E-8</v>
      </c>
      <c r="N65" s="63">
        <v>57.96067</v>
      </c>
      <c r="O65" s="64">
        <v>5.0899999999999996E-9</v>
      </c>
    </row>
    <row r="66" spans="1:15" x14ac:dyDescent="0.25">
      <c r="A66" s="114" t="s">
        <v>2177</v>
      </c>
      <c r="B66" s="63" t="s">
        <v>53</v>
      </c>
      <c r="C66" s="63" t="s">
        <v>7</v>
      </c>
      <c r="D66" s="63">
        <v>10000</v>
      </c>
      <c r="E66" s="63">
        <v>100000</v>
      </c>
      <c r="F66" s="63">
        <v>1000000</v>
      </c>
      <c r="G66" s="63" t="s">
        <v>46</v>
      </c>
      <c r="H66" s="63" t="s">
        <v>46</v>
      </c>
      <c r="I66" s="63">
        <v>0</v>
      </c>
      <c r="J66" s="63">
        <v>0</v>
      </c>
      <c r="L66" s="63">
        <v>585.13490000000002</v>
      </c>
      <c r="M66" s="63">
        <v>2.48E-7</v>
      </c>
      <c r="N66" s="63">
        <v>579.99599999999998</v>
      </c>
      <c r="O66" s="64">
        <v>5.1E-10</v>
      </c>
    </row>
    <row r="67" spans="1:15" x14ac:dyDescent="0.25">
      <c r="A67" s="114" t="s">
        <v>2178</v>
      </c>
      <c r="B67" s="63" t="s">
        <v>53</v>
      </c>
      <c r="C67" s="63" t="s">
        <v>7</v>
      </c>
      <c r="D67" s="63">
        <v>100000</v>
      </c>
      <c r="E67" s="63">
        <v>1000</v>
      </c>
      <c r="F67" s="63">
        <v>1000000</v>
      </c>
      <c r="G67" s="63" t="s">
        <v>46</v>
      </c>
      <c r="H67" s="63" t="s">
        <v>46</v>
      </c>
      <c r="I67" s="63">
        <v>0</v>
      </c>
      <c r="J67" s="63">
        <v>0</v>
      </c>
      <c r="L67" s="63">
        <v>5</v>
      </c>
      <c r="M67" s="63">
        <v>8.05E-8</v>
      </c>
      <c r="N67" s="63">
        <v>4.633432</v>
      </c>
      <c r="O67" s="64">
        <v>8.0799999999999996E-8</v>
      </c>
    </row>
    <row r="68" spans="1:15" x14ac:dyDescent="0.25">
      <c r="A68" s="114" t="s">
        <v>2064</v>
      </c>
      <c r="B68" s="63" t="s">
        <v>53</v>
      </c>
      <c r="C68" s="63" t="s">
        <v>7</v>
      </c>
      <c r="D68" s="63">
        <v>100000</v>
      </c>
      <c r="E68" s="63">
        <v>1000</v>
      </c>
      <c r="F68" s="63">
        <v>10000000</v>
      </c>
      <c r="G68" s="63" t="s">
        <v>46</v>
      </c>
      <c r="H68" s="63" t="s">
        <v>46</v>
      </c>
      <c r="I68" s="63">
        <v>0</v>
      </c>
      <c r="J68" s="63">
        <v>0</v>
      </c>
      <c r="L68" s="63">
        <v>8.0349120000000003</v>
      </c>
      <c r="M68" s="63">
        <v>7.8400000000000001E-8</v>
      </c>
      <c r="N68" s="63">
        <v>5.9988400000000004</v>
      </c>
      <c r="O68" s="64">
        <v>7.9599999999999998E-8</v>
      </c>
    </row>
    <row r="69" spans="1:15" x14ac:dyDescent="0.25">
      <c r="A69" s="114" t="s">
        <v>2065</v>
      </c>
      <c r="B69" s="63" t="s">
        <v>53</v>
      </c>
      <c r="C69" s="63" t="s">
        <v>7</v>
      </c>
      <c r="D69" s="63">
        <v>100000</v>
      </c>
      <c r="E69" s="63">
        <v>1000</v>
      </c>
      <c r="F69" s="63">
        <v>100000000</v>
      </c>
      <c r="G69" s="63" t="s">
        <v>46</v>
      </c>
      <c r="H69" s="63" t="s">
        <v>46</v>
      </c>
      <c r="I69" s="63">
        <v>0</v>
      </c>
      <c r="J69" s="63">
        <v>0</v>
      </c>
      <c r="L69" s="63">
        <v>63.945030000000003</v>
      </c>
      <c r="M69" s="63">
        <v>6.3899999999999996E-8</v>
      </c>
      <c r="N69" s="63">
        <v>54.496929999999999</v>
      </c>
      <c r="O69" s="64">
        <v>4.88E-8</v>
      </c>
    </row>
    <row r="70" spans="1:15" x14ac:dyDescent="0.25">
      <c r="A70" s="114" t="s">
        <v>2066</v>
      </c>
      <c r="B70" s="63" t="s">
        <v>53</v>
      </c>
      <c r="C70" s="63" t="s">
        <v>7</v>
      </c>
      <c r="D70" s="63">
        <v>100000</v>
      </c>
      <c r="E70" s="63">
        <v>1000</v>
      </c>
      <c r="F70" s="63">
        <v>1000000000</v>
      </c>
      <c r="G70" s="63" t="s">
        <v>46</v>
      </c>
      <c r="H70" s="63" t="s">
        <v>46</v>
      </c>
      <c r="I70" s="63">
        <v>0</v>
      </c>
      <c r="J70" s="63">
        <v>0</v>
      </c>
      <c r="L70" s="63">
        <v>600.33960000000002</v>
      </c>
      <c r="M70" s="63">
        <v>9.6699999999999999E-8</v>
      </c>
      <c r="N70" s="63">
        <v>579.45889999999997</v>
      </c>
      <c r="O70" s="64">
        <v>6.7999999999999997E-9</v>
      </c>
    </row>
    <row r="71" spans="1:15" x14ac:dyDescent="0.25">
      <c r="A71" s="114" t="s">
        <v>2067</v>
      </c>
      <c r="B71" s="63" t="s">
        <v>53</v>
      </c>
      <c r="C71" s="63" t="s">
        <v>7</v>
      </c>
      <c r="D71" s="63">
        <v>100000</v>
      </c>
      <c r="E71" s="63">
        <v>1000</v>
      </c>
      <c r="F71" s="63">
        <v>10000000000</v>
      </c>
      <c r="G71" s="63" t="s">
        <v>46</v>
      </c>
      <c r="H71" s="63" t="s">
        <v>47</v>
      </c>
      <c r="I71" s="63">
        <v>0</v>
      </c>
      <c r="J71" s="63">
        <v>0</v>
      </c>
      <c r="L71" s="63">
        <v>5.8513339999999996</v>
      </c>
      <c r="M71" s="63">
        <v>2.4800000000000002E-10</v>
      </c>
      <c r="N71" s="63">
        <v>5.7999460000000003</v>
      </c>
      <c r="O71" s="64">
        <v>9.9999999999999998E-13</v>
      </c>
    </row>
    <row r="72" spans="1:15" x14ac:dyDescent="0.25">
      <c r="A72" s="114" t="s">
        <v>2179</v>
      </c>
      <c r="B72" s="63" t="s">
        <v>52</v>
      </c>
      <c r="C72" s="63" t="s">
        <v>44</v>
      </c>
      <c r="D72" s="63">
        <v>0</v>
      </c>
      <c r="E72" s="63">
        <v>1E-4</v>
      </c>
      <c r="F72" s="63">
        <v>1E-10</v>
      </c>
      <c r="G72" s="63" t="s">
        <v>13</v>
      </c>
      <c r="H72" s="63" t="s">
        <v>11</v>
      </c>
      <c r="I72" s="63">
        <v>1E-3</v>
      </c>
      <c r="J72" s="63">
        <v>0.02</v>
      </c>
      <c r="K72" s="63" t="s">
        <v>10</v>
      </c>
      <c r="L72" s="63">
        <v>7.6999999999999999E-2</v>
      </c>
      <c r="M72" s="63">
        <v>4200</v>
      </c>
      <c r="N72" s="63">
        <v>7.6632000000000006E-2</v>
      </c>
      <c r="O72" s="64">
        <v>4198.8999999999996</v>
      </c>
    </row>
    <row r="73" spans="1:15" x14ac:dyDescent="0.25">
      <c r="A73" s="114" t="s">
        <v>1232</v>
      </c>
      <c r="B73" s="63" t="s">
        <v>52</v>
      </c>
      <c r="C73" s="63" t="s">
        <v>44</v>
      </c>
      <c r="D73" s="63">
        <v>0</v>
      </c>
      <c r="E73" s="63">
        <v>1E-4</v>
      </c>
      <c r="F73" s="63">
        <v>1E-10</v>
      </c>
      <c r="G73" s="63" t="s">
        <v>13</v>
      </c>
      <c r="H73" s="63" t="s">
        <v>11</v>
      </c>
      <c r="I73" s="63">
        <v>0.02</v>
      </c>
      <c r="J73" s="63">
        <v>4.4999999999999998E-2</v>
      </c>
      <c r="K73" s="63" t="s">
        <v>10</v>
      </c>
      <c r="L73" s="63">
        <v>3.7999999999999999E-2</v>
      </c>
      <c r="M73" s="63">
        <v>1700</v>
      </c>
      <c r="N73" s="63">
        <v>3.4644000000000001E-2</v>
      </c>
      <c r="O73" s="64">
        <v>1732.1</v>
      </c>
    </row>
    <row r="74" spans="1:15" x14ac:dyDescent="0.25">
      <c r="A74" s="114" t="s">
        <v>1233</v>
      </c>
      <c r="B74" s="63" t="s">
        <v>52</v>
      </c>
      <c r="C74" s="63" t="s">
        <v>44</v>
      </c>
      <c r="D74" s="63">
        <v>0</v>
      </c>
      <c r="E74" s="63">
        <v>1E-4</v>
      </c>
      <c r="F74" s="63">
        <v>1E-10</v>
      </c>
      <c r="G74" s="63" t="s">
        <v>13</v>
      </c>
      <c r="H74" s="63" t="s">
        <v>11</v>
      </c>
      <c r="I74" s="63">
        <v>4.4999999999999998E-2</v>
      </c>
      <c r="J74" s="63">
        <v>5</v>
      </c>
      <c r="K74" s="63" t="s">
        <v>10</v>
      </c>
      <c r="L74" s="63">
        <v>3.6999999999999998E-2</v>
      </c>
      <c r="M74" s="63">
        <v>700</v>
      </c>
      <c r="N74" s="63">
        <v>3.5478000000000003E-2</v>
      </c>
      <c r="O74" s="64">
        <v>705.46</v>
      </c>
    </row>
    <row r="75" spans="1:15" x14ac:dyDescent="0.25">
      <c r="A75" s="114" t="s">
        <v>1258</v>
      </c>
      <c r="B75" s="63" t="s">
        <v>52</v>
      </c>
      <c r="C75" s="63" t="s">
        <v>44</v>
      </c>
      <c r="D75" s="63">
        <v>1E-4</v>
      </c>
      <c r="E75" s="63">
        <v>1E-3</v>
      </c>
      <c r="F75" s="63">
        <v>1E-10</v>
      </c>
      <c r="G75" s="63" t="s">
        <v>13</v>
      </c>
      <c r="H75" s="63" t="s">
        <v>11</v>
      </c>
      <c r="I75" s="63">
        <v>1E-3</v>
      </c>
      <c r="J75" s="63">
        <v>0.02</v>
      </c>
      <c r="K75" s="63" t="s">
        <v>10</v>
      </c>
      <c r="L75" s="63">
        <v>0.25</v>
      </c>
      <c r="M75" s="63">
        <v>4600</v>
      </c>
      <c r="N75" s="63">
        <v>0.23094999999999999</v>
      </c>
      <c r="O75" s="64">
        <v>4618.8</v>
      </c>
    </row>
    <row r="76" spans="1:15" x14ac:dyDescent="0.25">
      <c r="A76" s="114" t="s">
        <v>1259</v>
      </c>
      <c r="B76" s="63" t="s">
        <v>52</v>
      </c>
      <c r="C76" s="63" t="s">
        <v>44</v>
      </c>
      <c r="D76" s="63">
        <v>1E-4</v>
      </c>
      <c r="E76" s="63">
        <v>1E-3</v>
      </c>
      <c r="F76" s="63">
        <v>1E-10</v>
      </c>
      <c r="G76" s="63" t="s">
        <v>13</v>
      </c>
      <c r="H76" s="63" t="s">
        <v>11</v>
      </c>
      <c r="I76" s="63">
        <v>0.02</v>
      </c>
      <c r="J76" s="63">
        <v>4.4999999999999998E-2</v>
      </c>
      <c r="K76" s="63" t="s">
        <v>10</v>
      </c>
      <c r="L76" s="63">
        <v>0.27</v>
      </c>
      <c r="M76" s="63">
        <v>1700</v>
      </c>
      <c r="N76" s="63">
        <v>0.23094000000000001</v>
      </c>
      <c r="O76" s="64">
        <v>1732.1</v>
      </c>
    </row>
    <row r="77" spans="1:15" x14ac:dyDescent="0.25">
      <c r="A77" s="114" t="s">
        <v>1261</v>
      </c>
      <c r="B77" s="63" t="s">
        <v>52</v>
      </c>
      <c r="C77" s="63" t="s">
        <v>44</v>
      </c>
      <c r="D77" s="63">
        <v>1E-4</v>
      </c>
      <c r="E77" s="63">
        <v>1E-3</v>
      </c>
      <c r="F77" s="63">
        <v>1E-10</v>
      </c>
      <c r="G77" s="63" t="s">
        <v>13</v>
      </c>
      <c r="H77" s="63" t="s">
        <v>11</v>
      </c>
      <c r="I77" s="63">
        <v>4.4999999999999998E-2</v>
      </c>
      <c r="J77" s="63">
        <v>0.1</v>
      </c>
      <c r="K77" s="63" t="s">
        <v>10</v>
      </c>
      <c r="L77" s="63">
        <v>0.24</v>
      </c>
      <c r="M77" s="63">
        <v>690</v>
      </c>
      <c r="N77" s="63">
        <v>0.23094000000000001</v>
      </c>
      <c r="O77" s="64">
        <v>693.02</v>
      </c>
    </row>
    <row r="78" spans="1:15" x14ac:dyDescent="0.25">
      <c r="A78" s="114" t="s">
        <v>1256</v>
      </c>
      <c r="B78" s="63" t="s">
        <v>52</v>
      </c>
      <c r="C78" s="63" t="s">
        <v>44</v>
      </c>
      <c r="D78" s="63">
        <v>1E-4</v>
      </c>
      <c r="E78" s="63">
        <v>1E-3</v>
      </c>
      <c r="F78" s="63">
        <v>1E-10</v>
      </c>
      <c r="G78" s="63" t="s">
        <v>13</v>
      </c>
      <c r="H78" s="63" t="s">
        <v>11</v>
      </c>
      <c r="I78" s="63">
        <v>0.1</v>
      </c>
      <c r="J78" s="63">
        <v>5</v>
      </c>
      <c r="K78" s="63" t="s">
        <v>10</v>
      </c>
      <c r="L78" s="63">
        <v>0.25</v>
      </c>
      <c r="M78" s="63">
        <v>350</v>
      </c>
      <c r="N78" s="63">
        <v>0.23000999999999999</v>
      </c>
      <c r="O78" s="64">
        <v>364.09</v>
      </c>
    </row>
    <row r="79" spans="1:15" x14ac:dyDescent="0.25">
      <c r="A79" s="114" t="s">
        <v>1257</v>
      </c>
      <c r="B79" s="63" t="s">
        <v>52</v>
      </c>
      <c r="C79" s="63" t="s">
        <v>44</v>
      </c>
      <c r="D79" s="63">
        <v>1E-4</v>
      </c>
      <c r="E79" s="63">
        <v>1E-3</v>
      </c>
      <c r="F79" s="63">
        <v>1E-10</v>
      </c>
      <c r="G79" s="63" t="s">
        <v>13</v>
      </c>
      <c r="H79" s="63" t="s">
        <v>11</v>
      </c>
      <c r="I79" s="63">
        <v>5</v>
      </c>
      <c r="J79" s="63">
        <v>20</v>
      </c>
      <c r="K79" s="63" t="s">
        <v>10</v>
      </c>
      <c r="L79" s="63">
        <v>0.25</v>
      </c>
      <c r="M79" s="63">
        <v>710</v>
      </c>
      <c r="N79" s="63">
        <v>0.23471</v>
      </c>
      <c r="O79" s="64">
        <v>715.83</v>
      </c>
    </row>
    <row r="80" spans="1:15" x14ac:dyDescent="0.25">
      <c r="A80" s="114" t="s">
        <v>1260</v>
      </c>
      <c r="B80" s="63" t="s">
        <v>52</v>
      </c>
      <c r="C80" s="63" t="s">
        <v>44</v>
      </c>
      <c r="D80" s="63">
        <v>1E-4</v>
      </c>
      <c r="E80" s="63">
        <v>1E-3</v>
      </c>
      <c r="F80" s="63">
        <v>1E-10</v>
      </c>
      <c r="G80" s="63" t="s">
        <v>13</v>
      </c>
      <c r="H80" s="63" t="s">
        <v>11</v>
      </c>
      <c r="I80" s="63">
        <v>20</v>
      </c>
      <c r="J80" s="63">
        <v>50</v>
      </c>
      <c r="K80" s="63" t="s">
        <v>10</v>
      </c>
      <c r="L80" s="63">
        <v>0.47</v>
      </c>
      <c r="M80" s="63">
        <v>4800</v>
      </c>
      <c r="N80" s="63">
        <v>0.46627000000000002</v>
      </c>
      <c r="O80" s="64">
        <v>4761.7</v>
      </c>
    </row>
    <row r="81" spans="1:15" x14ac:dyDescent="0.25">
      <c r="A81" s="114" t="s">
        <v>2180</v>
      </c>
      <c r="B81" s="63" t="s">
        <v>52</v>
      </c>
      <c r="C81" s="63" t="s">
        <v>44</v>
      </c>
      <c r="D81" s="63">
        <v>1E-4</v>
      </c>
      <c r="E81" s="63">
        <v>1E-3</v>
      </c>
      <c r="F81" s="63">
        <v>1E-10</v>
      </c>
      <c r="G81" s="63" t="s">
        <v>13</v>
      </c>
      <c r="H81" s="63" t="s">
        <v>11</v>
      </c>
      <c r="I81" s="63">
        <v>50</v>
      </c>
      <c r="J81" s="63">
        <v>100</v>
      </c>
      <c r="K81" s="63" t="s">
        <v>10</v>
      </c>
      <c r="L81" s="63">
        <v>1.9</v>
      </c>
      <c r="M81" s="63">
        <v>6500</v>
      </c>
      <c r="N81" s="63">
        <v>1.7592000000000001</v>
      </c>
      <c r="O81" s="64">
        <v>6558</v>
      </c>
    </row>
    <row r="82" spans="1:15" x14ac:dyDescent="0.25">
      <c r="A82" s="114" t="s">
        <v>1236</v>
      </c>
      <c r="B82" s="63" t="s">
        <v>52</v>
      </c>
      <c r="C82" s="63" t="s">
        <v>44</v>
      </c>
      <c r="D82" s="63">
        <v>0</v>
      </c>
      <c r="E82" s="63">
        <v>1E-4</v>
      </c>
      <c r="F82" s="63">
        <v>1.0000000000000001E-9</v>
      </c>
      <c r="G82" s="63" t="s">
        <v>13</v>
      </c>
      <c r="H82" s="63" t="s">
        <v>11</v>
      </c>
      <c r="I82" s="63">
        <v>1E-3</v>
      </c>
      <c r="J82" s="63">
        <v>0.02</v>
      </c>
      <c r="K82" s="63" t="s">
        <v>10</v>
      </c>
      <c r="L82" s="63">
        <v>7.6999999999999999E-2</v>
      </c>
      <c r="M82" s="63">
        <v>4200</v>
      </c>
      <c r="N82" s="63">
        <v>7.6633000000000007E-2</v>
      </c>
      <c r="O82" s="64">
        <v>4198.8999999999996</v>
      </c>
    </row>
    <row r="83" spans="1:15" x14ac:dyDescent="0.25">
      <c r="A83" s="114" t="s">
        <v>1235</v>
      </c>
      <c r="B83" s="63" t="s">
        <v>52</v>
      </c>
      <c r="C83" s="63" t="s">
        <v>44</v>
      </c>
      <c r="D83" s="63">
        <v>0</v>
      </c>
      <c r="E83" s="63">
        <v>1E-4</v>
      </c>
      <c r="F83" s="63">
        <v>1.0000000000000001E-9</v>
      </c>
      <c r="G83" s="63" t="s">
        <v>13</v>
      </c>
      <c r="H83" s="63" t="s">
        <v>11</v>
      </c>
      <c r="I83" s="63">
        <v>0.02</v>
      </c>
      <c r="J83" s="63">
        <v>4.4999999999999998E-2</v>
      </c>
      <c r="K83" s="63" t="s">
        <v>10</v>
      </c>
      <c r="L83" s="63">
        <v>3.7999999999999999E-2</v>
      </c>
      <c r="M83" s="63">
        <v>1700</v>
      </c>
      <c r="N83" s="63">
        <v>3.4647999999999998E-2</v>
      </c>
      <c r="O83" s="64">
        <v>1732.1</v>
      </c>
    </row>
    <row r="84" spans="1:15" x14ac:dyDescent="0.25">
      <c r="A84" s="114" t="s">
        <v>1234</v>
      </c>
      <c r="B84" s="63" t="s">
        <v>52</v>
      </c>
      <c r="C84" s="63" t="s">
        <v>44</v>
      </c>
      <c r="D84" s="63">
        <v>0</v>
      </c>
      <c r="E84" s="63">
        <v>1E-4</v>
      </c>
      <c r="F84" s="63">
        <v>1.0000000000000001E-9</v>
      </c>
      <c r="G84" s="63" t="s">
        <v>13</v>
      </c>
      <c r="H84" s="63" t="s">
        <v>11</v>
      </c>
      <c r="I84" s="63">
        <v>4.4999999999999998E-2</v>
      </c>
      <c r="J84" s="63">
        <v>5</v>
      </c>
      <c r="K84" s="63" t="s">
        <v>10</v>
      </c>
      <c r="L84" s="63">
        <v>3.6999999999999998E-2</v>
      </c>
      <c r="M84" s="63">
        <v>701.57</v>
      </c>
      <c r="N84" s="63">
        <v>3.5484000000000002E-2</v>
      </c>
      <c r="O84" s="64">
        <v>705.45</v>
      </c>
    </row>
    <row r="85" spans="1:15" x14ac:dyDescent="0.25">
      <c r="A85" s="114" t="s">
        <v>1267</v>
      </c>
      <c r="B85" s="63" t="s">
        <v>52</v>
      </c>
      <c r="C85" s="63" t="s">
        <v>44</v>
      </c>
      <c r="D85" s="63">
        <v>1E-4</v>
      </c>
      <c r="E85" s="63">
        <v>1E-3</v>
      </c>
      <c r="F85" s="63">
        <v>1.0000000000000001E-9</v>
      </c>
      <c r="G85" s="63" t="s">
        <v>13</v>
      </c>
      <c r="H85" s="63" t="s">
        <v>11</v>
      </c>
      <c r="I85" s="63">
        <v>1E-3</v>
      </c>
      <c r="J85" s="63">
        <v>0.02</v>
      </c>
      <c r="K85" s="63" t="s">
        <v>10</v>
      </c>
      <c r="L85" s="63">
        <v>0.25</v>
      </c>
      <c r="M85" s="63">
        <v>4600</v>
      </c>
      <c r="N85" s="63">
        <v>0.23097999999999999</v>
      </c>
      <c r="O85" s="64">
        <v>4618.8</v>
      </c>
    </row>
    <row r="86" spans="1:15" x14ac:dyDescent="0.25">
      <c r="A86" s="114" t="s">
        <v>1266</v>
      </c>
      <c r="B86" s="63" t="s">
        <v>52</v>
      </c>
      <c r="C86" s="63" t="s">
        <v>44</v>
      </c>
      <c r="D86" s="63">
        <v>1E-4</v>
      </c>
      <c r="E86" s="63">
        <v>1E-3</v>
      </c>
      <c r="F86" s="63">
        <v>1.0000000000000001E-9</v>
      </c>
      <c r="G86" s="63" t="s">
        <v>13</v>
      </c>
      <c r="H86" s="63" t="s">
        <v>11</v>
      </c>
      <c r="I86" s="63">
        <v>0.02</v>
      </c>
      <c r="J86" s="63">
        <v>4.4999999999999998E-2</v>
      </c>
      <c r="K86" s="63" t="s">
        <v>10</v>
      </c>
      <c r="L86" s="63">
        <v>0.27</v>
      </c>
      <c r="M86" s="63">
        <v>1700</v>
      </c>
      <c r="N86" s="63">
        <v>0.23100000000000001</v>
      </c>
      <c r="O86" s="64">
        <v>1732.1</v>
      </c>
    </row>
    <row r="87" spans="1:15" x14ac:dyDescent="0.25">
      <c r="A87" s="114" t="s">
        <v>2181</v>
      </c>
      <c r="B87" s="63" t="s">
        <v>52</v>
      </c>
      <c r="C87" s="63" t="s">
        <v>44</v>
      </c>
      <c r="D87" s="63">
        <v>1E-4</v>
      </c>
      <c r="E87" s="63">
        <v>1E-3</v>
      </c>
      <c r="F87" s="63">
        <v>1.0000000000000001E-9</v>
      </c>
      <c r="G87" s="63" t="s">
        <v>13</v>
      </c>
      <c r="H87" s="63" t="s">
        <v>11</v>
      </c>
      <c r="I87" s="63">
        <v>4.4999999999999998E-2</v>
      </c>
      <c r="J87" s="63">
        <v>0.1</v>
      </c>
      <c r="K87" s="63" t="s">
        <v>10</v>
      </c>
      <c r="L87" s="63">
        <v>0.24</v>
      </c>
      <c r="M87" s="63">
        <v>690</v>
      </c>
      <c r="N87" s="63">
        <v>0.23102</v>
      </c>
      <c r="O87" s="64">
        <v>692.99</v>
      </c>
    </row>
    <row r="88" spans="1:15" x14ac:dyDescent="0.25">
      <c r="A88" s="114" t="s">
        <v>1262</v>
      </c>
      <c r="B88" s="63" t="s">
        <v>52</v>
      </c>
      <c r="C88" s="63" t="s">
        <v>44</v>
      </c>
      <c r="D88" s="63">
        <v>1E-4</v>
      </c>
      <c r="E88" s="63">
        <v>1E-3</v>
      </c>
      <c r="F88" s="63">
        <v>1.0000000000000001E-9</v>
      </c>
      <c r="G88" s="63" t="s">
        <v>13</v>
      </c>
      <c r="H88" s="63" t="s">
        <v>11</v>
      </c>
      <c r="I88" s="63">
        <v>0.1</v>
      </c>
      <c r="J88" s="63">
        <v>5</v>
      </c>
      <c r="K88" s="63" t="s">
        <v>10</v>
      </c>
      <c r="L88" s="63">
        <v>0.25</v>
      </c>
      <c r="M88" s="63">
        <v>354.91</v>
      </c>
      <c r="N88" s="63">
        <v>0.23008999999999999</v>
      </c>
      <c r="O88" s="64">
        <v>364.09</v>
      </c>
    </row>
    <row r="89" spans="1:15" x14ac:dyDescent="0.25">
      <c r="A89" s="114" t="s">
        <v>1264</v>
      </c>
      <c r="B89" s="63" t="s">
        <v>52</v>
      </c>
      <c r="C89" s="63" t="s">
        <v>44</v>
      </c>
      <c r="D89" s="63">
        <v>1E-4</v>
      </c>
      <c r="E89" s="63">
        <v>1E-3</v>
      </c>
      <c r="F89" s="63">
        <v>1.0000000000000001E-9</v>
      </c>
      <c r="G89" s="63" t="s">
        <v>13</v>
      </c>
      <c r="H89" s="63" t="s">
        <v>11</v>
      </c>
      <c r="I89" s="63">
        <v>5</v>
      </c>
      <c r="J89" s="63">
        <v>20</v>
      </c>
      <c r="K89" s="63" t="s">
        <v>10</v>
      </c>
      <c r="L89" s="63">
        <v>0.25</v>
      </c>
      <c r="M89" s="63">
        <v>711.93</v>
      </c>
      <c r="N89" s="63">
        <v>0.23479</v>
      </c>
      <c r="O89" s="64">
        <v>715.8</v>
      </c>
    </row>
    <row r="90" spans="1:15" x14ac:dyDescent="0.25">
      <c r="A90" s="114" t="s">
        <v>1265</v>
      </c>
      <c r="B90" s="63" t="s">
        <v>52</v>
      </c>
      <c r="C90" s="63" t="s">
        <v>44</v>
      </c>
      <c r="D90" s="63">
        <v>1E-4</v>
      </c>
      <c r="E90" s="63">
        <v>1E-3</v>
      </c>
      <c r="F90" s="63">
        <v>1.0000000000000001E-9</v>
      </c>
      <c r="G90" s="63" t="s">
        <v>13</v>
      </c>
      <c r="H90" s="63" t="s">
        <v>11</v>
      </c>
      <c r="I90" s="63">
        <v>20</v>
      </c>
      <c r="J90" s="63">
        <v>50</v>
      </c>
      <c r="K90" s="63" t="s">
        <v>10</v>
      </c>
      <c r="L90" s="63">
        <v>0.47</v>
      </c>
      <c r="M90" s="63">
        <v>4761.6000000000004</v>
      </c>
      <c r="N90" s="63">
        <v>0.46636</v>
      </c>
      <c r="O90" s="64">
        <v>4761.6000000000004</v>
      </c>
    </row>
    <row r="91" spans="1:15" x14ac:dyDescent="0.25">
      <c r="A91" s="114" t="s">
        <v>1263</v>
      </c>
      <c r="B91" s="63" t="s">
        <v>52</v>
      </c>
      <c r="C91" s="63" t="s">
        <v>44</v>
      </c>
      <c r="D91" s="63">
        <v>1E-4</v>
      </c>
      <c r="E91" s="63">
        <v>1E-3</v>
      </c>
      <c r="F91" s="63">
        <v>1.0000000000000001E-9</v>
      </c>
      <c r="G91" s="63" t="s">
        <v>13</v>
      </c>
      <c r="H91" s="63" t="s">
        <v>11</v>
      </c>
      <c r="I91" s="63">
        <v>50</v>
      </c>
      <c r="J91" s="63">
        <v>100</v>
      </c>
      <c r="K91" s="63" t="s">
        <v>10</v>
      </c>
      <c r="L91" s="63">
        <v>1.9</v>
      </c>
      <c r="M91" s="63">
        <v>6531.9</v>
      </c>
      <c r="N91" s="63">
        <v>1.7594000000000001</v>
      </c>
      <c r="O91" s="64">
        <v>6558.1</v>
      </c>
    </row>
    <row r="92" spans="1:15" x14ac:dyDescent="0.25">
      <c r="A92" s="114" t="s">
        <v>1237</v>
      </c>
      <c r="B92" s="63" t="s">
        <v>52</v>
      </c>
      <c r="C92" s="63" t="s">
        <v>44</v>
      </c>
      <c r="D92" s="63">
        <v>0</v>
      </c>
      <c r="E92" s="63">
        <v>1E-4</v>
      </c>
      <c r="F92" s="63">
        <v>1E-8</v>
      </c>
      <c r="G92" s="63" t="s">
        <v>13</v>
      </c>
      <c r="H92" s="63" t="s">
        <v>11</v>
      </c>
      <c r="I92" s="63">
        <v>1E-3</v>
      </c>
      <c r="J92" s="63">
        <v>0.02</v>
      </c>
      <c r="K92" s="63" t="s">
        <v>10</v>
      </c>
      <c r="L92" s="63">
        <v>7.6999999999999999E-2</v>
      </c>
      <c r="M92" s="63">
        <v>4200</v>
      </c>
      <c r="N92" s="63">
        <v>7.6839000000000005E-2</v>
      </c>
      <c r="O92" s="64">
        <v>4197.2</v>
      </c>
    </row>
    <row r="93" spans="1:15" x14ac:dyDescent="0.25">
      <c r="A93" s="114" t="s">
        <v>2182</v>
      </c>
      <c r="B93" s="63" t="s">
        <v>52</v>
      </c>
      <c r="C93" s="63" t="s">
        <v>44</v>
      </c>
      <c r="D93" s="63">
        <v>0</v>
      </c>
      <c r="E93" s="63">
        <v>1E-4</v>
      </c>
      <c r="F93" s="63">
        <v>1E-8</v>
      </c>
      <c r="G93" s="63" t="s">
        <v>13</v>
      </c>
      <c r="H93" s="63" t="s">
        <v>11</v>
      </c>
      <c r="I93" s="63">
        <v>0.02</v>
      </c>
      <c r="J93" s="63">
        <v>4.4999999999999998E-2</v>
      </c>
      <c r="K93" s="63" t="s">
        <v>10</v>
      </c>
      <c r="L93" s="63">
        <v>3.7999999999999999E-2</v>
      </c>
      <c r="M93" s="63">
        <v>1700</v>
      </c>
      <c r="N93" s="63">
        <v>3.4998000000000001E-2</v>
      </c>
      <c r="O93" s="64">
        <v>1729.4</v>
      </c>
    </row>
    <row r="94" spans="1:15" x14ac:dyDescent="0.25">
      <c r="A94" s="114" t="s">
        <v>1238</v>
      </c>
      <c r="B94" s="63" t="s">
        <v>52</v>
      </c>
      <c r="C94" s="63" t="s">
        <v>44</v>
      </c>
      <c r="D94" s="63">
        <v>0</v>
      </c>
      <c r="E94" s="63">
        <v>1E-4</v>
      </c>
      <c r="F94" s="63">
        <v>1E-8</v>
      </c>
      <c r="G94" s="63" t="s">
        <v>13</v>
      </c>
      <c r="H94" s="63" t="s">
        <v>11</v>
      </c>
      <c r="I94" s="63">
        <v>4.4999999999999998E-2</v>
      </c>
      <c r="J94" s="63">
        <v>5</v>
      </c>
      <c r="K94" s="63" t="s">
        <v>10</v>
      </c>
      <c r="L94" s="63">
        <v>3.6999999999999998E-2</v>
      </c>
      <c r="M94" s="63">
        <v>703.27</v>
      </c>
      <c r="N94" s="63">
        <v>3.5899E-2</v>
      </c>
      <c r="O94" s="64">
        <v>702.95</v>
      </c>
    </row>
    <row r="95" spans="1:15" x14ac:dyDescent="0.25">
      <c r="A95" s="114" t="s">
        <v>1272</v>
      </c>
      <c r="B95" s="63" t="s">
        <v>52</v>
      </c>
      <c r="C95" s="63" t="s">
        <v>44</v>
      </c>
      <c r="D95" s="63">
        <v>1E-4</v>
      </c>
      <c r="E95" s="63">
        <v>1E-3</v>
      </c>
      <c r="F95" s="63">
        <v>1E-8</v>
      </c>
      <c r="G95" s="63" t="s">
        <v>13</v>
      </c>
      <c r="H95" s="63" t="s">
        <v>11</v>
      </c>
      <c r="I95" s="63">
        <v>1E-3</v>
      </c>
      <c r="J95" s="63">
        <v>0.02</v>
      </c>
      <c r="K95" s="63" t="s">
        <v>10</v>
      </c>
      <c r="L95" s="63">
        <v>0.25</v>
      </c>
      <c r="M95" s="63">
        <v>4600.3</v>
      </c>
      <c r="N95" s="63">
        <v>0.23363</v>
      </c>
      <c r="O95" s="64">
        <v>4616.5</v>
      </c>
    </row>
    <row r="96" spans="1:15" x14ac:dyDescent="0.25">
      <c r="A96" s="114" t="s">
        <v>1273</v>
      </c>
      <c r="B96" s="63" t="s">
        <v>52</v>
      </c>
      <c r="C96" s="63" t="s">
        <v>44</v>
      </c>
      <c r="D96" s="63">
        <v>1E-4</v>
      </c>
      <c r="E96" s="63">
        <v>1E-3</v>
      </c>
      <c r="F96" s="63">
        <v>1E-8</v>
      </c>
      <c r="G96" s="63" t="s">
        <v>13</v>
      </c>
      <c r="H96" s="63" t="s">
        <v>11</v>
      </c>
      <c r="I96" s="63">
        <v>0.02</v>
      </c>
      <c r="J96" s="63">
        <v>4.4999999999999998E-2</v>
      </c>
      <c r="K96" s="63" t="s">
        <v>10</v>
      </c>
      <c r="L96" s="63">
        <v>0.27</v>
      </c>
      <c r="M96" s="63">
        <v>1700</v>
      </c>
      <c r="N96" s="63">
        <v>0.23546</v>
      </c>
      <c r="O96" s="64">
        <v>1728.5</v>
      </c>
    </row>
    <row r="97" spans="1:15" x14ac:dyDescent="0.25">
      <c r="A97" s="114" t="s">
        <v>1269</v>
      </c>
      <c r="B97" s="63" t="s">
        <v>52</v>
      </c>
      <c r="C97" s="63" t="s">
        <v>44</v>
      </c>
      <c r="D97" s="63">
        <v>1E-4</v>
      </c>
      <c r="E97" s="63">
        <v>1E-3</v>
      </c>
      <c r="F97" s="63">
        <v>1E-8</v>
      </c>
      <c r="G97" s="63" t="s">
        <v>13</v>
      </c>
      <c r="H97" s="63" t="s">
        <v>11</v>
      </c>
      <c r="I97" s="63">
        <v>4.4999999999999998E-2</v>
      </c>
      <c r="J97" s="63">
        <v>0.1</v>
      </c>
      <c r="K97" s="63" t="s">
        <v>10</v>
      </c>
      <c r="L97" s="63">
        <v>0.24</v>
      </c>
      <c r="M97" s="63">
        <v>690</v>
      </c>
      <c r="N97" s="63">
        <v>0.23691000000000001</v>
      </c>
      <c r="O97" s="64">
        <v>689</v>
      </c>
    </row>
    <row r="98" spans="1:15" x14ac:dyDescent="0.25">
      <c r="A98" s="114" t="s">
        <v>1270</v>
      </c>
      <c r="B98" s="63" t="s">
        <v>52</v>
      </c>
      <c r="C98" s="63" t="s">
        <v>44</v>
      </c>
      <c r="D98" s="63">
        <v>1E-4</v>
      </c>
      <c r="E98" s="63">
        <v>1E-3</v>
      </c>
      <c r="F98" s="63">
        <v>1E-8</v>
      </c>
      <c r="G98" s="63" t="s">
        <v>13</v>
      </c>
      <c r="H98" s="63" t="s">
        <v>11</v>
      </c>
      <c r="I98" s="63">
        <v>0.1</v>
      </c>
      <c r="J98" s="63">
        <v>5</v>
      </c>
      <c r="K98" s="63" t="s">
        <v>10</v>
      </c>
      <c r="L98" s="63">
        <v>0.25</v>
      </c>
      <c r="M98" s="63">
        <v>359.01</v>
      </c>
      <c r="N98" s="63">
        <v>0.23663000000000001</v>
      </c>
      <c r="O98" s="64">
        <v>360.5</v>
      </c>
    </row>
    <row r="99" spans="1:15" x14ac:dyDescent="0.25">
      <c r="A99" s="114" t="s">
        <v>1274</v>
      </c>
      <c r="B99" s="63" t="s">
        <v>52</v>
      </c>
      <c r="C99" s="63" t="s">
        <v>44</v>
      </c>
      <c r="D99" s="63">
        <v>1E-4</v>
      </c>
      <c r="E99" s="63">
        <v>1E-3</v>
      </c>
      <c r="F99" s="63">
        <v>1E-8</v>
      </c>
      <c r="G99" s="63" t="s">
        <v>13</v>
      </c>
      <c r="H99" s="63" t="s">
        <v>11</v>
      </c>
      <c r="I99" s="63">
        <v>5</v>
      </c>
      <c r="J99" s="63">
        <v>20</v>
      </c>
      <c r="K99" s="63" t="s">
        <v>10</v>
      </c>
      <c r="L99" s="63">
        <v>0.25</v>
      </c>
      <c r="M99" s="63">
        <v>712.22</v>
      </c>
      <c r="N99" s="63">
        <v>0.24057999999999999</v>
      </c>
      <c r="O99" s="64">
        <v>711.87</v>
      </c>
    </row>
    <row r="100" spans="1:15" x14ac:dyDescent="0.25">
      <c r="A100" s="114" t="s">
        <v>1268</v>
      </c>
      <c r="B100" s="63" t="s">
        <v>52</v>
      </c>
      <c r="C100" s="63" t="s">
        <v>44</v>
      </c>
      <c r="D100" s="63">
        <v>1E-4</v>
      </c>
      <c r="E100" s="63">
        <v>1E-3</v>
      </c>
      <c r="F100" s="63">
        <v>1E-8</v>
      </c>
      <c r="G100" s="63" t="s">
        <v>13</v>
      </c>
      <c r="H100" s="63" t="s">
        <v>11</v>
      </c>
      <c r="I100" s="63">
        <v>20</v>
      </c>
      <c r="J100" s="63">
        <v>50</v>
      </c>
      <c r="K100" s="63" t="s">
        <v>10</v>
      </c>
      <c r="L100" s="63">
        <v>0.47</v>
      </c>
      <c r="M100" s="63">
        <v>4759.8999999999996</v>
      </c>
      <c r="N100" s="63">
        <v>0.46837000000000001</v>
      </c>
      <c r="O100" s="64">
        <v>4760</v>
      </c>
    </row>
    <row r="101" spans="1:15" x14ac:dyDescent="0.25">
      <c r="A101" s="114" t="s">
        <v>1271</v>
      </c>
      <c r="B101" s="63" t="s">
        <v>52</v>
      </c>
      <c r="C101" s="63" t="s">
        <v>44</v>
      </c>
      <c r="D101" s="63">
        <v>1E-4</v>
      </c>
      <c r="E101" s="63">
        <v>1E-3</v>
      </c>
      <c r="F101" s="63">
        <v>1E-8</v>
      </c>
      <c r="G101" s="63" t="s">
        <v>13</v>
      </c>
      <c r="H101" s="63" t="s">
        <v>11</v>
      </c>
      <c r="I101" s="63">
        <v>50</v>
      </c>
      <c r="J101" s="63">
        <v>100</v>
      </c>
      <c r="K101" s="63" t="s">
        <v>10</v>
      </c>
      <c r="L101" s="63">
        <v>1.9</v>
      </c>
      <c r="M101" s="63">
        <v>6537.4</v>
      </c>
      <c r="N101" s="63">
        <v>1.7606999999999999</v>
      </c>
      <c r="O101" s="64">
        <v>6558</v>
      </c>
    </row>
    <row r="102" spans="1:15" x14ac:dyDescent="0.25">
      <c r="A102" s="114" t="s">
        <v>1290</v>
      </c>
      <c r="B102" s="63" t="s">
        <v>52</v>
      </c>
      <c r="C102" s="63" t="s">
        <v>44</v>
      </c>
      <c r="D102" s="63">
        <v>1E-3</v>
      </c>
      <c r="E102" s="63">
        <v>0.01</v>
      </c>
      <c r="F102" s="63">
        <v>1E-8</v>
      </c>
      <c r="G102" s="63" t="s">
        <v>13</v>
      </c>
      <c r="H102" s="63" t="s">
        <v>11</v>
      </c>
      <c r="I102" s="63">
        <v>1E-3</v>
      </c>
      <c r="J102" s="63">
        <v>0.02</v>
      </c>
      <c r="K102" s="63" t="s">
        <v>10</v>
      </c>
      <c r="L102" s="63">
        <v>2.5</v>
      </c>
      <c r="M102" s="63">
        <v>4600</v>
      </c>
      <c r="N102" s="63">
        <v>2.3096000000000001</v>
      </c>
      <c r="O102" s="64">
        <v>4618.8</v>
      </c>
    </row>
    <row r="103" spans="1:15" x14ac:dyDescent="0.25">
      <c r="A103" s="114" t="s">
        <v>1293</v>
      </c>
      <c r="B103" s="63" t="s">
        <v>52</v>
      </c>
      <c r="C103" s="63" t="s">
        <v>44</v>
      </c>
      <c r="D103" s="63">
        <v>1E-3</v>
      </c>
      <c r="E103" s="63">
        <v>0.01</v>
      </c>
      <c r="F103" s="63">
        <v>1E-8</v>
      </c>
      <c r="G103" s="63" t="s">
        <v>13</v>
      </c>
      <c r="H103" s="63" t="s">
        <v>11</v>
      </c>
      <c r="I103" s="63">
        <v>0.02</v>
      </c>
      <c r="J103" s="63">
        <v>4.4999999999999998E-2</v>
      </c>
      <c r="K103" s="63" t="s">
        <v>10</v>
      </c>
      <c r="L103" s="63">
        <v>2.7</v>
      </c>
      <c r="M103" s="63">
        <v>1700</v>
      </c>
      <c r="N103" s="63">
        <v>2.3094999999999999</v>
      </c>
      <c r="O103" s="64">
        <v>1732.1</v>
      </c>
    </row>
    <row r="104" spans="1:15" x14ac:dyDescent="0.25">
      <c r="A104" s="114" t="s">
        <v>2183</v>
      </c>
      <c r="B104" s="63" t="s">
        <v>52</v>
      </c>
      <c r="C104" s="63" t="s">
        <v>44</v>
      </c>
      <c r="D104" s="63">
        <v>1E-3</v>
      </c>
      <c r="E104" s="63">
        <v>0.01</v>
      </c>
      <c r="F104" s="63">
        <v>1E-8</v>
      </c>
      <c r="G104" s="63" t="s">
        <v>13</v>
      </c>
      <c r="H104" s="63" t="s">
        <v>11</v>
      </c>
      <c r="I104" s="63">
        <v>4.4999999999999998E-2</v>
      </c>
      <c r="J104" s="63">
        <v>0.1</v>
      </c>
      <c r="K104" s="63" t="s">
        <v>10</v>
      </c>
      <c r="L104" s="63">
        <v>2.4</v>
      </c>
      <c r="M104" s="63">
        <v>690</v>
      </c>
      <c r="N104" s="63">
        <v>2.3094999999999999</v>
      </c>
      <c r="O104" s="64">
        <v>693.04</v>
      </c>
    </row>
    <row r="105" spans="1:15" x14ac:dyDescent="0.25">
      <c r="A105" s="114" t="s">
        <v>1289</v>
      </c>
      <c r="B105" s="63" t="s">
        <v>52</v>
      </c>
      <c r="C105" s="63" t="s">
        <v>44</v>
      </c>
      <c r="D105" s="63">
        <v>1E-3</v>
      </c>
      <c r="E105" s="63">
        <v>0.01</v>
      </c>
      <c r="F105" s="63">
        <v>1E-8</v>
      </c>
      <c r="G105" s="63" t="s">
        <v>13</v>
      </c>
      <c r="H105" s="63" t="s">
        <v>11</v>
      </c>
      <c r="I105" s="63">
        <v>0.1</v>
      </c>
      <c r="J105" s="63">
        <v>5</v>
      </c>
      <c r="K105" s="63" t="s">
        <v>10</v>
      </c>
      <c r="L105" s="63">
        <v>2.5</v>
      </c>
      <c r="M105" s="63">
        <v>350</v>
      </c>
      <c r="N105" s="63">
        <v>2.2951999999999999</v>
      </c>
      <c r="O105" s="64">
        <v>364.62</v>
      </c>
    </row>
    <row r="106" spans="1:15" x14ac:dyDescent="0.25">
      <c r="A106" s="114" t="s">
        <v>1291</v>
      </c>
      <c r="B106" s="63" t="s">
        <v>52</v>
      </c>
      <c r="C106" s="63" t="s">
        <v>44</v>
      </c>
      <c r="D106" s="63">
        <v>1E-3</v>
      </c>
      <c r="E106" s="63">
        <v>0.01</v>
      </c>
      <c r="F106" s="63">
        <v>1E-8</v>
      </c>
      <c r="G106" s="63" t="s">
        <v>13</v>
      </c>
      <c r="H106" s="63" t="s">
        <v>11</v>
      </c>
      <c r="I106" s="63">
        <v>5</v>
      </c>
      <c r="J106" s="63">
        <v>20</v>
      </c>
      <c r="K106" s="63" t="s">
        <v>10</v>
      </c>
      <c r="L106" s="63">
        <v>2.5</v>
      </c>
      <c r="M106" s="63">
        <v>710</v>
      </c>
      <c r="N106" s="63">
        <v>2.2890999999999999</v>
      </c>
      <c r="O106" s="64">
        <v>721.65</v>
      </c>
    </row>
    <row r="107" spans="1:15" x14ac:dyDescent="0.25">
      <c r="A107" s="114" t="s">
        <v>1292</v>
      </c>
      <c r="B107" s="63" t="s">
        <v>52</v>
      </c>
      <c r="C107" s="63" t="s">
        <v>44</v>
      </c>
      <c r="D107" s="63">
        <v>1E-3</v>
      </c>
      <c r="E107" s="63">
        <v>0.01</v>
      </c>
      <c r="F107" s="63">
        <v>1E-8</v>
      </c>
      <c r="G107" s="63" t="s">
        <v>13</v>
      </c>
      <c r="H107" s="63" t="s">
        <v>11</v>
      </c>
      <c r="I107" s="63">
        <v>20</v>
      </c>
      <c r="J107" s="63">
        <v>50</v>
      </c>
      <c r="K107" s="63" t="s">
        <v>10</v>
      </c>
      <c r="L107" s="63">
        <v>5.0999999999999996</v>
      </c>
      <c r="M107" s="63">
        <v>4700</v>
      </c>
      <c r="N107" s="63">
        <v>4.5719000000000003</v>
      </c>
      <c r="O107" s="64">
        <v>4747.8999999999996</v>
      </c>
    </row>
    <row r="108" spans="1:15" x14ac:dyDescent="0.25">
      <c r="A108" s="114" t="s">
        <v>1294</v>
      </c>
      <c r="B108" s="63" t="s">
        <v>52</v>
      </c>
      <c r="C108" s="63" t="s">
        <v>44</v>
      </c>
      <c r="D108" s="63">
        <v>1E-3</v>
      </c>
      <c r="E108" s="63">
        <v>0.01</v>
      </c>
      <c r="F108" s="63">
        <v>1E-8</v>
      </c>
      <c r="G108" s="63" t="s">
        <v>13</v>
      </c>
      <c r="H108" s="63" t="s">
        <v>11</v>
      </c>
      <c r="I108" s="63">
        <v>50</v>
      </c>
      <c r="J108" s="63">
        <v>100</v>
      </c>
      <c r="K108" s="63" t="s">
        <v>10</v>
      </c>
      <c r="L108" s="63">
        <v>19</v>
      </c>
      <c r="M108" s="63">
        <v>6500</v>
      </c>
      <c r="N108" s="63">
        <v>17.151</v>
      </c>
      <c r="O108" s="64">
        <v>6602.1</v>
      </c>
    </row>
    <row r="109" spans="1:15" x14ac:dyDescent="0.25">
      <c r="A109" s="114" t="s">
        <v>2184</v>
      </c>
      <c r="B109" s="63" t="s">
        <v>52</v>
      </c>
      <c r="C109" s="63" t="s">
        <v>44</v>
      </c>
      <c r="D109" s="63">
        <v>0</v>
      </c>
      <c r="E109" s="63">
        <v>1E-4</v>
      </c>
      <c r="F109" s="63">
        <v>9.9999999999999995E-8</v>
      </c>
      <c r="G109" s="63" t="s">
        <v>13</v>
      </c>
      <c r="H109" s="63" t="s">
        <v>11</v>
      </c>
      <c r="I109" s="63">
        <v>1E-3</v>
      </c>
      <c r="J109" s="63">
        <v>0.02</v>
      </c>
      <c r="K109" s="63" t="s">
        <v>10</v>
      </c>
      <c r="L109" s="63">
        <v>9.5325999999999994E-2</v>
      </c>
      <c r="M109" s="63">
        <v>4045.9</v>
      </c>
      <c r="N109" s="63">
        <v>9.5287999999999998E-2</v>
      </c>
      <c r="O109" s="64">
        <v>4045.8</v>
      </c>
    </row>
    <row r="110" spans="1:15" x14ac:dyDescent="0.25">
      <c r="A110" s="114" t="s">
        <v>1240</v>
      </c>
      <c r="B110" s="63" t="s">
        <v>52</v>
      </c>
      <c r="C110" s="63" t="s">
        <v>44</v>
      </c>
      <c r="D110" s="63">
        <v>0</v>
      </c>
      <c r="E110" s="63">
        <v>1E-4</v>
      </c>
      <c r="F110" s="63">
        <v>9.9999999999999995E-8</v>
      </c>
      <c r="G110" s="63" t="s">
        <v>13</v>
      </c>
      <c r="H110" s="63" t="s">
        <v>11</v>
      </c>
      <c r="I110" s="63">
        <v>0.02</v>
      </c>
      <c r="J110" s="63">
        <v>4.4999999999999998E-2</v>
      </c>
      <c r="K110" s="63" t="s">
        <v>10</v>
      </c>
      <c r="L110" s="63">
        <v>6.2399000000000003E-2</v>
      </c>
      <c r="M110" s="63">
        <v>1534.5</v>
      </c>
      <c r="N110" s="63">
        <v>6.2349000000000002E-2</v>
      </c>
      <c r="O110" s="64">
        <v>1534</v>
      </c>
    </row>
    <row r="111" spans="1:15" x14ac:dyDescent="0.25">
      <c r="A111" s="114" t="s">
        <v>1239</v>
      </c>
      <c r="B111" s="63" t="s">
        <v>52</v>
      </c>
      <c r="C111" s="63" t="s">
        <v>44</v>
      </c>
      <c r="D111" s="63">
        <v>0</v>
      </c>
      <c r="E111" s="63">
        <v>1E-4</v>
      </c>
      <c r="F111" s="63">
        <v>9.9999999999999995E-8</v>
      </c>
      <c r="G111" s="63" t="s">
        <v>13</v>
      </c>
      <c r="H111" s="63" t="s">
        <v>11</v>
      </c>
      <c r="I111" s="63">
        <v>4.4999999999999998E-2</v>
      </c>
      <c r="J111" s="63">
        <v>5</v>
      </c>
      <c r="K111" s="63" t="s">
        <v>10</v>
      </c>
      <c r="L111" s="63">
        <v>6.6314999999999999E-2</v>
      </c>
      <c r="M111" s="63">
        <v>546.37</v>
      </c>
      <c r="N111" s="63">
        <v>6.6275000000000001E-2</v>
      </c>
      <c r="O111" s="64">
        <v>544.96</v>
      </c>
    </row>
    <row r="112" spans="1:15" x14ac:dyDescent="0.25">
      <c r="A112" s="114" t="s">
        <v>1278</v>
      </c>
      <c r="B112" s="63" t="s">
        <v>52</v>
      </c>
      <c r="C112" s="63" t="s">
        <v>44</v>
      </c>
      <c r="D112" s="63">
        <v>1E-4</v>
      </c>
      <c r="E112" s="63">
        <v>1E-3</v>
      </c>
      <c r="F112" s="63">
        <v>9.9999999999999995E-8</v>
      </c>
      <c r="G112" s="63" t="s">
        <v>13</v>
      </c>
      <c r="H112" s="63" t="s">
        <v>11</v>
      </c>
      <c r="I112" s="63">
        <v>1E-3</v>
      </c>
      <c r="J112" s="63">
        <v>0.02</v>
      </c>
      <c r="K112" s="63" t="s">
        <v>10</v>
      </c>
      <c r="L112" s="63">
        <v>0.45989999999999998</v>
      </c>
      <c r="M112" s="63">
        <v>4424.7</v>
      </c>
      <c r="N112" s="63">
        <v>0.45951999999999998</v>
      </c>
      <c r="O112" s="64">
        <v>4424.6000000000004</v>
      </c>
    </row>
    <row r="113" spans="1:15" x14ac:dyDescent="0.25">
      <c r="A113" s="114" t="s">
        <v>1275</v>
      </c>
      <c r="B113" s="63" t="s">
        <v>52</v>
      </c>
      <c r="C113" s="63" t="s">
        <v>44</v>
      </c>
      <c r="D113" s="63">
        <v>1E-4</v>
      </c>
      <c r="E113" s="63">
        <v>1E-3</v>
      </c>
      <c r="F113" s="63">
        <v>9.9999999999999995E-8</v>
      </c>
      <c r="G113" s="63" t="s">
        <v>13</v>
      </c>
      <c r="H113" s="63" t="s">
        <v>11</v>
      </c>
      <c r="I113" s="63">
        <v>0.02</v>
      </c>
      <c r="J113" s="63">
        <v>4.4999999999999998E-2</v>
      </c>
      <c r="K113" s="63" t="s">
        <v>10</v>
      </c>
      <c r="L113" s="63">
        <v>0.55630000000000002</v>
      </c>
      <c r="M113" s="63">
        <v>1491.3</v>
      </c>
      <c r="N113" s="63">
        <v>0.55586000000000002</v>
      </c>
      <c r="O113" s="64">
        <v>1490.6</v>
      </c>
    </row>
    <row r="114" spans="1:15" x14ac:dyDescent="0.25">
      <c r="A114" s="114" t="s">
        <v>1280</v>
      </c>
      <c r="B114" s="63" t="s">
        <v>52</v>
      </c>
      <c r="C114" s="63" t="s">
        <v>44</v>
      </c>
      <c r="D114" s="63">
        <v>1E-4</v>
      </c>
      <c r="E114" s="63">
        <v>1E-3</v>
      </c>
      <c r="F114" s="63">
        <v>9.9999999999999995E-8</v>
      </c>
      <c r="G114" s="63" t="s">
        <v>13</v>
      </c>
      <c r="H114" s="63" t="s">
        <v>11</v>
      </c>
      <c r="I114" s="63">
        <v>4.4999999999999998E-2</v>
      </c>
      <c r="J114" s="63">
        <v>0.1</v>
      </c>
      <c r="K114" s="63" t="s">
        <v>10</v>
      </c>
      <c r="L114" s="63">
        <v>0.60248999999999997</v>
      </c>
      <c r="M114" s="63">
        <v>489.7</v>
      </c>
      <c r="N114" s="63">
        <v>0.60209999999999997</v>
      </c>
      <c r="O114" s="64">
        <v>487.94</v>
      </c>
    </row>
    <row r="115" spans="1:15" x14ac:dyDescent="0.25">
      <c r="A115" s="114" t="s">
        <v>1277</v>
      </c>
      <c r="B115" s="63" t="s">
        <v>52</v>
      </c>
      <c r="C115" s="63" t="s">
        <v>44</v>
      </c>
      <c r="D115" s="63">
        <v>1E-4</v>
      </c>
      <c r="E115" s="63">
        <v>1E-3</v>
      </c>
      <c r="F115" s="63">
        <v>9.9999999999999995E-8</v>
      </c>
      <c r="G115" s="63" t="s">
        <v>13</v>
      </c>
      <c r="H115" s="63" t="s">
        <v>11</v>
      </c>
      <c r="I115" s="63">
        <v>0.1</v>
      </c>
      <c r="J115" s="63">
        <v>5</v>
      </c>
      <c r="K115" s="63" t="s">
        <v>10</v>
      </c>
      <c r="L115" s="63">
        <v>0.61485999999999996</v>
      </c>
      <c r="M115" s="63">
        <v>217.08</v>
      </c>
      <c r="N115" s="63">
        <v>0.61453999999999998</v>
      </c>
      <c r="O115" s="64">
        <v>214.58</v>
      </c>
    </row>
    <row r="116" spans="1:15" x14ac:dyDescent="0.25">
      <c r="A116" s="114" t="s">
        <v>1281</v>
      </c>
      <c r="B116" s="63" t="s">
        <v>52</v>
      </c>
      <c r="C116" s="63" t="s">
        <v>44</v>
      </c>
      <c r="D116" s="63">
        <v>1E-4</v>
      </c>
      <c r="E116" s="63">
        <v>1E-3</v>
      </c>
      <c r="F116" s="63">
        <v>9.9999999999999995E-8</v>
      </c>
      <c r="G116" s="63" t="s">
        <v>13</v>
      </c>
      <c r="H116" s="63" t="s">
        <v>11</v>
      </c>
      <c r="I116" s="63">
        <v>5</v>
      </c>
      <c r="J116" s="63">
        <v>20</v>
      </c>
      <c r="K116" s="63" t="s">
        <v>10</v>
      </c>
      <c r="L116" s="63">
        <v>0.60309999999999997</v>
      </c>
      <c r="M116" s="63">
        <v>511.67</v>
      </c>
      <c r="N116" s="63">
        <v>0.60272000000000003</v>
      </c>
      <c r="O116" s="64">
        <v>509.95</v>
      </c>
    </row>
    <row r="117" spans="1:15" x14ac:dyDescent="0.25">
      <c r="A117" s="114" t="s">
        <v>1279</v>
      </c>
      <c r="B117" s="63" t="s">
        <v>52</v>
      </c>
      <c r="C117" s="63" t="s">
        <v>44</v>
      </c>
      <c r="D117" s="63">
        <v>1E-4</v>
      </c>
      <c r="E117" s="63">
        <v>1E-3</v>
      </c>
      <c r="F117" s="63">
        <v>9.9999999999999995E-8</v>
      </c>
      <c r="G117" s="63" t="s">
        <v>13</v>
      </c>
      <c r="H117" s="63" t="s">
        <v>11</v>
      </c>
      <c r="I117" s="63">
        <v>20</v>
      </c>
      <c r="J117" s="63">
        <v>50</v>
      </c>
      <c r="K117" s="63" t="s">
        <v>10</v>
      </c>
      <c r="L117" s="63">
        <v>0.64627000000000001</v>
      </c>
      <c r="M117" s="63">
        <v>4616</v>
      </c>
      <c r="N117" s="63">
        <v>0.64414000000000005</v>
      </c>
      <c r="O117" s="64">
        <v>4616.1000000000004</v>
      </c>
    </row>
    <row r="118" spans="1:15" x14ac:dyDescent="0.25">
      <c r="A118" s="114" t="s">
        <v>1276</v>
      </c>
      <c r="B118" s="63" t="s">
        <v>52</v>
      </c>
      <c r="C118" s="63" t="s">
        <v>44</v>
      </c>
      <c r="D118" s="63">
        <v>1E-4</v>
      </c>
      <c r="E118" s="63">
        <v>1E-3</v>
      </c>
      <c r="F118" s="63">
        <v>9.9999999999999995E-8</v>
      </c>
      <c r="G118" s="63" t="s">
        <v>13</v>
      </c>
      <c r="H118" s="63" t="s">
        <v>11</v>
      </c>
      <c r="I118" s="63">
        <v>50</v>
      </c>
      <c r="J118" s="63">
        <v>100</v>
      </c>
      <c r="K118" s="63" t="s">
        <v>10</v>
      </c>
      <c r="L118" s="63">
        <v>1.9</v>
      </c>
      <c r="M118" s="63">
        <v>6516.3</v>
      </c>
      <c r="N118" s="63">
        <v>1.8353999999999999</v>
      </c>
      <c r="O118" s="64">
        <v>6506.9</v>
      </c>
    </row>
    <row r="119" spans="1:15" x14ac:dyDescent="0.25">
      <c r="A119" s="114" t="s">
        <v>1298</v>
      </c>
      <c r="B119" s="63" t="s">
        <v>52</v>
      </c>
      <c r="C119" s="63" t="s">
        <v>44</v>
      </c>
      <c r="D119" s="63">
        <v>1E-3</v>
      </c>
      <c r="E119" s="63">
        <v>0.01</v>
      </c>
      <c r="F119" s="63">
        <v>9.9999999999999995E-8</v>
      </c>
      <c r="G119" s="63" t="s">
        <v>13</v>
      </c>
      <c r="H119" s="63" t="s">
        <v>11</v>
      </c>
      <c r="I119" s="63">
        <v>1E-3</v>
      </c>
      <c r="J119" s="63">
        <v>0.02</v>
      </c>
      <c r="K119" s="63" t="s">
        <v>10</v>
      </c>
      <c r="L119" s="63">
        <v>2.5</v>
      </c>
      <c r="M119" s="63">
        <v>4600</v>
      </c>
      <c r="N119" s="63">
        <v>2.3100999999999998</v>
      </c>
      <c r="O119" s="64">
        <v>4618.8</v>
      </c>
    </row>
    <row r="120" spans="1:15" x14ac:dyDescent="0.25">
      <c r="A120" s="114" t="s">
        <v>2185</v>
      </c>
      <c r="B120" s="63" t="s">
        <v>52</v>
      </c>
      <c r="C120" s="63" t="s">
        <v>44</v>
      </c>
      <c r="D120" s="63">
        <v>1E-3</v>
      </c>
      <c r="E120" s="63">
        <v>0.01</v>
      </c>
      <c r="F120" s="63">
        <v>9.9999999999999995E-8</v>
      </c>
      <c r="G120" s="63" t="s">
        <v>13</v>
      </c>
      <c r="H120" s="63" t="s">
        <v>11</v>
      </c>
      <c r="I120" s="63">
        <v>0.02</v>
      </c>
      <c r="J120" s="63">
        <v>4.4999999999999998E-2</v>
      </c>
      <c r="K120" s="63" t="s">
        <v>10</v>
      </c>
      <c r="L120" s="63">
        <v>2.7</v>
      </c>
      <c r="M120" s="63">
        <v>1700</v>
      </c>
      <c r="N120" s="63">
        <v>2.3109999999999999</v>
      </c>
      <c r="O120" s="64">
        <v>1732</v>
      </c>
    </row>
    <row r="121" spans="1:15" x14ac:dyDescent="0.25">
      <c r="A121" s="114" t="s">
        <v>1299</v>
      </c>
      <c r="B121" s="63" t="s">
        <v>52</v>
      </c>
      <c r="C121" s="63" t="s">
        <v>44</v>
      </c>
      <c r="D121" s="63">
        <v>1E-3</v>
      </c>
      <c r="E121" s="63">
        <v>0.01</v>
      </c>
      <c r="F121" s="63">
        <v>9.9999999999999995E-8</v>
      </c>
      <c r="G121" s="63" t="s">
        <v>13</v>
      </c>
      <c r="H121" s="63" t="s">
        <v>11</v>
      </c>
      <c r="I121" s="63">
        <v>4.4999999999999998E-2</v>
      </c>
      <c r="J121" s="63">
        <v>0.1</v>
      </c>
      <c r="K121" s="63" t="s">
        <v>10</v>
      </c>
      <c r="L121" s="63">
        <v>2.4</v>
      </c>
      <c r="M121" s="63">
        <v>690</v>
      </c>
      <c r="N121" s="63">
        <v>2.3107000000000002</v>
      </c>
      <c r="O121" s="64">
        <v>693.04</v>
      </c>
    </row>
    <row r="122" spans="1:15" x14ac:dyDescent="0.25">
      <c r="A122" s="114" t="s">
        <v>1295</v>
      </c>
      <c r="B122" s="63" t="s">
        <v>52</v>
      </c>
      <c r="C122" s="63" t="s">
        <v>44</v>
      </c>
      <c r="D122" s="63">
        <v>1E-3</v>
      </c>
      <c r="E122" s="63">
        <v>0.01</v>
      </c>
      <c r="F122" s="63">
        <v>9.9999999999999995E-8</v>
      </c>
      <c r="G122" s="63" t="s">
        <v>13</v>
      </c>
      <c r="H122" s="63" t="s">
        <v>11</v>
      </c>
      <c r="I122" s="63">
        <v>0.1</v>
      </c>
      <c r="J122" s="63">
        <v>5</v>
      </c>
      <c r="K122" s="63" t="s">
        <v>10</v>
      </c>
      <c r="L122" s="63">
        <v>2.5</v>
      </c>
      <c r="M122" s="63">
        <v>355.75</v>
      </c>
      <c r="N122" s="63">
        <v>2.2965</v>
      </c>
      <c r="O122" s="64">
        <v>364.68</v>
      </c>
    </row>
    <row r="123" spans="1:15" x14ac:dyDescent="0.25">
      <c r="A123" s="114" t="s">
        <v>1300</v>
      </c>
      <c r="B123" s="63" t="s">
        <v>52</v>
      </c>
      <c r="C123" s="63" t="s">
        <v>44</v>
      </c>
      <c r="D123" s="63">
        <v>1E-3</v>
      </c>
      <c r="E123" s="63">
        <v>0.01</v>
      </c>
      <c r="F123" s="63">
        <v>9.9999999999999995E-8</v>
      </c>
      <c r="G123" s="63" t="s">
        <v>13</v>
      </c>
      <c r="H123" s="63" t="s">
        <v>11</v>
      </c>
      <c r="I123" s="63">
        <v>5</v>
      </c>
      <c r="J123" s="63">
        <v>20</v>
      </c>
      <c r="K123" s="63" t="s">
        <v>10</v>
      </c>
      <c r="L123" s="63">
        <v>2.5</v>
      </c>
      <c r="M123" s="63">
        <v>712.46</v>
      </c>
      <c r="N123" s="63">
        <v>2.2904</v>
      </c>
      <c r="O123" s="64">
        <v>721.65</v>
      </c>
    </row>
    <row r="124" spans="1:15" x14ac:dyDescent="0.25">
      <c r="A124" s="114" t="s">
        <v>1296</v>
      </c>
      <c r="B124" s="63" t="s">
        <v>52</v>
      </c>
      <c r="C124" s="63" t="s">
        <v>44</v>
      </c>
      <c r="D124" s="63">
        <v>1E-3</v>
      </c>
      <c r="E124" s="63">
        <v>0.01</v>
      </c>
      <c r="F124" s="63">
        <v>9.9999999999999995E-8</v>
      </c>
      <c r="G124" s="63" t="s">
        <v>13</v>
      </c>
      <c r="H124" s="63" t="s">
        <v>11</v>
      </c>
      <c r="I124" s="63">
        <v>20</v>
      </c>
      <c r="J124" s="63">
        <v>50</v>
      </c>
      <c r="K124" s="63" t="s">
        <v>10</v>
      </c>
      <c r="L124" s="63">
        <v>5.0999999999999996</v>
      </c>
      <c r="M124" s="63">
        <v>4739.1000000000004</v>
      </c>
      <c r="N124" s="63">
        <v>4.5721999999999996</v>
      </c>
      <c r="O124" s="64">
        <v>4747.8999999999996</v>
      </c>
    </row>
    <row r="125" spans="1:15" x14ac:dyDescent="0.25">
      <c r="A125" s="114" t="s">
        <v>1297</v>
      </c>
      <c r="B125" s="63" t="s">
        <v>52</v>
      </c>
      <c r="C125" s="63" t="s">
        <v>44</v>
      </c>
      <c r="D125" s="63">
        <v>1E-3</v>
      </c>
      <c r="E125" s="63">
        <v>0.01</v>
      </c>
      <c r="F125" s="63">
        <v>9.9999999999999995E-8</v>
      </c>
      <c r="G125" s="63" t="s">
        <v>13</v>
      </c>
      <c r="H125" s="63" t="s">
        <v>11</v>
      </c>
      <c r="I125" s="63">
        <v>50</v>
      </c>
      <c r="J125" s="63">
        <v>100</v>
      </c>
      <c r="K125" s="63" t="s">
        <v>10</v>
      </c>
      <c r="L125" s="63">
        <v>19</v>
      </c>
      <c r="M125" s="63">
        <v>6531.1</v>
      </c>
      <c r="N125" s="63">
        <v>17.152999999999999</v>
      </c>
      <c r="O125" s="64">
        <v>6602.1</v>
      </c>
    </row>
    <row r="126" spans="1:15" x14ac:dyDescent="0.25">
      <c r="A126" s="114" t="s">
        <v>1322</v>
      </c>
      <c r="B126" s="63" t="s">
        <v>52</v>
      </c>
      <c r="C126" s="63" t="s">
        <v>44</v>
      </c>
      <c r="D126" s="63">
        <v>0.01</v>
      </c>
      <c r="E126" s="63">
        <v>0.1</v>
      </c>
      <c r="F126" s="63">
        <v>9.9999999999999995E-8</v>
      </c>
      <c r="G126" s="63" t="s">
        <v>13</v>
      </c>
      <c r="H126" s="63" t="s">
        <v>11</v>
      </c>
      <c r="I126" s="63">
        <v>1E-3</v>
      </c>
      <c r="J126" s="63">
        <v>0.02</v>
      </c>
      <c r="K126" s="63" t="s">
        <v>10</v>
      </c>
      <c r="L126" s="63">
        <v>25</v>
      </c>
      <c r="M126" s="63">
        <v>4600</v>
      </c>
      <c r="N126" s="63">
        <v>23.094999999999999</v>
      </c>
      <c r="O126" s="64">
        <v>4618.8</v>
      </c>
    </row>
    <row r="127" spans="1:15" x14ac:dyDescent="0.25">
      <c r="A127" s="114" t="s">
        <v>1321</v>
      </c>
      <c r="B127" s="63" t="s">
        <v>52</v>
      </c>
      <c r="C127" s="63" t="s">
        <v>44</v>
      </c>
      <c r="D127" s="63">
        <v>0.01</v>
      </c>
      <c r="E127" s="63">
        <v>0.1</v>
      </c>
      <c r="F127" s="63">
        <v>9.9999999999999995E-8</v>
      </c>
      <c r="G127" s="63" t="s">
        <v>13</v>
      </c>
      <c r="H127" s="63" t="s">
        <v>11</v>
      </c>
      <c r="I127" s="63">
        <v>0.02</v>
      </c>
      <c r="J127" s="63">
        <v>4.4999999999999998E-2</v>
      </c>
      <c r="K127" s="63" t="s">
        <v>10</v>
      </c>
      <c r="L127" s="63">
        <v>27</v>
      </c>
      <c r="M127" s="63">
        <v>1700</v>
      </c>
      <c r="N127" s="63">
        <v>23.094999999999999</v>
      </c>
      <c r="O127" s="64">
        <v>1732.1</v>
      </c>
    </row>
    <row r="128" spans="1:15" x14ac:dyDescent="0.25">
      <c r="A128" s="114" t="s">
        <v>1320</v>
      </c>
      <c r="B128" s="63" t="s">
        <v>52</v>
      </c>
      <c r="C128" s="63" t="s">
        <v>44</v>
      </c>
      <c r="D128" s="63">
        <v>0.01</v>
      </c>
      <c r="E128" s="63">
        <v>0.1</v>
      </c>
      <c r="F128" s="63">
        <v>9.9999999999999995E-8</v>
      </c>
      <c r="G128" s="63" t="s">
        <v>13</v>
      </c>
      <c r="H128" s="63" t="s">
        <v>11</v>
      </c>
      <c r="I128" s="63">
        <v>4.4999999999999998E-2</v>
      </c>
      <c r="J128" s="63">
        <v>0.1</v>
      </c>
      <c r="K128" s="63" t="s">
        <v>10</v>
      </c>
      <c r="L128" s="63">
        <v>24</v>
      </c>
      <c r="M128" s="63">
        <v>690</v>
      </c>
      <c r="N128" s="63">
        <v>23.094000000000001</v>
      </c>
      <c r="O128" s="64">
        <v>693.05</v>
      </c>
    </row>
    <row r="129" spans="1:15" x14ac:dyDescent="0.25">
      <c r="A129" s="114" t="s">
        <v>1318</v>
      </c>
      <c r="B129" s="63" t="s">
        <v>52</v>
      </c>
      <c r="C129" s="63" t="s">
        <v>44</v>
      </c>
      <c r="D129" s="63">
        <v>0.01</v>
      </c>
      <c r="E129" s="63">
        <v>0.1</v>
      </c>
      <c r="F129" s="63">
        <v>9.9999999999999995E-8</v>
      </c>
      <c r="G129" s="63" t="s">
        <v>13</v>
      </c>
      <c r="H129" s="63" t="s">
        <v>11</v>
      </c>
      <c r="I129" s="63">
        <v>0.1</v>
      </c>
      <c r="J129" s="63">
        <v>5</v>
      </c>
      <c r="K129" s="63" t="s">
        <v>10</v>
      </c>
      <c r="L129" s="63">
        <v>25</v>
      </c>
      <c r="M129" s="63">
        <v>350</v>
      </c>
      <c r="N129" s="63">
        <v>22.95</v>
      </c>
      <c r="O129" s="64">
        <v>364.61</v>
      </c>
    </row>
    <row r="130" spans="1:15" x14ac:dyDescent="0.25">
      <c r="A130" s="114" t="s">
        <v>1319</v>
      </c>
      <c r="B130" s="63" t="s">
        <v>52</v>
      </c>
      <c r="C130" s="63" t="s">
        <v>44</v>
      </c>
      <c r="D130" s="63">
        <v>0.01</v>
      </c>
      <c r="E130" s="63">
        <v>0.1</v>
      </c>
      <c r="F130" s="63">
        <v>9.9999999999999995E-8</v>
      </c>
      <c r="G130" s="63" t="s">
        <v>13</v>
      </c>
      <c r="H130" s="63" t="s">
        <v>11</v>
      </c>
      <c r="I130" s="63">
        <v>5</v>
      </c>
      <c r="J130" s="63">
        <v>20</v>
      </c>
      <c r="K130" s="63" t="s">
        <v>10</v>
      </c>
      <c r="L130" s="63">
        <v>25</v>
      </c>
      <c r="M130" s="63">
        <v>710</v>
      </c>
      <c r="N130" s="63">
        <v>22.890999999999998</v>
      </c>
      <c r="O130" s="64">
        <v>721.64</v>
      </c>
    </row>
    <row r="131" spans="1:15" x14ac:dyDescent="0.25">
      <c r="A131" s="114" t="s">
        <v>1323</v>
      </c>
      <c r="B131" s="63" t="s">
        <v>52</v>
      </c>
      <c r="C131" s="63" t="s">
        <v>44</v>
      </c>
      <c r="D131" s="63">
        <v>0.01</v>
      </c>
      <c r="E131" s="63">
        <v>0.1</v>
      </c>
      <c r="F131" s="63">
        <v>9.9999999999999995E-8</v>
      </c>
      <c r="G131" s="63" t="s">
        <v>13</v>
      </c>
      <c r="H131" s="63" t="s">
        <v>11</v>
      </c>
      <c r="I131" s="63">
        <v>20</v>
      </c>
      <c r="J131" s="63">
        <v>50</v>
      </c>
      <c r="K131" s="63" t="s">
        <v>10</v>
      </c>
      <c r="L131" s="63">
        <v>51</v>
      </c>
      <c r="M131" s="63">
        <v>4700</v>
      </c>
      <c r="N131" s="63">
        <v>45.601999999999997</v>
      </c>
      <c r="O131" s="64">
        <v>4746.8999999999996</v>
      </c>
    </row>
    <row r="132" spans="1:15" x14ac:dyDescent="0.25">
      <c r="A132" s="114" t="s">
        <v>1317</v>
      </c>
      <c r="B132" s="63" t="s">
        <v>52</v>
      </c>
      <c r="C132" s="63" t="s">
        <v>44</v>
      </c>
      <c r="D132" s="63">
        <v>0.01</v>
      </c>
      <c r="E132" s="63">
        <v>0.1</v>
      </c>
      <c r="F132" s="63">
        <v>9.9999999999999995E-8</v>
      </c>
      <c r="G132" s="63" t="s">
        <v>13</v>
      </c>
      <c r="H132" s="63" t="s">
        <v>11</v>
      </c>
      <c r="I132" s="63">
        <v>50</v>
      </c>
      <c r="J132" s="63">
        <v>100</v>
      </c>
      <c r="K132" s="63" t="s">
        <v>10</v>
      </c>
      <c r="L132" s="63">
        <v>190</v>
      </c>
      <c r="M132" s="63">
        <v>6500</v>
      </c>
      <c r="N132" s="63">
        <v>171.51</v>
      </c>
      <c r="O132" s="64">
        <v>6602.2</v>
      </c>
    </row>
    <row r="133" spans="1:15" x14ac:dyDescent="0.25">
      <c r="A133" s="114" t="s">
        <v>2186</v>
      </c>
      <c r="B133" s="63" t="s">
        <v>52</v>
      </c>
      <c r="C133" s="63" t="s">
        <v>44</v>
      </c>
      <c r="D133" s="63">
        <v>0</v>
      </c>
      <c r="E133" s="63">
        <v>1E-4</v>
      </c>
      <c r="F133" s="63">
        <v>9.9999999999999995E-7</v>
      </c>
      <c r="G133" s="63" t="s">
        <v>13</v>
      </c>
      <c r="H133" s="63" t="s">
        <v>11</v>
      </c>
      <c r="I133" s="63">
        <v>1E-3</v>
      </c>
      <c r="J133" s="63">
        <v>0.02</v>
      </c>
      <c r="K133" s="63" t="s">
        <v>10</v>
      </c>
      <c r="L133" s="63">
        <v>0.58121</v>
      </c>
      <c r="M133" s="63">
        <v>1804</v>
      </c>
      <c r="N133" s="63">
        <v>0.58118999999999998</v>
      </c>
      <c r="O133" s="64">
        <v>1803.1</v>
      </c>
    </row>
    <row r="134" spans="1:15" x14ac:dyDescent="0.25">
      <c r="A134" s="114" t="s">
        <v>1241</v>
      </c>
      <c r="B134" s="63" t="s">
        <v>52</v>
      </c>
      <c r="C134" s="63" t="s">
        <v>44</v>
      </c>
      <c r="D134" s="63">
        <v>0</v>
      </c>
      <c r="E134" s="63">
        <v>1E-4</v>
      </c>
      <c r="F134" s="63">
        <v>9.9999999999999995E-7</v>
      </c>
      <c r="G134" s="63" t="s">
        <v>13</v>
      </c>
      <c r="H134" s="63" t="s">
        <v>11</v>
      </c>
      <c r="I134" s="63">
        <v>0.02</v>
      </c>
      <c r="J134" s="63">
        <v>4.4999999999999998E-2</v>
      </c>
      <c r="K134" s="63" t="s">
        <v>10</v>
      </c>
      <c r="L134" s="63">
        <v>0.57594000000000001</v>
      </c>
      <c r="M134" s="63">
        <v>378.74</v>
      </c>
      <c r="N134" s="63">
        <v>0.57591999999999999</v>
      </c>
      <c r="O134" s="64">
        <v>377.44</v>
      </c>
    </row>
    <row r="135" spans="1:15" x14ac:dyDescent="0.25">
      <c r="A135" s="114" t="s">
        <v>1242</v>
      </c>
      <c r="B135" s="63" t="s">
        <v>52</v>
      </c>
      <c r="C135" s="63" t="s">
        <v>44</v>
      </c>
      <c r="D135" s="63">
        <v>0</v>
      </c>
      <c r="E135" s="63">
        <v>1E-4</v>
      </c>
      <c r="F135" s="63">
        <v>9.9999999999999995E-7</v>
      </c>
      <c r="G135" s="63" t="s">
        <v>13</v>
      </c>
      <c r="H135" s="63" t="s">
        <v>11</v>
      </c>
      <c r="I135" s="63">
        <v>4.4999999999999998E-2</v>
      </c>
      <c r="J135" s="63">
        <v>5</v>
      </c>
      <c r="K135" s="63" t="s">
        <v>10</v>
      </c>
      <c r="L135" s="63">
        <v>0.57804</v>
      </c>
      <c r="M135" s="63">
        <v>91.593000000000004</v>
      </c>
      <c r="N135" s="63">
        <v>0.57801999999999998</v>
      </c>
      <c r="O135" s="64">
        <v>90.227999999999994</v>
      </c>
    </row>
    <row r="136" spans="1:15" x14ac:dyDescent="0.25">
      <c r="A136" s="114" t="s">
        <v>1283</v>
      </c>
      <c r="B136" s="63" t="s">
        <v>52</v>
      </c>
      <c r="C136" s="63" t="s">
        <v>44</v>
      </c>
      <c r="D136" s="63">
        <v>1E-4</v>
      </c>
      <c r="E136" s="63">
        <v>1E-3</v>
      </c>
      <c r="F136" s="63">
        <v>9.9999999999999995E-7</v>
      </c>
      <c r="G136" s="63" t="s">
        <v>13</v>
      </c>
      <c r="H136" s="63" t="s">
        <v>11</v>
      </c>
      <c r="I136" s="63">
        <v>1E-3</v>
      </c>
      <c r="J136" s="63">
        <v>0.02</v>
      </c>
      <c r="K136" s="63" t="s">
        <v>10</v>
      </c>
      <c r="L136" s="63">
        <v>5.6234999999999999</v>
      </c>
      <c r="M136" s="63">
        <v>1918.3</v>
      </c>
      <c r="N136" s="63">
        <v>5.6233000000000004</v>
      </c>
      <c r="O136" s="64">
        <v>1917.2</v>
      </c>
    </row>
    <row r="137" spans="1:15" x14ac:dyDescent="0.25">
      <c r="A137" s="114" t="s">
        <v>1287</v>
      </c>
      <c r="B137" s="63" t="s">
        <v>52</v>
      </c>
      <c r="C137" s="63" t="s">
        <v>44</v>
      </c>
      <c r="D137" s="63">
        <v>1E-4</v>
      </c>
      <c r="E137" s="63">
        <v>1E-3</v>
      </c>
      <c r="F137" s="63">
        <v>9.9999999999999995E-7</v>
      </c>
      <c r="G137" s="63" t="s">
        <v>13</v>
      </c>
      <c r="H137" s="63" t="s">
        <v>11</v>
      </c>
      <c r="I137" s="63">
        <v>0.02</v>
      </c>
      <c r="J137" s="63">
        <v>4.4999999999999998E-2</v>
      </c>
      <c r="K137" s="63" t="s">
        <v>10</v>
      </c>
      <c r="L137" s="63">
        <v>5.7533000000000003</v>
      </c>
      <c r="M137" s="63">
        <v>346.75</v>
      </c>
      <c r="N137" s="63">
        <v>5.7531999999999996</v>
      </c>
      <c r="O137" s="64">
        <v>345.32</v>
      </c>
    </row>
    <row r="138" spans="1:15" x14ac:dyDescent="0.25">
      <c r="A138" s="114" t="s">
        <v>1286</v>
      </c>
      <c r="B138" s="63" t="s">
        <v>52</v>
      </c>
      <c r="C138" s="63" t="s">
        <v>44</v>
      </c>
      <c r="D138" s="63">
        <v>1E-4</v>
      </c>
      <c r="E138" s="63">
        <v>1E-3</v>
      </c>
      <c r="F138" s="63">
        <v>9.9999999999999995E-7</v>
      </c>
      <c r="G138" s="63" t="s">
        <v>13</v>
      </c>
      <c r="H138" s="63" t="s">
        <v>11</v>
      </c>
      <c r="I138" s="63">
        <v>4.4999999999999998E-2</v>
      </c>
      <c r="J138" s="63">
        <v>0.1</v>
      </c>
      <c r="K138" s="63" t="s">
        <v>10</v>
      </c>
      <c r="L138" s="63">
        <v>5.7742000000000004</v>
      </c>
      <c r="M138" s="63">
        <v>74.831999999999994</v>
      </c>
      <c r="N138" s="63">
        <v>5.7740999999999998</v>
      </c>
      <c r="O138" s="64">
        <v>73.332999999999998</v>
      </c>
    </row>
    <row r="139" spans="1:15" x14ac:dyDescent="0.25">
      <c r="A139" s="114" t="s">
        <v>1288</v>
      </c>
      <c r="B139" s="63" t="s">
        <v>52</v>
      </c>
      <c r="C139" s="63" t="s">
        <v>44</v>
      </c>
      <c r="D139" s="63">
        <v>1E-4</v>
      </c>
      <c r="E139" s="63">
        <v>1E-3</v>
      </c>
      <c r="F139" s="63">
        <v>9.9999999999999995E-7</v>
      </c>
      <c r="G139" s="63" t="s">
        <v>13</v>
      </c>
      <c r="H139" s="63" t="s">
        <v>11</v>
      </c>
      <c r="I139" s="63">
        <v>0.1</v>
      </c>
      <c r="J139" s="63">
        <v>5</v>
      </c>
      <c r="K139" s="63" t="s">
        <v>10</v>
      </c>
      <c r="L139" s="63">
        <v>5.7770999999999999</v>
      </c>
      <c r="M139" s="63">
        <v>28.936</v>
      </c>
      <c r="N139" s="63">
        <v>5.7770000000000001</v>
      </c>
      <c r="O139" s="64">
        <v>27.423999999999999</v>
      </c>
    </row>
    <row r="140" spans="1:15" x14ac:dyDescent="0.25">
      <c r="A140" s="114" t="s">
        <v>1282</v>
      </c>
      <c r="B140" s="63" t="s">
        <v>52</v>
      </c>
      <c r="C140" s="63" t="s">
        <v>44</v>
      </c>
      <c r="D140" s="63">
        <v>1E-4</v>
      </c>
      <c r="E140" s="63">
        <v>1E-3</v>
      </c>
      <c r="F140" s="63">
        <v>9.9999999999999995E-7</v>
      </c>
      <c r="G140" s="63" t="s">
        <v>13</v>
      </c>
      <c r="H140" s="63" t="s">
        <v>11</v>
      </c>
      <c r="I140" s="63">
        <v>5</v>
      </c>
      <c r="J140" s="63">
        <v>20</v>
      </c>
      <c r="K140" s="63" t="s">
        <v>10</v>
      </c>
      <c r="L140" s="63">
        <v>5.7740999999999998</v>
      </c>
      <c r="M140" s="63">
        <v>79.209999999999994</v>
      </c>
      <c r="N140" s="63">
        <v>5.774</v>
      </c>
      <c r="O140" s="64">
        <v>77.712999999999994</v>
      </c>
    </row>
    <row r="141" spans="1:15" x14ac:dyDescent="0.25">
      <c r="A141" s="114" t="s">
        <v>1284</v>
      </c>
      <c r="B141" s="63" t="s">
        <v>52</v>
      </c>
      <c r="C141" s="63" t="s">
        <v>44</v>
      </c>
      <c r="D141" s="63">
        <v>1E-4</v>
      </c>
      <c r="E141" s="63">
        <v>1E-3</v>
      </c>
      <c r="F141" s="63">
        <v>9.9999999999999995E-7</v>
      </c>
      <c r="G141" s="63" t="s">
        <v>13</v>
      </c>
      <c r="H141" s="63" t="s">
        <v>11</v>
      </c>
      <c r="I141" s="63">
        <v>20</v>
      </c>
      <c r="J141" s="63">
        <v>50</v>
      </c>
      <c r="K141" s="63" t="s">
        <v>10</v>
      </c>
      <c r="L141" s="63">
        <v>5.6360000000000001</v>
      </c>
      <c r="M141" s="63">
        <v>2159.6999999999998</v>
      </c>
      <c r="N141" s="63">
        <v>5.6349</v>
      </c>
      <c r="O141" s="64">
        <v>2155.3000000000002</v>
      </c>
    </row>
    <row r="142" spans="1:15" x14ac:dyDescent="0.25">
      <c r="A142" s="114" t="s">
        <v>1285</v>
      </c>
      <c r="B142" s="63" t="s">
        <v>52</v>
      </c>
      <c r="C142" s="63" t="s">
        <v>44</v>
      </c>
      <c r="D142" s="63">
        <v>1E-4</v>
      </c>
      <c r="E142" s="63">
        <v>1E-3</v>
      </c>
      <c r="F142" s="63">
        <v>9.9999999999999995E-7</v>
      </c>
      <c r="G142" s="63" t="s">
        <v>13</v>
      </c>
      <c r="H142" s="63" t="s">
        <v>11</v>
      </c>
      <c r="I142" s="63">
        <v>50</v>
      </c>
      <c r="J142" s="63">
        <v>100</v>
      </c>
      <c r="K142" s="63" t="s">
        <v>10</v>
      </c>
      <c r="L142" s="63">
        <v>5.8456000000000001</v>
      </c>
      <c r="M142" s="63">
        <v>4362.3</v>
      </c>
      <c r="N142" s="63">
        <v>5.8320999999999996</v>
      </c>
      <c r="O142" s="64">
        <v>4309.3</v>
      </c>
    </row>
    <row r="143" spans="1:15" x14ac:dyDescent="0.25">
      <c r="A143" s="114" t="s">
        <v>2187</v>
      </c>
      <c r="B143" s="63" t="s">
        <v>52</v>
      </c>
      <c r="C143" s="63" t="s">
        <v>44</v>
      </c>
      <c r="D143" s="63">
        <v>1E-3</v>
      </c>
      <c r="E143" s="63">
        <v>0.01</v>
      </c>
      <c r="F143" s="63">
        <v>9.9999999999999995E-7</v>
      </c>
      <c r="G143" s="63" t="s">
        <v>13</v>
      </c>
      <c r="H143" s="63" t="s">
        <v>11</v>
      </c>
      <c r="I143" s="63">
        <v>1E-3</v>
      </c>
      <c r="J143" s="63">
        <v>0.02</v>
      </c>
      <c r="K143" s="63" t="s">
        <v>10</v>
      </c>
      <c r="L143" s="63">
        <v>2.5</v>
      </c>
      <c r="M143" s="63">
        <v>4600.7</v>
      </c>
      <c r="N143" s="63">
        <v>2.3372999999999999</v>
      </c>
      <c r="O143" s="64">
        <v>4616.5</v>
      </c>
    </row>
    <row r="144" spans="1:15" x14ac:dyDescent="0.25">
      <c r="A144" s="114" t="s">
        <v>2188</v>
      </c>
      <c r="B144" s="63" t="s">
        <v>52</v>
      </c>
      <c r="C144" s="63" t="s">
        <v>44</v>
      </c>
      <c r="D144" s="63">
        <v>1E-3</v>
      </c>
      <c r="E144" s="63">
        <v>0.01</v>
      </c>
      <c r="F144" s="63">
        <v>9.9999999999999995E-7</v>
      </c>
      <c r="G144" s="63" t="s">
        <v>13</v>
      </c>
      <c r="H144" s="63" t="s">
        <v>11</v>
      </c>
      <c r="I144" s="63">
        <v>0.02</v>
      </c>
      <c r="J144" s="63">
        <v>4.4999999999999998E-2</v>
      </c>
      <c r="K144" s="63" t="s">
        <v>10</v>
      </c>
      <c r="L144" s="63">
        <v>2.7</v>
      </c>
      <c r="M144" s="63">
        <v>1700</v>
      </c>
      <c r="N144" s="63">
        <v>2.3565999999999998</v>
      </c>
      <c r="O144" s="64">
        <v>1728.5</v>
      </c>
    </row>
    <row r="145" spans="1:15" x14ac:dyDescent="0.25">
      <c r="A145" s="114" t="s">
        <v>2189</v>
      </c>
      <c r="B145" s="63" t="s">
        <v>52</v>
      </c>
      <c r="C145" s="63" t="s">
        <v>44</v>
      </c>
      <c r="D145" s="63">
        <v>1E-3</v>
      </c>
      <c r="E145" s="63">
        <v>0.01</v>
      </c>
      <c r="F145" s="63">
        <v>9.9999999999999995E-7</v>
      </c>
      <c r="G145" s="63" t="s">
        <v>13</v>
      </c>
      <c r="H145" s="63" t="s">
        <v>11</v>
      </c>
      <c r="I145" s="63">
        <v>4.4999999999999998E-2</v>
      </c>
      <c r="J145" s="63">
        <v>0.1</v>
      </c>
      <c r="K145" s="63" t="s">
        <v>10</v>
      </c>
      <c r="L145" s="63">
        <v>2.4</v>
      </c>
      <c r="M145" s="63">
        <v>690</v>
      </c>
      <c r="N145" s="63">
        <v>2.3717000000000001</v>
      </c>
      <c r="O145" s="64">
        <v>689.14</v>
      </c>
    </row>
    <row r="146" spans="1:15" x14ac:dyDescent="0.25">
      <c r="A146" s="114" t="s">
        <v>1303</v>
      </c>
      <c r="B146" s="63" t="s">
        <v>52</v>
      </c>
      <c r="C146" s="63" t="s">
        <v>44</v>
      </c>
      <c r="D146" s="63">
        <v>1E-3</v>
      </c>
      <c r="E146" s="63">
        <v>0.01</v>
      </c>
      <c r="F146" s="63">
        <v>9.9999999999999995E-7</v>
      </c>
      <c r="G146" s="63" t="s">
        <v>13</v>
      </c>
      <c r="H146" s="63" t="s">
        <v>11</v>
      </c>
      <c r="I146" s="63">
        <v>0.1</v>
      </c>
      <c r="J146" s="63">
        <v>5</v>
      </c>
      <c r="K146" s="63" t="s">
        <v>10</v>
      </c>
      <c r="L146" s="63">
        <v>2.5</v>
      </c>
      <c r="M146" s="63">
        <v>362.33</v>
      </c>
      <c r="N146" s="63">
        <v>2.3641000000000001</v>
      </c>
      <c r="O146" s="64">
        <v>361.33</v>
      </c>
    </row>
    <row r="147" spans="1:15" x14ac:dyDescent="0.25">
      <c r="A147" s="114" t="s">
        <v>1301</v>
      </c>
      <c r="B147" s="63" t="s">
        <v>52</v>
      </c>
      <c r="C147" s="63" t="s">
        <v>44</v>
      </c>
      <c r="D147" s="63">
        <v>1E-3</v>
      </c>
      <c r="E147" s="63">
        <v>0.01</v>
      </c>
      <c r="F147" s="63">
        <v>9.9999999999999995E-7</v>
      </c>
      <c r="G147" s="63" t="s">
        <v>13</v>
      </c>
      <c r="H147" s="63" t="s">
        <v>11</v>
      </c>
      <c r="I147" s="63">
        <v>5</v>
      </c>
      <c r="J147" s="63">
        <v>20</v>
      </c>
      <c r="K147" s="63" t="s">
        <v>10</v>
      </c>
      <c r="L147" s="63">
        <v>2.5</v>
      </c>
      <c r="M147" s="63">
        <v>716.59</v>
      </c>
      <c r="N147" s="63">
        <v>2.3512</v>
      </c>
      <c r="O147" s="64">
        <v>717.7</v>
      </c>
    </row>
    <row r="148" spans="1:15" x14ac:dyDescent="0.25">
      <c r="A148" s="114" t="s">
        <v>2190</v>
      </c>
      <c r="B148" s="63" t="s">
        <v>52</v>
      </c>
      <c r="C148" s="63" t="s">
        <v>44</v>
      </c>
      <c r="D148" s="63">
        <v>1E-3</v>
      </c>
      <c r="E148" s="63">
        <v>0.01</v>
      </c>
      <c r="F148" s="63">
        <v>9.9999999999999995E-7</v>
      </c>
      <c r="G148" s="63" t="s">
        <v>13</v>
      </c>
      <c r="H148" s="63" t="s">
        <v>11</v>
      </c>
      <c r="I148" s="63">
        <v>20</v>
      </c>
      <c r="J148" s="63">
        <v>50</v>
      </c>
      <c r="K148" s="63" t="s">
        <v>10</v>
      </c>
      <c r="L148" s="63">
        <v>5.0999999999999996</v>
      </c>
      <c r="M148" s="63">
        <v>4739.8999999999996</v>
      </c>
      <c r="N148" s="63">
        <v>4.5921000000000003</v>
      </c>
      <c r="O148" s="64">
        <v>4746.3</v>
      </c>
    </row>
    <row r="149" spans="1:15" x14ac:dyDescent="0.25">
      <c r="A149" s="114" t="s">
        <v>1302</v>
      </c>
      <c r="B149" s="63" t="s">
        <v>52</v>
      </c>
      <c r="C149" s="63" t="s">
        <v>44</v>
      </c>
      <c r="D149" s="63">
        <v>1E-3</v>
      </c>
      <c r="E149" s="63">
        <v>0.01</v>
      </c>
      <c r="F149" s="63">
        <v>9.9999999999999995E-7</v>
      </c>
      <c r="G149" s="63" t="s">
        <v>13</v>
      </c>
      <c r="H149" s="63" t="s">
        <v>11</v>
      </c>
      <c r="I149" s="63">
        <v>50</v>
      </c>
      <c r="J149" s="63">
        <v>100</v>
      </c>
      <c r="K149" s="63" t="s">
        <v>10</v>
      </c>
      <c r="L149" s="63">
        <v>19</v>
      </c>
      <c r="M149" s="63">
        <v>6534.1</v>
      </c>
      <c r="N149" s="63">
        <v>17.164000000000001</v>
      </c>
      <c r="O149" s="64">
        <v>6601.7</v>
      </c>
    </row>
    <row r="150" spans="1:15" x14ac:dyDescent="0.25">
      <c r="A150" s="114" t="s">
        <v>2191</v>
      </c>
      <c r="B150" s="63" t="s">
        <v>52</v>
      </c>
      <c r="C150" s="63" t="s">
        <v>44</v>
      </c>
      <c r="D150" s="63">
        <v>0.01</v>
      </c>
      <c r="E150" s="63">
        <v>0.1</v>
      </c>
      <c r="F150" s="63">
        <v>9.9999999999999995E-7</v>
      </c>
      <c r="G150" s="63" t="s">
        <v>13</v>
      </c>
      <c r="H150" s="63" t="s">
        <v>11</v>
      </c>
      <c r="I150" s="63">
        <v>1E-3</v>
      </c>
      <c r="J150" s="63">
        <v>0.02</v>
      </c>
      <c r="K150" s="63" t="s">
        <v>10</v>
      </c>
      <c r="L150" s="63">
        <v>25</v>
      </c>
      <c r="M150" s="63">
        <v>4600</v>
      </c>
      <c r="N150" s="63">
        <v>23.099</v>
      </c>
      <c r="O150" s="64">
        <v>4618.8</v>
      </c>
    </row>
    <row r="151" spans="1:15" x14ac:dyDescent="0.25">
      <c r="A151" s="114" t="s">
        <v>1324</v>
      </c>
      <c r="B151" s="63" t="s">
        <v>52</v>
      </c>
      <c r="C151" s="63" t="s">
        <v>44</v>
      </c>
      <c r="D151" s="63">
        <v>0.01</v>
      </c>
      <c r="E151" s="63">
        <v>0.1</v>
      </c>
      <c r="F151" s="63">
        <v>9.9999999999999995E-7</v>
      </c>
      <c r="G151" s="63" t="s">
        <v>13</v>
      </c>
      <c r="H151" s="63" t="s">
        <v>11</v>
      </c>
      <c r="I151" s="63">
        <v>0.02</v>
      </c>
      <c r="J151" s="63">
        <v>4.4999999999999998E-2</v>
      </c>
      <c r="K151" s="63" t="s">
        <v>10</v>
      </c>
      <c r="L151" s="63">
        <v>27</v>
      </c>
      <c r="M151" s="63">
        <v>1700</v>
      </c>
      <c r="N151" s="63">
        <v>23.102</v>
      </c>
      <c r="O151" s="64">
        <v>1732.1</v>
      </c>
    </row>
    <row r="152" spans="1:15" x14ac:dyDescent="0.25">
      <c r="A152" s="114" t="s">
        <v>1327</v>
      </c>
      <c r="B152" s="63" t="s">
        <v>52</v>
      </c>
      <c r="C152" s="63" t="s">
        <v>44</v>
      </c>
      <c r="D152" s="63">
        <v>0.01</v>
      </c>
      <c r="E152" s="63">
        <v>0.1</v>
      </c>
      <c r="F152" s="63">
        <v>9.9999999999999995E-7</v>
      </c>
      <c r="G152" s="63" t="s">
        <v>13</v>
      </c>
      <c r="H152" s="63" t="s">
        <v>11</v>
      </c>
      <c r="I152" s="63">
        <v>4.4999999999999998E-2</v>
      </c>
      <c r="J152" s="63">
        <v>0.1</v>
      </c>
      <c r="K152" s="63" t="s">
        <v>10</v>
      </c>
      <c r="L152" s="63">
        <v>24</v>
      </c>
      <c r="M152" s="63">
        <v>690</v>
      </c>
      <c r="N152" s="63">
        <v>23.103000000000002</v>
      </c>
      <c r="O152" s="64">
        <v>693.03</v>
      </c>
    </row>
    <row r="153" spans="1:15" x14ac:dyDescent="0.25">
      <c r="A153" s="114" t="s">
        <v>2192</v>
      </c>
      <c r="B153" s="63" t="s">
        <v>52</v>
      </c>
      <c r="C153" s="63" t="s">
        <v>44</v>
      </c>
      <c r="D153" s="63">
        <v>0.01</v>
      </c>
      <c r="E153" s="63">
        <v>0.1</v>
      </c>
      <c r="F153" s="63">
        <v>9.9999999999999995E-7</v>
      </c>
      <c r="G153" s="63" t="s">
        <v>13</v>
      </c>
      <c r="H153" s="63" t="s">
        <v>11</v>
      </c>
      <c r="I153" s="63">
        <v>0.1</v>
      </c>
      <c r="J153" s="63">
        <v>5</v>
      </c>
      <c r="K153" s="63" t="s">
        <v>10</v>
      </c>
      <c r="L153" s="63">
        <v>25</v>
      </c>
      <c r="M153" s="63">
        <v>355.17</v>
      </c>
      <c r="N153" s="63">
        <v>22.960999999999999</v>
      </c>
      <c r="O153" s="64">
        <v>364.62</v>
      </c>
    </row>
    <row r="154" spans="1:15" x14ac:dyDescent="0.25">
      <c r="A154" s="114" t="s">
        <v>1326</v>
      </c>
      <c r="B154" s="63" t="s">
        <v>52</v>
      </c>
      <c r="C154" s="63" t="s">
        <v>44</v>
      </c>
      <c r="D154" s="63">
        <v>0.01</v>
      </c>
      <c r="E154" s="63">
        <v>0.1</v>
      </c>
      <c r="F154" s="63">
        <v>9.9999999999999995E-7</v>
      </c>
      <c r="G154" s="63" t="s">
        <v>13</v>
      </c>
      <c r="H154" s="63" t="s">
        <v>11</v>
      </c>
      <c r="I154" s="63">
        <v>5</v>
      </c>
      <c r="J154" s="63">
        <v>20</v>
      </c>
      <c r="K154" s="63" t="s">
        <v>10</v>
      </c>
      <c r="L154" s="63">
        <v>25</v>
      </c>
      <c r="M154" s="63">
        <v>712.1</v>
      </c>
      <c r="N154" s="63">
        <v>22.9</v>
      </c>
      <c r="O154" s="64">
        <v>721.62</v>
      </c>
    </row>
    <row r="155" spans="1:15" x14ac:dyDescent="0.25">
      <c r="A155" s="114" t="s">
        <v>1325</v>
      </c>
      <c r="B155" s="63" t="s">
        <v>52</v>
      </c>
      <c r="C155" s="63" t="s">
        <v>44</v>
      </c>
      <c r="D155" s="63">
        <v>0.01</v>
      </c>
      <c r="E155" s="63">
        <v>0.1</v>
      </c>
      <c r="F155" s="63">
        <v>9.9999999999999995E-7</v>
      </c>
      <c r="G155" s="63" t="s">
        <v>13</v>
      </c>
      <c r="H155" s="63" t="s">
        <v>11</v>
      </c>
      <c r="I155" s="63">
        <v>20</v>
      </c>
      <c r="J155" s="63">
        <v>50</v>
      </c>
      <c r="K155" s="63" t="s">
        <v>10</v>
      </c>
      <c r="L155" s="63">
        <v>51</v>
      </c>
      <c r="M155" s="63">
        <v>4736.8</v>
      </c>
      <c r="N155" s="63">
        <v>45.606000000000002</v>
      </c>
      <c r="O155" s="64">
        <v>4746.8999999999996</v>
      </c>
    </row>
    <row r="156" spans="1:15" x14ac:dyDescent="0.25">
      <c r="A156" s="114" t="s">
        <v>1328</v>
      </c>
      <c r="B156" s="63" t="s">
        <v>52</v>
      </c>
      <c r="C156" s="63" t="s">
        <v>44</v>
      </c>
      <c r="D156" s="63">
        <v>0.01</v>
      </c>
      <c r="E156" s="63">
        <v>0.1</v>
      </c>
      <c r="F156" s="63">
        <v>9.9999999999999995E-7</v>
      </c>
      <c r="G156" s="63" t="s">
        <v>13</v>
      </c>
      <c r="H156" s="63" t="s">
        <v>11</v>
      </c>
      <c r="I156" s="63">
        <v>50</v>
      </c>
      <c r="J156" s="63">
        <v>100</v>
      </c>
      <c r="K156" s="63" t="s">
        <v>10</v>
      </c>
      <c r="L156" s="63">
        <v>190</v>
      </c>
      <c r="M156" s="63">
        <v>6538.1</v>
      </c>
      <c r="N156" s="63">
        <v>171.63</v>
      </c>
      <c r="O156" s="64">
        <v>6602.5</v>
      </c>
    </row>
    <row r="157" spans="1:15" x14ac:dyDescent="0.25">
      <c r="A157" s="114" t="s">
        <v>1345</v>
      </c>
      <c r="B157" s="63" t="s">
        <v>52</v>
      </c>
      <c r="C157" s="63" t="s">
        <v>44</v>
      </c>
      <c r="D157" s="63">
        <v>0.1</v>
      </c>
      <c r="E157" s="63">
        <v>1</v>
      </c>
      <c r="F157" s="63">
        <v>9.9999999999999995E-7</v>
      </c>
      <c r="G157" s="63" t="s">
        <v>13</v>
      </c>
      <c r="H157" s="63" t="s">
        <v>12</v>
      </c>
      <c r="I157" s="63">
        <v>1E-3</v>
      </c>
      <c r="J157" s="63">
        <v>0.02</v>
      </c>
      <c r="K157" s="63" t="s">
        <v>10</v>
      </c>
      <c r="L157" s="63">
        <v>0.25</v>
      </c>
      <c r="M157" s="63">
        <v>4.5999999999999996</v>
      </c>
      <c r="N157" s="63">
        <v>0.23096</v>
      </c>
      <c r="O157" s="64">
        <v>4.6188000000000002</v>
      </c>
    </row>
    <row r="158" spans="1:15" x14ac:dyDescent="0.25">
      <c r="A158" s="114" t="s">
        <v>1348</v>
      </c>
      <c r="B158" s="63" t="s">
        <v>52</v>
      </c>
      <c r="C158" s="63" t="s">
        <v>44</v>
      </c>
      <c r="D158" s="63">
        <v>0.1</v>
      </c>
      <c r="E158" s="63">
        <v>1</v>
      </c>
      <c r="F158" s="63">
        <v>9.9999999999999995E-7</v>
      </c>
      <c r="G158" s="63" t="s">
        <v>13</v>
      </c>
      <c r="H158" s="63" t="s">
        <v>12</v>
      </c>
      <c r="I158" s="63">
        <v>0.02</v>
      </c>
      <c r="J158" s="63">
        <v>4.4999999999999998E-2</v>
      </c>
      <c r="K158" s="63" t="s">
        <v>10</v>
      </c>
      <c r="L158" s="63">
        <v>0.28000000000000003</v>
      </c>
      <c r="M158" s="63">
        <v>1.8</v>
      </c>
      <c r="N158" s="63">
        <v>0.23096</v>
      </c>
      <c r="O158" s="64">
        <v>1.8475999999999999</v>
      </c>
    </row>
    <row r="159" spans="1:15" x14ac:dyDescent="0.25">
      <c r="A159" s="114" t="s">
        <v>1346</v>
      </c>
      <c r="B159" s="63" t="s">
        <v>52</v>
      </c>
      <c r="C159" s="63" t="s">
        <v>44</v>
      </c>
      <c r="D159" s="63">
        <v>0.1</v>
      </c>
      <c r="E159" s="63">
        <v>1</v>
      </c>
      <c r="F159" s="63">
        <v>9.9999999999999995E-7</v>
      </c>
      <c r="G159" s="63" t="s">
        <v>13</v>
      </c>
      <c r="H159" s="63" t="s">
        <v>12</v>
      </c>
      <c r="I159" s="63">
        <v>4.4999999999999998E-2</v>
      </c>
      <c r="J159" s="63">
        <v>0.1</v>
      </c>
      <c r="K159" s="63" t="s">
        <v>10</v>
      </c>
      <c r="L159" s="63">
        <v>0.24</v>
      </c>
      <c r="M159" s="63">
        <v>0.92</v>
      </c>
      <c r="N159" s="63">
        <v>0.23091</v>
      </c>
      <c r="O159" s="64">
        <v>0.92432000000000003</v>
      </c>
    </row>
    <row r="160" spans="1:15" x14ac:dyDescent="0.25">
      <c r="A160" s="114" t="s">
        <v>1349</v>
      </c>
      <c r="B160" s="63" t="s">
        <v>52</v>
      </c>
      <c r="C160" s="63" t="s">
        <v>44</v>
      </c>
      <c r="D160" s="63">
        <v>0.1</v>
      </c>
      <c r="E160" s="63">
        <v>1</v>
      </c>
      <c r="F160" s="63">
        <v>9.9999999999999995E-7</v>
      </c>
      <c r="G160" s="63" t="s">
        <v>13</v>
      </c>
      <c r="H160" s="63" t="s">
        <v>12</v>
      </c>
      <c r="I160" s="63">
        <v>0.1</v>
      </c>
      <c r="J160" s="63">
        <v>5</v>
      </c>
      <c r="K160" s="63" t="s">
        <v>10</v>
      </c>
      <c r="L160" s="63">
        <v>0.24</v>
      </c>
      <c r="M160" s="63">
        <v>1.2</v>
      </c>
      <c r="N160" s="63">
        <v>0.22816</v>
      </c>
      <c r="O160" s="64">
        <v>1.1855</v>
      </c>
    </row>
    <row r="161" spans="1:15" x14ac:dyDescent="0.25">
      <c r="A161" s="114" t="s">
        <v>1347</v>
      </c>
      <c r="B161" s="63" t="s">
        <v>52</v>
      </c>
      <c r="C161" s="63" t="s">
        <v>44</v>
      </c>
      <c r="D161" s="63">
        <v>0.1</v>
      </c>
      <c r="E161" s="63">
        <v>1</v>
      </c>
      <c r="F161" s="63">
        <v>9.9999999999999995E-7</v>
      </c>
      <c r="G161" s="63" t="s">
        <v>13</v>
      </c>
      <c r="H161" s="63" t="s">
        <v>12</v>
      </c>
      <c r="I161" s="63">
        <v>5</v>
      </c>
      <c r="J161" s="63">
        <v>20</v>
      </c>
      <c r="K161" s="63" t="s">
        <v>10</v>
      </c>
      <c r="L161" s="63">
        <v>0.27</v>
      </c>
      <c r="M161" s="63">
        <v>3.5</v>
      </c>
      <c r="N161" s="63">
        <v>0.22313</v>
      </c>
      <c r="O161" s="64">
        <v>3.5466000000000002</v>
      </c>
    </row>
    <row r="162" spans="1:15" x14ac:dyDescent="0.25">
      <c r="A162" s="114" t="s">
        <v>1350</v>
      </c>
      <c r="B162" s="63" t="s">
        <v>52</v>
      </c>
      <c r="C162" s="63" t="s">
        <v>44</v>
      </c>
      <c r="D162" s="63">
        <v>0.1</v>
      </c>
      <c r="E162" s="63">
        <v>1</v>
      </c>
      <c r="F162" s="63">
        <v>9.9999999999999995E-7</v>
      </c>
      <c r="G162" s="63" t="s">
        <v>13</v>
      </c>
      <c r="H162" s="63" t="s">
        <v>12</v>
      </c>
      <c r="I162" s="63">
        <v>20</v>
      </c>
      <c r="J162" s="63">
        <v>50</v>
      </c>
      <c r="K162" s="63" t="s">
        <v>10</v>
      </c>
      <c r="L162" s="63">
        <v>0.47</v>
      </c>
      <c r="M162" s="63">
        <v>12</v>
      </c>
      <c r="N162" s="63">
        <v>0.44152000000000002</v>
      </c>
      <c r="O162" s="64">
        <v>11.792</v>
      </c>
    </row>
    <row r="163" spans="1:15" x14ac:dyDescent="0.25">
      <c r="A163" s="114" t="s">
        <v>1243</v>
      </c>
      <c r="B163" s="63" t="s">
        <v>52</v>
      </c>
      <c r="C163" s="63" t="s">
        <v>44</v>
      </c>
      <c r="D163" s="63">
        <v>0</v>
      </c>
      <c r="E163" s="63">
        <v>1E-4</v>
      </c>
      <c r="F163" s="63">
        <v>1.0000000000000001E-5</v>
      </c>
      <c r="G163" s="63" t="s">
        <v>13</v>
      </c>
      <c r="H163" s="63" t="s">
        <v>11</v>
      </c>
      <c r="I163" s="63">
        <v>1E-3</v>
      </c>
      <c r="J163" s="63">
        <v>0.02</v>
      </c>
      <c r="K163" s="63" t="s">
        <v>10</v>
      </c>
      <c r="L163" s="63">
        <v>5.7739000000000003</v>
      </c>
      <c r="M163" s="63">
        <v>210.05</v>
      </c>
      <c r="N163" s="63">
        <v>5.7723000000000004</v>
      </c>
      <c r="O163" s="64">
        <v>209.55</v>
      </c>
    </row>
    <row r="164" spans="1:15" x14ac:dyDescent="0.25">
      <c r="A164" s="114" t="s">
        <v>2193</v>
      </c>
      <c r="B164" s="63" t="s">
        <v>52</v>
      </c>
      <c r="C164" s="63" t="s">
        <v>44</v>
      </c>
      <c r="D164" s="63">
        <v>0</v>
      </c>
      <c r="E164" s="63">
        <v>1E-4</v>
      </c>
      <c r="F164" s="63">
        <v>1.0000000000000001E-5</v>
      </c>
      <c r="G164" s="63" t="s">
        <v>13</v>
      </c>
      <c r="H164" s="63" t="s">
        <v>11</v>
      </c>
      <c r="I164" s="63">
        <v>0.02</v>
      </c>
      <c r="J164" s="63">
        <v>4.4999999999999998E-2</v>
      </c>
      <c r="K164" s="63" t="s">
        <v>10</v>
      </c>
      <c r="L164" s="63">
        <v>5.7733999999999996</v>
      </c>
      <c r="M164" s="63">
        <v>39.655999999999999</v>
      </c>
      <c r="N164" s="63">
        <v>5.77</v>
      </c>
      <c r="O164" s="64">
        <v>39.098999999999997</v>
      </c>
    </row>
    <row r="165" spans="1:15" x14ac:dyDescent="0.25">
      <c r="A165" s="114" t="s">
        <v>2194</v>
      </c>
      <c r="B165" s="63" t="s">
        <v>52</v>
      </c>
      <c r="C165" s="63" t="s">
        <v>44</v>
      </c>
      <c r="D165" s="63">
        <v>0</v>
      </c>
      <c r="E165" s="63">
        <v>1E-4</v>
      </c>
      <c r="F165" s="63">
        <v>1.0000000000000001E-5</v>
      </c>
      <c r="G165" s="63" t="s">
        <v>13</v>
      </c>
      <c r="H165" s="63" t="s">
        <v>11</v>
      </c>
      <c r="I165" s="63">
        <v>4.4999999999999998E-2</v>
      </c>
      <c r="J165" s="63">
        <v>5</v>
      </c>
      <c r="K165" s="63" t="s">
        <v>10</v>
      </c>
      <c r="L165" s="63">
        <v>5.7736000000000001</v>
      </c>
      <c r="M165" s="63">
        <v>9.7714999999999996</v>
      </c>
      <c r="N165" s="63">
        <v>5.7728000000000002</v>
      </c>
      <c r="O165" s="64">
        <v>9.2142999999999997</v>
      </c>
    </row>
    <row r="166" spans="1:15" x14ac:dyDescent="0.25">
      <c r="A166" s="114" t="s">
        <v>1304</v>
      </c>
      <c r="B166" s="63" t="s">
        <v>52</v>
      </c>
      <c r="C166" s="63" t="s">
        <v>44</v>
      </c>
      <c r="D166" s="63">
        <v>1E-3</v>
      </c>
      <c r="E166" s="63">
        <v>0.01</v>
      </c>
      <c r="F166" s="63">
        <v>1.0000000000000001E-5</v>
      </c>
      <c r="G166" s="63" t="s">
        <v>13</v>
      </c>
      <c r="H166" s="63" t="s">
        <v>11</v>
      </c>
      <c r="I166" s="63">
        <v>1E-3</v>
      </c>
      <c r="J166" s="63">
        <v>0.02</v>
      </c>
      <c r="K166" s="63" t="s">
        <v>10</v>
      </c>
      <c r="L166" s="63">
        <v>4.6177000000000001</v>
      </c>
      <c r="M166" s="63">
        <v>4424.3</v>
      </c>
      <c r="N166" s="63">
        <v>4.5991</v>
      </c>
      <c r="O166" s="64">
        <v>4424.5</v>
      </c>
    </row>
    <row r="167" spans="1:15" x14ac:dyDescent="0.25">
      <c r="A167" s="114" t="s">
        <v>1309</v>
      </c>
      <c r="B167" s="63" t="s">
        <v>52</v>
      </c>
      <c r="C167" s="63" t="s">
        <v>44</v>
      </c>
      <c r="D167" s="63">
        <v>1E-3</v>
      </c>
      <c r="E167" s="63">
        <v>0.01</v>
      </c>
      <c r="F167" s="63">
        <v>1.0000000000000001E-5</v>
      </c>
      <c r="G167" s="63" t="s">
        <v>13</v>
      </c>
      <c r="H167" s="63" t="s">
        <v>11</v>
      </c>
      <c r="I167" s="63">
        <v>0.02</v>
      </c>
      <c r="J167" s="63">
        <v>4.4999999999999998E-2</v>
      </c>
      <c r="K167" s="63" t="s">
        <v>10</v>
      </c>
      <c r="L167" s="63">
        <v>5.585</v>
      </c>
      <c r="M167" s="63">
        <v>1492.6</v>
      </c>
      <c r="N167" s="63">
        <v>5.5625999999999998</v>
      </c>
      <c r="O167" s="64">
        <v>1490.9</v>
      </c>
    </row>
    <row r="168" spans="1:15" x14ac:dyDescent="0.25">
      <c r="A168" s="114" t="s">
        <v>1307</v>
      </c>
      <c r="B168" s="63" t="s">
        <v>52</v>
      </c>
      <c r="C168" s="63" t="s">
        <v>44</v>
      </c>
      <c r="D168" s="63">
        <v>1E-3</v>
      </c>
      <c r="E168" s="63">
        <v>0.01</v>
      </c>
      <c r="F168" s="63">
        <v>1.0000000000000001E-5</v>
      </c>
      <c r="G168" s="63" t="s">
        <v>13</v>
      </c>
      <c r="H168" s="63" t="s">
        <v>11</v>
      </c>
      <c r="I168" s="63">
        <v>4.4999999999999998E-2</v>
      </c>
      <c r="J168" s="63">
        <v>0.1</v>
      </c>
      <c r="K168" s="63" t="s">
        <v>10</v>
      </c>
      <c r="L168" s="63">
        <v>6.0457999999999998</v>
      </c>
      <c r="M168" s="63">
        <v>494.17</v>
      </c>
      <c r="N168" s="63">
        <v>6.0251999999999999</v>
      </c>
      <c r="O168" s="64">
        <v>488.84</v>
      </c>
    </row>
    <row r="169" spans="1:15" x14ac:dyDescent="0.25">
      <c r="A169" s="114" t="s">
        <v>1308</v>
      </c>
      <c r="B169" s="63" t="s">
        <v>52</v>
      </c>
      <c r="C169" s="63" t="s">
        <v>44</v>
      </c>
      <c r="D169" s="63">
        <v>1E-3</v>
      </c>
      <c r="E169" s="63">
        <v>0.01</v>
      </c>
      <c r="F169" s="63">
        <v>1.0000000000000001E-5</v>
      </c>
      <c r="G169" s="63" t="s">
        <v>13</v>
      </c>
      <c r="H169" s="63" t="s">
        <v>11</v>
      </c>
      <c r="I169" s="63">
        <v>0.1</v>
      </c>
      <c r="J169" s="63">
        <v>5</v>
      </c>
      <c r="K169" s="63" t="s">
        <v>10</v>
      </c>
      <c r="L169" s="63">
        <v>6.1658999999999997</v>
      </c>
      <c r="M169" s="63">
        <v>223.94</v>
      </c>
      <c r="N169" s="63">
        <v>6.1471999999999998</v>
      </c>
      <c r="O169" s="64">
        <v>216.14</v>
      </c>
    </row>
    <row r="170" spans="1:15" x14ac:dyDescent="0.25">
      <c r="A170" s="114" t="s">
        <v>1310</v>
      </c>
      <c r="B170" s="63" t="s">
        <v>52</v>
      </c>
      <c r="C170" s="63" t="s">
        <v>44</v>
      </c>
      <c r="D170" s="63">
        <v>1E-3</v>
      </c>
      <c r="E170" s="63">
        <v>0.01</v>
      </c>
      <c r="F170" s="63">
        <v>1.0000000000000001E-5</v>
      </c>
      <c r="G170" s="63" t="s">
        <v>13</v>
      </c>
      <c r="H170" s="63" t="s">
        <v>11</v>
      </c>
      <c r="I170" s="63">
        <v>5</v>
      </c>
      <c r="J170" s="63">
        <v>20</v>
      </c>
      <c r="K170" s="63" t="s">
        <v>10</v>
      </c>
      <c r="L170" s="63">
        <v>6.0251000000000001</v>
      </c>
      <c r="M170" s="63">
        <v>518.67999999999995</v>
      </c>
      <c r="N170" s="63">
        <v>6.0044000000000004</v>
      </c>
      <c r="O170" s="64">
        <v>513.52</v>
      </c>
    </row>
    <row r="171" spans="1:15" x14ac:dyDescent="0.25">
      <c r="A171" s="114" t="s">
        <v>1305</v>
      </c>
      <c r="B171" s="63" t="s">
        <v>52</v>
      </c>
      <c r="C171" s="63" t="s">
        <v>44</v>
      </c>
      <c r="D171" s="63">
        <v>1E-3</v>
      </c>
      <c r="E171" s="63">
        <v>0.01</v>
      </c>
      <c r="F171" s="63">
        <v>1.0000000000000001E-5</v>
      </c>
      <c r="G171" s="63" t="s">
        <v>13</v>
      </c>
      <c r="H171" s="63" t="s">
        <v>11</v>
      </c>
      <c r="I171" s="63">
        <v>20</v>
      </c>
      <c r="J171" s="63">
        <v>50</v>
      </c>
      <c r="K171" s="63" t="s">
        <v>10</v>
      </c>
      <c r="L171" s="63">
        <v>6.3814000000000002</v>
      </c>
      <c r="M171" s="63">
        <v>4600.8</v>
      </c>
      <c r="N171" s="63">
        <v>6.3659999999999997</v>
      </c>
      <c r="O171" s="64">
        <v>4600.8</v>
      </c>
    </row>
    <row r="172" spans="1:15" x14ac:dyDescent="0.25">
      <c r="A172" s="114" t="s">
        <v>1306</v>
      </c>
      <c r="B172" s="63" t="s">
        <v>52</v>
      </c>
      <c r="C172" s="63" t="s">
        <v>44</v>
      </c>
      <c r="D172" s="63">
        <v>1E-3</v>
      </c>
      <c r="E172" s="63">
        <v>0.01</v>
      </c>
      <c r="F172" s="63">
        <v>1.0000000000000001E-5</v>
      </c>
      <c r="G172" s="63" t="s">
        <v>13</v>
      </c>
      <c r="H172" s="63" t="s">
        <v>11</v>
      </c>
      <c r="I172" s="63">
        <v>50</v>
      </c>
      <c r="J172" s="63">
        <v>100</v>
      </c>
      <c r="K172" s="63" t="s">
        <v>10</v>
      </c>
      <c r="L172" s="63">
        <v>19</v>
      </c>
      <c r="M172" s="63">
        <v>6550</v>
      </c>
      <c r="N172" s="63">
        <v>17.919</v>
      </c>
      <c r="O172" s="64">
        <v>6548</v>
      </c>
    </row>
    <row r="173" spans="1:15" x14ac:dyDescent="0.25">
      <c r="A173" s="114" t="s">
        <v>2195</v>
      </c>
      <c r="B173" s="63" t="s">
        <v>52</v>
      </c>
      <c r="C173" s="63" t="s">
        <v>44</v>
      </c>
      <c r="D173" s="63">
        <v>0.01</v>
      </c>
      <c r="E173" s="63">
        <v>0.1</v>
      </c>
      <c r="F173" s="63">
        <v>1.0000000000000001E-5</v>
      </c>
      <c r="G173" s="63" t="s">
        <v>13</v>
      </c>
      <c r="H173" s="63" t="s">
        <v>11</v>
      </c>
      <c r="I173" s="63">
        <v>1E-3</v>
      </c>
      <c r="J173" s="63">
        <v>0.02</v>
      </c>
      <c r="K173" s="63" t="s">
        <v>10</v>
      </c>
      <c r="L173" s="63">
        <v>25</v>
      </c>
      <c r="M173" s="63">
        <v>4600.3999999999996</v>
      </c>
      <c r="N173" s="63">
        <v>23.366</v>
      </c>
      <c r="O173" s="64">
        <v>4616.5</v>
      </c>
    </row>
    <row r="174" spans="1:15" x14ac:dyDescent="0.25">
      <c r="A174" s="114" t="s">
        <v>1329</v>
      </c>
      <c r="B174" s="63" t="s">
        <v>52</v>
      </c>
      <c r="C174" s="63" t="s">
        <v>44</v>
      </c>
      <c r="D174" s="63">
        <v>0.01</v>
      </c>
      <c r="E174" s="63">
        <v>0.1</v>
      </c>
      <c r="F174" s="63">
        <v>1.0000000000000001E-5</v>
      </c>
      <c r="G174" s="63" t="s">
        <v>13</v>
      </c>
      <c r="H174" s="63" t="s">
        <v>11</v>
      </c>
      <c r="I174" s="63">
        <v>0.02</v>
      </c>
      <c r="J174" s="63">
        <v>4.4999999999999998E-2</v>
      </c>
      <c r="K174" s="63" t="s">
        <v>10</v>
      </c>
      <c r="L174" s="63">
        <v>27</v>
      </c>
      <c r="M174" s="63">
        <v>1700</v>
      </c>
      <c r="N174" s="63">
        <v>23.553999999999998</v>
      </c>
      <c r="O174" s="64">
        <v>1728.5</v>
      </c>
    </row>
    <row r="175" spans="1:15" x14ac:dyDescent="0.25">
      <c r="A175" s="114" t="s">
        <v>1333</v>
      </c>
      <c r="B175" s="63" t="s">
        <v>52</v>
      </c>
      <c r="C175" s="63" t="s">
        <v>44</v>
      </c>
      <c r="D175" s="63">
        <v>0.01</v>
      </c>
      <c r="E175" s="63">
        <v>0.1</v>
      </c>
      <c r="F175" s="63">
        <v>1.0000000000000001E-5</v>
      </c>
      <c r="G175" s="63" t="s">
        <v>13</v>
      </c>
      <c r="H175" s="63" t="s">
        <v>11</v>
      </c>
      <c r="I175" s="63">
        <v>4.4999999999999998E-2</v>
      </c>
      <c r="J175" s="63">
        <v>0.1</v>
      </c>
      <c r="K175" s="63" t="s">
        <v>10</v>
      </c>
      <c r="L175" s="63">
        <v>24</v>
      </c>
      <c r="M175" s="63">
        <v>690</v>
      </c>
      <c r="N175" s="63">
        <v>23.701000000000001</v>
      </c>
      <c r="O175" s="64">
        <v>689.05</v>
      </c>
    </row>
    <row r="176" spans="1:15" x14ac:dyDescent="0.25">
      <c r="A176" s="114" t="s">
        <v>1332</v>
      </c>
      <c r="B176" s="63" t="s">
        <v>52</v>
      </c>
      <c r="C176" s="63" t="s">
        <v>44</v>
      </c>
      <c r="D176" s="63">
        <v>0.01</v>
      </c>
      <c r="E176" s="63">
        <v>0.1</v>
      </c>
      <c r="F176" s="63">
        <v>1.0000000000000001E-5</v>
      </c>
      <c r="G176" s="63" t="s">
        <v>13</v>
      </c>
      <c r="H176" s="63" t="s">
        <v>11</v>
      </c>
      <c r="I176" s="63">
        <v>0.1</v>
      </c>
      <c r="J176" s="63">
        <v>5</v>
      </c>
      <c r="K176" s="63" t="s">
        <v>10</v>
      </c>
      <c r="L176" s="63">
        <v>25</v>
      </c>
      <c r="M176" s="63">
        <v>360.06</v>
      </c>
      <c r="N176" s="63">
        <v>23.625</v>
      </c>
      <c r="O176" s="64">
        <v>361.08</v>
      </c>
    </row>
    <row r="177" spans="1:15" x14ac:dyDescent="0.25">
      <c r="A177" s="114" t="s">
        <v>2196</v>
      </c>
      <c r="B177" s="63" t="s">
        <v>52</v>
      </c>
      <c r="C177" s="63" t="s">
        <v>44</v>
      </c>
      <c r="D177" s="63">
        <v>0.01</v>
      </c>
      <c r="E177" s="63">
        <v>0.1</v>
      </c>
      <c r="F177" s="63">
        <v>1.0000000000000001E-5</v>
      </c>
      <c r="G177" s="63" t="s">
        <v>13</v>
      </c>
      <c r="H177" s="63" t="s">
        <v>11</v>
      </c>
      <c r="I177" s="63">
        <v>5</v>
      </c>
      <c r="J177" s="63">
        <v>20</v>
      </c>
      <c r="K177" s="63" t="s">
        <v>10</v>
      </c>
      <c r="L177" s="63">
        <v>25</v>
      </c>
      <c r="M177" s="63">
        <v>715.16</v>
      </c>
      <c r="N177" s="63">
        <v>23.497</v>
      </c>
      <c r="O177" s="64">
        <v>717.59</v>
      </c>
    </row>
    <row r="178" spans="1:15" x14ac:dyDescent="0.25">
      <c r="A178" s="114" t="s">
        <v>1331</v>
      </c>
      <c r="B178" s="63" t="s">
        <v>52</v>
      </c>
      <c r="C178" s="63" t="s">
        <v>44</v>
      </c>
      <c r="D178" s="63">
        <v>0.01</v>
      </c>
      <c r="E178" s="63">
        <v>0.1</v>
      </c>
      <c r="F178" s="63">
        <v>1.0000000000000001E-5</v>
      </c>
      <c r="G178" s="63" t="s">
        <v>13</v>
      </c>
      <c r="H178" s="63" t="s">
        <v>11</v>
      </c>
      <c r="I178" s="63">
        <v>20</v>
      </c>
      <c r="J178" s="63">
        <v>50</v>
      </c>
      <c r="K178" s="63" t="s">
        <v>10</v>
      </c>
      <c r="L178" s="63">
        <v>51</v>
      </c>
      <c r="M178" s="63">
        <v>4738</v>
      </c>
      <c r="N178" s="63">
        <v>45.823</v>
      </c>
      <c r="O178" s="64">
        <v>4745.2</v>
      </c>
    </row>
    <row r="179" spans="1:15" x14ac:dyDescent="0.25">
      <c r="A179" s="114" t="s">
        <v>1330</v>
      </c>
      <c r="B179" s="63" t="s">
        <v>52</v>
      </c>
      <c r="C179" s="63" t="s">
        <v>44</v>
      </c>
      <c r="D179" s="63">
        <v>0.01</v>
      </c>
      <c r="E179" s="63">
        <v>0.1</v>
      </c>
      <c r="F179" s="63">
        <v>1.0000000000000001E-5</v>
      </c>
      <c r="G179" s="63" t="s">
        <v>13</v>
      </c>
      <c r="H179" s="63" t="s">
        <v>11</v>
      </c>
      <c r="I179" s="63">
        <v>50</v>
      </c>
      <c r="J179" s="63">
        <v>100</v>
      </c>
      <c r="K179" s="63" t="s">
        <v>10</v>
      </c>
      <c r="L179" s="63">
        <v>190</v>
      </c>
      <c r="M179" s="63">
        <v>6565.8</v>
      </c>
      <c r="N179" s="63">
        <v>179.15</v>
      </c>
      <c r="O179" s="64">
        <v>6551.2</v>
      </c>
    </row>
    <row r="180" spans="1:15" x14ac:dyDescent="0.25">
      <c r="A180" s="114" t="s">
        <v>1353</v>
      </c>
      <c r="B180" s="63" t="s">
        <v>52</v>
      </c>
      <c r="C180" s="63" t="s">
        <v>44</v>
      </c>
      <c r="D180" s="63">
        <v>0.1</v>
      </c>
      <c r="E180" s="63">
        <v>1</v>
      </c>
      <c r="F180" s="63">
        <v>1.0000000000000001E-5</v>
      </c>
      <c r="G180" s="63" t="s">
        <v>13</v>
      </c>
      <c r="H180" s="63" t="s">
        <v>12</v>
      </c>
      <c r="I180" s="63">
        <v>1E-3</v>
      </c>
      <c r="J180" s="63">
        <v>0.02</v>
      </c>
      <c r="K180" s="63" t="s">
        <v>10</v>
      </c>
      <c r="L180" s="63">
        <v>0.25</v>
      </c>
      <c r="M180" s="63">
        <v>4.5999999999999996</v>
      </c>
      <c r="N180" s="63">
        <v>0.23100000000000001</v>
      </c>
      <c r="O180" s="64">
        <v>4.6188000000000002</v>
      </c>
    </row>
    <row r="181" spans="1:15" x14ac:dyDescent="0.25">
      <c r="A181" s="114" t="s">
        <v>1352</v>
      </c>
      <c r="B181" s="63" t="s">
        <v>52</v>
      </c>
      <c r="C181" s="63" t="s">
        <v>44</v>
      </c>
      <c r="D181" s="63">
        <v>0.1</v>
      </c>
      <c r="E181" s="63">
        <v>1</v>
      </c>
      <c r="F181" s="63">
        <v>1.0000000000000001E-5</v>
      </c>
      <c r="G181" s="63" t="s">
        <v>13</v>
      </c>
      <c r="H181" s="63" t="s">
        <v>12</v>
      </c>
      <c r="I181" s="63">
        <v>0.02</v>
      </c>
      <c r="J181" s="63">
        <v>4.4999999999999998E-2</v>
      </c>
      <c r="K181" s="63" t="s">
        <v>10</v>
      </c>
      <c r="L181" s="63">
        <v>0.28000000000000003</v>
      </c>
      <c r="M181" s="63">
        <v>1.8</v>
      </c>
      <c r="N181" s="63">
        <v>0.23102</v>
      </c>
      <c r="O181" s="64">
        <v>1.8475999999999999</v>
      </c>
    </row>
    <row r="182" spans="1:15" x14ac:dyDescent="0.25">
      <c r="A182" s="114" t="s">
        <v>1351</v>
      </c>
      <c r="B182" s="63" t="s">
        <v>52</v>
      </c>
      <c r="C182" s="63" t="s">
        <v>44</v>
      </c>
      <c r="D182" s="63">
        <v>0.1</v>
      </c>
      <c r="E182" s="63">
        <v>1</v>
      </c>
      <c r="F182" s="63">
        <v>1.0000000000000001E-5</v>
      </c>
      <c r="G182" s="63" t="s">
        <v>13</v>
      </c>
      <c r="H182" s="63" t="s">
        <v>12</v>
      </c>
      <c r="I182" s="63">
        <v>4.4999999999999998E-2</v>
      </c>
      <c r="J182" s="63">
        <v>0.1</v>
      </c>
      <c r="K182" s="63" t="s">
        <v>10</v>
      </c>
      <c r="L182" s="63">
        <v>0.24</v>
      </c>
      <c r="M182" s="63">
        <v>0.92</v>
      </c>
      <c r="N182" s="63">
        <v>0.23100999999999999</v>
      </c>
      <c r="O182" s="64">
        <v>0.92427000000000004</v>
      </c>
    </row>
    <row r="183" spans="1:15" x14ac:dyDescent="0.25">
      <c r="A183" s="114" t="s">
        <v>2197</v>
      </c>
      <c r="B183" s="63" t="s">
        <v>52</v>
      </c>
      <c r="C183" s="63" t="s">
        <v>44</v>
      </c>
      <c r="D183" s="63">
        <v>0.1</v>
      </c>
      <c r="E183" s="63">
        <v>1</v>
      </c>
      <c r="F183" s="63">
        <v>1.0000000000000001E-5</v>
      </c>
      <c r="G183" s="63" t="s">
        <v>13</v>
      </c>
      <c r="H183" s="63" t="s">
        <v>12</v>
      </c>
      <c r="I183" s="63">
        <v>0.1</v>
      </c>
      <c r="J183" s="63">
        <v>5</v>
      </c>
      <c r="K183" s="63" t="s">
        <v>10</v>
      </c>
      <c r="L183" s="63">
        <v>0.24</v>
      </c>
      <c r="M183" s="63">
        <v>1.2</v>
      </c>
      <c r="N183" s="63">
        <v>0.2283</v>
      </c>
      <c r="O183" s="64">
        <v>1.1854</v>
      </c>
    </row>
    <row r="184" spans="1:15" x14ac:dyDescent="0.25">
      <c r="A184" s="114" t="s">
        <v>1354</v>
      </c>
      <c r="B184" s="63" t="s">
        <v>52</v>
      </c>
      <c r="C184" s="63" t="s">
        <v>44</v>
      </c>
      <c r="D184" s="63">
        <v>0.1</v>
      </c>
      <c r="E184" s="63">
        <v>1</v>
      </c>
      <c r="F184" s="63">
        <v>1.0000000000000001E-5</v>
      </c>
      <c r="G184" s="63" t="s">
        <v>13</v>
      </c>
      <c r="H184" s="63" t="s">
        <v>12</v>
      </c>
      <c r="I184" s="63">
        <v>5</v>
      </c>
      <c r="J184" s="63">
        <v>20</v>
      </c>
      <c r="K184" s="63" t="s">
        <v>10</v>
      </c>
      <c r="L184" s="63">
        <v>0.27</v>
      </c>
      <c r="M184" s="63">
        <v>3.5331000000000001</v>
      </c>
      <c r="N184" s="63">
        <v>0.22319</v>
      </c>
      <c r="O184" s="64">
        <v>3.5466000000000002</v>
      </c>
    </row>
    <row r="185" spans="1:15" x14ac:dyDescent="0.25">
      <c r="A185" s="114" t="s">
        <v>1355</v>
      </c>
      <c r="B185" s="63" t="s">
        <v>52</v>
      </c>
      <c r="C185" s="63" t="s">
        <v>44</v>
      </c>
      <c r="D185" s="63">
        <v>0.1</v>
      </c>
      <c r="E185" s="63">
        <v>1</v>
      </c>
      <c r="F185" s="63">
        <v>1.0000000000000001E-5</v>
      </c>
      <c r="G185" s="63" t="s">
        <v>13</v>
      </c>
      <c r="H185" s="63" t="s">
        <v>12</v>
      </c>
      <c r="I185" s="63">
        <v>20</v>
      </c>
      <c r="J185" s="63">
        <v>50</v>
      </c>
      <c r="K185" s="63" t="s">
        <v>10</v>
      </c>
      <c r="L185" s="63">
        <v>0.47</v>
      </c>
      <c r="M185" s="63">
        <v>12</v>
      </c>
      <c r="N185" s="63">
        <v>0.44162000000000001</v>
      </c>
      <c r="O185" s="64">
        <v>11.792</v>
      </c>
    </row>
    <row r="186" spans="1:15" x14ac:dyDescent="0.25">
      <c r="A186" s="114" t="s">
        <v>2198</v>
      </c>
      <c r="B186" s="63" t="s">
        <v>52</v>
      </c>
      <c r="C186" s="63" t="s">
        <v>44</v>
      </c>
      <c r="D186" s="63">
        <v>1</v>
      </c>
      <c r="E186" s="63">
        <v>10</v>
      </c>
      <c r="F186" s="63">
        <v>1.0000000000000001E-5</v>
      </c>
      <c r="G186" s="63" t="s">
        <v>13</v>
      </c>
      <c r="H186" s="63" t="s">
        <v>12</v>
      </c>
      <c r="I186" s="63">
        <v>1E-3</v>
      </c>
      <c r="J186" s="63">
        <v>0.05</v>
      </c>
      <c r="K186" s="63" t="s">
        <v>10</v>
      </c>
      <c r="L186" s="63">
        <v>0.55000000000000004</v>
      </c>
      <c r="M186" s="63">
        <v>0.12</v>
      </c>
      <c r="N186" s="63">
        <v>0.51998999999999995</v>
      </c>
      <c r="O186" s="64">
        <v>9.3087000000000003E-2</v>
      </c>
    </row>
    <row r="187" spans="1:15" x14ac:dyDescent="0.25">
      <c r="A187" s="114" t="s">
        <v>1370</v>
      </c>
      <c r="B187" s="63" t="s">
        <v>52</v>
      </c>
      <c r="C187" s="63" t="s">
        <v>44</v>
      </c>
      <c r="D187" s="63">
        <v>1</v>
      </c>
      <c r="E187" s="63">
        <v>10</v>
      </c>
      <c r="F187" s="63">
        <v>1.0000000000000001E-5</v>
      </c>
      <c r="G187" s="63" t="s">
        <v>13</v>
      </c>
      <c r="H187" s="63" t="s">
        <v>12</v>
      </c>
      <c r="I187" s="63">
        <v>0.05</v>
      </c>
      <c r="J187" s="63">
        <v>1</v>
      </c>
      <c r="K187" s="63" t="s">
        <v>10</v>
      </c>
      <c r="L187" s="63">
        <v>0.46</v>
      </c>
      <c r="M187" s="63">
        <v>0.17</v>
      </c>
      <c r="N187" s="63">
        <v>0.49897000000000002</v>
      </c>
      <c r="O187" s="64">
        <v>0.12063</v>
      </c>
    </row>
    <row r="188" spans="1:15" x14ac:dyDescent="0.25">
      <c r="A188" s="114" t="s">
        <v>1369</v>
      </c>
      <c r="B188" s="63" t="s">
        <v>52</v>
      </c>
      <c r="C188" s="63" t="s">
        <v>44</v>
      </c>
      <c r="D188" s="63">
        <v>1</v>
      </c>
      <c r="E188" s="63">
        <v>10</v>
      </c>
      <c r="F188" s="63">
        <v>1.0000000000000001E-5</v>
      </c>
      <c r="G188" s="63" t="s">
        <v>13</v>
      </c>
      <c r="H188" s="63" t="s">
        <v>12</v>
      </c>
      <c r="I188" s="63">
        <v>1</v>
      </c>
      <c r="J188" s="63">
        <v>5</v>
      </c>
      <c r="K188" s="63" t="s">
        <v>10</v>
      </c>
      <c r="L188" s="63">
        <v>1.4</v>
      </c>
      <c r="M188" s="63">
        <v>0.66</v>
      </c>
      <c r="N188" s="63">
        <v>1.3260000000000001</v>
      </c>
      <c r="O188" s="64">
        <v>0.66217999999999999</v>
      </c>
    </row>
    <row r="189" spans="1:15" x14ac:dyDescent="0.25">
      <c r="A189" s="114" t="s">
        <v>1380</v>
      </c>
      <c r="B189" s="63" t="s">
        <v>52</v>
      </c>
      <c r="C189" s="63" t="s">
        <v>44</v>
      </c>
      <c r="D189" s="63">
        <v>10</v>
      </c>
      <c r="E189" s="63">
        <v>20</v>
      </c>
      <c r="F189" s="63">
        <v>1.0000000000000001E-5</v>
      </c>
      <c r="G189" s="63" t="s">
        <v>13</v>
      </c>
      <c r="H189" s="63" t="s">
        <v>12</v>
      </c>
      <c r="I189" s="63">
        <v>1E-3</v>
      </c>
      <c r="J189" s="63">
        <v>0.05</v>
      </c>
      <c r="K189" s="63" t="s">
        <v>10</v>
      </c>
      <c r="L189" s="63">
        <v>0.92</v>
      </c>
      <c r="M189" s="63">
        <v>0.49</v>
      </c>
      <c r="N189" s="63">
        <v>4.6374000000000004</v>
      </c>
      <c r="O189" s="64">
        <v>8.1764000000000003E-2</v>
      </c>
    </row>
    <row r="190" spans="1:15" x14ac:dyDescent="0.25">
      <c r="A190" s="114" t="s">
        <v>1381</v>
      </c>
      <c r="B190" s="63" t="s">
        <v>52</v>
      </c>
      <c r="C190" s="63" t="s">
        <v>44</v>
      </c>
      <c r="D190" s="63">
        <v>10</v>
      </c>
      <c r="E190" s="63">
        <v>20</v>
      </c>
      <c r="F190" s="63">
        <v>1.0000000000000001E-5</v>
      </c>
      <c r="G190" s="63" t="s">
        <v>13</v>
      </c>
      <c r="H190" s="63" t="s">
        <v>12</v>
      </c>
      <c r="I190" s="63">
        <v>0.05</v>
      </c>
      <c r="J190" s="63">
        <v>1</v>
      </c>
      <c r="K190" s="63" t="s">
        <v>10</v>
      </c>
      <c r="L190" s="63">
        <v>0</v>
      </c>
      <c r="M190" s="63">
        <v>0.5</v>
      </c>
      <c r="N190" s="63">
        <v>2.1831999999999998</v>
      </c>
      <c r="O190" s="64">
        <v>0.11355999999999999</v>
      </c>
    </row>
    <row r="191" spans="1:15" x14ac:dyDescent="0.25">
      <c r="A191" s="114" t="s">
        <v>1382</v>
      </c>
      <c r="B191" s="63" t="s">
        <v>52</v>
      </c>
      <c r="C191" s="63" t="s">
        <v>44</v>
      </c>
      <c r="D191" s="63">
        <v>10</v>
      </c>
      <c r="E191" s="63">
        <v>20</v>
      </c>
      <c r="F191" s="63">
        <v>1.0000000000000001E-5</v>
      </c>
      <c r="G191" s="63" t="s">
        <v>13</v>
      </c>
      <c r="H191" s="63" t="s">
        <v>12</v>
      </c>
      <c r="I191" s="63">
        <v>1</v>
      </c>
      <c r="J191" s="63">
        <v>5</v>
      </c>
      <c r="K191" s="63" t="s">
        <v>10</v>
      </c>
      <c r="L191" s="63">
        <v>0</v>
      </c>
      <c r="M191" s="63">
        <v>0.95</v>
      </c>
      <c r="N191" s="63">
        <v>1.0702</v>
      </c>
      <c r="O191" s="64">
        <v>0.65986999999999996</v>
      </c>
    </row>
    <row r="192" spans="1:15" x14ac:dyDescent="0.25">
      <c r="A192" s="114" t="s">
        <v>1244</v>
      </c>
      <c r="B192" s="63" t="s">
        <v>52</v>
      </c>
      <c r="C192" s="63" t="s">
        <v>44</v>
      </c>
      <c r="D192" s="63">
        <v>0</v>
      </c>
      <c r="E192" s="63">
        <v>1E-4</v>
      </c>
      <c r="F192" s="63">
        <v>1E-4</v>
      </c>
      <c r="G192" s="63" t="s">
        <v>13</v>
      </c>
      <c r="H192" s="63" t="s">
        <v>11</v>
      </c>
      <c r="I192" s="63">
        <v>1E-3</v>
      </c>
      <c r="J192" s="63">
        <v>0.02</v>
      </c>
      <c r="K192" s="63" t="s">
        <v>10</v>
      </c>
      <c r="L192" s="63">
        <v>57.735999999999997</v>
      </c>
      <c r="M192" s="63">
        <v>21.196999999999999</v>
      </c>
      <c r="N192" s="63">
        <v>57.734000000000002</v>
      </c>
      <c r="O192" s="64">
        <v>20.994</v>
      </c>
    </row>
    <row r="193" spans="1:15" x14ac:dyDescent="0.25">
      <c r="A193" s="114" t="s">
        <v>2199</v>
      </c>
      <c r="B193" s="63" t="s">
        <v>52</v>
      </c>
      <c r="C193" s="63" t="s">
        <v>44</v>
      </c>
      <c r="D193" s="63">
        <v>0</v>
      </c>
      <c r="E193" s="63">
        <v>1E-4</v>
      </c>
      <c r="F193" s="63">
        <v>1E-4</v>
      </c>
      <c r="G193" s="63" t="s">
        <v>13</v>
      </c>
      <c r="H193" s="63" t="s">
        <v>11</v>
      </c>
      <c r="I193" s="63">
        <v>0.02</v>
      </c>
      <c r="J193" s="63">
        <v>4.4999999999999998E-2</v>
      </c>
      <c r="K193" s="63" t="s">
        <v>10</v>
      </c>
      <c r="L193" s="63">
        <v>57.735999999999997</v>
      </c>
      <c r="M193" s="63">
        <v>4.1759000000000004</v>
      </c>
      <c r="N193" s="63">
        <v>57.731999999999999</v>
      </c>
      <c r="O193" s="64">
        <v>3.9529999999999998</v>
      </c>
    </row>
    <row r="194" spans="1:15" x14ac:dyDescent="0.25">
      <c r="A194" s="114" t="s">
        <v>1245</v>
      </c>
      <c r="B194" s="63" t="s">
        <v>52</v>
      </c>
      <c r="C194" s="63" t="s">
        <v>44</v>
      </c>
      <c r="D194" s="63">
        <v>0</v>
      </c>
      <c r="E194" s="63">
        <v>1E-4</v>
      </c>
      <c r="F194" s="63">
        <v>1E-4</v>
      </c>
      <c r="G194" s="63" t="s">
        <v>13</v>
      </c>
      <c r="H194" s="63" t="s">
        <v>11</v>
      </c>
      <c r="I194" s="63">
        <v>4.4999999999999998E-2</v>
      </c>
      <c r="J194" s="63">
        <v>5</v>
      </c>
      <c r="K194" s="63" t="s">
        <v>10</v>
      </c>
      <c r="L194" s="63">
        <v>57.735999999999997</v>
      </c>
      <c r="M194" s="63">
        <v>1.1861999999999999</v>
      </c>
      <c r="N194" s="63">
        <v>57.734999999999999</v>
      </c>
      <c r="O194" s="64">
        <v>0.96331999999999995</v>
      </c>
    </row>
    <row r="195" spans="1:15" x14ac:dyDescent="0.25">
      <c r="A195" s="114" t="s">
        <v>2200</v>
      </c>
      <c r="B195" s="63" t="s">
        <v>52</v>
      </c>
      <c r="C195" s="63" t="s">
        <v>44</v>
      </c>
      <c r="D195" s="63">
        <v>1E-3</v>
      </c>
      <c r="E195" s="63">
        <v>0.01</v>
      </c>
      <c r="F195" s="63">
        <v>1E-4</v>
      </c>
      <c r="G195" s="63" t="s">
        <v>13</v>
      </c>
      <c r="H195" s="63" t="s">
        <v>11</v>
      </c>
      <c r="I195" s="63">
        <v>1E-3</v>
      </c>
      <c r="J195" s="63">
        <v>0.02</v>
      </c>
      <c r="K195" s="63" t="s">
        <v>10</v>
      </c>
      <c r="L195" s="63">
        <v>56.243000000000002</v>
      </c>
      <c r="M195" s="63">
        <v>1921.2</v>
      </c>
      <c r="N195" s="63">
        <v>56.234999999999999</v>
      </c>
      <c r="O195" s="64">
        <v>1917.8</v>
      </c>
    </row>
    <row r="196" spans="1:15" x14ac:dyDescent="0.25">
      <c r="A196" s="114" t="s">
        <v>1313</v>
      </c>
      <c r="B196" s="63" t="s">
        <v>52</v>
      </c>
      <c r="C196" s="63" t="s">
        <v>44</v>
      </c>
      <c r="D196" s="63">
        <v>1E-3</v>
      </c>
      <c r="E196" s="63">
        <v>0.01</v>
      </c>
      <c r="F196" s="63">
        <v>1E-4</v>
      </c>
      <c r="G196" s="63" t="s">
        <v>13</v>
      </c>
      <c r="H196" s="63" t="s">
        <v>11</v>
      </c>
      <c r="I196" s="63">
        <v>0.02</v>
      </c>
      <c r="J196" s="63">
        <v>4.4999999999999998E-2</v>
      </c>
      <c r="K196" s="63" t="s">
        <v>10</v>
      </c>
      <c r="L196" s="63">
        <v>57.540999999999997</v>
      </c>
      <c r="M196" s="63">
        <v>350.7</v>
      </c>
      <c r="N196" s="63">
        <v>57.533999999999999</v>
      </c>
      <c r="O196" s="64">
        <v>346.11</v>
      </c>
    </row>
    <row r="197" spans="1:15" x14ac:dyDescent="0.25">
      <c r="A197" s="114" t="s">
        <v>1312</v>
      </c>
      <c r="B197" s="63" t="s">
        <v>52</v>
      </c>
      <c r="C197" s="63" t="s">
        <v>44</v>
      </c>
      <c r="D197" s="63">
        <v>1E-3</v>
      </c>
      <c r="E197" s="63">
        <v>0.01</v>
      </c>
      <c r="F197" s="63">
        <v>1E-4</v>
      </c>
      <c r="G197" s="63" t="s">
        <v>13</v>
      </c>
      <c r="H197" s="63" t="s">
        <v>11</v>
      </c>
      <c r="I197" s="63">
        <v>4.4999999999999998E-2</v>
      </c>
      <c r="J197" s="63">
        <v>0.1</v>
      </c>
      <c r="K197" s="63" t="s">
        <v>10</v>
      </c>
      <c r="L197" s="63">
        <v>57.749000000000002</v>
      </c>
      <c r="M197" s="63">
        <v>79.009</v>
      </c>
      <c r="N197" s="63">
        <v>57.741999999999997</v>
      </c>
      <c r="O197" s="64">
        <v>74.17</v>
      </c>
    </row>
    <row r="198" spans="1:15" x14ac:dyDescent="0.25">
      <c r="A198" s="114" t="s">
        <v>1314</v>
      </c>
      <c r="B198" s="63" t="s">
        <v>52</v>
      </c>
      <c r="C198" s="63" t="s">
        <v>44</v>
      </c>
      <c r="D198" s="63">
        <v>1E-3</v>
      </c>
      <c r="E198" s="63">
        <v>0.01</v>
      </c>
      <c r="F198" s="63">
        <v>1E-4</v>
      </c>
      <c r="G198" s="63" t="s">
        <v>13</v>
      </c>
      <c r="H198" s="63" t="s">
        <v>11</v>
      </c>
      <c r="I198" s="63">
        <v>0.1</v>
      </c>
      <c r="J198" s="63">
        <v>5</v>
      </c>
      <c r="K198" s="63" t="s">
        <v>10</v>
      </c>
      <c r="L198" s="63">
        <v>57.777999999999999</v>
      </c>
      <c r="M198" s="63">
        <v>33.176000000000002</v>
      </c>
      <c r="N198" s="63">
        <v>57.771000000000001</v>
      </c>
      <c r="O198" s="64">
        <v>28.291</v>
      </c>
    </row>
    <row r="199" spans="1:15" x14ac:dyDescent="0.25">
      <c r="A199" s="114" t="s">
        <v>1311</v>
      </c>
      <c r="B199" s="63" t="s">
        <v>52</v>
      </c>
      <c r="C199" s="63" t="s">
        <v>44</v>
      </c>
      <c r="D199" s="63">
        <v>1E-3</v>
      </c>
      <c r="E199" s="63">
        <v>0.01</v>
      </c>
      <c r="F199" s="63">
        <v>1E-4</v>
      </c>
      <c r="G199" s="63" t="s">
        <v>13</v>
      </c>
      <c r="H199" s="63" t="s">
        <v>11</v>
      </c>
      <c r="I199" s="63">
        <v>5</v>
      </c>
      <c r="J199" s="63">
        <v>20</v>
      </c>
      <c r="K199" s="63" t="s">
        <v>10</v>
      </c>
      <c r="L199" s="63">
        <v>57.744999999999997</v>
      </c>
      <c r="M199" s="63">
        <v>83.688999999999993</v>
      </c>
      <c r="N199" s="63">
        <v>57.738</v>
      </c>
      <c r="O199" s="64">
        <v>78.852999999999994</v>
      </c>
    </row>
    <row r="200" spans="1:15" x14ac:dyDescent="0.25">
      <c r="A200" s="114" t="s">
        <v>1316</v>
      </c>
      <c r="B200" s="63" t="s">
        <v>52</v>
      </c>
      <c r="C200" s="63" t="s">
        <v>44</v>
      </c>
      <c r="D200" s="63">
        <v>1E-3</v>
      </c>
      <c r="E200" s="63">
        <v>0.01</v>
      </c>
      <c r="F200" s="63">
        <v>1E-4</v>
      </c>
      <c r="G200" s="63" t="s">
        <v>13</v>
      </c>
      <c r="H200" s="63" t="s">
        <v>11</v>
      </c>
      <c r="I200" s="63">
        <v>20</v>
      </c>
      <c r="J200" s="63">
        <v>50</v>
      </c>
      <c r="K200" s="63" t="s">
        <v>10</v>
      </c>
      <c r="L200" s="63">
        <v>56.353999999999999</v>
      </c>
      <c r="M200" s="63">
        <v>2143.3000000000002</v>
      </c>
      <c r="N200" s="63">
        <v>56.345999999999997</v>
      </c>
      <c r="O200" s="64">
        <v>2139.9</v>
      </c>
    </row>
    <row r="201" spans="1:15" x14ac:dyDescent="0.25">
      <c r="A201" s="114" t="s">
        <v>1315</v>
      </c>
      <c r="B201" s="63" t="s">
        <v>52</v>
      </c>
      <c r="C201" s="63" t="s">
        <v>44</v>
      </c>
      <c r="D201" s="63">
        <v>1E-3</v>
      </c>
      <c r="E201" s="63">
        <v>0.01</v>
      </c>
      <c r="F201" s="63">
        <v>1E-4</v>
      </c>
      <c r="G201" s="63" t="s">
        <v>13</v>
      </c>
      <c r="H201" s="63" t="s">
        <v>11</v>
      </c>
      <c r="I201" s="63">
        <v>50</v>
      </c>
      <c r="J201" s="63">
        <v>100</v>
      </c>
      <c r="K201" s="63" t="s">
        <v>10</v>
      </c>
      <c r="L201" s="63">
        <v>58.261000000000003</v>
      </c>
      <c r="M201" s="63">
        <v>4342.2</v>
      </c>
      <c r="N201" s="63">
        <v>58.146000000000001</v>
      </c>
      <c r="O201" s="64">
        <v>4318.8</v>
      </c>
    </row>
    <row r="202" spans="1:15" x14ac:dyDescent="0.25">
      <c r="A202" s="114" t="s">
        <v>1337</v>
      </c>
      <c r="B202" s="63" t="s">
        <v>52</v>
      </c>
      <c r="C202" s="63" t="s">
        <v>44</v>
      </c>
      <c r="D202" s="63">
        <v>0.01</v>
      </c>
      <c r="E202" s="63">
        <v>0.1</v>
      </c>
      <c r="F202" s="63">
        <v>1E-4</v>
      </c>
      <c r="G202" s="63" t="s">
        <v>13</v>
      </c>
      <c r="H202" s="63" t="s">
        <v>11</v>
      </c>
      <c r="I202" s="63">
        <v>1E-3</v>
      </c>
      <c r="J202" s="63">
        <v>0.02</v>
      </c>
      <c r="K202" s="63" t="s">
        <v>10</v>
      </c>
      <c r="L202" s="63">
        <v>46.067</v>
      </c>
      <c r="M202" s="63">
        <v>4424.3999999999996</v>
      </c>
      <c r="N202" s="63">
        <v>45.963999999999999</v>
      </c>
      <c r="O202" s="64">
        <v>4424.6000000000004</v>
      </c>
    </row>
    <row r="203" spans="1:15" x14ac:dyDescent="0.25">
      <c r="A203" s="114" t="s">
        <v>2201</v>
      </c>
      <c r="B203" s="63" t="s">
        <v>52</v>
      </c>
      <c r="C203" s="63" t="s">
        <v>44</v>
      </c>
      <c r="D203" s="63">
        <v>0.01</v>
      </c>
      <c r="E203" s="63">
        <v>0.1</v>
      </c>
      <c r="F203" s="63">
        <v>1E-4</v>
      </c>
      <c r="G203" s="63" t="s">
        <v>13</v>
      </c>
      <c r="H203" s="63" t="s">
        <v>11</v>
      </c>
      <c r="I203" s="63">
        <v>0.02</v>
      </c>
      <c r="J203" s="63">
        <v>4.4999999999999998E-2</v>
      </c>
      <c r="K203" s="63" t="s">
        <v>10</v>
      </c>
      <c r="L203" s="63">
        <v>55.716000000000001</v>
      </c>
      <c r="M203" s="63">
        <v>1491.6</v>
      </c>
      <c r="N203" s="63">
        <v>55.6</v>
      </c>
      <c r="O203" s="64">
        <v>1490.7</v>
      </c>
    </row>
    <row r="204" spans="1:15" x14ac:dyDescent="0.25">
      <c r="A204" s="114" t="s">
        <v>2202</v>
      </c>
      <c r="B204" s="63" t="s">
        <v>52</v>
      </c>
      <c r="C204" s="63" t="s">
        <v>44</v>
      </c>
      <c r="D204" s="63">
        <v>0.01</v>
      </c>
      <c r="E204" s="63">
        <v>0.1</v>
      </c>
      <c r="F204" s="63">
        <v>1E-4</v>
      </c>
      <c r="G204" s="63" t="s">
        <v>13</v>
      </c>
      <c r="H204" s="63" t="s">
        <v>11</v>
      </c>
      <c r="I204" s="63">
        <v>4.4999999999999998E-2</v>
      </c>
      <c r="J204" s="63">
        <v>0.1</v>
      </c>
      <c r="K204" s="63" t="s">
        <v>10</v>
      </c>
      <c r="L204" s="63">
        <v>60.335999999999999</v>
      </c>
      <c r="M204" s="63">
        <v>490.93</v>
      </c>
      <c r="N204" s="63">
        <v>60.226999999999997</v>
      </c>
      <c r="O204" s="64">
        <v>488.21</v>
      </c>
    </row>
    <row r="205" spans="1:15" x14ac:dyDescent="0.25">
      <c r="A205" s="114" t="s">
        <v>1336</v>
      </c>
      <c r="B205" s="63" t="s">
        <v>52</v>
      </c>
      <c r="C205" s="63" t="s">
        <v>44</v>
      </c>
      <c r="D205" s="63">
        <v>0.01</v>
      </c>
      <c r="E205" s="63">
        <v>0.1</v>
      </c>
      <c r="F205" s="63">
        <v>1E-4</v>
      </c>
      <c r="G205" s="63" t="s">
        <v>13</v>
      </c>
      <c r="H205" s="63" t="s">
        <v>11</v>
      </c>
      <c r="I205" s="63">
        <v>0.1</v>
      </c>
      <c r="J205" s="63">
        <v>5</v>
      </c>
      <c r="K205" s="63" t="s">
        <v>10</v>
      </c>
      <c r="L205" s="63">
        <v>61.548000000000002</v>
      </c>
      <c r="M205" s="63">
        <v>219.19</v>
      </c>
      <c r="N205" s="63">
        <v>61.448999999999998</v>
      </c>
      <c r="O205" s="64">
        <v>215.18</v>
      </c>
    </row>
    <row r="206" spans="1:15" x14ac:dyDescent="0.25">
      <c r="A206" s="114" t="s">
        <v>1334</v>
      </c>
      <c r="B206" s="63" t="s">
        <v>52</v>
      </c>
      <c r="C206" s="63" t="s">
        <v>44</v>
      </c>
      <c r="D206" s="63">
        <v>0.01</v>
      </c>
      <c r="E206" s="63">
        <v>0.1</v>
      </c>
      <c r="F206" s="63">
        <v>1E-4</v>
      </c>
      <c r="G206" s="63" t="s">
        <v>13</v>
      </c>
      <c r="H206" s="63" t="s">
        <v>11</v>
      </c>
      <c r="I206" s="63">
        <v>5</v>
      </c>
      <c r="J206" s="63">
        <v>20</v>
      </c>
      <c r="K206" s="63" t="s">
        <v>10</v>
      </c>
      <c r="L206" s="63">
        <v>60.128</v>
      </c>
      <c r="M206" s="63">
        <v>515.53</v>
      </c>
      <c r="N206" s="63">
        <v>60.018000000000001</v>
      </c>
      <c r="O206" s="64">
        <v>512.89</v>
      </c>
    </row>
    <row r="207" spans="1:15" x14ac:dyDescent="0.25">
      <c r="A207" s="114" t="s">
        <v>2203</v>
      </c>
      <c r="B207" s="63" t="s">
        <v>52</v>
      </c>
      <c r="C207" s="63" t="s">
        <v>44</v>
      </c>
      <c r="D207" s="63">
        <v>0.01</v>
      </c>
      <c r="E207" s="63">
        <v>0.1</v>
      </c>
      <c r="F207" s="63">
        <v>1E-4</v>
      </c>
      <c r="G207" s="63" t="s">
        <v>13</v>
      </c>
      <c r="H207" s="63" t="s">
        <v>11</v>
      </c>
      <c r="I207" s="63">
        <v>20</v>
      </c>
      <c r="J207" s="63">
        <v>50</v>
      </c>
      <c r="K207" s="63" t="s">
        <v>10</v>
      </c>
      <c r="L207" s="63">
        <v>64.007999999999996</v>
      </c>
      <c r="M207" s="63">
        <v>4598.6000000000004</v>
      </c>
      <c r="N207" s="63">
        <v>63.621000000000002</v>
      </c>
      <c r="O207" s="64">
        <v>4599.3999999999996</v>
      </c>
    </row>
    <row r="208" spans="1:15" x14ac:dyDescent="0.25">
      <c r="A208" s="114" t="s">
        <v>1335</v>
      </c>
      <c r="B208" s="63" t="s">
        <v>52</v>
      </c>
      <c r="C208" s="63" t="s">
        <v>44</v>
      </c>
      <c r="D208" s="63">
        <v>0.01</v>
      </c>
      <c r="E208" s="63">
        <v>0.1</v>
      </c>
      <c r="F208" s="63">
        <v>1E-4</v>
      </c>
      <c r="G208" s="63" t="s">
        <v>13</v>
      </c>
      <c r="H208" s="63" t="s">
        <v>11</v>
      </c>
      <c r="I208" s="63">
        <v>50</v>
      </c>
      <c r="J208" s="63">
        <v>100</v>
      </c>
      <c r="K208" s="63" t="s">
        <v>10</v>
      </c>
      <c r="L208" s="63">
        <v>582.09</v>
      </c>
      <c r="M208" s="63">
        <v>4394.2</v>
      </c>
      <c r="N208" s="63">
        <v>581.36</v>
      </c>
      <c r="O208" s="64">
        <v>4329.2</v>
      </c>
    </row>
    <row r="209" spans="1:15" x14ac:dyDescent="0.25">
      <c r="A209" s="114" t="s">
        <v>2204</v>
      </c>
      <c r="B209" s="63" t="s">
        <v>52</v>
      </c>
      <c r="C209" s="63" t="s">
        <v>44</v>
      </c>
      <c r="D209" s="63">
        <v>0.1</v>
      </c>
      <c r="E209" s="63">
        <v>1</v>
      </c>
      <c r="F209" s="63">
        <v>1E-4</v>
      </c>
      <c r="G209" s="63" t="s">
        <v>13</v>
      </c>
      <c r="H209" s="63" t="s">
        <v>12</v>
      </c>
      <c r="I209" s="63">
        <v>1E-3</v>
      </c>
      <c r="J209" s="63">
        <v>0.02</v>
      </c>
      <c r="K209" s="63" t="s">
        <v>10</v>
      </c>
      <c r="L209" s="63">
        <v>0.25</v>
      </c>
      <c r="M209" s="63">
        <v>4.6002999999999998</v>
      </c>
      <c r="N209" s="63">
        <v>0.23368</v>
      </c>
      <c r="O209" s="64">
        <v>4.6165000000000003</v>
      </c>
    </row>
    <row r="210" spans="1:15" x14ac:dyDescent="0.25">
      <c r="A210" s="114" t="s">
        <v>1360</v>
      </c>
      <c r="B210" s="63" t="s">
        <v>52</v>
      </c>
      <c r="C210" s="63" t="s">
        <v>44</v>
      </c>
      <c r="D210" s="63">
        <v>0.1</v>
      </c>
      <c r="E210" s="63">
        <v>1</v>
      </c>
      <c r="F210" s="63">
        <v>1E-4</v>
      </c>
      <c r="G210" s="63" t="s">
        <v>13</v>
      </c>
      <c r="H210" s="63" t="s">
        <v>12</v>
      </c>
      <c r="I210" s="63">
        <v>0.02</v>
      </c>
      <c r="J210" s="63">
        <v>4.4999999999999998E-2</v>
      </c>
      <c r="K210" s="63" t="s">
        <v>10</v>
      </c>
      <c r="L210" s="63">
        <v>0.28000000000000003</v>
      </c>
      <c r="M210" s="63">
        <v>1.8</v>
      </c>
      <c r="N210" s="63">
        <v>0.23544999999999999</v>
      </c>
      <c r="O210" s="64">
        <v>1.8440000000000001</v>
      </c>
    </row>
    <row r="211" spans="1:15" x14ac:dyDescent="0.25">
      <c r="A211" s="114" t="s">
        <v>1357</v>
      </c>
      <c r="B211" s="63" t="s">
        <v>52</v>
      </c>
      <c r="C211" s="63" t="s">
        <v>44</v>
      </c>
      <c r="D211" s="63">
        <v>0.1</v>
      </c>
      <c r="E211" s="63">
        <v>1</v>
      </c>
      <c r="F211" s="63">
        <v>1E-4</v>
      </c>
      <c r="G211" s="63" t="s">
        <v>13</v>
      </c>
      <c r="H211" s="63" t="s">
        <v>12</v>
      </c>
      <c r="I211" s="63">
        <v>4.4999999999999998E-2</v>
      </c>
      <c r="J211" s="63">
        <v>0.1</v>
      </c>
      <c r="K211" s="63" t="s">
        <v>10</v>
      </c>
      <c r="L211" s="63">
        <v>0.24</v>
      </c>
      <c r="M211" s="63">
        <v>0.92</v>
      </c>
      <c r="N211" s="63">
        <v>0.23663999999999999</v>
      </c>
      <c r="O211" s="64">
        <v>0.92018</v>
      </c>
    </row>
    <row r="212" spans="1:15" x14ac:dyDescent="0.25">
      <c r="A212" s="114" t="s">
        <v>1358</v>
      </c>
      <c r="B212" s="63" t="s">
        <v>52</v>
      </c>
      <c r="C212" s="63" t="s">
        <v>44</v>
      </c>
      <c r="D212" s="63">
        <v>0.1</v>
      </c>
      <c r="E212" s="63">
        <v>1</v>
      </c>
      <c r="F212" s="63">
        <v>1E-4</v>
      </c>
      <c r="G212" s="63" t="s">
        <v>13</v>
      </c>
      <c r="H212" s="63" t="s">
        <v>12</v>
      </c>
      <c r="I212" s="63">
        <v>0.1</v>
      </c>
      <c r="J212" s="63">
        <v>5</v>
      </c>
      <c r="K212" s="63" t="s">
        <v>10</v>
      </c>
      <c r="L212" s="63">
        <v>0.24</v>
      </c>
      <c r="M212" s="63">
        <v>1.2</v>
      </c>
      <c r="N212" s="63">
        <v>0.23355999999999999</v>
      </c>
      <c r="O212" s="64">
        <v>1.1814</v>
      </c>
    </row>
    <row r="213" spans="1:15" x14ac:dyDescent="0.25">
      <c r="A213" s="114" t="s">
        <v>1356</v>
      </c>
      <c r="B213" s="63" t="s">
        <v>52</v>
      </c>
      <c r="C213" s="63" t="s">
        <v>44</v>
      </c>
      <c r="D213" s="63">
        <v>0.1</v>
      </c>
      <c r="E213" s="63">
        <v>1</v>
      </c>
      <c r="F213" s="63">
        <v>1E-4</v>
      </c>
      <c r="G213" s="63" t="s">
        <v>13</v>
      </c>
      <c r="H213" s="63" t="s">
        <v>12</v>
      </c>
      <c r="I213" s="63">
        <v>5</v>
      </c>
      <c r="J213" s="63">
        <v>20</v>
      </c>
      <c r="K213" s="63" t="s">
        <v>10</v>
      </c>
      <c r="L213" s="63">
        <v>0.27</v>
      </c>
      <c r="M213" s="63">
        <v>3.5337999999999998</v>
      </c>
      <c r="N213" s="63">
        <v>0.22642000000000001</v>
      </c>
      <c r="O213" s="64">
        <v>3.5438000000000001</v>
      </c>
    </row>
    <row r="214" spans="1:15" x14ac:dyDescent="0.25">
      <c r="A214" s="114" t="s">
        <v>1359</v>
      </c>
      <c r="B214" s="63" t="s">
        <v>52</v>
      </c>
      <c r="C214" s="63" t="s">
        <v>44</v>
      </c>
      <c r="D214" s="63">
        <v>0.1</v>
      </c>
      <c r="E214" s="63">
        <v>1</v>
      </c>
      <c r="F214" s="63">
        <v>1E-4</v>
      </c>
      <c r="G214" s="63" t="s">
        <v>13</v>
      </c>
      <c r="H214" s="63" t="s">
        <v>12</v>
      </c>
      <c r="I214" s="63">
        <v>20</v>
      </c>
      <c r="J214" s="63">
        <v>50</v>
      </c>
      <c r="K214" s="63" t="s">
        <v>10</v>
      </c>
      <c r="L214" s="63">
        <v>0.47</v>
      </c>
      <c r="M214" s="63">
        <v>12</v>
      </c>
      <c r="N214" s="63">
        <v>0.44312000000000001</v>
      </c>
      <c r="O214" s="64">
        <v>11.791</v>
      </c>
    </row>
    <row r="215" spans="1:15" x14ac:dyDescent="0.25">
      <c r="A215" s="114" t="s">
        <v>1373</v>
      </c>
      <c r="B215" s="63" t="s">
        <v>52</v>
      </c>
      <c r="C215" s="63" t="s">
        <v>44</v>
      </c>
      <c r="D215" s="63">
        <v>1</v>
      </c>
      <c r="E215" s="63">
        <v>10</v>
      </c>
      <c r="F215" s="63">
        <v>1E-4</v>
      </c>
      <c r="G215" s="63" t="s">
        <v>13</v>
      </c>
      <c r="H215" s="63" t="s">
        <v>12</v>
      </c>
      <c r="I215" s="63">
        <v>1E-3</v>
      </c>
      <c r="J215" s="63">
        <v>0.05</v>
      </c>
      <c r="K215" s="63" t="s">
        <v>10</v>
      </c>
      <c r="L215" s="63">
        <v>0.55000000000000004</v>
      </c>
      <c r="M215" s="63">
        <v>0.12</v>
      </c>
      <c r="N215" s="63">
        <v>0.52375000000000005</v>
      </c>
      <c r="O215" s="64">
        <v>9.2860999999999999E-2</v>
      </c>
    </row>
    <row r="216" spans="1:15" x14ac:dyDescent="0.25">
      <c r="A216" s="114" t="s">
        <v>1372</v>
      </c>
      <c r="B216" s="63" t="s">
        <v>52</v>
      </c>
      <c r="C216" s="63" t="s">
        <v>44</v>
      </c>
      <c r="D216" s="63">
        <v>1</v>
      </c>
      <c r="E216" s="63">
        <v>10</v>
      </c>
      <c r="F216" s="63">
        <v>1E-4</v>
      </c>
      <c r="G216" s="63" t="s">
        <v>13</v>
      </c>
      <c r="H216" s="63" t="s">
        <v>12</v>
      </c>
      <c r="I216" s="63">
        <v>0.05</v>
      </c>
      <c r="J216" s="63">
        <v>1</v>
      </c>
      <c r="K216" s="63" t="s">
        <v>10</v>
      </c>
      <c r="L216" s="63">
        <v>0.46</v>
      </c>
      <c r="M216" s="63">
        <v>0.16805999999999999</v>
      </c>
      <c r="N216" s="63">
        <v>0.50268999999999997</v>
      </c>
      <c r="O216" s="64">
        <v>0.12039</v>
      </c>
    </row>
    <row r="217" spans="1:15" x14ac:dyDescent="0.25">
      <c r="A217" s="114" t="s">
        <v>1371</v>
      </c>
      <c r="B217" s="63" t="s">
        <v>52</v>
      </c>
      <c r="C217" s="63" t="s">
        <v>44</v>
      </c>
      <c r="D217" s="63">
        <v>1</v>
      </c>
      <c r="E217" s="63">
        <v>10</v>
      </c>
      <c r="F217" s="63">
        <v>1E-4</v>
      </c>
      <c r="G217" s="63" t="s">
        <v>13</v>
      </c>
      <c r="H217" s="63" t="s">
        <v>12</v>
      </c>
      <c r="I217" s="63">
        <v>1</v>
      </c>
      <c r="J217" s="63">
        <v>5</v>
      </c>
      <c r="K217" s="63" t="s">
        <v>10</v>
      </c>
      <c r="L217" s="63">
        <v>1.4</v>
      </c>
      <c r="M217" s="63">
        <v>0.66168000000000005</v>
      </c>
      <c r="N217" s="63">
        <v>1.3279000000000001</v>
      </c>
      <c r="O217" s="64">
        <v>0.66195999999999999</v>
      </c>
    </row>
    <row r="218" spans="1:15" x14ac:dyDescent="0.25">
      <c r="A218" s="114" t="s">
        <v>1385</v>
      </c>
      <c r="B218" s="63" t="s">
        <v>52</v>
      </c>
      <c r="C218" s="63" t="s">
        <v>44</v>
      </c>
      <c r="D218" s="63">
        <v>10</v>
      </c>
      <c r="E218" s="63">
        <v>20</v>
      </c>
      <c r="F218" s="63">
        <v>1E-4</v>
      </c>
      <c r="G218" s="63" t="s">
        <v>13</v>
      </c>
      <c r="H218" s="63" t="s">
        <v>12</v>
      </c>
      <c r="I218" s="63">
        <v>1E-3</v>
      </c>
      <c r="J218" s="63">
        <v>0.05</v>
      </c>
      <c r="K218" s="63" t="s">
        <v>10</v>
      </c>
      <c r="L218" s="63">
        <v>0.92</v>
      </c>
      <c r="M218" s="63">
        <v>0.49</v>
      </c>
      <c r="N218" s="63">
        <v>4.6379000000000001</v>
      </c>
      <c r="O218" s="64">
        <v>8.1758999999999998E-2</v>
      </c>
    </row>
    <row r="219" spans="1:15" x14ac:dyDescent="0.25">
      <c r="A219" s="114" t="s">
        <v>1383</v>
      </c>
      <c r="B219" s="63" t="s">
        <v>52</v>
      </c>
      <c r="C219" s="63" t="s">
        <v>44</v>
      </c>
      <c r="D219" s="63">
        <v>10</v>
      </c>
      <c r="E219" s="63">
        <v>20</v>
      </c>
      <c r="F219" s="63">
        <v>1E-4</v>
      </c>
      <c r="G219" s="63" t="s">
        <v>13</v>
      </c>
      <c r="H219" s="63" t="s">
        <v>12</v>
      </c>
      <c r="I219" s="63">
        <v>0.05</v>
      </c>
      <c r="J219" s="63">
        <v>1</v>
      </c>
      <c r="K219" s="63" t="s">
        <v>10</v>
      </c>
      <c r="L219" s="63">
        <v>0</v>
      </c>
      <c r="M219" s="63">
        <v>0.5</v>
      </c>
      <c r="N219" s="63">
        <v>2.1840999999999999</v>
      </c>
      <c r="O219" s="64">
        <v>0.11354</v>
      </c>
    </row>
    <row r="220" spans="1:15" x14ac:dyDescent="0.25">
      <c r="A220" s="114" t="s">
        <v>1384</v>
      </c>
      <c r="B220" s="63" t="s">
        <v>52</v>
      </c>
      <c r="C220" s="63" t="s">
        <v>44</v>
      </c>
      <c r="D220" s="63">
        <v>10</v>
      </c>
      <c r="E220" s="63">
        <v>20</v>
      </c>
      <c r="F220" s="63">
        <v>1E-4</v>
      </c>
      <c r="G220" s="63" t="s">
        <v>13</v>
      </c>
      <c r="H220" s="63" t="s">
        <v>12</v>
      </c>
      <c r="I220" s="63">
        <v>1</v>
      </c>
      <c r="J220" s="63">
        <v>5</v>
      </c>
      <c r="K220" s="63" t="s">
        <v>10</v>
      </c>
      <c r="L220" s="63">
        <v>0</v>
      </c>
      <c r="M220" s="63">
        <v>0.95</v>
      </c>
      <c r="N220" s="63">
        <v>1.0706</v>
      </c>
      <c r="O220" s="64">
        <v>0.65986</v>
      </c>
    </row>
    <row r="221" spans="1:15" x14ac:dyDescent="0.25">
      <c r="A221" s="114" t="s">
        <v>2205</v>
      </c>
      <c r="B221" s="63" t="s">
        <v>52</v>
      </c>
      <c r="C221" s="63" t="s">
        <v>44</v>
      </c>
      <c r="D221" s="63">
        <v>0</v>
      </c>
      <c r="E221" s="63">
        <v>1E-4</v>
      </c>
      <c r="F221" s="63">
        <v>1E-3</v>
      </c>
      <c r="G221" s="63" t="s">
        <v>13</v>
      </c>
      <c r="H221" s="63" t="s">
        <v>11</v>
      </c>
      <c r="I221" s="63">
        <v>1E-3</v>
      </c>
      <c r="J221" s="63">
        <v>0.02</v>
      </c>
      <c r="K221" s="63" t="s">
        <v>10</v>
      </c>
      <c r="L221" s="63">
        <v>577.36</v>
      </c>
      <c r="M221" s="63">
        <v>2.1804999999999999</v>
      </c>
      <c r="N221" s="63">
        <v>577.35</v>
      </c>
      <c r="O221" s="64">
        <v>2.0994999999999999</v>
      </c>
    </row>
    <row r="222" spans="1:15" x14ac:dyDescent="0.25">
      <c r="A222" s="114" t="s">
        <v>1247</v>
      </c>
      <c r="B222" s="63" t="s">
        <v>52</v>
      </c>
      <c r="C222" s="63" t="s">
        <v>44</v>
      </c>
      <c r="D222" s="63">
        <v>0</v>
      </c>
      <c r="E222" s="63">
        <v>1E-4</v>
      </c>
      <c r="F222" s="63">
        <v>1E-3</v>
      </c>
      <c r="G222" s="63" t="s">
        <v>13</v>
      </c>
      <c r="H222" s="63" t="s">
        <v>11</v>
      </c>
      <c r="I222" s="63">
        <v>0.02</v>
      </c>
      <c r="J222" s="63">
        <v>4.4999999999999998E-2</v>
      </c>
      <c r="K222" s="63" t="s">
        <v>10</v>
      </c>
      <c r="L222" s="63">
        <v>577.36</v>
      </c>
      <c r="M222" s="63">
        <v>0.50117999999999996</v>
      </c>
      <c r="N222" s="63">
        <v>577.35</v>
      </c>
      <c r="O222" s="64">
        <v>0.41202</v>
      </c>
    </row>
    <row r="223" spans="1:15" x14ac:dyDescent="0.25">
      <c r="A223" s="114" t="s">
        <v>1246</v>
      </c>
      <c r="B223" s="63" t="s">
        <v>52</v>
      </c>
      <c r="C223" s="63" t="s">
        <v>44</v>
      </c>
      <c r="D223" s="63">
        <v>0</v>
      </c>
      <c r="E223" s="63">
        <v>1E-4</v>
      </c>
      <c r="F223" s="63">
        <v>1E-3</v>
      </c>
      <c r="G223" s="63" t="s">
        <v>13</v>
      </c>
      <c r="H223" s="63" t="s">
        <v>11</v>
      </c>
      <c r="I223" s="63">
        <v>4.4999999999999998E-2</v>
      </c>
      <c r="J223" s="63">
        <v>5</v>
      </c>
      <c r="K223" s="63" t="s">
        <v>10</v>
      </c>
      <c r="L223" s="63">
        <v>577.36</v>
      </c>
      <c r="M223" s="63">
        <v>0.20221</v>
      </c>
      <c r="N223" s="63">
        <v>577.35</v>
      </c>
      <c r="O223" s="64">
        <v>0.11305</v>
      </c>
    </row>
    <row r="224" spans="1:15" x14ac:dyDescent="0.25">
      <c r="A224" s="114" t="s">
        <v>1343</v>
      </c>
      <c r="B224" s="63" t="s">
        <v>52</v>
      </c>
      <c r="C224" s="63" t="s">
        <v>44</v>
      </c>
      <c r="D224" s="63">
        <v>0.01</v>
      </c>
      <c r="E224" s="63">
        <v>0.1</v>
      </c>
      <c r="F224" s="63">
        <v>1E-3</v>
      </c>
      <c r="G224" s="63" t="s">
        <v>13</v>
      </c>
      <c r="H224" s="63" t="s">
        <v>11</v>
      </c>
      <c r="I224" s="63">
        <v>1E-3</v>
      </c>
      <c r="J224" s="63">
        <v>0.02</v>
      </c>
      <c r="K224" s="63" t="s">
        <v>10</v>
      </c>
      <c r="L224" s="63">
        <v>562.38</v>
      </c>
      <c r="M224" s="63">
        <v>1919.1</v>
      </c>
      <c r="N224" s="63">
        <v>562.34</v>
      </c>
      <c r="O224" s="64">
        <v>1917.3</v>
      </c>
    </row>
    <row r="225" spans="1:15" x14ac:dyDescent="0.25">
      <c r="A225" s="114" t="s">
        <v>1342</v>
      </c>
      <c r="B225" s="63" t="s">
        <v>52</v>
      </c>
      <c r="C225" s="63" t="s">
        <v>44</v>
      </c>
      <c r="D225" s="63">
        <v>0.01</v>
      </c>
      <c r="E225" s="63">
        <v>0.1</v>
      </c>
      <c r="F225" s="63">
        <v>1E-3</v>
      </c>
      <c r="G225" s="63" t="s">
        <v>13</v>
      </c>
      <c r="H225" s="63" t="s">
        <v>11</v>
      </c>
      <c r="I225" s="63">
        <v>0.02</v>
      </c>
      <c r="J225" s="63">
        <v>4.4999999999999998E-2</v>
      </c>
      <c r="K225" s="63" t="s">
        <v>10</v>
      </c>
      <c r="L225" s="63">
        <v>575.37</v>
      </c>
      <c r="M225" s="63">
        <v>347.9</v>
      </c>
      <c r="N225" s="63">
        <v>575.33000000000004</v>
      </c>
      <c r="O225" s="64">
        <v>345.55</v>
      </c>
    </row>
    <row r="226" spans="1:15" x14ac:dyDescent="0.25">
      <c r="A226" s="114" t="s">
        <v>1339</v>
      </c>
      <c r="B226" s="63" t="s">
        <v>52</v>
      </c>
      <c r="C226" s="63" t="s">
        <v>44</v>
      </c>
      <c r="D226" s="63">
        <v>0.01</v>
      </c>
      <c r="E226" s="63">
        <v>0.1</v>
      </c>
      <c r="F226" s="63">
        <v>1E-3</v>
      </c>
      <c r="G226" s="63" t="s">
        <v>13</v>
      </c>
      <c r="H226" s="63" t="s">
        <v>11</v>
      </c>
      <c r="I226" s="63">
        <v>4.4999999999999998E-2</v>
      </c>
      <c r="J226" s="63">
        <v>0.1</v>
      </c>
      <c r="K226" s="63" t="s">
        <v>10</v>
      </c>
      <c r="L226" s="63">
        <v>577.45000000000005</v>
      </c>
      <c r="M226" s="63">
        <v>76.063000000000002</v>
      </c>
      <c r="N226" s="63">
        <v>577.41</v>
      </c>
      <c r="O226" s="64">
        <v>73.581999999999994</v>
      </c>
    </row>
    <row r="227" spans="1:15" x14ac:dyDescent="0.25">
      <c r="A227" s="114" t="s">
        <v>1344</v>
      </c>
      <c r="B227" s="63" t="s">
        <v>52</v>
      </c>
      <c r="C227" s="63" t="s">
        <v>44</v>
      </c>
      <c r="D227" s="63">
        <v>0.01</v>
      </c>
      <c r="E227" s="63">
        <v>0.1</v>
      </c>
      <c r="F227" s="63">
        <v>1E-3</v>
      </c>
      <c r="G227" s="63" t="s">
        <v>13</v>
      </c>
      <c r="H227" s="63" t="s">
        <v>11</v>
      </c>
      <c r="I227" s="63">
        <v>0.1</v>
      </c>
      <c r="J227" s="63">
        <v>5</v>
      </c>
      <c r="K227" s="63" t="s">
        <v>10</v>
      </c>
      <c r="L227" s="63">
        <v>577.74</v>
      </c>
      <c r="M227" s="63">
        <v>30.199000000000002</v>
      </c>
      <c r="N227" s="63">
        <v>577.71</v>
      </c>
      <c r="O227" s="64">
        <v>27.695</v>
      </c>
    </row>
    <row r="228" spans="1:15" x14ac:dyDescent="0.25">
      <c r="A228" s="114" t="s">
        <v>1338</v>
      </c>
      <c r="B228" s="63" t="s">
        <v>52</v>
      </c>
      <c r="C228" s="63" t="s">
        <v>44</v>
      </c>
      <c r="D228" s="63">
        <v>0.01</v>
      </c>
      <c r="E228" s="63">
        <v>0.1</v>
      </c>
      <c r="F228" s="63">
        <v>1E-3</v>
      </c>
      <c r="G228" s="63" t="s">
        <v>13</v>
      </c>
      <c r="H228" s="63" t="s">
        <v>11</v>
      </c>
      <c r="I228" s="63">
        <v>5</v>
      </c>
      <c r="J228" s="63">
        <v>20</v>
      </c>
      <c r="K228" s="63" t="s">
        <v>10</v>
      </c>
      <c r="L228" s="63">
        <v>577.41</v>
      </c>
      <c r="M228" s="63">
        <v>80.741</v>
      </c>
      <c r="N228" s="63">
        <v>577.37</v>
      </c>
      <c r="O228" s="64">
        <v>78.263000000000005</v>
      </c>
    </row>
    <row r="229" spans="1:15" x14ac:dyDescent="0.25">
      <c r="A229" s="114" t="s">
        <v>1340</v>
      </c>
      <c r="B229" s="63" t="s">
        <v>52</v>
      </c>
      <c r="C229" s="63" t="s">
        <v>44</v>
      </c>
      <c r="D229" s="63">
        <v>0.01</v>
      </c>
      <c r="E229" s="63">
        <v>0.1</v>
      </c>
      <c r="F229" s="63">
        <v>1E-3</v>
      </c>
      <c r="G229" s="63" t="s">
        <v>13</v>
      </c>
      <c r="H229" s="63" t="s">
        <v>11</v>
      </c>
      <c r="I229" s="63">
        <v>20</v>
      </c>
      <c r="J229" s="63">
        <v>50</v>
      </c>
      <c r="K229" s="63" t="s">
        <v>10</v>
      </c>
      <c r="L229" s="63">
        <v>563.71</v>
      </c>
      <c r="M229" s="63">
        <v>2145.1999999999998</v>
      </c>
      <c r="N229" s="63">
        <v>563.49</v>
      </c>
      <c r="O229" s="64">
        <v>2139.1999999999998</v>
      </c>
    </row>
    <row r="230" spans="1:15" x14ac:dyDescent="0.25">
      <c r="A230" s="114" t="s">
        <v>1341</v>
      </c>
      <c r="B230" s="63" t="s">
        <v>52</v>
      </c>
      <c r="C230" s="63" t="s">
        <v>44</v>
      </c>
      <c r="D230" s="63">
        <v>0.01</v>
      </c>
      <c r="E230" s="63">
        <v>0.1</v>
      </c>
      <c r="F230" s="63">
        <v>1E-3</v>
      </c>
      <c r="G230" s="63" t="s">
        <v>13</v>
      </c>
      <c r="H230" s="63" t="s">
        <v>11</v>
      </c>
      <c r="I230" s="63">
        <v>50</v>
      </c>
      <c r="J230" s="63">
        <v>100</v>
      </c>
      <c r="K230" s="63" t="s">
        <v>10</v>
      </c>
      <c r="L230" s="63">
        <v>5772.5</v>
      </c>
      <c r="M230" s="63">
        <v>669.65</v>
      </c>
      <c r="N230" s="63">
        <v>5772.4</v>
      </c>
      <c r="O230" s="64">
        <v>620.29999999999995</v>
      </c>
    </row>
    <row r="231" spans="1:15" x14ac:dyDescent="0.25">
      <c r="A231" s="114" t="s">
        <v>2206</v>
      </c>
      <c r="B231" s="63" t="s">
        <v>52</v>
      </c>
      <c r="C231" s="63" t="s">
        <v>44</v>
      </c>
      <c r="D231" s="63">
        <v>0.1</v>
      </c>
      <c r="E231" s="63">
        <v>1</v>
      </c>
      <c r="F231" s="63">
        <v>1E-3</v>
      </c>
      <c r="G231" s="63" t="s">
        <v>13</v>
      </c>
      <c r="H231" s="63" t="s">
        <v>12</v>
      </c>
      <c r="I231" s="63">
        <v>1E-3</v>
      </c>
      <c r="J231" s="63">
        <v>0.02</v>
      </c>
      <c r="K231" s="63" t="s">
        <v>10</v>
      </c>
      <c r="L231" s="63">
        <v>0.46103</v>
      </c>
      <c r="M231" s="63">
        <v>4.4237000000000002</v>
      </c>
      <c r="N231" s="63">
        <v>0.45974999999999999</v>
      </c>
      <c r="O231" s="64">
        <v>4.4244000000000003</v>
      </c>
    </row>
    <row r="232" spans="1:15" x14ac:dyDescent="0.25">
      <c r="A232" s="114" t="s">
        <v>1361</v>
      </c>
      <c r="B232" s="63" t="s">
        <v>52</v>
      </c>
      <c r="C232" s="63" t="s">
        <v>44</v>
      </c>
      <c r="D232" s="63">
        <v>0.1</v>
      </c>
      <c r="E232" s="63">
        <v>1</v>
      </c>
      <c r="F232" s="63">
        <v>1E-3</v>
      </c>
      <c r="G232" s="63" t="s">
        <v>13</v>
      </c>
      <c r="H232" s="63" t="s">
        <v>12</v>
      </c>
      <c r="I232" s="63">
        <v>0.02</v>
      </c>
      <c r="J232" s="63">
        <v>4.4999999999999998E-2</v>
      </c>
      <c r="K232" s="63" t="s">
        <v>10</v>
      </c>
      <c r="L232" s="63">
        <v>0.55279</v>
      </c>
      <c r="M232" s="63">
        <v>1.6061000000000001</v>
      </c>
      <c r="N232" s="63">
        <v>0.55118</v>
      </c>
      <c r="O232" s="64">
        <v>1.6064000000000001</v>
      </c>
    </row>
    <row r="233" spans="1:15" x14ac:dyDescent="0.25">
      <c r="A233" s="114" t="s">
        <v>1364</v>
      </c>
      <c r="B233" s="63" t="s">
        <v>52</v>
      </c>
      <c r="C233" s="63" t="s">
        <v>44</v>
      </c>
      <c r="D233" s="63">
        <v>0.1</v>
      </c>
      <c r="E233" s="63">
        <v>1</v>
      </c>
      <c r="F233" s="63">
        <v>1E-3</v>
      </c>
      <c r="G233" s="63" t="s">
        <v>13</v>
      </c>
      <c r="H233" s="63" t="s">
        <v>12</v>
      </c>
      <c r="I233" s="63">
        <v>4.4999999999999998E-2</v>
      </c>
      <c r="J233" s="63">
        <v>0.1</v>
      </c>
      <c r="K233" s="63" t="s">
        <v>10</v>
      </c>
      <c r="L233" s="63">
        <v>0.59375999999999995</v>
      </c>
      <c r="M233" s="63">
        <v>0.70043999999999995</v>
      </c>
      <c r="N233" s="63">
        <v>0.59214999999999995</v>
      </c>
      <c r="O233" s="64">
        <v>0.69986000000000004</v>
      </c>
    </row>
    <row r="234" spans="1:15" x14ac:dyDescent="0.25">
      <c r="A234" s="114" t="s">
        <v>1363</v>
      </c>
      <c r="B234" s="63" t="s">
        <v>52</v>
      </c>
      <c r="C234" s="63" t="s">
        <v>44</v>
      </c>
      <c r="D234" s="63">
        <v>0.1</v>
      </c>
      <c r="E234" s="63">
        <v>1</v>
      </c>
      <c r="F234" s="63">
        <v>1E-3</v>
      </c>
      <c r="G234" s="63" t="s">
        <v>13</v>
      </c>
      <c r="H234" s="63" t="s">
        <v>12</v>
      </c>
      <c r="I234" s="63">
        <v>0.1</v>
      </c>
      <c r="J234" s="63">
        <v>5</v>
      </c>
      <c r="K234" s="63" t="s">
        <v>10</v>
      </c>
      <c r="L234" s="63">
        <v>0.58062000000000002</v>
      </c>
      <c r="M234" s="63">
        <v>0.94869999999999999</v>
      </c>
      <c r="N234" s="63">
        <v>0.57901000000000002</v>
      </c>
      <c r="O234" s="64">
        <v>0.94845999999999997</v>
      </c>
    </row>
    <row r="235" spans="1:15" x14ac:dyDescent="0.25">
      <c r="A235" s="114" t="s">
        <v>2207</v>
      </c>
      <c r="B235" s="63" t="s">
        <v>52</v>
      </c>
      <c r="C235" s="63" t="s">
        <v>44</v>
      </c>
      <c r="D235" s="63">
        <v>0.1</v>
      </c>
      <c r="E235" s="63">
        <v>1</v>
      </c>
      <c r="F235" s="63">
        <v>1E-3</v>
      </c>
      <c r="G235" s="63" t="s">
        <v>13</v>
      </c>
      <c r="H235" s="63" t="s">
        <v>12</v>
      </c>
      <c r="I235" s="63">
        <v>5</v>
      </c>
      <c r="J235" s="63">
        <v>20</v>
      </c>
      <c r="K235" s="63" t="s">
        <v>10</v>
      </c>
      <c r="L235" s="63">
        <v>0.48562</v>
      </c>
      <c r="M235" s="63">
        <v>3.3290000000000002</v>
      </c>
      <c r="N235" s="63">
        <v>0.48418</v>
      </c>
      <c r="O235" s="64">
        <v>3.3296999999999999</v>
      </c>
    </row>
    <row r="236" spans="1:15" x14ac:dyDescent="0.25">
      <c r="A236" s="114" t="s">
        <v>1362</v>
      </c>
      <c r="B236" s="63" t="s">
        <v>52</v>
      </c>
      <c r="C236" s="63" t="s">
        <v>44</v>
      </c>
      <c r="D236" s="63">
        <v>0.1</v>
      </c>
      <c r="E236" s="63">
        <v>1</v>
      </c>
      <c r="F236" s="63">
        <v>1E-3</v>
      </c>
      <c r="G236" s="63" t="s">
        <v>13</v>
      </c>
      <c r="H236" s="63" t="s">
        <v>12</v>
      </c>
      <c r="I236" s="63">
        <v>20</v>
      </c>
      <c r="J236" s="63">
        <v>50</v>
      </c>
      <c r="K236" s="63" t="s">
        <v>10</v>
      </c>
      <c r="L236" s="63">
        <v>0.53612000000000004</v>
      </c>
      <c r="M236" s="63">
        <v>11.933999999999999</v>
      </c>
      <c r="N236" s="63">
        <v>0.5524</v>
      </c>
      <c r="O236" s="64">
        <v>11.696999999999999</v>
      </c>
    </row>
    <row r="237" spans="1:15" x14ac:dyDescent="0.25">
      <c r="A237" s="114" t="s">
        <v>2208</v>
      </c>
      <c r="B237" s="63" t="s">
        <v>52</v>
      </c>
      <c r="C237" s="63" t="s">
        <v>44</v>
      </c>
      <c r="D237" s="63">
        <v>1</v>
      </c>
      <c r="E237" s="63">
        <v>10</v>
      </c>
      <c r="F237" s="63">
        <v>1E-3</v>
      </c>
      <c r="G237" s="63" t="s">
        <v>13</v>
      </c>
      <c r="H237" s="63" t="s">
        <v>12</v>
      </c>
      <c r="I237" s="63">
        <v>1E-3</v>
      </c>
      <c r="J237" s="63">
        <v>0.05</v>
      </c>
      <c r="K237" s="63" t="s">
        <v>10</v>
      </c>
      <c r="L237" s="63">
        <v>0.75909000000000004</v>
      </c>
      <c r="M237" s="63">
        <v>9.9090999999999999E-2</v>
      </c>
      <c r="N237" s="63">
        <v>0.76541999999999999</v>
      </c>
      <c r="O237" s="64">
        <v>7.9774999999999999E-2</v>
      </c>
    </row>
    <row r="238" spans="1:15" x14ac:dyDescent="0.25">
      <c r="A238" s="114" t="s">
        <v>2209</v>
      </c>
      <c r="B238" s="63" t="s">
        <v>52</v>
      </c>
      <c r="C238" s="63" t="s">
        <v>44</v>
      </c>
      <c r="D238" s="63">
        <v>1</v>
      </c>
      <c r="E238" s="63">
        <v>10</v>
      </c>
      <c r="F238" s="63">
        <v>1E-3</v>
      </c>
      <c r="G238" s="63" t="s">
        <v>13</v>
      </c>
      <c r="H238" s="63" t="s">
        <v>12</v>
      </c>
      <c r="I238" s="63">
        <v>0.05</v>
      </c>
      <c r="J238" s="63">
        <v>1</v>
      </c>
      <c r="K238" s="63" t="s">
        <v>10</v>
      </c>
      <c r="L238" s="63">
        <v>0.72094000000000003</v>
      </c>
      <c r="M238" s="63">
        <v>0.14191000000000001</v>
      </c>
      <c r="N238" s="63">
        <v>0.74419000000000002</v>
      </c>
      <c r="O238" s="64">
        <v>0.10576000000000001</v>
      </c>
    </row>
    <row r="239" spans="1:15" x14ac:dyDescent="0.25">
      <c r="A239" s="114" t="s">
        <v>1374</v>
      </c>
      <c r="B239" s="63" t="s">
        <v>52</v>
      </c>
      <c r="C239" s="63" t="s">
        <v>44</v>
      </c>
      <c r="D239" s="63">
        <v>1</v>
      </c>
      <c r="E239" s="63">
        <v>10</v>
      </c>
      <c r="F239" s="63">
        <v>1E-3</v>
      </c>
      <c r="G239" s="63" t="s">
        <v>13</v>
      </c>
      <c r="H239" s="63" t="s">
        <v>12</v>
      </c>
      <c r="I239" s="63">
        <v>1</v>
      </c>
      <c r="J239" s="63">
        <v>5</v>
      </c>
      <c r="K239" s="63" t="s">
        <v>10</v>
      </c>
      <c r="L239" s="63">
        <v>1.4676</v>
      </c>
      <c r="M239" s="63">
        <v>0.64571999999999996</v>
      </c>
      <c r="N239" s="63">
        <v>1.4594</v>
      </c>
      <c r="O239" s="64">
        <v>0.64664999999999995</v>
      </c>
    </row>
    <row r="240" spans="1:15" x14ac:dyDescent="0.25">
      <c r="A240" s="114" t="s">
        <v>1387</v>
      </c>
      <c r="B240" s="63" t="s">
        <v>52</v>
      </c>
      <c r="C240" s="63" t="s">
        <v>44</v>
      </c>
      <c r="D240" s="63">
        <v>10</v>
      </c>
      <c r="E240" s="63">
        <v>20</v>
      </c>
      <c r="F240" s="63">
        <v>1E-3</v>
      </c>
      <c r="G240" s="63" t="s">
        <v>13</v>
      </c>
      <c r="H240" s="63" t="s">
        <v>12</v>
      </c>
      <c r="I240" s="63">
        <v>1E-3</v>
      </c>
      <c r="J240" s="63">
        <v>0.05</v>
      </c>
      <c r="K240" s="63" t="s">
        <v>10</v>
      </c>
      <c r="L240" s="63">
        <v>0.92</v>
      </c>
      <c r="M240" s="63">
        <v>0.49</v>
      </c>
      <c r="N240" s="63">
        <v>4.6723999999999997</v>
      </c>
      <c r="O240" s="64">
        <v>8.1363000000000005E-2</v>
      </c>
    </row>
    <row r="241" spans="1:15" x14ac:dyDescent="0.25">
      <c r="A241" s="114" t="s">
        <v>1386</v>
      </c>
      <c r="B241" s="63" t="s">
        <v>52</v>
      </c>
      <c r="C241" s="63" t="s">
        <v>44</v>
      </c>
      <c r="D241" s="63">
        <v>10</v>
      </c>
      <c r="E241" s="63">
        <v>20</v>
      </c>
      <c r="F241" s="63">
        <v>1E-3</v>
      </c>
      <c r="G241" s="63" t="s">
        <v>13</v>
      </c>
      <c r="H241" s="63" t="s">
        <v>12</v>
      </c>
      <c r="I241" s="63">
        <v>0.05</v>
      </c>
      <c r="J241" s="63">
        <v>1</v>
      </c>
      <c r="K241" s="63" t="s">
        <v>10</v>
      </c>
      <c r="L241" s="63">
        <v>0</v>
      </c>
      <c r="M241" s="63">
        <v>0.5</v>
      </c>
      <c r="N241" s="63">
        <v>2.2467000000000001</v>
      </c>
      <c r="O241" s="64">
        <v>0.11228</v>
      </c>
    </row>
    <row r="242" spans="1:15" x14ac:dyDescent="0.25">
      <c r="A242" s="114" t="s">
        <v>1388</v>
      </c>
      <c r="B242" s="63" t="s">
        <v>52</v>
      </c>
      <c r="C242" s="63" t="s">
        <v>44</v>
      </c>
      <c r="D242" s="63">
        <v>10</v>
      </c>
      <c r="E242" s="63">
        <v>20</v>
      </c>
      <c r="F242" s="63">
        <v>1E-3</v>
      </c>
      <c r="G242" s="63" t="s">
        <v>13</v>
      </c>
      <c r="H242" s="63" t="s">
        <v>12</v>
      </c>
      <c r="I242" s="63">
        <v>1</v>
      </c>
      <c r="J242" s="63">
        <v>5</v>
      </c>
      <c r="K242" s="63" t="s">
        <v>10</v>
      </c>
      <c r="L242" s="63">
        <v>0</v>
      </c>
      <c r="M242" s="63">
        <v>0.95</v>
      </c>
      <c r="N242" s="63">
        <v>1.1025</v>
      </c>
      <c r="O242" s="64">
        <v>0.65885000000000005</v>
      </c>
    </row>
    <row r="243" spans="1:15" x14ac:dyDescent="0.25">
      <c r="A243" s="114" t="s">
        <v>1250</v>
      </c>
      <c r="B243" s="63" t="s">
        <v>52</v>
      </c>
      <c r="C243" s="63" t="s">
        <v>44</v>
      </c>
      <c r="D243" s="63">
        <v>0</v>
      </c>
      <c r="E243" s="63">
        <v>1E-4</v>
      </c>
      <c r="F243" s="63">
        <v>0.01</v>
      </c>
      <c r="G243" s="63" t="s">
        <v>13</v>
      </c>
      <c r="H243" s="63" t="s">
        <v>11</v>
      </c>
      <c r="I243" s="63">
        <v>1E-3</v>
      </c>
      <c r="J243" s="63">
        <v>0.02</v>
      </c>
      <c r="K243" s="63" t="s">
        <v>10</v>
      </c>
      <c r="L243" s="63">
        <v>5773.6</v>
      </c>
      <c r="M243" s="63">
        <v>0.24237</v>
      </c>
      <c r="N243" s="63">
        <v>5773.6</v>
      </c>
      <c r="O243" s="64">
        <v>0.20995</v>
      </c>
    </row>
    <row r="244" spans="1:15" x14ac:dyDescent="0.25">
      <c r="A244" s="114" t="s">
        <v>1248</v>
      </c>
      <c r="B244" s="63" t="s">
        <v>52</v>
      </c>
      <c r="C244" s="63" t="s">
        <v>44</v>
      </c>
      <c r="D244" s="63">
        <v>0</v>
      </c>
      <c r="E244" s="63">
        <v>1E-4</v>
      </c>
      <c r="F244" s="63">
        <v>0.01</v>
      </c>
      <c r="G244" s="63" t="s">
        <v>13</v>
      </c>
      <c r="H244" s="63" t="s">
        <v>11</v>
      </c>
      <c r="I244" s="63">
        <v>0.02</v>
      </c>
      <c r="J244" s="63">
        <v>4.4999999999999998E-2</v>
      </c>
      <c r="K244" s="63" t="s">
        <v>10</v>
      </c>
      <c r="L244" s="63">
        <v>5773.6</v>
      </c>
      <c r="M244" s="63">
        <v>8.3554000000000003E-2</v>
      </c>
      <c r="N244" s="63">
        <v>5773.5</v>
      </c>
      <c r="O244" s="64">
        <v>4.7889000000000001E-2</v>
      </c>
    </row>
    <row r="245" spans="1:15" x14ac:dyDescent="0.25">
      <c r="A245" s="114" t="s">
        <v>1249</v>
      </c>
      <c r="B245" s="63" t="s">
        <v>52</v>
      </c>
      <c r="C245" s="63" t="s">
        <v>44</v>
      </c>
      <c r="D245" s="63">
        <v>0</v>
      </c>
      <c r="E245" s="63">
        <v>1E-4</v>
      </c>
      <c r="F245" s="63">
        <v>0.01</v>
      </c>
      <c r="G245" s="63" t="s">
        <v>13</v>
      </c>
      <c r="H245" s="63" t="s">
        <v>11</v>
      </c>
      <c r="I245" s="63">
        <v>4.4999999999999998E-2</v>
      </c>
      <c r="J245" s="63">
        <v>5</v>
      </c>
      <c r="K245" s="63" t="s">
        <v>10</v>
      </c>
      <c r="L245" s="63">
        <v>5773.6</v>
      </c>
      <c r="M245" s="63">
        <v>5.3657000000000003E-2</v>
      </c>
      <c r="N245" s="63">
        <v>5773.6</v>
      </c>
      <c r="O245" s="64">
        <v>1.7992000000000001E-2</v>
      </c>
    </row>
    <row r="246" spans="1:15" x14ac:dyDescent="0.25">
      <c r="A246" s="114" t="s">
        <v>2210</v>
      </c>
      <c r="B246" s="63" t="s">
        <v>52</v>
      </c>
      <c r="C246" s="63" t="s">
        <v>44</v>
      </c>
      <c r="D246" s="63">
        <v>0.1</v>
      </c>
      <c r="E246" s="63">
        <v>1</v>
      </c>
      <c r="F246" s="63">
        <v>0.01</v>
      </c>
      <c r="G246" s="63" t="s">
        <v>13</v>
      </c>
      <c r="H246" s="63" t="s">
        <v>12</v>
      </c>
      <c r="I246" s="63">
        <v>1E-3</v>
      </c>
      <c r="J246" s="63">
        <v>0.02</v>
      </c>
      <c r="K246" s="63" t="s">
        <v>10</v>
      </c>
      <c r="L246" s="63">
        <v>5.6242000000000001</v>
      </c>
      <c r="M246" s="63">
        <v>1.9178999999999999</v>
      </c>
      <c r="N246" s="63">
        <v>5.6234999999999999</v>
      </c>
      <c r="O246" s="64">
        <v>1.9171</v>
      </c>
    </row>
    <row r="247" spans="1:15" x14ac:dyDescent="0.25">
      <c r="A247" s="114" t="s">
        <v>1367</v>
      </c>
      <c r="B247" s="63" t="s">
        <v>52</v>
      </c>
      <c r="C247" s="63" t="s">
        <v>44</v>
      </c>
      <c r="D247" s="63">
        <v>0.1</v>
      </c>
      <c r="E247" s="63">
        <v>1</v>
      </c>
      <c r="F247" s="63">
        <v>0.01</v>
      </c>
      <c r="G247" s="63" t="s">
        <v>13</v>
      </c>
      <c r="H247" s="63" t="s">
        <v>12</v>
      </c>
      <c r="I247" s="63">
        <v>0.02</v>
      </c>
      <c r="J247" s="63">
        <v>4.4999999999999998E-2</v>
      </c>
      <c r="K247" s="63" t="s">
        <v>10</v>
      </c>
      <c r="L247" s="63">
        <v>5.7507000000000001</v>
      </c>
      <c r="M247" s="63">
        <v>0.38796999999999998</v>
      </c>
      <c r="N247" s="63">
        <v>5.75</v>
      </c>
      <c r="O247" s="64">
        <v>0.38675999999999999</v>
      </c>
    </row>
    <row r="248" spans="1:15" x14ac:dyDescent="0.25">
      <c r="A248" s="114" t="s">
        <v>1366</v>
      </c>
      <c r="B248" s="63" t="s">
        <v>52</v>
      </c>
      <c r="C248" s="63" t="s">
        <v>44</v>
      </c>
      <c r="D248" s="63">
        <v>0.1</v>
      </c>
      <c r="E248" s="63">
        <v>1</v>
      </c>
      <c r="F248" s="63">
        <v>0.01</v>
      </c>
      <c r="G248" s="63" t="s">
        <v>13</v>
      </c>
      <c r="H248" s="63" t="s">
        <v>12</v>
      </c>
      <c r="I248" s="63">
        <v>4.4999999999999998E-2</v>
      </c>
      <c r="J248" s="63">
        <v>0.1</v>
      </c>
      <c r="K248" s="63" t="s">
        <v>10</v>
      </c>
      <c r="L248" s="63">
        <v>5.7717000000000001</v>
      </c>
      <c r="M248" s="63">
        <v>0.11872000000000001</v>
      </c>
      <c r="N248" s="63">
        <v>5.7709999999999999</v>
      </c>
      <c r="O248" s="64">
        <v>0.11743000000000001</v>
      </c>
    </row>
    <row r="249" spans="1:15" x14ac:dyDescent="0.25">
      <c r="A249" s="114" t="s">
        <v>1365</v>
      </c>
      <c r="B249" s="63" t="s">
        <v>52</v>
      </c>
      <c r="C249" s="63" t="s">
        <v>44</v>
      </c>
      <c r="D249" s="63">
        <v>0.1</v>
      </c>
      <c r="E249" s="63">
        <v>1</v>
      </c>
      <c r="F249" s="63">
        <v>0.01</v>
      </c>
      <c r="G249" s="63" t="s">
        <v>13</v>
      </c>
      <c r="H249" s="63" t="s">
        <v>12</v>
      </c>
      <c r="I249" s="63">
        <v>0.1</v>
      </c>
      <c r="J249" s="63">
        <v>5</v>
      </c>
      <c r="K249" s="63" t="s">
        <v>10</v>
      </c>
      <c r="L249" s="63">
        <v>5.7670000000000003</v>
      </c>
      <c r="M249" s="63">
        <v>0.17953</v>
      </c>
      <c r="N249" s="63">
        <v>5.7663000000000002</v>
      </c>
      <c r="O249" s="64">
        <v>0.17826</v>
      </c>
    </row>
    <row r="250" spans="1:15" x14ac:dyDescent="0.25">
      <c r="A250" s="114" t="s">
        <v>2211</v>
      </c>
      <c r="B250" s="63" t="s">
        <v>52</v>
      </c>
      <c r="C250" s="63" t="s">
        <v>44</v>
      </c>
      <c r="D250" s="63">
        <v>0.1</v>
      </c>
      <c r="E250" s="63">
        <v>1</v>
      </c>
      <c r="F250" s="63">
        <v>0.01</v>
      </c>
      <c r="G250" s="63" t="s">
        <v>13</v>
      </c>
      <c r="H250" s="63" t="s">
        <v>12</v>
      </c>
      <c r="I250" s="63">
        <v>5</v>
      </c>
      <c r="J250" s="63">
        <v>20</v>
      </c>
      <c r="K250" s="63" t="s">
        <v>10</v>
      </c>
      <c r="L250" s="63">
        <v>5.6818</v>
      </c>
      <c r="M250" s="63">
        <v>1.2155</v>
      </c>
      <c r="N250" s="63">
        <v>5.6810999999999998</v>
      </c>
      <c r="O250" s="64">
        <v>1.2145999999999999</v>
      </c>
    </row>
    <row r="251" spans="1:15" x14ac:dyDescent="0.25">
      <c r="A251" s="114" t="s">
        <v>1368</v>
      </c>
      <c r="B251" s="63" t="s">
        <v>52</v>
      </c>
      <c r="C251" s="63" t="s">
        <v>44</v>
      </c>
      <c r="D251" s="63">
        <v>0.1</v>
      </c>
      <c r="E251" s="63">
        <v>1</v>
      </c>
      <c r="F251" s="63">
        <v>0.01</v>
      </c>
      <c r="G251" s="63" t="s">
        <v>13</v>
      </c>
      <c r="H251" s="63" t="s">
        <v>12</v>
      </c>
      <c r="I251" s="63">
        <v>20</v>
      </c>
      <c r="J251" s="63">
        <v>50</v>
      </c>
      <c r="K251" s="63" t="s">
        <v>10</v>
      </c>
      <c r="L251" s="63">
        <v>5.1677999999999997</v>
      </c>
      <c r="M251" s="63">
        <v>8.3948999999999998</v>
      </c>
      <c r="N251" s="63">
        <v>5.1615000000000002</v>
      </c>
      <c r="O251" s="64">
        <v>8.3731000000000009</v>
      </c>
    </row>
    <row r="252" spans="1:15" x14ac:dyDescent="0.25">
      <c r="A252" s="114" t="s">
        <v>1375</v>
      </c>
      <c r="B252" s="63" t="s">
        <v>52</v>
      </c>
      <c r="C252" s="63" t="s">
        <v>44</v>
      </c>
      <c r="D252" s="63">
        <v>1</v>
      </c>
      <c r="E252" s="63">
        <v>10</v>
      </c>
      <c r="F252" s="63">
        <v>0.01</v>
      </c>
      <c r="G252" s="63" t="s">
        <v>13</v>
      </c>
      <c r="H252" s="63" t="s">
        <v>12</v>
      </c>
      <c r="I252" s="63">
        <v>1E-3</v>
      </c>
      <c r="J252" s="63">
        <v>0.05</v>
      </c>
      <c r="K252" s="63" t="s">
        <v>10</v>
      </c>
      <c r="L252" s="63">
        <v>5.7991999999999999</v>
      </c>
      <c r="M252" s="63">
        <v>1.6313000000000001E-2</v>
      </c>
      <c r="N252" s="63">
        <v>5.7915999999999999</v>
      </c>
      <c r="O252" s="64">
        <v>1.6333E-2</v>
      </c>
    </row>
    <row r="253" spans="1:15" x14ac:dyDescent="0.25">
      <c r="A253" s="114" t="s">
        <v>1377</v>
      </c>
      <c r="B253" s="63" t="s">
        <v>52</v>
      </c>
      <c r="C253" s="63" t="s">
        <v>44</v>
      </c>
      <c r="D253" s="63">
        <v>1</v>
      </c>
      <c r="E253" s="63">
        <v>10</v>
      </c>
      <c r="F253" s="63">
        <v>0.01</v>
      </c>
      <c r="G253" s="63" t="s">
        <v>13</v>
      </c>
      <c r="H253" s="63" t="s">
        <v>12</v>
      </c>
      <c r="I253" s="63">
        <v>0.05</v>
      </c>
      <c r="J253" s="63">
        <v>1</v>
      </c>
      <c r="K253" s="63" t="s">
        <v>10</v>
      </c>
      <c r="L253" s="63">
        <v>5.7925000000000004</v>
      </c>
      <c r="M253" s="63">
        <v>2.3675999999999999E-2</v>
      </c>
      <c r="N253" s="63">
        <v>5.7849000000000004</v>
      </c>
      <c r="O253" s="64">
        <v>2.3706000000000001E-2</v>
      </c>
    </row>
    <row r="254" spans="1:15" x14ac:dyDescent="0.25">
      <c r="A254" s="114" t="s">
        <v>1376</v>
      </c>
      <c r="B254" s="63" t="s">
        <v>52</v>
      </c>
      <c r="C254" s="63" t="s">
        <v>44</v>
      </c>
      <c r="D254" s="63">
        <v>1</v>
      </c>
      <c r="E254" s="63">
        <v>10</v>
      </c>
      <c r="F254" s="63">
        <v>0.01</v>
      </c>
      <c r="G254" s="63" t="s">
        <v>13</v>
      </c>
      <c r="H254" s="63" t="s">
        <v>12</v>
      </c>
      <c r="I254" s="63">
        <v>1</v>
      </c>
      <c r="J254" s="63">
        <v>5</v>
      </c>
      <c r="K254" s="63" t="s">
        <v>10</v>
      </c>
      <c r="L254" s="63">
        <v>5.82</v>
      </c>
      <c r="M254" s="63">
        <v>0.34986</v>
      </c>
      <c r="N254" s="63">
        <v>5.8127000000000004</v>
      </c>
      <c r="O254" s="64">
        <v>0.35015000000000002</v>
      </c>
    </row>
    <row r="255" spans="1:15" x14ac:dyDescent="0.25">
      <c r="A255" s="114" t="s">
        <v>1390</v>
      </c>
      <c r="B255" s="63" t="s">
        <v>52</v>
      </c>
      <c r="C255" s="63" t="s">
        <v>44</v>
      </c>
      <c r="D255" s="63">
        <v>10</v>
      </c>
      <c r="E255" s="63">
        <v>20</v>
      </c>
      <c r="F255" s="63">
        <v>0.01</v>
      </c>
      <c r="G255" s="63" t="s">
        <v>13</v>
      </c>
      <c r="H255" s="63" t="s">
        <v>12</v>
      </c>
      <c r="I255" s="63">
        <v>1E-3</v>
      </c>
      <c r="J255" s="63">
        <v>0.05</v>
      </c>
      <c r="K255" s="63" t="s">
        <v>10</v>
      </c>
      <c r="L255" s="63">
        <v>5.1798999999999999</v>
      </c>
      <c r="M255" s="63">
        <v>0.27700999999999998</v>
      </c>
      <c r="N255" s="63">
        <v>7.3621999999999996</v>
      </c>
      <c r="O255" s="64">
        <v>5.8217999999999999E-2</v>
      </c>
    </row>
    <row r="256" spans="1:15" x14ac:dyDescent="0.25">
      <c r="A256" s="114" t="s">
        <v>2212</v>
      </c>
      <c r="B256" s="63" t="s">
        <v>52</v>
      </c>
      <c r="C256" s="63" t="s">
        <v>44</v>
      </c>
      <c r="D256" s="63">
        <v>10</v>
      </c>
      <c r="E256" s="63">
        <v>20</v>
      </c>
      <c r="F256" s="63">
        <v>0.01</v>
      </c>
      <c r="G256" s="63" t="s">
        <v>13</v>
      </c>
      <c r="H256" s="63" t="s">
        <v>12</v>
      </c>
      <c r="I256" s="63">
        <v>0.05</v>
      </c>
      <c r="J256" s="63">
        <v>1</v>
      </c>
      <c r="K256" s="63" t="s">
        <v>10</v>
      </c>
      <c r="L256" s="63">
        <v>3.3353999999999999</v>
      </c>
      <c r="M256" s="63">
        <v>0.33323000000000003</v>
      </c>
      <c r="N256" s="63">
        <v>6.0285000000000002</v>
      </c>
      <c r="O256" s="64">
        <v>6.3256000000000007E-2</v>
      </c>
    </row>
    <row r="257" spans="1:15" x14ac:dyDescent="0.25">
      <c r="A257" s="114" t="s">
        <v>1389</v>
      </c>
      <c r="B257" s="63" t="s">
        <v>52</v>
      </c>
      <c r="C257" s="63" t="s">
        <v>44</v>
      </c>
      <c r="D257" s="63">
        <v>10</v>
      </c>
      <c r="E257" s="63">
        <v>20</v>
      </c>
      <c r="F257" s="63">
        <v>0.01</v>
      </c>
      <c r="G257" s="63" t="s">
        <v>13</v>
      </c>
      <c r="H257" s="63" t="s">
        <v>12</v>
      </c>
      <c r="I257" s="63">
        <v>1</v>
      </c>
      <c r="J257" s="63">
        <v>5</v>
      </c>
      <c r="K257" s="63" t="s">
        <v>10</v>
      </c>
      <c r="L257" s="63">
        <v>0.20999000000000001</v>
      </c>
      <c r="M257" s="63">
        <v>0.9395</v>
      </c>
      <c r="N257" s="63">
        <v>3.8087</v>
      </c>
      <c r="O257" s="64">
        <v>0.57918000000000003</v>
      </c>
    </row>
    <row r="258" spans="1:15" x14ac:dyDescent="0.25">
      <c r="A258" s="114" t="s">
        <v>1251</v>
      </c>
      <c r="B258" s="63" t="s">
        <v>52</v>
      </c>
      <c r="C258" s="63" t="s">
        <v>44</v>
      </c>
      <c r="D258" s="63">
        <v>0</v>
      </c>
      <c r="E258" s="63">
        <v>1E-4</v>
      </c>
      <c r="F258" s="63">
        <v>0.1</v>
      </c>
      <c r="G258" s="63" t="s">
        <v>13</v>
      </c>
      <c r="H258" s="63" t="s">
        <v>11</v>
      </c>
      <c r="I258" s="63">
        <v>1E-3</v>
      </c>
      <c r="J258" s="63">
        <v>0.02</v>
      </c>
      <c r="K258" s="63" t="s">
        <v>10</v>
      </c>
      <c r="L258" s="63">
        <v>57736</v>
      </c>
      <c r="M258" s="63">
        <v>3.3964000000000001E-2</v>
      </c>
      <c r="N258" s="63">
        <v>57736</v>
      </c>
      <c r="O258" s="64">
        <v>2.0995E-2</v>
      </c>
    </row>
    <row r="259" spans="1:15" x14ac:dyDescent="0.25">
      <c r="A259" s="114" t="s">
        <v>1252</v>
      </c>
      <c r="B259" s="63" t="s">
        <v>52</v>
      </c>
      <c r="C259" s="63" t="s">
        <v>44</v>
      </c>
      <c r="D259" s="63">
        <v>0</v>
      </c>
      <c r="E259" s="63">
        <v>1E-4</v>
      </c>
      <c r="F259" s="63">
        <v>0.1</v>
      </c>
      <c r="G259" s="63" t="s">
        <v>13</v>
      </c>
      <c r="H259" s="63" t="s">
        <v>11</v>
      </c>
      <c r="I259" s="63">
        <v>0.02</v>
      </c>
      <c r="J259" s="63">
        <v>4.4999999999999998E-2</v>
      </c>
      <c r="K259" s="63" t="s">
        <v>10</v>
      </c>
      <c r="L259" s="63">
        <v>57736</v>
      </c>
      <c r="M259" s="63">
        <v>2.1729999999999999E-2</v>
      </c>
      <c r="N259" s="63">
        <v>57736</v>
      </c>
      <c r="O259" s="64">
        <v>7.4637999999999996E-3</v>
      </c>
    </row>
    <row r="260" spans="1:15" x14ac:dyDescent="0.25">
      <c r="A260" s="114" t="s">
        <v>2213</v>
      </c>
      <c r="B260" s="63" t="s">
        <v>52</v>
      </c>
      <c r="C260" s="63" t="s">
        <v>44</v>
      </c>
      <c r="D260" s="63">
        <v>0</v>
      </c>
      <c r="E260" s="63">
        <v>1E-4</v>
      </c>
      <c r="F260" s="63">
        <v>0.1</v>
      </c>
      <c r="G260" s="63" t="s">
        <v>13</v>
      </c>
      <c r="H260" s="63" t="s">
        <v>11</v>
      </c>
      <c r="I260" s="63">
        <v>4.4999999999999998E-2</v>
      </c>
      <c r="J260" s="63">
        <v>5</v>
      </c>
      <c r="K260" s="63" t="s">
        <v>10</v>
      </c>
      <c r="L260" s="63">
        <v>57736</v>
      </c>
      <c r="M260" s="63">
        <v>1.874E-2</v>
      </c>
      <c r="N260" s="63">
        <v>57736</v>
      </c>
      <c r="O260" s="64">
        <v>4.4741E-3</v>
      </c>
    </row>
    <row r="261" spans="1:15" x14ac:dyDescent="0.25">
      <c r="A261" s="114" t="s">
        <v>2214</v>
      </c>
      <c r="B261" s="63" t="s">
        <v>52</v>
      </c>
      <c r="C261" s="63" t="s">
        <v>44</v>
      </c>
      <c r="D261" s="63">
        <v>1</v>
      </c>
      <c r="E261" s="63">
        <v>10</v>
      </c>
      <c r="F261" s="63">
        <v>0.1</v>
      </c>
      <c r="G261" s="63" t="s">
        <v>13</v>
      </c>
      <c r="H261" s="63" t="s">
        <v>12</v>
      </c>
      <c r="I261" s="63">
        <v>1E-3</v>
      </c>
      <c r="J261" s="63">
        <v>0.05</v>
      </c>
      <c r="K261" s="63" t="s">
        <v>10</v>
      </c>
      <c r="L261" s="63">
        <v>57.741</v>
      </c>
      <c r="M261" s="63">
        <v>1.6634E-3</v>
      </c>
      <c r="N261" s="63">
        <v>57.738</v>
      </c>
      <c r="O261" s="64">
        <v>1.6635E-3</v>
      </c>
    </row>
    <row r="262" spans="1:15" x14ac:dyDescent="0.25">
      <c r="A262" s="114" t="s">
        <v>1378</v>
      </c>
      <c r="B262" s="63" t="s">
        <v>52</v>
      </c>
      <c r="C262" s="63" t="s">
        <v>44</v>
      </c>
      <c r="D262" s="63">
        <v>1</v>
      </c>
      <c r="E262" s="63">
        <v>10</v>
      </c>
      <c r="F262" s="63">
        <v>0.1</v>
      </c>
      <c r="G262" s="63" t="s">
        <v>13</v>
      </c>
      <c r="H262" s="63" t="s">
        <v>12</v>
      </c>
      <c r="I262" s="63">
        <v>0.05</v>
      </c>
      <c r="J262" s="63">
        <v>1</v>
      </c>
      <c r="K262" s="63" t="s">
        <v>10</v>
      </c>
      <c r="L262" s="63">
        <v>57.74</v>
      </c>
      <c r="M262" s="63">
        <v>2.428E-3</v>
      </c>
      <c r="N262" s="63">
        <v>57.737000000000002</v>
      </c>
      <c r="O262" s="64">
        <v>2.4282000000000001E-3</v>
      </c>
    </row>
    <row r="263" spans="1:15" x14ac:dyDescent="0.25">
      <c r="A263" s="114" t="s">
        <v>1379</v>
      </c>
      <c r="B263" s="63" t="s">
        <v>52</v>
      </c>
      <c r="C263" s="63" t="s">
        <v>44</v>
      </c>
      <c r="D263" s="63">
        <v>1</v>
      </c>
      <c r="E263" s="63">
        <v>10</v>
      </c>
      <c r="F263" s="63">
        <v>0.1</v>
      </c>
      <c r="G263" s="63" t="s">
        <v>13</v>
      </c>
      <c r="H263" s="63" t="s">
        <v>12</v>
      </c>
      <c r="I263" s="63">
        <v>1</v>
      </c>
      <c r="J263" s="63">
        <v>5</v>
      </c>
      <c r="K263" s="63" t="s">
        <v>10</v>
      </c>
      <c r="L263" s="63">
        <v>57.725000000000001</v>
      </c>
      <c r="M263" s="63">
        <v>4.4886000000000002E-2</v>
      </c>
      <c r="N263" s="63">
        <v>57.722000000000001</v>
      </c>
      <c r="O263" s="64">
        <v>4.4888999999999998E-2</v>
      </c>
    </row>
    <row r="264" spans="1:15" x14ac:dyDescent="0.25">
      <c r="A264" s="114" t="s">
        <v>1391</v>
      </c>
      <c r="B264" s="63" t="s">
        <v>52</v>
      </c>
      <c r="C264" s="63" t="s">
        <v>44</v>
      </c>
      <c r="D264" s="63">
        <v>10</v>
      </c>
      <c r="E264" s="63">
        <v>20</v>
      </c>
      <c r="F264" s="63">
        <v>0.1</v>
      </c>
      <c r="G264" s="63" t="s">
        <v>13</v>
      </c>
      <c r="H264" s="63" t="s">
        <v>12</v>
      </c>
      <c r="I264" s="63">
        <v>1E-3</v>
      </c>
      <c r="J264" s="63">
        <v>0.05</v>
      </c>
      <c r="K264" s="63" t="s">
        <v>10</v>
      </c>
      <c r="L264" s="63">
        <v>57.914000000000001</v>
      </c>
      <c r="M264" s="63">
        <v>8.2611000000000004E-3</v>
      </c>
      <c r="N264" s="63">
        <v>57.911000000000001</v>
      </c>
      <c r="O264" s="64">
        <v>8.2615999999999992E-3</v>
      </c>
    </row>
    <row r="265" spans="1:15" x14ac:dyDescent="0.25">
      <c r="A265" s="114" t="s">
        <v>1393</v>
      </c>
      <c r="B265" s="63" t="s">
        <v>52</v>
      </c>
      <c r="C265" s="63" t="s">
        <v>44</v>
      </c>
      <c r="D265" s="63">
        <v>10</v>
      </c>
      <c r="E265" s="63">
        <v>20</v>
      </c>
      <c r="F265" s="63">
        <v>0.1</v>
      </c>
      <c r="G265" s="63" t="s">
        <v>13</v>
      </c>
      <c r="H265" s="63" t="s">
        <v>12</v>
      </c>
      <c r="I265" s="63">
        <v>0.05</v>
      </c>
      <c r="J265" s="63">
        <v>1</v>
      </c>
      <c r="K265" s="63" t="s">
        <v>10</v>
      </c>
      <c r="L265" s="63">
        <v>57.758000000000003</v>
      </c>
      <c r="M265" s="63">
        <v>7.6264000000000002E-3</v>
      </c>
      <c r="N265" s="63">
        <v>57.755000000000003</v>
      </c>
      <c r="O265" s="64">
        <v>7.6268000000000004E-3</v>
      </c>
    </row>
    <row r="266" spans="1:15" x14ac:dyDescent="0.25">
      <c r="A266" s="114" t="s">
        <v>1392</v>
      </c>
      <c r="B266" s="63" t="s">
        <v>52</v>
      </c>
      <c r="C266" s="63" t="s">
        <v>44</v>
      </c>
      <c r="D266" s="63">
        <v>10</v>
      </c>
      <c r="E266" s="63">
        <v>20</v>
      </c>
      <c r="F266" s="63">
        <v>0.1</v>
      </c>
      <c r="G266" s="63" t="s">
        <v>13</v>
      </c>
      <c r="H266" s="63" t="s">
        <v>12</v>
      </c>
      <c r="I266" s="63">
        <v>1</v>
      </c>
      <c r="J266" s="63">
        <v>5</v>
      </c>
      <c r="K266" s="63" t="s">
        <v>10</v>
      </c>
      <c r="L266" s="63">
        <v>57.017000000000003</v>
      </c>
      <c r="M266" s="63">
        <v>0.12296</v>
      </c>
      <c r="N266" s="63">
        <v>57.014000000000003</v>
      </c>
      <c r="O266" s="64">
        <v>0.12297</v>
      </c>
    </row>
    <row r="267" spans="1:15" x14ac:dyDescent="0.25">
      <c r="A267" s="114" t="s">
        <v>1253</v>
      </c>
      <c r="B267" s="63" t="s">
        <v>52</v>
      </c>
      <c r="C267" s="63" t="s">
        <v>44</v>
      </c>
      <c r="D267" s="63">
        <v>0</v>
      </c>
      <c r="E267" s="63">
        <v>1E-4</v>
      </c>
      <c r="F267" s="63">
        <v>1</v>
      </c>
      <c r="G267" s="63" t="s">
        <v>13</v>
      </c>
      <c r="H267" s="63" t="s">
        <v>11</v>
      </c>
      <c r="I267" s="63">
        <v>1E-3</v>
      </c>
      <c r="J267" s="63">
        <v>0.02</v>
      </c>
      <c r="K267" s="63" t="s">
        <v>10</v>
      </c>
      <c r="L267" s="63">
        <v>577360</v>
      </c>
      <c r="M267" s="63">
        <v>7.2871000000000003E-3</v>
      </c>
      <c r="N267" s="63">
        <v>577360</v>
      </c>
      <c r="O267" s="64">
        <v>2.0990000000000002E-3</v>
      </c>
    </row>
    <row r="268" spans="1:15" x14ac:dyDescent="0.25">
      <c r="A268" s="114" t="s">
        <v>1255</v>
      </c>
      <c r="B268" s="63" t="s">
        <v>52</v>
      </c>
      <c r="C268" s="63" t="s">
        <v>44</v>
      </c>
      <c r="D268" s="63">
        <v>0</v>
      </c>
      <c r="E268" s="63">
        <v>1E-4</v>
      </c>
      <c r="F268" s="63">
        <v>1</v>
      </c>
      <c r="G268" s="63" t="s">
        <v>13</v>
      </c>
      <c r="H268" s="63" t="s">
        <v>11</v>
      </c>
      <c r="I268" s="63">
        <v>0.02</v>
      </c>
      <c r="J268" s="63">
        <v>4.4999999999999998E-2</v>
      </c>
      <c r="K268" s="63" t="s">
        <v>10</v>
      </c>
      <c r="L268" s="63">
        <v>577360</v>
      </c>
      <c r="M268" s="63">
        <v>7.5230000000000002E-3</v>
      </c>
      <c r="N268" s="63">
        <v>577360</v>
      </c>
      <c r="O268" s="64">
        <v>1.8174E-3</v>
      </c>
    </row>
    <row r="269" spans="1:15" x14ac:dyDescent="0.25">
      <c r="A269" s="114" t="s">
        <v>1254</v>
      </c>
      <c r="B269" s="63" t="s">
        <v>52</v>
      </c>
      <c r="C269" s="63" t="s">
        <v>44</v>
      </c>
      <c r="D269" s="63">
        <v>0</v>
      </c>
      <c r="E269" s="63">
        <v>1E-4</v>
      </c>
      <c r="F269" s="63">
        <v>1</v>
      </c>
      <c r="G269" s="63" t="s">
        <v>13</v>
      </c>
      <c r="H269" s="63" t="s">
        <v>11</v>
      </c>
      <c r="I269" s="63">
        <v>4.4999999999999998E-2</v>
      </c>
      <c r="J269" s="63">
        <v>5</v>
      </c>
      <c r="K269" s="63" t="s">
        <v>10</v>
      </c>
      <c r="L269" s="63">
        <v>577360</v>
      </c>
      <c r="M269" s="63">
        <v>7.2242000000000001E-3</v>
      </c>
      <c r="N269" s="63">
        <v>577360</v>
      </c>
      <c r="O269" s="64">
        <v>1.5173000000000001E-3</v>
      </c>
    </row>
    <row r="270" spans="1:15" x14ac:dyDescent="0.25">
      <c r="A270" s="114" t="s">
        <v>939</v>
      </c>
      <c r="B270" s="63" t="s">
        <v>52</v>
      </c>
      <c r="C270" s="63" t="s">
        <v>8</v>
      </c>
      <c r="D270" s="63">
        <v>0</v>
      </c>
      <c r="E270" s="63">
        <v>0.01</v>
      </c>
      <c r="F270" s="63">
        <v>1E-8</v>
      </c>
      <c r="G270" s="63" t="s">
        <v>6</v>
      </c>
      <c r="H270" s="63" t="s">
        <v>5</v>
      </c>
      <c r="I270" s="63">
        <v>1E-3</v>
      </c>
      <c r="J270" s="63">
        <v>0.04</v>
      </c>
      <c r="K270" s="63" t="s">
        <v>10</v>
      </c>
      <c r="L270" s="63">
        <v>4.5</v>
      </c>
      <c r="M270" s="63">
        <v>310</v>
      </c>
      <c r="N270" s="63">
        <v>4.3849</v>
      </c>
      <c r="O270" s="64">
        <v>312.12</v>
      </c>
    </row>
    <row r="271" spans="1:15" x14ac:dyDescent="0.25">
      <c r="A271" s="114" t="s">
        <v>941</v>
      </c>
      <c r="B271" s="63" t="s">
        <v>52</v>
      </c>
      <c r="C271" s="63" t="s">
        <v>8</v>
      </c>
      <c r="D271" s="63">
        <v>0</v>
      </c>
      <c r="E271" s="63">
        <v>0.01</v>
      </c>
      <c r="F271" s="63">
        <v>1E-8</v>
      </c>
      <c r="G271" s="63" t="s">
        <v>6</v>
      </c>
      <c r="H271" s="63" t="s">
        <v>5</v>
      </c>
      <c r="I271" s="63">
        <v>0.04</v>
      </c>
      <c r="J271" s="63">
        <v>1</v>
      </c>
      <c r="K271" s="63" t="s">
        <v>10</v>
      </c>
      <c r="L271" s="63">
        <v>3</v>
      </c>
      <c r="M271" s="63">
        <v>160</v>
      </c>
      <c r="N271" s="63">
        <v>2.9725000000000001</v>
      </c>
      <c r="O271" s="64">
        <v>162.69</v>
      </c>
    </row>
    <row r="272" spans="1:15" x14ac:dyDescent="0.25">
      <c r="A272" s="114" t="s">
        <v>2215</v>
      </c>
      <c r="B272" s="63" t="s">
        <v>52</v>
      </c>
      <c r="C272" s="63" t="s">
        <v>8</v>
      </c>
      <c r="D272" s="63">
        <v>0</v>
      </c>
      <c r="E272" s="63">
        <v>0.01</v>
      </c>
      <c r="F272" s="63">
        <v>1E-8</v>
      </c>
      <c r="G272" s="63" t="s">
        <v>6</v>
      </c>
      <c r="H272" s="63" t="s">
        <v>5</v>
      </c>
      <c r="I272" s="63">
        <v>1</v>
      </c>
      <c r="J272" s="63">
        <v>20</v>
      </c>
      <c r="K272" s="63" t="s">
        <v>10</v>
      </c>
      <c r="L272" s="63">
        <v>3.1</v>
      </c>
      <c r="M272" s="63">
        <v>254.16</v>
      </c>
      <c r="N272" s="63">
        <v>3.0562999999999998</v>
      </c>
      <c r="O272" s="64">
        <v>254.09</v>
      </c>
    </row>
    <row r="273" spans="1:15" x14ac:dyDescent="0.25">
      <c r="A273" s="114" t="s">
        <v>942</v>
      </c>
      <c r="B273" s="63" t="s">
        <v>52</v>
      </c>
      <c r="C273" s="63" t="s">
        <v>8</v>
      </c>
      <c r="D273" s="63">
        <v>0</v>
      </c>
      <c r="E273" s="63">
        <v>0.01</v>
      </c>
      <c r="F273" s="63">
        <v>1E-8</v>
      </c>
      <c r="G273" s="63" t="s">
        <v>6</v>
      </c>
      <c r="H273" s="63" t="s">
        <v>5</v>
      </c>
      <c r="I273" s="63">
        <v>20</v>
      </c>
      <c r="J273" s="63">
        <v>50</v>
      </c>
      <c r="K273" s="63" t="s">
        <v>10</v>
      </c>
      <c r="L273" s="63">
        <v>5.6</v>
      </c>
      <c r="M273" s="63">
        <v>840</v>
      </c>
      <c r="N273" s="63">
        <v>5.5358000000000001</v>
      </c>
      <c r="O273" s="64">
        <v>839.05</v>
      </c>
    </row>
    <row r="274" spans="1:15" x14ac:dyDescent="0.25">
      <c r="A274" s="114" t="s">
        <v>940</v>
      </c>
      <c r="B274" s="63" t="s">
        <v>52</v>
      </c>
      <c r="C274" s="63" t="s">
        <v>8</v>
      </c>
      <c r="D274" s="63">
        <v>0</v>
      </c>
      <c r="E274" s="63">
        <v>0.01</v>
      </c>
      <c r="F274" s="63">
        <v>1E-8</v>
      </c>
      <c r="G274" s="63" t="s">
        <v>6</v>
      </c>
      <c r="H274" s="63" t="s">
        <v>5</v>
      </c>
      <c r="I274" s="63">
        <v>50</v>
      </c>
      <c r="J274" s="63">
        <v>100</v>
      </c>
      <c r="K274" s="63" t="s">
        <v>10</v>
      </c>
      <c r="L274" s="63">
        <v>8.8000000000000007</v>
      </c>
      <c r="M274" s="63">
        <v>5100</v>
      </c>
      <c r="N274" s="63">
        <v>8.3102999999999998</v>
      </c>
      <c r="O274" s="64">
        <v>5147.5</v>
      </c>
    </row>
    <row r="275" spans="1:15" x14ac:dyDescent="0.25">
      <c r="A275" s="114" t="s">
        <v>2216</v>
      </c>
      <c r="B275" s="63" t="s">
        <v>52</v>
      </c>
      <c r="C275" s="63" t="s">
        <v>8</v>
      </c>
      <c r="D275" s="63">
        <v>0</v>
      </c>
      <c r="E275" s="63">
        <v>0.01</v>
      </c>
      <c r="F275" s="63">
        <v>1E-8</v>
      </c>
      <c r="G275" s="63" t="s">
        <v>6</v>
      </c>
      <c r="H275" s="63" t="s">
        <v>5</v>
      </c>
      <c r="I275" s="63">
        <v>100</v>
      </c>
      <c r="J275" s="63">
        <v>300</v>
      </c>
      <c r="K275" s="63" t="s">
        <v>10</v>
      </c>
      <c r="L275" s="63">
        <v>4.2</v>
      </c>
      <c r="M275" s="63">
        <v>46000</v>
      </c>
      <c r="N275" s="63">
        <v>2.8932000000000002</v>
      </c>
      <c r="O275" s="64">
        <v>46131</v>
      </c>
    </row>
    <row r="276" spans="1:15" x14ac:dyDescent="0.25">
      <c r="A276" s="114" t="s">
        <v>937</v>
      </c>
      <c r="B276" s="63" t="s">
        <v>52</v>
      </c>
      <c r="C276" s="63" t="s">
        <v>8</v>
      </c>
      <c r="D276" s="63">
        <v>0</v>
      </c>
      <c r="E276" s="63">
        <v>0.01</v>
      </c>
      <c r="F276" s="63">
        <v>1E-8</v>
      </c>
      <c r="G276" s="63" t="s">
        <v>6</v>
      </c>
      <c r="H276" s="63" t="s">
        <v>5</v>
      </c>
      <c r="I276" s="63">
        <v>300</v>
      </c>
      <c r="J276" s="63">
        <v>1000</v>
      </c>
      <c r="K276" s="63" t="s">
        <v>10</v>
      </c>
      <c r="L276" s="63">
        <v>18</v>
      </c>
      <c r="M276" s="63">
        <v>45000</v>
      </c>
      <c r="N276" s="63">
        <v>12.904</v>
      </c>
      <c r="O276" s="64">
        <v>45496</v>
      </c>
    </row>
    <row r="277" spans="1:15" x14ac:dyDescent="0.25">
      <c r="A277" s="114" t="s">
        <v>936</v>
      </c>
      <c r="B277" s="63" t="s">
        <v>52</v>
      </c>
      <c r="C277" s="63" t="s">
        <v>8</v>
      </c>
      <c r="D277" s="63">
        <v>0</v>
      </c>
      <c r="E277" s="63">
        <v>0.01</v>
      </c>
      <c r="F277" s="63">
        <v>1E-8</v>
      </c>
      <c r="G277" s="63" t="s">
        <v>6</v>
      </c>
      <c r="H277" s="63" t="s">
        <v>5</v>
      </c>
      <c r="I277" s="63">
        <v>1000</v>
      </c>
      <c r="J277" s="63">
        <v>4000</v>
      </c>
      <c r="K277" s="63" t="s">
        <v>10</v>
      </c>
      <c r="L277" s="63">
        <v>23</v>
      </c>
      <c r="M277" s="63">
        <v>80000</v>
      </c>
      <c r="N277" s="63">
        <v>22.678999999999998</v>
      </c>
      <c r="O277" s="64">
        <v>79411</v>
      </c>
    </row>
    <row r="278" spans="1:15" x14ac:dyDescent="0.25">
      <c r="A278" s="114" t="s">
        <v>938</v>
      </c>
      <c r="B278" s="63" t="s">
        <v>52</v>
      </c>
      <c r="C278" s="63" t="s">
        <v>8</v>
      </c>
      <c r="D278" s="63">
        <v>0</v>
      </c>
      <c r="E278" s="63">
        <v>0.01</v>
      </c>
      <c r="F278" s="63">
        <v>1E-8</v>
      </c>
      <c r="G278" s="63" t="s">
        <v>6</v>
      </c>
      <c r="H278" s="63" t="s">
        <v>5</v>
      </c>
      <c r="I278" s="63">
        <v>4000</v>
      </c>
      <c r="J278" s="63">
        <v>8000</v>
      </c>
      <c r="K278" s="63" t="s">
        <v>10</v>
      </c>
      <c r="L278" s="63">
        <v>31</v>
      </c>
      <c r="M278" s="63">
        <v>230000</v>
      </c>
      <c r="N278" s="63">
        <v>30.119</v>
      </c>
      <c r="O278" s="64">
        <v>228890</v>
      </c>
    </row>
    <row r="279" spans="1:15" x14ac:dyDescent="0.25">
      <c r="A279" s="114" t="s">
        <v>985</v>
      </c>
      <c r="B279" s="63" t="s">
        <v>52</v>
      </c>
      <c r="C279" s="63" t="s">
        <v>8</v>
      </c>
      <c r="D279" s="63">
        <v>0.01</v>
      </c>
      <c r="E279" s="63">
        <v>0.1</v>
      </c>
      <c r="F279" s="63">
        <v>1E-8</v>
      </c>
      <c r="G279" s="63" t="s">
        <v>6</v>
      </c>
      <c r="H279" s="63" t="s">
        <v>5</v>
      </c>
      <c r="I279" s="63">
        <v>1E-3</v>
      </c>
      <c r="J279" s="63">
        <v>0.04</v>
      </c>
      <c r="K279" s="63" t="s">
        <v>10</v>
      </c>
      <c r="L279" s="63">
        <v>5.4</v>
      </c>
      <c r="M279" s="63">
        <v>83</v>
      </c>
      <c r="N279" s="63">
        <v>5.3159999999999998</v>
      </c>
      <c r="O279" s="64">
        <v>83.165000000000006</v>
      </c>
    </row>
    <row r="280" spans="1:15" x14ac:dyDescent="0.25">
      <c r="A280" s="114" t="s">
        <v>2217</v>
      </c>
      <c r="B280" s="63" t="s">
        <v>52</v>
      </c>
      <c r="C280" s="63" t="s">
        <v>8</v>
      </c>
      <c r="D280" s="63">
        <v>0.01</v>
      </c>
      <c r="E280" s="63">
        <v>0.1</v>
      </c>
      <c r="F280" s="63">
        <v>1E-8</v>
      </c>
      <c r="G280" s="63" t="s">
        <v>6</v>
      </c>
      <c r="H280" s="63" t="s">
        <v>5</v>
      </c>
      <c r="I280" s="63">
        <v>0.04</v>
      </c>
      <c r="J280" s="63">
        <v>1</v>
      </c>
      <c r="K280" s="63" t="s">
        <v>10</v>
      </c>
      <c r="L280" s="63">
        <v>3.5</v>
      </c>
      <c r="M280" s="63">
        <v>81</v>
      </c>
      <c r="N280" s="63">
        <v>3.4428999999999998</v>
      </c>
      <c r="O280" s="64">
        <v>80.683999999999997</v>
      </c>
    </row>
    <row r="281" spans="1:15" x14ac:dyDescent="0.25">
      <c r="A281" s="114" t="s">
        <v>2218</v>
      </c>
      <c r="B281" s="63" t="s">
        <v>52</v>
      </c>
      <c r="C281" s="63" t="s">
        <v>8</v>
      </c>
      <c r="D281" s="63">
        <v>0.01</v>
      </c>
      <c r="E281" s="63">
        <v>0.1</v>
      </c>
      <c r="F281" s="63">
        <v>1E-8</v>
      </c>
      <c r="G281" s="63" t="s">
        <v>6</v>
      </c>
      <c r="H281" s="63" t="s">
        <v>5</v>
      </c>
      <c r="I281" s="63">
        <v>1</v>
      </c>
      <c r="J281" s="63">
        <v>20</v>
      </c>
      <c r="K281" s="63" t="s">
        <v>10</v>
      </c>
      <c r="L281" s="63">
        <v>3.4</v>
      </c>
      <c r="M281" s="63">
        <v>160</v>
      </c>
      <c r="N281" s="63">
        <v>3.3551000000000002</v>
      </c>
      <c r="O281" s="64">
        <v>157.72</v>
      </c>
    </row>
    <row r="282" spans="1:15" x14ac:dyDescent="0.25">
      <c r="A282" s="114" t="s">
        <v>990</v>
      </c>
      <c r="B282" s="63" t="s">
        <v>52</v>
      </c>
      <c r="C282" s="63" t="s">
        <v>8</v>
      </c>
      <c r="D282" s="63">
        <v>0.01</v>
      </c>
      <c r="E282" s="63">
        <v>0.1</v>
      </c>
      <c r="F282" s="63">
        <v>1E-8</v>
      </c>
      <c r="G282" s="63" t="s">
        <v>6</v>
      </c>
      <c r="H282" s="63" t="s">
        <v>5</v>
      </c>
      <c r="I282" s="63">
        <v>20</v>
      </c>
      <c r="J282" s="63">
        <v>50</v>
      </c>
      <c r="K282" s="63" t="s">
        <v>10</v>
      </c>
      <c r="L282" s="63">
        <v>4.7</v>
      </c>
      <c r="M282" s="63">
        <v>330</v>
      </c>
      <c r="N282" s="63">
        <v>4.6688000000000001</v>
      </c>
      <c r="O282" s="64">
        <v>326.81</v>
      </c>
    </row>
    <row r="283" spans="1:15" x14ac:dyDescent="0.25">
      <c r="A283" s="114" t="s">
        <v>987</v>
      </c>
      <c r="B283" s="63" t="s">
        <v>52</v>
      </c>
      <c r="C283" s="63" t="s">
        <v>8</v>
      </c>
      <c r="D283" s="63">
        <v>0.01</v>
      </c>
      <c r="E283" s="63">
        <v>0.1</v>
      </c>
      <c r="F283" s="63">
        <v>1E-8</v>
      </c>
      <c r="G283" s="63" t="s">
        <v>6</v>
      </c>
      <c r="H283" s="63" t="s">
        <v>5</v>
      </c>
      <c r="I283" s="63">
        <v>50</v>
      </c>
      <c r="J283" s="63">
        <v>100</v>
      </c>
      <c r="K283" s="63" t="s">
        <v>10</v>
      </c>
      <c r="L283" s="63">
        <v>6</v>
      </c>
      <c r="M283" s="63">
        <v>910</v>
      </c>
      <c r="N283" s="63">
        <v>5.9729000000000001</v>
      </c>
      <c r="O283" s="64">
        <v>906.03</v>
      </c>
    </row>
    <row r="284" spans="1:15" x14ac:dyDescent="0.25">
      <c r="A284" s="114" t="s">
        <v>2219</v>
      </c>
      <c r="B284" s="63" t="s">
        <v>52</v>
      </c>
      <c r="C284" s="63" t="s">
        <v>8</v>
      </c>
      <c r="D284" s="63">
        <v>0.01</v>
      </c>
      <c r="E284" s="63">
        <v>0.1</v>
      </c>
      <c r="F284" s="63">
        <v>1E-8</v>
      </c>
      <c r="G284" s="63" t="s">
        <v>6</v>
      </c>
      <c r="H284" s="63" t="s">
        <v>5</v>
      </c>
      <c r="I284" s="63">
        <v>100</v>
      </c>
      <c r="J284" s="63">
        <v>300</v>
      </c>
      <c r="K284" s="63" t="s">
        <v>10</v>
      </c>
      <c r="L284" s="63">
        <v>12</v>
      </c>
      <c r="M284" s="63">
        <v>3500</v>
      </c>
      <c r="N284" s="63">
        <v>11.521000000000001</v>
      </c>
      <c r="O284" s="64">
        <v>3476.1</v>
      </c>
    </row>
    <row r="285" spans="1:15" x14ac:dyDescent="0.25">
      <c r="A285" s="114" t="s">
        <v>988</v>
      </c>
      <c r="B285" s="63" t="s">
        <v>52</v>
      </c>
      <c r="C285" s="63" t="s">
        <v>8</v>
      </c>
      <c r="D285" s="63">
        <v>0.01</v>
      </c>
      <c r="E285" s="63">
        <v>0.1</v>
      </c>
      <c r="F285" s="63">
        <v>1E-8</v>
      </c>
      <c r="G285" s="63" t="s">
        <v>6</v>
      </c>
      <c r="H285" s="63" t="s">
        <v>5</v>
      </c>
      <c r="I285" s="63">
        <v>300</v>
      </c>
      <c r="J285" s="63">
        <v>1000</v>
      </c>
      <c r="K285" s="63" t="s">
        <v>10</v>
      </c>
      <c r="L285" s="63">
        <v>12</v>
      </c>
      <c r="M285" s="63">
        <v>12000</v>
      </c>
      <c r="N285" s="63">
        <v>11.521000000000001</v>
      </c>
      <c r="O285" s="64">
        <v>11631</v>
      </c>
    </row>
    <row r="286" spans="1:15" x14ac:dyDescent="0.25">
      <c r="A286" s="114" t="s">
        <v>989</v>
      </c>
      <c r="B286" s="63" t="s">
        <v>52</v>
      </c>
      <c r="C286" s="63" t="s">
        <v>8</v>
      </c>
      <c r="D286" s="63">
        <v>0.01</v>
      </c>
      <c r="E286" s="63">
        <v>0.1</v>
      </c>
      <c r="F286" s="63">
        <v>1E-8</v>
      </c>
      <c r="G286" s="63" t="s">
        <v>6</v>
      </c>
      <c r="H286" s="63" t="s">
        <v>5</v>
      </c>
      <c r="I286" s="63">
        <v>1000</v>
      </c>
      <c r="J286" s="63">
        <v>2000</v>
      </c>
      <c r="K286" s="63" t="s">
        <v>10</v>
      </c>
      <c r="L286" s="63">
        <v>53</v>
      </c>
      <c r="M286" s="63">
        <v>17000</v>
      </c>
      <c r="N286" s="63">
        <v>11.488</v>
      </c>
      <c r="O286" s="64">
        <v>17414</v>
      </c>
    </row>
    <row r="287" spans="1:15" x14ac:dyDescent="0.25">
      <c r="A287" s="114" t="s">
        <v>984</v>
      </c>
      <c r="B287" s="63" t="s">
        <v>52</v>
      </c>
      <c r="C287" s="63" t="s">
        <v>8</v>
      </c>
      <c r="D287" s="63">
        <v>0.01</v>
      </c>
      <c r="E287" s="63">
        <v>0.1</v>
      </c>
      <c r="F287" s="63">
        <v>1E-8</v>
      </c>
      <c r="G287" s="63" t="s">
        <v>6</v>
      </c>
      <c r="H287" s="63" t="s">
        <v>5</v>
      </c>
      <c r="I287" s="63">
        <v>2000</v>
      </c>
      <c r="J287" s="63">
        <v>4000</v>
      </c>
      <c r="K287" s="63" t="s">
        <v>10</v>
      </c>
      <c r="L287" s="63">
        <v>110</v>
      </c>
      <c r="M287" s="63">
        <v>46000</v>
      </c>
      <c r="N287" s="63">
        <v>80.778000000000006</v>
      </c>
      <c r="O287" s="64">
        <v>46223</v>
      </c>
    </row>
    <row r="288" spans="1:15" x14ac:dyDescent="0.25">
      <c r="A288" s="114" t="s">
        <v>983</v>
      </c>
      <c r="B288" s="63" t="s">
        <v>52</v>
      </c>
      <c r="C288" s="63" t="s">
        <v>8</v>
      </c>
      <c r="D288" s="63">
        <v>0.01</v>
      </c>
      <c r="E288" s="63">
        <v>0.1</v>
      </c>
      <c r="F288" s="63">
        <v>1E-8</v>
      </c>
      <c r="G288" s="63" t="s">
        <v>6</v>
      </c>
      <c r="H288" s="63" t="s">
        <v>5</v>
      </c>
      <c r="I288" s="63">
        <v>4000</v>
      </c>
      <c r="J288" s="63">
        <v>8000</v>
      </c>
      <c r="K288" s="63" t="s">
        <v>10</v>
      </c>
      <c r="L288" s="63">
        <v>120</v>
      </c>
      <c r="M288" s="63">
        <v>46000</v>
      </c>
      <c r="N288" s="63">
        <v>92.256</v>
      </c>
      <c r="O288" s="64">
        <v>46261</v>
      </c>
    </row>
    <row r="289" spans="1:15" x14ac:dyDescent="0.25">
      <c r="A289" s="114" t="s">
        <v>986</v>
      </c>
      <c r="B289" s="63" t="s">
        <v>52</v>
      </c>
      <c r="C289" s="63" t="s">
        <v>8</v>
      </c>
      <c r="D289" s="63">
        <v>0.01</v>
      </c>
      <c r="E289" s="63">
        <v>0.1</v>
      </c>
      <c r="F289" s="63">
        <v>1E-8</v>
      </c>
      <c r="G289" s="63" t="s">
        <v>6</v>
      </c>
      <c r="H289" s="63" t="s">
        <v>5</v>
      </c>
      <c r="I289" s="63">
        <v>8000</v>
      </c>
      <c r="J289" s="63">
        <v>10000</v>
      </c>
      <c r="K289" s="63" t="s">
        <v>10</v>
      </c>
      <c r="L289" s="63">
        <v>450</v>
      </c>
      <c r="M289" s="63">
        <v>170000</v>
      </c>
      <c r="N289" s="63">
        <v>115.4</v>
      </c>
      <c r="O289" s="64">
        <v>173280</v>
      </c>
    </row>
    <row r="290" spans="1:15" x14ac:dyDescent="0.25">
      <c r="A290" s="114" t="s">
        <v>945</v>
      </c>
      <c r="B290" s="63" t="s">
        <v>52</v>
      </c>
      <c r="C290" s="63" t="s">
        <v>8</v>
      </c>
      <c r="D290" s="63">
        <v>0</v>
      </c>
      <c r="E290" s="63">
        <v>0.01</v>
      </c>
      <c r="F290" s="63">
        <v>9.9999999999999995E-8</v>
      </c>
      <c r="G290" s="63" t="s">
        <v>6</v>
      </c>
      <c r="H290" s="63" t="s">
        <v>5</v>
      </c>
      <c r="I290" s="63">
        <v>1E-3</v>
      </c>
      <c r="J290" s="63">
        <v>0.04</v>
      </c>
      <c r="K290" s="63" t="s">
        <v>10</v>
      </c>
      <c r="L290" s="63">
        <v>4.5</v>
      </c>
      <c r="M290" s="63">
        <v>312.16000000000003</v>
      </c>
      <c r="N290" s="63">
        <v>4.3853</v>
      </c>
      <c r="O290" s="64">
        <v>312.11</v>
      </c>
    </row>
    <row r="291" spans="1:15" x14ac:dyDescent="0.25">
      <c r="A291" s="114" t="s">
        <v>950</v>
      </c>
      <c r="B291" s="63" t="s">
        <v>52</v>
      </c>
      <c r="C291" s="63" t="s">
        <v>8</v>
      </c>
      <c r="D291" s="63">
        <v>0</v>
      </c>
      <c r="E291" s="63">
        <v>0.01</v>
      </c>
      <c r="F291" s="63">
        <v>9.9999999999999995E-8</v>
      </c>
      <c r="G291" s="63" t="s">
        <v>6</v>
      </c>
      <c r="H291" s="63" t="s">
        <v>5</v>
      </c>
      <c r="I291" s="63">
        <v>0.04</v>
      </c>
      <c r="J291" s="63">
        <v>1</v>
      </c>
      <c r="K291" s="63" t="s">
        <v>10</v>
      </c>
      <c r="L291" s="63">
        <v>3</v>
      </c>
      <c r="M291" s="63">
        <v>162.76</v>
      </c>
      <c r="N291" s="63">
        <v>2.9731000000000001</v>
      </c>
      <c r="O291" s="64">
        <v>162.66999999999999</v>
      </c>
    </row>
    <row r="292" spans="1:15" x14ac:dyDescent="0.25">
      <c r="A292" s="114" t="s">
        <v>947</v>
      </c>
      <c r="B292" s="63" t="s">
        <v>52</v>
      </c>
      <c r="C292" s="63" t="s">
        <v>8</v>
      </c>
      <c r="D292" s="63">
        <v>0</v>
      </c>
      <c r="E292" s="63">
        <v>0.01</v>
      </c>
      <c r="F292" s="63">
        <v>9.9999999999999995E-8</v>
      </c>
      <c r="G292" s="63" t="s">
        <v>6</v>
      </c>
      <c r="H292" s="63" t="s">
        <v>5</v>
      </c>
      <c r="I292" s="63">
        <v>1</v>
      </c>
      <c r="J292" s="63">
        <v>20</v>
      </c>
      <c r="K292" s="63" t="s">
        <v>10</v>
      </c>
      <c r="L292" s="63">
        <v>3.1</v>
      </c>
      <c r="M292" s="63">
        <v>250</v>
      </c>
      <c r="N292" s="63">
        <v>3.0556000000000001</v>
      </c>
      <c r="O292" s="64">
        <v>254.12</v>
      </c>
    </row>
    <row r="293" spans="1:15" x14ac:dyDescent="0.25">
      <c r="A293" s="114" t="s">
        <v>949</v>
      </c>
      <c r="B293" s="63" t="s">
        <v>52</v>
      </c>
      <c r="C293" s="63" t="s">
        <v>8</v>
      </c>
      <c r="D293" s="63">
        <v>0</v>
      </c>
      <c r="E293" s="63">
        <v>0.01</v>
      </c>
      <c r="F293" s="63">
        <v>9.9999999999999995E-8</v>
      </c>
      <c r="G293" s="63" t="s">
        <v>6</v>
      </c>
      <c r="H293" s="63" t="s">
        <v>5</v>
      </c>
      <c r="I293" s="63">
        <v>20</v>
      </c>
      <c r="J293" s="63">
        <v>50</v>
      </c>
      <c r="K293" s="63" t="s">
        <v>10</v>
      </c>
      <c r="L293" s="63">
        <v>5.6</v>
      </c>
      <c r="M293" s="63">
        <v>839.02</v>
      </c>
      <c r="N293" s="63">
        <v>5.5362</v>
      </c>
      <c r="O293" s="64">
        <v>839.03</v>
      </c>
    </row>
    <row r="294" spans="1:15" x14ac:dyDescent="0.25">
      <c r="A294" s="114" t="s">
        <v>948</v>
      </c>
      <c r="B294" s="63" t="s">
        <v>52</v>
      </c>
      <c r="C294" s="63" t="s">
        <v>8</v>
      </c>
      <c r="D294" s="63">
        <v>0</v>
      </c>
      <c r="E294" s="63">
        <v>0.01</v>
      </c>
      <c r="F294" s="63">
        <v>9.9999999999999995E-8</v>
      </c>
      <c r="G294" s="63" t="s">
        <v>6</v>
      </c>
      <c r="H294" s="63" t="s">
        <v>5</v>
      </c>
      <c r="I294" s="63">
        <v>50</v>
      </c>
      <c r="J294" s="63">
        <v>100</v>
      </c>
      <c r="K294" s="63" t="s">
        <v>10</v>
      </c>
      <c r="L294" s="63">
        <v>8.8000000000000007</v>
      </c>
      <c r="M294" s="63">
        <v>5147.5</v>
      </c>
      <c r="N294" s="63">
        <v>8.3102999999999998</v>
      </c>
      <c r="O294" s="64">
        <v>5147.5</v>
      </c>
    </row>
    <row r="295" spans="1:15" x14ac:dyDescent="0.25">
      <c r="A295" s="114" t="s">
        <v>943</v>
      </c>
      <c r="B295" s="63" t="s">
        <v>52</v>
      </c>
      <c r="C295" s="63" t="s">
        <v>8</v>
      </c>
      <c r="D295" s="63">
        <v>0</v>
      </c>
      <c r="E295" s="63">
        <v>0.01</v>
      </c>
      <c r="F295" s="63">
        <v>9.9999999999999995E-8</v>
      </c>
      <c r="G295" s="63" t="s">
        <v>6</v>
      </c>
      <c r="H295" s="63" t="s">
        <v>5</v>
      </c>
      <c r="I295" s="63">
        <v>100</v>
      </c>
      <c r="J295" s="63">
        <v>300</v>
      </c>
      <c r="K295" s="63" t="s">
        <v>10</v>
      </c>
      <c r="L295" s="63">
        <v>4.2</v>
      </c>
      <c r="M295" s="63">
        <v>46000</v>
      </c>
      <c r="N295" s="63">
        <v>2.8935</v>
      </c>
      <c r="O295" s="64">
        <v>46131</v>
      </c>
    </row>
    <row r="296" spans="1:15" x14ac:dyDescent="0.25">
      <c r="A296" s="114" t="s">
        <v>946</v>
      </c>
      <c r="B296" s="63" t="s">
        <v>52</v>
      </c>
      <c r="C296" s="63" t="s">
        <v>8</v>
      </c>
      <c r="D296" s="63">
        <v>0</v>
      </c>
      <c r="E296" s="63">
        <v>0.01</v>
      </c>
      <c r="F296" s="63">
        <v>9.9999999999999995E-8</v>
      </c>
      <c r="G296" s="63" t="s">
        <v>6</v>
      </c>
      <c r="H296" s="63" t="s">
        <v>5</v>
      </c>
      <c r="I296" s="63">
        <v>300</v>
      </c>
      <c r="J296" s="63">
        <v>1000</v>
      </c>
      <c r="K296" s="63" t="s">
        <v>10</v>
      </c>
      <c r="L296" s="63">
        <v>18</v>
      </c>
      <c r="M296" s="63">
        <v>45496</v>
      </c>
      <c r="N296" s="63">
        <v>12.904</v>
      </c>
      <c r="O296" s="64">
        <v>45496</v>
      </c>
    </row>
    <row r="297" spans="1:15" x14ac:dyDescent="0.25">
      <c r="A297" s="114" t="s">
        <v>951</v>
      </c>
      <c r="B297" s="63" t="s">
        <v>52</v>
      </c>
      <c r="C297" s="63" t="s">
        <v>8</v>
      </c>
      <c r="D297" s="63">
        <v>0</v>
      </c>
      <c r="E297" s="63">
        <v>0.01</v>
      </c>
      <c r="F297" s="63">
        <v>9.9999999999999995E-8</v>
      </c>
      <c r="G297" s="63" t="s">
        <v>6</v>
      </c>
      <c r="H297" s="63" t="s">
        <v>5</v>
      </c>
      <c r="I297" s="63">
        <v>1000</v>
      </c>
      <c r="J297" s="63">
        <v>4000</v>
      </c>
      <c r="K297" s="63" t="s">
        <v>10</v>
      </c>
      <c r="L297" s="63">
        <v>23</v>
      </c>
      <c r="M297" s="63">
        <v>79583</v>
      </c>
      <c r="N297" s="63">
        <v>22.678999999999998</v>
      </c>
      <c r="O297" s="64">
        <v>79411</v>
      </c>
    </row>
    <row r="298" spans="1:15" x14ac:dyDescent="0.25">
      <c r="A298" s="114" t="s">
        <v>944</v>
      </c>
      <c r="B298" s="63" t="s">
        <v>52</v>
      </c>
      <c r="C298" s="63" t="s">
        <v>8</v>
      </c>
      <c r="D298" s="63">
        <v>0</v>
      </c>
      <c r="E298" s="63">
        <v>0.01</v>
      </c>
      <c r="F298" s="63">
        <v>9.9999999999999995E-8</v>
      </c>
      <c r="G298" s="63" t="s">
        <v>6</v>
      </c>
      <c r="H298" s="63" t="s">
        <v>5</v>
      </c>
      <c r="I298" s="63">
        <v>4000</v>
      </c>
      <c r="J298" s="63">
        <v>8000</v>
      </c>
      <c r="K298" s="63" t="s">
        <v>10</v>
      </c>
      <c r="L298" s="63">
        <v>31</v>
      </c>
      <c r="M298" s="63">
        <v>228990</v>
      </c>
      <c r="N298" s="63">
        <v>30.12</v>
      </c>
      <c r="O298" s="64">
        <v>228890</v>
      </c>
    </row>
    <row r="299" spans="1:15" x14ac:dyDescent="0.25">
      <c r="A299" s="114" t="s">
        <v>991</v>
      </c>
      <c r="B299" s="63" t="s">
        <v>52</v>
      </c>
      <c r="C299" s="63" t="s">
        <v>8</v>
      </c>
      <c r="D299" s="63">
        <v>0.01</v>
      </c>
      <c r="E299" s="63">
        <v>0.1</v>
      </c>
      <c r="F299" s="63">
        <v>9.9999999999999995E-8</v>
      </c>
      <c r="G299" s="63" t="s">
        <v>6</v>
      </c>
      <c r="H299" s="63" t="s">
        <v>5</v>
      </c>
      <c r="I299" s="63">
        <v>1E-3</v>
      </c>
      <c r="J299" s="63">
        <v>0.04</v>
      </c>
      <c r="K299" s="63" t="s">
        <v>10</v>
      </c>
      <c r="L299" s="63">
        <v>5.4</v>
      </c>
      <c r="M299" s="63">
        <v>83.165999999999997</v>
      </c>
      <c r="N299" s="63">
        <v>5.3163</v>
      </c>
      <c r="O299" s="64">
        <v>83.162999999999997</v>
      </c>
    </row>
    <row r="300" spans="1:15" x14ac:dyDescent="0.25">
      <c r="A300" s="114" t="s">
        <v>993</v>
      </c>
      <c r="B300" s="63" t="s">
        <v>52</v>
      </c>
      <c r="C300" s="63" t="s">
        <v>8</v>
      </c>
      <c r="D300" s="63">
        <v>0.01</v>
      </c>
      <c r="E300" s="63">
        <v>0.1</v>
      </c>
      <c r="F300" s="63">
        <v>9.9999999999999995E-8</v>
      </c>
      <c r="G300" s="63" t="s">
        <v>6</v>
      </c>
      <c r="H300" s="63" t="s">
        <v>5</v>
      </c>
      <c r="I300" s="63">
        <v>0.04</v>
      </c>
      <c r="J300" s="63">
        <v>1</v>
      </c>
      <c r="K300" s="63" t="s">
        <v>10</v>
      </c>
      <c r="L300" s="63">
        <v>3.5</v>
      </c>
      <c r="M300" s="63">
        <v>80.683999999999997</v>
      </c>
      <c r="N300" s="63">
        <v>3.4434</v>
      </c>
      <c r="O300" s="64">
        <v>80.682000000000002</v>
      </c>
    </row>
    <row r="301" spans="1:15" x14ac:dyDescent="0.25">
      <c r="A301" s="114" t="s">
        <v>995</v>
      </c>
      <c r="B301" s="63" t="s">
        <v>52</v>
      </c>
      <c r="C301" s="63" t="s">
        <v>8</v>
      </c>
      <c r="D301" s="63">
        <v>0.01</v>
      </c>
      <c r="E301" s="63">
        <v>0.1</v>
      </c>
      <c r="F301" s="63">
        <v>9.9999999999999995E-8</v>
      </c>
      <c r="G301" s="63" t="s">
        <v>6</v>
      </c>
      <c r="H301" s="63" t="s">
        <v>5</v>
      </c>
      <c r="I301" s="63">
        <v>1</v>
      </c>
      <c r="J301" s="63">
        <v>20</v>
      </c>
      <c r="K301" s="63" t="s">
        <v>10</v>
      </c>
      <c r="L301" s="63">
        <v>3.4</v>
      </c>
      <c r="M301" s="63">
        <v>157.72</v>
      </c>
      <c r="N301" s="63">
        <v>3.3552</v>
      </c>
      <c r="O301" s="64">
        <v>157.72</v>
      </c>
    </row>
    <row r="302" spans="1:15" x14ac:dyDescent="0.25">
      <c r="A302" s="114" t="s">
        <v>992</v>
      </c>
      <c r="B302" s="63" t="s">
        <v>52</v>
      </c>
      <c r="C302" s="63" t="s">
        <v>8</v>
      </c>
      <c r="D302" s="63">
        <v>0.01</v>
      </c>
      <c r="E302" s="63">
        <v>0.1</v>
      </c>
      <c r="F302" s="63">
        <v>9.9999999999999995E-8</v>
      </c>
      <c r="G302" s="63" t="s">
        <v>6</v>
      </c>
      <c r="H302" s="63" t="s">
        <v>5</v>
      </c>
      <c r="I302" s="63">
        <v>20</v>
      </c>
      <c r="J302" s="63">
        <v>50</v>
      </c>
      <c r="K302" s="63" t="s">
        <v>10</v>
      </c>
      <c r="L302" s="63">
        <v>4.7</v>
      </c>
      <c r="M302" s="63">
        <v>327.36</v>
      </c>
      <c r="N302" s="63">
        <v>4.6691000000000003</v>
      </c>
      <c r="O302" s="64">
        <v>326.81</v>
      </c>
    </row>
    <row r="303" spans="1:15" x14ac:dyDescent="0.25">
      <c r="A303" s="114" t="s">
        <v>997</v>
      </c>
      <c r="B303" s="63" t="s">
        <v>52</v>
      </c>
      <c r="C303" s="63" t="s">
        <v>8</v>
      </c>
      <c r="D303" s="63">
        <v>0.01</v>
      </c>
      <c r="E303" s="63">
        <v>0.1</v>
      </c>
      <c r="F303" s="63">
        <v>9.9999999999999995E-8</v>
      </c>
      <c r="G303" s="63" t="s">
        <v>6</v>
      </c>
      <c r="H303" s="63" t="s">
        <v>5</v>
      </c>
      <c r="I303" s="63">
        <v>50</v>
      </c>
      <c r="J303" s="63">
        <v>100</v>
      </c>
      <c r="K303" s="63" t="s">
        <v>10</v>
      </c>
      <c r="L303" s="63">
        <v>6</v>
      </c>
      <c r="M303" s="63">
        <v>906.02</v>
      </c>
      <c r="N303" s="63">
        <v>5.9729999999999999</v>
      </c>
      <c r="O303" s="64">
        <v>906.03</v>
      </c>
    </row>
    <row r="304" spans="1:15" x14ac:dyDescent="0.25">
      <c r="A304" s="114" t="s">
        <v>2220</v>
      </c>
      <c r="B304" s="63" t="s">
        <v>52</v>
      </c>
      <c r="C304" s="63" t="s">
        <v>8</v>
      </c>
      <c r="D304" s="63">
        <v>0.01</v>
      </c>
      <c r="E304" s="63">
        <v>0.1</v>
      </c>
      <c r="F304" s="63">
        <v>9.9999999999999995E-8</v>
      </c>
      <c r="G304" s="63" t="s">
        <v>6</v>
      </c>
      <c r="H304" s="63" t="s">
        <v>5</v>
      </c>
      <c r="I304" s="63">
        <v>100</v>
      </c>
      <c r="J304" s="63">
        <v>300</v>
      </c>
      <c r="K304" s="63" t="s">
        <v>10</v>
      </c>
      <c r="L304" s="63">
        <v>12</v>
      </c>
      <c r="M304" s="63">
        <v>3500</v>
      </c>
      <c r="N304" s="63">
        <v>11.521000000000001</v>
      </c>
      <c r="O304" s="64">
        <v>3476.1</v>
      </c>
    </row>
    <row r="305" spans="1:15" x14ac:dyDescent="0.25">
      <c r="A305" s="114" t="s">
        <v>998</v>
      </c>
      <c r="B305" s="63" t="s">
        <v>52</v>
      </c>
      <c r="C305" s="63" t="s">
        <v>8</v>
      </c>
      <c r="D305" s="63">
        <v>0.01</v>
      </c>
      <c r="E305" s="63">
        <v>0.1</v>
      </c>
      <c r="F305" s="63">
        <v>9.9999999999999995E-8</v>
      </c>
      <c r="G305" s="63" t="s">
        <v>6</v>
      </c>
      <c r="H305" s="63" t="s">
        <v>5</v>
      </c>
      <c r="I305" s="63">
        <v>300</v>
      </c>
      <c r="J305" s="63">
        <v>1000</v>
      </c>
      <c r="K305" s="63" t="s">
        <v>10</v>
      </c>
      <c r="L305" s="63">
        <v>12</v>
      </c>
      <c r="M305" s="63">
        <v>12000</v>
      </c>
      <c r="N305" s="63">
        <v>11.521000000000001</v>
      </c>
      <c r="O305" s="64">
        <v>11631</v>
      </c>
    </row>
    <row r="306" spans="1:15" x14ac:dyDescent="0.25">
      <c r="A306" s="114" t="s">
        <v>1000</v>
      </c>
      <c r="B306" s="63" t="s">
        <v>52</v>
      </c>
      <c r="C306" s="63" t="s">
        <v>8</v>
      </c>
      <c r="D306" s="63">
        <v>0.01</v>
      </c>
      <c r="E306" s="63">
        <v>0.1</v>
      </c>
      <c r="F306" s="63">
        <v>9.9999999999999995E-8</v>
      </c>
      <c r="G306" s="63" t="s">
        <v>6</v>
      </c>
      <c r="H306" s="63" t="s">
        <v>5</v>
      </c>
      <c r="I306" s="63">
        <v>1000</v>
      </c>
      <c r="J306" s="63">
        <v>2000</v>
      </c>
      <c r="K306" s="63" t="s">
        <v>10</v>
      </c>
      <c r="L306" s="63">
        <v>53</v>
      </c>
      <c r="M306" s="63">
        <v>17054</v>
      </c>
      <c r="N306" s="63">
        <v>11.488</v>
      </c>
      <c r="O306" s="64">
        <v>17414</v>
      </c>
    </row>
    <row r="307" spans="1:15" x14ac:dyDescent="0.25">
      <c r="A307" s="114" t="s">
        <v>994</v>
      </c>
      <c r="B307" s="63" t="s">
        <v>52</v>
      </c>
      <c r="C307" s="63" t="s">
        <v>8</v>
      </c>
      <c r="D307" s="63">
        <v>0.01</v>
      </c>
      <c r="E307" s="63">
        <v>0.1</v>
      </c>
      <c r="F307" s="63">
        <v>9.9999999999999995E-8</v>
      </c>
      <c r="G307" s="63" t="s">
        <v>6</v>
      </c>
      <c r="H307" s="63" t="s">
        <v>5</v>
      </c>
      <c r="I307" s="63">
        <v>2000</v>
      </c>
      <c r="J307" s="63">
        <v>4000</v>
      </c>
      <c r="K307" s="63" t="s">
        <v>10</v>
      </c>
      <c r="L307" s="63">
        <v>110</v>
      </c>
      <c r="M307" s="63">
        <v>46000</v>
      </c>
      <c r="N307" s="63">
        <v>80.778000000000006</v>
      </c>
      <c r="O307" s="64">
        <v>46223</v>
      </c>
    </row>
    <row r="308" spans="1:15" x14ac:dyDescent="0.25">
      <c r="A308" s="114" t="s">
        <v>999</v>
      </c>
      <c r="B308" s="63" t="s">
        <v>52</v>
      </c>
      <c r="C308" s="63" t="s">
        <v>8</v>
      </c>
      <c r="D308" s="63">
        <v>0.01</v>
      </c>
      <c r="E308" s="63">
        <v>0.1</v>
      </c>
      <c r="F308" s="63">
        <v>9.9999999999999995E-8</v>
      </c>
      <c r="G308" s="63" t="s">
        <v>6</v>
      </c>
      <c r="H308" s="63" t="s">
        <v>5</v>
      </c>
      <c r="I308" s="63">
        <v>4000</v>
      </c>
      <c r="J308" s="63">
        <v>8000</v>
      </c>
      <c r="K308" s="63" t="s">
        <v>10</v>
      </c>
      <c r="L308" s="63">
        <v>120</v>
      </c>
      <c r="M308" s="63">
        <v>46000</v>
      </c>
      <c r="N308" s="63">
        <v>92.256</v>
      </c>
      <c r="O308" s="64">
        <v>46261</v>
      </c>
    </row>
    <row r="309" spans="1:15" x14ac:dyDescent="0.25">
      <c r="A309" s="114" t="s">
        <v>996</v>
      </c>
      <c r="B309" s="63" t="s">
        <v>52</v>
      </c>
      <c r="C309" s="63" t="s">
        <v>8</v>
      </c>
      <c r="D309" s="63">
        <v>0.01</v>
      </c>
      <c r="E309" s="63">
        <v>0.1</v>
      </c>
      <c r="F309" s="63">
        <v>9.9999999999999995E-8</v>
      </c>
      <c r="G309" s="63" t="s">
        <v>6</v>
      </c>
      <c r="H309" s="63" t="s">
        <v>5</v>
      </c>
      <c r="I309" s="63">
        <v>8000</v>
      </c>
      <c r="J309" s="63">
        <v>10000</v>
      </c>
      <c r="K309" s="63" t="s">
        <v>10</v>
      </c>
      <c r="L309" s="63">
        <v>450</v>
      </c>
      <c r="M309" s="63">
        <v>170030</v>
      </c>
      <c r="N309" s="63">
        <v>115.4</v>
      </c>
      <c r="O309" s="64">
        <v>173280</v>
      </c>
    </row>
    <row r="310" spans="1:15" x14ac:dyDescent="0.25">
      <c r="A310" s="114" t="s">
        <v>2221</v>
      </c>
      <c r="B310" s="63" t="s">
        <v>52</v>
      </c>
      <c r="C310" s="63" t="s">
        <v>8</v>
      </c>
      <c r="D310" s="63">
        <v>0.1</v>
      </c>
      <c r="E310" s="63">
        <v>1</v>
      </c>
      <c r="F310" s="63">
        <v>9.9999999999999995E-8</v>
      </c>
      <c r="G310" s="63" t="s">
        <v>6</v>
      </c>
      <c r="H310" s="63" t="s">
        <v>5</v>
      </c>
      <c r="I310" s="63">
        <v>1E-3</v>
      </c>
      <c r="J310" s="63">
        <v>0.04</v>
      </c>
      <c r="K310" s="63" t="s">
        <v>10</v>
      </c>
      <c r="L310" s="63">
        <v>47</v>
      </c>
      <c r="M310" s="63">
        <v>82</v>
      </c>
      <c r="N310" s="63">
        <v>80.62</v>
      </c>
      <c r="O310" s="64">
        <v>80.62</v>
      </c>
    </row>
    <row r="311" spans="1:15" x14ac:dyDescent="0.25">
      <c r="A311" s="114" t="s">
        <v>1039</v>
      </c>
      <c r="B311" s="63" t="s">
        <v>52</v>
      </c>
      <c r="C311" s="63" t="s">
        <v>8</v>
      </c>
      <c r="D311" s="63">
        <v>0.1</v>
      </c>
      <c r="E311" s="63">
        <v>1</v>
      </c>
      <c r="F311" s="63">
        <v>9.9999999999999995E-8</v>
      </c>
      <c r="G311" s="63" t="s">
        <v>6</v>
      </c>
      <c r="H311" s="63" t="s">
        <v>5</v>
      </c>
      <c r="I311" s="63">
        <v>0.04</v>
      </c>
      <c r="J311" s="63">
        <v>1</v>
      </c>
      <c r="K311" s="63" t="s">
        <v>10</v>
      </c>
      <c r="L311" s="63">
        <v>24</v>
      </c>
      <c r="M311" s="63">
        <v>82</v>
      </c>
      <c r="N311" s="63">
        <v>23.524000000000001</v>
      </c>
      <c r="O311" s="64">
        <v>80.444999999999993</v>
      </c>
    </row>
    <row r="312" spans="1:15" x14ac:dyDescent="0.25">
      <c r="A312" s="114" t="s">
        <v>1033</v>
      </c>
      <c r="B312" s="63" t="s">
        <v>52</v>
      </c>
      <c r="C312" s="63" t="s">
        <v>8</v>
      </c>
      <c r="D312" s="63">
        <v>0.1</v>
      </c>
      <c r="E312" s="63">
        <v>1</v>
      </c>
      <c r="F312" s="63">
        <v>9.9999999999999995E-8</v>
      </c>
      <c r="G312" s="63" t="s">
        <v>6</v>
      </c>
      <c r="H312" s="63" t="s">
        <v>5</v>
      </c>
      <c r="I312" s="63">
        <v>1</v>
      </c>
      <c r="J312" s="63">
        <v>20</v>
      </c>
      <c r="K312" s="63" t="s">
        <v>10</v>
      </c>
      <c r="L312" s="63">
        <v>26</v>
      </c>
      <c r="M312" s="63">
        <v>160</v>
      </c>
      <c r="N312" s="63">
        <v>23.437999999999999</v>
      </c>
      <c r="O312" s="64">
        <v>161.34</v>
      </c>
    </row>
    <row r="313" spans="1:15" x14ac:dyDescent="0.25">
      <c r="A313" s="114" t="s">
        <v>1035</v>
      </c>
      <c r="B313" s="63" t="s">
        <v>52</v>
      </c>
      <c r="C313" s="63" t="s">
        <v>8</v>
      </c>
      <c r="D313" s="63">
        <v>0.1</v>
      </c>
      <c r="E313" s="63">
        <v>1</v>
      </c>
      <c r="F313" s="63">
        <v>9.9999999999999995E-8</v>
      </c>
      <c r="G313" s="63" t="s">
        <v>6</v>
      </c>
      <c r="H313" s="63" t="s">
        <v>5</v>
      </c>
      <c r="I313" s="63">
        <v>20</v>
      </c>
      <c r="J313" s="63">
        <v>50</v>
      </c>
      <c r="K313" s="63" t="s">
        <v>10</v>
      </c>
      <c r="L313" s="63">
        <v>24</v>
      </c>
      <c r="M313" s="63">
        <v>350</v>
      </c>
      <c r="N313" s="63">
        <v>23.379000000000001</v>
      </c>
      <c r="O313" s="64">
        <v>346.14</v>
      </c>
    </row>
    <row r="314" spans="1:15" x14ac:dyDescent="0.25">
      <c r="A314" s="114" t="s">
        <v>2222</v>
      </c>
      <c r="B314" s="63" t="s">
        <v>52</v>
      </c>
      <c r="C314" s="63" t="s">
        <v>8</v>
      </c>
      <c r="D314" s="63">
        <v>0.1</v>
      </c>
      <c r="E314" s="63">
        <v>1</v>
      </c>
      <c r="F314" s="63">
        <v>9.9999999999999995E-8</v>
      </c>
      <c r="G314" s="63" t="s">
        <v>6</v>
      </c>
      <c r="H314" s="63" t="s">
        <v>5</v>
      </c>
      <c r="I314" s="63">
        <v>50</v>
      </c>
      <c r="J314" s="63">
        <v>100</v>
      </c>
      <c r="K314" s="63" t="s">
        <v>10</v>
      </c>
      <c r="L314" s="63">
        <v>27</v>
      </c>
      <c r="M314" s="63">
        <v>940</v>
      </c>
      <c r="N314" s="63">
        <v>23.140999999999998</v>
      </c>
      <c r="O314" s="64">
        <v>938.86</v>
      </c>
    </row>
    <row r="315" spans="1:15" x14ac:dyDescent="0.25">
      <c r="A315" s="114" t="s">
        <v>1036</v>
      </c>
      <c r="B315" s="63" t="s">
        <v>52</v>
      </c>
      <c r="C315" s="63" t="s">
        <v>8</v>
      </c>
      <c r="D315" s="63">
        <v>0.1</v>
      </c>
      <c r="E315" s="63">
        <v>1</v>
      </c>
      <c r="F315" s="63">
        <v>9.9999999999999995E-8</v>
      </c>
      <c r="G315" s="63" t="s">
        <v>6</v>
      </c>
      <c r="H315" s="63" t="s">
        <v>5</v>
      </c>
      <c r="I315" s="63">
        <v>100</v>
      </c>
      <c r="J315" s="63">
        <v>300</v>
      </c>
      <c r="K315" s="63" t="s">
        <v>10</v>
      </c>
      <c r="L315" s="63">
        <v>120</v>
      </c>
      <c r="M315" s="63">
        <v>3500</v>
      </c>
      <c r="N315" s="63">
        <v>116.46</v>
      </c>
      <c r="O315" s="64">
        <v>3463.3</v>
      </c>
    </row>
    <row r="316" spans="1:15" x14ac:dyDescent="0.25">
      <c r="A316" s="114" t="s">
        <v>1032</v>
      </c>
      <c r="B316" s="63" t="s">
        <v>52</v>
      </c>
      <c r="C316" s="63" t="s">
        <v>8</v>
      </c>
      <c r="D316" s="63">
        <v>0.1</v>
      </c>
      <c r="E316" s="63">
        <v>1</v>
      </c>
      <c r="F316" s="63">
        <v>9.9999999999999995E-8</v>
      </c>
      <c r="G316" s="63" t="s">
        <v>6</v>
      </c>
      <c r="H316" s="63" t="s">
        <v>5</v>
      </c>
      <c r="I316" s="63">
        <v>1000</v>
      </c>
      <c r="J316" s="63">
        <v>2000</v>
      </c>
      <c r="K316" s="63" t="s">
        <v>10</v>
      </c>
      <c r="L316" s="63">
        <v>590</v>
      </c>
      <c r="M316" s="63">
        <v>17000</v>
      </c>
      <c r="N316" s="63">
        <v>108.37</v>
      </c>
      <c r="O316" s="64">
        <v>17479</v>
      </c>
    </row>
    <row r="317" spans="1:15" x14ac:dyDescent="0.25">
      <c r="A317" s="114" t="s">
        <v>1038</v>
      </c>
      <c r="B317" s="63" t="s">
        <v>52</v>
      </c>
      <c r="C317" s="63" t="s">
        <v>8</v>
      </c>
      <c r="D317" s="63">
        <v>0.1</v>
      </c>
      <c r="E317" s="63">
        <v>1</v>
      </c>
      <c r="F317" s="63">
        <v>9.9999999999999995E-8</v>
      </c>
      <c r="G317" s="63" t="s">
        <v>6</v>
      </c>
      <c r="H317" s="63" t="s">
        <v>4</v>
      </c>
      <c r="I317" s="63">
        <v>2000</v>
      </c>
      <c r="J317" s="63">
        <v>4000</v>
      </c>
      <c r="K317" s="63" t="s">
        <v>10</v>
      </c>
      <c r="L317" s="63">
        <v>1.2</v>
      </c>
      <c r="M317" s="63">
        <v>46</v>
      </c>
      <c r="N317" s="63">
        <v>0.80071999999999999</v>
      </c>
      <c r="O317" s="64">
        <v>46.326000000000001</v>
      </c>
    </row>
    <row r="318" spans="1:15" x14ac:dyDescent="0.25">
      <c r="A318" s="114" t="s">
        <v>1034</v>
      </c>
      <c r="B318" s="63" t="s">
        <v>52</v>
      </c>
      <c r="C318" s="63" t="s">
        <v>8</v>
      </c>
      <c r="D318" s="63">
        <v>0.1</v>
      </c>
      <c r="E318" s="63">
        <v>1</v>
      </c>
      <c r="F318" s="63">
        <v>9.9999999999999995E-8</v>
      </c>
      <c r="G318" s="63" t="s">
        <v>6</v>
      </c>
      <c r="H318" s="63" t="s">
        <v>4</v>
      </c>
      <c r="I318" s="63">
        <v>4000</v>
      </c>
      <c r="J318" s="63">
        <v>8000</v>
      </c>
      <c r="K318" s="63" t="s">
        <v>10</v>
      </c>
      <c r="L318" s="63">
        <v>1.3</v>
      </c>
      <c r="M318" s="63">
        <v>46</v>
      </c>
      <c r="N318" s="63">
        <v>0.91605999999999999</v>
      </c>
      <c r="O318" s="64">
        <v>46.326000000000001</v>
      </c>
    </row>
    <row r="319" spans="1:15" x14ac:dyDescent="0.25">
      <c r="A319" s="114" t="s">
        <v>1037</v>
      </c>
      <c r="B319" s="63" t="s">
        <v>52</v>
      </c>
      <c r="C319" s="63" t="s">
        <v>8</v>
      </c>
      <c r="D319" s="63">
        <v>0.1</v>
      </c>
      <c r="E319" s="63">
        <v>1</v>
      </c>
      <c r="F319" s="63">
        <v>9.9999999999999995E-8</v>
      </c>
      <c r="G319" s="63" t="s">
        <v>6</v>
      </c>
      <c r="H319" s="63" t="s">
        <v>4</v>
      </c>
      <c r="I319" s="63">
        <v>8000</v>
      </c>
      <c r="J319" s="63">
        <v>10000</v>
      </c>
      <c r="K319" s="63" t="s">
        <v>10</v>
      </c>
      <c r="L319" s="63">
        <v>4.5999999999999996</v>
      </c>
      <c r="M319" s="63">
        <v>170</v>
      </c>
      <c r="N319" s="63">
        <v>1.1459999999999999</v>
      </c>
      <c r="O319" s="64">
        <v>173.36</v>
      </c>
    </row>
    <row r="320" spans="1:15" x14ac:dyDescent="0.25">
      <c r="A320" s="114" t="s">
        <v>955</v>
      </c>
      <c r="B320" s="63" t="s">
        <v>52</v>
      </c>
      <c r="C320" s="63" t="s">
        <v>8</v>
      </c>
      <c r="D320" s="63">
        <v>0</v>
      </c>
      <c r="E320" s="63">
        <v>0.01</v>
      </c>
      <c r="F320" s="63">
        <v>9.9999999999999995E-7</v>
      </c>
      <c r="G320" s="63" t="s">
        <v>6</v>
      </c>
      <c r="H320" s="63" t="s">
        <v>5</v>
      </c>
      <c r="I320" s="63">
        <v>1E-3</v>
      </c>
      <c r="J320" s="63">
        <v>0.04</v>
      </c>
      <c r="K320" s="63" t="s">
        <v>10</v>
      </c>
      <c r="L320" s="63">
        <v>4.5</v>
      </c>
      <c r="M320" s="63">
        <v>310.77</v>
      </c>
      <c r="N320" s="63">
        <v>4.4226000000000001</v>
      </c>
      <c r="O320" s="64">
        <v>310.57</v>
      </c>
    </row>
    <row r="321" spans="1:15" x14ac:dyDescent="0.25">
      <c r="A321" s="114" t="s">
        <v>2223</v>
      </c>
      <c r="B321" s="63" t="s">
        <v>52</v>
      </c>
      <c r="C321" s="63" t="s">
        <v>8</v>
      </c>
      <c r="D321" s="63">
        <v>0</v>
      </c>
      <c r="E321" s="63">
        <v>0.01</v>
      </c>
      <c r="F321" s="63">
        <v>9.9999999999999995E-7</v>
      </c>
      <c r="G321" s="63" t="s">
        <v>6</v>
      </c>
      <c r="H321" s="63" t="s">
        <v>5</v>
      </c>
      <c r="I321" s="63">
        <v>0.04</v>
      </c>
      <c r="J321" s="63">
        <v>1</v>
      </c>
      <c r="K321" s="63" t="s">
        <v>10</v>
      </c>
      <c r="L321" s="63">
        <v>3.0304000000000002</v>
      </c>
      <c r="M321" s="63">
        <v>161.11000000000001</v>
      </c>
      <c r="N321" s="63">
        <v>3.028</v>
      </c>
      <c r="O321" s="64">
        <v>160.75</v>
      </c>
    </row>
    <row r="322" spans="1:15" x14ac:dyDescent="0.25">
      <c r="A322" s="114" t="s">
        <v>953</v>
      </c>
      <c r="B322" s="63" t="s">
        <v>52</v>
      </c>
      <c r="C322" s="63" t="s">
        <v>8</v>
      </c>
      <c r="D322" s="63">
        <v>0</v>
      </c>
      <c r="E322" s="63">
        <v>0.01</v>
      </c>
      <c r="F322" s="63">
        <v>9.9999999999999995E-7</v>
      </c>
      <c r="G322" s="63" t="s">
        <v>6</v>
      </c>
      <c r="H322" s="63" t="s">
        <v>5</v>
      </c>
      <c r="I322" s="63">
        <v>1</v>
      </c>
      <c r="J322" s="63">
        <v>20</v>
      </c>
      <c r="K322" s="63" t="s">
        <v>10</v>
      </c>
      <c r="L322" s="63">
        <v>3.1118999999999999</v>
      </c>
      <c r="M322" s="63">
        <v>251.96</v>
      </c>
      <c r="N322" s="63">
        <v>3.1095999999999999</v>
      </c>
      <c r="O322" s="64">
        <v>251.7</v>
      </c>
    </row>
    <row r="323" spans="1:15" x14ac:dyDescent="0.25">
      <c r="A323" s="114" t="s">
        <v>956</v>
      </c>
      <c r="B323" s="63" t="s">
        <v>52</v>
      </c>
      <c r="C323" s="63" t="s">
        <v>8</v>
      </c>
      <c r="D323" s="63">
        <v>0</v>
      </c>
      <c r="E323" s="63">
        <v>0.01</v>
      </c>
      <c r="F323" s="63">
        <v>9.9999999999999995E-7</v>
      </c>
      <c r="G323" s="63" t="s">
        <v>6</v>
      </c>
      <c r="H323" s="63" t="s">
        <v>5</v>
      </c>
      <c r="I323" s="63">
        <v>20</v>
      </c>
      <c r="J323" s="63">
        <v>50</v>
      </c>
      <c r="K323" s="63" t="s">
        <v>10</v>
      </c>
      <c r="L323" s="63">
        <v>5.6</v>
      </c>
      <c r="M323" s="63">
        <v>837.24</v>
      </c>
      <c r="N323" s="63">
        <v>5.5655999999999999</v>
      </c>
      <c r="O323" s="64">
        <v>837.27</v>
      </c>
    </row>
    <row r="324" spans="1:15" x14ac:dyDescent="0.25">
      <c r="A324" s="114" t="s">
        <v>2224</v>
      </c>
      <c r="B324" s="63" t="s">
        <v>52</v>
      </c>
      <c r="C324" s="63" t="s">
        <v>8</v>
      </c>
      <c r="D324" s="63">
        <v>0</v>
      </c>
      <c r="E324" s="63">
        <v>0.01</v>
      </c>
      <c r="F324" s="63">
        <v>9.9999999999999995E-7</v>
      </c>
      <c r="G324" s="63" t="s">
        <v>6</v>
      </c>
      <c r="H324" s="63" t="s">
        <v>5</v>
      </c>
      <c r="I324" s="63">
        <v>50</v>
      </c>
      <c r="J324" s="63">
        <v>100</v>
      </c>
      <c r="K324" s="63" t="s">
        <v>10</v>
      </c>
      <c r="L324" s="63">
        <v>8.8000000000000007</v>
      </c>
      <c r="M324" s="63">
        <v>5145.7</v>
      </c>
      <c r="N324" s="63">
        <v>8.3291000000000004</v>
      </c>
      <c r="O324" s="64">
        <v>5145.8999999999996</v>
      </c>
    </row>
    <row r="325" spans="1:15" x14ac:dyDescent="0.25">
      <c r="A325" s="114" t="s">
        <v>954</v>
      </c>
      <c r="B325" s="63" t="s">
        <v>52</v>
      </c>
      <c r="C325" s="63" t="s">
        <v>8</v>
      </c>
      <c r="D325" s="63">
        <v>0</v>
      </c>
      <c r="E325" s="63">
        <v>0.01</v>
      </c>
      <c r="F325" s="63">
        <v>9.9999999999999995E-7</v>
      </c>
      <c r="G325" s="63" t="s">
        <v>6</v>
      </c>
      <c r="H325" s="63" t="s">
        <v>5</v>
      </c>
      <c r="I325" s="63">
        <v>100</v>
      </c>
      <c r="J325" s="63">
        <v>300</v>
      </c>
      <c r="K325" s="63" t="s">
        <v>10</v>
      </c>
      <c r="L325" s="63">
        <v>4.2004999999999999</v>
      </c>
      <c r="M325" s="63">
        <v>46000</v>
      </c>
      <c r="N325" s="63">
        <v>2.919</v>
      </c>
      <c r="O325" s="64">
        <v>46128</v>
      </c>
    </row>
    <row r="326" spans="1:15" x14ac:dyDescent="0.25">
      <c r="A326" s="114" t="s">
        <v>952</v>
      </c>
      <c r="B326" s="63" t="s">
        <v>52</v>
      </c>
      <c r="C326" s="63" t="s">
        <v>8</v>
      </c>
      <c r="D326" s="63">
        <v>0</v>
      </c>
      <c r="E326" s="63">
        <v>0.01</v>
      </c>
      <c r="F326" s="63">
        <v>9.9999999999999995E-7</v>
      </c>
      <c r="G326" s="63" t="s">
        <v>6</v>
      </c>
      <c r="H326" s="63" t="s">
        <v>5</v>
      </c>
      <c r="I326" s="63">
        <v>300</v>
      </c>
      <c r="J326" s="63">
        <v>1000</v>
      </c>
      <c r="K326" s="63" t="s">
        <v>10</v>
      </c>
      <c r="L326" s="63">
        <v>18</v>
      </c>
      <c r="M326" s="63">
        <v>45495</v>
      </c>
      <c r="N326" s="63">
        <v>12.914999999999999</v>
      </c>
      <c r="O326" s="64">
        <v>45495</v>
      </c>
    </row>
    <row r="327" spans="1:15" x14ac:dyDescent="0.25">
      <c r="A327" s="114" t="s">
        <v>957</v>
      </c>
      <c r="B327" s="63" t="s">
        <v>52</v>
      </c>
      <c r="C327" s="63" t="s">
        <v>8</v>
      </c>
      <c r="D327" s="63">
        <v>0</v>
      </c>
      <c r="E327" s="63">
        <v>0.01</v>
      </c>
      <c r="F327" s="63">
        <v>9.9999999999999995E-7</v>
      </c>
      <c r="G327" s="63" t="s">
        <v>6</v>
      </c>
      <c r="H327" s="63" t="s">
        <v>5</v>
      </c>
      <c r="I327" s="63">
        <v>1000</v>
      </c>
      <c r="J327" s="63">
        <v>4000</v>
      </c>
      <c r="K327" s="63" t="s">
        <v>10</v>
      </c>
      <c r="L327" s="63">
        <v>23</v>
      </c>
      <c r="M327" s="63">
        <v>79581</v>
      </c>
      <c r="N327" s="63">
        <v>22.687999999999999</v>
      </c>
      <c r="O327" s="64">
        <v>79410</v>
      </c>
    </row>
    <row r="328" spans="1:15" x14ac:dyDescent="0.25">
      <c r="A328" s="114" t="s">
        <v>2225</v>
      </c>
      <c r="B328" s="63" t="s">
        <v>52</v>
      </c>
      <c r="C328" s="63" t="s">
        <v>8</v>
      </c>
      <c r="D328" s="63">
        <v>0</v>
      </c>
      <c r="E328" s="63">
        <v>0.01</v>
      </c>
      <c r="F328" s="63">
        <v>9.9999999999999995E-7</v>
      </c>
      <c r="G328" s="63" t="s">
        <v>6</v>
      </c>
      <c r="H328" s="63" t="s">
        <v>5</v>
      </c>
      <c r="I328" s="63">
        <v>4000</v>
      </c>
      <c r="J328" s="63">
        <v>8000</v>
      </c>
      <c r="K328" s="63" t="s">
        <v>10</v>
      </c>
      <c r="L328" s="63">
        <v>31</v>
      </c>
      <c r="M328" s="63">
        <v>228990</v>
      </c>
      <c r="N328" s="63">
        <v>30.12</v>
      </c>
      <c r="O328" s="64">
        <v>228890</v>
      </c>
    </row>
    <row r="329" spans="1:15" x14ac:dyDescent="0.25">
      <c r="A329" s="114" t="s">
        <v>1002</v>
      </c>
      <c r="B329" s="63" t="s">
        <v>52</v>
      </c>
      <c r="C329" s="63" t="s">
        <v>8</v>
      </c>
      <c r="D329" s="63">
        <v>0.01</v>
      </c>
      <c r="E329" s="63">
        <v>0.1</v>
      </c>
      <c r="F329" s="63">
        <v>9.9999999999999995E-7</v>
      </c>
      <c r="G329" s="63" t="s">
        <v>6</v>
      </c>
      <c r="H329" s="63" t="s">
        <v>5</v>
      </c>
      <c r="I329" s="63">
        <v>1E-3</v>
      </c>
      <c r="J329" s="63">
        <v>0.04</v>
      </c>
      <c r="K329" s="63" t="s">
        <v>10</v>
      </c>
      <c r="L329" s="63">
        <v>5.4</v>
      </c>
      <c r="M329" s="63">
        <v>83.01</v>
      </c>
      <c r="N329" s="63">
        <v>5.3446999999999996</v>
      </c>
      <c r="O329" s="64">
        <v>83</v>
      </c>
    </row>
    <row r="330" spans="1:15" x14ac:dyDescent="0.25">
      <c r="A330" s="114" t="s">
        <v>1007</v>
      </c>
      <c r="B330" s="63" t="s">
        <v>52</v>
      </c>
      <c r="C330" s="63" t="s">
        <v>8</v>
      </c>
      <c r="D330" s="63">
        <v>0.01</v>
      </c>
      <c r="E330" s="63">
        <v>0.1</v>
      </c>
      <c r="F330" s="63">
        <v>9.9999999999999995E-7</v>
      </c>
      <c r="G330" s="63" t="s">
        <v>6</v>
      </c>
      <c r="H330" s="63" t="s">
        <v>5</v>
      </c>
      <c r="I330" s="63">
        <v>0.04</v>
      </c>
      <c r="J330" s="63">
        <v>1</v>
      </c>
      <c r="K330" s="63" t="s">
        <v>10</v>
      </c>
      <c r="L330" s="63">
        <v>3.5</v>
      </c>
      <c r="M330" s="63">
        <v>80.42</v>
      </c>
      <c r="N330" s="63">
        <v>3.4847999999999999</v>
      </c>
      <c r="O330" s="64">
        <v>80.411000000000001</v>
      </c>
    </row>
    <row r="331" spans="1:15" x14ac:dyDescent="0.25">
      <c r="A331" s="114" t="s">
        <v>2226</v>
      </c>
      <c r="B331" s="63" t="s">
        <v>52</v>
      </c>
      <c r="C331" s="63" t="s">
        <v>8</v>
      </c>
      <c r="D331" s="63">
        <v>0.01</v>
      </c>
      <c r="E331" s="63">
        <v>0.1</v>
      </c>
      <c r="F331" s="63">
        <v>9.9999999999999995E-7</v>
      </c>
      <c r="G331" s="63" t="s">
        <v>6</v>
      </c>
      <c r="H331" s="63" t="s">
        <v>5</v>
      </c>
      <c r="I331" s="63">
        <v>1</v>
      </c>
      <c r="J331" s="63">
        <v>20</v>
      </c>
      <c r="K331" s="63" t="s">
        <v>10</v>
      </c>
      <c r="L331" s="63">
        <v>3.4</v>
      </c>
      <c r="M331" s="63">
        <v>157.44999999999999</v>
      </c>
      <c r="N331" s="63">
        <v>3.3910999999999998</v>
      </c>
      <c r="O331" s="64">
        <v>157.44999999999999</v>
      </c>
    </row>
    <row r="332" spans="1:15" x14ac:dyDescent="0.25">
      <c r="A332" s="114" t="s">
        <v>1008</v>
      </c>
      <c r="B332" s="63" t="s">
        <v>52</v>
      </c>
      <c r="C332" s="63" t="s">
        <v>8</v>
      </c>
      <c r="D332" s="63">
        <v>0.01</v>
      </c>
      <c r="E332" s="63">
        <v>0.1</v>
      </c>
      <c r="F332" s="63">
        <v>9.9999999999999995E-7</v>
      </c>
      <c r="G332" s="63" t="s">
        <v>6</v>
      </c>
      <c r="H332" s="63" t="s">
        <v>5</v>
      </c>
      <c r="I332" s="63">
        <v>20</v>
      </c>
      <c r="J332" s="63">
        <v>50</v>
      </c>
      <c r="K332" s="63" t="s">
        <v>10</v>
      </c>
      <c r="L332" s="63">
        <v>4.7</v>
      </c>
      <c r="M332" s="63">
        <v>327.10000000000002</v>
      </c>
      <c r="N332" s="63">
        <v>4.6916000000000002</v>
      </c>
      <c r="O332" s="64">
        <v>326.63</v>
      </c>
    </row>
    <row r="333" spans="1:15" x14ac:dyDescent="0.25">
      <c r="A333" s="114" t="s">
        <v>2227</v>
      </c>
      <c r="B333" s="63" t="s">
        <v>52</v>
      </c>
      <c r="C333" s="63" t="s">
        <v>8</v>
      </c>
      <c r="D333" s="63">
        <v>0.01</v>
      </c>
      <c r="E333" s="63">
        <v>0.1</v>
      </c>
      <c r="F333" s="63">
        <v>9.9999999999999995E-7</v>
      </c>
      <c r="G333" s="63" t="s">
        <v>6</v>
      </c>
      <c r="H333" s="63" t="s">
        <v>5</v>
      </c>
      <c r="I333" s="63">
        <v>50</v>
      </c>
      <c r="J333" s="63">
        <v>100</v>
      </c>
      <c r="K333" s="63" t="s">
        <v>10</v>
      </c>
      <c r="L333" s="63">
        <v>6</v>
      </c>
      <c r="M333" s="63">
        <v>905.89</v>
      </c>
      <c r="N333" s="63">
        <v>5.9854000000000003</v>
      </c>
      <c r="O333" s="64">
        <v>905.92</v>
      </c>
    </row>
    <row r="334" spans="1:15" x14ac:dyDescent="0.25">
      <c r="A334" s="114" t="s">
        <v>1001</v>
      </c>
      <c r="B334" s="63" t="s">
        <v>52</v>
      </c>
      <c r="C334" s="63" t="s">
        <v>8</v>
      </c>
      <c r="D334" s="63">
        <v>0.01</v>
      </c>
      <c r="E334" s="63">
        <v>0.1</v>
      </c>
      <c r="F334" s="63">
        <v>9.9999999999999995E-7</v>
      </c>
      <c r="G334" s="63" t="s">
        <v>6</v>
      </c>
      <c r="H334" s="63" t="s">
        <v>5</v>
      </c>
      <c r="I334" s="63">
        <v>100</v>
      </c>
      <c r="J334" s="63">
        <v>300</v>
      </c>
      <c r="K334" s="63" t="s">
        <v>10</v>
      </c>
      <c r="L334" s="63">
        <v>12</v>
      </c>
      <c r="M334" s="63">
        <v>3500</v>
      </c>
      <c r="N334" s="63">
        <v>11.522</v>
      </c>
      <c r="O334" s="64">
        <v>3476.1</v>
      </c>
    </row>
    <row r="335" spans="1:15" x14ac:dyDescent="0.25">
      <c r="A335" s="114" t="s">
        <v>1005</v>
      </c>
      <c r="B335" s="63" t="s">
        <v>52</v>
      </c>
      <c r="C335" s="63" t="s">
        <v>8</v>
      </c>
      <c r="D335" s="63">
        <v>0.01</v>
      </c>
      <c r="E335" s="63">
        <v>0.1</v>
      </c>
      <c r="F335" s="63">
        <v>9.9999999999999995E-7</v>
      </c>
      <c r="G335" s="63" t="s">
        <v>6</v>
      </c>
      <c r="H335" s="63" t="s">
        <v>5</v>
      </c>
      <c r="I335" s="63">
        <v>300</v>
      </c>
      <c r="J335" s="63">
        <v>1000</v>
      </c>
      <c r="K335" s="63" t="s">
        <v>10</v>
      </c>
      <c r="L335" s="63">
        <v>12</v>
      </c>
      <c r="M335" s="63">
        <v>12000</v>
      </c>
      <c r="N335" s="63">
        <v>11.521000000000001</v>
      </c>
      <c r="O335" s="64">
        <v>11631</v>
      </c>
    </row>
    <row r="336" spans="1:15" x14ac:dyDescent="0.25">
      <c r="A336" s="114" t="s">
        <v>1003</v>
      </c>
      <c r="B336" s="63" t="s">
        <v>52</v>
      </c>
      <c r="C336" s="63" t="s">
        <v>8</v>
      </c>
      <c r="D336" s="63">
        <v>0.01</v>
      </c>
      <c r="E336" s="63">
        <v>0.1</v>
      </c>
      <c r="F336" s="63">
        <v>9.9999999999999995E-7</v>
      </c>
      <c r="G336" s="63" t="s">
        <v>6</v>
      </c>
      <c r="H336" s="63" t="s">
        <v>5</v>
      </c>
      <c r="I336" s="63">
        <v>1000</v>
      </c>
      <c r="J336" s="63">
        <v>2000</v>
      </c>
      <c r="K336" s="63" t="s">
        <v>10</v>
      </c>
      <c r="L336" s="63">
        <v>53</v>
      </c>
      <c r="M336" s="63">
        <v>17054</v>
      </c>
      <c r="N336" s="63">
        <v>11.489000000000001</v>
      </c>
      <c r="O336" s="64">
        <v>17414</v>
      </c>
    </row>
    <row r="337" spans="1:15" x14ac:dyDescent="0.25">
      <c r="A337" s="114" t="s">
        <v>1006</v>
      </c>
      <c r="B337" s="63" t="s">
        <v>52</v>
      </c>
      <c r="C337" s="63" t="s">
        <v>8</v>
      </c>
      <c r="D337" s="63">
        <v>0.01</v>
      </c>
      <c r="E337" s="63">
        <v>0.1</v>
      </c>
      <c r="F337" s="63">
        <v>9.9999999999999995E-7</v>
      </c>
      <c r="G337" s="63" t="s">
        <v>6</v>
      </c>
      <c r="H337" s="63" t="s">
        <v>5</v>
      </c>
      <c r="I337" s="63">
        <v>2000</v>
      </c>
      <c r="J337" s="63">
        <v>4000</v>
      </c>
      <c r="K337" s="63" t="s">
        <v>10</v>
      </c>
      <c r="L337" s="63">
        <v>110</v>
      </c>
      <c r="M337" s="63">
        <v>46000</v>
      </c>
      <c r="N337" s="63">
        <v>80.778999999999996</v>
      </c>
      <c r="O337" s="64">
        <v>46223</v>
      </c>
    </row>
    <row r="338" spans="1:15" x14ac:dyDescent="0.25">
      <c r="A338" s="114" t="s">
        <v>2228</v>
      </c>
      <c r="B338" s="63" t="s">
        <v>52</v>
      </c>
      <c r="C338" s="63" t="s">
        <v>8</v>
      </c>
      <c r="D338" s="63">
        <v>0.01</v>
      </c>
      <c r="E338" s="63">
        <v>0.1</v>
      </c>
      <c r="F338" s="63">
        <v>9.9999999999999995E-7</v>
      </c>
      <c r="G338" s="63" t="s">
        <v>6</v>
      </c>
      <c r="H338" s="63" t="s">
        <v>5</v>
      </c>
      <c r="I338" s="63">
        <v>4000</v>
      </c>
      <c r="J338" s="63">
        <v>8000</v>
      </c>
      <c r="K338" s="63" t="s">
        <v>10</v>
      </c>
      <c r="L338" s="63">
        <v>120</v>
      </c>
      <c r="M338" s="63">
        <v>46000</v>
      </c>
      <c r="N338" s="63">
        <v>92.257000000000005</v>
      </c>
      <c r="O338" s="64">
        <v>46261</v>
      </c>
    </row>
    <row r="339" spans="1:15" x14ac:dyDescent="0.25">
      <c r="A339" s="114" t="s">
        <v>1004</v>
      </c>
      <c r="B339" s="63" t="s">
        <v>52</v>
      </c>
      <c r="C339" s="63" t="s">
        <v>8</v>
      </c>
      <c r="D339" s="63">
        <v>0.01</v>
      </c>
      <c r="E339" s="63">
        <v>0.1</v>
      </c>
      <c r="F339" s="63">
        <v>9.9999999999999995E-7</v>
      </c>
      <c r="G339" s="63" t="s">
        <v>6</v>
      </c>
      <c r="H339" s="63" t="s">
        <v>5</v>
      </c>
      <c r="I339" s="63">
        <v>8000</v>
      </c>
      <c r="J339" s="63">
        <v>10000</v>
      </c>
      <c r="K339" s="63" t="s">
        <v>10</v>
      </c>
      <c r="L339" s="63">
        <v>450</v>
      </c>
      <c r="M339" s="63">
        <v>170040</v>
      </c>
      <c r="N339" s="63">
        <v>115.4</v>
      </c>
      <c r="O339" s="64">
        <v>173280</v>
      </c>
    </row>
    <row r="340" spans="1:15" x14ac:dyDescent="0.25">
      <c r="A340" s="114" t="s">
        <v>1044</v>
      </c>
      <c r="B340" s="63" t="s">
        <v>52</v>
      </c>
      <c r="C340" s="63" t="s">
        <v>8</v>
      </c>
      <c r="D340" s="63">
        <v>0.1</v>
      </c>
      <c r="E340" s="63">
        <v>1</v>
      </c>
      <c r="F340" s="63">
        <v>9.9999999999999995E-7</v>
      </c>
      <c r="G340" s="63" t="s">
        <v>6</v>
      </c>
      <c r="H340" s="63" t="s">
        <v>5</v>
      </c>
      <c r="I340" s="63">
        <v>1E-3</v>
      </c>
      <c r="J340" s="63">
        <v>0.04</v>
      </c>
      <c r="K340" s="63" t="s">
        <v>10</v>
      </c>
      <c r="L340" s="63">
        <v>47</v>
      </c>
      <c r="M340" s="63">
        <v>82</v>
      </c>
      <c r="N340" s="63">
        <v>80.617999999999995</v>
      </c>
      <c r="O340" s="64">
        <v>80.617999999999995</v>
      </c>
    </row>
    <row r="341" spans="1:15" x14ac:dyDescent="0.25">
      <c r="A341" s="114" t="s">
        <v>1047</v>
      </c>
      <c r="B341" s="63" t="s">
        <v>52</v>
      </c>
      <c r="C341" s="63" t="s">
        <v>8</v>
      </c>
      <c r="D341" s="63">
        <v>0.1</v>
      </c>
      <c r="E341" s="63">
        <v>1</v>
      </c>
      <c r="F341" s="63">
        <v>9.9999999999999995E-7</v>
      </c>
      <c r="G341" s="63" t="s">
        <v>6</v>
      </c>
      <c r="H341" s="63" t="s">
        <v>5</v>
      </c>
      <c r="I341" s="63">
        <v>0.04</v>
      </c>
      <c r="J341" s="63">
        <v>1</v>
      </c>
      <c r="K341" s="63" t="s">
        <v>10</v>
      </c>
      <c r="L341" s="63">
        <v>24</v>
      </c>
      <c r="M341" s="63">
        <v>82</v>
      </c>
      <c r="N341" s="63">
        <v>23.53</v>
      </c>
      <c r="O341" s="64">
        <v>80.441000000000003</v>
      </c>
    </row>
    <row r="342" spans="1:15" x14ac:dyDescent="0.25">
      <c r="A342" s="114" t="s">
        <v>1046</v>
      </c>
      <c r="B342" s="63" t="s">
        <v>52</v>
      </c>
      <c r="C342" s="63" t="s">
        <v>8</v>
      </c>
      <c r="D342" s="63">
        <v>0.1</v>
      </c>
      <c r="E342" s="63">
        <v>1</v>
      </c>
      <c r="F342" s="63">
        <v>9.9999999999999995E-7</v>
      </c>
      <c r="G342" s="63" t="s">
        <v>6</v>
      </c>
      <c r="H342" s="63" t="s">
        <v>5</v>
      </c>
      <c r="I342" s="63">
        <v>1</v>
      </c>
      <c r="J342" s="63">
        <v>20</v>
      </c>
      <c r="K342" s="63" t="s">
        <v>10</v>
      </c>
      <c r="L342" s="63">
        <v>26</v>
      </c>
      <c r="M342" s="63">
        <v>160</v>
      </c>
      <c r="N342" s="63">
        <v>23.442</v>
      </c>
      <c r="O342" s="64">
        <v>161.34</v>
      </c>
    </row>
    <row r="343" spans="1:15" x14ac:dyDescent="0.25">
      <c r="A343" s="114" t="s">
        <v>1048</v>
      </c>
      <c r="B343" s="63" t="s">
        <v>52</v>
      </c>
      <c r="C343" s="63" t="s">
        <v>8</v>
      </c>
      <c r="D343" s="63">
        <v>0.1</v>
      </c>
      <c r="E343" s="63">
        <v>1</v>
      </c>
      <c r="F343" s="63">
        <v>9.9999999999999995E-7</v>
      </c>
      <c r="G343" s="63" t="s">
        <v>6</v>
      </c>
      <c r="H343" s="63" t="s">
        <v>5</v>
      </c>
      <c r="I343" s="63">
        <v>20</v>
      </c>
      <c r="J343" s="63">
        <v>50</v>
      </c>
      <c r="K343" s="63" t="s">
        <v>10</v>
      </c>
      <c r="L343" s="63">
        <v>24</v>
      </c>
      <c r="M343" s="63">
        <v>350</v>
      </c>
      <c r="N343" s="63">
        <v>23.382999999999999</v>
      </c>
      <c r="O343" s="64">
        <v>346.14</v>
      </c>
    </row>
    <row r="344" spans="1:15" x14ac:dyDescent="0.25">
      <c r="A344" s="114" t="s">
        <v>1043</v>
      </c>
      <c r="B344" s="63" t="s">
        <v>52</v>
      </c>
      <c r="C344" s="63" t="s">
        <v>8</v>
      </c>
      <c r="D344" s="63">
        <v>0.1</v>
      </c>
      <c r="E344" s="63">
        <v>1</v>
      </c>
      <c r="F344" s="63">
        <v>9.9999999999999995E-7</v>
      </c>
      <c r="G344" s="63" t="s">
        <v>6</v>
      </c>
      <c r="H344" s="63" t="s">
        <v>5</v>
      </c>
      <c r="I344" s="63">
        <v>50</v>
      </c>
      <c r="J344" s="63">
        <v>100</v>
      </c>
      <c r="K344" s="63" t="s">
        <v>10</v>
      </c>
      <c r="L344" s="63">
        <v>27</v>
      </c>
      <c r="M344" s="63">
        <v>935.56</v>
      </c>
      <c r="N344" s="63">
        <v>23.148</v>
      </c>
      <c r="O344" s="64">
        <v>938.85</v>
      </c>
    </row>
    <row r="345" spans="1:15" x14ac:dyDescent="0.25">
      <c r="A345" s="114" t="s">
        <v>1045</v>
      </c>
      <c r="B345" s="63" t="s">
        <v>52</v>
      </c>
      <c r="C345" s="63" t="s">
        <v>8</v>
      </c>
      <c r="D345" s="63">
        <v>0.1</v>
      </c>
      <c r="E345" s="63">
        <v>1</v>
      </c>
      <c r="F345" s="63">
        <v>9.9999999999999995E-7</v>
      </c>
      <c r="G345" s="63" t="s">
        <v>6</v>
      </c>
      <c r="H345" s="63" t="s">
        <v>5</v>
      </c>
      <c r="I345" s="63">
        <v>100</v>
      </c>
      <c r="J345" s="63">
        <v>300</v>
      </c>
      <c r="K345" s="63" t="s">
        <v>10</v>
      </c>
      <c r="L345" s="63">
        <v>120</v>
      </c>
      <c r="M345" s="63">
        <v>3500</v>
      </c>
      <c r="N345" s="63">
        <v>116.47</v>
      </c>
      <c r="O345" s="64">
        <v>3463.3</v>
      </c>
    </row>
    <row r="346" spans="1:15" x14ac:dyDescent="0.25">
      <c r="A346" s="114" t="s">
        <v>2229</v>
      </c>
      <c r="B346" s="63" t="s">
        <v>52</v>
      </c>
      <c r="C346" s="63" t="s">
        <v>8</v>
      </c>
      <c r="D346" s="63">
        <v>0.1</v>
      </c>
      <c r="E346" s="63">
        <v>1</v>
      </c>
      <c r="F346" s="63">
        <v>9.9999999999999995E-7</v>
      </c>
      <c r="G346" s="63" t="s">
        <v>6</v>
      </c>
      <c r="H346" s="63" t="s">
        <v>5</v>
      </c>
      <c r="I346" s="63">
        <v>300</v>
      </c>
      <c r="J346" s="63">
        <v>1000</v>
      </c>
      <c r="K346" s="63" t="s">
        <v>10</v>
      </c>
      <c r="L346" s="63">
        <v>120</v>
      </c>
      <c r="M346" s="63">
        <v>12000</v>
      </c>
      <c r="N346" s="63">
        <v>110.73</v>
      </c>
      <c r="O346" s="64">
        <v>11675</v>
      </c>
    </row>
    <row r="347" spans="1:15" x14ac:dyDescent="0.25">
      <c r="A347" s="114" t="s">
        <v>2230</v>
      </c>
      <c r="B347" s="63" t="s">
        <v>52</v>
      </c>
      <c r="C347" s="63" t="s">
        <v>8</v>
      </c>
      <c r="D347" s="63">
        <v>0.1</v>
      </c>
      <c r="E347" s="63">
        <v>1</v>
      </c>
      <c r="F347" s="63">
        <v>9.9999999999999995E-7</v>
      </c>
      <c r="G347" s="63" t="s">
        <v>6</v>
      </c>
      <c r="H347" s="63" t="s">
        <v>5</v>
      </c>
      <c r="I347" s="63">
        <v>1000</v>
      </c>
      <c r="J347" s="63">
        <v>2000</v>
      </c>
      <c r="K347" s="63" t="s">
        <v>10</v>
      </c>
      <c r="L347" s="63">
        <v>590</v>
      </c>
      <c r="M347" s="63">
        <v>17152</v>
      </c>
      <c r="N347" s="63">
        <v>108.37</v>
      </c>
      <c r="O347" s="64">
        <v>17479</v>
      </c>
    </row>
    <row r="348" spans="1:15" x14ac:dyDescent="0.25">
      <c r="A348" s="114" t="s">
        <v>1040</v>
      </c>
      <c r="B348" s="63" t="s">
        <v>52</v>
      </c>
      <c r="C348" s="63" t="s">
        <v>8</v>
      </c>
      <c r="D348" s="63">
        <v>0.1</v>
      </c>
      <c r="E348" s="63">
        <v>1</v>
      </c>
      <c r="F348" s="63">
        <v>9.9999999999999995E-7</v>
      </c>
      <c r="G348" s="63" t="s">
        <v>6</v>
      </c>
      <c r="H348" s="63" t="s">
        <v>4</v>
      </c>
      <c r="I348" s="63">
        <v>2000</v>
      </c>
      <c r="J348" s="63">
        <v>4000</v>
      </c>
      <c r="K348" s="63" t="s">
        <v>10</v>
      </c>
      <c r="L348" s="63">
        <v>1.2</v>
      </c>
      <c r="M348" s="63">
        <v>46.029000000000003</v>
      </c>
      <c r="N348" s="63">
        <v>0.80071999999999999</v>
      </c>
      <c r="O348" s="64">
        <v>46.326000000000001</v>
      </c>
    </row>
    <row r="349" spans="1:15" x14ac:dyDescent="0.25">
      <c r="A349" s="114" t="s">
        <v>1042</v>
      </c>
      <c r="B349" s="63" t="s">
        <v>52</v>
      </c>
      <c r="C349" s="63" t="s">
        <v>8</v>
      </c>
      <c r="D349" s="63">
        <v>0.1</v>
      </c>
      <c r="E349" s="63">
        <v>1</v>
      </c>
      <c r="F349" s="63">
        <v>9.9999999999999995E-7</v>
      </c>
      <c r="G349" s="63" t="s">
        <v>6</v>
      </c>
      <c r="H349" s="63" t="s">
        <v>4</v>
      </c>
      <c r="I349" s="63">
        <v>4000</v>
      </c>
      <c r="J349" s="63">
        <v>8000</v>
      </c>
      <c r="K349" s="63" t="s">
        <v>10</v>
      </c>
      <c r="L349" s="63">
        <v>1.3</v>
      </c>
      <c r="M349" s="63">
        <v>46.045999999999999</v>
      </c>
      <c r="N349" s="63">
        <v>0.91605999999999999</v>
      </c>
      <c r="O349" s="64">
        <v>46.326000000000001</v>
      </c>
    </row>
    <row r="350" spans="1:15" x14ac:dyDescent="0.25">
      <c r="A350" s="114" t="s">
        <v>1041</v>
      </c>
      <c r="B350" s="63" t="s">
        <v>52</v>
      </c>
      <c r="C350" s="63" t="s">
        <v>8</v>
      </c>
      <c r="D350" s="63">
        <v>0.1</v>
      </c>
      <c r="E350" s="63">
        <v>1</v>
      </c>
      <c r="F350" s="63">
        <v>9.9999999999999995E-7</v>
      </c>
      <c r="G350" s="63" t="s">
        <v>6</v>
      </c>
      <c r="H350" s="63" t="s">
        <v>4</v>
      </c>
      <c r="I350" s="63">
        <v>8000</v>
      </c>
      <c r="J350" s="63">
        <v>10000</v>
      </c>
      <c r="K350" s="63" t="s">
        <v>10</v>
      </c>
      <c r="L350" s="63">
        <v>4.5999999999999996</v>
      </c>
      <c r="M350" s="63">
        <v>170.12</v>
      </c>
      <c r="N350" s="63">
        <v>1.1459999999999999</v>
      </c>
      <c r="O350" s="64">
        <v>173.36</v>
      </c>
    </row>
    <row r="351" spans="1:15" x14ac:dyDescent="0.25">
      <c r="A351" s="114" t="s">
        <v>2231</v>
      </c>
      <c r="B351" s="63" t="s">
        <v>52</v>
      </c>
      <c r="C351" s="63" t="s">
        <v>8</v>
      </c>
      <c r="D351" s="63">
        <v>1</v>
      </c>
      <c r="E351" s="63">
        <v>10</v>
      </c>
      <c r="F351" s="63">
        <v>9.9999999999999995E-7</v>
      </c>
      <c r="G351" s="63" t="s">
        <v>6</v>
      </c>
      <c r="H351" s="63" t="s">
        <v>4</v>
      </c>
      <c r="I351" s="63">
        <v>1E-3</v>
      </c>
      <c r="J351" s="63">
        <v>0.04</v>
      </c>
      <c r="K351" s="63" t="s">
        <v>10</v>
      </c>
      <c r="L351" s="63">
        <v>0.46</v>
      </c>
      <c r="M351" s="63">
        <v>9.1999999999999998E-2</v>
      </c>
      <c r="N351" s="63">
        <v>0.45052999999999999</v>
      </c>
      <c r="O351" s="64">
        <v>9.2199000000000003E-2</v>
      </c>
    </row>
    <row r="352" spans="1:15" x14ac:dyDescent="0.25">
      <c r="A352" s="114" t="s">
        <v>1085</v>
      </c>
      <c r="B352" s="63" t="s">
        <v>52</v>
      </c>
      <c r="C352" s="63" t="s">
        <v>8</v>
      </c>
      <c r="D352" s="63">
        <v>1</v>
      </c>
      <c r="E352" s="63">
        <v>10</v>
      </c>
      <c r="F352" s="63">
        <v>9.9999999999999995E-7</v>
      </c>
      <c r="G352" s="63" t="s">
        <v>6</v>
      </c>
      <c r="H352" s="63" t="s">
        <v>4</v>
      </c>
      <c r="I352" s="63">
        <v>0.04</v>
      </c>
      <c r="J352" s="63">
        <v>1</v>
      </c>
      <c r="K352" s="63" t="s">
        <v>10</v>
      </c>
      <c r="L352" s="63">
        <v>0.25</v>
      </c>
      <c r="M352" s="63">
        <v>8.4000000000000005E-2</v>
      </c>
      <c r="N352" s="63">
        <v>0.22625000000000001</v>
      </c>
      <c r="O352" s="64">
        <v>8.5544999999999996E-2</v>
      </c>
    </row>
    <row r="353" spans="1:15" x14ac:dyDescent="0.25">
      <c r="A353" s="114" t="s">
        <v>2232</v>
      </c>
      <c r="B353" s="63" t="s">
        <v>52</v>
      </c>
      <c r="C353" s="63" t="s">
        <v>8</v>
      </c>
      <c r="D353" s="63">
        <v>1</v>
      </c>
      <c r="E353" s="63">
        <v>10</v>
      </c>
      <c r="F353" s="63">
        <v>9.9999999999999995E-7</v>
      </c>
      <c r="G353" s="63" t="s">
        <v>6</v>
      </c>
      <c r="H353" s="63" t="s">
        <v>4</v>
      </c>
      <c r="I353" s="63">
        <v>1</v>
      </c>
      <c r="J353" s="63">
        <v>20</v>
      </c>
      <c r="K353" s="63" t="s">
        <v>10</v>
      </c>
      <c r="L353" s="63">
        <v>0.28000000000000003</v>
      </c>
      <c r="M353" s="63">
        <v>0.16</v>
      </c>
      <c r="N353" s="63">
        <v>0.22835</v>
      </c>
      <c r="O353" s="64">
        <v>0.16434000000000001</v>
      </c>
    </row>
    <row r="354" spans="1:15" x14ac:dyDescent="0.25">
      <c r="A354" s="114" t="s">
        <v>2233</v>
      </c>
      <c r="B354" s="63" t="s">
        <v>52</v>
      </c>
      <c r="C354" s="63" t="s">
        <v>8</v>
      </c>
      <c r="D354" s="63">
        <v>1</v>
      </c>
      <c r="E354" s="63">
        <v>10</v>
      </c>
      <c r="F354" s="63">
        <v>9.9999999999999995E-7</v>
      </c>
      <c r="G354" s="63" t="s">
        <v>6</v>
      </c>
      <c r="H354" s="63" t="s">
        <v>4</v>
      </c>
      <c r="I354" s="63">
        <v>20</v>
      </c>
      <c r="J354" s="63">
        <v>50</v>
      </c>
      <c r="K354" s="63" t="s">
        <v>10</v>
      </c>
      <c r="L354" s="63">
        <v>0.24</v>
      </c>
      <c r="M354" s="63">
        <v>0.35</v>
      </c>
      <c r="N354" s="63">
        <v>0.22967000000000001</v>
      </c>
      <c r="O354" s="64">
        <v>0.34776000000000001</v>
      </c>
    </row>
    <row r="355" spans="1:15" x14ac:dyDescent="0.25">
      <c r="A355" s="114" t="s">
        <v>1086</v>
      </c>
      <c r="B355" s="63" t="s">
        <v>52</v>
      </c>
      <c r="C355" s="63" t="s">
        <v>8</v>
      </c>
      <c r="D355" s="63">
        <v>1</v>
      </c>
      <c r="E355" s="63">
        <v>10</v>
      </c>
      <c r="F355" s="63">
        <v>9.9999999999999995E-7</v>
      </c>
      <c r="G355" s="63" t="s">
        <v>6</v>
      </c>
      <c r="H355" s="63" t="s">
        <v>4</v>
      </c>
      <c r="I355" s="63">
        <v>50</v>
      </c>
      <c r="J355" s="63">
        <v>100</v>
      </c>
      <c r="K355" s="63" t="s">
        <v>10</v>
      </c>
      <c r="L355" s="63">
        <v>0.27</v>
      </c>
      <c r="M355" s="63">
        <v>0.94</v>
      </c>
      <c r="N355" s="63">
        <v>0.22603000000000001</v>
      </c>
      <c r="O355" s="64">
        <v>0.94120999999999999</v>
      </c>
    </row>
    <row r="356" spans="1:15" x14ac:dyDescent="0.25">
      <c r="A356" s="114" t="s">
        <v>1089</v>
      </c>
      <c r="B356" s="63" t="s">
        <v>52</v>
      </c>
      <c r="C356" s="63" t="s">
        <v>8</v>
      </c>
      <c r="D356" s="63">
        <v>1</v>
      </c>
      <c r="E356" s="63">
        <v>10</v>
      </c>
      <c r="F356" s="63">
        <v>9.9999999999999995E-7</v>
      </c>
      <c r="G356" s="63" t="s">
        <v>6</v>
      </c>
      <c r="H356" s="63" t="s">
        <v>4</v>
      </c>
      <c r="I356" s="63">
        <v>100</v>
      </c>
      <c r="J356" s="63">
        <v>300</v>
      </c>
      <c r="K356" s="63" t="s">
        <v>10</v>
      </c>
      <c r="L356" s="63">
        <v>1.2</v>
      </c>
      <c r="M356" s="63">
        <v>3.5</v>
      </c>
      <c r="N356" s="63">
        <v>1.1358999999999999</v>
      </c>
      <c r="O356" s="64">
        <v>3.4830999999999999</v>
      </c>
    </row>
    <row r="357" spans="1:15" x14ac:dyDescent="0.25">
      <c r="A357" s="114" t="s">
        <v>2234</v>
      </c>
      <c r="B357" s="63" t="s">
        <v>52</v>
      </c>
      <c r="C357" s="63" t="s">
        <v>8</v>
      </c>
      <c r="D357" s="63">
        <v>1</v>
      </c>
      <c r="E357" s="63">
        <v>10</v>
      </c>
      <c r="F357" s="63">
        <v>9.9999999999999995E-7</v>
      </c>
      <c r="G357" s="63" t="s">
        <v>6</v>
      </c>
      <c r="H357" s="63" t="s">
        <v>4</v>
      </c>
      <c r="I357" s="63">
        <v>300</v>
      </c>
      <c r="J357" s="63">
        <v>1000</v>
      </c>
      <c r="K357" s="63" t="s">
        <v>10</v>
      </c>
      <c r="L357" s="63">
        <v>0.83</v>
      </c>
      <c r="M357" s="63">
        <v>12</v>
      </c>
      <c r="N357" s="63">
        <v>1.127</v>
      </c>
      <c r="O357" s="64">
        <v>11.688000000000001</v>
      </c>
    </row>
    <row r="358" spans="1:15" x14ac:dyDescent="0.25">
      <c r="A358" s="114" t="s">
        <v>1088</v>
      </c>
      <c r="B358" s="63" t="s">
        <v>52</v>
      </c>
      <c r="C358" s="63" t="s">
        <v>8</v>
      </c>
      <c r="D358" s="63">
        <v>1</v>
      </c>
      <c r="E358" s="63">
        <v>10</v>
      </c>
      <c r="F358" s="63">
        <v>9.9999999999999995E-7</v>
      </c>
      <c r="G358" s="63" t="s">
        <v>6</v>
      </c>
      <c r="H358" s="63" t="s">
        <v>4</v>
      </c>
      <c r="I358" s="63">
        <v>1000</v>
      </c>
      <c r="J358" s="63">
        <v>2000</v>
      </c>
      <c r="K358" s="63" t="s">
        <v>10</v>
      </c>
      <c r="L358" s="63">
        <v>6.1</v>
      </c>
      <c r="M358" s="63">
        <v>17</v>
      </c>
      <c r="N358" s="63">
        <v>1.1337999999999999</v>
      </c>
      <c r="O358" s="64">
        <v>17.486999999999998</v>
      </c>
    </row>
    <row r="359" spans="1:15" x14ac:dyDescent="0.25">
      <c r="A359" s="114" t="s">
        <v>1091</v>
      </c>
      <c r="B359" s="63" t="s">
        <v>52</v>
      </c>
      <c r="C359" s="63" t="s">
        <v>8</v>
      </c>
      <c r="D359" s="63">
        <v>1</v>
      </c>
      <c r="E359" s="63">
        <v>10</v>
      </c>
      <c r="F359" s="63">
        <v>9.9999999999999995E-7</v>
      </c>
      <c r="G359" s="63" t="s">
        <v>6</v>
      </c>
      <c r="H359" s="63" t="s">
        <v>4</v>
      </c>
      <c r="I359" s="63">
        <v>2000</v>
      </c>
      <c r="J359" s="63">
        <v>4000</v>
      </c>
      <c r="K359" s="63" t="s">
        <v>10</v>
      </c>
      <c r="L359" s="63">
        <v>12</v>
      </c>
      <c r="M359" s="63">
        <v>46</v>
      </c>
      <c r="N359" s="63">
        <v>8.0599000000000007</v>
      </c>
      <c r="O359" s="64">
        <v>46.328000000000003</v>
      </c>
    </row>
    <row r="360" spans="1:15" x14ac:dyDescent="0.25">
      <c r="A360" s="114" t="s">
        <v>1087</v>
      </c>
      <c r="B360" s="63" t="s">
        <v>52</v>
      </c>
      <c r="C360" s="63" t="s">
        <v>8</v>
      </c>
      <c r="D360" s="63">
        <v>1</v>
      </c>
      <c r="E360" s="63">
        <v>10</v>
      </c>
      <c r="F360" s="63">
        <v>9.9999999999999995E-7</v>
      </c>
      <c r="G360" s="63" t="s">
        <v>6</v>
      </c>
      <c r="H360" s="63" t="s">
        <v>4</v>
      </c>
      <c r="I360" s="63">
        <v>4000</v>
      </c>
      <c r="J360" s="63">
        <v>8000</v>
      </c>
      <c r="K360" s="63" t="s">
        <v>10</v>
      </c>
      <c r="L360" s="63">
        <v>15</v>
      </c>
      <c r="M360" s="63">
        <v>46</v>
      </c>
      <c r="N360" s="63">
        <v>9.1631999999999998</v>
      </c>
      <c r="O360" s="64">
        <v>46.576000000000001</v>
      </c>
    </row>
    <row r="361" spans="1:15" x14ac:dyDescent="0.25">
      <c r="A361" s="114" t="s">
        <v>1090</v>
      </c>
      <c r="B361" s="63" t="s">
        <v>52</v>
      </c>
      <c r="C361" s="63" t="s">
        <v>8</v>
      </c>
      <c r="D361" s="63">
        <v>1</v>
      </c>
      <c r="E361" s="63">
        <v>10</v>
      </c>
      <c r="F361" s="63">
        <v>9.9999999999999995E-7</v>
      </c>
      <c r="G361" s="63" t="s">
        <v>6</v>
      </c>
      <c r="H361" s="63" t="s">
        <v>4</v>
      </c>
      <c r="I361" s="63">
        <v>8000</v>
      </c>
      <c r="J361" s="63">
        <v>10000</v>
      </c>
      <c r="K361" s="63" t="s">
        <v>10</v>
      </c>
      <c r="L361" s="63">
        <v>46</v>
      </c>
      <c r="M361" s="63">
        <v>170</v>
      </c>
      <c r="N361" s="63">
        <v>11.528</v>
      </c>
      <c r="O361" s="64">
        <v>173.36</v>
      </c>
    </row>
    <row r="362" spans="1:15" x14ac:dyDescent="0.25">
      <c r="A362" s="114" t="s">
        <v>2235</v>
      </c>
      <c r="B362" s="63" t="s">
        <v>52</v>
      </c>
      <c r="C362" s="63" t="s">
        <v>8</v>
      </c>
      <c r="D362" s="63">
        <v>0</v>
      </c>
      <c r="E362" s="63">
        <v>0.01</v>
      </c>
      <c r="F362" s="63">
        <v>1.0000000000000001E-5</v>
      </c>
      <c r="G362" s="63" t="s">
        <v>6</v>
      </c>
      <c r="H362" s="63" t="s">
        <v>5</v>
      </c>
      <c r="I362" s="63">
        <v>1E-3</v>
      </c>
      <c r="J362" s="63">
        <v>0.04</v>
      </c>
      <c r="K362" s="63" t="s">
        <v>10</v>
      </c>
      <c r="L362" s="63">
        <v>7.2506000000000004</v>
      </c>
      <c r="M362" s="63">
        <v>223.08</v>
      </c>
      <c r="N362" s="63">
        <v>7.2465999999999999</v>
      </c>
      <c r="O362" s="64">
        <v>222.31</v>
      </c>
    </row>
    <row r="363" spans="1:15" x14ac:dyDescent="0.25">
      <c r="A363" s="114" t="s">
        <v>961</v>
      </c>
      <c r="B363" s="63" t="s">
        <v>52</v>
      </c>
      <c r="C363" s="63" t="s">
        <v>8</v>
      </c>
      <c r="D363" s="63">
        <v>0</v>
      </c>
      <c r="E363" s="63">
        <v>0.01</v>
      </c>
      <c r="F363" s="63">
        <v>1.0000000000000001E-5</v>
      </c>
      <c r="G363" s="63" t="s">
        <v>6</v>
      </c>
      <c r="H363" s="63" t="s">
        <v>5</v>
      </c>
      <c r="I363" s="63">
        <v>0.04</v>
      </c>
      <c r="J363" s="63">
        <v>1</v>
      </c>
      <c r="K363" s="63" t="s">
        <v>10</v>
      </c>
      <c r="L363" s="63">
        <v>6.4968000000000004</v>
      </c>
      <c r="M363" s="63">
        <v>89.968999999999994</v>
      </c>
      <c r="N363" s="63">
        <v>6.4923999999999999</v>
      </c>
      <c r="O363" s="64">
        <v>88.921999999999997</v>
      </c>
    </row>
    <row r="364" spans="1:15" x14ac:dyDescent="0.25">
      <c r="A364" s="114" t="s">
        <v>2236</v>
      </c>
      <c r="B364" s="63" t="s">
        <v>52</v>
      </c>
      <c r="C364" s="63" t="s">
        <v>8</v>
      </c>
      <c r="D364" s="63">
        <v>0</v>
      </c>
      <c r="E364" s="63">
        <v>0.01</v>
      </c>
      <c r="F364" s="63">
        <v>1.0000000000000001E-5</v>
      </c>
      <c r="G364" s="63" t="s">
        <v>6</v>
      </c>
      <c r="H364" s="63" t="s">
        <v>5</v>
      </c>
      <c r="I364" s="63">
        <v>1</v>
      </c>
      <c r="J364" s="63">
        <v>20</v>
      </c>
      <c r="K364" s="63" t="s">
        <v>10</v>
      </c>
      <c r="L364" s="63">
        <v>6.5335000000000001</v>
      </c>
      <c r="M364" s="63">
        <v>152.12</v>
      </c>
      <c r="N364" s="63">
        <v>6.5290999999999997</v>
      </c>
      <c r="O364" s="64">
        <v>151.19</v>
      </c>
    </row>
    <row r="365" spans="1:15" x14ac:dyDescent="0.25">
      <c r="A365" s="114" t="s">
        <v>960</v>
      </c>
      <c r="B365" s="63" t="s">
        <v>52</v>
      </c>
      <c r="C365" s="63" t="s">
        <v>8</v>
      </c>
      <c r="D365" s="63">
        <v>0</v>
      </c>
      <c r="E365" s="63">
        <v>0.01</v>
      </c>
      <c r="F365" s="63">
        <v>1.0000000000000001E-5</v>
      </c>
      <c r="G365" s="63" t="s">
        <v>6</v>
      </c>
      <c r="H365" s="63" t="s">
        <v>5</v>
      </c>
      <c r="I365" s="63">
        <v>20</v>
      </c>
      <c r="J365" s="63">
        <v>50</v>
      </c>
      <c r="K365" s="63" t="s">
        <v>10</v>
      </c>
      <c r="L365" s="63">
        <v>7.9955999999999996</v>
      </c>
      <c r="M365" s="63">
        <v>709.13</v>
      </c>
      <c r="N365" s="63">
        <v>7.9861000000000004</v>
      </c>
      <c r="O365" s="64">
        <v>708.96</v>
      </c>
    </row>
    <row r="366" spans="1:15" x14ac:dyDescent="0.25">
      <c r="A366" s="114" t="s">
        <v>958</v>
      </c>
      <c r="B366" s="63" t="s">
        <v>52</v>
      </c>
      <c r="C366" s="63" t="s">
        <v>8</v>
      </c>
      <c r="D366" s="63">
        <v>0</v>
      </c>
      <c r="E366" s="63">
        <v>0.01</v>
      </c>
      <c r="F366" s="63">
        <v>1.0000000000000001E-5</v>
      </c>
      <c r="G366" s="63" t="s">
        <v>6</v>
      </c>
      <c r="H366" s="63" t="s">
        <v>5</v>
      </c>
      <c r="I366" s="63">
        <v>50</v>
      </c>
      <c r="J366" s="63">
        <v>100</v>
      </c>
      <c r="K366" s="63" t="s">
        <v>10</v>
      </c>
      <c r="L366" s="63">
        <v>10.061999999999999</v>
      </c>
      <c r="M366" s="63">
        <v>5001.3</v>
      </c>
      <c r="N366" s="63">
        <v>10.045999999999999</v>
      </c>
      <c r="O366" s="64">
        <v>5001.8</v>
      </c>
    </row>
    <row r="367" spans="1:15" x14ac:dyDescent="0.25">
      <c r="A367" s="114" t="s">
        <v>959</v>
      </c>
      <c r="B367" s="63" t="s">
        <v>52</v>
      </c>
      <c r="C367" s="63" t="s">
        <v>8</v>
      </c>
      <c r="D367" s="63">
        <v>0</v>
      </c>
      <c r="E367" s="63">
        <v>0.01</v>
      </c>
      <c r="F367" s="63">
        <v>1.0000000000000001E-5</v>
      </c>
      <c r="G367" s="63" t="s">
        <v>6</v>
      </c>
      <c r="H367" s="63" t="s">
        <v>5</v>
      </c>
      <c r="I367" s="63">
        <v>100</v>
      </c>
      <c r="J367" s="63">
        <v>300</v>
      </c>
      <c r="K367" s="63" t="s">
        <v>10</v>
      </c>
      <c r="L367" s="63">
        <v>4.9503000000000004</v>
      </c>
      <c r="M367" s="63">
        <v>45929</v>
      </c>
      <c r="N367" s="63">
        <v>4.8762999999999996</v>
      </c>
      <c r="O367" s="64">
        <v>45936</v>
      </c>
    </row>
    <row r="368" spans="1:15" x14ac:dyDescent="0.25">
      <c r="A368" s="114" t="s">
        <v>963</v>
      </c>
      <c r="B368" s="63" t="s">
        <v>52</v>
      </c>
      <c r="C368" s="63" t="s">
        <v>8</v>
      </c>
      <c r="D368" s="63">
        <v>0</v>
      </c>
      <c r="E368" s="63">
        <v>0.01</v>
      </c>
      <c r="F368" s="63">
        <v>1.0000000000000001E-5</v>
      </c>
      <c r="G368" s="63" t="s">
        <v>6</v>
      </c>
      <c r="H368" s="63" t="s">
        <v>5</v>
      </c>
      <c r="I368" s="63">
        <v>300</v>
      </c>
      <c r="J368" s="63">
        <v>1000</v>
      </c>
      <c r="K368" s="63" t="s">
        <v>10</v>
      </c>
      <c r="L368" s="63">
        <v>18</v>
      </c>
      <c r="M368" s="63">
        <v>45403</v>
      </c>
      <c r="N368" s="63">
        <v>13.84</v>
      </c>
      <c r="O368" s="64">
        <v>45406</v>
      </c>
    </row>
    <row r="369" spans="1:15" x14ac:dyDescent="0.25">
      <c r="A369" s="114" t="s">
        <v>2237</v>
      </c>
      <c r="B369" s="63" t="s">
        <v>52</v>
      </c>
      <c r="C369" s="63" t="s">
        <v>8</v>
      </c>
      <c r="D369" s="63">
        <v>0</v>
      </c>
      <c r="E369" s="63">
        <v>0.01</v>
      </c>
      <c r="F369" s="63">
        <v>1.0000000000000001E-5</v>
      </c>
      <c r="G369" s="63" t="s">
        <v>6</v>
      </c>
      <c r="H369" s="63" t="s">
        <v>5</v>
      </c>
      <c r="I369" s="63">
        <v>1000</v>
      </c>
      <c r="J369" s="63">
        <v>4000</v>
      </c>
      <c r="K369" s="63" t="s">
        <v>10</v>
      </c>
      <c r="L369" s="63">
        <v>23.292999999999999</v>
      </c>
      <c r="M369" s="63">
        <v>79521</v>
      </c>
      <c r="N369" s="63">
        <v>23.228000000000002</v>
      </c>
      <c r="O369" s="64">
        <v>79358</v>
      </c>
    </row>
    <row r="370" spans="1:15" x14ac:dyDescent="0.25">
      <c r="A370" s="114" t="s">
        <v>962</v>
      </c>
      <c r="B370" s="63" t="s">
        <v>52</v>
      </c>
      <c r="C370" s="63" t="s">
        <v>8</v>
      </c>
      <c r="D370" s="63">
        <v>0</v>
      </c>
      <c r="E370" s="63">
        <v>0.01</v>
      </c>
      <c r="F370" s="63">
        <v>1.0000000000000001E-5</v>
      </c>
      <c r="G370" s="63" t="s">
        <v>6</v>
      </c>
      <c r="H370" s="63" t="s">
        <v>5</v>
      </c>
      <c r="I370" s="63">
        <v>4000</v>
      </c>
      <c r="J370" s="63">
        <v>8000</v>
      </c>
      <c r="K370" s="63" t="s">
        <v>10</v>
      </c>
      <c r="L370" s="63">
        <v>31</v>
      </c>
      <c r="M370" s="63">
        <v>228940</v>
      </c>
      <c r="N370" s="63">
        <v>30.434000000000001</v>
      </c>
      <c r="O370" s="64">
        <v>228860</v>
      </c>
    </row>
    <row r="371" spans="1:15" x14ac:dyDescent="0.25">
      <c r="A371" s="114" t="s">
        <v>1012</v>
      </c>
      <c r="B371" s="63" t="s">
        <v>52</v>
      </c>
      <c r="C371" s="63" t="s">
        <v>8</v>
      </c>
      <c r="D371" s="63">
        <v>0.01</v>
      </c>
      <c r="E371" s="63">
        <v>0.1</v>
      </c>
      <c r="F371" s="63">
        <v>1.0000000000000001E-5</v>
      </c>
      <c r="G371" s="63" t="s">
        <v>6</v>
      </c>
      <c r="H371" s="63" t="s">
        <v>5</v>
      </c>
      <c r="I371" s="63">
        <v>1E-3</v>
      </c>
      <c r="J371" s="63">
        <v>0.04</v>
      </c>
      <c r="K371" s="63" t="s">
        <v>10</v>
      </c>
      <c r="L371" s="63">
        <v>7.7286000000000001</v>
      </c>
      <c r="M371" s="63">
        <v>70.834999999999994</v>
      </c>
      <c r="N371" s="63">
        <v>7.7257999999999996</v>
      </c>
      <c r="O371" s="64">
        <v>70.789000000000001</v>
      </c>
    </row>
    <row r="372" spans="1:15" x14ac:dyDescent="0.25">
      <c r="A372" s="114" t="s">
        <v>2238</v>
      </c>
      <c r="B372" s="63" t="s">
        <v>52</v>
      </c>
      <c r="C372" s="63" t="s">
        <v>8</v>
      </c>
      <c r="D372" s="63">
        <v>0.01</v>
      </c>
      <c r="E372" s="63">
        <v>0.1</v>
      </c>
      <c r="F372" s="63">
        <v>1.0000000000000001E-5</v>
      </c>
      <c r="G372" s="63" t="s">
        <v>6</v>
      </c>
      <c r="H372" s="63" t="s">
        <v>5</v>
      </c>
      <c r="I372" s="63">
        <v>0.04</v>
      </c>
      <c r="J372" s="63">
        <v>1</v>
      </c>
      <c r="K372" s="63" t="s">
        <v>10</v>
      </c>
      <c r="L372" s="63">
        <v>6.5380000000000003</v>
      </c>
      <c r="M372" s="63">
        <v>63.487000000000002</v>
      </c>
      <c r="N372" s="63">
        <v>6.5346000000000002</v>
      </c>
      <c r="O372" s="64">
        <v>63.435000000000002</v>
      </c>
    </row>
    <row r="373" spans="1:15" x14ac:dyDescent="0.25">
      <c r="A373" s="114" t="s">
        <v>1010</v>
      </c>
      <c r="B373" s="63" t="s">
        <v>52</v>
      </c>
      <c r="C373" s="63" t="s">
        <v>8</v>
      </c>
      <c r="D373" s="63">
        <v>0.01</v>
      </c>
      <c r="E373" s="63">
        <v>0.1</v>
      </c>
      <c r="F373" s="63">
        <v>1.0000000000000001E-5</v>
      </c>
      <c r="G373" s="63" t="s">
        <v>6</v>
      </c>
      <c r="H373" s="63" t="s">
        <v>5</v>
      </c>
      <c r="I373" s="63">
        <v>1</v>
      </c>
      <c r="J373" s="63">
        <v>20</v>
      </c>
      <c r="K373" s="63" t="s">
        <v>10</v>
      </c>
      <c r="L373" s="63">
        <v>6.2203999999999997</v>
      </c>
      <c r="M373" s="63">
        <v>137.65</v>
      </c>
      <c r="N373" s="63">
        <v>6.2175000000000002</v>
      </c>
      <c r="O373" s="64">
        <v>137.62</v>
      </c>
    </row>
    <row r="374" spans="1:15" x14ac:dyDescent="0.25">
      <c r="A374" s="114" t="s">
        <v>1014</v>
      </c>
      <c r="B374" s="63" t="s">
        <v>52</v>
      </c>
      <c r="C374" s="63" t="s">
        <v>8</v>
      </c>
      <c r="D374" s="63">
        <v>0.01</v>
      </c>
      <c r="E374" s="63">
        <v>0.1</v>
      </c>
      <c r="F374" s="63">
        <v>1.0000000000000001E-5</v>
      </c>
      <c r="G374" s="63" t="s">
        <v>6</v>
      </c>
      <c r="H374" s="63" t="s">
        <v>5</v>
      </c>
      <c r="I374" s="63">
        <v>20</v>
      </c>
      <c r="J374" s="63">
        <v>50</v>
      </c>
      <c r="K374" s="63" t="s">
        <v>10</v>
      </c>
      <c r="L374" s="63">
        <v>6.7172000000000001</v>
      </c>
      <c r="M374" s="63">
        <v>310.87</v>
      </c>
      <c r="N374" s="63">
        <v>6.7062999999999997</v>
      </c>
      <c r="O374" s="64">
        <v>310.87</v>
      </c>
    </row>
    <row r="375" spans="1:15" x14ac:dyDescent="0.25">
      <c r="A375" s="114" t="s">
        <v>1016</v>
      </c>
      <c r="B375" s="63" t="s">
        <v>52</v>
      </c>
      <c r="C375" s="63" t="s">
        <v>8</v>
      </c>
      <c r="D375" s="63">
        <v>0.01</v>
      </c>
      <c r="E375" s="63">
        <v>0.1</v>
      </c>
      <c r="F375" s="63">
        <v>1.0000000000000001E-5</v>
      </c>
      <c r="G375" s="63" t="s">
        <v>6</v>
      </c>
      <c r="H375" s="63" t="s">
        <v>5</v>
      </c>
      <c r="I375" s="63">
        <v>50</v>
      </c>
      <c r="J375" s="63">
        <v>100</v>
      </c>
      <c r="K375" s="63" t="s">
        <v>10</v>
      </c>
      <c r="L375" s="63">
        <v>7.1698000000000004</v>
      </c>
      <c r="M375" s="63">
        <v>895.95</v>
      </c>
      <c r="N375" s="63">
        <v>7.1433</v>
      </c>
      <c r="O375" s="64">
        <v>896.05</v>
      </c>
    </row>
    <row r="376" spans="1:15" x14ac:dyDescent="0.25">
      <c r="A376" s="114" t="s">
        <v>1013</v>
      </c>
      <c r="B376" s="63" t="s">
        <v>52</v>
      </c>
      <c r="C376" s="63" t="s">
        <v>8</v>
      </c>
      <c r="D376" s="63">
        <v>0.01</v>
      </c>
      <c r="E376" s="63">
        <v>0.1</v>
      </c>
      <c r="F376" s="63">
        <v>1.0000000000000001E-5</v>
      </c>
      <c r="G376" s="63" t="s">
        <v>6</v>
      </c>
      <c r="H376" s="63" t="s">
        <v>5</v>
      </c>
      <c r="I376" s="63">
        <v>100</v>
      </c>
      <c r="J376" s="63">
        <v>300</v>
      </c>
      <c r="K376" s="63" t="s">
        <v>10</v>
      </c>
      <c r="L376" s="63">
        <v>12</v>
      </c>
      <c r="M376" s="63">
        <v>3500</v>
      </c>
      <c r="N376" s="63">
        <v>11.911</v>
      </c>
      <c r="O376" s="64">
        <v>3472.7</v>
      </c>
    </row>
    <row r="377" spans="1:15" x14ac:dyDescent="0.25">
      <c r="A377" s="114" t="s">
        <v>1009</v>
      </c>
      <c r="B377" s="63" t="s">
        <v>52</v>
      </c>
      <c r="C377" s="63" t="s">
        <v>8</v>
      </c>
      <c r="D377" s="63">
        <v>0.01</v>
      </c>
      <c r="E377" s="63">
        <v>0.1</v>
      </c>
      <c r="F377" s="63">
        <v>1.0000000000000001E-5</v>
      </c>
      <c r="G377" s="63" t="s">
        <v>6</v>
      </c>
      <c r="H377" s="63" t="s">
        <v>5</v>
      </c>
      <c r="I377" s="63">
        <v>300</v>
      </c>
      <c r="J377" s="63">
        <v>1000</v>
      </c>
      <c r="K377" s="63" t="s">
        <v>10</v>
      </c>
      <c r="L377" s="63">
        <v>12</v>
      </c>
      <c r="M377" s="63">
        <v>12000</v>
      </c>
      <c r="N377" s="63">
        <v>11.635</v>
      </c>
      <c r="O377" s="64">
        <v>11630</v>
      </c>
    </row>
    <row r="378" spans="1:15" x14ac:dyDescent="0.25">
      <c r="A378" s="114" t="s">
        <v>1011</v>
      </c>
      <c r="B378" s="63" t="s">
        <v>52</v>
      </c>
      <c r="C378" s="63" t="s">
        <v>8</v>
      </c>
      <c r="D378" s="63">
        <v>0.01</v>
      </c>
      <c r="E378" s="63">
        <v>0.1</v>
      </c>
      <c r="F378" s="63">
        <v>1.0000000000000001E-5</v>
      </c>
      <c r="G378" s="63" t="s">
        <v>6</v>
      </c>
      <c r="H378" s="63" t="s">
        <v>5</v>
      </c>
      <c r="I378" s="63">
        <v>1000</v>
      </c>
      <c r="J378" s="63">
        <v>2000</v>
      </c>
      <c r="K378" s="63" t="s">
        <v>10</v>
      </c>
      <c r="L378" s="63">
        <v>53</v>
      </c>
      <c r="M378" s="63">
        <v>17054</v>
      </c>
      <c r="N378" s="63">
        <v>11.587999999999999</v>
      </c>
      <c r="O378" s="64">
        <v>17413</v>
      </c>
    </row>
    <row r="379" spans="1:15" x14ac:dyDescent="0.25">
      <c r="A379" s="114" t="s">
        <v>1015</v>
      </c>
      <c r="B379" s="63" t="s">
        <v>52</v>
      </c>
      <c r="C379" s="63" t="s">
        <v>8</v>
      </c>
      <c r="D379" s="63">
        <v>0.01</v>
      </c>
      <c r="E379" s="63">
        <v>0.1</v>
      </c>
      <c r="F379" s="63">
        <v>1.0000000000000001E-5</v>
      </c>
      <c r="G379" s="63" t="s">
        <v>6</v>
      </c>
      <c r="H379" s="63" t="s">
        <v>5</v>
      </c>
      <c r="I379" s="63">
        <v>2000</v>
      </c>
      <c r="J379" s="63">
        <v>4000</v>
      </c>
      <c r="K379" s="63" t="s">
        <v>10</v>
      </c>
      <c r="L379" s="63">
        <v>110</v>
      </c>
      <c r="M379" s="63">
        <v>46000</v>
      </c>
      <c r="N379" s="63">
        <v>80.808999999999997</v>
      </c>
      <c r="O379" s="64">
        <v>46223</v>
      </c>
    </row>
    <row r="380" spans="1:15" x14ac:dyDescent="0.25">
      <c r="A380" s="114" t="s">
        <v>2239</v>
      </c>
      <c r="B380" s="63" t="s">
        <v>52</v>
      </c>
      <c r="C380" s="63" t="s">
        <v>8</v>
      </c>
      <c r="D380" s="63">
        <v>0.01</v>
      </c>
      <c r="E380" s="63">
        <v>0.1</v>
      </c>
      <c r="F380" s="63">
        <v>1.0000000000000001E-5</v>
      </c>
      <c r="G380" s="63" t="s">
        <v>6</v>
      </c>
      <c r="H380" s="63" t="s">
        <v>5</v>
      </c>
      <c r="I380" s="63">
        <v>4000</v>
      </c>
      <c r="J380" s="63">
        <v>8000</v>
      </c>
      <c r="K380" s="63" t="s">
        <v>10</v>
      </c>
      <c r="L380" s="63">
        <v>120</v>
      </c>
      <c r="M380" s="63">
        <v>46000</v>
      </c>
      <c r="N380" s="63">
        <v>92.287000000000006</v>
      </c>
      <c r="O380" s="64">
        <v>46261</v>
      </c>
    </row>
    <row r="381" spans="1:15" x14ac:dyDescent="0.25">
      <c r="A381" s="114" t="s">
        <v>1017</v>
      </c>
      <c r="B381" s="63" t="s">
        <v>52</v>
      </c>
      <c r="C381" s="63" t="s">
        <v>8</v>
      </c>
      <c r="D381" s="63">
        <v>0.01</v>
      </c>
      <c r="E381" s="63">
        <v>0.1</v>
      </c>
      <c r="F381" s="63">
        <v>1.0000000000000001E-5</v>
      </c>
      <c r="G381" s="63" t="s">
        <v>6</v>
      </c>
      <c r="H381" s="63" t="s">
        <v>5</v>
      </c>
      <c r="I381" s="63">
        <v>8000</v>
      </c>
      <c r="J381" s="63">
        <v>10000</v>
      </c>
      <c r="K381" s="63" t="s">
        <v>10</v>
      </c>
      <c r="L381" s="63">
        <v>450</v>
      </c>
      <c r="M381" s="63">
        <v>170040</v>
      </c>
      <c r="N381" s="63">
        <v>115.41</v>
      </c>
      <c r="O381" s="64">
        <v>173280</v>
      </c>
    </row>
    <row r="382" spans="1:15" x14ac:dyDescent="0.25">
      <c r="A382" s="114" t="s">
        <v>1049</v>
      </c>
      <c r="B382" s="63" t="s">
        <v>52</v>
      </c>
      <c r="C382" s="63" t="s">
        <v>8</v>
      </c>
      <c r="D382" s="63">
        <v>0.1</v>
      </c>
      <c r="E382" s="63">
        <v>1</v>
      </c>
      <c r="F382" s="63">
        <v>1.0000000000000001E-5</v>
      </c>
      <c r="G382" s="63" t="s">
        <v>6</v>
      </c>
      <c r="H382" s="63" t="s">
        <v>5</v>
      </c>
      <c r="I382" s="63">
        <v>1E-3</v>
      </c>
      <c r="J382" s="63">
        <v>0.04</v>
      </c>
      <c r="K382" s="63" t="s">
        <v>10</v>
      </c>
      <c r="L382" s="63">
        <v>47</v>
      </c>
      <c r="M382" s="63">
        <v>82</v>
      </c>
      <c r="N382" s="63">
        <v>80.426000000000002</v>
      </c>
      <c r="O382" s="64">
        <v>80.426000000000002</v>
      </c>
    </row>
    <row r="383" spans="1:15" x14ac:dyDescent="0.25">
      <c r="A383" s="114" t="s">
        <v>2240</v>
      </c>
      <c r="B383" s="63" t="s">
        <v>52</v>
      </c>
      <c r="C383" s="63" t="s">
        <v>8</v>
      </c>
      <c r="D383" s="63">
        <v>0.1</v>
      </c>
      <c r="E383" s="63">
        <v>1</v>
      </c>
      <c r="F383" s="63">
        <v>1.0000000000000001E-5</v>
      </c>
      <c r="G383" s="63" t="s">
        <v>6</v>
      </c>
      <c r="H383" s="63" t="s">
        <v>5</v>
      </c>
      <c r="I383" s="63">
        <v>0.04</v>
      </c>
      <c r="J383" s="63">
        <v>1</v>
      </c>
      <c r="K383" s="63" t="s">
        <v>10</v>
      </c>
      <c r="L383" s="63">
        <v>24</v>
      </c>
      <c r="M383" s="63">
        <v>82</v>
      </c>
      <c r="N383" s="63">
        <v>24.088000000000001</v>
      </c>
      <c r="O383" s="64">
        <v>80.040999999999997</v>
      </c>
    </row>
    <row r="384" spans="1:15" x14ac:dyDescent="0.25">
      <c r="A384" s="114" t="s">
        <v>1051</v>
      </c>
      <c r="B384" s="63" t="s">
        <v>52</v>
      </c>
      <c r="C384" s="63" t="s">
        <v>8</v>
      </c>
      <c r="D384" s="63">
        <v>0.1</v>
      </c>
      <c r="E384" s="63">
        <v>1</v>
      </c>
      <c r="F384" s="63">
        <v>1.0000000000000001E-5</v>
      </c>
      <c r="G384" s="63" t="s">
        <v>6</v>
      </c>
      <c r="H384" s="63" t="s">
        <v>5</v>
      </c>
      <c r="I384" s="63">
        <v>1</v>
      </c>
      <c r="J384" s="63">
        <v>20</v>
      </c>
      <c r="K384" s="63" t="s">
        <v>10</v>
      </c>
      <c r="L384" s="63">
        <v>26</v>
      </c>
      <c r="M384" s="63">
        <v>160</v>
      </c>
      <c r="N384" s="63">
        <v>23.893000000000001</v>
      </c>
      <c r="O384" s="64">
        <v>160.97999999999999</v>
      </c>
    </row>
    <row r="385" spans="1:15" x14ac:dyDescent="0.25">
      <c r="A385" s="114" t="s">
        <v>1053</v>
      </c>
      <c r="B385" s="63" t="s">
        <v>52</v>
      </c>
      <c r="C385" s="63" t="s">
        <v>8</v>
      </c>
      <c r="D385" s="63">
        <v>0.1</v>
      </c>
      <c r="E385" s="63">
        <v>1</v>
      </c>
      <c r="F385" s="63">
        <v>1.0000000000000001E-5</v>
      </c>
      <c r="G385" s="63" t="s">
        <v>6</v>
      </c>
      <c r="H385" s="63" t="s">
        <v>5</v>
      </c>
      <c r="I385" s="63">
        <v>20</v>
      </c>
      <c r="J385" s="63">
        <v>50</v>
      </c>
      <c r="K385" s="63" t="s">
        <v>10</v>
      </c>
      <c r="L385" s="63">
        <v>24</v>
      </c>
      <c r="M385" s="63">
        <v>350</v>
      </c>
      <c r="N385" s="63">
        <v>23.693000000000001</v>
      </c>
      <c r="O385" s="64">
        <v>345.87</v>
      </c>
    </row>
    <row r="386" spans="1:15" x14ac:dyDescent="0.25">
      <c r="A386" s="114" t="s">
        <v>1055</v>
      </c>
      <c r="B386" s="63" t="s">
        <v>52</v>
      </c>
      <c r="C386" s="63" t="s">
        <v>8</v>
      </c>
      <c r="D386" s="63">
        <v>0.1</v>
      </c>
      <c r="E386" s="63">
        <v>1</v>
      </c>
      <c r="F386" s="63">
        <v>1.0000000000000001E-5</v>
      </c>
      <c r="G386" s="63" t="s">
        <v>6</v>
      </c>
      <c r="H386" s="63" t="s">
        <v>5</v>
      </c>
      <c r="I386" s="63">
        <v>50</v>
      </c>
      <c r="J386" s="63">
        <v>100</v>
      </c>
      <c r="K386" s="63" t="s">
        <v>10</v>
      </c>
      <c r="L386" s="63">
        <v>27</v>
      </c>
      <c r="M386" s="63">
        <v>935.62</v>
      </c>
      <c r="N386" s="63">
        <v>23.297999999999998</v>
      </c>
      <c r="O386" s="64">
        <v>938.72</v>
      </c>
    </row>
    <row r="387" spans="1:15" x14ac:dyDescent="0.25">
      <c r="A387" s="114" t="s">
        <v>2241</v>
      </c>
      <c r="B387" s="63" t="s">
        <v>52</v>
      </c>
      <c r="C387" s="63" t="s">
        <v>8</v>
      </c>
      <c r="D387" s="63">
        <v>0.1</v>
      </c>
      <c r="E387" s="63">
        <v>1</v>
      </c>
      <c r="F387" s="63">
        <v>1.0000000000000001E-5</v>
      </c>
      <c r="G387" s="63" t="s">
        <v>6</v>
      </c>
      <c r="H387" s="63" t="s">
        <v>5</v>
      </c>
      <c r="I387" s="63">
        <v>100</v>
      </c>
      <c r="J387" s="63">
        <v>300</v>
      </c>
      <c r="K387" s="63" t="s">
        <v>10</v>
      </c>
      <c r="L387" s="63">
        <v>120</v>
      </c>
      <c r="M387" s="63">
        <v>3500</v>
      </c>
      <c r="N387" s="63">
        <v>116.55</v>
      </c>
      <c r="O387" s="64">
        <v>3463.2</v>
      </c>
    </row>
    <row r="388" spans="1:15" x14ac:dyDescent="0.25">
      <c r="A388" s="114" t="s">
        <v>1054</v>
      </c>
      <c r="B388" s="63" t="s">
        <v>52</v>
      </c>
      <c r="C388" s="63" t="s">
        <v>8</v>
      </c>
      <c r="D388" s="63">
        <v>0.1</v>
      </c>
      <c r="E388" s="63">
        <v>1</v>
      </c>
      <c r="F388" s="63">
        <v>1.0000000000000001E-5</v>
      </c>
      <c r="G388" s="63" t="s">
        <v>6</v>
      </c>
      <c r="H388" s="63" t="s">
        <v>5</v>
      </c>
      <c r="I388" s="63">
        <v>300</v>
      </c>
      <c r="J388" s="63">
        <v>1000</v>
      </c>
      <c r="K388" s="63" t="s">
        <v>10</v>
      </c>
      <c r="L388" s="63">
        <v>120</v>
      </c>
      <c r="M388" s="63">
        <v>12000</v>
      </c>
      <c r="N388" s="63">
        <v>110.73</v>
      </c>
      <c r="O388" s="64">
        <v>11675</v>
      </c>
    </row>
    <row r="389" spans="1:15" x14ac:dyDescent="0.25">
      <c r="A389" s="114" t="s">
        <v>1052</v>
      </c>
      <c r="B389" s="63" t="s">
        <v>52</v>
      </c>
      <c r="C389" s="63" t="s">
        <v>8</v>
      </c>
      <c r="D389" s="63">
        <v>0.1</v>
      </c>
      <c r="E389" s="63">
        <v>1</v>
      </c>
      <c r="F389" s="63">
        <v>1.0000000000000001E-5</v>
      </c>
      <c r="G389" s="63" t="s">
        <v>6</v>
      </c>
      <c r="H389" s="63" t="s">
        <v>5</v>
      </c>
      <c r="I389" s="63">
        <v>1000</v>
      </c>
      <c r="J389" s="63">
        <v>2000</v>
      </c>
      <c r="K389" s="63" t="s">
        <v>10</v>
      </c>
      <c r="L389" s="63">
        <v>590</v>
      </c>
      <c r="M389" s="63">
        <v>17152</v>
      </c>
      <c r="N389" s="63">
        <v>108.38</v>
      </c>
      <c r="O389" s="64">
        <v>17479</v>
      </c>
    </row>
    <row r="390" spans="1:15" x14ac:dyDescent="0.25">
      <c r="A390" s="114" t="s">
        <v>1056</v>
      </c>
      <c r="B390" s="63" t="s">
        <v>52</v>
      </c>
      <c r="C390" s="63" t="s">
        <v>8</v>
      </c>
      <c r="D390" s="63">
        <v>0.1</v>
      </c>
      <c r="E390" s="63">
        <v>1</v>
      </c>
      <c r="F390" s="63">
        <v>1.0000000000000001E-5</v>
      </c>
      <c r="G390" s="63" t="s">
        <v>6</v>
      </c>
      <c r="H390" s="63" t="s">
        <v>4</v>
      </c>
      <c r="I390" s="63">
        <v>2000</v>
      </c>
      <c r="J390" s="63">
        <v>4000</v>
      </c>
      <c r="K390" s="63" t="s">
        <v>10</v>
      </c>
      <c r="L390" s="63">
        <v>1.2</v>
      </c>
      <c r="M390" s="63">
        <v>46.029000000000003</v>
      </c>
      <c r="N390" s="63">
        <v>0.80073000000000005</v>
      </c>
      <c r="O390" s="64">
        <v>46.326000000000001</v>
      </c>
    </row>
    <row r="391" spans="1:15" x14ac:dyDescent="0.25">
      <c r="A391" s="114" t="s">
        <v>1050</v>
      </c>
      <c r="B391" s="63" t="s">
        <v>52</v>
      </c>
      <c r="C391" s="63" t="s">
        <v>8</v>
      </c>
      <c r="D391" s="63">
        <v>0.1</v>
      </c>
      <c r="E391" s="63">
        <v>1</v>
      </c>
      <c r="F391" s="63">
        <v>1.0000000000000001E-5</v>
      </c>
      <c r="G391" s="63" t="s">
        <v>6</v>
      </c>
      <c r="H391" s="63" t="s">
        <v>4</v>
      </c>
      <c r="I391" s="63">
        <v>4000</v>
      </c>
      <c r="J391" s="63">
        <v>8000</v>
      </c>
      <c r="K391" s="63" t="s">
        <v>10</v>
      </c>
      <c r="L391" s="63">
        <v>1.3</v>
      </c>
      <c r="M391" s="63">
        <v>46.045999999999999</v>
      </c>
      <c r="N391" s="63">
        <v>0.91607000000000005</v>
      </c>
      <c r="O391" s="64">
        <v>46.326000000000001</v>
      </c>
    </row>
    <row r="392" spans="1:15" x14ac:dyDescent="0.25">
      <c r="A392" s="114" t="s">
        <v>2242</v>
      </c>
      <c r="B392" s="63" t="s">
        <v>52</v>
      </c>
      <c r="C392" s="63" t="s">
        <v>8</v>
      </c>
      <c r="D392" s="63">
        <v>0.1</v>
      </c>
      <c r="E392" s="63">
        <v>1</v>
      </c>
      <c r="F392" s="63">
        <v>1.0000000000000001E-5</v>
      </c>
      <c r="G392" s="63" t="s">
        <v>6</v>
      </c>
      <c r="H392" s="63" t="s">
        <v>4</v>
      </c>
      <c r="I392" s="63">
        <v>8000</v>
      </c>
      <c r="J392" s="63">
        <v>10000</v>
      </c>
      <c r="K392" s="63" t="s">
        <v>10</v>
      </c>
      <c r="L392" s="63">
        <v>4.5999999999999996</v>
      </c>
      <c r="M392" s="63">
        <v>170.12</v>
      </c>
      <c r="N392" s="63">
        <v>1.1459999999999999</v>
      </c>
      <c r="O392" s="64">
        <v>173.36</v>
      </c>
    </row>
    <row r="393" spans="1:15" x14ac:dyDescent="0.25">
      <c r="A393" s="114" t="s">
        <v>1094</v>
      </c>
      <c r="B393" s="63" t="s">
        <v>52</v>
      </c>
      <c r="C393" s="63" t="s">
        <v>8</v>
      </c>
      <c r="D393" s="63">
        <v>1</v>
      </c>
      <c r="E393" s="63">
        <v>10</v>
      </c>
      <c r="F393" s="63">
        <v>1.0000000000000001E-5</v>
      </c>
      <c r="G393" s="63" t="s">
        <v>6</v>
      </c>
      <c r="H393" s="63" t="s">
        <v>4</v>
      </c>
      <c r="I393" s="63">
        <v>1E-3</v>
      </c>
      <c r="J393" s="63">
        <v>0.04</v>
      </c>
      <c r="K393" s="63" t="s">
        <v>10</v>
      </c>
      <c r="L393" s="63">
        <v>0.46</v>
      </c>
      <c r="M393" s="63">
        <v>9.1967999999999994E-2</v>
      </c>
      <c r="N393" s="63">
        <v>0.45057000000000003</v>
      </c>
      <c r="O393" s="64">
        <v>9.2197000000000001E-2</v>
      </c>
    </row>
    <row r="394" spans="1:15" x14ac:dyDescent="0.25">
      <c r="A394" s="114" t="s">
        <v>1093</v>
      </c>
      <c r="B394" s="63" t="s">
        <v>52</v>
      </c>
      <c r="C394" s="63" t="s">
        <v>8</v>
      </c>
      <c r="D394" s="63">
        <v>1</v>
      </c>
      <c r="E394" s="63">
        <v>10</v>
      </c>
      <c r="F394" s="63">
        <v>1.0000000000000001E-5</v>
      </c>
      <c r="G394" s="63" t="s">
        <v>6</v>
      </c>
      <c r="H394" s="63" t="s">
        <v>4</v>
      </c>
      <c r="I394" s="63">
        <v>0.04</v>
      </c>
      <c r="J394" s="63">
        <v>1</v>
      </c>
      <c r="K394" s="63" t="s">
        <v>10</v>
      </c>
      <c r="L394" s="63">
        <v>0.25</v>
      </c>
      <c r="M394" s="63">
        <v>8.4437999999999999E-2</v>
      </c>
      <c r="N394" s="63">
        <v>0.22631999999999999</v>
      </c>
      <c r="O394" s="64">
        <v>8.5540000000000005E-2</v>
      </c>
    </row>
    <row r="395" spans="1:15" x14ac:dyDescent="0.25">
      <c r="A395" s="114" t="s">
        <v>1095</v>
      </c>
      <c r="B395" s="63" t="s">
        <v>52</v>
      </c>
      <c r="C395" s="63" t="s">
        <v>8</v>
      </c>
      <c r="D395" s="63">
        <v>1</v>
      </c>
      <c r="E395" s="63">
        <v>10</v>
      </c>
      <c r="F395" s="63">
        <v>1.0000000000000001E-5</v>
      </c>
      <c r="G395" s="63" t="s">
        <v>6</v>
      </c>
      <c r="H395" s="63" t="s">
        <v>4</v>
      </c>
      <c r="I395" s="63">
        <v>1</v>
      </c>
      <c r="J395" s="63">
        <v>20</v>
      </c>
      <c r="K395" s="63" t="s">
        <v>10</v>
      </c>
      <c r="L395" s="63">
        <v>0.28000000000000003</v>
      </c>
      <c r="M395" s="63">
        <v>0.16134000000000001</v>
      </c>
      <c r="N395" s="63">
        <v>0.22836999999999999</v>
      </c>
      <c r="O395" s="64">
        <v>0.16434000000000001</v>
      </c>
    </row>
    <row r="396" spans="1:15" x14ac:dyDescent="0.25">
      <c r="A396" s="114" t="s">
        <v>1100</v>
      </c>
      <c r="B396" s="63" t="s">
        <v>52</v>
      </c>
      <c r="C396" s="63" t="s">
        <v>8</v>
      </c>
      <c r="D396" s="63">
        <v>1</v>
      </c>
      <c r="E396" s="63">
        <v>10</v>
      </c>
      <c r="F396" s="63">
        <v>1.0000000000000001E-5</v>
      </c>
      <c r="G396" s="63" t="s">
        <v>6</v>
      </c>
      <c r="H396" s="63" t="s">
        <v>4</v>
      </c>
      <c r="I396" s="63">
        <v>20</v>
      </c>
      <c r="J396" s="63">
        <v>50</v>
      </c>
      <c r="K396" s="63" t="s">
        <v>10</v>
      </c>
      <c r="L396" s="63">
        <v>0.24</v>
      </c>
      <c r="M396" s="63">
        <v>0.35</v>
      </c>
      <c r="N396" s="63">
        <v>0.22972999999999999</v>
      </c>
      <c r="O396" s="64">
        <v>0.34775</v>
      </c>
    </row>
    <row r="397" spans="1:15" x14ac:dyDescent="0.25">
      <c r="A397" s="114" t="s">
        <v>1092</v>
      </c>
      <c r="B397" s="63" t="s">
        <v>52</v>
      </c>
      <c r="C397" s="63" t="s">
        <v>8</v>
      </c>
      <c r="D397" s="63">
        <v>1</v>
      </c>
      <c r="E397" s="63">
        <v>10</v>
      </c>
      <c r="F397" s="63">
        <v>1.0000000000000001E-5</v>
      </c>
      <c r="G397" s="63" t="s">
        <v>6</v>
      </c>
      <c r="H397" s="63" t="s">
        <v>4</v>
      </c>
      <c r="I397" s="63">
        <v>50</v>
      </c>
      <c r="J397" s="63">
        <v>100</v>
      </c>
      <c r="K397" s="63" t="s">
        <v>10</v>
      </c>
      <c r="L397" s="63">
        <v>0.27</v>
      </c>
      <c r="M397" s="63">
        <v>0.93759000000000003</v>
      </c>
      <c r="N397" s="63">
        <v>0.22603999999999999</v>
      </c>
      <c r="O397" s="64">
        <v>0.94120999999999999</v>
      </c>
    </row>
    <row r="398" spans="1:15" x14ac:dyDescent="0.25">
      <c r="A398" s="114" t="s">
        <v>1096</v>
      </c>
      <c r="B398" s="63" t="s">
        <v>52</v>
      </c>
      <c r="C398" s="63" t="s">
        <v>8</v>
      </c>
      <c r="D398" s="63">
        <v>1</v>
      </c>
      <c r="E398" s="63">
        <v>10</v>
      </c>
      <c r="F398" s="63">
        <v>1.0000000000000001E-5</v>
      </c>
      <c r="G398" s="63" t="s">
        <v>6</v>
      </c>
      <c r="H398" s="63" t="s">
        <v>4</v>
      </c>
      <c r="I398" s="63">
        <v>100</v>
      </c>
      <c r="J398" s="63">
        <v>300</v>
      </c>
      <c r="K398" s="63" t="s">
        <v>10</v>
      </c>
      <c r="L398" s="63">
        <v>1.2</v>
      </c>
      <c r="M398" s="63">
        <v>3.5</v>
      </c>
      <c r="N398" s="63">
        <v>1.1358999999999999</v>
      </c>
      <c r="O398" s="64">
        <v>3.4830999999999999</v>
      </c>
    </row>
    <row r="399" spans="1:15" x14ac:dyDescent="0.25">
      <c r="A399" s="114" t="s">
        <v>1099</v>
      </c>
      <c r="B399" s="63" t="s">
        <v>52</v>
      </c>
      <c r="C399" s="63" t="s">
        <v>8</v>
      </c>
      <c r="D399" s="63">
        <v>1</v>
      </c>
      <c r="E399" s="63">
        <v>10</v>
      </c>
      <c r="F399" s="63">
        <v>1.0000000000000001E-5</v>
      </c>
      <c r="G399" s="63" t="s">
        <v>6</v>
      </c>
      <c r="H399" s="63" t="s">
        <v>4</v>
      </c>
      <c r="I399" s="63">
        <v>300</v>
      </c>
      <c r="J399" s="63">
        <v>1000</v>
      </c>
      <c r="K399" s="63" t="s">
        <v>10</v>
      </c>
      <c r="L399" s="63">
        <v>0.83</v>
      </c>
      <c r="M399" s="63">
        <v>11.988</v>
      </c>
      <c r="N399" s="63">
        <v>1.127</v>
      </c>
      <c r="O399" s="64">
        <v>11.688000000000001</v>
      </c>
    </row>
    <row r="400" spans="1:15" x14ac:dyDescent="0.25">
      <c r="A400" s="114" t="s">
        <v>1101</v>
      </c>
      <c r="B400" s="63" t="s">
        <v>52</v>
      </c>
      <c r="C400" s="63" t="s">
        <v>8</v>
      </c>
      <c r="D400" s="63">
        <v>1</v>
      </c>
      <c r="E400" s="63">
        <v>10</v>
      </c>
      <c r="F400" s="63">
        <v>1.0000000000000001E-5</v>
      </c>
      <c r="G400" s="63" t="s">
        <v>6</v>
      </c>
      <c r="H400" s="63" t="s">
        <v>4</v>
      </c>
      <c r="I400" s="63">
        <v>1000</v>
      </c>
      <c r="J400" s="63">
        <v>2000</v>
      </c>
      <c r="K400" s="63" t="s">
        <v>10</v>
      </c>
      <c r="L400" s="63">
        <v>6.1</v>
      </c>
      <c r="M400" s="63">
        <v>17.155999999999999</v>
      </c>
      <c r="N400" s="63">
        <v>1.1337999999999999</v>
      </c>
      <c r="O400" s="64">
        <v>17.486999999999998</v>
      </c>
    </row>
    <row r="401" spans="1:15" x14ac:dyDescent="0.25">
      <c r="A401" s="114" t="s">
        <v>1097</v>
      </c>
      <c r="B401" s="63" t="s">
        <v>52</v>
      </c>
      <c r="C401" s="63" t="s">
        <v>8</v>
      </c>
      <c r="D401" s="63">
        <v>1</v>
      </c>
      <c r="E401" s="63">
        <v>10</v>
      </c>
      <c r="F401" s="63">
        <v>1.0000000000000001E-5</v>
      </c>
      <c r="G401" s="63" t="s">
        <v>6</v>
      </c>
      <c r="H401" s="63" t="s">
        <v>4</v>
      </c>
      <c r="I401" s="63">
        <v>2000</v>
      </c>
      <c r="J401" s="63">
        <v>4000</v>
      </c>
      <c r="K401" s="63" t="s">
        <v>10</v>
      </c>
      <c r="L401" s="63">
        <v>12</v>
      </c>
      <c r="M401" s="63">
        <v>46.037999999999997</v>
      </c>
      <c r="N401" s="63">
        <v>8.06</v>
      </c>
      <c r="O401" s="64">
        <v>46.328000000000003</v>
      </c>
    </row>
    <row r="402" spans="1:15" x14ac:dyDescent="0.25">
      <c r="A402" s="114" t="s">
        <v>1098</v>
      </c>
      <c r="B402" s="63" t="s">
        <v>52</v>
      </c>
      <c r="C402" s="63" t="s">
        <v>8</v>
      </c>
      <c r="D402" s="63">
        <v>1</v>
      </c>
      <c r="E402" s="63">
        <v>10</v>
      </c>
      <c r="F402" s="63">
        <v>1.0000000000000001E-5</v>
      </c>
      <c r="G402" s="63" t="s">
        <v>6</v>
      </c>
      <c r="H402" s="63" t="s">
        <v>4</v>
      </c>
      <c r="I402" s="63">
        <v>4000</v>
      </c>
      <c r="J402" s="63">
        <v>8000</v>
      </c>
      <c r="K402" s="63" t="s">
        <v>10</v>
      </c>
      <c r="L402" s="63">
        <v>15</v>
      </c>
      <c r="M402" s="63">
        <v>46.325000000000003</v>
      </c>
      <c r="N402" s="63">
        <v>9.1631999999999998</v>
      </c>
      <c r="O402" s="64">
        <v>46.576000000000001</v>
      </c>
    </row>
    <row r="403" spans="1:15" x14ac:dyDescent="0.25">
      <c r="A403" s="114" t="s">
        <v>2243</v>
      </c>
      <c r="B403" s="63" t="s">
        <v>52</v>
      </c>
      <c r="C403" s="63" t="s">
        <v>8</v>
      </c>
      <c r="D403" s="63">
        <v>1</v>
      </c>
      <c r="E403" s="63">
        <v>10</v>
      </c>
      <c r="F403" s="63">
        <v>1.0000000000000001E-5</v>
      </c>
      <c r="G403" s="63" t="s">
        <v>6</v>
      </c>
      <c r="H403" s="63" t="s">
        <v>4</v>
      </c>
      <c r="I403" s="63">
        <v>8000</v>
      </c>
      <c r="J403" s="63">
        <v>10000</v>
      </c>
      <c r="K403" s="63" t="s">
        <v>10</v>
      </c>
      <c r="L403" s="63">
        <v>46</v>
      </c>
      <c r="M403" s="63">
        <v>170.12</v>
      </c>
      <c r="N403" s="63">
        <v>11.529</v>
      </c>
      <c r="O403" s="64">
        <v>173.36</v>
      </c>
    </row>
    <row r="404" spans="1:15" x14ac:dyDescent="0.25">
      <c r="A404" s="114" t="s">
        <v>1138</v>
      </c>
      <c r="B404" s="63" t="s">
        <v>52</v>
      </c>
      <c r="C404" s="63" t="s">
        <v>8</v>
      </c>
      <c r="D404" s="63">
        <v>10</v>
      </c>
      <c r="E404" s="63">
        <v>20</v>
      </c>
      <c r="F404" s="63">
        <v>1.0000000000000001E-5</v>
      </c>
      <c r="G404" s="63" t="s">
        <v>6</v>
      </c>
      <c r="H404" s="63" t="s">
        <v>4</v>
      </c>
      <c r="I404" s="63">
        <v>1E-3</v>
      </c>
      <c r="J404" s="63">
        <v>0.04</v>
      </c>
      <c r="K404" s="63" t="s">
        <v>10</v>
      </c>
      <c r="L404" s="63">
        <v>4.7</v>
      </c>
      <c r="M404" s="63">
        <v>0.23</v>
      </c>
      <c r="N404" s="63">
        <v>4.6185999999999998</v>
      </c>
      <c r="O404" s="64">
        <v>0.23291000000000001</v>
      </c>
    </row>
    <row r="405" spans="1:15" x14ac:dyDescent="0.25">
      <c r="A405" s="114" t="s">
        <v>1139</v>
      </c>
      <c r="B405" s="63" t="s">
        <v>52</v>
      </c>
      <c r="C405" s="63" t="s">
        <v>8</v>
      </c>
      <c r="D405" s="63">
        <v>10</v>
      </c>
      <c r="E405" s="63">
        <v>20</v>
      </c>
      <c r="F405" s="63">
        <v>1.0000000000000001E-5</v>
      </c>
      <c r="G405" s="63" t="s">
        <v>6</v>
      </c>
      <c r="H405" s="63" t="s">
        <v>4</v>
      </c>
      <c r="I405" s="63">
        <v>0.04</v>
      </c>
      <c r="J405" s="63">
        <v>1</v>
      </c>
      <c r="K405" s="63" t="s">
        <v>10</v>
      </c>
      <c r="L405" s="63">
        <v>2.4</v>
      </c>
      <c r="M405" s="63">
        <v>0.23</v>
      </c>
      <c r="N405" s="63">
        <v>2.298</v>
      </c>
      <c r="O405" s="64">
        <v>0.23305999999999999</v>
      </c>
    </row>
    <row r="406" spans="1:15" x14ac:dyDescent="0.25">
      <c r="A406" s="114" t="s">
        <v>1134</v>
      </c>
      <c r="B406" s="63" t="s">
        <v>52</v>
      </c>
      <c r="C406" s="63" t="s">
        <v>8</v>
      </c>
      <c r="D406" s="63">
        <v>10</v>
      </c>
      <c r="E406" s="63">
        <v>20</v>
      </c>
      <c r="F406" s="63">
        <v>1.0000000000000001E-5</v>
      </c>
      <c r="G406" s="63" t="s">
        <v>6</v>
      </c>
      <c r="H406" s="63" t="s">
        <v>4</v>
      </c>
      <c r="I406" s="63">
        <v>1</v>
      </c>
      <c r="J406" s="63">
        <v>20</v>
      </c>
      <c r="K406" s="63" t="s">
        <v>10</v>
      </c>
      <c r="L406" s="63">
        <v>2.4</v>
      </c>
      <c r="M406" s="63">
        <v>0.23</v>
      </c>
      <c r="N406" s="63">
        <v>2.298</v>
      </c>
      <c r="O406" s="64">
        <v>0.23305999999999999</v>
      </c>
    </row>
    <row r="407" spans="1:15" x14ac:dyDescent="0.25">
      <c r="A407" s="114" t="s">
        <v>2244</v>
      </c>
      <c r="B407" s="63" t="s">
        <v>52</v>
      </c>
      <c r="C407" s="63" t="s">
        <v>8</v>
      </c>
      <c r="D407" s="63">
        <v>10</v>
      </c>
      <c r="E407" s="63">
        <v>20</v>
      </c>
      <c r="F407" s="63">
        <v>1.0000000000000001E-5</v>
      </c>
      <c r="G407" s="63" t="s">
        <v>6</v>
      </c>
      <c r="H407" s="63" t="s">
        <v>4</v>
      </c>
      <c r="I407" s="63">
        <v>20</v>
      </c>
      <c r="J407" s="63">
        <v>50</v>
      </c>
      <c r="K407" s="63" t="s">
        <v>10</v>
      </c>
      <c r="L407" s="63">
        <v>2.4</v>
      </c>
      <c r="M407" s="63">
        <v>0.41</v>
      </c>
      <c r="N407" s="63">
        <v>2.2656000000000001</v>
      </c>
      <c r="O407" s="64">
        <v>0.40923999999999999</v>
      </c>
    </row>
    <row r="408" spans="1:15" x14ac:dyDescent="0.25">
      <c r="A408" s="114" t="s">
        <v>1136</v>
      </c>
      <c r="B408" s="63" t="s">
        <v>52</v>
      </c>
      <c r="C408" s="63" t="s">
        <v>8</v>
      </c>
      <c r="D408" s="63">
        <v>10</v>
      </c>
      <c r="E408" s="63">
        <v>20</v>
      </c>
      <c r="F408" s="63">
        <v>1.0000000000000001E-5</v>
      </c>
      <c r="G408" s="63" t="s">
        <v>6</v>
      </c>
      <c r="H408" s="63" t="s">
        <v>4</v>
      </c>
      <c r="I408" s="63">
        <v>50</v>
      </c>
      <c r="J408" s="63">
        <v>100</v>
      </c>
      <c r="K408" s="63" t="s">
        <v>10</v>
      </c>
      <c r="L408" s="63">
        <v>2.4</v>
      </c>
      <c r="M408" s="63">
        <v>1.4</v>
      </c>
      <c r="N408" s="63">
        <v>2.3767</v>
      </c>
      <c r="O408" s="64">
        <v>1.3889</v>
      </c>
    </row>
    <row r="409" spans="1:15" x14ac:dyDescent="0.25">
      <c r="A409" s="114" t="s">
        <v>1133</v>
      </c>
      <c r="B409" s="63" t="s">
        <v>52</v>
      </c>
      <c r="C409" s="63" t="s">
        <v>8</v>
      </c>
      <c r="D409" s="63">
        <v>10</v>
      </c>
      <c r="E409" s="63">
        <v>100</v>
      </c>
      <c r="F409" s="63">
        <v>1.0000000000000001E-5</v>
      </c>
      <c r="G409" s="63" t="s">
        <v>6</v>
      </c>
      <c r="H409" s="63" t="s">
        <v>4</v>
      </c>
      <c r="I409" s="63">
        <v>100</v>
      </c>
      <c r="J409" s="63">
        <v>300</v>
      </c>
      <c r="K409" s="63" t="s">
        <v>10</v>
      </c>
      <c r="L409" s="63">
        <v>15</v>
      </c>
      <c r="M409" s="63">
        <v>4.5999999999999996</v>
      </c>
      <c r="N409" s="63">
        <v>11.574999999999999</v>
      </c>
      <c r="O409" s="64">
        <v>4.6268000000000002</v>
      </c>
    </row>
    <row r="410" spans="1:15" x14ac:dyDescent="0.25">
      <c r="A410" s="114" t="s">
        <v>1140</v>
      </c>
      <c r="B410" s="63" t="s">
        <v>52</v>
      </c>
      <c r="C410" s="63" t="s">
        <v>8</v>
      </c>
      <c r="D410" s="63">
        <v>10</v>
      </c>
      <c r="E410" s="63">
        <v>20</v>
      </c>
      <c r="F410" s="63">
        <v>1.0000000000000001E-5</v>
      </c>
      <c r="G410" s="63" t="s">
        <v>6</v>
      </c>
      <c r="H410" s="63" t="s">
        <v>4</v>
      </c>
      <c r="I410" s="63">
        <v>100</v>
      </c>
      <c r="J410" s="63">
        <v>300</v>
      </c>
      <c r="K410" s="63" t="s">
        <v>10</v>
      </c>
      <c r="L410" s="63">
        <v>13</v>
      </c>
      <c r="M410" s="63">
        <v>4.5999999999999996</v>
      </c>
      <c r="N410" s="63">
        <v>11.573</v>
      </c>
      <c r="O410" s="64">
        <v>4.6268000000000002</v>
      </c>
    </row>
    <row r="411" spans="1:15" x14ac:dyDescent="0.25">
      <c r="A411" s="114" t="s">
        <v>1137</v>
      </c>
      <c r="B411" s="63" t="s">
        <v>52</v>
      </c>
      <c r="C411" s="63" t="s">
        <v>8</v>
      </c>
      <c r="D411" s="63">
        <v>10</v>
      </c>
      <c r="E411" s="63">
        <v>20</v>
      </c>
      <c r="F411" s="63">
        <v>1.0000000000000001E-5</v>
      </c>
      <c r="G411" s="63" t="s">
        <v>6</v>
      </c>
      <c r="H411" s="63" t="s">
        <v>4</v>
      </c>
      <c r="I411" s="63">
        <v>300</v>
      </c>
      <c r="J411" s="63">
        <v>1000</v>
      </c>
      <c r="K411" s="63" t="s">
        <v>10</v>
      </c>
      <c r="L411" s="63">
        <v>19</v>
      </c>
      <c r="M411" s="63">
        <v>17</v>
      </c>
      <c r="N411" s="63">
        <v>12.388</v>
      </c>
      <c r="O411" s="64">
        <v>17.324000000000002</v>
      </c>
    </row>
    <row r="412" spans="1:15" x14ac:dyDescent="0.25">
      <c r="A412" s="114" t="s">
        <v>1135</v>
      </c>
      <c r="B412" s="63" t="s">
        <v>52</v>
      </c>
      <c r="C412" s="63" t="s">
        <v>8</v>
      </c>
      <c r="D412" s="63">
        <v>10</v>
      </c>
      <c r="E412" s="63">
        <v>100</v>
      </c>
      <c r="F412" s="63">
        <v>1.0000000000000001E-5</v>
      </c>
      <c r="G412" s="63" t="s">
        <v>6</v>
      </c>
      <c r="H412" s="63" t="s">
        <v>4</v>
      </c>
      <c r="I412" s="63">
        <v>300</v>
      </c>
      <c r="J412" s="63">
        <v>1000</v>
      </c>
      <c r="K412" s="63" t="s">
        <v>10</v>
      </c>
      <c r="L412" s="63">
        <v>46</v>
      </c>
      <c r="M412" s="63">
        <v>17</v>
      </c>
      <c r="N412" s="63">
        <v>12.317</v>
      </c>
      <c r="O412" s="64">
        <v>17.334</v>
      </c>
    </row>
    <row r="413" spans="1:15" x14ac:dyDescent="0.25">
      <c r="A413" s="114" t="s">
        <v>1169</v>
      </c>
      <c r="B413" s="63" t="s">
        <v>52</v>
      </c>
      <c r="C413" s="63" t="s">
        <v>8</v>
      </c>
      <c r="D413" s="63">
        <v>20</v>
      </c>
      <c r="E413" s="63">
        <v>100</v>
      </c>
      <c r="F413" s="63">
        <v>1.0000000000000001E-5</v>
      </c>
      <c r="G413" s="63" t="s">
        <v>6</v>
      </c>
      <c r="H413" s="63" t="s">
        <v>4</v>
      </c>
      <c r="I413" s="63">
        <v>1E-3</v>
      </c>
      <c r="J413" s="63">
        <v>0.04</v>
      </c>
      <c r="K413" s="63" t="s">
        <v>10</v>
      </c>
      <c r="L413" s="63">
        <v>5</v>
      </c>
      <c r="M413" s="63">
        <v>0.23</v>
      </c>
      <c r="N413" s="63">
        <v>4.6009000000000002</v>
      </c>
      <c r="O413" s="64">
        <v>0.23351</v>
      </c>
    </row>
    <row r="414" spans="1:15" x14ac:dyDescent="0.25">
      <c r="A414" s="114" t="s">
        <v>2245</v>
      </c>
      <c r="B414" s="63" t="s">
        <v>52</v>
      </c>
      <c r="C414" s="63" t="s">
        <v>8</v>
      </c>
      <c r="D414" s="63">
        <v>20</v>
      </c>
      <c r="E414" s="63">
        <v>100</v>
      </c>
      <c r="F414" s="63">
        <v>1.0000000000000001E-5</v>
      </c>
      <c r="G414" s="63" t="s">
        <v>6</v>
      </c>
      <c r="H414" s="63" t="s">
        <v>4</v>
      </c>
      <c r="I414" s="63">
        <v>0.04</v>
      </c>
      <c r="J414" s="63">
        <v>1</v>
      </c>
      <c r="K414" s="63" t="s">
        <v>10</v>
      </c>
      <c r="L414" s="63">
        <v>2.7</v>
      </c>
      <c r="M414" s="63">
        <v>0.23</v>
      </c>
      <c r="N414" s="63">
        <v>2.2757999999999998</v>
      </c>
      <c r="O414" s="64">
        <v>0.23386000000000001</v>
      </c>
    </row>
    <row r="415" spans="1:15" x14ac:dyDescent="0.25">
      <c r="A415" s="114" t="s">
        <v>1168</v>
      </c>
      <c r="B415" s="63" t="s">
        <v>52</v>
      </c>
      <c r="C415" s="63" t="s">
        <v>8</v>
      </c>
      <c r="D415" s="63">
        <v>20</v>
      </c>
      <c r="E415" s="63">
        <v>100</v>
      </c>
      <c r="F415" s="63">
        <v>1.0000000000000001E-5</v>
      </c>
      <c r="G415" s="63" t="s">
        <v>6</v>
      </c>
      <c r="H415" s="63" t="s">
        <v>4</v>
      </c>
      <c r="I415" s="63">
        <v>1</v>
      </c>
      <c r="J415" s="63">
        <v>20</v>
      </c>
      <c r="K415" s="63" t="s">
        <v>10</v>
      </c>
      <c r="L415" s="63">
        <v>4.9000000000000004</v>
      </c>
      <c r="M415" s="63">
        <v>0.21</v>
      </c>
      <c r="N415" s="63">
        <v>4.8563999999999998</v>
      </c>
      <c r="O415" s="64">
        <v>0.20787</v>
      </c>
    </row>
    <row r="416" spans="1:15" x14ac:dyDescent="0.25">
      <c r="A416" s="114" t="s">
        <v>2246</v>
      </c>
      <c r="B416" s="63" t="s">
        <v>52</v>
      </c>
      <c r="C416" s="63" t="s">
        <v>8</v>
      </c>
      <c r="D416" s="63">
        <v>20</v>
      </c>
      <c r="E416" s="63">
        <v>100</v>
      </c>
      <c r="F416" s="63">
        <v>1.0000000000000001E-5</v>
      </c>
      <c r="G416" s="63" t="s">
        <v>6</v>
      </c>
      <c r="H416" s="63" t="s">
        <v>4</v>
      </c>
      <c r="I416" s="63">
        <v>20</v>
      </c>
      <c r="J416" s="63">
        <v>50</v>
      </c>
      <c r="K416" s="63" t="s">
        <v>10</v>
      </c>
      <c r="L416" s="63">
        <v>6.8</v>
      </c>
      <c r="M416" s="63">
        <v>0.37</v>
      </c>
      <c r="N416" s="63">
        <v>6.7323000000000004</v>
      </c>
      <c r="O416" s="64">
        <v>0.36645</v>
      </c>
    </row>
    <row r="417" spans="1:15" x14ac:dyDescent="0.25">
      <c r="A417" s="114" t="s">
        <v>1170</v>
      </c>
      <c r="B417" s="63" t="s">
        <v>52</v>
      </c>
      <c r="C417" s="63" t="s">
        <v>8</v>
      </c>
      <c r="D417" s="63">
        <v>20</v>
      </c>
      <c r="E417" s="63">
        <v>100</v>
      </c>
      <c r="F417" s="63">
        <v>1.0000000000000001E-5</v>
      </c>
      <c r="G417" s="63" t="s">
        <v>6</v>
      </c>
      <c r="H417" s="63" t="s">
        <v>4</v>
      </c>
      <c r="I417" s="63">
        <v>50</v>
      </c>
      <c r="J417" s="63">
        <v>100</v>
      </c>
      <c r="K417" s="63" t="s">
        <v>10</v>
      </c>
      <c r="L417" s="63">
        <v>22</v>
      </c>
      <c r="M417" s="63">
        <v>1.2</v>
      </c>
      <c r="N417" s="63">
        <v>17.722000000000001</v>
      </c>
      <c r="O417" s="64">
        <v>1.2358</v>
      </c>
    </row>
    <row r="418" spans="1:15" x14ac:dyDescent="0.25">
      <c r="A418" s="114" t="s">
        <v>2247</v>
      </c>
      <c r="B418" s="63" t="s">
        <v>52</v>
      </c>
      <c r="C418" s="63" t="s">
        <v>8</v>
      </c>
      <c r="D418" s="63">
        <v>0</v>
      </c>
      <c r="E418" s="63">
        <v>0.01</v>
      </c>
      <c r="F418" s="63">
        <v>1E-4</v>
      </c>
      <c r="G418" s="63" t="s">
        <v>6</v>
      </c>
      <c r="H418" s="63" t="s">
        <v>5</v>
      </c>
      <c r="I418" s="63">
        <v>1E-3</v>
      </c>
      <c r="J418" s="63">
        <v>0.04</v>
      </c>
      <c r="K418" s="63" t="s">
        <v>10</v>
      </c>
      <c r="L418" s="63">
        <v>57.902999999999999</v>
      </c>
      <c r="M418" s="63">
        <v>32.603000000000002</v>
      </c>
      <c r="N418" s="63">
        <v>57.901000000000003</v>
      </c>
      <c r="O418" s="64">
        <v>32.045000000000002</v>
      </c>
    </row>
    <row r="419" spans="1:15" x14ac:dyDescent="0.25">
      <c r="A419" s="114" t="s">
        <v>965</v>
      </c>
      <c r="B419" s="63" t="s">
        <v>52</v>
      </c>
      <c r="C419" s="63" t="s">
        <v>8</v>
      </c>
      <c r="D419" s="63">
        <v>0</v>
      </c>
      <c r="E419" s="63">
        <v>0.01</v>
      </c>
      <c r="F419" s="63">
        <v>1E-4</v>
      </c>
      <c r="G419" s="63" t="s">
        <v>6</v>
      </c>
      <c r="H419" s="63" t="s">
        <v>5</v>
      </c>
      <c r="I419" s="63">
        <v>0.04</v>
      </c>
      <c r="J419" s="63">
        <v>1</v>
      </c>
      <c r="K419" s="63" t="s">
        <v>10</v>
      </c>
      <c r="L419" s="63">
        <v>57.814</v>
      </c>
      <c r="M419" s="63">
        <v>11.228999999999999</v>
      </c>
      <c r="N419" s="63">
        <v>57.811999999999998</v>
      </c>
      <c r="O419" s="64">
        <v>10.667</v>
      </c>
    </row>
    <row r="420" spans="1:15" x14ac:dyDescent="0.25">
      <c r="A420" s="114" t="s">
        <v>969</v>
      </c>
      <c r="B420" s="63" t="s">
        <v>52</v>
      </c>
      <c r="C420" s="63" t="s">
        <v>8</v>
      </c>
      <c r="D420" s="63">
        <v>0</v>
      </c>
      <c r="E420" s="63">
        <v>0.01</v>
      </c>
      <c r="F420" s="63">
        <v>1E-4</v>
      </c>
      <c r="G420" s="63" t="s">
        <v>6</v>
      </c>
      <c r="H420" s="63" t="s">
        <v>5</v>
      </c>
      <c r="I420" s="63">
        <v>1</v>
      </c>
      <c r="J420" s="63">
        <v>20</v>
      </c>
      <c r="K420" s="63" t="s">
        <v>10</v>
      </c>
      <c r="L420" s="63">
        <v>57.817999999999998</v>
      </c>
      <c r="M420" s="63">
        <v>19.600000000000001</v>
      </c>
      <c r="N420" s="63">
        <v>57.816000000000003</v>
      </c>
      <c r="O420" s="64">
        <v>19.039000000000001</v>
      </c>
    </row>
    <row r="421" spans="1:15" x14ac:dyDescent="0.25">
      <c r="A421" s="114" t="s">
        <v>966</v>
      </c>
      <c r="B421" s="63" t="s">
        <v>52</v>
      </c>
      <c r="C421" s="63" t="s">
        <v>8</v>
      </c>
      <c r="D421" s="63">
        <v>0</v>
      </c>
      <c r="E421" s="63">
        <v>0.01</v>
      </c>
      <c r="F421" s="63">
        <v>1E-4</v>
      </c>
      <c r="G421" s="63" t="s">
        <v>6</v>
      </c>
      <c r="H421" s="63" t="s">
        <v>5</v>
      </c>
      <c r="I421" s="63">
        <v>20</v>
      </c>
      <c r="J421" s="63">
        <v>50</v>
      </c>
      <c r="K421" s="63" t="s">
        <v>10</v>
      </c>
      <c r="L421" s="63">
        <v>58</v>
      </c>
      <c r="M421" s="63">
        <v>140.31</v>
      </c>
      <c r="N421" s="63">
        <v>57.994</v>
      </c>
      <c r="O421" s="64">
        <v>139.69999999999999</v>
      </c>
    </row>
    <row r="422" spans="1:15" x14ac:dyDescent="0.25">
      <c r="A422" s="114" t="s">
        <v>964</v>
      </c>
      <c r="B422" s="63" t="s">
        <v>52</v>
      </c>
      <c r="C422" s="63" t="s">
        <v>8</v>
      </c>
      <c r="D422" s="63">
        <v>0</v>
      </c>
      <c r="E422" s="63">
        <v>0.01</v>
      </c>
      <c r="F422" s="63">
        <v>1E-4</v>
      </c>
      <c r="G422" s="63" t="s">
        <v>6</v>
      </c>
      <c r="H422" s="63" t="s">
        <v>5</v>
      </c>
      <c r="I422" s="63">
        <v>50</v>
      </c>
      <c r="J422" s="63">
        <v>100</v>
      </c>
      <c r="K422" s="63" t="s">
        <v>10</v>
      </c>
      <c r="L422" s="63">
        <v>58.167999999999999</v>
      </c>
      <c r="M422" s="63">
        <v>2497.6999999999998</v>
      </c>
      <c r="N422" s="63">
        <v>58.156999999999996</v>
      </c>
      <c r="O422" s="64">
        <v>2495.6</v>
      </c>
    </row>
    <row r="423" spans="1:15" x14ac:dyDescent="0.25">
      <c r="A423" s="114" t="s">
        <v>2248</v>
      </c>
      <c r="B423" s="63" t="s">
        <v>52</v>
      </c>
      <c r="C423" s="63" t="s">
        <v>8</v>
      </c>
      <c r="D423" s="63">
        <v>0</v>
      </c>
      <c r="E423" s="63">
        <v>0.01</v>
      </c>
      <c r="F423" s="63">
        <v>1E-4</v>
      </c>
      <c r="G423" s="63" t="s">
        <v>6</v>
      </c>
      <c r="H423" s="63" t="s">
        <v>5</v>
      </c>
      <c r="I423" s="63">
        <v>100</v>
      </c>
      <c r="J423" s="63">
        <v>300</v>
      </c>
      <c r="K423" s="63" t="s">
        <v>10</v>
      </c>
      <c r="L423" s="63">
        <v>54.13</v>
      </c>
      <c r="M423" s="63">
        <v>41367</v>
      </c>
      <c r="N423" s="63">
        <v>54.085999999999999</v>
      </c>
      <c r="O423" s="64">
        <v>41369</v>
      </c>
    </row>
    <row r="424" spans="1:15" x14ac:dyDescent="0.25">
      <c r="A424" s="114" t="s">
        <v>968</v>
      </c>
      <c r="B424" s="63" t="s">
        <v>52</v>
      </c>
      <c r="C424" s="63" t="s">
        <v>8</v>
      </c>
      <c r="D424" s="63">
        <v>0</v>
      </c>
      <c r="E424" s="63">
        <v>0.01</v>
      </c>
      <c r="F424" s="63">
        <v>1E-4</v>
      </c>
      <c r="G424" s="63" t="s">
        <v>6</v>
      </c>
      <c r="H424" s="63" t="s">
        <v>5</v>
      </c>
      <c r="I424" s="63">
        <v>300</v>
      </c>
      <c r="J424" s="63">
        <v>1000</v>
      </c>
      <c r="K424" s="63" t="s">
        <v>10</v>
      </c>
      <c r="L424" s="63">
        <v>56.207000000000001</v>
      </c>
      <c r="M424" s="63">
        <v>41523</v>
      </c>
      <c r="N424" s="63">
        <v>56.162999999999997</v>
      </c>
      <c r="O424" s="64">
        <v>41525</v>
      </c>
    </row>
    <row r="425" spans="1:15" x14ac:dyDescent="0.25">
      <c r="A425" s="114" t="s">
        <v>967</v>
      </c>
      <c r="B425" s="63" t="s">
        <v>52</v>
      </c>
      <c r="C425" s="63" t="s">
        <v>8</v>
      </c>
      <c r="D425" s="63">
        <v>0</v>
      </c>
      <c r="E425" s="63">
        <v>0.01</v>
      </c>
      <c r="F425" s="63">
        <v>1E-4</v>
      </c>
      <c r="G425" s="63" t="s">
        <v>6</v>
      </c>
      <c r="H425" s="63" t="s">
        <v>5</v>
      </c>
      <c r="I425" s="63">
        <v>1000</v>
      </c>
      <c r="J425" s="63">
        <v>4000</v>
      </c>
      <c r="K425" s="63" t="s">
        <v>10</v>
      </c>
      <c r="L425" s="63">
        <v>57.908999999999999</v>
      </c>
      <c r="M425" s="63">
        <v>76095</v>
      </c>
      <c r="N425" s="63">
        <v>57.746000000000002</v>
      </c>
      <c r="O425" s="64">
        <v>76108</v>
      </c>
    </row>
    <row r="426" spans="1:15" x14ac:dyDescent="0.25">
      <c r="A426" s="114" t="s">
        <v>2249</v>
      </c>
      <c r="B426" s="63" t="s">
        <v>52</v>
      </c>
      <c r="C426" s="63" t="s">
        <v>8</v>
      </c>
      <c r="D426" s="63">
        <v>0</v>
      </c>
      <c r="E426" s="63">
        <v>0.01</v>
      </c>
      <c r="F426" s="63">
        <v>1E-4</v>
      </c>
      <c r="G426" s="63" t="s">
        <v>6</v>
      </c>
      <c r="H426" s="63" t="s">
        <v>5</v>
      </c>
      <c r="I426" s="63">
        <v>4000</v>
      </c>
      <c r="J426" s="63">
        <v>8000</v>
      </c>
      <c r="K426" s="63" t="s">
        <v>10</v>
      </c>
      <c r="L426" s="63">
        <v>56.084000000000003</v>
      </c>
      <c r="M426" s="63">
        <v>226390</v>
      </c>
      <c r="N426" s="63">
        <v>55.738</v>
      </c>
      <c r="O426" s="64">
        <v>226400</v>
      </c>
    </row>
    <row r="427" spans="1:15" x14ac:dyDescent="0.25">
      <c r="A427" s="114" t="s">
        <v>2250</v>
      </c>
      <c r="B427" s="63" t="s">
        <v>52</v>
      </c>
      <c r="C427" s="63" t="s">
        <v>8</v>
      </c>
      <c r="D427" s="63">
        <v>0.01</v>
      </c>
      <c r="E427" s="63">
        <v>0.1</v>
      </c>
      <c r="F427" s="63">
        <v>1E-4</v>
      </c>
      <c r="G427" s="63" t="s">
        <v>6</v>
      </c>
      <c r="H427" s="63" t="s">
        <v>5</v>
      </c>
      <c r="I427" s="63">
        <v>1E-3</v>
      </c>
      <c r="J427" s="63">
        <v>0.04</v>
      </c>
      <c r="K427" s="63" t="s">
        <v>10</v>
      </c>
      <c r="L427" s="63">
        <v>57.923000000000002</v>
      </c>
      <c r="M427" s="63">
        <v>14.074999999999999</v>
      </c>
      <c r="N427" s="63">
        <v>57.921999999999997</v>
      </c>
      <c r="O427" s="64">
        <v>14.013999999999999</v>
      </c>
    </row>
    <row r="428" spans="1:15" x14ac:dyDescent="0.25">
      <c r="A428" s="114" t="s">
        <v>2251</v>
      </c>
      <c r="B428" s="63" t="s">
        <v>52</v>
      </c>
      <c r="C428" s="63" t="s">
        <v>8</v>
      </c>
      <c r="D428" s="63">
        <v>0.01</v>
      </c>
      <c r="E428" s="63">
        <v>0.1</v>
      </c>
      <c r="F428" s="63">
        <v>1E-4</v>
      </c>
      <c r="G428" s="63" t="s">
        <v>6</v>
      </c>
      <c r="H428" s="63" t="s">
        <v>5</v>
      </c>
      <c r="I428" s="63">
        <v>0.04</v>
      </c>
      <c r="J428" s="63">
        <v>1</v>
      </c>
      <c r="K428" s="63" t="s">
        <v>10</v>
      </c>
      <c r="L428" s="63">
        <v>57.783999999999999</v>
      </c>
      <c r="M428" s="63">
        <v>10.952999999999999</v>
      </c>
      <c r="N428" s="63">
        <v>57.783000000000001</v>
      </c>
      <c r="O428" s="64">
        <v>10.891</v>
      </c>
    </row>
    <row r="429" spans="1:15" x14ac:dyDescent="0.25">
      <c r="A429" s="114" t="s">
        <v>1020</v>
      </c>
      <c r="B429" s="63" t="s">
        <v>52</v>
      </c>
      <c r="C429" s="63" t="s">
        <v>8</v>
      </c>
      <c r="D429" s="63">
        <v>0.01</v>
      </c>
      <c r="E429" s="63">
        <v>0.1</v>
      </c>
      <c r="F429" s="63">
        <v>1E-4</v>
      </c>
      <c r="G429" s="63" t="s">
        <v>6</v>
      </c>
      <c r="H429" s="63" t="s">
        <v>5</v>
      </c>
      <c r="I429" s="63">
        <v>1</v>
      </c>
      <c r="J429" s="63">
        <v>20</v>
      </c>
      <c r="K429" s="63" t="s">
        <v>10</v>
      </c>
      <c r="L429" s="63">
        <v>57.628</v>
      </c>
      <c r="M429" s="63">
        <v>32.01</v>
      </c>
      <c r="N429" s="63">
        <v>57.625999999999998</v>
      </c>
      <c r="O429" s="64">
        <v>31.951000000000001</v>
      </c>
    </row>
    <row r="430" spans="1:15" x14ac:dyDescent="0.25">
      <c r="A430" s="114" t="s">
        <v>1021</v>
      </c>
      <c r="B430" s="63" t="s">
        <v>52</v>
      </c>
      <c r="C430" s="63" t="s">
        <v>8</v>
      </c>
      <c r="D430" s="63">
        <v>0.01</v>
      </c>
      <c r="E430" s="63">
        <v>0.1</v>
      </c>
      <c r="F430" s="63">
        <v>1E-4</v>
      </c>
      <c r="G430" s="63" t="s">
        <v>6</v>
      </c>
      <c r="H430" s="63" t="s">
        <v>5</v>
      </c>
      <c r="I430" s="63">
        <v>20</v>
      </c>
      <c r="J430" s="63">
        <v>50</v>
      </c>
      <c r="K430" s="63" t="s">
        <v>10</v>
      </c>
      <c r="L430" s="63">
        <v>57.119</v>
      </c>
      <c r="M430" s="63">
        <v>116.68</v>
      </c>
      <c r="N430" s="63">
        <v>57.113999999999997</v>
      </c>
      <c r="O430" s="64">
        <v>116.5</v>
      </c>
    </row>
    <row r="431" spans="1:15" x14ac:dyDescent="0.25">
      <c r="A431" s="114" t="s">
        <v>1023</v>
      </c>
      <c r="B431" s="63" t="s">
        <v>52</v>
      </c>
      <c r="C431" s="63" t="s">
        <v>8</v>
      </c>
      <c r="D431" s="63">
        <v>0.01</v>
      </c>
      <c r="E431" s="63">
        <v>0.1</v>
      </c>
      <c r="F431" s="63">
        <v>1E-4</v>
      </c>
      <c r="G431" s="63" t="s">
        <v>6</v>
      </c>
      <c r="H431" s="63" t="s">
        <v>5</v>
      </c>
      <c r="I431" s="63">
        <v>50</v>
      </c>
      <c r="J431" s="63">
        <v>100</v>
      </c>
      <c r="K431" s="63" t="s">
        <v>10</v>
      </c>
      <c r="L431" s="63">
        <v>53.811999999999998</v>
      </c>
      <c r="M431" s="63">
        <v>587.62</v>
      </c>
      <c r="N431" s="63">
        <v>53.787999999999997</v>
      </c>
      <c r="O431" s="64">
        <v>587.29999999999995</v>
      </c>
    </row>
    <row r="432" spans="1:15" x14ac:dyDescent="0.25">
      <c r="A432" s="114" t="s">
        <v>2252</v>
      </c>
      <c r="B432" s="63" t="s">
        <v>52</v>
      </c>
      <c r="C432" s="63" t="s">
        <v>8</v>
      </c>
      <c r="D432" s="63">
        <v>0.01</v>
      </c>
      <c r="E432" s="63">
        <v>0.1</v>
      </c>
      <c r="F432" s="63">
        <v>1E-4</v>
      </c>
      <c r="G432" s="63" t="s">
        <v>6</v>
      </c>
      <c r="H432" s="63" t="s">
        <v>5</v>
      </c>
      <c r="I432" s="63">
        <v>100</v>
      </c>
      <c r="J432" s="63">
        <v>300</v>
      </c>
      <c r="K432" s="63" t="s">
        <v>10</v>
      </c>
      <c r="L432" s="63">
        <v>41.904000000000003</v>
      </c>
      <c r="M432" s="63">
        <v>3219</v>
      </c>
      <c r="N432" s="63">
        <v>41.802</v>
      </c>
      <c r="O432" s="64">
        <v>3219.4</v>
      </c>
    </row>
    <row r="433" spans="1:15" x14ac:dyDescent="0.25">
      <c r="A433" s="114" t="s">
        <v>1024</v>
      </c>
      <c r="B433" s="63" t="s">
        <v>52</v>
      </c>
      <c r="C433" s="63" t="s">
        <v>8</v>
      </c>
      <c r="D433" s="63">
        <v>0.01</v>
      </c>
      <c r="E433" s="63">
        <v>0.1</v>
      </c>
      <c r="F433" s="63">
        <v>1E-4</v>
      </c>
      <c r="G433" s="63" t="s">
        <v>6</v>
      </c>
      <c r="H433" s="63" t="s">
        <v>5</v>
      </c>
      <c r="I433" s="63">
        <v>300</v>
      </c>
      <c r="J433" s="63">
        <v>1000</v>
      </c>
      <c r="K433" s="63" t="s">
        <v>10</v>
      </c>
      <c r="L433" s="63">
        <v>21.308</v>
      </c>
      <c r="M433" s="63">
        <v>11907</v>
      </c>
      <c r="N433" s="63">
        <v>25.138999999999999</v>
      </c>
      <c r="O433" s="64">
        <v>11509</v>
      </c>
    </row>
    <row r="434" spans="1:15" x14ac:dyDescent="0.25">
      <c r="A434" s="114" t="s">
        <v>2253</v>
      </c>
      <c r="B434" s="63" t="s">
        <v>52</v>
      </c>
      <c r="C434" s="63" t="s">
        <v>8</v>
      </c>
      <c r="D434" s="63">
        <v>0.01</v>
      </c>
      <c r="E434" s="63">
        <v>0.1</v>
      </c>
      <c r="F434" s="63">
        <v>1E-4</v>
      </c>
      <c r="G434" s="63" t="s">
        <v>6</v>
      </c>
      <c r="H434" s="63" t="s">
        <v>5</v>
      </c>
      <c r="I434" s="63">
        <v>1000</v>
      </c>
      <c r="J434" s="63">
        <v>2000</v>
      </c>
      <c r="K434" s="63" t="s">
        <v>10</v>
      </c>
      <c r="L434" s="63">
        <v>53</v>
      </c>
      <c r="M434" s="63">
        <v>17065</v>
      </c>
      <c r="N434" s="63">
        <v>21.129000000000001</v>
      </c>
      <c r="O434" s="64">
        <v>17327</v>
      </c>
    </row>
    <row r="435" spans="1:15" x14ac:dyDescent="0.25">
      <c r="A435" s="114" t="s">
        <v>1018</v>
      </c>
      <c r="B435" s="63" t="s">
        <v>52</v>
      </c>
      <c r="C435" s="63" t="s">
        <v>8</v>
      </c>
      <c r="D435" s="63">
        <v>0.01</v>
      </c>
      <c r="E435" s="63">
        <v>0.1</v>
      </c>
      <c r="F435" s="63">
        <v>1E-4</v>
      </c>
      <c r="G435" s="63" t="s">
        <v>6</v>
      </c>
      <c r="H435" s="63" t="s">
        <v>5</v>
      </c>
      <c r="I435" s="63">
        <v>2000</v>
      </c>
      <c r="J435" s="63">
        <v>4000</v>
      </c>
      <c r="K435" s="63" t="s">
        <v>10</v>
      </c>
      <c r="L435" s="63">
        <v>110</v>
      </c>
      <c r="M435" s="63">
        <v>46000</v>
      </c>
      <c r="N435" s="63">
        <v>84.138999999999996</v>
      </c>
      <c r="O435" s="64">
        <v>46193</v>
      </c>
    </row>
    <row r="436" spans="1:15" x14ac:dyDescent="0.25">
      <c r="A436" s="114" t="s">
        <v>1022</v>
      </c>
      <c r="B436" s="63" t="s">
        <v>52</v>
      </c>
      <c r="C436" s="63" t="s">
        <v>8</v>
      </c>
      <c r="D436" s="63">
        <v>0.01</v>
      </c>
      <c r="E436" s="63">
        <v>0.1</v>
      </c>
      <c r="F436" s="63">
        <v>1E-4</v>
      </c>
      <c r="G436" s="63" t="s">
        <v>6</v>
      </c>
      <c r="H436" s="63" t="s">
        <v>5</v>
      </c>
      <c r="I436" s="63">
        <v>4000</v>
      </c>
      <c r="J436" s="63">
        <v>8000</v>
      </c>
      <c r="K436" s="63" t="s">
        <v>10</v>
      </c>
      <c r="L436" s="63">
        <v>120</v>
      </c>
      <c r="M436" s="63">
        <v>46000</v>
      </c>
      <c r="N436" s="63">
        <v>95.542000000000002</v>
      </c>
      <c r="O436" s="64">
        <v>46232</v>
      </c>
    </row>
    <row r="437" spans="1:15" x14ac:dyDescent="0.25">
      <c r="A437" s="114" t="s">
        <v>1019</v>
      </c>
      <c r="B437" s="63" t="s">
        <v>52</v>
      </c>
      <c r="C437" s="63" t="s">
        <v>8</v>
      </c>
      <c r="D437" s="63">
        <v>0.01</v>
      </c>
      <c r="E437" s="63">
        <v>0.1</v>
      </c>
      <c r="F437" s="63">
        <v>1E-4</v>
      </c>
      <c r="G437" s="63" t="s">
        <v>6</v>
      </c>
      <c r="H437" s="63" t="s">
        <v>5</v>
      </c>
      <c r="I437" s="63">
        <v>8000</v>
      </c>
      <c r="J437" s="63">
        <v>10000</v>
      </c>
      <c r="K437" s="63" t="s">
        <v>10</v>
      </c>
      <c r="L437" s="63">
        <v>450</v>
      </c>
      <c r="M437" s="63">
        <v>170040</v>
      </c>
      <c r="N437" s="63">
        <v>116.4</v>
      </c>
      <c r="O437" s="64">
        <v>173270</v>
      </c>
    </row>
    <row r="438" spans="1:15" x14ac:dyDescent="0.25">
      <c r="A438" s="114" t="s">
        <v>1057</v>
      </c>
      <c r="B438" s="63" t="s">
        <v>52</v>
      </c>
      <c r="C438" s="63" t="s">
        <v>8</v>
      </c>
      <c r="D438" s="63">
        <v>0.1</v>
      </c>
      <c r="E438" s="63">
        <v>1</v>
      </c>
      <c r="F438" s="63">
        <v>1E-4</v>
      </c>
      <c r="G438" s="63" t="s">
        <v>6</v>
      </c>
      <c r="H438" s="63" t="s">
        <v>5</v>
      </c>
      <c r="I438" s="63">
        <v>1E-3</v>
      </c>
      <c r="J438" s="63">
        <v>0.04</v>
      </c>
      <c r="K438" s="63" t="s">
        <v>10</v>
      </c>
      <c r="L438" s="63">
        <v>72.742999999999995</v>
      </c>
      <c r="M438" s="63">
        <v>66.872</v>
      </c>
      <c r="N438" s="63">
        <v>66.849000000000004</v>
      </c>
      <c r="O438" s="64">
        <v>66.849000000000004</v>
      </c>
    </row>
    <row r="439" spans="1:15" x14ac:dyDescent="0.25">
      <c r="A439" s="114" t="s">
        <v>2254</v>
      </c>
      <c r="B439" s="63" t="s">
        <v>52</v>
      </c>
      <c r="C439" s="63" t="s">
        <v>8</v>
      </c>
      <c r="D439" s="63">
        <v>0.1</v>
      </c>
      <c r="E439" s="63">
        <v>1</v>
      </c>
      <c r="F439" s="63">
        <v>1E-4</v>
      </c>
      <c r="G439" s="63" t="s">
        <v>6</v>
      </c>
      <c r="H439" s="63" t="s">
        <v>5</v>
      </c>
      <c r="I439" s="63">
        <v>0.04</v>
      </c>
      <c r="J439" s="63">
        <v>1</v>
      </c>
      <c r="K439" s="63" t="s">
        <v>10</v>
      </c>
      <c r="L439" s="63">
        <v>59.942999999999998</v>
      </c>
      <c r="M439" s="63">
        <v>59.048999999999999</v>
      </c>
      <c r="N439" s="63">
        <v>59.9</v>
      </c>
      <c r="O439" s="64">
        <v>59.024000000000001</v>
      </c>
    </row>
    <row r="440" spans="1:15" x14ac:dyDescent="0.25">
      <c r="A440" s="114" t="s">
        <v>2255</v>
      </c>
      <c r="B440" s="63" t="s">
        <v>52</v>
      </c>
      <c r="C440" s="63" t="s">
        <v>8</v>
      </c>
      <c r="D440" s="63">
        <v>0.1</v>
      </c>
      <c r="E440" s="63">
        <v>1</v>
      </c>
      <c r="F440" s="63">
        <v>1E-4</v>
      </c>
      <c r="G440" s="63" t="s">
        <v>6</v>
      </c>
      <c r="H440" s="63" t="s">
        <v>5</v>
      </c>
      <c r="I440" s="63">
        <v>1</v>
      </c>
      <c r="J440" s="63">
        <v>20</v>
      </c>
      <c r="K440" s="63" t="s">
        <v>10</v>
      </c>
      <c r="L440" s="63">
        <v>56.377000000000002</v>
      </c>
      <c r="M440" s="63">
        <v>137.35</v>
      </c>
      <c r="N440" s="63">
        <v>56.262</v>
      </c>
      <c r="O440" s="64">
        <v>137.33000000000001</v>
      </c>
    </row>
    <row r="441" spans="1:15" x14ac:dyDescent="0.25">
      <c r="A441" s="114" t="s">
        <v>1064</v>
      </c>
      <c r="B441" s="63" t="s">
        <v>52</v>
      </c>
      <c r="C441" s="63" t="s">
        <v>8</v>
      </c>
      <c r="D441" s="63">
        <v>0.1</v>
      </c>
      <c r="E441" s="63">
        <v>1</v>
      </c>
      <c r="F441" s="63">
        <v>1E-4</v>
      </c>
      <c r="G441" s="63" t="s">
        <v>6</v>
      </c>
      <c r="H441" s="63" t="s">
        <v>5</v>
      </c>
      <c r="I441" s="63">
        <v>20</v>
      </c>
      <c r="J441" s="63">
        <v>50</v>
      </c>
      <c r="K441" s="63" t="s">
        <v>10</v>
      </c>
      <c r="L441" s="63">
        <v>49.713000000000001</v>
      </c>
      <c r="M441" s="63">
        <v>324.48</v>
      </c>
      <c r="N441" s="63">
        <v>49.371000000000002</v>
      </c>
      <c r="O441" s="64">
        <v>324.63</v>
      </c>
    </row>
    <row r="442" spans="1:15" x14ac:dyDescent="0.25">
      <c r="A442" s="114" t="s">
        <v>1060</v>
      </c>
      <c r="B442" s="63" t="s">
        <v>52</v>
      </c>
      <c r="C442" s="63" t="s">
        <v>8</v>
      </c>
      <c r="D442" s="63">
        <v>0.1</v>
      </c>
      <c r="E442" s="63">
        <v>1</v>
      </c>
      <c r="F442" s="63">
        <v>1E-4</v>
      </c>
      <c r="G442" s="63" t="s">
        <v>6</v>
      </c>
      <c r="H442" s="63" t="s">
        <v>5</v>
      </c>
      <c r="I442" s="63">
        <v>50</v>
      </c>
      <c r="J442" s="63">
        <v>100</v>
      </c>
      <c r="K442" s="63" t="s">
        <v>10</v>
      </c>
      <c r="L442" s="63">
        <v>38.506</v>
      </c>
      <c r="M442" s="63">
        <v>925.39</v>
      </c>
      <c r="N442" s="63">
        <v>37.912999999999997</v>
      </c>
      <c r="O442" s="64">
        <v>925.82</v>
      </c>
    </row>
    <row r="443" spans="1:15" x14ac:dyDescent="0.25">
      <c r="A443" s="114" t="s">
        <v>1058</v>
      </c>
      <c r="B443" s="63" t="s">
        <v>52</v>
      </c>
      <c r="C443" s="63" t="s">
        <v>8</v>
      </c>
      <c r="D443" s="63">
        <v>0.1</v>
      </c>
      <c r="E443" s="63">
        <v>1</v>
      </c>
      <c r="F443" s="63">
        <v>1E-4</v>
      </c>
      <c r="G443" s="63" t="s">
        <v>6</v>
      </c>
      <c r="H443" s="63" t="s">
        <v>5</v>
      </c>
      <c r="I443" s="63">
        <v>100</v>
      </c>
      <c r="J443" s="63">
        <v>300</v>
      </c>
      <c r="K443" s="63" t="s">
        <v>10</v>
      </c>
      <c r="L443" s="63">
        <v>120</v>
      </c>
      <c r="M443" s="63">
        <v>3500</v>
      </c>
      <c r="N443" s="63">
        <v>120.41</v>
      </c>
      <c r="O443" s="64">
        <v>3459.8</v>
      </c>
    </row>
    <row r="444" spans="1:15" x14ac:dyDescent="0.25">
      <c r="A444" s="114" t="s">
        <v>1059</v>
      </c>
      <c r="B444" s="63" t="s">
        <v>52</v>
      </c>
      <c r="C444" s="63" t="s">
        <v>8</v>
      </c>
      <c r="D444" s="63">
        <v>0.1</v>
      </c>
      <c r="E444" s="63">
        <v>1</v>
      </c>
      <c r="F444" s="63">
        <v>1E-4</v>
      </c>
      <c r="G444" s="63" t="s">
        <v>6</v>
      </c>
      <c r="H444" s="63" t="s">
        <v>5</v>
      </c>
      <c r="I444" s="63">
        <v>300</v>
      </c>
      <c r="J444" s="63">
        <v>1000</v>
      </c>
      <c r="K444" s="63" t="s">
        <v>10</v>
      </c>
      <c r="L444" s="63">
        <v>120</v>
      </c>
      <c r="M444" s="63">
        <v>12000</v>
      </c>
      <c r="N444" s="63">
        <v>111.87</v>
      </c>
      <c r="O444" s="64">
        <v>11674</v>
      </c>
    </row>
    <row r="445" spans="1:15" x14ac:dyDescent="0.25">
      <c r="A445" s="114" t="s">
        <v>2256</v>
      </c>
      <c r="B445" s="63" t="s">
        <v>52</v>
      </c>
      <c r="C445" s="63" t="s">
        <v>8</v>
      </c>
      <c r="D445" s="63">
        <v>0.1</v>
      </c>
      <c r="E445" s="63">
        <v>1</v>
      </c>
      <c r="F445" s="63">
        <v>1E-4</v>
      </c>
      <c r="G445" s="63" t="s">
        <v>6</v>
      </c>
      <c r="H445" s="63" t="s">
        <v>5</v>
      </c>
      <c r="I445" s="63">
        <v>1000</v>
      </c>
      <c r="J445" s="63">
        <v>2000</v>
      </c>
      <c r="K445" s="63" t="s">
        <v>10</v>
      </c>
      <c r="L445" s="63">
        <v>590</v>
      </c>
      <c r="M445" s="63">
        <v>17152</v>
      </c>
      <c r="N445" s="63">
        <v>109.37</v>
      </c>
      <c r="O445" s="64">
        <v>17478</v>
      </c>
    </row>
    <row r="446" spans="1:15" x14ac:dyDescent="0.25">
      <c r="A446" s="114" t="s">
        <v>1063</v>
      </c>
      <c r="B446" s="63" t="s">
        <v>52</v>
      </c>
      <c r="C446" s="63" t="s">
        <v>8</v>
      </c>
      <c r="D446" s="63">
        <v>0.1</v>
      </c>
      <c r="E446" s="63">
        <v>1</v>
      </c>
      <c r="F446" s="63">
        <v>1E-4</v>
      </c>
      <c r="G446" s="63" t="s">
        <v>6</v>
      </c>
      <c r="H446" s="63" t="s">
        <v>4</v>
      </c>
      <c r="I446" s="63">
        <v>2000</v>
      </c>
      <c r="J446" s="63">
        <v>4000</v>
      </c>
      <c r="K446" s="63" t="s">
        <v>10</v>
      </c>
      <c r="L446" s="63">
        <v>1.2</v>
      </c>
      <c r="M446" s="63">
        <v>46.03</v>
      </c>
      <c r="N446" s="63">
        <v>0.80149999999999999</v>
      </c>
      <c r="O446" s="64">
        <v>46.325000000000003</v>
      </c>
    </row>
    <row r="447" spans="1:15" x14ac:dyDescent="0.25">
      <c r="A447" s="114" t="s">
        <v>1061</v>
      </c>
      <c r="B447" s="63" t="s">
        <v>52</v>
      </c>
      <c r="C447" s="63" t="s">
        <v>8</v>
      </c>
      <c r="D447" s="63">
        <v>0.1</v>
      </c>
      <c r="E447" s="63">
        <v>1</v>
      </c>
      <c r="F447" s="63">
        <v>1E-4</v>
      </c>
      <c r="G447" s="63" t="s">
        <v>6</v>
      </c>
      <c r="H447" s="63" t="s">
        <v>4</v>
      </c>
      <c r="I447" s="63">
        <v>4000</v>
      </c>
      <c r="J447" s="63">
        <v>8000</v>
      </c>
      <c r="K447" s="63" t="s">
        <v>10</v>
      </c>
      <c r="L447" s="63">
        <v>1.3</v>
      </c>
      <c r="M447" s="63">
        <v>46.045999999999999</v>
      </c>
      <c r="N447" s="63">
        <v>0.91664999999999996</v>
      </c>
      <c r="O447" s="64">
        <v>46.325000000000003</v>
      </c>
    </row>
    <row r="448" spans="1:15" x14ac:dyDescent="0.25">
      <c r="A448" s="114" t="s">
        <v>1062</v>
      </c>
      <c r="B448" s="63" t="s">
        <v>52</v>
      </c>
      <c r="C448" s="63" t="s">
        <v>8</v>
      </c>
      <c r="D448" s="63">
        <v>0.1</v>
      </c>
      <c r="E448" s="63">
        <v>1</v>
      </c>
      <c r="F448" s="63">
        <v>1E-4</v>
      </c>
      <c r="G448" s="63" t="s">
        <v>6</v>
      </c>
      <c r="H448" s="63" t="s">
        <v>4</v>
      </c>
      <c r="I448" s="63">
        <v>8000</v>
      </c>
      <c r="J448" s="63">
        <v>10000</v>
      </c>
      <c r="K448" s="63" t="s">
        <v>10</v>
      </c>
      <c r="L448" s="63">
        <v>4.5999999999999996</v>
      </c>
      <c r="M448" s="63">
        <v>170.12</v>
      </c>
      <c r="N448" s="63">
        <v>1.1460999999999999</v>
      </c>
      <c r="O448" s="64">
        <v>173.36</v>
      </c>
    </row>
    <row r="449" spans="1:15" x14ac:dyDescent="0.25">
      <c r="A449" s="114" t="s">
        <v>1105</v>
      </c>
      <c r="B449" s="63" t="s">
        <v>52</v>
      </c>
      <c r="C449" s="63" t="s">
        <v>8</v>
      </c>
      <c r="D449" s="63">
        <v>1</v>
      </c>
      <c r="E449" s="63">
        <v>10</v>
      </c>
      <c r="F449" s="63">
        <v>1E-4</v>
      </c>
      <c r="G449" s="63" t="s">
        <v>6</v>
      </c>
      <c r="H449" s="63" t="s">
        <v>4</v>
      </c>
      <c r="I449" s="63">
        <v>1E-3</v>
      </c>
      <c r="J449" s="63">
        <v>0.04</v>
      </c>
      <c r="K449" s="63" t="s">
        <v>10</v>
      </c>
      <c r="L449" s="63">
        <v>0.46</v>
      </c>
      <c r="M449" s="63">
        <v>9.2019000000000004E-2</v>
      </c>
      <c r="N449" s="63">
        <v>0.45379999999999998</v>
      </c>
      <c r="O449" s="64">
        <v>9.1994000000000006E-2</v>
      </c>
    </row>
    <row r="450" spans="1:15" x14ac:dyDescent="0.25">
      <c r="A450" s="114" t="s">
        <v>2257</v>
      </c>
      <c r="B450" s="63" t="s">
        <v>52</v>
      </c>
      <c r="C450" s="63" t="s">
        <v>8</v>
      </c>
      <c r="D450" s="63">
        <v>1</v>
      </c>
      <c r="E450" s="63">
        <v>10</v>
      </c>
      <c r="F450" s="63">
        <v>1E-4</v>
      </c>
      <c r="G450" s="63" t="s">
        <v>6</v>
      </c>
      <c r="H450" s="63" t="s">
        <v>4</v>
      </c>
      <c r="I450" s="63">
        <v>0.04</v>
      </c>
      <c r="J450" s="63">
        <v>1</v>
      </c>
      <c r="K450" s="63" t="s">
        <v>10</v>
      </c>
      <c r="L450" s="63">
        <v>0.25</v>
      </c>
      <c r="M450" s="63">
        <v>8.4682999999999994E-2</v>
      </c>
      <c r="N450" s="63">
        <v>0.23197999999999999</v>
      </c>
      <c r="O450" s="64">
        <v>8.5126999999999994E-2</v>
      </c>
    </row>
    <row r="451" spans="1:15" x14ac:dyDescent="0.25">
      <c r="A451" s="114" t="s">
        <v>1106</v>
      </c>
      <c r="B451" s="63" t="s">
        <v>52</v>
      </c>
      <c r="C451" s="63" t="s">
        <v>8</v>
      </c>
      <c r="D451" s="63">
        <v>1</v>
      </c>
      <c r="E451" s="63">
        <v>10</v>
      </c>
      <c r="F451" s="63">
        <v>1E-4</v>
      </c>
      <c r="G451" s="63" t="s">
        <v>6</v>
      </c>
      <c r="H451" s="63" t="s">
        <v>4</v>
      </c>
      <c r="I451" s="63">
        <v>1</v>
      </c>
      <c r="J451" s="63">
        <v>20</v>
      </c>
      <c r="K451" s="63" t="s">
        <v>10</v>
      </c>
      <c r="L451" s="63">
        <v>0.28000000000000003</v>
      </c>
      <c r="M451" s="63">
        <v>0.16156000000000001</v>
      </c>
      <c r="N451" s="63">
        <v>0.23294999999999999</v>
      </c>
      <c r="O451" s="64">
        <v>0.16397</v>
      </c>
    </row>
    <row r="452" spans="1:15" x14ac:dyDescent="0.25">
      <c r="A452" s="114" t="s">
        <v>1109</v>
      </c>
      <c r="B452" s="63" t="s">
        <v>52</v>
      </c>
      <c r="C452" s="63" t="s">
        <v>8</v>
      </c>
      <c r="D452" s="63">
        <v>1</v>
      </c>
      <c r="E452" s="63">
        <v>10</v>
      </c>
      <c r="F452" s="63">
        <v>1E-4</v>
      </c>
      <c r="G452" s="63" t="s">
        <v>6</v>
      </c>
      <c r="H452" s="63" t="s">
        <v>4</v>
      </c>
      <c r="I452" s="63">
        <v>20</v>
      </c>
      <c r="J452" s="63">
        <v>50</v>
      </c>
      <c r="K452" s="63" t="s">
        <v>10</v>
      </c>
      <c r="L452" s="63">
        <v>0.24</v>
      </c>
      <c r="M452" s="63">
        <v>0.35</v>
      </c>
      <c r="N452" s="63">
        <v>0.23282</v>
      </c>
      <c r="O452" s="64">
        <v>0.34749000000000002</v>
      </c>
    </row>
    <row r="453" spans="1:15" x14ac:dyDescent="0.25">
      <c r="A453" s="114" t="s">
        <v>2258</v>
      </c>
      <c r="B453" s="63" t="s">
        <v>52</v>
      </c>
      <c r="C453" s="63" t="s">
        <v>8</v>
      </c>
      <c r="D453" s="63">
        <v>1</v>
      </c>
      <c r="E453" s="63">
        <v>10</v>
      </c>
      <c r="F453" s="63">
        <v>1E-4</v>
      </c>
      <c r="G453" s="63" t="s">
        <v>6</v>
      </c>
      <c r="H453" s="63" t="s">
        <v>4</v>
      </c>
      <c r="I453" s="63">
        <v>50</v>
      </c>
      <c r="J453" s="63">
        <v>100</v>
      </c>
      <c r="K453" s="63" t="s">
        <v>10</v>
      </c>
      <c r="L453" s="63">
        <v>0.27</v>
      </c>
      <c r="M453" s="63">
        <v>0.93767999999999996</v>
      </c>
      <c r="N453" s="63">
        <v>0.22761000000000001</v>
      </c>
      <c r="O453" s="64">
        <v>0.94106999999999996</v>
      </c>
    </row>
    <row r="454" spans="1:15" x14ac:dyDescent="0.25">
      <c r="A454" s="114" t="s">
        <v>1108</v>
      </c>
      <c r="B454" s="63" t="s">
        <v>52</v>
      </c>
      <c r="C454" s="63" t="s">
        <v>8</v>
      </c>
      <c r="D454" s="63">
        <v>1</v>
      </c>
      <c r="E454" s="63">
        <v>10</v>
      </c>
      <c r="F454" s="63">
        <v>1E-4</v>
      </c>
      <c r="G454" s="63" t="s">
        <v>6</v>
      </c>
      <c r="H454" s="63" t="s">
        <v>4</v>
      </c>
      <c r="I454" s="63">
        <v>100</v>
      </c>
      <c r="J454" s="63">
        <v>300</v>
      </c>
      <c r="K454" s="63" t="s">
        <v>10</v>
      </c>
      <c r="L454" s="63">
        <v>1.2</v>
      </c>
      <c r="M454" s="63">
        <v>3.5</v>
      </c>
      <c r="N454" s="63">
        <v>1.1365000000000001</v>
      </c>
      <c r="O454" s="64">
        <v>3.4830000000000001</v>
      </c>
    </row>
    <row r="455" spans="1:15" x14ac:dyDescent="0.25">
      <c r="A455" s="114" t="s">
        <v>1102</v>
      </c>
      <c r="B455" s="63" t="s">
        <v>52</v>
      </c>
      <c r="C455" s="63" t="s">
        <v>8</v>
      </c>
      <c r="D455" s="63">
        <v>1</v>
      </c>
      <c r="E455" s="63">
        <v>10</v>
      </c>
      <c r="F455" s="63">
        <v>1E-4</v>
      </c>
      <c r="G455" s="63" t="s">
        <v>6</v>
      </c>
      <c r="H455" s="63" t="s">
        <v>4</v>
      </c>
      <c r="I455" s="63">
        <v>300</v>
      </c>
      <c r="J455" s="63">
        <v>1000</v>
      </c>
      <c r="K455" s="63" t="s">
        <v>10</v>
      </c>
      <c r="L455" s="63">
        <v>0.83</v>
      </c>
      <c r="M455" s="63">
        <v>11.988</v>
      </c>
      <c r="N455" s="63">
        <v>1.1272</v>
      </c>
      <c r="O455" s="64">
        <v>11.688000000000001</v>
      </c>
    </row>
    <row r="456" spans="1:15" x14ac:dyDescent="0.25">
      <c r="A456" s="114" t="s">
        <v>1104</v>
      </c>
      <c r="B456" s="63" t="s">
        <v>52</v>
      </c>
      <c r="C456" s="63" t="s">
        <v>8</v>
      </c>
      <c r="D456" s="63">
        <v>1</v>
      </c>
      <c r="E456" s="63">
        <v>10</v>
      </c>
      <c r="F456" s="63">
        <v>1E-4</v>
      </c>
      <c r="G456" s="63" t="s">
        <v>6</v>
      </c>
      <c r="H456" s="63" t="s">
        <v>4</v>
      </c>
      <c r="I456" s="63">
        <v>1000</v>
      </c>
      <c r="J456" s="63">
        <v>2000</v>
      </c>
      <c r="K456" s="63" t="s">
        <v>10</v>
      </c>
      <c r="L456" s="63">
        <v>6.1</v>
      </c>
      <c r="M456" s="63">
        <v>17.155999999999999</v>
      </c>
      <c r="N456" s="63">
        <v>1.1337999999999999</v>
      </c>
      <c r="O456" s="64">
        <v>17.486999999999998</v>
      </c>
    </row>
    <row r="457" spans="1:15" x14ac:dyDescent="0.25">
      <c r="A457" s="114" t="s">
        <v>1103</v>
      </c>
      <c r="B457" s="63" t="s">
        <v>52</v>
      </c>
      <c r="C457" s="63" t="s">
        <v>8</v>
      </c>
      <c r="D457" s="63">
        <v>1</v>
      </c>
      <c r="E457" s="63">
        <v>10</v>
      </c>
      <c r="F457" s="63">
        <v>1E-4</v>
      </c>
      <c r="G457" s="63" t="s">
        <v>6</v>
      </c>
      <c r="H457" s="63" t="s">
        <v>4</v>
      </c>
      <c r="I457" s="63">
        <v>2000</v>
      </c>
      <c r="J457" s="63">
        <v>4000</v>
      </c>
      <c r="K457" s="63" t="s">
        <v>10</v>
      </c>
      <c r="L457" s="63">
        <v>12</v>
      </c>
      <c r="M457" s="63">
        <v>46.037999999999997</v>
      </c>
      <c r="N457" s="63">
        <v>8.06</v>
      </c>
      <c r="O457" s="64">
        <v>46.328000000000003</v>
      </c>
    </row>
    <row r="458" spans="1:15" x14ac:dyDescent="0.25">
      <c r="A458" s="114" t="s">
        <v>2259</v>
      </c>
      <c r="B458" s="63" t="s">
        <v>52</v>
      </c>
      <c r="C458" s="63" t="s">
        <v>8</v>
      </c>
      <c r="D458" s="63">
        <v>1</v>
      </c>
      <c r="E458" s="63">
        <v>10</v>
      </c>
      <c r="F458" s="63">
        <v>1E-4</v>
      </c>
      <c r="G458" s="63" t="s">
        <v>6</v>
      </c>
      <c r="H458" s="63" t="s">
        <v>4</v>
      </c>
      <c r="I458" s="63">
        <v>4000</v>
      </c>
      <c r="J458" s="63">
        <v>8000</v>
      </c>
      <c r="K458" s="63" t="s">
        <v>10</v>
      </c>
      <c r="L458" s="63">
        <v>15</v>
      </c>
      <c r="M458" s="63">
        <v>46.325000000000003</v>
      </c>
      <c r="N458" s="63">
        <v>9.1631999999999998</v>
      </c>
      <c r="O458" s="64">
        <v>46.576000000000001</v>
      </c>
    </row>
    <row r="459" spans="1:15" x14ac:dyDescent="0.25">
      <c r="A459" s="114" t="s">
        <v>1107</v>
      </c>
      <c r="B459" s="63" t="s">
        <v>52</v>
      </c>
      <c r="C459" s="63" t="s">
        <v>8</v>
      </c>
      <c r="D459" s="63">
        <v>1</v>
      </c>
      <c r="E459" s="63">
        <v>10</v>
      </c>
      <c r="F459" s="63">
        <v>1E-4</v>
      </c>
      <c r="G459" s="63" t="s">
        <v>6</v>
      </c>
      <c r="H459" s="63" t="s">
        <v>4</v>
      </c>
      <c r="I459" s="63">
        <v>8000</v>
      </c>
      <c r="J459" s="63">
        <v>10000</v>
      </c>
      <c r="K459" s="63" t="s">
        <v>10</v>
      </c>
      <c r="L459" s="63">
        <v>46</v>
      </c>
      <c r="M459" s="63">
        <v>170.12</v>
      </c>
      <c r="N459" s="63">
        <v>11.529</v>
      </c>
      <c r="O459" s="64">
        <v>173.36</v>
      </c>
    </row>
    <row r="460" spans="1:15" x14ac:dyDescent="0.25">
      <c r="A460" s="114" t="s">
        <v>2260</v>
      </c>
      <c r="B460" s="63" t="s">
        <v>52</v>
      </c>
      <c r="C460" s="63" t="s">
        <v>8</v>
      </c>
      <c r="D460" s="63">
        <v>10</v>
      </c>
      <c r="E460" s="63">
        <v>20</v>
      </c>
      <c r="F460" s="63">
        <v>1E-4</v>
      </c>
      <c r="G460" s="63" t="s">
        <v>6</v>
      </c>
      <c r="H460" s="63" t="s">
        <v>4</v>
      </c>
      <c r="I460" s="63">
        <v>1E-3</v>
      </c>
      <c r="J460" s="63">
        <v>0.04</v>
      </c>
      <c r="K460" s="63" t="s">
        <v>10</v>
      </c>
      <c r="L460" s="63">
        <v>4.7</v>
      </c>
      <c r="M460" s="63">
        <v>0.23</v>
      </c>
      <c r="N460" s="63">
        <v>4.6189999999999998</v>
      </c>
      <c r="O460" s="64">
        <v>0.2329</v>
      </c>
    </row>
    <row r="461" spans="1:15" x14ac:dyDescent="0.25">
      <c r="A461" s="114" t="s">
        <v>1141</v>
      </c>
      <c r="B461" s="63" t="s">
        <v>52</v>
      </c>
      <c r="C461" s="63" t="s">
        <v>8</v>
      </c>
      <c r="D461" s="63">
        <v>10</v>
      </c>
      <c r="E461" s="63">
        <v>20</v>
      </c>
      <c r="F461" s="63">
        <v>1E-4</v>
      </c>
      <c r="G461" s="63" t="s">
        <v>6</v>
      </c>
      <c r="H461" s="63" t="s">
        <v>4</v>
      </c>
      <c r="I461" s="63">
        <v>0.04</v>
      </c>
      <c r="J461" s="63">
        <v>1</v>
      </c>
      <c r="K461" s="63" t="s">
        <v>10</v>
      </c>
      <c r="L461" s="63">
        <v>2.4</v>
      </c>
      <c r="M461" s="63">
        <v>0.23</v>
      </c>
      <c r="N461" s="63">
        <v>2.2985000000000002</v>
      </c>
      <c r="O461" s="64">
        <v>0.23305000000000001</v>
      </c>
    </row>
    <row r="462" spans="1:15" x14ac:dyDescent="0.25">
      <c r="A462" s="114" t="s">
        <v>2261</v>
      </c>
      <c r="B462" s="63" t="s">
        <v>52</v>
      </c>
      <c r="C462" s="63" t="s">
        <v>8</v>
      </c>
      <c r="D462" s="63">
        <v>10</v>
      </c>
      <c r="E462" s="63">
        <v>20</v>
      </c>
      <c r="F462" s="63">
        <v>1E-4</v>
      </c>
      <c r="G462" s="63" t="s">
        <v>6</v>
      </c>
      <c r="H462" s="63" t="s">
        <v>4</v>
      </c>
      <c r="I462" s="63">
        <v>1</v>
      </c>
      <c r="J462" s="63">
        <v>20</v>
      </c>
      <c r="K462" s="63" t="s">
        <v>10</v>
      </c>
      <c r="L462" s="63">
        <v>2.4</v>
      </c>
      <c r="M462" s="63">
        <v>0.23</v>
      </c>
      <c r="N462" s="63">
        <v>2.2985000000000002</v>
      </c>
      <c r="O462" s="64">
        <v>0.23305000000000001</v>
      </c>
    </row>
    <row r="463" spans="1:15" x14ac:dyDescent="0.25">
      <c r="A463" s="114" t="s">
        <v>2262</v>
      </c>
      <c r="B463" s="63" t="s">
        <v>52</v>
      </c>
      <c r="C463" s="63" t="s">
        <v>8</v>
      </c>
      <c r="D463" s="63">
        <v>10</v>
      </c>
      <c r="E463" s="63">
        <v>20</v>
      </c>
      <c r="F463" s="63">
        <v>1E-4</v>
      </c>
      <c r="G463" s="63" t="s">
        <v>6</v>
      </c>
      <c r="H463" s="63" t="s">
        <v>4</v>
      </c>
      <c r="I463" s="63">
        <v>20</v>
      </c>
      <c r="J463" s="63">
        <v>50</v>
      </c>
      <c r="K463" s="63" t="s">
        <v>10</v>
      </c>
      <c r="L463" s="63">
        <v>2.4</v>
      </c>
      <c r="M463" s="63">
        <v>0.41</v>
      </c>
      <c r="N463" s="63">
        <v>2.266</v>
      </c>
      <c r="O463" s="64">
        <v>0.40922999999999998</v>
      </c>
    </row>
    <row r="464" spans="1:15" x14ac:dyDescent="0.25">
      <c r="A464" s="114" t="s">
        <v>2263</v>
      </c>
      <c r="B464" s="63" t="s">
        <v>52</v>
      </c>
      <c r="C464" s="63" t="s">
        <v>8</v>
      </c>
      <c r="D464" s="63">
        <v>10</v>
      </c>
      <c r="E464" s="63">
        <v>20</v>
      </c>
      <c r="F464" s="63">
        <v>1E-4</v>
      </c>
      <c r="G464" s="63" t="s">
        <v>6</v>
      </c>
      <c r="H464" s="63" t="s">
        <v>4</v>
      </c>
      <c r="I464" s="63">
        <v>50</v>
      </c>
      <c r="J464" s="63">
        <v>100</v>
      </c>
      <c r="K464" s="63" t="s">
        <v>10</v>
      </c>
      <c r="L464" s="63">
        <v>2.4</v>
      </c>
      <c r="M464" s="63">
        <v>1.4</v>
      </c>
      <c r="N464" s="63">
        <v>2.3769</v>
      </c>
      <c r="O464" s="64">
        <v>1.3889</v>
      </c>
    </row>
    <row r="465" spans="1:15" x14ac:dyDescent="0.25">
      <c r="A465" s="114" t="s">
        <v>1143</v>
      </c>
      <c r="B465" s="63" t="s">
        <v>52</v>
      </c>
      <c r="C465" s="63" t="s">
        <v>8</v>
      </c>
      <c r="D465" s="63">
        <v>10</v>
      </c>
      <c r="E465" s="63">
        <v>100</v>
      </c>
      <c r="F465" s="63">
        <v>1E-4</v>
      </c>
      <c r="G465" s="63" t="s">
        <v>6</v>
      </c>
      <c r="H465" s="63" t="s">
        <v>4</v>
      </c>
      <c r="I465" s="63">
        <v>100</v>
      </c>
      <c r="J465" s="63">
        <v>300</v>
      </c>
      <c r="K465" s="63" t="s">
        <v>10</v>
      </c>
      <c r="L465" s="63">
        <v>15</v>
      </c>
      <c r="M465" s="63">
        <v>4.6028000000000002</v>
      </c>
      <c r="N465" s="63">
        <v>11.574999999999999</v>
      </c>
      <c r="O465" s="64">
        <v>4.6268000000000002</v>
      </c>
    </row>
    <row r="466" spans="1:15" x14ac:dyDescent="0.25">
      <c r="A466" s="114" t="s">
        <v>2264</v>
      </c>
      <c r="B466" s="63" t="s">
        <v>52</v>
      </c>
      <c r="C466" s="63" t="s">
        <v>8</v>
      </c>
      <c r="D466" s="63">
        <v>10</v>
      </c>
      <c r="E466" s="63">
        <v>20</v>
      </c>
      <c r="F466" s="63">
        <v>1E-4</v>
      </c>
      <c r="G466" s="63" t="s">
        <v>6</v>
      </c>
      <c r="H466" s="63" t="s">
        <v>4</v>
      </c>
      <c r="I466" s="63">
        <v>100</v>
      </c>
      <c r="J466" s="63">
        <v>300</v>
      </c>
      <c r="K466" s="63" t="s">
        <v>10</v>
      </c>
      <c r="L466" s="63">
        <v>13</v>
      </c>
      <c r="M466" s="63">
        <v>4.6109</v>
      </c>
      <c r="N466" s="63">
        <v>11.574</v>
      </c>
      <c r="O466" s="64">
        <v>4.6268000000000002</v>
      </c>
    </row>
    <row r="467" spans="1:15" x14ac:dyDescent="0.25">
      <c r="A467" s="114" t="s">
        <v>1142</v>
      </c>
      <c r="B467" s="63" t="s">
        <v>52</v>
      </c>
      <c r="C467" s="63" t="s">
        <v>8</v>
      </c>
      <c r="D467" s="63">
        <v>10</v>
      </c>
      <c r="E467" s="63">
        <v>100</v>
      </c>
      <c r="F467" s="63">
        <v>1E-4</v>
      </c>
      <c r="G467" s="63" t="s">
        <v>6</v>
      </c>
      <c r="H467" s="63" t="s">
        <v>4</v>
      </c>
      <c r="I467" s="63">
        <v>300</v>
      </c>
      <c r="J467" s="63">
        <v>1000</v>
      </c>
      <c r="K467" s="63" t="s">
        <v>10</v>
      </c>
      <c r="L467" s="63">
        <v>46</v>
      </c>
      <c r="M467" s="63">
        <v>17.018999999999998</v>
      </c>
      <c r="N467" s="63">
        <v>12.318</v>
      </c>
      <c r="O467" s="64">
        <v>17.334</v>
      </c>
    </row>
    <row r="468" spans="1:15" x14ac:dyDescent="0.25">
      <c r="A468" s="114" t="s">
        <v>2265</v>
      </c>
      <c r="B468" s="63" t="s">
        <v>52</v>
      </c>
      <c r="C468" s="63" t="s">
        <v>8</v>
      </c>
      <c r="D468" s="63">
        <v>10</v>
      </c>
      <c r="E468" s="63">
        <v>20</v>
      </c>
      <c r="F468" s="63">
        <v>1E-4</v>
      </c>
      <c r="G468" s="63" t="s">
        <v>6</v>
      </c>
      <c r="H468" s="63" t="s">
        <v>4</v>
      </c>
      <c r="I468" s="63">
        <v>300</v>
      </c>
      <c r="J468" s="63">
        <v>1000</v>
      </c>
      <c r="K468" s="63" t="s">
        <v>10</v>
      </c>
      <c r="L468" s="63">
        <v>19</v>
      </c>
      <c r="M468" s="63">
        <v>17.087</v>
      </c>
      <c r="N468" s="63">
        <v>12.388999999999999</v>
      </c>
      <c r="O468" s="64">
        <v>17.324000000000002</v>
      </c>
    </row>
    <row r="469" spans="1:15" x14ac:dyDescent="0.25">
      <c r="A469" s="114" t="s">
        <v>1173</v>
      </c>
      <c r="B469" s="63" t="s">
        <v>52</v>
      </c>
      <c r="C469" s="63" t="s">
        <v>8</v>
      </c>
      <c r="D469" s="63">
        <v>20</v>
      </c>
      <c r="E469" s="63">
        <v>100</v>
      </c>
      <c r="F469" s="63">
        <v>1E-4</v>
      </c>
      <c r="G469" s="63" t="s">
        <v>6</v>
      </c>
      <c r="H469" s="63" t="s">
        <v>4</v>
      </c>
      <c r="I469" s="63">
        <v>1E-3</v>
      </c>
      <c r="J469" s="63">
        <v>0.04</v>
      </c>
      <c r="K469" s="63" t="s">
        <v>10</v>
      </c>
      <c r="L469" s="63">
        <v>5</v>
      </c>
      <c r="M469" s="63">
        <v>0.23166999999999999</v>
      </c>
      <c r="N469" s="63">
        <v>4.6010999999999997</v>
      </c>
      <c r="O469" s="64">
        <v>0.23351</v>
      </c>
    </row>
    <row r="470" spans="1:15" x14ac:dyDescent="0.25">
      <c r="A470" s="114" t="s">
        <v>1171</v>
      </c>
      <c r="B470" s="63" t="s">
        <v>52</v>
      </c>
      <c r="C470" s="63" t="s">
        <v>8</v>
      </c>
      <c r="D470" s="63">
        <v>20</v>
      </c>
      <c r="E470" s="63">
        <v>100</v>
      </c>
      <c r="F470" s="63">
        <v>1E-4</v>
      </c>
      <c r="G470" s="63" t="s">
        <v>6</v>
      </c>
      <c r="H470" s="63" t="s">
        <v>4</v>
      </c>
      <c r="I470" s="63">
        <v>0.04</v>
      </c>
      <c r="J470" s="63">
        <v>1</v>
      </c>
      <c r="K470" s="63" t="s">
        <v>10</v>
      </c>
      <c r="L470" s="63">
        <v>2.7</v>
      </c>
      <c r="M470" s="63">
        <v>0.23180000000000001</v>
      </c>
      <c r="N470" s="63">
        <v>2.2759999999999998</v>
      </c>
      <c r="O470" s="64">
        <v>0.23386000000000001</v>
      </c>
    </row>
    <row r="471" spans="1:15" x14ac:dyDescent="0.25">
      <c r="A471" s="114" t="s">
        <v>1174</v>
      </c>
      <c r="B471" s="63" t="s">
        <v>52</v>
      </c>
      <c r="C471" s="63" t="s">
        <v>8</v>
      </c>
      <c r="D471" s="63">
        <v>20</v>
      </c>
      <c r="E471" s="63">
        <v>100</v>
      </c>
      <c r="F471" s="63">
        <v>1E-4</v>
      </c>
      <c r="G471" s="63" t="s">
        <v>6</v>
      </c>
      <c r="H471" s="63" t="s">
        <v>4</v>
      </c>
      <c r="I471" s="63">
        <v>1</v>
      </c>
      <c r="J471" s="63">
        <v>20</v>
      </c>
      <c r="K471" s="63" t="s">
        <v>10</v>
      </c>
      <c r="L471" s="63">
        <v>4.9000000000000004</v>
      </c>
      <c r="M471" s="63">
        <v>0.21</v>
      </c>
      <c r="N471" s="63">
        <v>4.8564999999999996</v>
      </c>
      <c r="O471" s="64">
        <v>0.20787</v>
      </c>
    </row>
    <row r="472" spans="1:15" x14ac:dyDescent="0.25">
      <c r="A472" s="114" t="s">
        <v>2266</v>
      </c>
      <c r="B472" s="63" t="s">
        <v>52</v>
      </c>
      <c r="C472" s="63" t="s">
        <v>8</v>
      </c>
      <c r="D472" s="63">
        <v>20</v>
      </c>
      <c r="E472" s="63">
        <v>100</v>
      </c>
      <c r="F472" s="63">
        <v>1E-4</v>
      </c>
      <c r="G472" s="63" t="s">
        <v>6</v>
      </c>
      <c r="H472" s="63" t="s">
        <v>4</v>
      </c>
      <c r="I472" s="63">
        <v>20</v>
      </c>
      <c r="J472" s="63">
        <v>50</v>
      </c>
      <c r="K472" s="63" t="s">
        <v>10</v>
      </c>
      <c r="L472" s="63">
        <v>6.8</v>
      </c>
      <c r="M472" s="63">
        <v>0.36642000000000002</v>
      </c>
      <c r="N472" s="63">
        <v>6.7324000000000002</v>
      </c>
      <c r="O472" s="64">
        <v>0.36645</v>
      </c>
    </row>
    <row r="473" spans="1:15" x14ac:dyDescent="0.25">
      <c r="A473" s="114" t="s">
        <v>1172</v>
      </c>
      <c r="B473" s="63" t="s">
        <v>52</v>
      </c>
      <c r="C473" s="63" t="s">
        <v>8</v>
      </c>
      <c r="D473" s="63">
        <v>20</v>
      </c>
      <c r="E473" s="63">
        <v>100</v>
      </c>
      <c r="F473" s="63">
        <v>1E-4</v>
      </c>
      <c r="G473" s="63" t="s">
        <v>6</v>
      </c>
      <c r="H473" s="63" t="s">
        <v>4</v>
      </c>
      <c r="I473" s="63">
        <v>50</v>
      </c>
      <c r="J473" s="63">
        <v>100</v>
      </c>
      <c r="K473" s="63" t="s">
        <v>10</v>
      </c>
      <c r="L473" s="63">
        <v>22</v>
      </c>
      <c r="M473" s="63">
        <v>1.2034</v>
      </c>
      <c r="N473" s="63">
        <v>17.722999999999999</v>
      </c>
      <c r="O473" s="64">
        <v>1.2358</v>
      </c>
    </row>
    <row r="474" spans="1:15" x14ac:dyDescent="0.25">
      <c r="A474" s="114" t="s">
        <v>1195</v>
      </c>
      <c r="B474" s="63" t="s">
        <v>52</v>
      </c>
      <c r="C474" s="63" t="s">
        <v>8</v>
      </c>
      <c r="D474" s="63">
        <v>100</v>
      </c>
      <c r="E474" s="63">
        <v>330</v>
      </c>
      <c r="F474" s="63">
        <v>1E-4</v>
      </c>
      <c r="G474" s="63" t="s">
        <v>6</v>
      </c>
      <c r="H474" s="63" t="s">
        <v>4</v>
      </c>
      <c r="I474" s="63">
        <v>1E-3</v>
      </c>
      <c r="J474" s="63">
        <v>0.04</v>
      </c>
      <c r="K474" s="63" t="s">
        <v>10</v>
      </c>
      <c r="L474" s="63">
        <v>48</v>
      </c>
      <c r="M474" s="63">
        <v>0.46</v>
      </c>
      <c r="N474" s="63">
        <v>46.118000000000002</v>
      </c>
      <c r="O474" s="64">
        <v>0.46325</v>
      </c>
    </row>
    <row r="475" spans="1:15" x14ac:dyDescent="0.25">
      <c r="A475" s="114" t="s">
        <v>2267</v>
      </c>
      <c r="B475" s="63" t="s">
        <v>52</v>
      </c>
      <c r="C475" s="63" t="s">
        <v>8</v>
      </c>
      <c r="D475" s="63">
        <v>100</v>
      </c>
      <c r="E475" s="63">
        <v>330</v>
      </c>
      <c r="F475" s="63">
        <v>1E-4</v>
      </c>
      <c r="G475" s="63" t="s">
        <v>6</v>
      </c>
      <c r="H475" s="63" t="s">
        <v>4</v>
      </c>
      <c r="I475" s="63">
        <v>0.04</v>
      </c>
      <c r="J475" s="63">
        <v>1</v>
      </c>
      <c r="K475" s="63" t="s">
        <v>10</v>
      </c>
      <c r="L475" s="63">
        <v>25</v>
      </c>
      <c r="M475" s="63">
        <v>0.46</v>
      </c>
      <c r="N475" s="63">
        <v>23.033999999999999</v>
      </c>
      <c r="O475" s="64">
        <v>0.46337</v>
      </c>
    </row>
    <row r="476" spans="1:15" x14ac:dyDescent="0.25">
      <c r="A476" s="114" t="s">
        <v>1191</v>
      </c>
      <c r="B476" s="63" t="s">
        <v>52</v>
      </c>
      <c r="C476" s="63" t="s">
        <v>8</v>
      </c>
      <c r="D476" s="63">
        <v>100</v>
      </c>
      <c r="E476" s="63">
        <v>330</v>
      </c>
      <c r="F476" s="63">
        <v>1E-4</v>
      </c>
      <c r="G476" s="63" t="s">
        <v>6</v>
      </c>
      <c r="H476" s="63" t="s">
        <v>4</v>
      </c>
      <c r="I476" s="63">
        <v>1</v>
      </c>
      <c r="J476" s="63">
        <v>20</v>
      </c>
      <c r="K476" s="63" t="s">
        <v>10</v>
      </c>
      <c r="L476" s="63">
        <v>23</v>
      </c>
      <c r="M476" s="63">
        <v>0.7</v>
      </c>
      <c r="N476" s="63">
        <v>23.059000000000001</v>
      </c>
      <c r="O476" s="64">
        <v>0.69384000000000001</v>
      </c>
    </row>
    <row r="477" spans="1:15" x14ac:dyDescent="0.25">
      <c r="A477" s="114" t="s">
        <v>1194</v>
      </c>
      <c r="B477" s="63" t="s">
        <v>52</v>
      </c>
      <c r="C477" s="63" t="s">
        <v>8</v>
      </c>
      <c r="D477" s="63">
        <v>100</v>
      </c>
      <c r="E477" s="63">
        <v>1000</v>
      </c>
      <c r="F477" s="63">
        <v>1E-4</v>
      </c>
      <c r="G477" s="63" t="s">
        <v>6</v>
      </c>
      <c r="H477" s="63" t="s">
        <v>4</v>
      </c>
      <c r="I477" s="63">
        <v>1</v>
      </c>
      <c r="J477" s="63">
        <v>20</v>
      </c>
      <c r="K477" s="63" t="s">
        <v>10</v>
      </c>
      <c r="L477" s="63">
        <v>23</v>
      </c>
      <c r="M477" s="63">
        <v>0.7</v>
      </c>
      <c r="N477" s="63">
        <v>23.055</v>
      </c>
      <c r="O477" s="64">
        <v>0.69386999999999999</v>
      </c>
    </row>
    <row r="478" spans="1:15" x14ac:dyDescent="0.25">
      <c r="A478" s="114" t="s">
        <v>2268</v>
      </c>
      <c r="B478" s="63" t="s">
        <v>52</v>
      </c>
      <c r="C478" s="63" t="s">
        <v>8</v>
      </c>
      <c r="D478" s="63">
        <v>100</v>
      </c>
      <c r="E478" s="63">
        <v>1000</v>
      </c>
      <c r="F478" s="63">
        <v>1E-4</v>
      </c>
      <c r="G478" s="63" t="s">
        <v>6</v>
      </c>
      <c r="H478" s="63" t="s">
        <v>4</v>
      </c>
      <c r="I478" s="63">
        <v>20</v>
      </c>
      <c r="J478" s="63">
        <v>50</v>
      </c>
      <c r="K478" s="63" t="s">
        <v>10</v>
      </c>
      <c r="L478" s="63">
        <v>23</v>
      </c>
      <c r="M478" s="63">
        <v>1.4</v>
      </c>
      <c r="N478" s="63">
        <v>22.895</v>
      </c>
      <c r="O478" s="64">
        <v>1.3895999999999999</v>
      </c>
    </row>
    <row r="479" spans="1:15" x14ac:dyDescent="0.25">
      <c r="A479" s="114" t="s">
        <v>1192</v>
      </c>
      <c r="B479" s="63" t="s">
        <v>52</v>
      </c>
      <c r="C479" s="63" t="s">
        <v>8</v>
      </c>
      <c r="D479" s="63">
        <v>100</v>
      </c>
      <c r="E479" s="63">
        <v>330</v>
      </c>
      <c r="F479" s="63">
        <v>1E-4</v>
      </c>
      <c r="G479" s="63" t="s">
        <v>6</v>
      </c>
      <c r="H479" s="63" t="s">
        <v>4</v>
      </c>
      <c r="I479" s="63">
        <v>20</v>
      </c>
      <c r="J479" s="63">
        <v>50</v>
      </c>
      <c r="K479" s="63" t="s">
        <v>10</v>
      </c>
      <c r="L479" s="63">
        <v>23</v>
      </c>
      <c r="M479" s="63">
        <v>1.4</v>
      </c>
      <c r="N479" s="63">
        <v>23.053000000000001</v>
      </c>
      <c r="O479" s="64">
        <v>1.3878999999999999</v>
      </c>
    </row>
    <row r="480" spans="1:15" x14ac:dyDescent="0.25">
      <c r="A480" s="114" t="s">
        <v>2269</v>
      </c>
      <c r="B480" s="63" t="s">
        <v>52</v>
      </c>
      <c r="C480" s="63" t="s">
        <v>8</v>
      </c>
      <c r="D480" s="63">
        <v>100</v>
      </c>
      <c r="E480" s="63">
        <v>330</v>
      </c>
      <c r="F480" s="63">
        <v>1E-4</v>
      </c>
      <c r="G480" s="63" t="s">
        <v>6</v>
      </c>
      <c r="H480" s="63" t="s">
        <v>4</v>
      </c>
      <c r="I480" s="63">
        <v>50</v>
      </c>
      <c r="J480" s="63">
        <v>100</v>
      </c>
      <c r="K480" s="63" t="s">
        <v>10</v>
      </c>
      <c r="L480" s="63">
        <v>23</v>
      </c>
      <c r="M480" s="63">
        <v>3.5</v>
      </c>
      <c r="N480" s="63">
        <v>23.11</v>
      </c>
      <c r="O480" s="64">
        <v>3.4655999999999998</v>
      </c>
    </row>
    <row r="481" spans="1:15" x14ac:dyDescent="0.25">
      <c r="A481" s="114" t="s">
        <v>1193</v>
      </c>
      <c r="B481" s="63" t="s">
        <v>52</v>
      </c>
      <c r="C481" s="63" t="s">
        <v>8</v>
      </c>
      <c r="D481" s="63">
        <v>100</v>
      </c>
      <c r="E481" s="63">
        <v>1000</v>
      </c>
      <c r="F481" s="63">
        <v>1E-4</v>
      </c>
      <c r="G481" s="63" t="s">
        <v>6</v>
      </c>
      <c r="H481" s="63" t="s">
        <v>4</v>
      </c>
      <c r="I481" s="63">
        <v>50</v>
      </c>
      <c r="J481" s="63">
        <v>100</v>
      </c>
      <c r="K481" s="63" t="s">
        <v>10</v>
      </c>
      <c r="L481" s="63">
        <v>23</v>
      </c>
      <c r="M481" s="63">
        <v>3.5</v>
      </c>
      <c r="N481" s="63">
        <v>23.116</v>
      </c>
      <c r="O481" s="64">
        <v>3.4655999999999998</v>
      </c>
    </row>
    <row r="482" spans="1:15" x14ac:dyDescent="0.25">
      <c r="A482" s="114" t="s">
        <v>1221</v>
      </c>
      <c r="B482" s="63" t="s">
        <v>52</v>
      </c>
      <c r="C482" s="63" t="s">
        <v>8</v>
      </c>
      <c r="D482" s="63">
        <v>330</v>
      </c>
      <c r="E482" s="63">
        <v>1000</v>
      </c>
      <c r="F482" s="63">
        <v>1E-4</v>
      </c>
      <c r="G482" s="63" t="s">
        <v>6</v>
      </c>
      <c r="H482" s="63" t="s">
        <v>4</v>
      </c>
      <c r="I482" s="63">
        <v>1E-3</v>
      </c>
      <c r="J482" s="63">
        <v>0.04</v>
      </c>
      <c r="K482" s="63" t="s">
        <v>10</v>
      </c>
      <c r="L482" s="63">
        <v>50</v>
      </c>
      <c r="M482" s="63">
        <v>0.46</v>
      </c>
      <c r="N482" s="63">
        <v>46.106999999999999</v>
      </c>
      <c r="O482" s="64">
        <v>0.46338000000000001</v>
      </c>
    </row>
    <row r="483" spans="1:15" x14ac:dyDescent="0.25">
      <c r="A483" s="114" t="s">
        <v>1222</v>
      </c>
      <c r="B483" s="63" t="s">
        <v>52</v>
      </c>
      <c r="C483" s="63" t="s">
        <v>8</v>
      </c>
      <c r="D483" s="63">
        <v>330</v>
      </c>
      <c r="E483" s="63">
        <v>1000</v>
      </c>
      <c r="F483" s="63">
        <v>1E-4</v>
      </c>
      <c r="G483" s="63" t="s">
        <v>6</v>
      </c>
      <c r="H483" s="63" t="s">
        <v>4</v>
      </c>
      <c r="I483" s="63">
        <v>0.04</v>
      </c>
      <c r="J483" s="63">
        <v>1</v>
      </c>
      <c r="K483" s="63" t="s">
        <v>10</v>
      </c>
      <c r="L483" s="63">
        <v>27</v>
      </c>
      <c r="M483" s="63">
        <v>0.46</v>
      </c>
      <c r="N483" s="63">
        <v>23.030999999999999</v>
      </c>
      <c r="O483" s="64">
        <v>0.46343000000000001</v>
      </c>
    </row>
    <row r="484" spans="1:15" x14ac:dyDescent="0.25">
      <c r="A484" s="114" t="s">
        <v>1220</v>
      </c>
      <c r="B484" s="63" t="s">
        <v>52</v>
      </c>
      <c r="C484" s="63" t="s">
        <v>8</v>
      </c>
      <c r="D484" s="63">
        <v>330</v>
      </c>
      <c r="E484" s="63">
        <v>1000</v>
      </c>
      <c r="F484" s="63">
        <v>1E-4</v>
      </c>
      <c r="G484" s="63" t="s">
        <v>6</v>
      </c>
      <c r="H484" s="63" t="s">
        <v>4</v>
      </c>
      <c r="I484" s="63">
        <v>1</v>
      </c>
      <c r="J484" s="63">
        <v>10</v>
      </c>
      <c r="K484" s="63" t="s">
        <v>10</v>
      </c>
      <c r="L484" s="63">
        <v>23</v>
      </c>
      <c r="M484" s="63">
        <v>0.7</v>
      </c>
      <c r="N484" s="63">
        <v>23.056000000000001</v>
      </c>
      <c r="O484" s="64">
        <v>0.69386999999999999</v>
      </c>
    </row>
    <row r="485" spans="1:15" x14ac:dyDescent="0.25">
      <c r="A485" s="114" t="s">
        <v>2270</v>
      </c>
      <c r="B485" s="63" t="s">
        <v>52</v>
      </c>
      <c r="C485" s="63" t="s">
        <v>8</v>
      </c>
      <c r="D485" s="63">
        <v>0</v>
      </c>
      <c r="E485" s="63">
        <v>0.01</v>
      </c>
      <c r="F485" s="63">
        <v>1E-3</v>
      </c>
      <c r="G485" s="63" t="s">
        <v>6</v>
      </c>
      <c r="H485" s="63" t="s">
        <v>5</v>
      </c>
      <c r="I485" s="63">
        <v>1E-3</v>
      </c>
      <c r="J485" s="63">
        <v>0.04</v>
      </c>
      <c r="K485" s="63" t="s">
        <v>10</v>
      </c>
      <c r="L485" s="63">
        <v>577.37</v>
      </c>
      <c r="M485" s="63">
        <v>3.4481000000000002</v>
      </c>
      <c r="N485" s="63">
        <v>577.37</v>
      </c>
      <c r="O485" s="64">
        <v>3.2223999999999999</v>
      </c>
    </row>
    <row r="486" spans="1:15" x14ac:dyDescent="0.25">
      <c r="A486" s="114" t="s">
        <v>970</v>
      </c>
      <c r="B486" s="63" t="s">
        <v>52</v>
      </c>
      <c r="C486" s="63" t="s">
        <v>8</v>
      </c>
      <c r="D486" s="63">
        <v>0</v>
      </c>
      <c r="E486" s="63">
        <v>0.01</v>
      </c>
      <c r="F486" s="63">
        <v>1E-3</v>
      </c>
      <c r="G486" s="63" t="s">
        <v>6</v>
      </c>
      <c r="H486" s="63" t="s">
        <v>5</v>
      </c>
      <c r="I486" s="63">
        <v>0.04</v>
      </c>
      <c r="J486" s="63">
        <v>1</v>
      </c>
      <c r="K486" s="63" t="s">
        <v>10</v>
      </c>
      <c r="L486" s="63">
        <v>577.36</v>
      </c>
      <c r="M486" s="63">
        <v>1.2948</v>
      </c>
      <c r="N486" s="63">
        <v>577.36</v>
      </c>
      <c r="O486" s="64">
        <v>1.0690999999999999</v>
      </c>
    </row>
    <row r="487" spans="1:15" x14ac:dyDescent="0.25">
      <c r="A487" s="114" t="s">
        <v>974</v>
      </c>
      <c r="B487" s="63" t="s">
        <v>52</v>
      </c>
      <c r="C487" s="63" t="s">
        <v>8</v>
      </c>
      <c r="D487" s="63">
        <v>0</v>
      </c>
      <c r="E487" s="63">
        <v>0.01</v>
      </c>
      <c r="F487" s="63">
        <v>1E-3</v>
      </c>
      <c r="G487" s="63" t="s">
        <v>6</v>
      </c>
      <c r="H487" s="63" t="s">
        <v>5</v>
      </c>
      <c r="I487" s="63">
        <v>1</v>
      </c>
      <c r="J487" s="63">
        <v>20</v>
      </c>
      <c r="K487" s="63" t="s">
        <v>10</v>
      </c>
      <c r="L487" s="63">
        <v>577.36</v>
      </c>
      <c r="M487" s="63">
        <v>2.1354000000000002</v>
      </c>
      <c r="N487" s="63">
        <v>577.36</v>
      </c>
      <c r="O487" s="64">
        <v>1.9097</v>
      </c>
    </row>
    <row r="488" spans="1:15" x14ac:dyDescent="0.25">
      <c r="A488" s="114" t="s">
        <v>975</v>
      </c>
      <c r="B488" s="63" t="s">
        <v>52</v>
      </c>
      <c r="C488" s="63" t="s">
        <v>8</v>
      </c>
      <c r="D488" s="63">
        <v>0</v>
      </c>
      <c r="E488" s="63">
        <v>0.01</v>
      </c>
      <c r="F488" s="63">
        <v>1E-3</v>
      </c>
      <c r="G488" s="63" t="s">
        <v>6</v>
      </c>
      <c r="H488" s="63" t="s">
        <v>5</v>
      </c>
      <c r="I488" s="63">
        <v>20</v>
      </c>
      <c r="J488" s="63">
        <v>50</v>
      </c>
      <c r="K488" s="63" t="s">
        <v>10</v>
      </c>
      <c r="L488" s="63">
        <v>577.38</v>
      </c>
      <c r="M488" s="63">
        <v>14.459</v>
      </c>
      <c r="N488" s="63">
        <v>577.37</v>
      </c>
      <c r="O488" s="64">
        <v>14.2</v>
      </c>
    </row>
    <row r="489" spans="1:15" x14ac:dyDescent="0.25">
      <c r="A489" s="114" t="s">
        <v>976</v>
      </c>
      <c r="B489" s="63" t="s">
        <v>52</v>
      </c>
      <c r="C489" s="63" t="s">
        <v>8</v>
      </c>
      <c r="D489" s="63">
        <v>0</v>
      </c>
      <c r="E489" s="63">
        <v>0.01</v>
      </c>
      <c r="F489" s="63">
        <v>1E-3</v>
      </c>
      <c r="G489" s="63" t="s">
        <v>6</v>
      </c>
      <c r="H489" s="63" t="s">
        <v>5</v>
      </c>
      <c r="I489" s="63">
        <v>50</v>
      </c>
      <c r="J489" s="63">
        <v>100</v>
      </c>
      <c r="K489" s="63" t="s">
        <v>10</v>
      </c>
      <c r="L489" s="63">
        <v>577.4</v>
      </c>
      <c r="M489" s="63">
        <v>306.39</v>
      </c>
      <c r="N489" s="63">
        <v>577.16999999999996</v>
      </c>
      <c r="O489" s="64">
        <v>305.02</v>
      </c>
    </row>
    <row r="490" spans="1:15" x14ac:dyDescent="0.25">
      <c r="A490" s="114" t="s">
        <v>973</v>
      </c>
      <c r="B490" s="63" t="s">
        <v>52</v>
      </c>
      <c r="C490" s="63" t="s">
        <v>8</v>
      </c>
      <c r="D490" s="63">
        <v>0</v>
      </c>
      <c r="E490" s="63">
        <v>0.01</v>
      </c>
      <c r="F490" s="63">
        <v>1E-3</v>
      </c>
      <c r="G490" s="63" t="s">
        <v>6</v>
      </c>
      <c r="H490" s="63" t="s">
        <v>5</v>
      </c>
      <c r="I490" s="63">
        <v>100</v>
      </c>
      <c r="J490" s="63">
        <v>300</v>
      </c>
      <c r="K490" s="63" t="s">
        <v>10</v>
      </c>
      <c r="L490" s="63">
        <v>575.77</v>
      </c>
      <c r="M490" s="63">
        <v>16511</v>
      </c>
      <c r="N490" s="63">
        <v>573.27</v>
      </c>
      <c r="O490" s="64">
        <v>16507</v>
      </c>
    </row>
    <row r="491" spans="1:15" x14ac:dyDescent="0.25">
      <c r="A491" s="114" t="s">
        <v>977</v>
      </c>
      <c r="B491" s="63" t="s">
        <v>52</v>
      </c>
      <c r="C491" s="63" t="s">
        <v>8</v>
      </c>
      <c r="D491" s="63">
        <v>0</v>
      </c>
      <c r="E491" s="63">
        <v>0.01</v>
      </c>
      <c r="F491" s="63">
        <v>1E-3</v>
      </c>
      <c r="G491" s="63" t="s">
        <v>6</v>
      </c>
      <c r="H491" s="63" t="s">
        <v>5</v>
      </c>
      <c r="I491" s="63">
        <v>300</v>
      </c>
      <c r="J491" s="63">
        <v>1000</v>
      </c>
      <c r="K491" s="63" t="s">
        <v>10</v>
      </c>
      <c r="L491" s="63">
        <v>575.97</v>
      </c>
      <c r="M491" s="63">
        <v>16722</v>
      </c>
      <c r="N491" s="63">
        <v>573.47</v>
      </c>
      <c r="O491" s="64">
        <v>16718</v>
      </c>
    </row>
    <row r="492" spans="1:15" x14ac:dyDescent="0.25">
      <c r="A492" s="114" t="s">
        <v>972</v>
      </c>
      <c r="B492" s="63" t="s">
        <v>52</v>
      </c>
      <c r="C492" s="63" t="s">
        <v>8</v>
      </c>
      <c r="D492" s="63">
        <v>0</v>
      </c>
      <c r="E492" s="63">
        <v>0.01</v>
      </c>
      <c r="F492" s="63">
        <v>1E-3</v>
      </c>
      <c r="G492" s="63" t="s">
        <v>6</v>
      </c>
      <c r="H492" s="63" t="s">
        <v>5</v>
      </c>
      <c r="I492" s="63">
        <v>1000</v>
      </c>
      <c r="J492" s="63">
        <v>4000</v>
      </c>
      <c r="K492" s="63" t="s">
        <v>10</v>
      </c>
      <c r="L492" s="63">
        <v>573.98</v>
      </c>
      <c r="M492" s="63">
        <v>42637</v>
      </c>
      <c r="N492" s="63">
        <v>570.55999999999995</v>
      </c>
      <c r="O492" s="64">
        <v>42634</v>
      </c>
    </row>
    <row r="493" spans="1:15" x14ac:dyDescent="0.25">
      <c r="A493" s="114" t="s">
        <v>971</v>
      </c>
      <c r="B493" s="63" t="s">
        <v>52</v>
      </c>
      <c r="C493" s="63" t="s">
        <v>8</v>
      </c>
      <c r="D493" s="63">
        <v>0</v>
      </c>
      <c r="E493" s="63">
        <v>0.01</v>
      </c>
      <c r="F493" s="63">
        <v>1E-3</v>
      </c>
      <c r="G493" s="63" t="s">
        <v>6</v>
      </c>
      <c r="H493" s="63" t="s">
        <v>5</v>
      </c>
      <c r="I493" s="63">
        <v>4000</v>
      </c>
      <c r="J493" s="63">
        <v>8000</v>
      </c>
      <c r="K493" s="63" t="s">
        <v>10</v>
      </c>
      <c r="L493" s="63">
        <v>561.69000000000005</v>
      </c>
      <c r="M493" s="63">
        <v>182820</v>
      </c>
      <c r="N493" s="63">
        <v>557.14</v>
      </c>
      <c r="O493" s="64">
        <v>182830</v>
      </c>
    </row>
    <row r="494" spans="1:15" x14ac:dyDescent="0.25">
      <c r="A494" s="114" t="s">
        <v>2271</v>
      </c>
      <c r="B494" s="63" t="s">
        <v>52</v>
      </c>
      <c r="C494" s="63" t="s">
        <v>8</v>
      </c>
      <c r="D494" s="63">
        <v>0.01</v>
      </c>
      <c r="E494" s="63">
        <v>0.1</v>
      </c>
      <c r="F494" s="63">
        <v>1E-3</v>
      </c>
      <c r="G494" s="63" t="s">
        <v>6</v>
      </c>
      <c r="H494" s="63" t="s">
        <v>5</v>
      </c>
      <c r="I494" s="63">
        <v>1E-3</v>
      </c>
      <c r="J494" s="63">
        <v>0.04</v>
      </c>
      <c r="K494" s="63" t="s">
        <v>10</v>
      </c>
      <c r="L494" s="63">
        <v>577.37</v>
      </c>
      <c r="M494" s="63">
        <v>1.4498</v>
      </c>
      <c r="N494" s="63">
        <v>577.25</v>
      </c>
      <c r="O494" s="64">
        <v>1.4244000000000001</v>
      </c>
    </row>
    <row r="495" spans="1:15" x14ac:dyDescent="0.25">
      <c r="A495" s="114" t="s">
        <v>2272</v>
      </c>
      <c r="B495" s="63" t="s">
        <v>52</v>
      </c>
      <c r="C495" s="63" t="s">
        <v>8</v>
      </c>
      <c r="D495" s="63">
        <v>0.01</v>
      </c>
      <c r="E495" s="63">
        <v>0.1</v>
      </c>
      <c r="F495" s="63">
        <v>1E-3</v>
      </c>
      <c r="G495" s="63" t="s">
        <v>6</v>
      </c>
      <c r="H495" s="63" t="s">
        <v>5</v>
      </c>
      <c r="I495" s="63">
        <v>0.04</v>
      </c>
      <c r="J495" s="63">
        <v>1</v>
      </c>
      <c r="K495" s="63" t="s">
        <v>10</v>
      </c>
      <c r="L495" s="63">
        <v>577.36</v>
      </c>
      <c r="M495" s="63">
        <v>1.1266</v>
      </c>
      <c r="N495" s="63">
        <v>577.26</v>
      </c>
      <c r="O495" s="64">
        <v>1.1012</v>
      </c>
    </row>
    <row r="496" spans="1:15" x14ac:dyDescent="0.25">
      <c r="A496" s="114" t="s">
        <v>2273</v>
      </c>
      <c r="B496" s="63" t="s">
        <v>52</v>
      </c>
      <c r="C496" s="63" t="s">
        <v>8</v>
      </c>
      <c r="D496" s="63">
        <v>0.01</v>
      </c>
      <c r="E496" s="63">
        <v>0.1</v>
      </c>
      <c r="F496" s="63">
        <v>1E-3</v>
      </c>
      <c r="G496" s="63" t="s">
        <v>6</v>
      </c>
      <c r="H496" s="63" t="s">
        <v>5</v>
      </c>
      <c r="I496" s="63">
        <v>1</v>
      </c>
      <c r="J496" s="63">
        <v>20</v>
      </c>
      <c r="K496" s="63" t="s">
        <v>10</v>
      </c>
      <c r="L496" s="63">
        <v>577.34</v>
      </c>
      <c r="M496" s="63">
        <v>3.3107000000000002</v>
      </c>
      <c r="N496" s="63">
        <v>577.05999999999995</v>
      </c>
      <c r="O496" s="64">
        <v>3.2852999999999999</v>
      </c>
    </row>
    <row r="497" spans="1:15" x14ac:dyDescent="0.25">
      <c r="A497" s="114" t="s">
        <v>1029</v>
      </c>
      <c r="B497" s="63" t="s">
        <v>52</v>
      </c>
      <c r="C497" s="63" t="s">
        <v>8</v>
      </c>
      <c r="D497" s="63">
        <v>0.01</v>
      </c>
      <c r="E497" s="63">
        <v>0.1</v>
      </c>
      <c r="F497" s="63">
        <v>1E-3</v>
      </c>
      <c r="G497" s="63" t="s">
        <v>6</v>
      </c>
      <c r="H497" s="63" t="s">
        <v>5</v>
      </c>
      <c r="I497" s="63">
        <v>20</v>
      </c>
      <c r="J497" s="63">
        <v>50</v>
      </c>
      <c r="K497" s="63" t="s">
        <v>10</v>
      </c>
      <c r="L497" s="63">
        <v>577.28</v>
      </c>
      <c r="M497" s="63">
        <v>12.896000000000001</v>
      </c>
      <c r="N497" s="63">
        <v>576.24</v>
      </c>
      <c r="O497" s="64">
        <v>12.803000000000001</v>
      </c>
    </row>
    <row r="498" spans="1:15" x14ac:dyDescent="0.25">
      <c r="A498" s="114" t="s">
        <v>1030</v>
      </c>
      <c r="B498" s="63" t="s">
        <v>52</v>
      </c>
      <c r="C498" s="63" t="s">
        <v>8</v>
      </c>
      <c r="D498" s="63">
        <v>0.01</v>
      </c>
      <c r="E498" s="63">
        <v>0.1</v>
      </c>
      <c r="F498" s="63">
        <v>1E-3</v>
      </c>
      <c r="G498" s="63" t="s">
        <v>6</v>
      </c>
      <c r="H498" s="63" t="s">
        <v>5</v>
      </c>
      <c r="I498" s="63">
        <v>50</v>
      </c>
      <c r="J498" s="63">
        <v>100</v>
      </c>
      <c r="K498" s="63" t="s">
        <v>10</v>
      </c>
      <c r="L498" s="63">
        <v>576.69000000000005</v>
      </c>
      <c r="M498" s="63">
        <v>87.305999999999997</v>
      </c>
      <c r="N498" s="63">
        <v>571.67999999999995</v>
      </c>
      <c r="O498" s="64">
        <v>86.953999999999994</v>
      </c>
    </row>
    <row r="499" spans="1:15" x14ac:dyDescent="0.25">
      <c r="A499" s="114" t="s">
        <v>1025</v>
      </c>
      <c r="B499" s="63" t="s">
        <v>52</v>
      </c>
      <c r="C499" s="63" t="s">
        <v>8</v>
      </c>
      <c r="D499" s="63">
        <v>0.01</v>
      </c>
      <c r="E499" s="63">
        <v>0.1</v>
      </c>
      <c r="F499" s="63">
        <v>1E-3</v>
      </c>
      <c r="G499" s="63" t="s">
        <v>6</v>
      </c>
      <c r="H499" s="63" t="s">
        <v>5</v>
      </c>
      <c r="I499" s="63">
        <v>100</v>
      </c>
      <c r="J499" s="63">
        <v>300</v>
      </c>
      <c r="K499" s="63" t="s">
        <v>10</v>
      </c>
      <c r="L499" s="63">
        <v>568.05999999999995</v>
      </c>
      <c r="M499" s="63">
        <v>1120</v>
      </c>
      <c r="N499" s="63">
        <v>547.01</v>
      </c>
      <c r="O499" s="64">
        <v>1119.2</v>
      </c>
    </row>
    <row r="500" spans="1:15" x14ac:dyDescent="0.25">
      <c r="A500" s="114" t="s">
        <v>1031</v>
      </c>
      <c r="B500" s="63" t="s">
        <v>52</v>
      </c>
      <c r="C500" s="63" t="s">
        <v>8</v>
      </c>
      <c r="D500" s="63">
        <v>0.01</v>
      </c>
      <c r="E500" s="63">
        <v>0.1</v>
      </c>
      <c r="F500" s="63">
        <v>1E-3</v>
      </c>
      <c r="G500" s="63" t="s">
        <v>6</v>
      </c>
      <c r="H500" s="63" t="s">
        <v>5</v>
      </c>
      <c r="I500" s="63">
        <v>300</v>
      </c>
      <c r="J500" s="63">
        <v>1000</v>
      </c>
      <c r="K500" s="63" t="s">
        <v>10</v>
      </c>
      <c r="L500" s="63">
        <v>511.75</v>
      </c>
      <c r="M500" s="63">
        <v>7972.6</v>
      </c>
      <c r="N500" s="63">
        <v>476.24</v>
      </c>
      <c r="O500" s="64">
        <v>7972.4</v>
      </c>
    </row>
    <row r="501" spans="1:15" x14ac:dyDescent="0.25">
      <c r="A501" s="114" t="s">
        <v>2274</v>
      </c>
      <c r="B501" s="63" t="s">
        <v>52</v>
      </c>
      <c r="C501" s="63" t="s">
        <v>8</v>
      </c>
      <c r="D501" s="63">
        <v>0.01</v>
      </c>
      <c r="E501" s="63">
        <v>0.1</v>
      </c>
      <c r="F501" s="63">
        <v>1E-3</v>
      </c>
      <c r="G501" s="63" t="s">
        <v>6</v>
      </c>
      <c r="H501" s="63" t="s">
        <v>5</v>
      </c>
      <c r="I501" s="63">
        <v>1000</v>
      </c>
      <c r="J501" s="63">
        <v>2000</v>
      </c>
      <c r="K501" s="63" t="s">
        <v>10</v>
      </c>
      <c r="L501" s="63">
        <v>469.05</v>
      </c>
      <c r="M501" s="63">
        <v>13766</v>
      </c>
      <c r="N501" s="63">
        <v>433.19</v>
      </c>
      <c r="O501" s="64">
        <v>13767</v>
      </c>
    </row>
    <row r="502" spans="1:15" x14ac:dyDescent="0.25">
      <c r="A502" s="114" t="s">
        <v>1027</v>
      </c>
      <c r="B502" s="63" t="s">
        <v>52</v>
      </c>
      <c r="C502" s="63" t="s">
        <v>8</v>
      </c>
      <c r="D502" s="63">
        <v>0.01</v>
      </c>
      <c r="E502" s="63">
        <v>0.1</v>
      </c>
      <c r="F502" s="63">
        <v>1E-3</v>
      </c>
      <c r="G502" s="63" t="s">
        <v>6</v>
      </c>
      <c r="H502" s="63" t="s">
        <v>5</v>
      </c>
      <c r="I502" s="63">
        <v>2000</v>
      </c>
      <c r="J502" s="63">
        <v>4000</v>
      </c>
      <c r="K502" s="63" t="s">
        <v>10</v>
      </c>
      <c r="L502" s="63">
        <v>354.54</v>
      </c>
      <c r="M502" s="63">
        <v>43842</v>
      </c>
      <c r="N502" s="63">
        <v>330.66</v>
      </c>
      <c r="O502" s="64">
        <v>43842</v>
      </c>
    </row>
    <row r="503" spans="1:15" x14ac:dyDescent="0.25">
      <c r="A503" s="114" t="s">
        <v>1028</v>
      </c>
      <c r="B503" s="63" t="s">
        <v>52</v>
      </c>
      <c r="C503" s="63" t="s">
        <v>8</v>
      </c>
      <c r="D503" s="63">
        <v>0.01</v>
      </c>
      <c r="E503" s="63">
        <v>0.1</v>
      </c>
      <c r="F503" s="63">
        <v>1E-3</v>
      </c>
      <c r="G503" s="63" t="s">
        <v>6</v>
      </c>
      <c r="H503" s="63" t="s">
        <v>5</v>
      </c>
      <c r="I503" s="63">
        <v>4000</v>
      </c>
      <c r="J503" s="63">
        <v>8000</v>
      </c>
      <c r="K503" s="63" t="s">
        <v>10</v>
      </c>
      <c r="L503" s="63">
        <v>363.53</v>
      </c>
      <c r="M503" s="63">
        <v>43909</v>
      </c>
      <c r="N503" s="63">
        <v>338.44</v>
      </c>
      <c r="O503" s="64">
        <v>43920</v>
      </c>
    </row>
    <row r="504" spans="1:15" x14ac:dyDescent="0.25">
      <c r="A504" s="114" t="s">
        <v>1026</v>
      </c>
      <c r="B504" s="63" t="s">
        <v>52</v>
      </c>
      <c r="C504" s="63" t="s">
        <v>8</v>
      </c>
      <c r="D504" s="63">
        <v>0.01</v>
      </c>
      <c r="E504" s="63">
        <v>0.1</v>
      </c>
      <c r="F504" s="63">
        <v>1E-3</v>
      </c>
      <c r="G504" s="63" t="s">
        <v>6</v>
      </c>
      <c r="H504" s="63" t="s">
        <v>5</v>
      </c>
      <c r="I504" s="63">
        <v>8000</v>
      </c>
      <c r="J504" s="63">
        <v>10000</v>
      </c>
      <c r="K504" s="63" t="s">
        <v>10</v>
      </c>
      <c r="L504" s="63">
        <v>450</v>
      </c>
      <c r="M504" s="63">
        <v>170150</v>
      </c>
      <c r="N504" s="63">
        <v>203.58</v>
      </c>
      <c r="O504" s="64">
        <v>172400</v>
      </c>
    </row>
    <row r="505" spans="1:15" x14ac:dyDescent="0.25">
      <c r="A505" s="114" t="s">
        <v>1070</v>
      </c>
      <c r="B505" s="63" t="s">
        <v>52</v>
      </c>
      <c r="C505" s="63" t="s">
        <v>8</v>
      </c>
      <c r="D505" s="63">
        <v>0.1</v>
      </c>
      <c r="E505" s="63">
        <v>1</v>
      </c>
      <c r="F505" s="63">
        <v>1E-3</v>
      </c>
      <c r="G505" s="63" t="s">
        <v>6</v>
      </c>
      <c r="H505" s="63" t="s">
        <v>5</v>
      </c>
      <c r="I505" s="63">
        <v>1E-3</v>
      </c>
      <c r="J505" s="63">
        <v>0.04</v>
      </c>
      <c r="K505" s="63" t="s">
        <v>10</v>
      </c>
      <c r="L505" s="63">
        <v>578.69000000000005</v>
      </c>
      <c r="M505" s="63">
        <v>12.536</v>
      </c>
      <c r="N505" s="63">
        <v>12.497999999999999</v>
      </c>
      <c r="O505" s="64">
        <v>12.497999999999999</v>
      </c>
    </row>
    <row r="506" spans="1:15" x14ac:dyDescent="0.25">
      <c r="A506" s="114" t="s">
        <v>1066</v>
      </c>
      <c r="B506" s="63" t="s">
        <v>52</v>
      </c>
      <c r="C506" s="63" t="s">
        <v>8</v>
      </c>
      <c r="D506" s="63">
        <v>0.1</v>
      </c>
      <c r="E506" s="63">
        <v>1</v>
      </c>
      <c r="F506" s="63">
        <v>1E-3</v>
      </c>
      <c r="G506" s="63" t="s">
        <v>6</v>
      </c>
      <c r="H506" s="63" t="s">
        <v>5</v>
      </c>
      <c r="I506" s="63">
        <v>0.04</v>
      </c>
      <c r="J506" s="63">
        <v>1</v>
      </c>
      <c r="K506" s="63" t="s">
        <v>10</v>
      </c>
      <c r="L506" s="63">
        <v>577.29999999999995</v>
      </c>
      <c r="M506" s="63">
        <v>9.3986000000000001</v>
      </c>
      <c r="N506" s="63">
        <v>577.28</v>
      </c>
      <c r="O506" s="64">
        <v>9.3602000000000007</v>
      </c>
    </row>
    <row r="507" spans="1:15" x14ac:dyDescent="0.25">
      <c r="A507" s="114" t="s">
        <v>1065</v>
      </c>
      <c r="B507" s="63" t="s">
        <v>52</v>
      </c>
      <c r="C507" s="63" t="s">
        <v>8</v>
      </c>
      <c r="D507" s="63">
        <v>0.1</v>
      </c>
      <c r="E507" s="63">
        <v>1</v>
      </c>
      <c r="F507" s="63">
        <v>1E-3</v>
      </c>
      <c r="G507" s="63" t="s">
        <v>6</v>
      </c>
      <c r="H507" s="63" t="s">
        <v>5</v>
      </c>
      <c r="I507" s="63">
        <v>1</v>
      </c>
      <c r="J507" s="63">
        <v>20</v>
      </c>
      <c r="K507" s="63" t="s">
        <v>10</v>
      </c>
      <c r="L507" s="63">
        <v>575.70000000000005</v>
      </c>
      <c r="M507" s="63">
        <v>30.683</v>
      </c>
      <c r="N507" s="63">
        <v>575.66</v>
      </c>
      <c r="O507" s="64">
        <v>30.547999999999998</v>
      </c>
    </row>
    <row r="508" spans="1:15" x14ac:dyDescent="0.25">
      <c r="A508" s="114" t="s">
        <v>1069</v>
      </c>
      <c r="B508" s="63" t="s">
        <v>52</v>
      </c>
      <c r="C508" s="63" t="s">
        <v>8</v>
      </c>
      <c r="D508" s="63">
        <v>0.1</v>
      </c>
      <c r="E508" s="63">
        <v>1</v>
      </c>
      <c r="F508" s="63">
        <v>1E-3</v>
      </c>
      <c r="G508" s="63" t="s">
        <v>6</v>
      </c>
      <c r="H508" s="63" t="s">
        <v>5</v>
      </c>
      <c r="I508" s="63">
        <v>20</v>
      </c>
      <c r="J508" s="63">
        <v>50</v>
      </c>
      <c r="K508" s="63" t="s">
        <v>10</v>
      </c>
      <c r="L508" s="63">
        <v>568.73</v>
      </c>
      <c r="M508" s="63">
        <v>117.17</v>
      </c>
      <c r="N508" s="63">
        <v>568.57000000000005</v>
      </c>
      <c r="O508" s="64">
        <v>116.91</v>
      </c>
    </row>
    <row r="509" spans="1:15" x14ac:dyDescent="0.25">
      <c r="A509" s="114" t="s">
        <v>1072</v>
      </c>
      <c r="B509" s="63" t="s">
        <v>52</v>
      </c>
      <c r="C509" s="63" t="s">
        <v>8</v>
      </c>
      <c r="D509" s="63">
        <v>0.1</v>
      </c>
      <c r="E509" s="63">
        <v>1</v>
      </c>
      <c r="F509" s="63">
        <v>1E-3</v>
      </c>
      <c r="G509" s="63" t="s">
        <v>6</v>
      </c>
      <c r="H509" s="63" t="s">
        <v>5</v>
      </c>
      <c r="I509" s="63">
        <v>50</v>
      </c>
      <c r="J509" s="63">
        <v>100</v>
      </c>
      <c r="K509" s="63" t="s">
        <v>10</v>
      </c>
      <c r="L509" s="63">
        <v>530.37</v>
      </c>
      <c r="M509" s="63">
        <v>592.16</v>
      </c>
      <c r="N509" s="63">
        <v>529.89</v>
      </c>
      <c r="O509" s="64">
        <v>592.07000000000005</v>
      </c>
    </row>
    <row r="510" spans="1:15" x14ac:dyDescent="0.25">
      <c r="A510" s="114" t="s">
        <v>2275</v>
      </c>
      <c r="B510" s="63" t="s">
        <v>52</v>
      </c>
      <c r="C510" s="63" t="s">
        <v>8</v>
      </c>
      <c r="D510" s="63">
        <v>0.1</v>
      </c>
      <c r="E510" s="63">
        <v>1</v>
      </c>
      <c r="F510" s="63">
        <v>1E-3</v>
      </c>
      <c r="G510" s="63" t="s">
        <v>6</v>
      </c>
      <c r="H510" s="63" t="s">
        <v>5</v>
      </c>
      <c r="I510" s="63">
        <v>100</v>
      </c>
      <c r="J510" s="63">
        <v>300</v>
      </c>
      <c r="K510" s="63" t="s">
        <v>10</v>
      </c>
      <c r="L510" s="63">
        <v>420.55</v>
      </c>
      <c r="M510" s="63">
        <v>3205.9</v>
      </c>
      <c r="N510" s="63">
        <v>419.31</v>
      </c>
      <c r="O510" s="64">
        <v>3206.7</v>
      </c>
    </row>
    <row r="511" spans="1:15" x14ac:dyDescent="0.25">
      <c r="A511" s="114" t="s">
        <v>1067</v>
      </c>
      <c r="B511" s="63" t="s">
        <v>52</v>
      </c>
      <c r="C511" s="63" t="s">
        <v>8</v>
      </c>
      <c r="D511" s="63">
        <v>0.1</v>
      </c>
      <c r="E511" s="63">
        <v>1</v>
      </c>
      <c r="F511" s="63">
        <v>1E-3</v>
      </c>
      <c r="G511" s="63" t="s">
        <v>6</v>
      </c>
      <c r="H511" s="63" t="s">
        <v>5</v>
      </c>
      <c r="I511" s="63">
        <v>300</v>
      </c>
      <c r="J511" s="63">
        <v>1000</v>
      </c>
      <c r="K511" s="63" t="s">
        <v>10</v>
      </c>
      <c r="L511" s="63">
        <v>212.67</v>
      </c>
      <c r="M511" s="63">
        <v>11907</v>
      </c>
      <c r="N511" s="63">
        <v>246.94</v>
      </c>
      <c r="O511" s="64">
        <v>11553</v>
      </c>
    </row>
    <row r="512" spans="1:15" x14ac:dyDescent="0.25">
      <c r="A512" s="114" t="s">
        <v>1071</v>
      </c>
      <c r="B512" s="63" t="s">
        <v>52</v>
      </c>
      <c r="C512" s="63" t="s">
        <v>8</v>
      </c>
      <c r="D512" s="63">
        <v>0.1</v>
      </c>
      <c r="E512" s="63">
        <v>1</v>
      </c>
      <c r="F512" s="63">
        <v>1E-3</v>
      </c>
      <c r="G512" s="63" t="s">
        <v>6</v>
      </c>
      <c r="H512" s="63" t="s">
        <v>5</v>
      </c>
      <c r="I512" s="63">
        <v>1000</v>
      </c>
      <c r="J512" s="63">
        <v>2000</v>
      </c>
      <c r="K512" s="63" t="s">
        <v>10</v>
      </c>
      <c r="L512" s="63">
        <v>590</v>
      </c>
      <c r="M512" s="63">
        <v>17163</v>
      </c>
      <c r="N512" s="63">
        <v>204.79</v>
      </c>
      <c r="O512" s="64">
        <v>17392</v>
      </c>
    </row>
    <row r="513" spans="1:15" x14ac:dyDescent="0.25">
      <c r="A513" s="114" t="s">
        <v>1068</v>
      </c>
      <c r="B513" s="63" t="s">
        <v>52</v>
      </c>
      <c r="C513" s="63" t="s">
        <v>8</v>
      </c>
      <c r="D513" s="63">
        <v>0.1</v>
      </c>
      <c r="E513" s="63">
        <v>1</v>
      </c>
      <c r="F513" s="63">
        <v>1E-3</v>
      </c>
      <c r="G513" s="63" t="s">
        <v>6</v>
      </c>
      <c r="H513" s="63" t="s">
        <v>4</v>
      </c>
      <c r="I513" s="63">
        <v>2000</v>
      </c>
      <c r="J513" s="63">
        <v>4000</v>
      </c>
      <c r="K513" s="63" t="s">
        <v>10</v>
      </c>
      <c r="L513" s="63">
        <v>1.2</v>
      </c>
      <c r="M513" s="63">
        <v>46.033999999999999</v>
      </c>
      <c r="N513" s="63">
        <v>0.83431</v>
      </c>
      <c r="O513" s="64">
        <v>46.295999999999999</v>
      </c>
    </row>
    <row r="514" spans="1:15" x14ac:dyDescent="0.25">
      <c r="A514" s="114" t="s">
        <v>2276</v>
      </c>
      <c r="B514" s="63" t="s">
        <v>52</v>
      </c>
      <c r="C514" s="63" t="s">
        <v>8</v>
      </c>
      <c r="D514" s="63">
        <v>0.1</v>
      </c>
      <c r="E514" s="63">
        <v>1</v>
      </c>
      <c r="F514" s="63">
        <v>1E-3</v>
      </c>
      <c r="G514" s="63" t="s">
        <v>6</v>
      </c>
      <c r="H514" s="63" t="s">
        <v>4</v>
      </c>
      <c r="I514" s="63">
        <v>4000</v>
      </c>
      <c r="J514" s="63">
        <v>8000</v>
      </c>
      <c r="K514" s="63" t="s">
        <v>10</v>
      </c>
      <c r="L514" s="63">
        <v>1.3</v>
      </c>
      <c r="M514" s="63">
        <v>46.051000000000002</v>
      </c>
      <c r="N514" s="63">
        <v>0.94915000000000005</v>
      </c>
      <c r="O514" s="64">
        <v>46.295999999999999</v>
      </c>
    </row>
    <row r="515" spans="1:15" x14ac:dyDescent="0.25">
      <c r="A515" s="114" t="s">
        <v>1073</v>
      </c>
      <c r="B515" s="63" t="s">
        <v>52</v>
      </c>
      <c r="C515" s="63" t="s">
        <v>8</v>
      </c>
      <c r="D515" s="63">
        <v>0.1</v>
      </c>
      <c r="E515" s="63">
        <v>1</v>
      </c>
      <c r="F515" s="63">
        <v>1E-3</v>
      </c>
      <c r="G515" s="63" t="s">
        <v>6</v>
      </c>
      <c r="H515" s="63" t="s">
        <v>4</v>
      </c>
      <c r="I515" s="63">
        <v>8000</v>
      </c>
      <c r="J515" s="63">
        <v>10000</v>
      </c>
      <c r="K515" s="63" t="s">
        <v>10</v>
      </c>
      <c r="L515" s="63">
        <v>4.5999999999999996</v>
      </c>
      <c r="M515" s="63">
        <v>170.12</v>
      </c>
      <c r="N515" s="63">
        <v>1.1559999999999999</v>
      </c>
      <c r="O515" s="64">
        <v>173.35</v>
      </c>
    </row>
    <row r="516" spans="1:15" x14ac:dyDescent="0.25">
      <c r="A516" s="114" t="s">
        <v>2277</v>
      </c>
      <c r="B516" s="63" t="s">
        <v>52</v>
      </c>
      <c r="C516" s="63" t="s">
        <v>8</v>
      </c>
      <c r="D516" s="63">
        <v>1</v>
      </c>
      <c r="E516" s="63">
        <v>10</v>
      </c>
      <c r="F516" s="63">
        <v>1E-3</v>
      </c>
      <c r="G516" s="63" t="s">
        <v>6</v>
      </c>
      <c r="H516" s="63" t="s">
        <v>4</v>
      </c>
      <c r="I516" s="63">
        <v>1E-3</v>
      </c>
      <c r="J516" s="63">
        <v>0.04</v>
      </c>
      <c r="K516" s="63" t="s">
        <v>10</v>
      </c>
      <c r="L516" s="63">
        <v>0.71618999999999999</v>
      </c>
      <c r="M516" s="63">
        <v>7.7546000000000004E-2</v>
      </c>
      <c r="N516" s="63">
        <v>0.71499000000000001</v>
      </c>
      <c r="O516" s="64">
        <v>7.7401999999999999E-2</v>
      </c>
    </row>
    <row r="517" spans="1:15" x14ac:dyDescent="0.25">
      <c r="A517" s="114" t="s">
        <v>1113</v>
      </c>
      <c r="B517" s="63" t="s">
        <v>52</v>
      </c>
      <c r="C517" s="63" t="s">
        <v>8</v>
      </c>
      <c r="D517" s="63">
        <v>1</v>
      </c>
      <c r="E517" s="63">
        <v>10</v>
      </c>
      <c r="F517" s="63">
        <v>1E-3</v>
      </c>
      <c r="G517" s="63" t="s">
        <v>6</v>
      </c>
      <c r="H517" s="63" t="s">
        <v>4</v>
      </c>
      <c r="I517" s="63">
        <v>0.04</v>
      </c>
      <c r="J517" s="63">
        <v>1</v>
      </c>
      <c r="K517" s="63" t="s">
        <v>10</v>
      </c>
      <c r="L517" s="63">
        <v>0.59428000000000003</v>
      </c>
      <c r="M517" s="63">
        <v>6.3506000000000007E-2</v>
      </c>
      <c r="N517" s="63">
        <v>0.59284000000000003</v>
      </c>
      <c r="O517" s="64">
        <v>6.3329999999999997E-2</v>
      </c>
    </row>
    <row r="518" spans="1:15" x14ac:dyDescent="0.25">
      <c r="A518" s="114" t="s">
        <v>1117</v>
      </c>
      <c r="B518" s="63" t="s">
        <v>52</v>
      </c>
      <c r="C518" s="63" t="s">
        <v>8</v>
      </c>
      <c r="D518" s="63">
        <v>1</v>
      </c>
      <c r="E518" s="63">
        <v>10</v>
      </c>
      <c r="F518" s="63">
        <v>1E-3</v>
      </c>
      <c r="G518" s="63" t="s">
        <v>6</v>
      </c>
      <c r="H518" s="63" t="s">
        <v>4</v>
      </c>
      <c r="I518" s="63">
        <v>1</v>
      </c>
      <c r="J518" s="63">
        <v>20</v>
      </c>
      <c r="K518" s="63" t="s">
        <v>10</v>
      </c>
      <c r="L518" s="63">
        <v>0.56386000000000003</v>
      </c>
      <c r="M518" s="63">
        <v>0.14001</v>
      </c>
      <c r="N518" s="63">
        <v>0.55818000000000001</v>
      </c>
      <c r="O518" s="64">
        <v>0.14005999999999999</v>
      </c>
    </row>
    <row r="519" spans="1:15" x14ac:dyDescent="0.25">
      <c r="A519" s="114" t="s">
        <v>2278</v>
      </c>
      <c r="B519" s="63" t="s">
        <v>52</v>
      </c>
      <c r="C519" s="63" t="s">
        <v>8</v>
      </c>
      <c r="D519" s="63">
        <v>1</v>
      </c>
      <c r="E519" s="63">
        <v>10</v>
      </c>
      <c r="F519" s="63">
        <v>1E-3</v>
      </c>
      <c r="G519" s="63" t="s">
        <v>6</v>
      </c>
      <c r="H519" s="63" t="s">
        <v>4</v>
      </c>
      <c r="I519" s="63">
        <v>20</v>
      </c>
      <c r="J519" s="63">
        <v>50</v>
      </c>
      <c r="K519" s="63" t="s">
        <v>10</v>
      </c>
      <c r="L519" s="63">
        <v>0.50358000000000003</v>
      </c>
      <c r="M519" s="63">
        <v>0.32533000000000001</v>
      </c>
      <c r="N519" s="63">
        <v>0.49042000000000002</v>
      </c>
      <c r="O519" s="64">
        <v>0.32615</v>
      </c>
    </row>
    <row r="520" spans="1:15" x14ac:dyDescent="0.25">
      <c r="A520" s="114" t="s">
        <v>1111</v>
      </c>
      <c r="B520" s="63" t="s">
        <v>52</v>
      </c>
      <c r="C520" s="63" t="s">
        <v>8</v>
      </c>
      <c r="D520" s="63">
        <v>1</v>
      </c>
      <c r="E520" s="63">
        <v>10</v>
      </c>
      <c r="F520" s="63">
        <v>1E-3</v>
      </c>
      <c r="G520" s="63" t="s">
        <v>6</v>
      </c>
      <c r="H520" s="63" t="s">
        <v>4</v>
      </c>
      <c r="I520" s="63">
        <v>50</v>
      </c>
      <c r="J520" s="63">
        <v>100</v>
      </c>
      <c r="K520" s="63" t="s">
        <v>10</v>
      </c>
      <c r="L520" s="63">
        <v>0.38941999999999999</v>
      </c>
      <c r="M520" s="63">
        <v>0.92691999999999997</v>
      </c>
      <c r="N520" s="63">
        <v>0.37412000000000001</v>
      </c>
      <c r="O520" s="64">
        <v>0.92813000000000001</v>
      </c>
    </row>
    <row r="521" spans="1:15" x14ac:dyDescent="0.25">
      <c r="A521" s="114" t="s">
        <v>2279</v>
      </c>
      <c r="B521" s="63" t="s">
        <v>52</v>
      </c>
      <c r="C521" s="63" t="s">
        <v>8</v>
      </c>
      <c r="D521" s="63">
        <v>1</v>
      </c>
      <c r="E521" s="63">
        <v>10</v>
      </c>
      <c r="F521" s="63">
        <v>1E-3</v>
      </c>
      <c r="G521" s="63" t="s">
        <v>6</v>
      </c>
      <c r="H521" s="63" t="s">
        <v>4</v>
      </c>
      <c r="I521" s="63">
        <v>100</v>
      </c>
      <c r="J521" s="63">
        <v>300</v>
      </c>
      <c r="K521" s="63" t="s">
        <v>10</v>
      </c>
      <c r="L521" s="63">
        <v>1.2</v>
      </c>
      <c r="M521" s="63">
        <v>3.5</v>
      </c>
      <c r="N521" s="63">
        <v>1.1754</v>
      </c>
      <c r="O521" s="64">
        <v>3.4796</v>
      </c>
    </row>
    <row r="522" spans="1:15" x14ac:dyDescent="0.25">
      <c r="A522" s="114" t="s">
        <v>1114</v>
      </c>
      <c r="B522" s="63" t="s">
        <v>52</v>
      </c>
      <c r="C522" s="63" t="s">
        <v>8</v>
      </c>
      <c r="D522" s="63">
        <v>1</v>
      </c>
      <c r="E522" s="63">
        <v>10</v>
      </c>
      <c r="F522" s="63">
        <v>1E-3</v>
      </c>
      <c r="G522" s="63" t="s">
        <v>6</v>
      </c>
      <c r="H522" s="63" t="s">
        <v>4</v>
      </c>
      <c r="I522" s="63">
        <v>300</v>
      </c>
      <c r="J522" s="63">
        <v>1000</v>
      </c>
      <c r="K522" s="63" t="s">
        <v>10</v>
      </c>
      <c r="L522" s="63">
        <v>0.84662999999999999</v>
      </c>
      <c r="M522" s="63">
        <v>11.986000000000001</v>
      </c>
      <c r="N522" s="63">
        <v>1.141</v>
      </c>
      <c r="O522" s="64">
        <v>11.686999999999999</v>
      </c>
    </row>
    <row r="523" spans="1:15" x14ac:dyDescent="0.25">
      <c r="A523" s="114" t="s">
        <v>1116</v>
      </c>
      <c r="B523" s="63" t="s">
        <v>52</v>
      </c>
      <c r="C523" s="63" t="s">
        <v>8</v>
      </c>
      <c r="D523" s="63">
        <v>1</v>
      </c>
      <c r="E523" s="63">
        <v>10</v>
      </c>
      <c r="F523" s="63">
        <v>1E-3</v>
      </c>
      <c r="G523" s="63" t="s">
        <v>6</v>
      </c>
      <c r="H523" s="63" t="s">
        <v>4</v>
      </c>
      <c r="I523" s="63">
        <v>1000</v>
      </c>
      <c r="J523" s="63">
        <v>2000</v>
      </c>
      <c r="K523" s="63" t="s">
        <v>10</v>
      </c>
      <c r="L523" s="63">
        <v>6.1</v>
      </c>
      <c r="M523" s="63">
        <v>17.155999999999999</v>
      </c>
      <c r="N523" s="63">
        <v>1.1448</v>
      </c>
      <c r="O523" s="64">
        <v>17.486000000000001</v>
      </c>
    </row>
    <row r="524" spans="1:15" x14ac:dyDescent="0.25">
      <c r="A524" s="114" t="s">
        <v>1115</v>
      </c>
      <c r="B524" s="63" t="s">
        <v>52</v>
      </c>
      <c r="C524" s="63" t="s">
        <v>8</v>
      </c>
      <c r="D524" s="63">
        <v>1</v>
      </c>
      <c r="E524" s="63">
        <v>10</v>
      </c>
      <c r="F524" s="63">
        <v>1E-3</v>
      </c>
      <c r="G524" s="63" t="s">
        <v>6</v>
      </c>
      <c r="H524" s="63" t="s">
        <v>4</v>
      </c>
      <c r="I524" s="63">
        <v>2000</v>
      </c>
      <c r="J524" s="63">
        <v>4000</v>
      </c>
      <c r="K524" s="63" t="s">
        <v>10</v>
      </c>
      <c r="L524" s="63">
        <v>12</v>
      </c>
      <c r="M524" s="63">
        <v>46.037999999999997</v>
      </c>
      <c r="N524" s="63">
        <v>8.0602999999999998</v>
      </c>
      <c r="O524" s="64">
        <v>46.328000000000003</v>
      </c>
    </row>
    <row r="525" spans="1:15" x14ac:dyDescent="0.25">
      <c r="A525" s="114" t="s">
        <v>1110</v>
      </c>
      <c r="B525" s="63" t="s">
        <v>52</v>
      </c>
      <c r="C525" s="63" t="s">
        <v>8</v>
      </c>
      <c r="D525" s="63">
        <v>1</v>
      </c>
      <c r="E525" s="63">
        <v>10</v>
      </c>
      <c r="F525" s="63">
        <v>1E-3</v>
      </c>
      <c r="G525" s="63" t="s">
        <v>6</v>
      </c>
      <c r="H525" s="63" t="s">
        <v>4</v>
      </c>
      <c r="I525" s="63">
        <v>4000</v>
      </c>
      <c r="J525" s="63">
        <v>8000</v>
      </c>
      <c r="K525" s="63" t="s">
        <v>10</v>
      </c>
      <c r="L525" s="63">
        <v>15</v>
      </c>
      <c r="M525" s="63">
        <v>46.325000000000003</v>
      </c>
      <c r="N525" s="63">
        <v>9.1658000000000008</v>
      </c>
      <c r="O525" s="64">
        <v>46.576000000000001</v>
      </c>
    </row>
    <row r="526" spans="1:15" x14ac:dyDescent="0.25">
      <c r="A526" s="114" t="s">
        <v>1112</v>
      </c>
      <c r="B526" s="63" t="s">
        <v>52</v>
      </c>
      <c r="C526" s="63" t="s">
        <v>8</v>
      </c>
      <c r="D526" s="63">
        <v>1</v>
      </c>
      <c r="E526" s="63">
        <v>10</v>
      </c>
      <c r="F526" s="63">
        <v>1E-3</v>
      </c>
      <c r="G526" s="63" t="s">
        <v>6</v>
      </c>
      <c r="H526" s="63" t="s">
        <v>4</v>
      </c>
      <c r="I526" s="63">
        <v>8000</v>
      </c>
      <c r="J526" s="63">
        <v>10000</v>
      </c>
      <c r="K526" s="63" t="s">
        <v>10</v>
      </c>
      <c r="L526" s="63">
        <v>46</v>
      </c>
      <c r="M526" s="63">
        <v>170.12</v>
      </c>
      <c r="N526" s="63">
        <v>11.584</v>
      </c>
      <c r="O526" s="64">
        <v>173.35</v>
      </c>
    </row>
    <row r="527" spans="1:15" x14ac:dyDescent="0.25">
      <c r="A527" s="114" t="s">
        <v>1144</v>
      </c>
      <c r="B527" s="63" t="s">
        <v>52</v>
      </c>
      <c r="C527" s="63" t="s">
        <v>8</v>
      </c>
      <c r="D527" s="63">
        <v>10</v>
      </c>
      <c r="E527" s="63">
        <v>20</v>
      </c>
      <c r="F527" s="63">
        <v>1E-3</v>
      </c>
      <c r="G527" s="63" t="s">
        <v>6</v>
      </c>
      <c r="H527" s="63" t="s">
        <v>4</v>
      </c>
      <c r="I527" s="63">
        <v>1E-3</v>
      </c>
      <c r="J527" s="63">
        <v>0.04</v>
      </c>
      <c r="K527" s="63" t="s">
        <v>10</v>
      </c>
      <c r="L527" s="63">
        <v>4.7</v>
      </c>
      <c r="M527" s="63">
        <v>0.23</v>
      </c>
      <c r="N527" s="63">
        <v>4.6486000000000001</v>
      </c>
      <c r="O527" s="64">
        <v>0.23230999999999999</v>
      </c>
    </row>
    <row r="528" spans="1:15" x14ac:dyDescent="0.25">
      <c r="A528" s="114" t="s">
        <v>2280</v>
      </c>
      <c r="B528" s="63" t="s">
        <v>52</v>
      </c>
      <c r="C528" s="63" t="s">
        <v>8</v>
      </c>
      <c r="D528" s="63">
        <v>10</v>
      </c>
      <c r="E528" s="63">
        <v>20</v>
      </c>
      <c r="F528" s="63">
        <v>1E-3</v>
      </c>
      <c r="G528" s="63" t="s">
        <v>6</v>
      </c>
      <c r="H528" s="63" t="s">
        <v>4</v>
      </c>
      <c r="I528" s="63">
        <v>0.04</v>
      </c>
      <c r="J528" s="63">
        <v>1</v>
      </c>
      <c r="K528" s="63" t="s">
        <v>10</v>
      </c>
      <c r="L528" s="63">
        <v>2.4</v>
      </c>
      <c r="M528" s="63">
        <v>0.23</v>
      </c>
      <c r="N528" s="63">
        <v>2.3458000000000001</v>
      </c>
      <c r="O528" s="64">
        <v>0.23186999999999999</v>
      </c>
    </row>
    <row r="529" spans="1:15" x14ac:dyDescent="0.25">
      <c r="A529" s="114" t="s">
        <v>2281</v>
      </c>
      <c r="B529" s="63" t="s">
        <v>52</v>
      </c>
      <c r="C529" s="63" t="s">
        <v>8</v>
      </c>
      <c r="D529" s="63">
        <v>10</v>
      </c>
      <c r="E529" s="63">
        <v>20</v>
      </c>
      <c r="F529" s="63">
        <v>1E-3</v>
      </c>
      <c r="G529" s="63" t="s">
        <v>6</v>
      </c>
      <c r="H529" s="63" t="s">
        <v>4</v>
      </c>
      <c r="I529" s="63">
        <v>1</v>
      </c>
      <c r="J529" s="63">
        <v>20</v>
      </c>
      <c r="K529" s="63" t="s">
        <v>10</v>
      </c>
      <c r="L529" s="63">
        <v>2.4</v>
      </c>
      <c r="M529" s="63">
        <v>0.23</v>
      </c>
      <c r="N529" s="63">
        <v>2.3458000000000001</v>
      </c>
      <c r="O529" s="64">
        <v>0.23186999999999999</v>
      </c>
    </row>
    <row r="530" spans="1:15" x14ac:dyDescent="0.25">
      <c r="A530" s="114" t="s">
        <v>1149</v>
      </c>
      <c r="B530" s="63" t="s">
        <v>52</v>
      </c>
      <c r="C530" s="63" t="s">
        <v>8</v>
      </c>
      <c r="D530" s="63">
        <v>10</v>
      </c>
      <c r="E530" s="63">
        <v>20</v>
      </c>
      <c r="F530" s="63">
        <v>1E-3</v>
      </c>
      <c r="G530" s="63" t="s">
        <v>6</v>
      </c>
      <c r="H530" s="63" t="s">
        <v>4</v>
      </c>
      <c r="I530" s="63">
        <v>20</v>
      </c>
      <c r="J530" s="63">
        <v>50</v>
      </c>
      <c r="K530" s="63" t="s">
        <v>10</v>
      </c>
      <c r="L530" s="63">
        <v>2.4</v>
      </c>
      <c r="M530" s="63">
        <v>0.41</v>
      </c>
      <c r="N530" s="63">
        <v>2.302</v>
      </c>
      <c r="O530" s="64">
        <v>0.40822000000000003</v>
      </c>
    </row>
    <row r="531" spans="1:15" x14ac:dyDescent="0.25">
      <c r="A531" s="114" t="s">
        <v>1146</v>
      </c>
      <c r="B531" s="63" t="s">
        <v>52</v>
      </c>
      <c r="C531" s="63" t="s">
        <v>8</v>
      </c>
      <c r="D531" s="63">
        <v>10</v>
      </c>
      <c r="E531" s="63">
        <v>20</v>
      </c>
      <c r="F531" s="63">
        <v>1E-3</v>
      </c>
      <c r="G531" s="63" t="s">
        <v>6</v>
      </c>
      <c r="H531" s="63" t="s">
        <v>4</v>
      </c>
      <c r="I531" s="63">
        <v>50</v>
      </c>
      <c r="J531" s="63">
        <v>100</v>
      </c>
      <c r="K531" s="63" t="s">
        <v>10</v>
      </c>
      <c r="L531" s="63">
        <v>2.4</v>
      </c>
      <c r="M531" s="63">
        <v>1.4</v>
      </c>
      <c r="N531" s="63">
        <v>2.3921999999999999</v>
      </c>
      <c r="O531" s="64">
        <v>1.3884000000000001</v>
      </c>
    </row>
    <row r="532" spans="1:15" x14ac:dyDescent="0.25">
      <c r="A532" s="114" t="s">
        <v>1145</v>
      </c>
      <c r="B532" s="63" t="s">
        <v>52</v>
      </c>
      <c r="C532" s="63" t="s">
        <v>8</v>
      </c>
      <c r="D532" s="63">
        <v>10</v>
      </c>
      <c r="E532" s="63">
        <v>100</v>
      </c>
      <c r="F532" s="63">
        <v>1E-3</v>
      </c>
      <c r="G532" s="63" t="s">
        <v>6</v>
      </c>
      <c r="H532" s="63" t="s">
        <v>4</v>
      </c>
      <c r="I532" s="63">
        <v>100</v>
      </c>
      <c r="J532" s="63">
        <v>300</v>
      </c>
      <c r="K532" s="63" t="s">
        <v>10</v>
      </c>
      <c r="L532" s="63">
        <v>15</v>
      </c>
      <c r="M532" s="63">
        <v>4.6028000000000002</v>
      </c>
      <c r="N532" s="63">
        <v>11.576000000000001</v>
      </c>
      <c r="O532" s="64">
        <v>4.6268000000000002</v>
      </c>
    </row>
    <row r="533" spans="1:15" x14ac:dyDescent="0.25">
      <c r="A533" s="114" t="s">
        <v>2282</v>
      </c>
      <c r="B533" s="63" t="s">
        <v>52</v>
      </c>
      <c r="C533" s="63" t="s">
        <v>8</v>
      </c>
      <c r="D533" s="63">
        <v>10</v>
      </c>
      <c r="E533" s="63">
        <v>20</v>
      </c>
      <c r="F533" s="63">
        <v>1E-3</v>
      </c>
      <c r="G533" s="63" t="s">
        <v>6</v>
      </c>
      <c r="H533" s="63" t="s">
        <v>4</v>
      </c>
      <c r="I533" s="63">
        <v>100</v>
      </c>
      <c r="J533" s="63">
        <v>300</v>
      </c>
      <c r="K533" s="63" t="s">
        <v>10</v>
      </c>
      <c r="L533" s="63">
        <v>13</v>
      </c>
      <c r="M533" s="63">
        <v>4.6111000000000004</v>
      </c>
      <c r="N533" s="63">
        <v>11.577</v>
      </c>
      <c r="O533" s="64">
        <v>4.6266999999999996</v>
      </c>
    </row>
    <row r="534" spans="1:15" x14ac:dyDescent="0.25">
      <c r="A534" s="114" t="s">
        <v>1148</v>
      </c>
      <c r="B534" s="63" t="s">
        <v>52</v>
      </c>
      <c r="C534" s="63" t="s">
        <v>8</v>
      </c>
      <c r="D534" s="63">
        <v>10</v>
      </c>
      <c r="E534" s="63">
        <v>100</v>
      </c>
      <c r="F534" s="63">
        <v>1E-3</v>
      </c>
      <c r="G534" s="63" t="s">
        <v>6</v>
      </c>
      <c r="H534" s="63" t="s">
        <v>4</v>
      </c>
      <c r="I534" s="63">
        <v>300</v>
      </c>
      <c r="J534" s="63">
        <v>1000</v>
      </c>
      <c r="K534" s="63" t="s">
        <v>10</v>
      </c>
      <c r="L534" s="63">
        <v>46</v>
      </c>
      <c r="M534" s="63">
        <v>17.018999999999998</v>
      </c>
      <c r="N534" s="63">
        <v>12.318</v>
      </c>
      <c r="O534" s="64">
        <v>17.334</v>
      </c>
    </row>
    <row r="535" spans="1:15" x14ac:dyDescent="0.25">
      <c r="A535" s="114" t="s">
        <v>1147</v>
      </c>
      <c r="B535" s="63" t="s">
        <v>52</v>
      </c>
      <c r="C535" s="63" t="s">
        <v>8</v>
      </c>
      <c r="D535" s="63">
        <v>10</v>
      </c>
      <c r="E535" s="63">
        <v>20</v>
      </c>
      <c r="F535" s="63">
        <v>1E-3</v>
      </c>
      <c r="G535" s="63" t="s">
        <v>6</v>
      </c>
      <c r="H535" s="63" t="s">
        <v>4</v>
      </c>
      <c r="I535" s="63">
        <v>300</v>
      </c>
      <c r="J535" s="63">
        <v>1000</v>
      </c>
      <c r="K535" s="63" t="s">
        <v>10</v>
      </c>
      <c r="L535" s="63">
        <v>19</v>
      </c>
      <c r="M535" s="63">
        <v>17.087</v>
      </c>
      <c r="N535" s="63">
        <v>12.388999999999999</v>
      </c>
      <c r="O535" s="64">
        <v>17.324000000000002</v>
      </c>
    </row>
    <row r="536" spans="1:15" x14ac:dyDescent="0.25">
      <c r="A536" s="114" t="s">
        <v>1175</v>
      </c>
      <c r="B536" s="63" t="s">
        <v>52</v>
      </c>
      <c r="C536" s="63" t="s">
        <v>8</v>
      </c>
      <c r="D536" s="63">
        <v>20</v>
      </c>
      <c r="E536" s="63">
        <v>100</v>
      </c>
      <c r="F536" s="63">
        <v>1E-3</v>
      </c>
      <c r="G536" s="63" t="s">
        <v>6</v>
      </c>
      <c r="H536" s="63" t="s">
        <v>4</v>
      </c>
      <c r="I536" s="63">
        <v>1E-3</v>
      </c>
      <c r="J536" s="63">
        <v>0.04</v>
      </c>
      <c r="K536" s="63" t="s">
        <v>10</v>
      </c>
      <c r="L536" s="63">
        <v>5</v>
      </c>
      <c r="M536" s="63">
        <v>0.23175000000000001</v>
      </c>
      <c r="N536" s="63">
        <v>4.6195000000000004</v>
      </c>
      <c r="O536" s="64">
        <v>0.23336000000000001</v>
      </c>
    </row>
    <row r="537" spans="1:15" x14ac:dyDescent="0.25">
      <c r="A537" s="114" t="s">
        <v>1176</v>
      </c>
      <c r="B537" s="63" t="s">
        <v>52</v>
      </c>
      <c r="C537" s="63" t="s">
        <v>8</v>
      </c>
      <c r="D537" s="63">
        <v>20</v>
      </c>
      <c r="E537" s="63">
        <v>100</v>
      </c>
      <c r="F537" s="63">
        <v>1E-3</v>
      </c>
      <c r="G537" s="63" t="s">
        <v>6</v>
      </c>
      <c r="H537" s="63" t="s">
        <v>4</v>
      </c>
      <c r="I537" s="63">
        <v>0.04</v>
      </c>
      <c r="J537" s="63">
        <v>1</v>
      </c>
      <c r="K537" s="63" t="s">
        <v>10</v>
      </c>
      <c r="L537" s="63">
        <v>2.7</v>
      </c>
      <c r="M537" s="63">
        <v>0.23188</v>
      </c>
      <c r="N537" s="63">
        <v>2.2997999999999998</v>
      </c>
      <c r="O537" s="64">
        <v>0.23363999999999999</v>
      </c>
    </row>
    <row r="538" spans="1:15" x14ac:dyDescent="0.25">
      <c r="A538" s="114" t="s">
        <v>1178</v>
      </c>
      <c r="B538" s="63" t="s">
        <v>52</v>
      </c>
      <c r="C538" s="63" t="s">
        <v>8</v>
      </c>
      <c r="D538" s="63">
        <v>20</v>
      </c>
      <c r="E538" s="63">
        <v>100</v>
      </c>
      <c r="F538" s="63">
        <v>1E-3</v>
      </c>
      <c r="G538" s="63" t="s">
        <v>6</v>
      </c>
      <c r="H538" s="63" t="s">
        <v>4</v>
      </c>
      <c r="I538" s="63">
        <v>1</v>
      </c>
      <c r="J538" s="63">
        <v>20</v>
      </c>
      <c r="K538" s="63" t="s">
        <v>10</v>
      </c>
      <c r="L538" s="63">
        <v>4.9000000000000004</v>
      </c>
      <c r="M538" s="63">
        <v>0.21</v>
      </c>
      <c r="N538" s="63">
        <v>4.8819999999999997</v>
      </c>
      <c r="O538" s="64">
        <v>0.20768</v>
      </c>
    </row>
    <row r="539" spans="1:15" x14ac:dyDescent="0.25">
      <c r="A539" s="114" t="s">
        <v>2283</v>
      </c>
      <c r="B539" s="63" t="s">
        <v>52</v>
      </c>
      <c r="C539" s="63" t="s">
        <v>8</v>
      </c>
      <c r="D539" s="63">
        <v>20</v>
      </c>
      <c r="E539" s="63">
        <v>100</v>
      </c>
      <c r="F539" s="63">
        <v>1E-3</v>
      </c>
      <c r="G539" s="63" t="s">
        <v>6</v>
      </c>
      <c r="H539" s="63" t="s">
        <v>4</v>
      </c>
      <c r="I539" s="63">
        <v>20</v>
      </c>
      <c r="J539" s="63">
        <v>50</v>
      </c>
      <c r="K539" s="63" t="s">
        <v>10</v>
      </c>
      <c r="L539" s="63">
        <v>6.8</v>
      </c>
      <c r="M539" s="63">
        <v>0.36631000000000002</v>
      </c>
      <c r="N539" s="63">
        <v>6.7495000000000003</v>
      </c>
      <c r="O539" s="64">
        <v>0.36631999999999998</v>
      </c>
    </row>
    <row r="540" spans="1:15" x14ac:dyDescent="0.25">
      <c r="A540" s="114" t="s">
        <v>1177</v>
      </c>
      <c r="B540" s="63" t="s">
        <v>52</v>
      </c>
      <c r="C540" s="63" t="s">
        <v>8</v>
      </c>
      <c r="D540" s="63">
        <v>20</v>
      </c>
      <c r="E540" s="63">
        <v>100</v>
      </c>
      <c r="F540" s="63">
        <v>1E-3</v>
      </c>
      <c r="G540" s="63" t="s">
        <v>6</v>
      </c>
      <c r="H540" s="63" t="s">
        <v>4</v>
      </c>
      <c r="I540" s="63">
        <v>50</v>
      </c>
      <c r="J540" s="63">
        <v>100</v>
      </c>
      <c r="K540" s="63" t="s">
        <v>10</v>
      </c>
      <c r="L540" s="63">
        <v>22</v>
      </c>
      <c r="M540" s="63">
        <v>1.2034</v>
      </c>
      <c r="N540" s="63">
        <v>17.724</v>
      </c>
      <c r="O540" s="64">
        <v>1.2358</v>
      </c>
    </row>
    <row r="541" spans="1:15" x14ac:dyDescent="0.25">
      <c r="A541" s="114" t="s">
        <v>1201</v>
      </c>
      <c r="B541" s="63" t="s">
        <v>52</v>
      </c>
      <c r="C541" s="63" t="s">
        <v>8</v>
      </c>
      <c r="D541" s="63">
        <v>100</v>
      </c>
      <c r="E541" s="63">
        <v>330</v>
      </c>
      <c r="F541" s="63">
        <v>1E-3</v>
      </c>
      <c r="G541" s="63" t="s">
        <v>6</v>
      </c>
      <c r="H541" s="63" t="s">
        <v>4</v>
      </c>
      <c r="I541" s="63">
        <v>1E-3</v>
      </c>
      <c r="J541" s="63">
        <v>0.04</v>
      </c>
      <c r="K541" s="63" t="s">
        <v>10</v>
      </c>
      <c r="L541" s="63">
        <v>48</v>
      </c>
      <c r="M541" s="63">
        <v>0.46085999999999999</v>
      </c>
      <c r="N541" s="63">
        <v>46.12</v>
      </c>
      <c r="O541" s="64">
        <v>0.46325</v>
      </c>
    </row>
    <row r="542" spans="1:15" x14ac:dyDescent="0.25">
      <c r="A542" s="114" t="s">
        <v>1202</v>
      </c>
      <c r="B542" s="63" t="s">
        <v>52</v>
      </c>
      <c r="C542" s="63" t="s">
        <v>8</v>
      </c>
      <c r="D542" s="63">
        <v>100</v>
      </c>
      <c r="E542" s="63">
        <v>330</v>
      </c>
      <c r="F542" s="63">
        <v>1E-3</v>
      </c>
      <c r="G542" s="63" t="s">
        <v>6</v>
      </c>
      <c r="H542" s="63" t="s">
        <v>4</v>
      </c>
      <c r="I542" s="63">
        <v>0.04</v>
      </c>
      <c r="J542" s="63">
        <v>1</v>
      </c>
      <c r="K542" s="63" t="s">
        <v>10</v>
      </c>
      <c r="L542" s="63">
        <v>25</v>
      </c>
      <c r="M542" s="63">
        <v>0.46067000000000002</v>
      </c>
      <c r="N542" s="63">
        <v>23.036999999999999</v>
      </c>
      <c r="O542" s="64">
        <v>0.46337</v>
      </c>
    </row>
    <row r="543" spans="1:15" x14ac:dyDescent="0.25">
      <c r="A543" s="114" t="s">
        <v>1196</v>
      </c>
      <c r="B543" s="63" t="s">
        <v>52</v>
      </c>
      <c r="C543" s="63" t="s">
        <v>8</v>
      </c>
      <c r="D543" s="63">
        <v>100</v>
      </c>
      <c r="E543" s="63">
        <v>330</v>
      </c>
      <c r="F543" s="63">
        <v>1E-3</v>
      </c>
      <c r="G543" s="63" t="s">
        <v>6</v>
      </c>
      <c r="H543" s="63" t="s">
        <v>4</v>
      </c>
      <c r="I543" s="63">
        <v>1</v>
      </c>
      <c r="J543" s="63">
        <v>20</v>
      </c>
      <c r="K543" s="63" t="s">
        <v>10</v>
      </c>
      <c r="L543" s="63">
        <v>23</v>
      </c>
      <c r="M543" s="63">
        <v>0.7</v>
      </c>
      <c r="N543" s="63">
        <v>23.061</v>
      </c>
      <c r="O543" s="64">
        <v>0.69384000000000001</v>
      </c>
    </row>
    <row r="544" spans="1:15" x14ac:dyDescent="0.25">
      <c r="A544" s="114" t="s">
        <v>2284</v>
      </c>
      <c r="B544" s="63" t="s">
        <v>52</v>
      </c>
      <c r="C544" s="63" t="s">
        <v>8</v>
      </c>
      <c r="D544" s="63">
        <v>100</v>
      </c>
      <c r="E544" s="63">
        <v>1000</v>
      </c>
      <c r="F544" s="63">
        <v>1E-3</v>
      </c>
      <c r="G544" s="63" t="s">
        <v>6</v>
      </c>
      <c r="H544" s="63" t="s">
        <v>4</v>
      </c>
      <c r="I544" s="63">
        <v>1</v>
      </c>
      <c r="J544" s="63">
        <v>20</v>
      </c>
      <c r="K544" s="63" t="s">
        <v>10</v>
      </c>
      <c r="L544" s="63">
        <v>23</v>
      </c>
      <c r="M544" s="63">
        <v>0.7</v>
      </c>
      <c r="N544" s="63">
        <v>23.062999999999999</v>
      </c>
      <c r="O544" s="64">
        <v>0.69386000000000003</v>
      </c>
    </row>
    <row r="545" spans="1:15" x14ac:dyDescent="0.25">
      <c r="A545" s="114" t="s">
        <v>1197</v>
      </c>
      <c r="B545" s="63" t="s">
        <v>52</v>
      </c>
      <c r="C545" s="63" t="s">
        <v>8</v>
      </c>
      <c r="D545" s="63">
        <v>100</v>
      </c>
      <c r="E545" s="63">
        <v>330</v>
      </c>
      <c r="F545" s="63">
        <v>1E-3</v>
      </c>
      <c r="G545" s="63" t="s">
        <v>6</v>
      </c>
      <c r="H545" s="63" t="s">
        <v>4</v>
      </c>
      <c r="I545" s="63">
        <v>20</v>
      </c>
      <c r="J545" s="63">
        <v>50</v>
      </c>
      <c r="K545" s="63" t="s">
        <v>10</v>
      </c>
      <c r="L545" s="63">
        <v>23</v>
      </c>
      <c r="M545" s="63">
        <v>1.4</v>
      </c>
      <c r="N545" s="63">
        <v>23.053999999999998</v>
      </c>
      <c r="O545" s="64">
        <v>1.3878999999999999</v>
      </c>
    </row>
    <row r="546" spans="1:15" x14ac:dyDescent="0.25">
      <c r="A546" s="114" t="s">
        <v>1198</v>
      </c>
      <c r="B546" s="63" t="s">
        <v>52</v>
      </c>
      <c r="C546" s="63" t="s">
        <v>8</v>
      </c>
      <c r="D546" s="63">
        <v>100</v>
      </c>
      <c r="E546" s="63">
        <v>1000</v>
      </c>
      <c r="F546" s="63">
        <v>1E-3</v>
      </c>
      <c r="G546" s="63" t="s">
        <v>6</v>
      </c>
      <c r="H546" s="63" t="s">
        <v>4</v>
      </c>
      <c r="I546" s="63">
        <v>20</v>
      </c>
      <c r="J546" s="63">
        <v>50</v>
      </c>
      <c r="K546" s="63" t="s">
        <v>10</v>
      </c>
      <c r="L546" s="63">
        <v>23</v>
      </c>
      <c r="M546" s="63">
        <v>1.4</v>
      </c>
      <c r="N546" s="63">
        <v>22.896000000000001</v>
      </c>
      <c r="O546" s="64">
        <v>1.3895999999999999</v>
      </c>
    </row>
    <row r="547" spans="1:15" x14ac:dyDescent="0.25">
      <c r="A547" s="114" t="s">
        <v>1199</v>
      </c>
      <c r="B547" s="63" t="s">
        <v>52</v>
      </c>
      <c r="C547" s="63" t="s">
        <v>8</v>
      </c>
      <c r="D547" s="63">
        <v>100</v>
      </c>
      <c r="E547" s="63">
        <v>1000</v>
      </c>
      <c r="F547" s="63">
        <v>1E-3</v>
      </c>
      <c r="G547" s="63" t="s">
        <v>6</v>
      </c>
      <c r="H547" s="63" t="s">
        <v>4</v>
      </c>
      <c r="I547" s="63">
        <v>50</v>
      </c>
      <c r="J547" s="63">
        <v>100</v>
      </c>
      <c r="K547" s="63" t="s">
        <v>10</v>
      </c>
      <c r="L547" s="63">
        <v>23</v>
      </c>
      <c r="M547" s="63">
        <v>3.5</v>
      </c>
      <c r="N547" s="63">
        <v>23.117000000000001</v>
      </c>
      <c r="O547" s="64">
        <v>3.4655999999999998</v>
      </c>
    </row>
    <row r="548" spans="1:15" x14ac:dyDescent="0.25">
      <c r="A548" s="114" t="s">
        <v>1200</v>
      </c>
      <c r="B548" s="63" t="s">
        <v>52</v>
      </c>
      <c r="C548" s="63" t="s">
        <v>8</v>
      </c>
      <c r="D548" s="63">
        <v>100</v>
      </c>
      <c r="E548" s="63">
        <v>330</v>
      </c>
      <c r="F548" s="63">
        <v>1E-3</v>
      </c>
      <c r="G548" s="63" t="s">
        <v>6</v>
      </c>
      <c r="H548" s="63" t="s">
        <v>4</v>
      </c>
      <c r="I548" s="63">
        <v>50</v>
      </c>
      <c r="J548" s="63">
        <v>100</v>
      </c>
      <c r="K548" s="63" t="s">
        <v>10</v>
      </c>
      <c r="L548" s="63">
        <v>23</v>
      </c>
      <c r="M548" s="63">
        <v>3.5</v>
      </c>
      <c r="N548" s="63">
        <v>23.111000000000001</v>
      </c>
      <c r="O548" s="64">
        <v>3.4655999999999998</v>
      </c>
    </row>
    <row r="549" spans="1:15" x14ac:dyDescent="0.25">
      <c r="A549" s="114" t="s">
        <v>1224</v>
      </c>
      <c r="B549" s="63" t="s">
        <v>52</v>
      </c>
      <c r="C549" s="63" t="s">
        <v>8</v>
      </c>
      <c r="D549" s="63">
        <v>330</v>
      </c>
      <c r="E549" s="63">
        <v>1000</v>
      </c>
      <c r="F549" s="63">
        <v>1E-3</v>
      </c>
      <c r="G549" s="63" t="s">
        <v>6</v>
      </c>
      <c r="H549" s="63" t="s">
        <v>4</v>
      </c>
      <c r="I549" s="63">
        <v>1E-3</v>
      </c>
      <c r="J549" s="63">
        <v>0.04</v>
      </c>
      <c r="K549" s="63" t="s">
        <v>10</v>
      </c>
      <c r="L549" s="63">
        <v>50</v>
      </c>
      <c r="M549" s="63">
        <v>0.46054</v>
      </c>
      <c r="N549" s="63">
        <v>46.107999999999997</v>
      </c>
      <c r="O549" s="64">
        <v>0.46338000000000001</v>
      </c>
    </row>
    <row r="550" spans="1:15" x14ac:dyDescent="0.25">
      <c r="A550" s="114" t="s">
        <v>1223</v>
      </c>
      <c r="B550" s="63" t="s">
        <v>52</v>
      </c>
      <c r="C550" s="63" t="s">
        <v>8</v>
      </c>
      <c r="D550" s="63">
        <v>330</v>
      </c>
      <c r="E550" s="63">
        <v>1000</v>
      </c>
      <c r="F550" s="63">
        <v>1E-3</v>
      </c>
      <c r="G550" s="63" t="s">
        <v>6</v>
      </c>
      <c r="H550" s="63" t="s">
        <v>4</v>
      </c>
      <c r="I550" s="63">
        <v>0.04</v>
      </c>
      <c r="J550" s="63">
        <v>1</v>
      </c>
      <c r="K550" s="63" t="s">
        <v>10</v>
      </c>
      <c r="L550" s="63">
        <v>27</v>
      </c>
      <c r="M550" s="63">
        <v>0.46050999999999997</v>
      </c>
      <c r="N550" s="63">
        <v>23.032</v>
      </c>
      <c r="O550" s="64">
        <v>0.46343000000000001</v>
      </c>
    </row>
    <row r="551" spans="1:15" x14ac:dyDescent="0.25">
      <c r="A551" s="114" t="s">
        <v>2285</v>
      </c>
      <c r="B551" s="63" t="s">
        <v>52</v>
      </c>
      <c r="C551" s="63" t="s">
        <v>8</v>
      </c>
      <c r="D551" s="63">
        <v>330</v>
      </c>
      <c r="E551" s="63">
        <v>1000</v>
      </c>
      <c r="F551" s="63">
        <v>1E-3</v>
      </c>
      <c r="G551" s="63" t="s">
        <v>6</v>
      </c>
      <c r="H551" s="63" t="s">
        <v>4</v>
      </c>
      <c r="I551" s="63">
        <v>1</v>
      </c>
      <c r="J551" s="63">
        <v>10</v>
      </c>
      <c r="K551" s="63" t="s">
        <v>10</v>
      </c>
      <c r="L551" s="63">
        <v>23</v>
      </c>
      <c r="M551" s="63">
        <v>0.7</v>
      </c>
      <c r="N551" s="63">
        <v>23.062999999999999</v>
      </c>
      <c r="O551" s="64">
        <v>0.69386000000000003</v>
      </c>
    </row>
    <row r="552" spans="1:15" x14ac:dyDescent="0.25">
      <c r="A552" s="114" t="s">
        <v>979</v>
      </c>
      <c r="B552" s="63" t="s">
        <v>52</v>
      </c>
      <c r="C552" s="63" t="s">
        <v>8</v>
      </c>
      <c r="D552" s="63">
        <v>0</v>
      </c>
      <c r="E552" s="63">
        <v>0.01</v>
      </c>
      <c r="F552" s="63">
        <v>0.01</v>
      </c>
      <c r="G552" s="63" t="s">
        <v>6</v>
      </c>
      <c r="H552" s="63" t="s">
        <v>5</v>
      </c>
      <c r="I552" s="63">
        <v>1000</v>
      </c>
      <c r="J552" s="63">
        <v>4000</v>
      </c>
      <c r="K552" s="63" t="s">
        <v>10</v>
      </c>
      <c r="L552" s="63">
        <v>5773.1</v>
      </c>
      <c r="M552" s="63">
        <v>5803.4</v>
      </c>
      <c r="N552" s="63">
        <v>5766</v>
      </c>
      <c r="O552" s="64">
        <v>5798.9</v>
      </c>
    </row>
    <row r="553" spans="1:15" x14ac:dyDescent="0.25">
      <c r="A553" s="114" t="s">
        <v>978</v>
      </c>
      <c r="B553" s="63" t="s">
        <v>52</v>
      </c>
      <c r="C553" s="63" t="s">
        <v>8</v>
      </c>
      <c r="D553" s="63">
        <v>0</v>
      </c>
      <c r="E553" s="63">
        <v>0.01</v>
      </c>
      <c r="F553" s="63">
        <v>0.01</v>
      </c>
      <c r="G553" s="63" t="s">
        <v>6</v>
      </c>
      <c r="H553" s="63" t="s">
        <v>5</v>
      </c>
      <c r="I553" s="63">
        <v>4000</v>
      </c>
      <c r="J553" s="63">
        <v>8000</v>
      </c>
      <c r="K553" s="63" t="s">
        <v>10</v>
      </c>
      <c r="L553" s="63">
        <v>5769.3</v>
      </c>
      <c r="M553" s="63">
        <v>45269</v>
      </c>
      <c r="N553" s="63">
        <v>5751.2</v>
      </c>
      <c r="O553" s="64">
        <v>45261</v>
      </c>
    </row>
    <row r="554" spans="1:15" x14ac:dyDescent="0.25">
      <c r="A554" s="114" t="s">
        <v>1082</v>
      </c>
      <c r="B554" s="63" t="s">
        <v>52</v>
      </c>
      <c r="C554" s="63" t="s">
        <v>8</v>
      </c>
      <c r="D554" s="63">
        <v>0.1</v>
      </c>
      <c r="E554" s="63">
        <v>1</v>
      </c>
      <c r="F554" s="63">
        <v>0.01</v>
      </c>
      <c r="G554" s="63" t="s">
        <v>6</v>
      </c>
      <c r="H554" s="63" t="s">
        <v>5</v>
      </c>
      <c r="I554" s="63">
        <v>1E-3</v>
      </c>
      <c r="J554" s="63">
        <v>0.04</v>
      </c>
      <c r="K554" s="63" t="s">
        <v>10</v>
      </c>
      <c r="L554" s="63">
        <v>5773.7</v>
      </c>
      <c r="M554" s="63">
        <v>1.2830999999999999</v>
      </c>
      <c r="N554" s="63">
        <v>1.2674000000000001</v>
      </c>
      <c r="O554" s="64">
        <v>1.2674000000000001</v>
      </c>
    </row>
    <row r="555" spans="1:15" x14ac:dyDescent="0.25">
      <c r="A555" s="114" t="s">
        <v>1075</v>
      </c>
      <c r="B555" s="63" t="s">
        <v>52</v>
      </c>
      <c r="C555" s="63" t="s">
        <v>8</v>
      </c>
      <c r="D555" s="63">
        <v>0.1</v>
      </c>
      <c r="E555" s="63">
        <v>1</v>
      </c>
      <c r="F555" s="63">
        <v>0.01</v>
      </c>
      <c r="G555" s="63" t="s">
        <v>6</v>
      </c>
      <c r="H555" s="63" t="s">
        <v>5</v>
      </c>
      <c r="I555" s="63">
        <v>0.04</v>
      </c>
      <c r="J555" s="63">
        <v>1</v>
      </c>
      <c r="K555" s="63" t="s">
        <v>10</v>
      </c>
      <c r="L555" s="63">
        <v>5773.6</v>
      </c>
      <c r="M555" s="63">
        <v>0.95989999999999998</v>
      </c>
      <c r="N555" s="63">
        <v>5772.7</v>
      </c>
      <c r="O555" s="64">
        <v>0.94416</v>
      </c>
    </row>
    <row r="556" spans="1:15" x14ac:dyDescent="0.25">
      <c r="A556" s="114" t="s">
        <v>1081</v>
      </c>
      <c r="B556" s="63" t="s">
        <v>52</v>
      </c>
      <c r="C556" s="63" t="s">
        <v>8</v>
      </c>
      <c r="D556" s="63">
        <v>0.1</v>
      </c>
      <c r="E556" s="63">
        <v>1</v>
      </c>
      <c r="F556" s="63">
        <v>0.01</v>
      </c>
      <c r="G556" s="63" t="s">
        <v>6</v>
      </c>
      <c r="H556" s="63" t="s">
        <v>5</v>
      </c>
      <c r="I556" s="63">
        <v>1</v>
      </c>
      <c r="J556" s="63">
        <v>20</v>
      </c>
      <c r="K556" s="63" t="s">
        <v>10</v>
      </c>
      <c r="L556" s="63">
        <v>5773.4</v>
      </c>
      <c r="M556" s="63">
        <v>3.1917</v>
      </c>
      <c r="N556" s="63">
        <v>5770.6</v>
      </c>
      <c r="O556" s="64">
        <v>0.31602999999999998</v>
      </c>
    </row>
    <row r="557" spans="1:15" x14ac:dyDescent="0.25">
      <c r="A557" s="114" t="s">
        <v>1079</v>
      </c>
      <c r="B557" s="63" t="s">
        <v>52</v>
      </c>
      <c r="C557" s="63" t="s">
        <v>8</v>
      </c>
      <c r="D557" s="63">
        <v>0.1</v>
      </c>
      <c r="E557" s="63">
        <v>1</v>
      </c>
      <c r="F557" s="63">
        <v>0.01</v>
      </c>
      <c r="G557" s="63" t="s">
        <v>6</v>
      </c>
      <c r="H557" s="63" t="s">
        <v>5</v>
      </c>
      <c r="I557" s="63">
        <v>20</v>
      </c>
      <c r="J557" s="63">
        <v>50</v>
      </c>
      <c r="K557" s="63" t="s">
        <v>10</v>
      </c>
      <c r="L557" s="63">
        <v>5772.6</v>
      </c>
      <c r="M557" s="63">
        <v>12.94</v>
      </c>
      <c r="N557" s="63">
        <v>5762.2</v>
      </c>
      <c r="O557" s="64">
        <v>12.802</v>
      </c>
    </row>
    <row r="558" spans="1:15" x14ac:dyDescent="0.25">
      <c r="A558" s="114" t="s">
        <v>1077</v>
      </c>
      <c r="B558" s="63" t="s">
        <v>52</v>
      </c>
      <c r="C558" s="63" t="s">
        <v>8</v>
      </c>
      <c r="D558" s="63">
        <v>0.1</v>
      </c>
      <c r="E558" s="63">
        <v>1</v>
      </c>
      <c r="F558" s="63">
        <v>0.01</v>
      </c>
      <c r="G558" s="63" t="s">
        <v>6</v>
      </c>
      <c r="H558" s="63" t="s">
        <v>5</v>
      </c>
      <c r="I558" s="63">
        <v>50</v>
      </c>
      <c r="J558" s="63">
        <v>100</v>
      </c>
      <c r="K558" s="63" t="s">
        <v>10</v>
      </c>
      <c r="L558" s="63">
        <v>5766.2</v>
      </c>
      <c r="M558" s="63">
        <v>87.391999999999996</v>
      </c>
      <c r="N558" s="63">
        <v>5715.5</v>
      </c>
      <c r="O558" s="64">
        <v>87.123000000000005</v>
      </c>
    </row>
    <row r="559" spans="1:15" x14ac:dyDescent="0.25">
      <c r="A559" s="114" t="s">
        <v>1083</v>
      </c>
      <c r="B559" s="63" t="s">
        <v>52</v>
      </c>
      <c r="C559" s="63" t="s">
        <v>8</v>
      </c>
      <c r="D559" s="63">
        <v>0.1</v>
      </c>
      <c r="E559" s="63">
        <v>1</v>
      </c>
      <c r="F559" s="63">
        <v>0.01</v>
      </c>
      <c r="G559" s="63" t="s">
        <v>6</v>
      </c>
      <c r="H559" s="63" t="s">
        <v>5</v>
      </c>
      <c r="I559" s="63">
        <v>100</v>
      </c>
      <c r="J559" s="63">
        <v>300</v>
      </c>
      <c r="K559" s="63" t="s">
        <v>10</v>
      </c>
      <c r="L559" s="63">
        <v>5681.4</v>
      </c>
      <c r="M559" s="63">
        <v>1112.8</v>
      </c>
      <c r="N559" s="63">
        <v>5471.4</v>
      </c>
      <c r="O559" s="64">
        <v>1112.4000000000001</v>
      </c>
    </row>
    <row r="560" spans="1:15" x14ac:dyDescent="0.25">
      <c r="A560" s="114" t="s">
        <v>1084</v>
      </c>
      <c r="B560" s="63" t="s">
        <v>52</v>
      </c>
      <c r="C560" s="63" t="s">
        <v>8</v>
      </c>
      <c r="D560" s="63">
        <v>0.1</v>
      </c>
      <c r="E560" s="63">
        <v>1</v>
      </c>
      <c r="F560" s="63">
        <v>0.01</v>
      </c>
      <c r="G560" s="63" t="s">
        <v>6</v>
      </c>
      <c r="H560" s="63" t="s">
        <v>5</v>
      </c>
      <c r="I560" s="63">
        <v>300</v>
      </c>
      <c r="J560" s="63">
        <v>1000</v>
      </c>
      <c r="K560" s="63" t="s">
        <v>10</v>
      </c>
      <c r="L560" s="63">
        <v>5113.2</v>
      </c>
      <c r="M560" s="63">
        <v>8011.6</v>
      </c>
      <c r="N560" s="63">
        <v>4758</v>
      </c>
      <c r="O560" s="64">
        <v>8011.9</v>
      </c>
    </row>
    <row r="561" spans="1:15" x14ac:dyDescent="0.25">
      <c r="A561" s="114" t="s">
        <v>1074</v>
      </c>
      <c r="B561" s="63" t="s">
        <v>52</v>
      </c>
      <c r="C561" s="63" t="s">
        <v>8</v>
      </c>
      <c r="D561" s="63">
        <v>0.1</v>
      </c>
      <c r="E561" s="63">
        <v>1</v>
      </c>
      <c r="F561" s="63">
        <v>0.01</v>
      </c>
      <c r="G561" s="63" t="s">
        <v>6</v>
      </c>
      <c r="H561" s="63" t="s">
        <v>5</v>
      </c>
      <c r="I561" s="63">
        <v>1000</v>
      </c>
      <c r="J561" s="63">
        <v>2000</v>
      </c>
      <c r="K561" s="63" t="s">
        <v>10</v>
      </c>
      <c r="L561" s="63">
        <v>4683.3999999999996</v>
      </c>
      <c r="M561" s="63">
        <v>13828</v>
      </c>
      <c r="N561" s="63">
        <v>4325.3999999999996</v>
      </c>
      <c r="O561" s="64">
        <v>13829</v>
      </c>
    </row>
    <row r="562" spans="1:15" x14ac:dyDescent="0.25">
      <c r="A562" s="114" t="s">
        <v>1078</v>
      </c>
      <c r="B562" s="63" t="s">
        <v>52</v>
      </c>
      <c r="C562" s="63" t="s">
        <v>8</v>
      </c>
      <c r="D562" s="63">
        <v>0.1</v>
      </c>
      <c r="E562" s="63">
        <v>1</v>
      </c>
      <c r="F562" s="63">
        <v>0.01</v>
      </c>
      <c r="G562" s="63" t="s">
        <v>6</v>
      </c>
      <c r="H562" s="63" t="s">
        <v>4</v>
      </c>
      <c r="I562" s="63">
        <v>2000</v>
      </c>
      <c r="J562" s="63">
        <v>4000</v>
      </c>
      <c r="K562" s="63" t="s">
        <v>10</v>
      </c>
      <c r="L562" s="63">
        <v>3.5375000000000001</v>
      </c>
      <c r="M562" s="63">
        <v>43.944000000000003</v>
      </c>
      <c r="N562" s="63">
        <v>3.2985000000000002</v>
      </c>
      <c r="O562" s="64">
        <v>43.945</v>
      </c>
    </row>
    <row r="563" spans="1:15" x14ac:dyDescent="0.25">
      <c r="A563" s="114" t="s">
        <v>1080</v>
      </c>
      <c r="B563" s="63" t="s">
        <v>52</v>
      </c>
      <c r="C563" s="63" t="s">
        <v>8</v>
      </c>
      <c r="D563" s="63">
        <v>0.1</v>
      </c>
      <c r="E563" s="63">
        <v>1</v>
      </c>
      <c r="F563" s="63">
        <v>0.01</v>
      </c>
      <c r="G563" s="63" t="s">
        <v>6</v>
      </c>
      <c r="H563" s="63" t="s">
        <v>4</v>
      </c>
      <c r="I563" s="63">
        <v>4000</v>
      </c>
      <c r="J563" s="63">
        <v>8000</v>
      </c>
      <c r="K563" s="63" t="s">
        <v>10</v>
      </c>
      <c r="L563" s="63">
        <v>3.6131000000000002</v>
      </c>
      <c r="M563" s="63">
        <v>43.981999999999999</v>
      </c>
      <c r="N563" s="63">
        <v>3.3780000000000001</v>
      </c>
      <c r="O563" s="64">
        <v>43.984000000000002</v>
      </c>
    </row>
    <row r="564" spans="1:15" x14ac:dyDescent="0.25">
      <c r="A564" s="114" t="s">
        <v>1076</v>
      </c>
      <c r="B564" s="63" t="s">
        <v>52</v>
      </c>
      <c r="C564" s="63" t="s">
        <v>8</v>
      </c>
      <c r="D564" s="63">
        <v>0.1</v>
      </c>
      <c r="E564" s="63">
        <v>1</v>
      </c>
      <c r="F564" s="63">
        <v>0.01</v>
      </c>
      <c r="G564" s="63" t="s">
        <v>6</v>
      </c>
      <c r="H564" s="63" t="s">
        <v>4</v>
      </c>
      <c r="I564" s="63">
        <v>8000</v>
      </c>
      <c r="J564" s="63">
        <v>10000</v>
      </c>
      <c r="K564" s="63" t="s">
        <v>10</v>
      </c>
      <c r="L564" s="63">
        <v>4.5999999999999996</v>
      </c>
      <c r="M564" s="63">
        <v>170.23</v>
      </c>
      <c r="N564" s="63">
        <v>2.0278</v>
      </c>
      <c r="O564" s="64">
        <v>172.49</v>
      </c>
    </row>
    <row r="565" spans="1:15" x14ac:dyDescent="0.25">
      <c r="A565" s="114" t="s">
        <v>1121</v>
      </c>
      <c r="B565" s="63" t="s">
        <v>52</v>
      </c>
      <c r="C565" s="63" t="s">
        <v>8</v>
      </c>
      <c r="D565" s="63">
        <v>1</v>
      </c>
      <c r="E565" s="63">
        <v>10</v>
      </c>
      <c r="F565" s="63">
        <v>0.01</v>
      </c>
      <c r="G565" s="63" t="s">
        <v>6</v>
      </c>
      <c r="H565" s="63" t="s">
        <v>4</v>
      </c>
      <c r="I565" s="63">
        <v>1E-3</v>
      </c>
      <c r="J565" s="63">
        <v>0.04</v>
      </c>
      <c r="K565" s="63" t="s">
        <v>10</v>
      </c>
      <c r="L565" s="63">
        <v>5.7845000000000004</v>
      </c>
      <c r="M565" s="63">
        <v>1.5263000000000001E-2</v>
      </c>
      <c r="N565" s="63">
        <v>5.7839999999999998</v>
      </c>
      <c r="O565" s="64">
        <v>1.5049999999999999E-2</v>
      </c>
    </row>
    <row r="566" spans="1:15" x14ac:dyDescent="0.25">
      <c r="A566" s="114" t="s">
        <v>2286</v>
      </c>
      <c r="B566" s="63" t="s">
        <v>52</v>
      </c>
      <c r="C566" s="63" t="s">
        <v>8</v>
      </c>
      <c r="D566" s="63">
        <v>1</v>
      </c>
      <c r="E566" s="63">
        <v>10</v>
      </c>
      <c r="F566" s="63">
        <v>0.01</v>
      </c>
      <c r="G566" s="63" t="s">
        <v>6</v>
      </c>
      <c r="H566" s="63" t="s">
        <v>4</v>
      </c>
      <c r="I566" s="63">
        <v>0.04</v>
      </c>
      <c r="J566" s="63">
        <v>1</v>
      </c>
      <c r="K566" s="63" t="s">
        <v>10</v>
      </c>
      <c r="L566" s="63">
        <v>5.7723000000000004</v>
      </c>
      <c r="M566" s="63">
        <v>1.0442999999999999E-2</v>
      </c>
      <c r="N566" s="63">
        <v>5.7717000000000001</v>
      </c>
      <c r="O566" s="64">
        <v>1.0227E-2</v>
      </c>
    </row>
    <row r="567" spans="1:15" x14ac:dyDescent="0.25">
      <c r="A567" s="114" t="s">
        <v>1123</v>
      </c>
      <c r="B567" s="63" t="s">
        <v>52</v>
      </c>
      <c r="C567" s="63" t="s">
        <v>8</v>
      </c>
      <c r="D567" s="63">
        <v>1</v>
      </c>
      <c r="E567" s="63">
        <v>10</v>
      </c>
      <c r="F567" s="63">
        <v>0.01</v>
      </c>
      <c r="G567" s="63" t="s">
        <v>6</v>
      </c>
      <c r="H567" s="63" t="s">
        <v>4</v>
      </c>
      <c r="I567" s="63">
        <v>1</v>
      </c>
      <c r="J567" s="63">
        <v>20</v>
      </c>
      <c r="K567" s="63" t="s">
        <v>10</v>
      </c>
      <c r="L567" s="63">
        <v>5.7577999999999996</v>
      </c>
      <c r="M567" s="63">
        <v>3.1829000000000003E-2</v>
      </c>
      <c r="N567" s="63">
        <v>5.7554999999999996</v>
      </c>
      <c r="O567" s="64">
        <v>3.1387999999999999E-2</v>
      </c>
    </row>
    <row r="568" spans="1:15" x14ac:dyDescent="0.25">
      <c r="A568" s="114" t="s">
        <v>1120</v>
      </c>
      <c r="B568" s="63" t="s">
        <v>52</v>
      </c>
      <c r="C568" s="63" t="s">
        <v>8</v>
      </c>
      <c r="D568" s="63">
        <v>1</v>
      </c>
      <c r="E568" s="63">
        <v>10</v>
      </c>
      <c r="F568" s="63">
        <v>0.01</v>
      </c>
      <c r="G568" s="63" t="s">
        <v>6</v>
      </c>
      <c r="H568" s="63" t="s">
        <v>4</v>
      </c>
      <c r="I568" s="63">
        <v>20</v>
      </c>
      <c r="J568" s="63">
        <v>50</v>
      </c>
      <c r="K568" s="63" t="s">
        <v>10</v>
      </c>
      <c r="L568" s="63">
        <v>5.6913</v>
      </c>
      <c r="M568" s="63">
        <v>0.11808</v>
      </c>
      <c r="N568" s="63">
        <v>5.6847000000000003</v>
      </c>
      <c r="O568" s="64">
        <v>0.11766</v>
      </c>
    </row>
    <row r="569" spans="1:15" x14ac:dyDescent="0.25">
      <c r="A569" s="114" t="s">
        <v>1124</v>
      </c>
      <c r="B569" s="63" t="s">
        <v>52</v>
      </c>
      <c r="C569" s="63" t="s">
        <v>8</v>
      </c>
      <c r="D569" s="63">
        <v>1</v>
      </c>
      <c r="E569" s="63">
        <v>10</v>
      </c>
      <c r="F569" s="63">
        <v>0.01</v>
      </c>
      <c r="G569" s="63" t="s">
        <v>6</v>
      </c>
      <c r="H569" s="63" t="s">
        <v>4</v>
      </c>
      <c r="I569" s="63">
        <v>50</v>
      </c>
      <c r="J569" s="63">
        <v>100</v>
      </c>
      <c r="K569" s="63" t="s">
        <v>10</v>
      </c>
      <c r="L569" s="63">
        <v>5.3091999999999997</v>
      </c>
      <c r="M569" s="63">
        <v>0.59367999999999999</v>
      </c>
      <c r="N569" s="63">
        <v>5.2965</v>
      </c>
      <c r="O569" s="64">
        <v>0.59386000000000005</v>
      </c>
    </row>
    <row r="570" spans="1:15" x14ac:dyDescent="0.25">
      <c r="A570" s="114" t="s">
        <v>1125</v>
      </c>
      <c r="B570" s="63" t="s">
        <v>52</v>
      </c>
      <c r="C570" s="63" t="s">
        <v>8</v>
      </c>
      <c r="D570" s="63">
        <v>1</v>
      </c>
      <c r="E570" s="63">
        <v>10</v>
      </c>
      <c r="F570" s="63">
        <v>0.01</v>
      </c>
      <c r="G570" s="63" t="s">
        <v>6</v>
      </c>
      <c r="H570" s="63" t="s">
        <v>4</v>
      </c>
      <c r="I570" s="63">
        <v>100</v>
      </c>
      <c r="J570" s="63">
        <v>300</v>
      </c>
      <c r="K570" s="63" t="s">
        <v>10</v>
      </c>
      <c r="L570" s="63">
        <v>4.1894999999999998</v>
      </c>
      <c r="M570" s="63">
        <v>3.2244000000000002</v>
      </c>
      <c r="N570" s="63">
        <v>4.1679000000000004</v>
      </c>
      <c r="O570" s="64">
        <v>3.2259000000000002</v>
      </c>
    </row>
    <row r="571" spans="1:15" x14ac:dyDescent="0.25">
      <c r="A571" s="114" t="s">
        <v>1126</v>
      </c>
      <c r="B571" s="63" t="s">
        <v>52</v>
      </c>
      <c r="C571" s="63" t="s">
        <v>8</v>
      </c>
      <c r="D571" s="63">
        <v>1</v>
      </c>
      <c r="E571" s="63">
        <v>10</v>
      </c>
      <c r="F571" s="63">
        <v>0.01</v>
      </c>
      <c r="G571" s="63" t="s">
        <v>6</v>
      </c>
      <c r="H571" s="63" t="s">
        <v>4</v>
      </c>
      <c r="I571" s="63">
        <v>300</v>
      </c>
      <c r="J571" s="63">
        <v>1000</v>
      </c>
      <c r="K571" s="63" t="s">
        <v>10</v>
      </c>
      <c r="L571" s="63">
        <v>2.2239</v>
      </c>
      <c r="M571" s="63">
        <v>11.849</v>
      </c>
      <c r="N571" s="63">
        <v>2.4895999999999998</v>
      </c>
      <c r="O571" s="64">
        <v>11.566000000000001</v>
      </c>
    </row>
    <row r="572" spans="1:15" x14ac:dyDescent="0.25">
      <c r="A572" s="114" t="s">
        <v>1122</v>
      </c>
      <c r="B572" s="63" t="s">
        <v>52</v>
      </c>
      <c r="C572" s="63" t="s">
        <v>8</v>
      </c>
      <c r="D572" s="63">
        <v>1</v>
      </c>
      <c r="E572" s="63">
        <v>10</v>
      </c>
      <c r="F572" s="63">
        <v>0.01</v>
      </c>
      <c r="G572" s="63" t="s">
        <v>6</v>
      </c>
      <c r="H572" s="63" t="s">
        <v>4</v>
      </c>
      <c r="I572" s="63">
        <v>1000</v>
      </c>
      <c r="J572" s="63">
        <v>2000</v>
      </c>
      <c r="K572" s="63" t="s">
        <v>10</v>
      </c>
      <c r="L572" s="63">
        <v>6.1</v>
      </c>
      <c r="M572" s="63">
        <v>17.167000000000002</v>
      </c>
      <c r="N572" s="63">
        <v>2.0914999999999999</v>
      </c>
      <c r="O572" s="64">
        <v>17.401</v>
      </c>
    </row>
    <row r="573" spans="1:15" x14ac:dyDescent="0.25">
      <c r="A573" s="114" t="s">
        <v>1119</v>
      </c>
      <c r="B573" s="63" t="s">
        <v>52</v>
      </c>
      <c r="C573" s="63" t="s">
        <v>8</v>
      </c>
      <c r="D573" s="63">
        <v>1</v>
      </c>
      <c r="E573" s="63">
        <v>10</v>
      </c>
      <c r="F573" s="63">
        <v>0.01</v>
      </c>
      <c r="G573" s="63" t="s">
        <v>6</v>
      </c>
      <c r="H573" s="63" t="s">
        <v>4</v>
      </c>
      <c r="I573" s="63">
        <v>2000</v>
      </c>
      <c r="J573" s="63">
        <v>4000</v>
      </c>
      <c r="K573" s="63" t="s">
        <v>10</v>
      </c>
      <c r="L573" s="63">
        <v>12</v>
      </c>
      <c r="M573" s="63">
        <v>46.042000000000002</v>
      </c>
      <c r="N573" s="63">
        <v>8.3953000000000007</v>
      </c>
      <c r="O573" s="64">
        <v>46.298000000000002</v>
      </c>
    </row>
    <row r="574" spans="1:15" x14ac:dyDescent="0.25">
      <c r="A574" s="114" t="s">
        <v>1127</v>
      </c>
      <c r="B574" s="63" t="s">
        <v>52</v>
      </c>
      <c r="C574" s="63" t="s">
        <v>8</v>
      </c>
      <c r="D574" s="63">
        <v>1</v>
      </c>
      <c r="E574" s="63">
        <v>10</v>
      </c>
      <c r="F574" s="63">
        <v>0.01</v>
      </c>
      <c r="G574" s="63" t="s">
        <v>6</v>
      </c>
      <c r="H574" s="63" t="s">
        <v>4</v>
      </c>
      <c r="I574" s="63">
        <v>4000</v>
      </c>
      <c r="J574" s="63">
        <v>8000</v>
      </c>
      <c r="K574" s="63" t="s">
        <v>10</v>
      </c>
      <c r="L574" s="63">
        <v>15</v>
      </c>
      <c r="M574" s="63">
        <v>46.329000000000001</v>
      </c>
      <c r="N574" s="63">
        <v>9.49</v>
      </c>
      <c r="O574" s="64">
        <v>46.546999999999997</v>
      </c>
    </row>
    <row r="575" spans="1:15" x14ac:dyDescent="0.25">
      <c r="A575" s="114" t="s">
        <v>1118</v>
      </c>
      <c r="B575" s="63" t="s">
        <v>52</v>
      </c>
      <c r="C575" s="63" t="s">
        <v>8</v>
      </c>
      <c r="D575" s="63">
        <v>1</v>
      </c>
      <c r="E575" s="63">
        <v>10</v>
      </c>
      <c r="F575" s="63">
        <v>0.01</v>
      </c>
      <c r="G575" s="63" t="s">
        <v>6</v>
      </c>
      <c r="H575" s="63" t="s">
        <v>4</v>
      </c>
      <c r="I575" s="63">
        <v>8000</v>
      </c>
      <c r="J575" s="63">
        <v>10000</v>
      </c>
      <c r="K575" s="63" t="s">
        <v>10</v>
      </c>
      <c r="L575" s="63">
        <v>46</v>
      </c>
      <c r="M575" s="63">
        <v>170.12</v>
      </c>
      <c r="N575" s="63">
        <v>11.629</v>
      </c>
      <c r="O575" s="64">
        <v>173.35</v>
      </c>
    </row>
    <row r="576" spans="1:15" x14ac:dyDescent="0.25">
      <c r="A576" s="114" t="s">
        <v>1151</v>
      </c>
      <c r="B576" s="63" t="s">
        <v>52</v>
      </c>
      <c r="C576" s="63" t="s">
        <v>8</v>
      </c>
      <c r="D576" s="63">
        <v>10</v>
      </c>
      <c r="E576" s="63">
        <v>20</v>
      </c>
      <c r="F576" s="63">
        <v>0.01</v>
      </c>
      <c r="G576" s="63" t="s">
        <v>6</v>
      </c>
      <c r="H576" s="63" t="s">
        <v>4</v>
      </c>
      <c r="I576" s="63">
        <v>1E-3</v>
      </c>
      <c r="J576" s="63">
        <v>0.04</v>
      </c>
      <c r="K576" s="63" t="s">
        <v>10</v>
      </c>
      <c r="L576" s="63">
        <v>7.1398999999999999</v>
      </c>
      <c r="M576" s="63">
        <v>0.18969</v>
      </c>
      <c r="N576" s="63">
        <v>7.1402999999999999</v>
      </c>
      <c r="O576" s="64">
        <v>0.18931999999999999</v>
      </c>
    </row>
    <row r="577" spans="1:15" x14ac:dyDescent="0.25">
      <c r="A577" s="114" t="s">
        <v>1150</v>
      </c>
      <c r="B577" s="63" t="s">
        <v>52</v>
      </c>
      <c r="C577" s="63" t="s">
        <v>8</v>
      </c>
      <c r="D577" s="63">
        <v>10</v>
      </c>
      <c r="E577" s="63">
        <v>20</v>
      </c>
      <c r="F577" s="63">
        <v>0.01</v>
      </c>
      <c r="G577" s="63" t="s">
        <v>6</v>
      </c>
      <c r="H577" s="63" t="s">
        <v>4</v>
      </c>
      <c r="I577" s="63">
        <v>0.04</v>
      </c>
      <c r="J577" s="63">
        <v>1</v>
      </c>
      <c r="K577" s="63" t="s">
        <v>10</v>
      </c>
      <c r="L577" s="63">
        <v>5.7568999999999999</v>
      </c>
      <c r="M577" s="63">
        <v>0.16470000000000001</v>
      </c>
      <c r="N577" s="63">
        <v>5.7573999999999996</v>
      </c>
      <c r="O577" s="64">
        <v>0.16425000000000001</v>
      </c>
    </row>
    <row r="578" spans="1:15" x14ac:dyDescent="0.25">
      <c r="A578" s="114" t="s">
        <v>1156</v>
      </c>
      <c r="B578" s="63" t="s">
        <v>52</v>
      </c>
      <c r="C578" s="63" t="s">
        <v>8</v>
      </c>
      <c r="D578" s="63">
        <v>10</v>
      </c>
      <c r="E578" s="63">
        <v>20</v>
      </c>
      <c r="F578" s="63">
        <v>0.01</v>
      </c>
      <c r="G578" s="63" t="s">
        <v>6</v>
      </c>
      <c r="H578" s="63" t="s">
        <v>4</v>
      </c>
      <c r="I578" s="63">
        <v>1</v>
      </c>
      <c r="J578" s="63">
        <v>20</v>
      </c>
      <c r="K578" s="63" t="s">
        <v>10</v>
      </c>
      <c r="L578" s="63">
        <v>5.7568999999999999</v>
      </c>
      <c r="M578" s="63">
        <v>0.16470000000000001</v>
      </c>
      <c r="N578" s="63">
        <v>5.7573999999999996</v>
      </c>
      <c r="O578" s="64">
        <v>0.16425000000000001</v>
      </c>
    </row>
    <row r="579" spans="1:15" x14ac:dyDescent="0.25">
      <c r="A579" s="114" t="s">
        <v>1155</v>
      </c>
      <c r="B579" s="63" t="s">
        <v>52</v>
      </c>
      <c r="C579" s="63" t="s">
        <v>8</v>
      </c>
      <c r="D579" s="63">
        <v>10</v>
      </c>
      <c r="E579" s="63">
        <v>20</v>
      </c>
      <c r="F579" s="63">
        <v>0.01</v>
      </c>
      <c r="G579" s="63" t="s">
        <v>6</v>
      </c>
      <c r="H579" s="63" t="s">
        <v>4</v>
      </c>
      <c r="I579" s="63">
        <v>20</v>
      </c>
      <c r="J579" s="63">
        <v>50</v>
      </c>
      <c r="K579" s="63" t="s">
        <v>10</v>
      </c>
      <c r="L579" s="63">
        <v>5.2424999999999997</v>
      </c>
      <c r="M579" s="63">
        <v>0.33546999999999999</v>
      </c>
      <c r="N579" s="63">
        <v>5.2373000000000003</v>
      </c>
      <c r="O579" s="64">
        <v>0.33510000000000001</v>
      </c>
    </row>
    <row r="580" spans="1:15" x14ac:dyDescent="0.25">
      <c r="A580" s="114" t="s">
        <v>1154</v>
      </c>
      <c r="B580" s="63" t="s">
        <v>52</v>
      </c>
      <c r="C580" s="63" t="s">
        <v>8</v>
      </c>
      <c r="D580" s="63">
        <v>10</v>
      </c>
      <c r="E580" s="63">
        <v>20</v>
      </c>
      <c r="F580" s="63">
        <v>0.01</v>
      </c>
      <c r="G580" s="63" t="s">
        <v>6</v>
      </c>
      <c r="H580" s="63" t="s">
        <v>4</v>
      </c>
      <c r="I580" s="63">
        <v>50</v>
      </c>
      <c r="J580" s="63">
        <v>100</v>
      </c>
      <c r="K580" s="63" t="s">
        <v>10</v>
      </c>
      <c r="L580" s="63">
        <v>3.8216999999999999</v>
      </c>
      <c r="M580" s="63">
        <v>1.3443000000000001</v>
      </c>
      <c r="N580" s="63">
        <v>3.8184</v>
      </c>
      <c r="O580" s="64">
        <v>1.3442000000000001</v>
      </c>
    </row>
    <row r="581" spans="1:15" x14ac:dyDescent="0.25">
      <c r="A581" s="114" t="s">
        <v>2287</v>
      </c>
      <c r="B581" s="63" t="s">
        <v>52</v>
      </c>
      <c r="C581" s="63" t="s">
        <v>8</v>
      </c>
      <c r="D581" s="63">
        <v>10</v>
      </c>
      <c r="E581" s="63">
        <v>100</v>
      </c>
      <c r="F581" s="63">
        <v>0.01</v>
      </c>
      <c r="G581" s="63" t="s">
        <v>6</v>
      </c>
      <c r="H581" s="63" t="s">
        <v>4</v>
      </c>
      <c r="I581" s="63">
        <v>100</v>
      </c>
      <c r="J581" s="63">
        <v>300</v>
      </c>
      <c r="K581" s="63" t="s">
        <v>10</v>
      </c>
      <c r="L581" s="63">
        <v>15</v>
      </c>
      <c r="M581" s="63">
        <v>4.6032999999999999</v>
      </c>
      <c r="N581" s="63">
        <v>11.89</v>
      </c>
      <c r="O581" s="64">
        <v>4.6239999999999997</v>
      </c>
    </row>
    <row r="582" spans="1:15" x14ac:dyDescent="0.25">
      <c r="A582" s="114" t="s">
        <v>2288</v>
      </c>
      <c r="B582" s="63" t="s">
        <v>52</v>
      </c>
      <c r="C582" s="63" t="s">
        <v>8</v>
      </c>
      <c r="D582" s="63">
        <v>10</v>
      </c>
      <c r="E582" s="63">
        <v>20</v>
      </c>
      <c r="F582" s="63">
        <v>0.01</v>
      </c>
      <c r="G582" s="63" t="s">
        <v>6</v>
      </c>
      <c r="H582" s="63" t="s">
        <v>4</v>
      </c>
      <c r="I582" s="63">
        <v>100</v>
      </c>
      <c r="J582" s="63">
        <v>300</v>
      </c>
      <c r="K582" s="63" t="s">
        <v>10</v>
      </c>
      <c r="L582" s="63">
        <v>13</v>
      </c>
      <c r="M582" s="63">
        <v>4.6140999999999996</v>
      </c>
      <c r="N582" s="63">
        <v>11.988</v>
      </c>
      <c r="O582" s="64">
        <v>4.6140999999999996</v>
      </c>
    </row>
    <row r="583" spans="1:15" x14ac:dyDescent="0.25">
      <c r="A583" s="114" t="s">
        <v>1153</v>
      </c>
      <c r="B583" s="63" t="s">
        <v>52</v>
      </c>
      <c r="C583" s="63" t="s">
        <v>8</v>
      </c>
      <c r="D583" s="63">
        <v>10</v>
      </c>
      <c r="E583" s="63">
        <v>100</v>
      </c>
      <c r="F583" s="63">
        <v>0.01</v>
      </c>
      <c r="G583" s="63" t="s">
        <v>6</v>
      </c>
      <c r="H583" s="63" t="s">
        <v>4</v>
      </c>
      <c r="I583" s="63">
        <v>300</v>
      </c>
      <c r="J583" s="63">
        <v>1000</v>
      </c>
      <c r="K583" s="63" t="s">
        <v>10</v>
      </c>
      <c r="L583" s="63">
        <v>46</v>
      </c>
      <c r="M583" s="63">
        <v>17.018999999999998</v>
      </c>
      <c r="N583" s="63">
        <v>12.427</v>
      </c>
      <c r="O583" s="64">
        <v>17.332999999999998</v>
      </c>
    </row>
    <row r="584" spans="1:15" x14ac:dyDescent="0.25">
      <c r="A584" s="114" t="s">
        <v>1152</v>
      </c>
      <c r="B584" s="63" t="s">
        <v>52</v>
      </c>
      <c r="C584" s="63" t="s">
        <v>8</v>
      </c>
      <c r="D584" s="63">
        <v>10</v>
      </c>
      <c r="E584" s="63">
        <v>20</v>
      </c>
      <c r="F584" s="63">
        <v>0.01</v>
      </c>
      <c r="G584" s="63" t="s">
        <v>6</v>
      </c>
      <c r="H584" s="63" t="s">
        <v>4</v>
      </c>
      <c r="I584" s="63">
        <v>300</v>
      </c>
      <c r="J584" s="63">
        <v>1000</v>
      </c>
      <c r="K584" s="63" t="s">
        <v>10</v>
      </c>
      <c r="L584" s="63">
        <v>19</v>
      </c>
      <c r="M584" s="63">
        <v>17.091999999999999</v>
      </c>
      <c r="N584" s="63">
        <v>12.516999999999999</v>
      </c>
      <c r="O584" s="64">
        <v>17.32</v>
      </c>
    </row>
    <row r="585" spans="1:15" x14ac:dyDescent="0.25">
      <c r="A585" s="114" t="s">
        <v>1179</v>
      </c>
      <c r="B585" s="63" t="s">
        <v>52</v>
      </c>
      <c r="C585" s="63" t="s">
        <v>8</v>
      </c>
      <c r="D585" s="63">
        <v>20</v>
      </c>
      <c r="E585" s="63">
        <v>100</v>
      </c>
      <c r="F585" s="63">
        <v>0.01</v>
      </c>
      <c r="G585" s="63" t="s">
        <v>6</v>
      </c>
      <c r="H585" s="63" t="s">
        <v>4</v>
      </c>
      <c r="I585" s="63">
        <v>1E-3</v>
      </c>
      <c r="J585" s="63">
        <v>0.04</v>
      </c>
      <c r="K585" s="63" t="s">
        <v>10</v>
      </c>
      <c r="L585" s="63">
        <v>6.5042</v>
      </c>
      <c r="M585" s="63">
        <v>0.22022</v>
      </c>
      <c r="N585" s="63">
        <v>6.5015000000000001</v>
      </c>
      <c r="O585" s="64">
        <v>0.22022</v>
      </c>
    </row>
    <row r="586" spans="1:15" x14ac:dyDescent="0.25">
      <c r="A586" s="114" t="s">
        <v>1181</v>
      </c>
      <c r="B586" s="63" t="s">
        <v>52</v>
      </c>
      <c r="C586" s="63" t="s">
        <v>8</v>
      </c>
      <c r="D586" s="63">
        <v>20</v>
      </c>
      <c r="E586" s="63">
        <v>100</v>
      </c>
      <c r="F586" s="63">
        <v>0.01</v>
      </c>
      <c r="G586" s="63" t="s">
        <v>6</v>
      </c>
      <c r="H586" s="63" t="s">
        <v>4</v>
      </c>
      <c r="I586" s="63">
        <v>0.04</v>
      </c>
      <c r="J586" s="63">
        <v>1</v>
      </c>
      <c r="K586" s="63" t="s">
        <v>10</v>
      </c>
      <c r="L586" s="63">
        <v>4.7115</v>
      </c>
      <c r="M586" s="63">
        <v>0.21576999999999999</v>
      </c>
      <c r="N586" s="63">
        <v>4.7084000000000001</v>
      </c>
      <c r="O586" s="64">
        <v>0.21576999999999999</v>
      </c>
    </row>
    <row r="587" spans="1:15" x14ac:dyDescent="0.25">
      <c r="A587" s="114" t="s">
        <v>1182</v>
      </c>
      <c r="B587" s="63" t="s">
        <v>52</v>
      </c>
      <c r="C587" s="63" t="s">
        <v>8</v>
      </c>
      <c r="D587" s="63">
        <v>20</v>
      </c>
      <c r="E587" s="63">
        <v>100</v>
      </c>
      <c r="F587" s="63">
        <v>0.01</v>
      </c>
      <c r="G587" s="63" t="s">
        <v>6</v>
      </c>
      <c r="H587" s="63" t="s">
        <v>4</v>
      </c>
      <c r="I587" s="63">
        <v>1</v>
      </c>
      <c r="J587" s="63">
        <v>20</v>
      </c>
      <c r="K587" s="63" t="s">
        <v>10</v>
      </c>
      <c r="L587" s="63">
        <v>7.1093000000000002</v>
      </c>
      <c r="M587" s="63">
        <v>0.19178999999999999</v>
      </c>
      <c r="N587" s="63">
        <v>7.1055999999999999</v>
      </c>
      <c r="O587" s="64">
        <v>0.1918</v>
      </c>
    </row>
    <row r="588" spans="1:15" x14ac:dyDescent="0.25">
      <c r="A588" s="114" t="s">
        <v>1183</v>
      </c>
      <c r="B588" s="63" t="s">
        <v>52</v>
      </c>
      <c r="C588" s="63" t="s">
        <v>8</v>
      </c>
      <c r="D588" s="63">
        <v>20</v>
      </c>
      <c r="E588" s="63">
        <v>100</v>
      </c>
      <c r="F588" s="63">
        <v>0.01</v>
      </c>
      <c r="G588" s="63" t="s">
        <v>6</v>
      </c>
      <c r="H588" s="63" t="s">
        <v>4</v>
      </c>
      <c r="I588" s="63">
        <v>20</v>
      </c>
      <c r="J588" s="63">
        <v>50</v>
      </c>
      <c r="K588" s="63" t="s">
        <v>10</v>
      </c>
      <c r="L588" s="63">
        <v>8.3577999999999992</v>
      </c>
      <c r="M588" s="63">
        <v>0.35409000000000002</v>
      </c>
      <c r="N588" s="63">
        <v>8.3518000000000008</v>
      </c>
      <c r="O588" s="64">
        <v>0.35408000000000001</v>
      </c>
    </row>
    <row r="589" spans="1:15" x14ac:dyDescent="0.25">
      <c r="A589" s="114" t="s">
        <v>1180</v>
      </c>
      <c r="B589" s="63" t="s">
        <v>52</v>
      </c>
      <c r="C589" s="63" t="s">
        <v>8</v>
      </c>
      <c r="D589" s="63">
        <v>20</v>
      </c>
      <c r="E589" s="63">
        <v>100</v>
      </c>
      <c r="F589" s="63">
        <v>0.01</v>
      </c>
      <c r="G589" s="63" t="s">
        <v>6</v>
      </c>
      <c r="H589" s="63" t="s">
        <v>4</v>
      </c>
      <c r="I589" s="63">
        <v>50</v>
      </c>
      <c r="J589" s="63">
        <v>100</v>
      </c>
      <c r="K589" s="63" t="s">
        <v>10</v>
      </c>
      <c r="L589" s="63">
        <v>22</v>
      </c>
      <c r="M589" s="63">
        <v>1.2047000000000001</v>
      </c>
      <c r="N589" s="63">
        <v>18.315000000000001</v>
      </c>
      <c r="O589" s="64">
        <v>1.2311000000000001</v>
      </c>
    </row>
    <row r="590" spans="1:15" x14ac:dyDescent="0.25">
      <c r="A590" s="114" t="s">
        <v>1206</v>
      </c>
      <c r="B590" s="63" t="s">
        <v>52</v>
      </c>
      <c r="C590" s="63" t="s">
        <v>8</v>
      </c>
      <c r="D590" s="63">
        <v>100</v>
      </c>
      <c r="E590" s="63">
        <v>330</v>
      </c>
      <c r="F590" s="63">
        <v>0.01</v>
      </c>
      <c r="G590" s="63" t="s">
        <v>6</v>
      </c>
      <c r="H590" s="63" t="s">
        <v>4</v>
      </c>
      <c r="I590" s="63">
        <v>1E-3</v>
      </c>
      <c r="J590" s="63">
        <v>0.04</v>
      </c>
      <c r="K590" s="63" t="s">
        <v>10</v>
      </c>
      <c r="L590" s="63">
        <v>48</v>
      </c>
      <c r="M590" s="63">
        <v>0.46128999999999998</v>
      </c>
      <c r="N590" s="63">
        <v>46.341000000000001</v>
      </c>
      <c r="O590" s="64">
        <v>0.46283000000000002</v>
      </c>
    </row>
    <row r="591" spans="1:15" x14ac:dyDescent="0.25">
      <c r="A591" s="114" t="s">
        <v>2289</v>
      </c>
      <c r="B591" s="63" t="s">
        <v>52</v>
      </c>
      <c r="C591" s="63" t="s">
        <v>8</v>
      </c>
      <c r="D591" s="63">
        <v>100</v>
      </c>
      <c r="E591" s="63">
        <v>330</v>
      </c>
      <c r="F591" s="63">
        <v>0.01</v>
      </c>
      <c r="G591" s="63" t="s">
        <v>6</v>
      </c>
      <c r="H591" s="63" t="s">
        <v>4</v>
      </c>
      <c r="I591" s="63">
        <v>0.04</v>
      </c>
      <c r="J591" s="63">
        <v>1</v>
      </c>
      <c r="K591" s="63" t="s">
        <v>10</v>
      </c>
      <c r="L591" s="63">
        <v>25</v>
      </c>
      <c r="M591" s="63">
        <v>0.46116000000000001</v>
      </c>
      <c r="N591" s="63">
        <v>23.338000000000001</v>
      </c>
      <c r="O591" s="64">
        <v>0.46273999999999998</v>
      </c>
    </row>
    <row r="592" spans="1:15" x14ac:dyDescent="0.25">
      <c r="A592" s="114" t="s">
        <v>1205</v>
      </c>
      <c r="B592" s="63" t="s">
        <v>52</v>
      </c>
      <c r="C592" s="63" t="s">
        <v>8</v>
      </c>
      <c r="D592" s="63">
        <v>100</v>
      </c>
      <c r="E592" s="63">
        <v>330</v>
      </c>
      <c r="F592" s="63">
        <v>0.01</v>
      </c>
      <c r="G592" s="63" t="s">
        <v>6</v>
      </c>
      <c r="H592" s="63" t="s">
        <v>4</v>
      </c>
      <c r="I592" s="63">
        <v>1</v>
      </c>
      <c r="J592" s="63">
        <v>20</v>
      </c>
      <c r="K592" s="63" t="s">
        <v>10</v>
      </c>
      <c r="L592" s="63">
        <v>23</v>
      </c>
      <c r="M592" s="63">
        <v>0.7</v>
      </c>
      <c r="N592" s="63">
        <v>23.291</v>
      </c>
      <c r="O592" s="64">
        <v>0.69333999999999996</v>
      </c>
    </row>
    <row r="593" spans="1:15" x14ac:dyDescent="0.25">
      <c r="A593" s="114" t="s">
        <v>2290</v>
      </c>
      <c r="B593" s="63" t="s">
        <v>52</v>
      </c>
      <c r="C593" s="63" t="s">
        <v>8</v>
      </c>
      <c r="D593" s="63">
        <v>100</v>
      </c>
      <c r="E593" s="63">
        <v>1000</v>
      </c>
      <c r="F593" s="63">
        <v>0.01</v>
      </c>
      <c r="G593" s="63" t="s">
        <v>6</v>
      </c>
      <c r="H593" s="63" t="s">
        <v>4</v>
      </c>
      <c r="I593" s="63">
        <v>1</v>
      </c>
      <c r="J593" s="63">
        <v>20</v>
      </c>
      <c r="K593" s="63" t="s">
        <v>10</v>
      </c>
      <c r="L593" s="63">
        <v>23</v>
      </c>
      <c r="M593" s="63">
        <v>0.7</v>
      </c>
      <c r="N593" s="63">
        <v>23.256</v>
      </c>
      <c r="O593" s="64">
        <v>0.69369000000000003</v>
      </c>
    </row>
    <row r="594" spans="1:15" x14ac:dyDescent="0.25">
      <c r="A594" s="114" t="s">
        <v>1203</v>
      </c>
      <c r="B594" s="63" t="s">
        <v>52</v>
      </c>
      <c r="C594" s="63" t="s">
        <v>8</v>
      </c>
      <c r="D594" s="63">
        <v>100</v>
      </c>
      <c r="E594" s="63">
        <v>1000</v>
      </c>
      <c r="F594" s="63">
        <v>0.01</v>
      </c>
      <c r="G594" s="63" t="s">
        <v>6</v>
      </c>
      <c r="H594" s="63" t="s">
        <v>4</v>
      </c>
      <c r="I594" s="63">
        <v>20</v>
      </c>
      <c r="J594" s="63">
        <v>50</v>
      </c>
      <c r="K594" s="63" t="s">
        <v>10</v>
      </c>
      <c r="L594" s="63">
        <v>23</v>
      </c>
      <c r="M594" s="63">
        <v>1.4</v>
      </c>
      <c r="N594" s="63">
        <v>23.007000000000001</v>
      </c>
      <c r="O594" s="64">
        <v>1.3895</v>
      </c>
    </row>
    <row r="595" spans="1:15" x14ac:dyDescent="0.25">
      <c r="A595" s="114" t="s">
        <v>1207</v>
      </c>
      <c r="B595" s="63" t="s">
        <v>52</v>
      </c>
      <c r="C595" s="63" t="s">
        <v>8</v>
      </c>
      <c r="D595" s="63">
        <v>100</v>
      </c>
      <c r="E595" s="63">
        <v>330</v>
      </c>
      <c r="F595" s="63">
        <v>0.01</v>
      </c>
      <c r="G595" s="63" t="s">
        <v>6</v>
      </c>
      <c r="H595" s="63" t="s">
        <v>4</v>
      </c>
      <c r="I595" s="63">
        <v>20</v>
      </c>
      <c r="J595" s="63">
        <v>50</v>
      </c>
      <c r="K595" s="63" t="s">
        <v>10</v>
      </c>
      <c r="L595" s="63">
        <v>23</v>
      </c>
      <c r="M595" s="63">
        <v>1.4</v>
      </c>
      <c r="N595" s="63">
        <v>23.187999999999999</v>
      </c>
      <c r="O595" s="64">
        <v>1.3875999999999999</v>
      </c>
    </row>
    <row r="596" spans="1:15" x14ac:dyDescent="0.25">
      <c r="A596" s="114" t="s">
        <v>2291</v>
      </c>
      <c r="B596" s="63" t="s">
        <v>52</v>
      </c>
      <c r="C596" s="63" t="s">
        <v>8</v>
      </c>
      <c r="D596" s="63">
        <v>100</v>
      </c>
      <c r="E596" s="63">
        <v>1000</v>
      </c>
      <c r="F596" s="63">
        <v>0.01</v>
      </c>
      <c r="G596" s="63" t="s">
        <v>6</v>
      </c>
      <c r="H596" s="63" t="s">
        <v>4</v>
      </c>
      <c r="I596" s="63">
        <v>50</v>
      </c>
      <c r="J596" s="63">
        <v>100</v>
      </c>
      <c r="K596" s="63" t="s">
        <v>10</v>
      </c>
      <c r="L596" s="63">
        <v>23</v>
      </c>
      <c r="M596" s="63">
        <v>3.5</v>
      </c>
      <c r="N596" s="63">
        <v>23.152999999999999</v>
      </c>
      <c r="O596" s="64">
        <v>3.4655999999999998</v>
      </c>
    </row>
    <row r="597" spans="1:15" x14ac:dyDescent="0.25">
      <c r="A597" s="114" t="s">
        <v>1204</v>
      </c>
      <c r="B597" s="63" t="s">
        <v>52</v>
      </c>
      <c r="C597" s="63" t="s">
        <v>8</v>
      </c>
      <c r="D597" s="63">
        <v>100</v>
      </c>
      <c r="E597" s="63">
        <v>330</v>
      </c>
      <c r="F597" s="63">
        <v>0.01</v>
      </c>
      <c r="G597" s="63" t="s">
        <v>6</v>
      </c>
      <c r="H597" s="63" t="s">
        <v>4</v>
      </c>
      <c r="I597" s="63">
        <v>50</v>
      </c>
      <c r="J597" s="63">
        <v>100</v>
      </c>
      <c r="K597" s="63" t="s">
        <v>10</v>
      </c>
      <c r="L597" s="63">
        <v>23</v>
      </c>
      <c r="M597" s="63">
        <v>3.5</v>
      </c>
      <c r="N597" s="63">
        <v>23.164000000000001</v>
      </c>
      <c r="O597" s="64">
        <v>3.4655</v>
      </c>
    </row>
    <row r="598" spans="1:15" x14ac:dyDescent="0.25">
      <c r="A598" s="114" t="s">
        <v>2292</v>
      </c>
      <c r="B598" s="63" t="s">
        <v>52</v>
      </c>
      <c r="C598" s="63" t="s">
        <v>8</v>
      </c>
      <c r="D598" s="63">
        <v>330</v>
      </c>
      <c r="E598" s="63">
        <v>1000</v>
      </c>
      <c r="F598" s="63">
        <v>0.01</v>
      </c>
      <c r="G598" s="63" t="s">
        <v>6</v>
      </c>
      <c r="H598" s="63" t="s">
        <v>4</v>
      </c>
      <c r="I598" s="63">
        <v>1E-3</v>
      </c>
      <c r="J598" s="63">
        <v>0.04</v>
      </c>
      <c r="K598" s="63" t="s">
        <v>10</v>
      </c>
      <c r="L598" s="63">
        <v>50</v>
      </c>
      <c r="M598" s="63">
        <v>0.46059</v>
      </c>
      <c r="N598" s="63">
        <v>46.301000000000002</v>
      </c>
      <c r="O598" s="64">
        <v>0.46322000000000002</v>
      </c>
    </row>
    <row r="599" spans="1:15" x14ac:dyDescent="0.25">
      <c r="A599" s="114" t="s">
        <v>1225</v>
      </c>
      <c r="B599" s="63" t="s">
        <v>52</v>
      </c>
      <c r="C599" s="63" t="s">
        <v>8</v>
      </c>
      <c r="D599" s="63">
        <v>330</v>
      </c>
      <c r="E599" s="63">
        <v>1000</v>
      </c>
      <c r="F599" s="63">
        <v>0.01</v>
      </c>
      <c r="G599" s="63" t="s">
        <v>6</v>
      </c>
      <c r="H599" s="63" t="s">
        <v>4</v>
      </c>
      <c r="I599" s="63">
        <v>0.04</v>
      </c>
      <c r="J599" s="63">
        <v>1</v>
      </c>
      <c r="K599" s="63" t="s">
        <v>10</v>
      </c>
      <c r="L599" s="63">
        <v>27</v>
      </c>
      <c r="M599" s="63">
        <v>0.46056000000000002</v>
      </c>
      <c r="N599" s="63">
        <v>23.29</v>
      </c>
      <c r="O599" s="64">
        <v>0.46321000000000001</v>
      </c>
    </row>
    <row r="600" spans="1:15" x14ac:dyDescent="0.25">
      <c r="A600" s="114" t="s">
        <v>1226</v>
      </c>
      <c r="B600" s="63" t="s">
        <v>52</v>
      </c>
      <c r="C600" s="63" t="s">
        <v>8</v>
      </c>
      <c r="D600" s="63">
        <v>330</v>
      </c>
      <c r="E600" s="63">
        <v>1000</v>
      </c>
      <c r="F600" s="63">
        <v>0.01</v>
      </c>
      <c r="G600" s="63" t="s">
        <v>6</v>
      </c>
      <c r="H600" s="63" t="s">
        <v>4</v>
      </c>
      <c r="I600" s="63">
        <v>1</v>
      </c>
      <c r="J600" s="63">
        <v>10</v>
      </c>
      <c r="K600" s="63" t="s">
        <v>10</v>
      </c>
      <c r="L600" s="63">
        <v>23</v>
      </c>
      <c r="M600" s="63">
        <v>0.7</v>
      </c>
      <c r="N600" s="63">
        <v>23.256</v>
      </c>
      <c r="O600" s="64">
        <v>0.69369000000000003</v>
      </c>
    </row>
    <row r="601" spans="1:15" x14ac:dyDescent="0.25">
      <c r="A601" s="114" t="s">
        <v>980</v>
      </c>
      <c r="B601" s="63" t="s">
        <v>52</v>
      </c>
      <c r="C601" s="63" t="s">
        <v>8</v>
      </c>
      <c r="D601" s="63">
        <v>0</v>
      </c>
      <c r="E601" s="63">
        <v>0.01</v>
      </c>
      <c r="F601" s="63">
        <v>0.1</v>
      </c>
      <c r="G601" s="63" t="s">
        <v>6</v>
      </c>
      <c r="H601" s="63" t="s">
        <v>5</v>
      </c>
      <c r="I601" s="63">
        <v>1000</v>
      </c>
      <c r="J601" s="63">
        <v>4000</v>
      </c>
      <c r="K601" s="63" t="s">
        <v>10</v>
      </c>
      <c r="L601" s="63">
        <v>57735</v>
      </c>
      <c r="M601" s="63">
        <v>584.6</v>
      </c>
      <c r="N601" s="63">
        <v>57728</v>
      </c>
      <c r="O601" s="64">
        <v>582.75</v>
      </c>
    </row>
    <row r="602" spans="1:15" x14ac:dyDescent="0.25">
      <c r="A602" s="114" t="s">
        <v>2293</v>
      </c>
      <c r="B602" s="63" t="s">
        <v>52</v>
      </c>
      <c r="C602" s="63" t="s">
        <v>8</v>
      </c>
      <c r="D602" s="63">
        <v>0</v>
      </c>
      <c r="E602" s="63">
        <v>0.01</v>
      </c>
      <c r="F602" s="63">
        <v>0.1</v>
      </c>
      <c r="G602" s="63" t="s">
        <v>6</v>
      </c>
      <c r="H602" s="63" t="s">
        <v>5</v>
      </c>
      <c r="I602" s="63">
        <v>4000</v>
      </c>
      <c r="J602" s="63">
        <v>8000</v>
      </c>
      <c r="K602" s="63" t="s">
        <v>10</v>
      </c>
      <c r="L602" s="63">
        <v>57735</v>
      </c>
      <c r="M602" s="63">
        <v>4703.5</v>
      </c>
      <c r="N602" s="63">
        <v>57713</v>
      </c>
      <c r="O602" s="64">
        <v>4700</v>
      </c>
    </row>
    <row r="603" spans="1:15" x14ac:dyDescent="0.25">
      <c r="A603" s="114" t="s">
        <v>2294</v>
      </c>
      <c r="B603" s="63" t="s">
        <v>52</v>
      </c>
      <c r="C603" s="63" t="s">
        <v>8</v>
      </c>
      <c r="D603" s="63">
        <v>1</v>
      </c>
      <c r="E603" s="63">
        <v>10</v>
      </c>
      <c r="F603" s="63">
        <v>0.1</v>
      </c>
      <c r="G603" s="63" t="s">
        <v>6</v>
      </c>
      <c r="H603" s="63" t="s">
        <v>4</v>
      </c>
      <c r="I603" s="63">
        <v>1E-3</v>
      </c>
      <c r="J603" s="63">
        <v>0.04</v>
      </c>
      <c r="K603" s="63" t="s">
        <v>10</v>
      </c>
      <c r="L603" s="63">
        <v>57.737000000000002</v>
      </c>
      <c r="M603" s="63">
        <v>1.6174E-3</v>
      </c>
      <c r="N603" s="63">
        <v>57.722999999999999</v>
      </c>
      <c r="O603" s="64">
        <v>1.529E-3</v>
      </c>
    </row>
    <row r="604" spans="1:15" x14ac:dyDescent="0.25">
      <c r="A604" s="114" t="s">
        <v>2295</v>
      </c>
      <c r="B604" s="63" t="s">
        <v>52</v>
      </c>
      <c r="C604" s="63" t="s">
        <v>8</v>
      </c>
      <c r="D604" s="63">
        <v>1</v>
      </c>
      <c r="E604" s="63">
        <v>10</v>
      </c>
      <c r="F604" s="63">
        <v>0.1</v>
      </c>
      <c r="G604" s="63" t="s">
        <v>6</v>
      </c>
      <c r="H604" s="63" t="s">
        <v>4</v>
      </c>
      <c r="I604" s="63">
        <v>0.04</v>
      </c>
      <c r="J604" s="63">
        <v>1</v>
      </c>
      <c r="K604" s="63" t="s">
        <v>10</v>
      </c>
      <c r="L604" s="63">
        <v>57.735999999999997</v>
      </c>
      <c r="M604" s="63">
        <v>1.1207000000000001E-3</v>
      </c>
      <c r="N604" s="63">
        <v>57.725999999999999</v>
      </c>
      <c r="O604" s="64">
        <v>1.0323000000000001E-3</v>
      </c>
    </row>
    <row r="605" spans="1:15" x14ac:dyDescent="0.25">
      <c r="A605" s="114" t="s">
        <v>2296</v>
      </c>
      <c r="B605" s="63" t="s">
        <v>52</v>
      </c>
      <c r="C605" s="63" t="s">
        <v>8</v>
      </c>
      <c r="D605" s="63">
        <v>1</v>
      </c>
      <c r="E605" s="63">
        <v>10</v>
      </c>
      <c r="F605" s="63">
        <v>0.1</v>
      </c>
      <c r="G605" s="63" t="s">
        <v>6</v>
      </c>
      <c r="H605" s="63" t="s">
        <v>4</v>
      </c>
      <c r="I605" s="63">
        <v>1</v>
      </c>
      <c r="J605" s="63">
        <v>20</v>
      </c>
      <c r="K605" s="63" t="s">
        <v>10</v>
      </c>
      <c r="L605" s="63">
        <v>57.734999999999999</v>
      </c>
      <c r="M605" s="63">
        <v>3.4134999999999999E-3</v>
      </c>
      <c r="N605" s="63">
        <v>57.704999999999998</v>
      </c>
      <c r="O605" s="64">
        <v>3.222E-3</v>
      </c>
    </row>
    <row r="606" spans="1:15" x14ac:dyDescent="0.25">
      <c r="A606" s="114" t="s">
        <v>1128</v>
      </c>
      <c r="B606" s="63" t="s">
        <v>52</v>
      </c>
      <c r="C606" s="63" t="s">
        <v>8</v>
      </c>
      <c r="D606" s="63">
        <v>1</v>
      </c>
      <c r="E606" s="63">
        <v>10</v>
      </c>
      <c r="F606" s="63">
        <v>0.1</v>
      </c>
      <c r="G606" s="63" t="s">
        <v>6</v>
      </c>
      <c r="H606" s="63" t="s">
        <v>4</v>
      </c>
      <c r="I606" s="63">
        <v>20</v>
      </c>
      <c r="J606" s="63">
        <v>50</v>
      </c>
      <c r="K606" s="63" t="s">
        <v>10</v>
      </c>
      <c r="L606" s="63">
        <v>57.728000000000002</v>
      </c>
      <c r="M606" s="63">
        <v>1.3146E-2</v>
      </c>
      <c r="N606" s="63">
        <v>57.621000000000002</v>
      </c>
      <c r="O606" s="64">
        <v>1.289E-2</v>
      </c>
    </row>
    <row r="607" spans="1:15" x14ac:dyDescent="0.25">
      <c r="A607" s="114" t="s">
        <v>2297</v>
      </c>
      <c r="B607" s="63" t="s">
        <v>52</v>
      </c>
      <c r="C607" s="63" t="s">
        <v>8</v>
      </c>
      <c r="D607" s="63">
        <v>1</v>
      </c>
      <c r="E607" s="63">
        <v>10</v>
      </c>
      <c r="F607" s="63">
        <v>0.1</v>
      </c>
      <c r="G607" s="63" t="s">
        <v>6</v>
      </c>
      <c r="H607" s="63" t="s">
        <v>4</v>
      </c>
      <c r="I607" s="63">
        <v>50</v>
      </c>
      <c r="J607" s="63">
        <v>100</v>
      </c>
      <c r="K607" s="63" t="s">
        <v>10</v>
      </c>
      <c r="L607" s="63">
        <v>57.664999999999999</v>
      </c>
      <c r="M607" s="63">
        <v>8.7822999999999998E-2</v>
      </c>
      <c r="N607" s="63">
        <v>57.152999999999999</v>
      </c>
      <c r="O607" s="64">
        <v>8.7461999999999998E-2</v>
      </c>
    </row>
    <row r="608" spans="1:15" x14ac:dyDescent="0.25">
      <c r="A608" s="114" t="s">
        <v>2298</v>
      </c>
      <c r="B608" s="63" t="s">
        <v>52</v>
      </c>
      <c r="C608" s="63" t="s">
        <v>8</v>
      </c>
      <c r="D608" s="63">
        <v>1</v>
      </c>
      <c r="E608" s="63">
        <v>10</v>
      </c>
      <c r="F608" s="63">
        <v>0.1</v>
      </c>
      <c r="G608" s="63" t="s">
        <v>6</v>
      </c>
      <c r="H608" s="63" t="s">
        <v>4</v>
      </c>
      <c r="I608" s="63">
        <v>100</v>
      </c>
      <c r="J608" s="63">
        <v>300</v>
      </c>
      <c r="K608" s="63" t="s">
        <v>10</v>
      </c>
      <c r="L608" s="63">
        <v>56.807000000000002</v>
      </c>
      <c r="M608" s="63">
        <v>1.1229</v>
      </c>
      <c r="N608" s="63">
        <v>54.694000000000003</v>
      </c>
      <c r="O608" s="64">
        <v>1.1224000000000001</v>
      </c>
    </row>
    <row r="609" spans="1:15" x14ac:dyDescent="0.25">
      <c r="A609" s="114" t="s">
        <v>1130</v>
      </c>
      <c r="B609" s="63" t="s">
        <v>52</v>
      </c>
      <c r="C609" s="63" t="s">
        <v>8</v>
      </c>
      <c r="D609" s="63">
        <v>1</v>
      </c>
      <c r="E609" s="63">
        <v>10</v>
      </c>
      <c r="F609" s="63">
        <v>0.1</v>
      </c>
      <c r="G609" s="63" t="s">
        <v>6</v>
      </c>
      <c r="H609" s="63" t="s">
        <v>4</v>
      </c>
      <c r="I609" s="63">
        <v>300</v>
      </c>
      <c r="J609" s="63">
        <v>1000</v>
      </c>
      <c r="K609" s="63" t="s">
        <v>10</v>
      </c>
      <c r="L609" s="63">
        <v>51.131999999999998</v>
      </c>
      <c r="M609" s="63">
        <v>8.0251999999999999</v>
      </c>
      <c r="N609" s="63">
        <v>47.575000000000003</v>
      </c>
      <c r="O609" s="64">
        <v>8.0258000000000003</v>
      </c>
    </row>
    <row r="610" spans="1:15" x14ac:dyDescent="0.25">
      <c r="A610" s="114" t="s">
        <v>2299</v>
      </c>
      <c r="B610" s="63" t="s">
        <v>52</v>
      </c>
      <c r="C610" s="63" t="s">
        <v>8</v>
      </c>
      <c r="D610" s="63">
        <v>1</v>
      </c>
      <c r="E610" s="63">
        <v>10</v>
      </c>
      <c r="F610" s="63">
        <v>0.1</v>
      </c>
      <c r="G610" s="63" t="s">
        <v>6</v>
      </c>
      <c r="H610" s="63" t="s">
        <v>4</v>
      </c>
      <c r="I610" s="63">
        <v>1000</v>
      </c>
      <c r="J610" s="63">
        <v>2000</v>
      </c>
      <c r="K610" s="63" t="s">
        <v>10</v>
      </c>
      <c r="L610" s="63">
        <v>46.847000000000001</v>
      </c>
      <c r="M610" s="63">
        <v>13.84</v>
      </c>
      <c r="N610" s="63">
        <v>43.262</v>
      </c>
      <c r="O610" s="64">
        <v>13.840999999999999</v>
      </c>
    </row>
    <row r="611" spans="1:15" x14ac:dyDescent="0.25">
      <c r="A611" s="114" t="s">
        <v>1131</v>
      </c>
      <c r="B611" s="63" t="s">
        <v>52</v>
      </c>
      <c r="C611" s="63" t="s">
        <v>8</v>
      </c>
      <c r="D611" s="63">
        <v>1</v>
      </c>
      <c r="E611" s="63">
        <v>10</v>
      </c>
      <c r="F611" s="63">
        <v>0.1</v>
      </c>
      <c r="G611" s="63" t="s">
        <v>6</v>
      </c>
      <c r="H611" s="63" t="s">
        <v>4</v>
      </c>
      <c r="I611" s="63">
        <v>2000</v>
      </c>
      <c r="J611" s="63">
        <v>4000</v>
      </c>
      <c r="K611" s="63" t="s">
        <v>10</v>
      </c>
      <c r="L611" s="63">
        <v>35.390999999999998</v>
      </c>
      <c r="M611" s="63">
        <v>43.95</v>
      </c>
      <c r="N611" s="63">
        <v>33.018000000000001</v>
      </c>
      <c r="O611" s="64">
        <v>43.95</v>
      </c>
    </row>
    <row r="612" spans="1:15" x14ac:dyDescent="0.25">
      <c r="A612" s="114" t="s">
        <v>1129</v>
      </c>
      <c r="B612" s="63" t="s">
        <v>52</v>
      </c>
      <c r="C612" s="63" t="s">
        <v>8</v>
      </c>
      <c r="D612" s="63">
        <v>1</v>
      </c>
      <c r="E612" s="63">
        <v>10</v>
      </c>
      <c r="F612" s="63">
        <v>0.1</v>
      </c>
      <c r="G612" s="63" t="s">
        <v>6</v>
      </c>
      <c r="H612" s="63" t="s">
        <v>4</v>
      </c>
      <c r="I612" s="63">
        <v>4000</v>
      </c>
      <c r="J612" s="63">
        <v>8000</v>
      </c>
      <c r="K612" s="63" t="s">
        <v>10</v>
      </c>
      <c r="L612" s="63">
        <v>36.033999999999999</v>
      </c>
      <c r="M612" s="63">
        <v>44.241</v>
      </c>
      <c r="N612" s="63">
        <v>33.704000000000001</v>
      </c>
      <c r="O612" s="64">
        <v>44.241</v>
      </c>
    </row>
    <row r="613" spans="1:15" x14ac:dyDescent="0.25">
      <c r="A613" s="114" t="s">
        <v>1132</v>
      </c>
      <c r="B613" s="63" t="s">
        <v>52</v>
      </c>
      <c r="C613" s="63" t="s">
        <v>8</v>
      </c>
      <c r="D613" s="63">
        <v>1</v>
      </c>
      <c r="E613" s="63">
        <v>10</v>
      </c>
      <c r="F613" s="63">
        <v>0.1</v>
      </c>
      <c r="G613" s="63" t="s">
        <v>6</v>
      </c>
      <c r="H613" s="63" t="s">
        <v>4</v>
      </c>
      <c r="I613" s="63">
        <v>8000</v>
      </c>
      <c r="J613" s="63">
        <v>10000</v>
      </c>
      <c r="K613" s="63" t="s">
        <v>10</v>
      </c>
      <c r="L613" s="63">
        <v>46</v>
      </c>
      <c r="M613" s="63">
        <v>170.24</v>
      </c>
      <c r="N613" s="63">
        <v>20.344000000000001</v>
      </c>
      <c r="O613" s="64">
        <v>172.48</v>
      </c>
    </row>
    <row r="614" spans="1:15" x14ac:dyDescent="0.25">
      <c r="A614" s="114" t="s">
        <v>2300</v>
      </c>
      <c r="B614" s="63" t="s">
        <v>52</v>
      </c>
      <c r="C614" s="63" t="s">
        <v>8</v>
      </c>
      <c r="D614" s="63">
        <v>10</v>
      </c>
      <c r="E614" s="63">
        <v>20</v>
      </c>
      <c r="F614" s="63">
        <v>0.1</v>
      </c>
      <c r="G614" s="63" t="s">
        <v>6</v>
      </c>
      <c r="H614" s="63" t="s">
        <v>4</v>
      </c>
      <c r="I614" s="63">
        <v>1E-3</v>
      </c>
      <c r="J614" s="63">
        <v>0.04</v>
      </c>
      <c r="K614" s="63" t="s">
        <v>10</v>
      </c>
      <c r="L614" s="63">
        <v>57.826999999999998</v>
      </c>
      <c r="M614" s="63">
        <v>3.2722000000000001E-2</v>
      </c>
      <c r="N614" s="63">
        <v>57.828000000000003</v>
      </c>
      <c r="O614" s="64">
        <v>3.2399999999999998E-2</v>
      </c>
    </row>
    <row r="615" spans="1:15" x14ac:dyDescent="0.25">
      <c r="A615" s="114" t="s">
        <v>1158</v>
      </c>
      <c r="B615" s="63" t="s">
        <v>52</v>
      </c>
      <c r="C615" s="63" t="s">
        <v>8</v>
      </c>
      <c r="D615" s="63">
        <v>10</v>
      </c>
      <c r="E615" s="63">
        <v>20</v>
      </c>
      <c r="F615" s="63">
        <v>0.1</v>
      </c>
      <c r="G615" s="63" t="s">
        <v>6</v>
      </c>
      <c r="H615" s="63" t="s">
        <v>4</v>
      </c>
      <c r="I615" s="63">
        <v>0.04</v>
      </c>
      <c r="J615" s="63">
        <v>1</v>
      </c>
      <c r="K615" s="63" t="s">
        <v>10</v>
      </c>
      <c r="L615" s="63">
        <v>57.686999999999998</v>
      </c>
      <c r="M615" s="63">
        <v>2.3591000000000001E-2</v>
      </c>
      <c r="N615" s="63">
        <v>57.688000000000002</v>
      </c>
      <c r="O615" s="64">
        <v>2.3266999999999999E-2</v>
      </c>
    </row>
    <row r="616" spans="1:15" x14ac:dyDescent="0.25">
      <c r="A616" s="114" t="s">
        <v>2301</v>
      </c>
      <c r="B616" s="63" t="s">
        <v>52</v>
      </c>
      <c r="C616" s="63" t="s">
        <v>8</v>
      </c>
      <c r="D616" s="63">
        <v>10</v>
      </c>
      <c r="E616" s="63">
        <v>20</v>
      </c>
      <c r="F616" s="63">
        <v>0.1</v>
      </c>
      <c r="G616" s="63" t="s">
        <v>6</v>
      </c>
      <c r="H616" s="63" t="s">
        <v>4</v>
      </c>
      <c r="I616" s="63">
        <v>1</v>
      </c>
      <c r="J616" s="63">
        <v>20</v>
      </c>
      <c r="K616" s="63" t="s">
        <v>10</v>
      </c>
      <c r="L616" s="63">
        <v>57.686999999999998</v>
      </c>
      <c r="M616" s="63">
        <v>2.3591000000000001E-2</v>
      </c>
      <c r="N616" s="63">
        <v>57.688000000000002</v>
      </c>
      <c r="O616" s="64">
        <v>2.3266999999999999E-2</v>
      </c>
    </row>
    <row r="617" spans="1:15" x14ac:dyDescent="0.25">
      <c r="A617" s="114" t="s">
        <v>1157</v>
      </c>
      <c r="B617" s="63" t="s">
        <v>52</v>
      </c>
      <c r="C617" s="63" t="s">
        <v>8</v>
      </c>
      <c r="D617" s="63">
        <v>10</v>
      </c>
      <c r="E617" s="63">
        <v>20</v>
      </c>
      <c r="F617" s="63">
        <v>0.1</v>
      </c>
      <c r="G617" s="63" t="s">
        <v>6</v>
      </c>
      <c r="H617" s="63" t="s">
        <v>4</v>
      </c>
      <c r="I617" s="63">
        <v>20</v>
      </c>
      <c r="J617" s="63">
        <v>50</v>
      </c>
      <c r="K617" s="63" t="s">
        <v>10</v>
      </c>
      <c r="L617" s="63">
        <v>57.496000000000002</v>
      </c>
      <c r="M617" s="63">
        <v>5.9412E-2</v>
      </c>
      <c r="N617" s="63">
        <v>57.494999999999997</v>
      </c>
      <c r="O617" s="64">
        <v>5.8915000000000002E-2</v>
      </c>
    </row>
    <row r="618" spans="1:15" x14ac:dyDescent="0.25">
      <c r="A618" s="114" t="s">
        <v>1159</v>
      </c>
      <c r="B618" s="63" t="s">
        <v>52</v>
      </c>
      <c r="C618" s="63" t="s">
        <v>8</v>
      </c>
      <c r="D618" s="63">
        <v>10</v>
      </c>
      <c r="E618" s="63">
        <v>20</v>
      </c>
      <c r="F618" s="63">
        <v>0.1</v>
      </c>
      <c r="G618" s="63" t="s">
        <v>6</v>
      </c>
      <c r="H618" s="63" t="s">
        <v>4</v>
      </c>
      <c r="I618" s="63">
        <v>50</v>
      </c>
      <c r="J618" s="63">
        <v>100</v>
      </c>
      <c r="K618" s="63" t="s">
        <v>10</v>
      </c>
      <c r="L618" s="63">
        <v>54.831000000000003</v>
      </c>
      <c r="M618" s="63">
        <v>0.51571</v>
      </c>
      <c r="N618" s="63">
        <v>54.83</v>
      </c>
      <c r="O618" s="64">
        <v>0.51529000000000003</v>
      </c>
    </row>
    <row r="619" spans="1:15" x14ac:dyDescent="0.25">
      <c r="A619" s="114" t="s">
        <v>2302</v>
      </c>
      <c r="B619" s="63" t="s">
        <v>52</v>
      </c>
      <c r="C619" s="63" t="s">
        <v>8</v>
      </c>
      <c r="D619" s="63">
        <v>10</v>
      </c>
      <c r="E619" s="63">
        <v>20</v>
      </c>
      <c r="F619" s="63">
        <v>0.1</v>
      </c>
      <c r="G619" s="63" t="s">
        <v>6</v>
      </c>
      <c r="H619" s="63" t="s">
        <v>4</v>
      </c>
      <c r="I619" s="63">
        <v>100</v>
      </c>
      <c r="J619" s="63">
        <v>300</v>
      </c>
      <c r="K619" s="63" t="s">
        <v>10</v>
      </c>
      <c r="L619" s="63">
        <v>44.405999999999999</v>
      </c>
      <c r="M619" s="63">
        <v>3.7323</v>
      </c>
      <c r="N619" s="63">
        <v>44.402999999999999</v>
      </c>
      <c r="O619" s="64">
        <v>3.7322000000000002</v>
      </c>
    </row>
    <row r="620" spans="1:15" x14ac:dyDescent="0.25">
      <c r="A620" s="114" t="s">
        <v>1160</v>
      </c>
      <c r="B620" s="63" t="s">
        <v>52</v>
      </c>
      <c r="C620" s="63" t="s">
        <v>8</v>
      </c>
      <c r="D620" s="63">
        <v>10</v>
      </c>
      <c r="E620" s="63">
        <v>100</v>
      </c>
      <c r="F620" s="63">
        <v>0.1</v>
      </c>
      <c r="G620" s="63" t="s">
        <v>6</v>
      </c>
      <c r="H620" s="63" t="s">
        <v>4</v>
      </c>
      <c r="I620" s="63">
        <v>100</v>
      </c>
      <c r="J620" s="63">
        <v>300</v>
      </c>
      <c r="K620" s="63" t="s">
        <v>10</v>
      </c>
      <c r="L620" s="63">
        <v>37.774999999999999</v>
      </c>
      <c r="M620" s="63">
        <v>4.4000000000000004</v>
      </c>
      <c r="N620" s="63">
        <v>37.725999999999999</v>
      </c>
      <c r="O620" s="64">
        <v>4.4002999999999997</v>
      </c>
    </row>
    <row r="621" spans="1:15" x14ac:dyDescent="0.25">
      <c r="A621" s="114" t="s">
        <v>2303</v>
      </c>
      <c r="B621" s="63" t="s">
        <v>52</v>
      </c>
      <c r="C621" s="63" t="s">
        <v>8</v>
      </c>
      <c r="D621" s="63">
        <v>10</v>
      </c>
      <c r="E621" s="63">
        <v>100</v>
      </c>
      <c r="F621" s="63">
        <v>0.1</v>
      </c>
      <c r="G621" s="63" t="s">
        <v>6</v>
      </c>
      <c r="H621" s="63" t="s">
        <v>4</v>
      </c>
      <c r="I621" s="63">
        <v>300</v>
      </c>
      <c r="J621" s="63">
        <v>1000</v>
      </c>
      <c r="K621" s="63" t="s">
        <v>10</v>
      </c>
      <c r="L621" s="63">
        <v>46</v>
      </c>
      <c r="M621" s="63">
        <v>17.03</v>
      </c>
      <c r="N621" s="63">
        <v>21.972000000000001</v>
      </c>
      <c r="O621" s="64">
        <v>17.247</v>
      </c>
    </row>
    <row r="622" spans="1:15" x14ac:dyDescent="0.25">
      <c r="A622" s="114" t="s">
        <v>2304</v>
      </c>
      <c r="B622" s="63" t="s">
        <v>52</v>
      </c>
      <c r="C622" s="63" t="s">
        <v>8</v>
      </c>
      <c r="D622" s="63">
        <v>10</v>
      </c>
      <c r="E622" s="63">
        <v>20</v>
      </c>
      <c r="F622" s="63">
        <v>0.1</v>
      </c>
      <c r="G622" s="63" t="s">
        <v>6</v>
      </c>
      <c r="H622" s="63" t="s">
        <v>4</v>
      </c>
      <c r="I622" s="63">
        <v>300</v>
      </c>
      <c r="J622" s="63">
        <v>1000</v>
      </c>
      <c r="K622" s="63" t="s">
        <v>10</v>
      </c>
      <c r="L622" s="63">
        <v>25.324999999999999</v>
      </c>
      <c r="M622" s="63">
        <v>16.908000000000001</v>
      </c>
      <c r="N622" s="63">
        <v>25.323</v>
      </c>
      <c r="O622" s="64">
        <v>16.908000000000001</v>
      </c>
    </row>
    <row r="623" spans="1:15" x14ac:dyDescent="0.25">
      <c r="A623" s="114" t="s">
        <v>2305</v>
      </c>
      <c r="B623" s="63" t="s">
        <v>52</v>
      </c>
      <c r="C623" s="63" t="s">
        <v>8</v>
      </c>
      <c r="D623" s="63">
        <v>20</v>
      </c>
      <c r="E623" s="63">
        <v>100</v>
      </c>
      <c r="F623" s="63">
        <v>0.1</v>
      </c>
      <c r="G623" s="63" t="s">
        <v>6</v>
      </c>
      <c r="H623" s="63" t="s">
        <v>4</v>
      </c>
      <c r="I623" s="63">
        <v>1E-3</v>
      </c>
      <c r="J623" s="63">
        <v>0.04</v>
      </c>
      <c r="K623" s="63" t="s">
        <v>10</v>
      </c>
      <c r="L623" s="63">
        <v>57.057000000000002</v>
      </c>
      <c r="M623" s="63">
        <v>7.0854E-2</v>
      </c>
      <c r="N623" s="63">
        <v>57.055999999999997</v>
      </c>
      <c r="O623" s="64">
        <v>7.0818999999999993E-2</v>
      </c>
    </row>
    <row r="624" spans="1:15" x14ac:dyDescent="0.25">
      <c r="A624" s="114" t="s">
        <v>1184</v>
      </c>
      <c r="B624" s="63" t="s">
        <v>52</v>
      </c>
      <c r="C624" s="63" t="s">
        <v>8</v>
      </c>
      <c r="D624" s="63">
        <v>20</v>
      </c>
      <c r="E624" s="63">
        <v>100</v>
      </c>
      <c r="F624" s="63">
        <v>0.1</v>
      </c>
      <c r="G624" s="63" t="s">
        <v>6</v>
      </c>
      <c r="H624" s="63" t="s">
        <v>4</v>
      </c>
      <c r="I624" s="63">
        <v>0.04</v>
      </c>
      <c r="J624" s="63">
        <v>1</v>
      </c>
      <c r="K624" s="63" t="s">
        <v>10</v>
      </c>
      <c r="L624" s="63">
        <v>56.896000000000001</v>
      </c>
      <c r="M624" s="63">
        <v>6.2831999999999999E-2</v>
      </c>
      <c r="N624" s="63">
        <v>56.895000000000003</v>
      </c>
      <c r="O624" s="64">
        <v>6.2796000000000005E-2</v>
      </c>
    </row>
    <row r="625" spans="1:15" x14ac:dyDescent="0.25">
      <c r="A625" s="114" t="s">
        <v>1186</v>
      </c>
      <c r="B625" s="63" t="s">
        <v>52</v>
      </c>
      <c r="C625" s="63" t="s">
        <v>8</v>
      </c>
      <c r="D625" s="63">
        <v>20</v>
      </c>
      <c r="E625" s="63">
        <v>100</v>
      </c>
      <c r="F625" s="63">
        <v>0.1</v>
      </c>
      <c r="G625" s="63" t="s">
        <v>6</v>
      </c>
      <c r="H625" s="63" t="s">
        <v>4</v>
      </c>
      <c r="I625" s="63">
        <v>1</v>
      </c>
      <c r="J625" s="63">
        <v>20</v>
      </c>
      <c r="K625" s="63" t="s">
        <v>10</v>
      </c>
      <c r="L625" s="63">
        <v>57.594000000000001</v>
      </c>
      <c r="M625" s="63">
        <v>5.5849999999999997E-2</v>
      </c>
      <c r="N625" s="63">
        <v>57.591999999999999</v>
      </c>
      <c r="O625" s="64">
        <v>5.5819000000000001E-2</v>
      </c>
    </row>
    <row r="626" spans="1:15" x14ac:dyDescent="0.25">
      <c r="A626" s="114" t="s">
        <v>1185</v>
      </c>
      <c r="B626" s="63" t="s">
        <v>52</v>
      </c>
      <c r="C626" s="63" t="s">
        <v>8</v>
      </c>
      <c r="D626" s="63">
        <v>20</v>
      </c>
      <c r="E626" s="63">
        <v>100</v>
      </c>
      <c r="F626" s="63">
        <v>0.1</v>
      </c>
      <c r="G626" s="63" t="s">
        <v>6</v>
      </c>
      <c r="H626" s="63" t="s">
        <v>4</v>
      </c>
      <c r="I626" s="63">
        <v>20</v>
      </c>
      <c r="J626" s="63">
        <v>50</v>
      </c>
      <c r="K626" s="63" t="s">
        <v>10</v>
      </c>
      <c r="L626" s="63">
        <v>57.162999999999997</v>
      </c>
      <c r="M626" s="63">
        <v>0.15068999999999999</v>
      </c>
      <c r="N626" s="63">
        <v>57.158999999999999</v>
      </c>
      <c r="O626" s="64">
        <v>0.15056</v>
      </c>
    </row>
    <row r="627" spans="1:15" x14ac:dyDescent="0.25">
      <c r="A627" s="114" t="s">
        <v>1187</v>
      </c>
      <c r="B627" s="63" t="s">
        <v>52</v>
      </c>
      <c r="C627" s="63" t="s">
        <v>8</v>
      </c>
      <c r="D627" s="63">
        <v>20</v>
      </c>
      <c r="E627" s="63">
        <v>100</v>
      </c>
      <c r="F627" s="63">
        <v>0.1</v>
      </c>
      <c r="G627" s="63" t="s">
        <v>6</v>
      </c>
      <c r="H627" s="63" t="s">
        <v>4</v>
      </c>
      <c r="I627" s="63">
        <v>50</v>
      </c>
      <c r="J627" s="63">
        <v>100</v>
      </c>
      <c r="K627" s="63" t="s">
        <v>10</v>
      </c>
      <c r="L627" s="63">
        <v>55.390999999999998</v>
      </c>
      <c r="M627" s="63">
        <v>0.97270000000000001</v>
      </c>
      <c r="N627" s="63">
        <v>55.372999999999998</v>
      </c>
      <c r="O627" s="64">
        <v>0.97270000000000001</v>
      </c>
    </row>
    <row r="628" spans="1:15" x14ac:dyDescent="0.25">
      <c r="A628" s="114" t="s">
        <v>1212</v>
      </c>
      <c r="B628" s="63" t="s">
        <v>52</v>
      </c>
      <c r="C628" s="63" t="s">
        <v>8</v>
      </c>
      <c r="D628" s="63">
        <v>100</v>
      </c>
      <c r="E628" s="63">
        <v>330</v>
      </c>
      <c r="F628" s="63">
        <v>0.1</v>
      </c>
      <c r="G628" s="63" t="s">
        <v>6</v>
      </c>
      <c r="H628" s="63" t="s">
        <v>4</v>
      </c>
      <c r="I628" s="63">
        <v>1E-3</v>
      </c>
      <c r="J628" s="63">
        <v>0.04</v>
      </c>
      <c r="K628" s="63" t="s">
        <v>10</v>
      </c>
      <c r="L628" s="63">
        <v>66.331999999999994</v>
      </c>
      <c r="M628" s="63">
        <v>0.42712</v>
      </c>
      <c r="N628" s="63">
        <v>66.293999999999997</v>
      </c>
      <c r="O628" s="64">
        <v>0.42698000000000003</v>
      </c>
    </row>
    <row r="629" spans="1:15" x14ac:dyDescent="0.25">
      <c r="A629" s="114" t="s">
        <v>1213</v>
      </c>
      <c r="B629" s="63" t="s">
        <v>52</v>
      </c>
      <c r="C629" s="63" t="s">
        <v>8</v>
      </c>
      <c r="D629" s="63">
        <v>100</v>
      </c>
      <c r="E629" s="63">
        <v>330</v>
      </c>
      <c r="F629" s="63">
        <v>0.1</v>
      </c>
      <c r="G629" s="63" t="s">
        <v>6</v>
      </c>
      <c r="H629" s="63" t="s">
        <v>4</v>
      </c>
      <c r="I629" s="63">
        <v>0.04</v>
      </c>
      <c r="J629" s="63">
        <v>1</v>
      </c>
      <c r="K629" s="63" t="s">
        <v>10</v>
      </c>
      <c r="L629" s="63">
        <v>49.031999999999996</v>
      </c>
      <c r="M629" s="63">
        <v>0.41284999999999999</v>
      </c>
      <c r="N629" s="63">
        <v>48.982999999999997</v>
      </c>
      <c r="O629" s="64">
        <v>0.41271000000000002</v>
      </c>
    </row>
    <row r="630" spans="1:15" x14ac:dyDescent="0.25">
      <c r="A630" s="114" t="s">
        <v>1210</v>
      </c>
      <c r="B630" s="63" t="s">
        <v>52</v>
      </c>
      <c r="C630" s="63" t="s">
        <v>8</v>
      </c>
      <c r="D630" s="63">
        <v>100</v>
      </c>
      <c r="E630" s="63">
        <v>330</v>
      </c>
      <c r="F630" s="63">
        <v>0.1</v>
      </c>
      <c r="G630" s="63" t="s">
        <v>6</v>
      </c>
      <c r="H630" s="63" t="s">
        <v>4</v>
      </c>
      <c r="I630" s="63">
        <v>1</v>
      </c>
      <c r="J630" s="63">
        <v>20</v>
      </c>
      <c r="K630" s="63" t="s">
        <v>10</v>
      </c>
      <c r="L630" s="63">
        <v>44.082999999999998</v>
      </c>
      <c r="M630" s="63">
        <v>0.65012000000000003</v>
      </c>
      <c r="N630" s="63">
        <v>43.963000000000001</v>
      </c>
      <c r="O630" s="64">
        <v>0.65027999999999997</v>
      </c>
    </row>
    <row r="631" spans="1:15" x14ac:dyDescent="0.25">
      <c r="A631" s="114" t="s">
        <v>1208</v>
      </c>
      <c r="B631" s="63" t="s">
        <v>52</v>
      </c>
      <c r="C631" s="63" t="s">
        <v>8</v>
      </c>
      <c r="D631" s="63">
        <v>100</v>
      </c>
      <c r="E631" s="63">
        <v>1000</v>
      </c>
      <c r="F631" s="63">
        <v>0.1</v>
      </c>
      <c r="G631" s="63" t="s">
        <v>6</v>
      </c>
      <c r="H631" s="63" t="s">
        <v>4</v>
      </c>
      <c r="I631" s="63">
        <v>1</v>
      </c>
      <c r="J631" s="63">
        <v>20</v>
      </c>
      <c r="K631" s="63" t="s">
        <v>10</v>
      </c>
      <c r="L631" s="63">
        <v>40.883000000000003</v>
      </c>
      <c r="M631" s="63">
        <v>0.68211999999999995</v>
      </c>
      <c r="N631" s="63">
        <v>41.185000000000002</v>
      </c>
      <c r="O631" s="64">
        <v>0.67806</v>
      </c>
    </row>
    <row r="632" spans="1:15" x14ac:dyDescent="0.25">
      <c r="A632" s="114" t="s">
        <v>1214</v>
      </c>
      <c r="B632" s="63" t="s">
        <v>52</v>
      </c>
      <c r="C632" s="63" t="s">
        <v>8</v>
      </c>
      <c r="D632" s="63">
        <v>100</v>
      </c>
      <c r="E632" s="63">
        <v>330</v>
      </c>
      <c r="F632" s="63">
        <v>0.1</v>
      </c>
      <c r="G632" s="63" t="s">
        <v>6</v>
      </c>
      <c r="H632" s="63" t="s">
        <v>4</v>
      </c>
      <c r="I632" s="63">
        <v>20</v>
      </c>
      <c r="J632" s="63">
        <v>50</v>
      </c>
      <c r="K632" s="63" t="s">
        <v>10</v>
      </c>
      <c r="L632" s="63">
        <v>35.929000000000002</v>
      </c>
      <c r="M632" s="63">
        <v>1.3608</v>
      </c>
      <c r="N632" s="63">
        <v>35.878</v>
      </c>
      <c r="O632" s="64">
        <v>1.3594999999999999</v>
      </c>
    </row>
    <row r="633" spans="1:15" x14ac:dyDescent="0.25">
      <c r="A633" s="114" t="s">
        <v>1211</v>
      </c>
      <c r="B633" s="63" t="s">
        <v>52</v>
      </c>
      <c r="C633" s="63" t="s">
        <v>8</v>
      </c>
      <c r="D633" s="63">
        <v>100</v>
      </c>
      <c r="E633" s="63">
        <v>1000</v>
      </c>
      <c r="F633" s="63">
        <v>0.1</v>
      </c>
      <c r="G633" s="63" t="s">
        <v>6</v>
      </c>
      <c r="H633" s="63" t="s">
        <v>4</v>
      </c>
      <c r="I633" s="63">
        <v>20</v>
      </c>
      <c r="J633" s="63">
        <v>50</v>
      </c>
      <c r="K633" s="63" t="s">
        <v>10</v>
      </c>
      <c r="L633" s="63">
        <v>33.01</v>
      </c>
      <c r="M633" s="63">
        <v>1.39</v>
      </c>
      <c r="N633" s="63">
        <v>33.875</v>
      </c>
      <c r="O633" s="64">
        <v>1.3797999999999999</v>
      </c>
    </row>
    <row r="634" spans="1:15" x14ac:dyDescent="0.25">
      <c r="A634" s="114" t="s">
        <v>2306</v>
      </c>
      <c r="B634" s="63" t="s">
        <v>52</v>
      </c>
      <c r="C634" s="63" t="s">
        <v>8</v>
      </c>
      <c r="D634" s="63">
        <v>100</v>
      </c>
      <c r="E634" s="63">
        <v>1000</v>
      </c>
      <c r="F634" s="63">
        <v>0.1</v>
      </c>
      <c r="G634" s="63" t="s">
        <v>6</v>
      </c>
      <c r="H634" s="63" t="s">
        <v>4</v>
      </c>
      <c r="I634" s="63">
        <v>50</v>
      </c>
      <c r="J634" s="63">
        <v>100</v>
      </c>
      <c r="K634" s="63" t="s">
        <v>10</v>
      </c>
      <c r="L634" s="63">
        <v>24.483000000000001</v>
      </c>
      <c r="M634" s="63">
        <v>3.4984999999999999</v>
      </c>
      <c r="N634" s="63">
        <v>28.03</v>
      </c>
      <c r="O634" s="64">
        <v>3.4611999999999998</v>
      </c>
    </row>
    <row r="635" spans="1:15" x14ac:dyDescent="0.25">
      <c r="A635" s="114" t="s">
        <v>1209</v>
      </c>
      <c r="B635" s="63" t="s">
        <v>52</v>
      </c>
      <c r="C635" s="63" t="s">
        <v>8</v>
      </c>
      <c r="D635" s="63">
        <v>100</v>
      </c>
      <c r="E635" s="63">
        <v>330</v>
      </c>
      <c r="F635" s="63">
        <v>0.1</v>
      </c>
      <c r="G635" s="63" t="s">
        <v>6</v>
      </c>
      <c r="H635" s="63" t="s">
        <v>4</v>
      </c>
      <c r="I635" s="63">
        <v>50</v>
      </c>
      <c r="J635" s="63">
        <v>100</v>
      </c>
      <c r="K635" s="63" t="s">
        <v>10</v>
      </c>
      <c r="L635" s="63">
        <v>24.914000000000001</v>
      </c>
      <c r="M635" s="63">
        <v>3.4942000000000002</v>
      </c>
      <c r="N635" s="63">
        <v>28.927</v>
      </c>
      <c r="O635" s="64">
        <v>3.4523000000000001</v>
      </c>
    </row>
    <row r="636" spans="1:15" x14ac:dyDescent="0.25">
      <c r="A636" s="114" t="s">
        <v>1228</v>
      </c>
      <c r="B636" s="63" t="s">
        <v>52</v>
      </c>
      <c r="C636" s="63" t="s">
        <v>8</v>
      </c>
      <c r="D636" s="63">
        <v>330</v>
      </c>
      <c r="E636" s="63">
        <v>1000</v>
      </c>
      <c r="F636" s="63">
        <v>0.1</v>
      </c>
      <c r="G636" s="63" t="s">
        <v>6</v>
      </c>
      <c r="H636" s="63" t="s">
        <v>4</v>
      </c>
      <c r="I636" s="63">
        <v>1E-3</v>
      </c>
      <c r="J636" s="63">
        <v>0.04</v>
      </c>
      <c r="K636" s="63" t="s">
        <v>10</v>
      </c>
      <c r="L636" s="63">
        <v>64.183999999999997</v>
      </c>
      <c r="M636" s="63">
        <v>0.4486</v>
      </c>
      <c r="N636" s="63">
        <v>64.129000000000005</v>
      </c>
      <c r="O636" s="64">
        <v>0.44862000000000002</v>
      </c>
    </row>
    <row r="637" spans="1:15" x14ac:dyDescent="0.25">
      <c r="A637" s="114" t="s">
        <v>1229</v>
      </c>
      <c r="B637" s="63" t="s">
        <v>52</v>
      </c>
      <c r="C637" s="63" t="s">
        <v>8</v>
      </c>
      <c r="D637" s="63">
        <v>330</v>
      </c>
      <c r="E637" s="63">
        <v>1000</v>
      </c>
      <c r="F637" s="63">
        <v>0.1</v>
      </c>
      <c r="G637" s="63" t="s">
        <v>6</v>
      </c>
      <c r="H637" s="63" t="s">
        <v>4</v>
      </c>
      <c r="I637" s="63">
        <v>0.04</v>
      </c>
      <c r="J637" s="63">
        <v>1</v>
      </c>
      <c r="K637" s="63" t="s">
        <v>10</v>
      </c>
      <c r="L637" s="63">
        <v>45.920999999999999</v>
      </c>
      <c r="M637" s="63">
        <v>0.44399</v>
      </c>
      <c r="N637" s="63">
        <v>45.854999999999997</v>
      </c>
      <c r="O637" s="64">
        <v>0.44402000000000003</v>
      </c>
    </row>
    <row r="638" spans="1:15" x14ac:dyDescent="0.25">
      <c r="A638" s="114" t="s">
        <v>1227</v>
      </c>
      <c r="B638" s="63" t="s">
        <v>52</v>
      </c>
      <c r="C638" s="63" t="s">
        <v>8</v>
      </c>
      <c r="D638" s="63">
        <v>330</v>
      </c>
      <c r="E638" s="63">
        <v>1000</v>
      </c>
      <c r="F638" s="63">
        <v>0.1</v>
      </c>
      <c r="G638" s="63" t="s">
        <v>6</v>
      </c>
      <c r="H638" s="63" t="s">
        <v>4</v>
      </c>
      <c r="I638" s="63">
        <v>1</v>
      </c>
      <c r="J638" s="63">
        <v>10</v>
      </c>
      <c r="K638" s="63" t="s">
        <v>10</v>
      </c>
      <c r="L638" s="63">
        <v>40.883000000000003</v>
      </c>
      <c r="M638" s="63">
        <v>0.68211999999999995</v>
      </c>
      <c r="N638" s="63">
        <v>41.185000000000002</v>
      </c>
      <c r="O638" s="64">
        <v>0.67806</v>
      </c>
    </row>
    <row r="639" spans="1:15" x14ac:dyDescent="0.25">
      <c r="A639" s="114" t="s">
        <v>981</v>
      </c>
      <c r="B639" s="63" t="s">
        <v>52</v>
      </c>
      <c r="C639" s="63" t="s">
        <v>8</v>
      </c>
      <c r="D639" s="63">
        <v>0</v>
      </c>
      <c r="E639" s="63">
        <v>0.01</v>
      </c>
      <c r="F639" s="63">
        <v>1</v>
      </c>
      <c r="G639" s="63" t="s">
        <v>6</v>
      </c>
      <c r="H639" s="63" t="s">
        <v>5</v>
      </c>
      <c r="I639" s="63">
        <v>1000</v>
      </c>
      <c r="J639" s="63">
        <v>4000</v>
      </c>
      <c r="K639" s="63" t="s">
        <v>10</v>
      </c>
      <c r="L639" s="63">
        <v>577360</v>
      </c>
      <c r="M639" s="63">
        <v>59.02</v>
      </c>
      <c r="N639" s="63">
        <v>577350</v>
      </c>
      <c r="O639" s="64">
        <v>58.277999999999999</v>
      </c>
    </row>
    <row r="640" spans="1:15" x14ac:dyDescent="0.25">
      <c r="A640" s="114" t="s">
        <v>982</v>
      </c>
      <c r="B640" s="63" t="s">
        <v>52</v>
      </c>
      <c r="C640" s="63" t="s">
        <v>8</v>
      </c>
      <c r="D640" s="63">
        <v>0</v>
      </c>
      <c r="E640" s="63">
        <v>0.01</v>
      </c>
      <c r="F640" s="63">
        <v>1</v>
      </c>
      <c r="G640" s="63" t="s">
        <v>6</v>
      </c>
      <c r="H640" s="63" t="s">
        <v>5</v>
      </c>
      <c r="I640" s="63">
        <v>4000</v>
      </c>
      <c r="J640" s="63">
        <v>8000</v>
      </c>
      <c r="K640" s="63" t="s">
        <v>10</v>
      </c>
      <c r="L640" s="63">
        <v>577360</v>
      </c>
      <c r="M640" s="63">
        <v>471.57</v>
      </c>
      <c r="N640" s="63">
        <v>577330</v>
      </c>
      <c r="O640" s="64">
        <v>470.19</v>
      </c>
    </row>
    <row r="641" spans="1:15" x14ac:dyDescent="0.25">
      <c r="A641" s="114" t="s">
        <v>1164</v>
      </c>
      <c r="B641" s="63" t="s">
        <v>52</v>
      </c>
      <c r="C641" s="63" t="s">
        <v>8</v>
      </c>
      <c r="D641" s="63">
        <v>10</v>
      </c>
      <c r="E641" s="63">
        <v>20</v>
      </c>
      <c r="F641" s="63">
        <v>1</v>
      </c>
      <c r="G641" s="63" t="s">
        <v>6</v>
      </c>
      <c r="H641" s="63" t="s">
        <v>4</v>
      </c>
      <c r="I641" s="63">
        <v>1E-3</v>
      </c>
      <c r="J641" s="63">
        <v>0.04</v>
      </c>
      <c r="K641" s="63" t="s">
        <v>10</v>
      </c>
      <c r="L641" s="63">
        <v>577.36</v>
      </c>
      <c r="M641" s="63">
        <v>3.4030000000000002E-3</v>
      </c>
      <c r="N641" s="63">
        <v>577.07000000000005</v>
      </c>
      <c r="O641" s="64">
        <v>3.2721999999999998E-3</v>
      </c>
    </row>
    <row r="642" spans="1:15" x14ac:dyDescent="0.25">
      <c r="A642" s="114" t="s">
        <v>1167</v>
      </c>
      <c r="B642" s="63" t="s">
        <v>52</v>
      </c>
      <c r="C642" s="63" t="s">
        <v>8</v>
      </c>
      <c r="D642" s="63">
        <v>10</v>
      </c>
      <c r="E642" s="63">
        <v>20</v>
      </c>
      <c r="F642" s="63">
        <v>1</v>
      </c>
      <c r="G642" s="63" t="s">
        <v>6</v>
      </c>
      <c r="H642" s="63" t="s">
        <v>4</v>
      </c>
      <c r="I642" s="63">
        <v>0.04</v>
      </c>
      <c r="J642" s="63">
        <v>1</v>
      </c>
      <c r="K642" s="63" t="s">
        <v>10</v>
      </c>
      <c r="L642" s="63">
        <v>577.35</v>
      </c>
      <c r="M642" s="63">
        <v>2.4694999999999999E-3</v>
      </c>
      <c r="N642" s="63">
        <v>577.14</v>
      </c>
      <c r="O642" s="64">
        <v>2.3387E-3</v>
      </c>
    </row>
    <row r="643" spans="1:15" x14ac:dyDescent="0.25">
      <c r="A643" s="114" t="s">
        <v>1162</v>
      </c>
      <c r="B643" s="63" t="s">
        <v>52</v>
      </c>
      <c r="C643" s="63" t="s">
        <v>8</v>
      </c>
      <c r="D643" s="63">
        <v>10</v>
      </c>
      <c r="E643" s="63">
        <v>20</v>
      </c>
      <c r="F643" s="63">
        <v>1</v>
      </c>
      <c r="G643" s="63" t="s">
        <v>6</v>
      </c>
      <c r="H643" s="63" t="s">
        <v>4</v>
      </c>
      <c r="I643" s="63">
        <v>1</v>
      </c>
      <c r="J643" s="63">
        <v>20</v>
      </c>
      <c r="K643" s="63" t="s">
        <v>10</v>
      </c>
      <c r="L643" s="63">
        <v>577.35</v>
      </c>
      <c r="M643" s="63">
        <v>2.4694999999999999E-3</v>
      </c>
      <c r="N643" s="63">
        <v>577.14</v>
      </c>
      <c r="O643" s="64">
        <v>2.3387E-3</v>
      </c>
    </row>
    <row r="644" spans="1:15" x14ac:dyDescent="0.25">
      <c r="A644" s="114" t="s">
        <v>1165</v>
      </c>
      <c r="B644" s="63" t="s">
        <v>52</v>
      </c>
      <c r="C644" s="63" t="s">
        <v>8</v>
      </c>
      <c r="D644" s="63">
        <v>10</v>
      </c>
      <c r="E644" s="63">
        <v>20</v>
      </c>
      <c r="F644" s="63">
        <v>1</v>
      </c>
      <c r="G644" s="63" t="s">
        <v>6</v>
      </c>
      <c r="H644" s="63" t="s">
        <v>4</v>
      </c>
      <c r="I644" s="63">
        <v>20</v>
      </c>
      <c r="J644" s="63">
        <v>50</v>
      </c>
      <c r="K644" s="63" t="s">
        <v>10</v>
      </c>
      <c r="L644" s="63">
        <v>577.33000000000004</v>
      </c>
      <c r="M644" s="63">
        <v>6.1608000000000001E-3</v>
      </c>
      <c r="N644" s="63">
        <v>576.79999999999995</v>
      </c>
      <c r="O644" s="64">
        <v>5.9565E-3</v>
      </c>
    </row>
    <row r="645" spans="1:15" x14ac:dyDescent="0.25">
      <c r="A645" s="114" t="s">
        <v>1166</v>
      </c>
      <c r="B645" s="63" t="s">
        <v>52</v>
      </c>
      <c r="C645" s="63" t="s">
        <v>8</v>
      </c>
      <c r="D645" s="63">
        <v>10</v>
      </c>
      <c r="E645" s="63">
        <v>20</v>
      </c>
      <c r="F645" s="63">
        <v>1</v>
      </c>
      <c r="G645" s="63" t="s">
        <v>6</v>
      </c>
      <c r="H645" s="63" t="s">
        <v>4</v>
      </c>
      <c r="I645" s="63">
        <v>50</v>
      </c>
      <c r="J645" s="63">
        <v>100</v>
      </c>
      <c r="K645" s="63" t="s">
        <v>10</v>
      </c>
      <c r="L645" s="63">
        <v>577.03</v>
      </c>
      <c r="M645" s="63">
        <v>5.5989999999999998E-2</v>
      </c>
      <c r="N645" s="63">
        <v>572.42999999999995</v>
      </c>
      <c r="O645" s="64">
        <v>5.5786000000000002E-2</v>
      </c>
    </row>
    <row r="646" spans="1:15" x14ac:dyDescent="0.25">
      <c r="A646" s="114" t="s">
        <v>2307</v>
      </c>
      <c r="B646" s="63" t="s">
        <v>52</v>
      </c>
      <c r="C646" s="63" t="s">
        <v>8</v>
      </c>
      <c r="D646" s="63">
        <v>10</v>
      </c>
      <c r="E646" s="63">
        <v>100</v>
      </c>
      <c r="F646" s="63">
        <v>1</v>
      </c>
      <c r="G646" s="63" t="s">
        <v>6</v>
      </c>
      <c r="H646" s="63" t="s">
        <v>4</v>
      </c>
      <c r="I646" s="63">
        <v>100</v>
      </c>
      <c r="J646" s="63">
        <v>300</v>
      </c>
      <c r="K646" s="63" t="s">
        <v>10</v>
      </c>
      <c r="L646" s="63">
        <v>561.72</v>
      </c>
      <c r="M646" s="63">
        <v>1.8549</v>
      </c>
      <c r="N646" s="63">
        <v>536.24</v>
      </c>
      <c r="O646" s="64">
        <v>1.8547</v>
      </c>
    </row>
    <row r="647" spans="1:15" x14ac:dyDescent="0.25">
      <c r="A647" s="114" t="s">
        <v>1163</v>
      </c>
      <c r="B647" s="63" t="s">
        <v>52</v>
      </c>
      <c r="C647" s="63" t="s">
        <v>8</v>
      </c>
      <c r="D647" s="63">
        <v>10</v>
      </c>
      <c r="E647" s="63">
        <v>20</v>
      </c>
      <c r="F647" s="63">
        <v>1</v>
      </c>
      <c r="G647" s="63" t="s">
        <v>6</v>
      </c>
      <c r="H647" s="63" t="s">
        <v>4</v>
      </c>
      <c r="I647" s="63">
        <v>100</v>
      </c>
      <c r="J647" s="63">
        <v>300</v>
      </c>
      <c r="K647" s="63" t="s">
        <v>10</v>
      </c>
      <c r="L647" s="63">
        <v>573.82000000000005</v>
      </c>
      <c r="M647" s="63">
        <v>0.64234000000000002</v>
      </c>
      <c r="N647" s="63">
        <v>542.91999999999996</v>
      </c>
      <c r="O647" s="64">
        <v>0.64214000000000004</v>
      </c>
    </row>
    <row r="648" spans="1:15" x14ac:dyDescent="0.25">
      <c r="A648" s="114" t="s">
        <v>2308</v>
      </c>
      <c r="B648" s="63" t="s">
        <v>52</v>
      </c>
      <c r="C648" s="63" t="s">
        <v>8</v>
      </c>
      <c r="D648" s="63">
        <v>10</v>
      </c>
      <c r="E648" s="63">
        <v>20</v>
      </c>
      <c r="F648" s="63">
        <v>1</v>
      </c>
      <c r="G648" s="63" t="s">
        <v>6</v>
      </c>
      <c r="H648" s="63" t="s">
        <v>4</v>
      </c>
      <c r="I648" s="63">
        <v>300</v>
      </c>
      <c r="J648" s="63">
        <v>1000</v>
      </c>
      <c r="K648" s="63" t="s">
        <v>10</v>
      </c>
      <c r="L648" s="63">
        <v>533.13</v>
      </c>
      <c r="M648" s="63">
        <v>7.3338000000000001</v>
      </c>
      <c r="N648" s="63">
        <v>437.38</v>
      </c>
      <c r="O648" s="64">
        <v>7.3335999999999997</v>
      </c>
    </row>
    <row r="649" spans="1:15" x14ac:dyDescent="0.25">
      <c r="A649" s="114" t="s">
        <v>1161</v>
      </c>
      <c r="B649" s="63" t="s">
        <v>52</v>
      </c>
      <c r="C649" s="63" t="s">
        <v>8</v>
      </c>
      <c r="D649" s="63">
        <v>10</v>
      </c>
      <c r="E649" s="63">
        <v>100</v>
      </c>
      <c r="F649" s="63">
        <v>1</v>
      </c>
      <c r="G649" s="63" t="s">
        <v>6</v>
      </c>
      <c r="H649" s="63" t="s">
        <v>4</v>
      </c>
      <c r="I649" s="63">
        <v>300</v>
      </c>
      <c r="J649" s="63">
        <v>1000</v>
      </c>
      <c r="K649" s="63" t="s">
        <v>10</v>
      </c>
      <c r="L649" s="63">
        <v>469.61</v>
      </c>
      <c r="M649" s="63">
        <v>13.691000000000001</v>
      </c>
      <c r="N649" s="63">
        <v>433.99</v>
      </c>
      <c r="O649" s="64">
        <v>13.692</v>
      </c>
    </row>
    <row r="650" spans="1:15" x14ac:dyDescent="0.25">
      <c r="A650" s="114" t="s">
        <v>1190</v>
      </c>
      <c r="B650" s="63" t="s">
        <v>52</v>
      </c>
      <c r="C650" s="63" t="s">
        <v>8</v>
      </c>
      <c r="D650" s="63">
        <v>20</v>
      </c>
      <c r="E650" s="63">
        <v>100</v>
      </c>
      <c r="F650" s="63">
        <v>1</v>
      </c>
      <c r="G650" s="63" t="s">
        <v>6</v>
      </c>
      <c r="H650" s="63" t="s">
        <v>4</v>
      </c>
      <c r="I650" s="63">
        <v>1E-3</v>
      </c>
      <c r="J650" s="63">
        <v>0.04</v>
      </c>
      <c r="K650" s="63" t="s">
        <v>10</v>
      </c>
      <c r="L650" s="63">
        <v>577.28</v>
      </c>
      <c r="M650" s="63">
        <v>7.5312E-3</v>
      </c>
      <c r="N650" s="63">
        <v>576.01</v>
      </c>
      <c r="O650" s="64">
        <v>7.5148999999999997E-3</v>
      </c>
    </row>
    <row r="651" spans="1:15" x14ac:dyDescent="0.25">
      <c r="A651" s="114" t="s">
        <v>2309</v>
      </c>
      <c r="B651" s="63" t="s">
        <v>52</v>
      </c>
      <c r="C651" s="63" t="s">
        <v>8</v>
      </c>
      <c r="D651" s="63">
        <v>20</v>
      </c>
      <c r="E651" s="63">
        <v>100</v>
      </c>
      <c r="F651" s="63">
        <v>1</v>
      </c>
      <c r="G651" s="63" t="s">
        <v>6</v>
      </c>
      <c r="H651" s="63" t="s">
        <v>4</v>
      </c>
      <c r="I651" s="63">
        <v>0.04</v>
      </c>
      <c r="J651" s="63">
        <v>1</v>
      </c>
      <c r="K651" s="63" t="s">
        <v>10</v>
      </c>
      <c r="L651" s="63">
        <v>577.27</v>
      </c>
      <c r="M651" s="63">
        <v>6.6108E-3</v>
      </c>
      <c r="N651" s="63">
        <v>576.14</v>
      </c>
      <c r="O651" s="64">
        <v>6.5944999999999997E-3</v>
      </c>
    </row>
    <row r="652" spans="1:15" x14ac:dyDescent="0.25">
      <c r="A652" s="114" t="s">
        <v>1189</v>
      </c>
      <c r="B652" s="63" t="s">
        <v>52</v>
      </c>
      <c r="C652" s="63" t="s">
        <v>8</v>
      </c>
      <c r="D652" s="63">
        <v>20</v>
      </c>
      <c r="E652" s="63">
        <v>100</v>
      </c>
      <c r="F652" s="63">
        <v>1</v>
      </c>
      <c r="G652" s="63" t="s">
        <v>6</v>
      </c>
      <c r="H652" s="63" t="s">
        <v>4</v>
      </c>
      <c r="I652" s="63">
        <v>1</v>
      </c>
      <c r="J652" s="63">
        <v>20</v>
      </c>
      <c r="K652" s="63" t="s">
        <v>10</v>
      </c>
      <c r="L652" s="63">
        <v>577.34</v>
      </c>
      <c r="M652" s="63">
        <v>5.8763000000000001E-3</v>
      </c>
      <c r="N652" s="63">
        <v>576.84</v>
      </c>
      <c r="O652" s="64">
        <v>5.8618000000000003E-3</v>
      </c>
    </row>
    <row r="653" spans="1:15" x14ac:dyDescent="0.25">
      <c r="A653" s="114" t="s">
        <v>1188</v>
      </c>
      <c r="B653" s="63" t="s">
        <v>52</v>
      </c>
      <c r="C653" s="63" t="s">
        <v>8</v>
      </c>
      <c r="D653" s="63">
        <v>20</v>
      </c>
      <c r="E653" s="63">
        <v>100</v>
      </c>
      <c r="F653" s="63">
        <v>1</v>
      </c>
      <c r="G653" s="63" t="s">
        <v>6</v>
      </c>
      <c r="H653" s="63" t="s">
        <v>4</v>
      </c>
      <c r="I653" s="63">
        <v>20</v>
      </c>
      <c r="J653" s="63">
        <v>50</v>
      </c>
      <c r="K653" s="63" t="s">
        <v>10</v>
      </c>
      <c r="L653" s="63">
        <v>577.28</v>
      </c>
      <c r="M653" s="63">
        <v>1.7106E-2</v>
      </c>
      <c r="N653" s="63">
        <v>575.94000000000005</v>
      </c>
      <c r="O653" s="64">
        <v>1.704E-2</v>
      </c>
    </row>
    <row r="654" spans="1:15" x14ac:dyDescent="0.25">
      <c r="A654" s="114" t="s">
        <v>2310</v>
      </c>
      <c r="B654" s="63" t="s">
        <v>52</v>
      </c>
      <c r="C654" s="63" t="s">
        <v>8</v>
      </c>
      <c r="D654" s="63">
        <v>20</v>
      </c>
      <c r="E654" s="63">
        <v>100</v>
      </c>
      <c r="F654" s="63">
        <v>1</v>
      </c>
      <c r="G654" s="63" t="s">
        <v>6</v>
      </c>
      <c r="H654" s="63" t="s">
        <v>4</v>
      </c>
      <c r="I654" s="63">
        <v>50</v>
      </c>
      <c r="J654" s="63">
        <v>100</v>
      </c>
      <c r="K654" s="63" t="s">
        <v>10</v>
      </c>
      <c r="L654" s="63">
        <v>576.34</v>
      </c>
      <c r="M654" s="63">
        <v>0.18074999999999999</v>
      </c>
      <c r="N654" s="63">
        <v>568.41</v>
      </c>
      <c r="O654" s="64">
        <v>0.18063000000000001</v>
      </c>
    </row>
    <row r="655" spans="1:15" x14ac:dyDescent="0.25">
      <c r="A655" s="114" t="s">
        <v>1219</v>
      </c>
      <c r="B655" s="63" t="s">
        <v>52</v>
      </c>
      <c r="C655" s="63" t="s">
        <v>8</v>
      </c>
      <c r="D655" s="63">
        <v>100</v>
      </c>
      <c r="E655" s="63">
        <v>330</v>
      </c>
      <c r="F655" s="63">
        <v>1</v>
      </c>
      <c r="G655" s="63" t="s">
        <v>6</v>
      </c>
      <c r="H655" s="63" t="s">
        <v>4</v>
      </c>
      <c r="I655" s="63">
        <v>1E-3</v>
      </c>
      <c r="J655" s="63">
        <v>0.04</v>
      </c>
      <c r="K655" s="63" t="s">
        <v>10</v>
      </c>
      <c r="L655" s="63">
        <v>573.41999999999996</v>
      </c>
      <c r="M655" s="63">
        <v>0.11327</v>
      </c>
      <c r="N655" s="63">
        <v>573.41999999999996</v>
      </c>
      <c r="O655" s="64">
        <v>0.11294</v>
      </c>
    </row>
    <row r="656" spans="1:15" x14ac:dyDescent="0.25">
      <c r="A656" s="114" t="s">
        <v>2311</v>
      </c>
      <c r="B656" s="63" t="s">
        <v>52</v>
      </c>
      <c r="C656" s="63" t="s">
        <v>8</v>
      </c>
      <c r="D656" s="63">
        <v>100</v>
      </c>
      <c r="E656" s="63">
        <v>330</v>
      </c>
      <c r="F656" s="63">
        <v>1</v>
      </c>
      <c r="G656" s="63" t="s">
        <v>6</v>
      </c>
      <c r="H656" s="63" t="s">
        <v>4</v>
      </c>
      <c r="I656" s="63">
        <v>0.04</v>
      </c>
      <c r="J656" s="63">
        <v>1</v>
      </c>
      <c r="K656" s="63" t="s">
        <v>10</v>
      </c>
      <c r="L656" s="63">
        <v>571.91999999999996</v>
      </c>
      <c r="M656" s="63">
        <v>9.6252000000000004E-2</v>
      </c>
      <c r="N656" s="63">
        <v>571.91999999999996</v>
      </c>
      <c r="O656" s="64">
        <v>9.5921000000000006E-2</v>
      </c>
    </row>
    <row r="657" spans="1:15" x14ac:dyDescent="0.25">
      <c r="A657" s="114" t="s">
        <v>1218</v>
      </c>
      <c r="B657" s="63" t="s">
        <v>52</v>
      </c>
      <c r="C657" s="63" t="s">
        <v>8</v>
      </c>
      <c r="D657" s="63">
        <v>100</v>
      </c>
      <c r="E657" s="63">
        <v>330</v>
      </c>
      <c r="F657" s="63">
        <v>1</v>
      </c>
      <c r="G657" s="63" t="s">
        <v>6</v>
      </c>
      <c r="H657" s="63" t="s">
        <v>4</v>
      </c>
      <c r="I657" s="63">
        <v>1</v>
      </c>
      <c r="J657" s="63">
        <v>20</v>
      </c>
      <c r="K657" s="63" t="s">
        <v>10</v>
      </c>
      <c r="L657" s="63">
        <v>565.1</v>
      </c>
      <c r="M657" s="63">
        <v>0.19691</v>
      </c>
      <c r="N657" s="63">
        <v>565.03</v>
      </c>
      <c r="O657" s="64">
        <v>0.19677</v>
      </c>
    </row>
    <row r="658" spans="1:15" x14ac:dyDescent="0.25">
      <c r="A658" s="114" t="s">
        <v>1217</v>
      </c>
      <c r="B658" s="63" t="s">
        <v>52</v>
      </c>
      <c r="C658" s="63" t="s">
        <v>8</v>
      </c>
      <c r="D658" s="63">
        <v>100</v>
      </c>
      <c r="E658" s="63">
        <v>1000</v>
      </c>
      <c r="F658" s="63">
        <v>1</v>
      </c>
      <c r="G658" s="63" t="s">
        <v>6</v>
      </c>
      <c r="H658" s="63" t="s">
        <v>4</v>
      </c>
      <c r="I658" s="63">
        <v>1</v>
      </c>
      <c r="J658" s="63">
        <v>20</v>
      </c>
      <c r="K658" s="63" t="s">
        <v>10</v>
      </c>
      <c r="L658" s="63">
        <v>547.47</v>
      </c>
      <c r="M658" s="63">
        <v>0.37317</v>
      </c>
      <c r="N658" s="63">
        <v>547.4</v>
      </c>
      <c r="O658" s="64">
        <v>0.37309999999999999</v>
      </c>
    </row>
    <row r="659" spans="1:15" x14ac:dyDescent="0.25">
      <c r="A659" s="114" t="s">
        <v>1216</v>
      </c>
      <c r="B659" s="63" t="s">
        <v>52</v>
      </c>
      <c r="C659" s="63" t="s">
        <v>8</v>
      </c>
      <c r="D659" s="63">
        <v>100</v>
      </c>
      <c r="E659" s="63">
        <v>1000</v>
      </c>
      <c r="F659" s="63">
        <v>1</v>
      </c>
      <c r="G659" s="63" t="s">
        <v>6</v>
      </c>
      <c r="H659" s="63" t="s">
        <v>4</v>
      </c>
      <c r="I659" s="63">
        <v>20</v>
      </c>
      <c r="J659" s="63">
        <v>50</v>
      </c>
      <c r="K659" s="63" t="s">
        <v>10</v>
      </c>
      <c r="L659" s="63">
        <v>496.92</v>
      </c>
      <c r="M659" s="63">
        <v>1.0291999999999999</v>
      </c>
      <c r="N659" s="63">
        <v>496.68</v>
      </c>
      <c r="O659" s="64">
        <v>1.0293000000000001</v>
      </c>
    </row>
    <row r="660" spans="1:15" x14ac:dyDescent="0.25">
      <c r="A660" s="114" t="s">
        <v>2312</v>
      </c>
      <c r="B660" s="63" t="s">
        <v>52</v>
      </c>
      <c r="C660" s="63" t="s">
        <v>8</v>
      </c>
      <c r="D660" s="63">
        <v>100</v>
      </c>
      <c r="E660" s="63">
        <v>330</v>
      </c>
      <c r="F660" s="63">
        <v>1</v>
      </c>
      <c r="G660" s="63" t="s">
        <v>6</v>
      </c>
      <c r="H660" s="63" t="s">
        <v>4</v>
      </c>
      <c r="I660" s="63">
        <v>20</v>
      </c>
      <c r="J660" s="63">
        <v>50</v>
      </c>
      <c r="K660" s="63" t="s">
        <v>10</v>
      </c>
      <c r="L660" s="63">
        <v>533.77</v>
      </c>
      <c r="M660" s="63">
        <v>0.66047</v>
      </c>
      <c r="N660" s="63">
        <v>533.57000000000005</v>
      </c>
      <c r="O660" s="64">
        <v>0.66042000000000001</v>
      </c>
    </row>
    <row r="661" spans="1:15" x14ac:dyDescent="0.25">
      <c r="A661" s="114" t="s">
        <v>2313</v>
      </c>
      <c r="B661" s="63" t="s">
        <v>52</v>
      </c>
      <c r="C661" s="63" t="s">
        <v>8</v>
      </c>
      <c r="D661" s="63">
        <v>100</v>
      </c>
      <c r="E661" s="63">
        <v>1000</v>
      </c>
      <c r="F661" s="63">
        <v>1</v>
      </c>
      <c r="G661" s="63" t="s">
        <v>6</v>
      </c>
      <c r="H661" s="63" t="s">
        <v>4</v>
      </c>
      <c r="I661" s="63">
        <v>50</v>
      </c>
      <c r="J661" s="63">
        <v>100</v>
      </c>
      <c r="K661" s="63" t="s">
        <v>10</v>
      </c>
      <c r="L661" s="63">
        <v>369.25</v>
      </c>
      <c r="M661" s="63">
        <v>3.1671</v>
      </c>
      <c r="N661" s="63">
        <v>368.87</v>
      </c>
      <c r="O661" s="64">
        <v>3.1673</v>
      </c>
    </row>
    <row r="662" spans="1:15" x14ac:dyDescent="0.25">
      <c r="A662" s="114" t="s">
        <v>1215</v>
      </c>
      <c r="B662" s="63" t="s">
        <v>52</v>
      </c>
      <c r="C662" s="63" t="s">
        <v>8</v>
      </c>
      <c r="D662" s="63">
        <v>100</v>
      </c>
      <c r="E662" s="63">
        <v>330</v>
      </c>
      <c r="F662" s="63">
        <v>1</v>
      </c>
      <c r="G662" s="63" t="s">
        <v>6</v>
      </c>
      <c r="H662" s="63" t="s">
        <v>4</v>
      </c>
      <c r="I662" s="63">
        <v>50</v>
      </c>
      <c r="J662" s="63">
        <v>100</v>
      </c>
      <c r="K662" s="63" t="s">
        <v>10</v>
      </c>
      <c r="L662" s="63">
        <v>418.09</v>
      </c>
      <c r="M662" s="63">
        <v>2.6787000000000001</v>
      </c>
      <c r="N662" s="63">
        <v>417.63</v>
      </c>
      <c r="O662" s="64">
        <v>2.6793</v>
      </c>
    </row>
    <row r="663" spans="1:15" x14ac:dyDescent="0.25">
      <c r="A663" s="114" t="s">
        <v>2314</v>
      </c>
      <c r="B663" s="63" t="s">
        <v>52</v>
      </c>
      <c r="C663" s="63" t="s">
        <v>8</v>
      </c>
      <c r="D663" s="63">
        <v>330</v>
      </c>
      <c r="E663" s="63">
        <v>1000</v>
      </c>
      <c r="F663" s="63">
        <v>1</v>
      </c>
      <c r="G663" s="63" t="s">
        <v>6</v>
      </c>
      <c r="H663" s="63" t="s">
        <v>4</v>
      </c>
      <c r="I663" s="63">
        <v>1E-3</v>
      </c>
      <c r="J663" s="63">
        <v>0.04</v>
      </c>
      <c r="K663" s="63" t="s">
        <v>10</v>
      </c>
      <c r="L663" s="63">
        <v>564.15</v>
      </c>
      <c r="M663" s="63">
        <v>0.20594999999999999</v>
      </c>
      <c r="N663" s="63">
        <v>564.12</v>
      </c>
      <c r="O663" s="64">
        <v>0.20588999999999999</v>
      </c>
    </row>
    <row r="664" spans="1:15" x14ac:dyDescent="0.25">
      <c r="A664" s="114" t="s">
        <v>1231</v>
      </c>
      <c r="B664" s="63" t="s">
        <v>52</v>
      </c>
      <c r="C664" s="63" t="s">
        <v>8</v>
      </c>
      <c r="D664" s="63">
        <v>330</v>
      </c>
      <c r="E664" s="63">
        <v>1000</v>
      </c>
      <c r="F664" s="63">
        <v>1</v>
      </c>
      <c r="G664" s="63" t="s">
        <v>6</v>
      </c>
      <c r="H664" s="63" t="s">
        <v>4</v>
      </c>
      <c r="I664" s="63">
        <v>0.04</v>
      </c>
      <c r="J664" s="63">
        <v>1</v>
      </c>
      <c r="K664" s="63" t="s">
        <v>10</v>
      </c>
      <c r="L664" s="63">
        <v>562.27</v>
      </c>
      <c r="M664" s="63">
        <v>0.1928</v>
      </c>
      <c r="N664" s="63">
        <v>562.23</v>
      </c>
      <c r="O664" s="64">
        <v>0.19273999999999999</v>
      </c>
    </row>
    <row r="665" spans="1:15" x14ac:dyDescent="0.25">
      <c r="A665" s="114" t="s">
        <v>1230</v>
      </c>
      <c r="B665" s="63" t="s">
        <v>52</v>
      </c>
      <c r="C665" s="63" t="s">
        <v>8</v>
      </c>
      <c r="D665" s="63">
        <v>330</v>
      </c>
      <c r="E665" s="63">
        <v>1000</v>
      </c>
      <c r="F665" s="63">
        <v>1</v>
      </c>
      <c r="G665" s="63" t="s">
        <v>6</v>
      </c>
      <c r="H665" s="63" t="s">
        <v>4</v>
      </c>
      <c r="I665" s="63">
        <v>1</v>
      </c>
      <c r="J665" s="63">
        <v>10</v>
      </c>
      <c r="K665" s="63" t="s">
        <v>10</v>
      </c>
      <c r="L665" s="63">
        <v>547.47</v>
      </c>
      <c r="M665" s="63">
        <v>0.37317</v>
      </c>
      <c r="N665" s="63">
        <v>547.4</v>
      </c>
      <c r="O665" s="64">
        <v>0.37309999999999999</v>
      </c>
    </row>
    <row r="666" spans="1:15" x14ac:dyDescent="0.25">
      <c r="A666" s="114" t="s">
        <v>408</v>
      </c>
      <c r="B666" s="63" t="s">
        <v>52</v>
      </c>
      <c r="C666" s="63" t="s">
        <v>88</v>
      </c>
      <c r="D666" s="63">
        <v>-270</v>
      </c>
      <c r="E666" s="63">
        <v>149</v>
      </c>
      <c r="F666" s="63">
        <v>0.1</v>
      </c>
      <c r="G666" s="63" t="s">
        <v>23</v>
      </c>
      <c r="H666" s="63" t="s">
        <v>23</v>
      </c>
      <c r="I666" s="63">
        <v>0</v>
      </c>
      <c r="J666" s="63">
        <v>0</v>
      </c>
      <c r="L666" s="63">
        <v>8.0416114790999998E-2</v>
      </c>
      <c r="M666" s="63">
        <v>0</v>
      </c>
      <c r="N666" s="63">
        <v>6.738335811E-2</v>
      </c>
      <c r="O666" s="64">
        <v>0</v>
      </c>
    </row>
    <row r="667" spans="1:15" x14ac:dyDescent="0.25">
      <c r="A667" s="114" t="s">
        <v>410</v>
      </c>
      <c r="B667" s="63" t="s">
        <v>52</v>
      </c>
      <c r="C667" s="63" t="s">
        <v>88</v>
      </c>
      <c r="D667" s="63">
        <v>149.001</v>
      </c>
      <c r="E667" s="63">
        <v>593</v>
      </c>
      <c r="F667" s="63">
        <v>0.1</v>
      </c>
      <c r="G667" s="63" t="s">
        <v>23</v>
      </c>
      <c r="H667" s="63" t="s">
        <v>23</v>
      </c>
      <c r="I667" s="63">
        <v>0</v>
      </c>
      <c r="J667" s="63">
        <v>0</v>
      </c>
      <c r="L667" s="63">
        <v>6.9131377029999996E-2</v>
      </c>
      <c r="M667" s="63">
        <v>0</v>
      </c>
      <c r="N667" s="63">
        <v>6.7565680837E-2</v>
      </c>
      <c r="O667" s="64">
        <v>0</v>
      </c>
    </row>
    <row r="668" spans="1:15" x14ac:dyDescent="0.25">
      <c r="A668" s="114" t="s">
        <v>411</v>
      </c>
      <c r="B668" s="63" t="s">
        <v>52</v>
      </c>
      <c r="C668" s="63" t="s">
        <v>88</v>
      </c>
      <c r="D668" s="63">
        <v>593.00099999999998</v>
      </c>
      <c r="E668" s="63">
        <v>1000</v>
      </c>
      <c r="F668" s="63">
        <v>0.1</v>
      </c>
      <c r="G668" s="63" t="s">
        <v>23</v>
      </c>
      <c r="H668" s="63" t="s">
        <v>23</v>
      </c>
      <c r="I668" s="63">
        <v>0</v>
      </c>
      <c r="J668" s="63">
        <v>0</v>
      </c>
      <c r="L668" s="63">
        <v>7.1535916426000004E-2</v>
      </c>
      <c r="M668" s="63">
        <v>0</v>
      </c>
      <c r="N668" s="63">
        <v>7.0024004996999997E-2</v>
      </c>
      <c r="O668" s="64">
        <v>0</v>
      </c>
    </row>
    <row r="669" spans="1:15" x14ac:dyDescent="0.25">
      <c r="A669" s="114" t="s">
        <v>409</v>
      </c>
      <c r="B669" s="63" t="s">
        <v>52</v>
      </c>
      <c r="C669" s="63" t="s">
        <v>88</v>
      </c>
      <c r="D669" s="63">
        <v>-270</v>
      </c>
      <c r="E669" s="63">
        <v>149</v>
      </c>
      <c r="F669" s="63">
        <v>1</v>
      </c>
      <c r="G669" s="63" t="s">
        <v>23</v>
      </c>
      <c r="H669" s="63" t="s">
        <v>23</v>
      </c>
      <c r="I669" s="63">
        <v>0</v>
      </c>
      <c r="J669" s="63">
        <v>0</v>
      </c>
      <c r="L669" s="63">
        <v>0.58501748283400001</v>
      </c>
      <c r="M669" s="63">
        <v>0</v>
      </c>
      <c r="N669" s="63">
        <v>0.57839477604</v>
      </c>
      <c r="O669" s="64">
        <v>0</v>
      </c>
    </row>
    <row r="670" spans="1:15" x14ac:dyDescent="0.25">
      <c r="A670" s="114" t="s">
        <v>2315</v>
      </c>
      <c r="B670" s="63" t="s">
        <v>52</v>
      </c>
      <c r="C670" s="63" t="s">
        <v>88</v>
      </c>
      <c r="D670" s="63">
        <v>149.001</v>
      </c>
      <c r="E670" s="63">
        <v>593</v>
      </c>
      <c r="F670" s="63">
        <v>1</v>
      </c>
      <c r="G670" s="63" t="s">
        <v>23</v>
      </c>
      <c r="H670" s="63" t="s">
        <v>23</v>
      </c>
      <c r="I670" s="63">
        <v>0</v>
      </c>
      <c r="J670" s="63">
        <v>0</v>
      </c>
      <c r="L670" s="63">
        <v>0.57915561421700001</v>
      </c>
      <c r="M670" s="63">
        <v>0</v>
      </c>
      <c r="N670" s="63">
        <v>0.57841604509800004</v>
      </c>
      <c r="O670" s="64">
        <v>0</v>
      </c>
    </row>
    <row r="671" spans="1:15" x14ac:dyDescent="0.25">
      <c r="A671" s="114" t="s">
        <v>2316</v>
      </c>
      <c r="B671" s="63" t="s">
        <v>52</v>
      </c>
      <c r="C671" s="63" t="s">
        <v>88</v>
      </c>
      <c r="D671" s="63">
        <v>593.00099999999998</v>
      </c>
      <c r="E671" s="63">
        <v>1000</v>
      </c>
      <c r="F671" s="63">
        <v>1</v>
      </c>
      <c r="G671" s="63" t="s">
        <v>23</v>
      </c>
      <c r="H671" s="63" t="s">
        <v>23</v>
      </c>
      <c r="I671" s="63">
        <v>0</v>
      </c>
      <c r="J671" s="63">
        <v>0</v>
      </c>
      <c r="L671" s="63">
        <v>0.57944755200800002</v>
      </c>
      <c r="M671" s="63">
        <v>0</v>
      </c>
      <c r="N671" s="63">
        <v>0.57870835597500003</v>
      </c>
      <c r="O671" s="64">
        <v>0</v>
      </c>
    </row>
    <row r="672" spans="1:15" x14ac:dyDescent="0.25">
      <c r="A672" s="114" t="s">
        <v>404</v>
      </c>
      <c r="B672" s="63" t="s">
        <v>52</v>
      </c>
      <c r="C672" s="63" t="s">
        <v>87</v>
      </c>
      <c r="D672" s="63">
        <v>-210</v>
      </c>
      <c r="E672" s="63">
        <v>259.99900000000002</v>
      </c>
      <c r="F672" s="63">
        <v>0.1</v>
      </c>
      <c r="G672" s="63" t="s">
        <v>23</v>
      </c>
      <c r="H672" s="63" t="s">
        <v>23</v>
      </c>
      <c r="I672" s="63">
        <v>0</v>
      </c>
      <c r="J672" s="63">
        <v>0</v>
      </c>
      <c r="L672" s="63">
        <v>9.1700325486999995E-2</v>
      </c>
      <c r="M672" s="63">
        <v>0</v>
      </c>
      <c r="N672" s="63">
        <v>7.0601222970000002E-2</v>
      </c>
      <c r="O672" s="64">
        <v>0</v>
      </c>
    </row>
    <row r="673" spans="1:15" x14ac:dyDescent="0.25">
      <c r="A673" s="114" t="s">
        <v>2317</v>
      </c>
      <c r="B673" s="63" t="s">
        <v>52</v>
      </c>
      <c r="C673" s="63" t="s">
        <v>87</v>
      </c>
      <c r="D673" s="63">
        <v>260</v>
      </c>
      <c r="E673" s="63">
        <v>732</v>
      </c>
      <c r="F673" s="63">
        <v>0.1</v>
      </c>
      <c r="G673" s="63" t="s">
        <v>23</v>
      </c>
      <c r="H673" s="63" t="s">
        <v>23</v>
      </c>
      <c r="I673" s="63">
        <v>0</v>
      </c>
      <c r="J673" s="63">
        <v>0</v>
      </c>
      <c r="L673" s="63">
        <v>7.3715325851000005E-2</v>
      </c>
      <c r="M673" s="63">
        <v>0</v>
      </c>
      <c r="N673" s="63">
        <v>6.8215378810999996E-2</v>
      </c>
      <c r="O673" s="64">
        <v>0</v>
      </c>
    </row>
    <row r="674" spans="1:15" x14ac:dyDescent="0.25">
      <c r="A674" s="114" t="s">
        <v>407</v>
      </c>
      <c r="B674" s="63" t="s">
        <v>52</v>
      </c>
      <c r="C674" s="63" t="s">
        <v>87</v>
      </c>
      <c r="D674" s="63">
        <v>732.00099999999998</v>
      </c>
      <c r="E674" s="63">
        <v>1200</v>
      </c>
      <c r="F674" s="63">
        <v>0.1</v>
      </c>
      <c r="G674" s="63" t="s">
        <v>23</v>
      </c>
      <c r="H674" s="63" t="s">
        <v>23</v>
      </c>
      <c r="I674" s="63">
        <v>0</v>
      </c>
      <c r="J674" s="63">
        <v>0</v>
      </c>
      <c r="L674" s="63">
        <v>7.6446990367999998E-2</v>
      </c>
      <c r="M674" s="63">
        <v>0</v>
      </c>
      <c r="N674" s="63">
        <v>7.1753450309000003E-2</v>
      </c>
      <c r="O674" s="64">
        <v>0</v>
      </c>
    </row>
    <row r="675" spans="1:15" x14ac:dyDescent="0.25">
      <c r="A675" s="114" t="s">
        <v>405</v>
      </c>
      <c r="B675" s="63" t="s">
        <v>52</v>
      </c>
      <c r="C675" s="63" t="s">
        <v>87</v>
      </c>
      <c r="D675" s="63">
        <v>-210</v>
      </c>
      <c r="E675" s="63">
        <v>259.99900000000002</v>
      </c>
      <c r="F675" s="63">
        <v>1</v>
      </c>
      <c r="G675" s="63" t="s">
        <v>23</v>
      </c>
      <c r="H675" s="63" t="s">
        <v>23</v>
      </c>
      <c r="I675" s="63">
        <v>0</v>
      </c>
      <c r="J675" s="63">
        <v>0</v>
      </c>
      <c r="L675" s="63">
        <v>0.59049318431599995</v>
      </c>
      <c r="M675" s="63">
        <v>0</v>
      </c>
      <c r="N675" s="63">
        <v>0.57877848326000003</v>
      </c>
      <c r="O675" s="64">
        <v>0</v>
      </c>
    </row>
    <row r="676" spans="1:15" x14ac:dyDescent="0.25">
      <c r="A676" s="114" t="s">
        <v>406</v>
      </c>
      <c r="B676" s="63" t="s">
        <v>52</v>
      </c>
      <c r="C676" s="63" t="s">
        <v>87</v>
      </c>
      <c r="D676" s="63">
        <v>260</v>
      </c>
      <c r="E676" s="63">
        <v>732</v>
      </c>
      <c r="F676" s="63">
        <v>1</v>
      </c>
      <c r="G676" s="63" t="s">
        <v>23</v>
      </c>
      <c r="H676" s="63" t="s">
        <v>23</v>
      </c>
      <c r="I676" s="63">
        <v>0</v>
      </c>
      <c r="J676" s="63">
        <v>0</v>
      </c>
      <c r="L676" s="63">
        <v>0.58165565510600004</v>
      </c>
      <c r="M676" s="63">
        <v>0</v>
      </c>
      <c r="N676" s="63">
        <v>0.57849229718799999</v>
      </c>
      <c r="O676" s="64">
        <v>0</v>
      </c>
    </row>
    <row r="677" spans="1:15" x14ac:dyDescent="0.25">
      <c r="A677" s="114" t="s">
        <v>2318</v>
      </c>
      <c r="B677" s="63" t="s">
        <v>52</v>
      </c>
      <c r="C677" s="63" t="s">
        <v>87</v>
      </c>
      <c r="D677" s="63">
        <v>732.00099999999998</v>
      </c>
      <c r="E677" s="63">
        <v>1200</v>
      </c>
      <c r="F677" s="63">
        <v>1</v>
      </c>
      <c r="G677" s="63" t="s">
        <v>23</v>
      </c>
      <c r="H677" s="63" t="s">
        <v>23</v>
      </c>
      <c r="I677" s="63">
        <v>0</v>
      </c>
      <c r="J677" s="63">
        <v>0</v>
      </c>
      <c r="L677" s="63">
        <v>0.58131824025400003</v>
      </c>
      <c r="M677" s="63">
        <v>0</v>
      </c>
      <c r="N677" s="63">
        <v>0.57892016516199996</v>
      </c>
      <c r="O677" s="64">
        <v>0</v>
      </c>
    </row>
    <row r="678" spans="1:15" x14ac:dyDescent="0.25">
      <c r="A678" s="114" t="s">
        <v>398</v>
      </c>
      <c r="B678" s="63" t="s">
        <v>52</v>
      </c>
      <c r="C678" s="63" t="s">
        <v>86</v>
      </c>
      <c r="D678" s="63">
        <v>-270</v>
      </c>
      <c r="E678" s="63">
        <v>-240.001</v>
      </c>
      <c r="F678" s="63">
        <v>0.1</v>
      </c>
      <c r="G678" s="63" t="s">
        <v>23</v>
      </c>
      <c r="H678" s="63" t="s">
        <v>23</v>
      </c>
      <c r="I678" s="63">
        <v>0</v>
      </c>
      <c r="J678" s="63">
        <v>0</v>
      </c>
      <c r="L678" s="63">
        <v>0.45662971581400003</v>
      </c>
      <c r="M678" s="63">
        <v>0</v>
      </c>
      <c r="N678" s="63">
        <v>0.45079213868700002</v>
      </c>
      <c r="O678" s="64">
        <v>0</v>
      </c>
    </row>
    <row r="679" spans="1:15" x14ac:dyDescent="0.25">
      <c r="A679" s="114" t="s">
        <v>400</v>
      </c>
      <c r="B679" s="63" t="s">
        <v>52</v>
      </c>
      <c r="C679" s="63" t="s">
        <v>86</v>
      </c>
      <c r="D679" s="63">
        <v>-240</v>
      </c>
      <c r="E679" s="63">
        <v>259.99900000000002</v>
      </c>
      <c r="F679" s="63">
        <v>0.1</v>
      </c>
      <c r="G679" s="63" t="s">
        <v>23</v>
      </c>
      <c r="H679" s="63" t="s">
        <v>23</v>
      </c>
      <c r="I679" s="63">
        <v>0</v>
      </c>
      <c r="J679" s="63">
        <v>0</v>
      </c>
      <c r="L679" s="63">
        <v>0.113916512661</v>
      </c>
      <c r="M679" s="63">
        <v>0</v>
      </c>
      <c r="N679" s="63">
        <v>9.1809139065999995E-2</v>
      </c>
      <c r="O679" s="64">
        <v>0</v>
      </c>
    </row>
    <row r="680" spans="1:15" x14ac:dyDescent="0.25">
      <c r="A680" s="114" t="s">
        <v>2319</v>
      </c>
      <c r="B680" s="63" t="s">
        <v>52</v>
      </c>
      <c r="C680" s="63" t="s">
        <v>86</v>
      </c>
      <c r="D680" s="63">
        <v>260</v>
      </c>
      <c r="E680" s="63">
        <v>816</v>
      </c>
      <c r="F680" s="63">
        <v>0.1</v>
      </c>
      <c r="G680" s="63" t="s">
        <v>23</v>
      </c>
      <c r="H680" s="63" t="s">
        <v>23</v>
      </c>
      <c r="I680" s="63">
        <v>0</v>
      </c>
      <c r="J680" s="63">
        <v>0</v>
      </c>
      <c r="L680" s="63">
        <v>8.0979847999999993E-2</v>
      </c>
      <c r="M680" s="63">
        <v>0</v>
      </c>
      <c r="N680" s="63">
        <v>6.9993098182000002E-2</v>
      </c>
      <c r="O680" s="64">
        <v>0</v>
      </c>
    </row>
    <row r="681" spans="1:15" x14ac:dyDescent="0.25">
      <c r="A681" s="114" t="s">
        <v>402</v>
      </c>
      <c r="B681" s="63" t="s">
        <v>52</v>
      </c>
      <c r="C681" s="63" t="s">
        <v>86</v>
      </c>
      <c r="D681" s="63">
        <v>816.00099999999998</v>
      </c>
      <c r="E681" s="63">
        <v>1371</v>
      </c>
      <c r="F681" s="63">
        <v>0.1</v>
      </c>
      <c r="G681" s="63" t="s">
        <v>23</v>
      </c>
      <c r="H681" s="63" t="s">
        <v>23</v>
      </c>
      <c r="I681" s="63">
        <v>0</v>
      </c>
      <c r="J681" s="63">
        <v>0</v>
      </c>
      <c r="L681" s="63">
        <v>9.0471350074999998E-2</v>
      </c>
      <c r="M681" s="63">
        <v>0</v>
      </c>
      <c r="N681" s="63">
        <v>7.6709093372999998E-2</v>
      </c>
      <c r="O681" s="64">
        <v>0</v>
      </c>
    </row>
    <row r="682" spans="1:15" x14ac:dyDescent="0.25">
      <c r="A682" s="114" t="s">
        <v>399</v>
      </c>
      <c r="B682" s="63" t="s">
        <v>52</v>
      </c>
      <c r="C682" s="63" t="s">
        <v>86</v>
      </c>
      <c r="D682" s="63">
        <v>-270</v>
      </c>
      <c r="E682" s="63">
        <v>-240.001</v>
      </c>
      <c r="F682" s="63">
        <v>1</v>
      </c>
      <c r="G682" s="63" t="s">
        <v>23</v>
      </c>
      <c r="H682" s="63" t="s">
        <v>23</v>
      </c>
      <c r="I682" s="63">
        <v>0</v>
      </c>
      <c r="J682" s="63">
        <v>0</v>
      </c>
      <c r="L682" s="63">
        <v>0.74458185080600003</v>
      </c>
      <c r="M682" s="63">
        <v>0</v>
      </c>
      <c r="N682" s="63">
        <v>0.73021473026899997</v>
      </c>
      <c r="O682" s="64">
        <v>0</v>
      </c>
    </row>
    <row r="683" spans="1:15" x14ac:dyDescent="0.25">
      <c r="A683" s="114" t="s">
        <v>401</v>
      </c>
      <c r="B683" s="63" t="s">
        <v>52</v>
      </c>
      <c r="C683" s="63" t="s">
        <v>86</v>
      </c>
      <c r="D683" s="63">
        <v>-240</v>
      </c>
      <c r="E683" s="63">
        <v>259.99900000000002</v>
      </c>
      <c r="F683" s="63">
        <v>1</v>
      </c>
      <c r="G683" s="63" t="s">
        <v>23</v>
      </c>
      <c r="H683" s="63" t="s">
        <v>23</v>
      </c>
      <c r="I683" s="63">
        <v>0</v>
      </c>
      <c r="J683" s="63">
        <v>0</v>
      </c>
      <c r="L683" s="63">
        <v>0.59717763971799998</v>
      </c>
      <c r="M683" s="63">
        <v>0</v>
      </c>
      <c r="N683" s="63">
        <v>0.581746437906</v>
      </c>
      <c r="O683" s="64">
        <v>0</v>
      </c>
    </row>
    <row r="684" spans="1:15" x14ac:dyDescent="0.25">
      <c r="A684" s="114" t="s">
        <v>2320</v>
      </c>
      <c r="B684" s="63" t="s">
        <v>52</v>
      </c>
      <c r="C684" s="63" t="s">
        <v>86</v>
      </c>
      <c r="D684" s="63">
        <v>260</v>
      </c>
      <c r="E684" s="63">
        <v>816</v>
      </c>
      <c r="F684" s="63">
        <v>1</v>
      </c>
      <c r="G684" s="63" t="s">
        <v>23</v>
      </c>
      <c r="H684" s="63" t="s">
        <v>23</v>
      </c>
      <c r="I684" s="63">
        <v>0</v>
      </c>
      <c r="J684" s="63">
        <v>0</v>
      </c>
      <c r="L684" s="63">
        <v>0.58440896788899999</v>
      </c>
      <c r="M684" s="63">
        <v>0</v>
      </c>
      <c r="N684" s="63">
        <v>0.57870461704800003</v>
      </c>
      <c r="O684" s="64">
        <v>0</v>
      </c>
    </row>
    <row r="685" spans="1:15" x14ac:dyDescent="0.25">
      <c r="A685" s="114" t="s">
        <v>403</v>
      </c>
      <c r="B685" s="63" t="s">
        <v>52</v>
      </c>
      <c r="C685" s="63" t="s">
        <v>86</v>
      </c>
      <c r="D685" s="63">
        <v>816.00099999999998</v>
      </c>
      <c r="E685" s="63">
        <v>1371</v>
      </c>
      <c r="F685" s="63">
        <v>1</v>
      </c>
      <c r="G685" s="63" t="s">
        <v>23</v>
      </c>
      <c r="H685" s="63" t="s">
        <v>23</v>
      </c>
      <c r="I685" s="63">
        <v>0</v>
      </c>
      <c r="J685" s="63">
        <v>0</v>
      </c>
      <c r="L685" s="63">
        <v>0.58744140620100005</v>
      </c>
      <c r="M685" s="63">
        <v>0</v>
      </c>
      <c r="N685" s="63">
        <v>0.57955524758700006</v>
      </c>
      <c r="O685" s="64">
        <v>0</v>
      </c>
    </row>
    <row r="686" spans="1:15" x14ac:dyDescent="0.25">
      <c r="A686" s="114" t="s">
        <v>2321</v>
      </c>
      <c r="B686" s="63" t="s">
        <v>52</v>
      </c>
      <c r="C686" s="63" t="s">
        <v>89</v>
      </c>
      <c r="D686" s="63">
        <v>-270</v>
      </c>
      <c r="E686" s="63">
        <v>-240.001</v>
      </c>
      <c r="F686" s="63">
        <v>0.1</v>
      </c>
      <c r="G686" s="63" t="s">
        <v>23</v>
      </c>
      <c r="H686" s="63" t="s">
        <v>23</v>
      </c>
      <c r="I686" s="63">
        <v>0</v>
      </c>
      <c r="J686" s="63">
        <v>0</v>
      </c>
      <c r="L686" s="63">
        <v>0.83169968409100004</v>
      </c>
      <c r="M686" s="63">
        <v>0</v>
      </c>
      <c r="N686" s="63">
        <v>0.82876732053199997</v>
      </c>
      <c r="O686" s="64">
        <v>0</v>
      </c>
    </row>
    <row r="687" spans="1:15" x14ac:dyDescent="0.25">
      <c r="A687" s="114" t="s">
        <v>390</v>
      </c>
      <c r="B687" s="63" t="s">
        <v>52</v>
      </c>
      <c r="C687" s="63" t="s">
        <v>89</v>
      </c>
      <c r="D687" s="63">
        <v>-240</v>
      </c>
      <c r="E687" s="63">
        <v>-101.001</v>
      </c>
      <c r="F687" s="63">
        <v>0.1</v>
      </c>
      <c r="G687" s="63" t="s">
        <v>23</v>
      </c>
      <c r="H687" s="63" t="s">
        <v>23</v>
      </c>
      <c r="I687" s="63">
        <v>0</v>
      </c>
      <c r="J687" s="63">
        <v>0</v>
      </c>
      <c r="L687" s="63">
        <v>0.14223641479999999</v>
      </c>
      <c r="M687" s="63">
        <v>0</v>
      </c>
      <c r="N687" s="63">
        <v>0.123943958141</v>
      </c>
      <c r="O687" s="64">
        <v>0</v>
      </c>
    </row>
    <row r="688" spans="1:15" x14ac:dyDescent="0.25">
      <c r="A688" s="114" t="s">
        <v>392</v>
      </c>
      <c r="B688" s="63" t="s">
        <v>52</v>
      </c>
      <c r="C688" s="63" t="s">
        <v>89</v>
      </c>
      <c r="D688" s="63">
        <v>-101</v>
      </c>
      <c r="E688" s="63">
        <v>371</v>
      </c>
      <c r="F688" s="63">
        <v>0.1</v>
      </c>
      <c r="G688" s="63" t="s">
        <v>23</v>
      </c>
      <c r="H688" s="63" t="s">
        <v>23</v>
      </c>
      <c r="I688" s="63">
        <v>0</v>
      </c>
      <c r="J688" s="63">
        <v>0</v>
      </c>
      <c r="L688" s="63">
        <v>9.0241070337999996E-2</v>
      </c>
      <c r="M688" s="63">
        <v>0</v>
      </c>
      <c r="N688" s="63">
        <v>6.8695223750999998E-2</v>
      </c>
      <c r="O688" s="64">
        <v>0</v>
      </c>
    </row>
    <row r="689" spans="1:15" x14ac:dyDescent="0.25">
      <c r="A689" s="114" t="s">
        <v>394</v>
      </c>
      <c r="B689" s="63" t="s">
        <v>52</v>
      </c>
      <c r="C689" s="63" t="s">
        <v>89</v>
      </c>
      <c r="D689" s="63">
        <v>371.00099999999998</v>
      </c>
      <c r="E689" s="63">
        <v>816</v>
      </c>
      <c r="F689" s="63">
        <v>0.1</v>
      </c>
      <c r="G689" s="63" t="s">
        <v>23</v>
      </c>
      <c r="H689" s="63" t="s">
        <v>23</v>
      </c>
      <c r="I689" s="63">
        <v>0</v>
      </c>
      <c r="J689" s="63">
        <v>0</v>
      </c>
      <c r="L689" s="63">
        <v>8.1513450309999999E-2</v>
      </c>
      <c r="M689" s="63">
        <v>0</v>
      </c>
      <c r="N689" s="63">
        <v>6.9463811047000001E-2</v>
      </c>
      <c r="O689" s="64">
        <v>0</v>
      </c>
    </row>
    <row r="690" spans="1:15" x14ac:dyDescent="0.25">
      <c r="A690" s="114" t="s">
        <v>396</v>
      </c>
      <c r="B690" s="63" t="s">
        <v>52</v>
      </c>
      <c r="C690" s="63" t="s">
        <v>89</v>
      </c>
      <c r="D690" s="63">
        <v>816.00099999999998</v>
      </c>
      <c r="E690" s="63">
        <v>1300</v>
      </c>
      <c r="F690" s="63">
        <v>0.1</v>
      </c>
      <c r="G690" s="63" t="s">
        <v>23</v>
      </c>
      <c r="H690" s="63" t="s">
        <v>23</v>
      </c>
      <c r="I690" s="63">
        <v>0</v>
      </c>
      <c r="J690" s="63">
        <v>0</v>
      </c>
      <c r="L690" s="63">
        <v>8.6273835810000005E-2</v>
      </c>
      <c r="M690" s="63">
        <v>0</v>
      </c>
      <c r="N690" s="63">
        <v>7.3915043540999995E-2</v>
      </c>
      <c r="O690" s="64">
        <v>0</v>
      </c>
    </row>
    <row r="691" spans="1:15" x14ac:dyDescent="0.25">
      <c r="A691" s="114" t="s">
        <v>389</v>
      </c>
      <c r="B691" s="63" t="s">
        <v>52</v>
      </c>
      <c r="C691" s="63" t="s">
        <v>89</v>
      </c>
      <c r="D691" s="63">
        <v>-270</v>
      </c>
      <c r="E691" s="63">
        <v>-240.001</v>
      </c>
      <c r="F691" s="63">
        <v>1</v>
      </c>
      <c r="G691" s="63" t="s">
        <v>23</v>
      </c>
      <c r="H691" s="63" t="s">
        <v>23</v>
      </c>
      <c r="I691" s="63">
        <v>0</v>
      </c>
      <c r="J691" s="63">
        <v>0</v>
      </c>
      <c r="L691" s="63">
        <v>1.0180037540810001</v>
      </c>
      <c r="M691" s="63">
        <v>0</v>
      </c>
      <c r="N691" s="63">
        <v>1.0083924194389999</v>
      </c>
      <c r="O691" s="64">
        <v>0</v>
      </c>
    </row>
    <row r="692" spans="1:15" x14ac:dyDescent="0.25">
      <c r="A692" s="114" t="s">
        <v>391</v>
      </c>
      <c r="B692" s="63" t="s">
        <v>52</v>
      </c>
      <c r="C692" s="63" t="s">
        <v>89</v>
      </c>
      <c r="D692" s="63">
        <v>-240</v>
      </c>
      <c r="E692" s="63">
        <v>-101.001</v>
      </c>
      <c r="F692" s="63">
        <v>1</v>
      </c>
      <c r="G692" s="63" t="s">
        <v>23</v>
      </c>
      <c r="H692" s="63" t="s">
        <v>23</v>
      </c>
      <c r="I692" s="63">
        <v>0</v>
      </c>
      <c r="J692" s="63">
        <v>0</v>
      </c>
      <c r="L692" s="63">
        <v>0.60401860608900004</v>
      </c>
      <c r="M692" s="63">
        <v>0</v>
      </c>
      <c r="N692" s="63">
        <v>0.58767516942599995</v>
      </c>
      <c r="O692" s="64">
        <v>0</v>
      </c>
    </row>
    <row r="693" spans="1:15" x14ac:dyDescent="0.25">
      <c r="A693" s="114" t="s">
        <v>393</v>
      </c>
      <c r="B693" s="63" t="s">
        <v>52</v>
      </c>
      <c r="C693" s="63" t="s">
        <v>89</v>
      </c>
      <c r="D693" s="63">
        <v>-101</v>
      </c>
      <c r="E693" s="63">
        <v>371</v>
      </c>
      <c r="F693" s="63">
        <v>1</v>
      </c>
      <c r="G693" s="63" t="s">
        <v>23</v>
      </c>
      <c r="H693" s="63" t="s">
        <v>23</v>
      </c>
      <c r="I693" s="63">
        <v>0</v>
      </c>
      <c r="J693" s="63">
        <v>0</v>
      </c>
      <c r="L693" s="63">
        <v>0.59026833034199999</v>
      </c>
      <c r="M693" s="63">
        <v>0</v>
      </c>
      <c r="N693" s="63">
        <v>0.57854907636800001</v>
      </c>
      <c r="O693" s="64">
        <v>0</v>
      </c>
    </row>
    <row r="694" spans="1:15" x14ac:dyDescent="0.25">
      <c r="A694" s="114" t="s">
        <v>395</v>
      </c>
      <c r="B694" s="63" t="s">
        <v>52</v>
      </c>
      <c r="C694" s="63" t="s">
        <v>89</v>
      </c>
      <c r="D694" s="63">
        <v>371.00099999999998</v>
      </c>
      <c r="E694" s="63">
        <v>816</v>
      </c>
      <c r="F694" s="63">
        <v>1</v>
      </c>
      <c r="G694" s="63" t="s">
        <v>23</v>
      </c>
      <c r="H694" s="63" t="s">
        <v>23</v>
      </c>
      <c r="I694" s="63">
        <v>0</v>
      </c>
      <c r="J694" s="63">
        <v>0</v>
      </c>
      <c r="L694" s="63">
        <v>0.58489495397900004</v>
      </c>
      <c r="M694" s="63">
        <v>0</v>
      </c>
      <c r="N694" s="63">
        <v>0.57864083942</v>
      </c>
      <c r="O694" s="64">
        <v>0</v>
      </c>
    </row>
    <row r="695" spans="1:15" x14ac:dyDescent="0.25">
      <c r="A695" s="114" t="s">
        <v>397</v>
      </c>
      <c r="B695" s="63" t="s">
        <v>52</v>
      </c>
      <c r="C695" s="63" t="s">
        <v>89</v>
      </c>
      <c r="D695" s="63">
        <v>816.00099999999998</v>
      </c>
      <c r="E695" s="63">
        <v>1300</v>
      </c>
      <c r="F695" s="63">
        <v>1</v>
      </c>
      <c r="G695" s="63" t="s">
        <v>23</v>
      </c>
      <c r="H695" s="63" t="s">
        <v>23</v>
      </c>
      <c r="I695" s="63">
        <v>0</v>
      </c>
      <c r="J695" s="63">
        <v>0</v>
      </c>
      <c r="L695" s="63">
        <v>0.58598839408000003</v>
      </c>
      <c r="M695" s="63">
        <v>0</v>
      </c>
      <c r="N695" s="63">
        <v>0.57919205248500005</v>
      </c>
      <c r="O695" s="64">
        <v>0</v>
      </c>
    </row>
    <row r="696" spans="1:15" x14ac:dyDescent="0.25">
      <c r="A696" s="114" t="s">
        <v>375</v>
      </c>
      <c r="B696" s="63" t="s">
        <v>52</v>
      </c>
      <c r="C696" s="63" t="s">
        <v>93</v>
      </c>
      <c r="D696" s="63">
        <v>-195.6</v>
      </c>
      <c r="E696" s="63">
        <v>0</v>
      </c>
      <c r="F696" s="63">
        <v>0.01</v>
      </c>
      <c r="G696" s="63" t="s">
        <v>23</v>
      </c>
      <c r="H696" s="63" t="s">
        <v>23</v>
      </c>
      <c r="I696" s="63">
        <v>0</v>
      </c>
      <c r="J696" s="63">
        <v>0</v>
      </c>
      <c r="L696" s="63">
        <v>8.4850398330000004E-3</v>
      </c>
      <c r="M696" s="63">
        <v>0</v>
      </c>
      <c r="N696" s="63">
        <v>7.6317236899999998E-3</v>
      </c>
      <c r="O696" s="64">
        <v>0</v>
      </c>
    </row>
    <row r="697" spans="1:15" x14ac:dyDescent="0.25">
      <c r="A697" s="114" t="s">
        <v>378</v>
      </c>
      <c r="B697" s="63" t="s">
        <v>52</v>
      </c>
      <c r="C697" s="63" t="s">
        <v>93</v>
      </c>
      <c r="D697" s="63">
        <v>1E-3</v>
      </c>
      <c r="E697" s="63">
        <v>204.44399999999999</v>
      </c>
      <c r="F697" s="63">
        <v>0.01</v>
      </c>
      <c r="G697" s="63" t="s">
        <v>23</v>
      </c>
      <c r="H697" s="63" t="s">
        <v>23</v>
      </c>
      <c r="I697" s="63">
        <v>0</v>
      </c>
      <c r="J697" s="63">
        <v>0</v>
      </c>
      <c r="L697" s="63">
        <v>1.0087018846999999E-2</v>
      </c>
      <c r="M697" s="63">
        <v>0</v>
      </c>
      <c r="N697" s="63">
        <v>9.3805785930000003E-3</v>
      </c>
      <c r="O697" s="64">
        <v>0</v>
      </c>
    </row>
    <row r="698" spans="1:15" x14ac:dyDescent="0.25">
      <c r="A698" s="114" t="s">
        <v>381</v>
      </c>
      <c r="B698" s="63" t="s">
        <v>52</v>
      </c>
      <c r="C698" s="63" t="s">
        <v>93</v>
      </c>
      <c r="D698" s="63">
        <v>204.44499999999999</v>
      </c>
      <c r="E698" s="63">
        <v>426.66699999999997</v>
      </c>
      <c r="F698" s="63">
        <v>0.01</v>
      </c>
      <c r="G698" s="63" t="s">
        <v>23</v>
      </c>
      <c r="H698" s="63" t="s">
        <v>23</v>
      </c>
      <c r="I698" s="63">
        <v>0</v>
      </c>
      <c r="J698" s="63">
        <v>0</v>
      </c>
      <c r="L698" s="63">
        <v>1.2329108961E-2</v>
      </c>
      <c r="M698" s="63">
        <v>0</v>
      </c>
      <c r="N698" s="63">
        <v>1.1525970746E-2</v>
      </c>
      <c r="O698" s="64">
        <v>0</v>
      </c>
    </row>
    <row r="699" spans="1:15" x14ac:dyDescent="0.25">
      <c r="A699" s="114" t="s">
        <v>383</v>
      </c>
      <c r="B699" s="63" t="s">
        <v>52</v>
      </c>
      <c r="C699" s="63" t="s">
        <v>93</v>
      </c>
      <c r="D699" s="63">
        <v>426.66800000000001</v>
      </c>
      <c r="E699" s="63">
        <v>648.88900000000001</v>
      </c>
      <c r="F699" s="63">
        <v>0.01</v>
      </c>
      <c r="G699" s="63" t="s">
        <v>23</v>
      </c>
      <c r="H699" s="63" t="s">
        <v>23</v>
      </c>
      <c r="I699" s="63">
        <v>0</v>
      </c>
      <c r="J699" s="63">
        <v>0</v>
      </c>
      <c r="L699" s="63">
        <v>1.5887353598E-2</v>
      </c>
      <c r="M699" s="63">
        <v>0</v>
      </c>
      <c r="N699" s="63">
        <v>1.5272494172E-2</v>
      </c>
      <c r="O699" s="64">
        <v>0</v>
      </c>
    </row>
    <row r="700" spans="1:15" x14ac:dyDescent="0.25">
      <c r="A700" s="114" t="s">
        <v>386</v>
      </c>
      <c r="B700" s="63" t="s">
        <v>52</v>
      </c>
      <c r="C700" s="63" t="s">
        <v>93</v>
      </c>
      <c r="D700" s="63">
        <v>648.89</v>
      </c>
      <c r="E700" s="63">
        <v>850</v>
      </c>
      <c r="F700" s="63">
        <v>0.01</v>
      </c>
      <c r="G700" s="63" t="s">
        <v>23</v>
      </c>
      <c r="H700" s="63" t="s">
        <v>23</v>
      </c>
      <c r="I700" s="63">
        <v>0</v>
      </c>
      <c r="J700" s="63">
        <v>0</v>
      </c>
      <c r="L700" s="63">
        <v>1.9744199428999999E-2</v>
      </c>
      <c r="M700" s="63">
        <v>0</v>
      </c>
      <c r="N700" s="63">
        <v>1.8879818845E-2</v>
      </c>
      <c r="O700" s="64">
        <v>0</v>
      </c>
    </row>
    <row r="701" spans="1:15" x14ac:dyDescent="0.25">
      <c r="A701" s="114" t="s">
        <v>376</v>
      </c>
      <c r="B701" s="63" t="s">
        <v>52</v>
      </c>
      <c r="C701" s="63" t="s">
        <v>93</v>
      </c>
      <c r="D701" s="63">
        <v>-195.6</v>
      </c>
      <c r="E701" s="63">
        <v>0</v>
      </c>
      <c r="F701" s="63">
        <v>0.1</v>
      </c>
      <c r="G701" s="63" t="s">
        <v>23</v>
      </c>
      <c r="H701" s="63" t="s">
        <v>23</v>
      </c>
      <c r="I701" s="63">
        <v>0</v>
      </c>
      <c r="J701" s="63">
        <v>0</v>
      </c>
      <c r="L701" s="63">
        <v>5.8423060382E-2</v>
      </c>
      <c r="M701" s="63">
        <v>0</v>
      </c>
      <c r="N701" s="63">
        <v>5.7950351220000001E-2</v>
      </c>
      <c r="O701" s="64">
        <v>0</v>
      </c>
    </row>
    <row r="702" spans="1:15" x14ac:dyDescent="0.25">
      <c r="A702" s="114" t="s">
        <v>379</v>
      </c>
      <c r="B702" s="63" t="s">
        <v>52</v>
      </c>
      <c r="C702" s="63" t="s">
        <v>93</v>
      </c>
      <c r="D702" s="63">
        <v>1E-3</v>
      </c>
      <c r="E702" s="63">
        <v>204.44399999999999</v>
      </c>
      <c r="F702" s="63">
        <v>0.1</v>
      </c>
      <c r="G702" s="63" t="s">
        <v>23</v>
      </c>
      <c r="H702" s="63" t="s">
        <v>23</v>
      </c>
      <c r="I702" s="63">
        <v>0</v>
      </c>
      <c r="J702" s="63">
        <v>0</v>
      </c>
      <c r="L702" s="63">
        <v>5.8677133814999997E-2</v>
      </c>
      <c r="M702" s="63">
        <v>0</v>
      </c>
      <c r="N702" s="63">
        <v>5.8206488080999999E-2</v>
      </c>
      <c r="O702" s="64">
        <v>0</v>
      </c>
    </row>
    <row r="703" spans="1:15" x14ac:dyDescent="0.25">
      <c r="A703" s="114" t="s">
        <v>382</v>
      </c>
      <c r="B703" s="63" t="s">
        <v>52</v>
      </c>
      <c r="C703" s="63" t="s">
        <v>93</v>
      </c>
      <c r="D703" s="63">
        <v>204.44499999999999</v>
      </c>
      <c r="E703" s="63">
        <v>426.66699999999997</v>
      </c>
      <c r="F703" s="63">
        <v>0.1</v>
      </c>
      <c r="G703" s="63" t="s">
        <v>23</v>
      </c>
      <c r="H703" s="63" t="s">
        <v>23</v>
      </c>
      <c r="I703" s="63">
        <v>0</v>
      </c>
      <c r="J703" s="63">
        <v>0</v>
      </c>
      <c r="L703" s="63">
        <v>5.9240895554999999E-2</v>
      </c>
      <c r="M703" s="63">
        <v>0</v>
      </c>
      <c r="N703" s="63">
        <v>5.8590511190999998E-2</v>
      </c>
      <c r="O703" s="64">
        <v>0</v>
      </c>
    </row>
    <row r="704" spans="1:15" x14ac:dyDescent="0.25">
      <c r="A704" s="114" t="s">
        <v>384</v>
      </c>
      <c r="B704" s="63" t="s">
        <v>52</v>
      </c>
      <c r="C704" s="63" t="s">
        <v>93</v>
      </c>
      <c r="D704" s="63">
        <v>426.66800000000001</v>
      </c>
      <c r="E704" s="63">
        <v>648.88900000000001</v>
      </c>
      <c r="F704" s="63">
        <v>0.1</v>
      </c>
      <c r="G704" s="63" t="s">
        <v>23</v>
      </c>
      <c r="H704" s="63" t="s">
        <v>23</v>
      </c>
      <c r="I704" s="63">
        <v>0</v>
      </c>
      <c r="J704" s="63">
        <v>0</v>
      </c>
      <c r="L704" s="63">
        <v>6.0082316721999998E-2</v>
      </c>
      <c r="M704" s="63">
        <v>0</v>
      </c>
      <c r="N704" s="63">
        <v>5.9441139610999998E-2</v>
      </c>
      <c r="O704" s="64">
        <v>0</v>
      </c>
    </row>
    <row r="705" spans="1:15" x14ac:dyDescent="0.25">
      <c r="A705" s="114" t="s">
        <v>387</v>
      </c>
      <c r="B705" s="63" t="s">
        <v>52</v>
      </c>
      <c r="C705" s="63" t="s">
        <v>93</v>
      </c>
      <c r="D705" s="63">
        <v>648.89</v>
      </c>
      <c r="E705" s="63">
        <v>850</v>
      </c>
      <c r="F705" s="63">
        <v>0.1</v>
      </c>
      <c r="G705" s="63" t="s">
        <v>23</v>
      </c>
      <c r="H705" s="63" t="s">
        <v>23</v>
      </c>
      <c r="I705" s="63">
        <v>0</v>
      </c>
      <c r="J705" s="63">
        <v>0</v>
      </c>
      <c r="L705" s="63">
        <v>6.1562902510000003E-2</v>
      </c>
      <c r="M705" s="63">
        <v>0</v>
      </c>
      <c r="N705" s="63">
        <v>6.0468566707000002E-2</v>
      </c>
      <c r="O705" s="64">
        <v>0</v>
      </c>
    </row>
    <row r="706" spans="1:15" x14ac:dyDescent="0.25">
      <c r="A706" s="114" t="s">
        <v>377</v>
      </c>
      <c r="B706" s="63" t="s">
        <v>52</v>
      </c>
      <c r="C706" s="63" t="s">
        <v>93</v>
      </c>
      <c r="D706" s="63">
        <v>-195.6</v>
      </c>
      <c r="E706" s="63">
        <v>0</v>
      </c>
      <c r="F706" s="63">
        <v>1</v>
      </c>
      <c r="G706" s="63" t="s">
        <v>23</v>
      </c>
      <c r="H706" s="63" t="s">
        <v>23</v>
      </c>
      <c r="I706" s="63">
        <v>0</v>
      </c>
      <c r="J706" s="63">
        <v>0</v>
      </c>
      <c r="L706" s="63">
        <v>0.57756236573899999</v>
      </c>
      <c r="M706" s="63">
        <v>0</v>
      </c>
      <c r="N706" s="63">
        <v>0.57737184136999997</v>
      </c>
      <c r="O706" s="64">
        <v>0</v>
      </c>
    </row>
    <row r="707" spans="1:15" x14ac:dyDescent="0.25">
      <c r="A707" s="114" t="s">
        <v>380</v>
      </c>
      <c r="B707" s="63" t="s">
        <v>52</v>
      </c>
      <c r="C707" s="63" t="s">
        <v>93</v>
      </c>
      <c r="D707" s="63">
        <v>1E-3</v>
      </c>
      <c r="E707" s="63">
        <v>204.44399999999999</v>
      </c>
      <c r="F707" s="63">
        <v>1</v>
      </c>
      <c r="G707" s="63" t="s">
        <v>23</v>
      </c>
      <c r="H707" s="63" t="s">
        <v>23</v>
      </c>
      <c r="I707" s="63">
        <v>0</v>
      </c>
      <c r="J707" s="63">
        <v>0</v>
      </c>
      <c r="L707" s="63">
        <v>0.577588121733</v>
      </c>
      <c r="M707" s="63">
        <v>0</v>
      </c>
      <c r="N707" s="63">
        <v>0.57739760586199995</v>
      </c>
      <c r="O707" s="64">
        <v>0</v>
      </c>
    </row>
    <row r="708" spans="1:15" x14ac:dyDescent="0.25">
      <c r="A708" s="114" t="s">
        <v>2322</v>
      </c>
      <c r="B708" s="63" t="s">
        <v>52</v>
      </c>
      <c r="C708" s="63" t="s">
        <v>93</v>
      </c>
      <c r="D708" s="63">
        <v>204.44499999999999</v>
      </c>
      <c r="E708" s="63">
        <v>426.66699999999997</v>
      </c>
      <c r="F708" s="63">
        <v>1</v>
      </c>
      <c r="G708" s="63" t="s">
        <v>23</v>
      </c>
      <c r="H708" s="63" t="s">
        <v>23</v>
      </c>
      <c r="I708" s="63">
        <v>0</v>
      </c>
      <c r="J708" s="63">
        <v>0</v>
      </c>
      <c r="L708" s="63">
        <v>0.57770181825900002</v>
      </c>
      <c r="M708" s="63">
        <v>0</v>
      </c>
      <c r="N708" s="63">
        <v>0.57743644498900004</v>
      </c>
      <c r="O708" s="64">
        <v>0</v>
      </c>
    </row>
    <row r="709" spans="1:15" x14ac:dyDescent="0.25">
      <c r="A709" s="114" t="s">
        <v>385</v>
      </c>
      <c r="B709" s="63" t="s">
        <v>52</v>
      </c>
      <c r="C709" s="63" t="s">
        <v>93</v>
      </c>
      <c r="D709" s="63">
        <v>426.66800000000001</v>
      </c>
      <c r="E709" s="63">
        <v>648.88900000000001</v>
      </c>
      <c r="F709" s="63">
        <v>1</v>
      </c>
      <c r="G709" s="63" t="s">
        <v>23</v>
      </c>
      <c r="H709" s="63" t="s">
        <v>23</v>
      </c>
      <c r="I709" s="63">
        <v>0</v>
      </c>
      <c r="J709" s="63">
        <v>0</v>
      </c>
      <c r="L709" s="63">
        <v>0.57778870869599996</v>
      </c>
      <c r="M709" s="63">
        <v>0</v>
      </c>
      <c r="N709" s="63">
        <v>0.57752337535200005</v>
      </c>
      <c r="O709" s="64">
        <v>0</v>
      </c>
    </row>
    <row r="710" spans="1:15" x14ac:dyDescent="0.25">
      <c r="A710" s="114" t="s">
        <v>388</v>
      </c>
      <c r="B710" s="63" t="s">
        <v>52</v>
      </c>
      <c r="C710" s="63" t="s">
        <v>93</v>
      </c>
      <c r="D710" s="63">
        <v>648.89</v>
      </c>
      <c r="E710" s="63">
        <v>850</v>
      </c>
      <c r="F710" s="63">
        <v>1</v>
      </c>
      <c r="G710" s="63" t="s">
        <v>23</v>
      </c>
      <c r="H710" s="63" t="s">
        <v>23</v>
      </c>
      <c r="I710" s="63">
        <v>0</v>
      </c>
      <c r="J710" s="63">
        <v>0</v>
      </c>
      <c r="L710" s="63">
        <v>0.57809222549999995</v>
      </c>
      <c r="M710" s="63">
        <v>0</v>
      </c>
      <c r="N710" s="63">
        <v>0.57763002653899997</v>
      </c>
      <c r="O710" s="64">
        <v>0</v>
      </c>
    </row>
    <row r="711" spans="1:15" x14ac:dyDescent="0.25">
      <c r="A711" s="114" t="s">
        <v>361</v>
      </c>
      <c r="B711" s="63" t="s">
        <v>52</v>
      </c>
      <c r="C711" s="63" t="s">
        <v>94</v>
      </c>
      <c r="D711" s="63">
        <v>-195.6</v>
      </c>
      <c r="E711" s="63">
        <v>0</v>
      </c>
      <c r="F711" s="63">
        <v>0.01</v>
      </c>
      <c r="G711" s="63" t="s">
        <v>23</v>
      </c>
      <c r="H711" s="63" t="s">
        <v>23</v>
      </c>
      <c r="I711" s="63">
        <v>0</v>
      </c>
      <c r="J711" s="63">
        <v>0</v>
      </c>
      <c r="L711" s="63">
        <v>6.9514520009999999E-3</v>
      </c>
      <c r="M711" s="63">
        <v>0</v>
      </c>
      <c r="N711" s="63">
        <v>6.5655270640000004E-3</v>
      </c>
      <c r="O711" s="64">
        <v>0</v>
      </c>
    </row>
    <row r="712" spans="1:15" x14ac:dyDescent="0.25">
      <c r="A712" s="114" t="s">
        <v>364</v>
      </c>
      <c r="B712" s="63" t="s">
        <v>52</v>
      </c>
      <c r="C712" s="63" t="s">
        <v>94</v>
      </c>
      <c r="D712" s="63">
        <v>1E-3</v>
      </c>
      <c r="E712" s="63">
        <v>204.44399999999999</v>
      </c>
      <c r="F712" s="63">
        <v>0.01</v>
      </c>
      <c r="G712" s="63" t="s">
        <v>23</v>
      </c>
      <c r="H712" s="63" t="s">
        <v>23</v>
      </c>
      <c r="I712" s="63">
        <v>0</v>
      </c>
      <c r="J712" s="63">
        <v>0</v>
      </c>
      <c r="L712" s="63">
        <v>9.7193214020000005E-3</v>
      </c>
      <c r="M712" s="63">
        <v>0</v>
      </c>
      <c r="N712" s="63">
        <v>9.3614253380000009E-3</v>
      </c>
      <c r="O712" s="64">
        <v>0</v>
      </c>
    </row>
    <row r="713" spans="1:15" x14ac:dyDescent="0.25">
      <c r="A713" s="114" t="s">
        <v>2323</v>
      </c>
      <c r="B713" s="63" t="s">
        <v>52</v>
      </c>
      <c r="C713" s="63" t="s">
        <v>94</v>
      </c>
      <c r="D713" s="63">
        <v>204.44499999999999</v>
      </c>
      <c r="E713" s="63">
        <v>426.66699999999997</v>
      </c>
      <c r="F713" s="63">
        <v>0.01</v>
      </c>
      <c r="G713" s="63" t="s">
        <v>23</v>
      </c>
      <c r="H713" s="63" t="s">
        <v>23</v>
      </c>
      <c r="I713" s="63">
        <v>0</v>
      </c>
      <c r="J713" s="63">
        <v>0</v>
      </c>
      <c r="L713" s="63">
        <v>1.1767880059999999E-2</v>
      </c>
      <c r="M713" s="63">
        <v>0</v>
      </c>
      <c r="N713" s="63">
        <v>1.1474061048999999E-2</v>
      </c>
      <c r="O713" s="64">
        <v>0</v>
      </c>
    </row>
    <row r="714" spans="1:15" x14ac:dyDescent="0.25">
      <c r="A714" s="114" t="s">
        <v>369</v>
      </c>
      <c r="B714" s="63" t="s">
        <v>52</v>
      </c>
      <c r="C714" s="63" t="s">
        <v>94</v>
      </c>
      <c r="D714" s="63">
        <v>426.66800000000001</v>
      </c>
      <c r="E714" s="63">
        <v>648.88900000000001</v>
      </c>
      <c r="F714" s="63">
        <v>0.01</v>
      </c>
      <c r="G714" s="63" t="s">
        <v>23</v>
      </c>
      <c r="H714" s="63" t="s">
        <v>23</v>
      </c>
      <c r="I714" s="63">
        <v>0</v>
      </c>
      <c r="J714" s="63">
        <v>0</v>
      </c>
      <c r="L714" s="63">
        <v>1.5791867950999999E-2</v>
      </c>
      <c r="M714" s="63">
        <v>0</v>
      </c>
      <c r="N714" s="63">
        <v>1.5173139663999999E-2</v>
      </c>
      <c r="O714" s="64">
        <v>0</v>
      </c>
    </row>
    <row r="715" spans="1:15" x14ac:dyDescent="0.25">
      <c r="A715" s="114" t="s">
        <v>372</v>
      </c>
      <c r="B715" s="63" t="s">
        <v>52</v>
      </c>
      <c r="C715" s="63" t="s">
        <v>94</v>
      </c>
      <c r="D715" s="63">
        <v>648.89</v>
      </c>
      <c r="E715" s="63">
        <v>850</v>
      </c>
      <c r="F715" s="63">
        <v>0.01</v>
      </c>
      <c r="G715" s="63" t="s">
        <v>23</v>
      </c>
      <c r="H715" s="63" t="s">
        <v>23</v>
      </c>
      <c r="I715" s="63">
        <v>0</v>
      </c>
      <c r="J715" s="63">
        <v>0</v>
      </c>
      <c r="L715" s="63">
        <v>1.9042102625000001E-2</v>
      </c>
      <c r="M715" s="63">
        <v>0</v>
      </c>
      <c r="N715" s="63">
        <v>1.8733275037000001E-2</v>
      </c>
      <c r="O715" s="64">
        <v>0</v>
      </c>
    </row>
    <row r="716" spans="1:15" x14ac:dyDescent="0.25">
      <c r="A716" s="114" t="s">
        <v>362</v>
      </c>
      <c r="B716" s="63" t="s">
        <v>52</v>
      </c>
      <c r="C716" s="63" t="s">
        <v>94</v>
      </c>
      <c r="D716" s="63">
        <v>-195.6</v>
      </c>
      <c r="E716" s="63">
        <v>0</v>
      </c>
      <c r="F716" s="63">
        <v>0.1</v>
      </c>
      <c r="G716" s="63" t="s">
        <v>23</v>
      </c>
      <c r="H716" s="63" t="s">
        <v>23</v>
      </c>
      <c r="I716" s="63">
        <v>0</v>
      </c>
      <c r="J716" s="63">
        <v>0</v>
      </c>
      <c r="L716" s="63">
        <v>5.7999761230000002E-2</v>
      </c>
      <c r="M716" s="63">
        <v>0</v>
      </c>
      <c r="N716" s="63">
        <v>5.7819600013000003E-2</v>
      </c>
      <c r="O716" s="64">
        <v>0</v>
      </c>
    </row>
    <row r="717" spans="1:15" x14ac:dyDescent="0.25">
      <c r="A717" s="114" t="s">
        <v>365</v>
      </c>
      <c r="B717" s="63" t="s">
        <v>52</v>
      </c>
      <c r="C717" s="63" t="s">
        <v>94</v>
      </c>
      <c r="D717" s="63">
        <v>1E-3</v>
      </c>
      <c r="E717" s="63">
        <v>204.44399999999999</v>
      </c>
      <c r="F717" s="63">
        <v>0.1</v>
      </c>
      <c r="G717" s="63" t="s">
        <v>23</v>
      </c>
      <c r="H717" s="63" t="s">
        <v>23</v>
      </c>
      <c r="I717" s="63">
        <v>0</v>
      </c>
      <c r="J717" s="63">
        <v>0</v>
      </c>
      <c r="L717" s="63">
        <v>5.8437590478999997E-2</v>
      </c>
      <c r="M717" s="63">
        <v>0</v>
      </c>
      <c r="N717" s="63">
        <v>5.8203404404999999E-2</v>
      </c>
      <c r="O717" s="64">
        <v>0</v>
      </c>
    </row>
    <row r="718" spans="1:15" x14ac:dyDescent="0.25">
      <c r="A718" s="114" t="s">
        <v>367</v>
      </c>
      <c r="B718" s="63" t="s">
        <v>52</v>
      </c>
      <c r="C718" s="63" t="s">
        <v>94</v>
      </c>
      <c r="D718" s="63">
        <v>204.44499999999999</v>
      </c>
      <c r="E718" s="63">
        <v>426.66699999999997</v>
      </c>
      <c r="F718" s="63">
        <v>0.1</v>
      </c>
      <c r="G718" s="63" t="s">
        <v>23</v>
      </c>
      <c r="H718" s="63" t="s">
        <v>23</v>
      </c>
      <c r="I718" s="63">
        <v>0</v>
      </c>
      <c r="J718" s="63">
        <v>0</v>
      </c>
      <c r="L718" s="63">
        <v>5.8813006840000001E-2</v>
      </c>
      <c r="M718" s="63">
        <v>0</v>
      </c>
      <c r="N718" s="63">
        <v>5.8580321584999998E-2</v>
      </c>
      <c r="O718" s="64">
        <v>0</v>
      </c>
    </row>
    <row r="719" spans="1:15" x14ac:dyDescent="0.25">
      <c r="A719" s="114" t="s">
        <v>370</v>
      </c>
      <c r="B719" s="63" t="s">
        <v>52</v>
      </c>
      <c r="C719" s="63" t="s">
        <v>94</v>
      </c>
      <c r="D719" s="63">
        <v>426.66800000000001</v>
      </c>
      <c r="E719" s="63">
        <v>648.88900000000001</v>
      </c>
      <c r="F719" s="63">
        <v>0.1</v>
      </c>
      <c r="G719" s="63" t="s">
        <v>23</v>
      </c>
      <c r="H719" s="63" t="s">
        <v>23</v>
      </c>
      <c r="I719" s="63">
        <v>0</v>
      </c>
      <c r="J719" s="63">
        <v>0</v>
      </c>
      <c r="L719" s="63">
        <v>6.0057138390999999E-2</v>
      </c>
      <c r="M719" s="63">
        <v>0</v>
      </c>
      <c r="N719" s="63">
        <v>5.9415689571999997E-2</v>
      </c>
      <c r="O719" s="64">
        <v>0</v>
      </c>
    </row>
    <row r="720" spans="1:15" x14ac:dyDescent="0.25">
      <c r="A720" s="114" t="s">
        <v>373</v>
      </c>
      <c r="B720" s="63" t="s">
        <v>52</v>
      </c>
      <c r="C720" s="63" t="s">
        <v>94</v>
      </c>
      <c r="D720" s="63">
        <v>648.89</v>
      </c>
      <c r="E720" s="63">
        <v>850</v>
      </c>
      <c r="F720" s="63">
        <v>0.1</v>
      </c>
      <c r="G720" s="63" t="s">
        <v>23</v>
      </c>
      <c r="H720" s="63" t="s">
        <v>23</v>
      </c>
      <c r="I720" s="63">
        <v>0</v>
      </c>
      <c r="J720" s="63">
        <v>0</v>
      </c>
      <c r="L720" s="63">
        <v>6.0807893474000001E-2</v>
      </c>
      <c r="M720" s="63">
        <v>0</v>
      </c>
      <c r="N720" s="63">
        <v>6.0422972399999997E-2</v>
      </c>
      <c r="O720" s="64">
        <v>0</v>
      </c>
    </row>
    <row r="721" spans="1:15" x14ac:dyDescent="0.25">
      <c r="A721" s="114" t="s">
        <v>363</v>
      </c>
      <c r="B721" s="63" t="s">
        <v>52</v>
      </c>
      <c r="C721" s="63" t="s">
        <v>94</v>
      </c>
      <c r="D721" s="63">
        <v>-195.6</v>
      </c>
      <c r="E721" s="63">
        <v>0</v>
      </c>
      <c r="F721" s="63">
        <v>1</v>
      </c>
      <c r="G721" s="63" t="s">
        <v>23</v>
      </c>
      <c r="H721" s="63" t="s">
        <v>23</v>
      </c>
      <c r="I721" s="63">
        <v>0</v>
      </c>
      <c r="J721" s="63">
        <v>0</v>
      </c>
      <c r="L721" s="63">
        <v>0.57743100953600002</v>
      </c>
      <c r="M721" s="63">
        <v>0</v>
      </c>
      <c r="N721" s="63">
        <v>0.57735873263100002</v>
      </c>
      <c r="O721" s="64">
        <v>0</v>
      </c>
    </row>
    <row r="722" spans="1:15" x14ac:dyDescent="0.25">
      <c r="A722" s="114" t="s">
        <v>366</v>
      </c>
      <c r="B722" s="63" t="s">
        <v>52</v>
      </c>
      <c r="C722" s="63" t="s">
        <v>94</v>
      </c>
      <c r="D722" s="63">
        <v>1E-3</v>
      </c>
      <c r="E722" s="63">
        <v>204.44399999999999</v>
      </c>
      <c r="F722" s="63">
        <v>1</v>
      </c>
      <c r="G722" s="63" t="s">
        <v>23</v>
      </c>
      <c r="H722" s="63" t="s">
        <v>23</v>
      </c>
      <c r="I722" s="63">
        <v>0</v>
      </c>
      <c r="J722" s="63">
        <v>0</v>
      </c>
      <c r="L722" s="63">
        <v>0.57749190390100003</v>
      </c>
      <c r="M722" s="63">
        <v>0</v>
      </c>
      <c r="N722" s="63">
        <v>0.57739729501000003</v>
      </c>
      <c r="O722" s="64">
        <v>0</v>
      </c>
    </row>
    <row r="723" spans="1:15" x14ac:dyDescent="0.25">
      <c r="A723" s="114" t="s">
        <v>368</v>
      </c>
      <c r="B723" s="63" t="s">
        <v>52</v>
      </c>
      <c r="C723" s="63" t="s">
        <v>94</v>
      </c>
      <c r="D723" s="63">
        <v>204.44499999999999</v>
      </c>
      <c r="E723" s="63">
        <v>426.66699999999997</v>
      </c>
      <c r="F723" s="63">
        <v>1</v>
      </c>
      <c r="G723" s="63" t="s">
        <v>23</v>
      </c>
      <c r="H723" s="63" t="s">
        <v>23</v>
      </c>
      <c r="I723" s="63">
        <v>0</v>
      </c>
      <c r="J723" s="63">
        <v>0</v>
      </c>
      <c r="L723" s="63">
        <v>0.577530013821</v>
      </c>
      <c r="M723" s="63">
        <v>0</v>
      </c>
      <c r="N723" s="63">
        <v>0.57743541117300001</v>
      </c>
      <c r="O723" s="64">
        <v>0</v>
      </c>
    </row>
    <row r="724" spans="1:15" x14ac:dyDescent="0.25">
      <c r="A724" s="114" t="s">
        <v>371</v>
      </c>
      <c r="B724" s="63" t="s">
        <v>52</v>
      </c>
      <c r="C724" s="63" t="s">
        <v>94</v>
      </c>
      <c r="D724" s="63">
        <v>426.66800000000001</v>
      </c>
      <c r="E724" s="63">
        <v>648.88900000000001</v>
      </c>
      <c r="F724" s="63">
        <v>1</v>
      </c>
      <c r="G724" s="63" t="s">
        <v>23</v>
      </c>
      <c r="H724" s="63" t="s">
        <v>23</v>
      </c>
      <c r="I724" s="63">
        <v>0</v>
      </c>
      <c r="J724" s="63">
        <v>0</v>
      </c>
      <c r="L724" s="63">
        <v>0.57778609102800005</v>
      </c>
      <c r="M724" s="63">
        <v>0</v>
      </c>
      <c r="N724" s="63">
        <v>0.57752075648199996</v>
      </c>
      <c r="O724" s="64">
        <v>0</v>
      </c>
    </row>
    <row r="725" spans="1:15" x14ac:dyDescent="0.25">
      <c r="A725" s="114" t="s">
        <v>374</v>
      </c>
      <c r="B725" s="63" t="s">
        <v>52</v>
      </c>
      <c r="C725" s="63" t="s">
        <v>94</v>
      </c>
      <c r="D725" s="63">
        <v>648.89</v>
      </c>
      <c r="E725" s="63">
        <v>850</v>
      </c>
      <c r="F725" s="63">
        <v>1</v>
      </c>
      <c r="G725" s="63" t="s">
        <v>23</v>
      </c>
      <c r="H725" s="63" t="s">
        <v>23</v>
      </c>
      <c r="I725" s="63">
        <v>0</v>
      </c>
      <c r="J725" s="63">
        <v>0</v>
      </c>
      <c r="L725" s="63">
        <v>0.57778680571100005</v>
      </c>
      <c r="M725" s="63">
        <v>0</v>
      </c>
      <c r="N725" s="63">
        <v>0.577625255329</v>
      </c>
      <c r="O725" s="64">
        <v>0</v>
      </c>
    </row>
    <row r="726" spans="1:15" x14ac:dyDescent="0.25">
      <c r="A726" s="114" t="s">
        <v>2324</v>
      </c>
      <c r="B726" s="63" t="s">
        <v>52</v>
      </c>
      <c r="C726" s="63" t="s">
        <v>90</v>
      </c>
      <c r="D726" s="63">
        <v>-50</v>
      </c>
      <c r="E726" s="63">
        <v>-1E-3</v>
      </c>
      <c r="F726" s="63">
        <v>0.1</v>
      </c>
      <c r="G726" s="63" t="s">
        <v>23</v>
      </c>
      <c r="H726" s="63" t="s">
        <v>23</v>
      </c>
      <c r="I726" s="63">
        <v>0</v>
      </c>
      <c r="J726" s="63">
        <v>0</v>
      </c>
      <c r="L726" s="63">
        <v>0.150846181834</v>
      </c>
      <c r="M726" s="63">
        <v>0</v>
      </c>
      <c r="N726" s="63">
        <v>0.13393649298800001</v>
      </c>
      <c r="O726" s="64">
        <v>0</v>
      </c>
    </row>
    <row r="727" spans="1:15" x14ac:dyDescent="0.25">
      <c r="A727" s="114" t="s">
        <v>356</v>
      </c>
      <c r="B727" s="63" t="s">
        <v>52</v>
      </c>
      <c r="C727" s="63" t="s">
        <v>90</v>
      </c>
      <c r="D727" s="63">
        <v>0</v>
      </c>
      <c r="E727" s="63">
        <v>593</v>
      </c>
      <c r="F727" s="63">
        <v>0.1</v>
      </c>
      <c r="G727" s="63" t="s">
        <v>23</v>
      </c>
      <c r="H727" s="63" t="s">
        <v>23</v>
      </c>
      <c r="I727" s="63">
        <v>0</v>
      </c>
      <c r="J727" s="63">
        <v>0</v>
      </c>
      <c r="L727" s="63">
        <v>0.114852425425</v>
      </c>
      <c r="M727" s="63">
        <v>0</v>
      </c>
      <c r="N727" s="63">
        <v>9.1517720721999998E-2</v>
      </c>
      <c r="O727" s="64">
        <v>0</v>
      </c>
    </row>
    <row r="728" spans="1:15" x14ac:dyDescent="0.25">
      <c r="A728" s="114" t="s">
        <v>358</v>
      </c>
      <c r="B728" s="63" t="s">
        <v>52</v>
      </c>
      <c r="C728" s="63" t="s">
        <v>90</v>
      </c>
      <c r="D728" s="63">
        <v>593.00099999999998</v>
      </c>
      <c r="E728" s="63">
        <v>1204</v>
      </c>
      <c r="F728" s="63">
        <v>0.1</v>
      </c>
      <c r="G728" s="63" t="s">
        <v>23</v>
      </c>
      <c r="H728" s="63" t="s">
        <v>23</v>
      </c>
      <c r="I728" s="63">
        <v>0</v>
      </c>
      <c r="J728" s="63">
        <v>0</v>
      </c>
      <c r="L728" s="63">
        <v>0.100632444834</v>
      </c>
      <c r="M728" s="63">
        <v>0</v>
      </c>
      <c r="N728" s="63">
        <v>7.7848530843000002E-2</v>
      </c>
      <c r="O728" s="64">
        <v>0</v>
      </c>
    </row>
    <row r="729" spans="1:15" x14ac:dyDescent="0.25">
      <c r="A729" s="114" t="s">
        <v>360</v>
      </c>
      <c r="B729" s="63" t="s">
        <v>52</v>
      </c>
      <c r="C729" s="63" t="s">
        <v>90</v>
      </c>
      <c r="D729" s="63">
        <v>1204.001</v>
      </c>
      <c r="E729" s="63">
        <v>1768</v>
      </c>
      <c r="F729" s="63">
        <v>0.1</v>
      </c>
      <c r="G729" s="63" t="s">
        <v>23</v>
      </c>
      <c r="H729" s="63" t="s">
        <v>23</v>
      </c>
      <c r="I729" s="63">
        <v>0</v>
      </c>
      <c r="J729" s="63">
        <v>0</v>
      </c>
      <c r="L729" s="63">
        <v>0.108719156134</v>
      </c>
      <c r="M729" s="63">
        <v>0</v>
      </c>
      <c r="N729" s="63">
        <v>8.8053164119999999E-2</v>
      </c>
      <c r="O729" s="64">
        <v>0</v>
      </c>
    </row>
    <row r="730" spans="1:15" x14ac:dyDescent="0.25">
      <c r="A730" s="114" t="s">
        <v>355</v>
      </c>
      <c r="B730" s="63" t="s">
        <v>52</v>
      </c>
      <c r="C730" s="63" t="s">
        <v>90</v>
      </c>
      <c r="D730" s="63">
        <v>-50</v>
      </c>
      <c r="E730" s="63">
        <v>-1E-3</v>
      </c>
      <c r="F730" s="63">
        <v>1</v>
      </c>
      <c r="G730" s="63" t="s">
        <v>23</v>
      </c>
      <c r="H730" s="63" t="s">
        <v>23</v>
      </c>
      <c r="I730" s="63">
        <v>0</v>
      </c>
      <c r="J730" s="63">
        <v>0</v>
      </c>
      <c r="L730" s="63">
        <v>0.60597139357600005</v>
      </c>
      <c r="M730" s="63">
        <v>0</v>
      </c>
      <c r="N730" s="63">
        <v>0.58986353011000003</v>
      </c>
      <c r="O730" s="64">
        <v>0</v>
      </c>
    </row>
    <row r="731" spans="1:15" x14ac:dyDescent="0.25">
      <c r="A731" s="114" t="s">
        <v>357</v>
      </c>
      <c r="B731" s="63" t="s">
        <v>52</v>
      </c>
      <c r="C731" s="63" t="s">
        <v>90</v>
      </c>
      <c r="D731" s="63">
        <v>0</v>
      </c>
      <c r="E731" s="63">
        <v>593</v>
      </c>
      <c r="F731" s="63">
        <v>1</v>
      </c>
      <c r="G731" s="63" t="s">
        <v>23</v>
      </c>
      <c r="H731" s="63" t="s">
        <v>23</v>
      </c>
      <c r="I731" s="63">
        <v>0</v>
      </c>
      <c r="J731" s="63">
        <v>0</v>
      </c>
      <c r="L731" s="63">
        <v>0.59802829271299995</v>
      </c>
      <c r="M731" s="63">
        <v>0</v>
      </c>
      <c r="N731" s="63">
        <v>0.58170051848500004</v>
      </c>
      <c r="O731" s="64">
        <v>0</v>
      </c>
    </row>
    <row r="732" spans="1:15" x14ac:dyDescent="0.25">
      <c r="A732" s="114" t="s">
        <v>359</v>
      </c>
      <c r="B732" s="63" t="s">
        <v>52</v>
      </c>
      <c r="C732" s="63" t="s">
        <v>90</v>
      </c>
      <c r="D732" s="63">
        <v>593.00099999999998</v>
      </c>
      <c r="E732" s="63">
        <v>1204</v>
      </c>
      <c r="F732" s="63">
        <v>1</v>
      </c>
      <c r="G732" s="63" t="s">
        <v>23</v>
      </c>
      <c r="H732" s="63" t="s">
        <v>23</v>
      </c>
      <c r="I732" s="63">
        <v>0</v>
      </c>
      <c r="J732" s="63">
        <v>0</v>
      </c>
      <c r="L732" s="63">
        <v>0.59357086733599995</v>
      </c>
      <c r="M732" s="63">
        <v>0</v>
      </c>
      <c r="N732" s="63">
        <v>0.57970716206899997</v>
      </c>
      <c r="O732" s="64">
        <v>0</v>
      </c>
    </row>
    <row r="733" spans="1:15" x14ac:dyDescent="0.25">
      <c r="A733" s="114" t="s">
        <v>2325</v>
      </c>
      <c r="B733" s="63" t="s">
        <v>52</v>
      </c>
      <c r="C733" s="63" t="s">
        <v>90</v>
      </c>
      <c r="D733" s="63">
        <v>1204.001</v>
      </c>
      <c r="E733" s="63">
        <v>1768</v>
      </c>
      <c r="F733" s="63">
        <v>1</v>
      </c>
      <c r="G733" s="63" t="s">
        <v>23</v>
      </c>
      <c r="H733" s="63" t="s">
        <v>23</v>
      </c>
      <c r="I733" s="63">
        <v>0</v>
      </c>
      <c r="J733" s="63">
        <v>0</v>
      </c>
      <c r="L733" s="63">
        <v>0.59499524410500004</v>
      </c>
      <c r="M733" s="63">
        <v>0</v>
      </c>
      <c r="N733" s="63">
        <v>0.58116551834399999</v>
      </c>
      <c r="O733" s="64">
        <v>0</v>
      </c>
    </row>
    <row r="734" spans="1:15" x14ac:dyDescent="0.25">
      <c r="A734" s="114" t="s">
        <v>347</v>
      </c>
      <c r="B734" s="63" t="s">
        <v>52</v>
      </c>
      <c r="C734" s="63" t="s">
        <v>91</v>
      </c>
      <c r="D734" s="63">
        <v>-50</v>
      </c>
      <c r="E734" s="63">
        <v>-1E-3</v>
      </c>
      <c r="F734" s="63">
        <v>0.1</v>
      </c>
      <c r="G734" s="63" t="s">
        <v>23</v>
      </c>
      <c r="H734" s="63" t="s">
        <v>23</v>
      </c>
      <c r="I734" s="63">
        <v>0</v>
      </c>
      <c r="J734" s="63">
        <v>0</v>
      </c>
      <c r="L734" s="63">
        <v>0.131494226346</v>
      </c>
      <c r="M734" s="63">
        <v>0</v>
      </c>
      <c r="N734" s="63">
        <v>0.111692189264</v>
      </c>
      <c r="O734" s="64">
        <v>0</v>
      </c>
    </row>
    <row r="735" spans="1:15" x14ac:dyDescent="0.25">
      <c r="A735" s="114" t="s">
        <v>349</v>
      </c>
      <c r="B735" s="63" t="s">
        <v>52</v>
      </c>
      <c r="C735" s="63" t="s">
        <v>91</v>
      </c>
      <c r="D735" s="63">
        <v>0</v>
      </c>
      <c r="E735" s="63">
        <v>593</v>
      </c>
      <c r="F735" s="63">
        <v>0.1</v>
      </c>
      <c r="G735" s="63" t="s">
        <v>23</v>
      </c>
      <c r="H735" s="63" t="s">
        <v>23</v>
      </c>
      <c r="I735" s="63">
        <v>0</v>
      </c>
      <c r="J735" s="63">
        <v>0</v>
      </c>
      <c r="L735" s="63">
        <v>0.109757297329</v>
      </c>
      <c r="M735" s="63">
        <v>0</v>
      </c>
      <c r="N735" s="63">
        <v>8.5662657725999999E-2</v>
      </c>
      <c r="O735" s="64">
        <v>0</v>
      </c>
    </row>
    <row r="736" spans="1:15" x14ac:dyDescent="0.25">
      <c r="A736" s="114" t="s">
        <v>351</v>
      </c>
      <c r="B736" s="63" t="s">
        <v>52</v>
      </c>
      <c r="C736" s="63" t="s">
        <v>91</v>
      </c>
      <c r="D736" s="63">
        <v>593.00099999999998</v>
      </c>
      <c r="E736" s="63">
        <v>1204</v>
      </c>
      <c r="F736" s="63">
        <v>0.1</v>
      </c>
      <c r="G736" s="63" t="s">
        <v>23</v>
      </c>
      <c r="H736" s="63" t="s">
        <v>23</v>
      </c>
      <c r="I736" s="63">
        <v>0</v>
      </c>
      <c r="J736" s="63">
        <v>0</v>
      </c>
      <c r="L736" s="63">
        <v>0.100632444834</v>
      </c>
      <c r="M736" s="63">
        <v>0</v>
      </c>
      <c r="N736" s="63">
        <v>7.9868483926000003E-2</v>
      </c>
      <c r="O736" s="64">
        <v>0</v>
      </c>
    </row>
    <row r="737" spans="1:15" x14ac:dyDescent="0.25">
      <c r="A737" s="114" t="s">
        <v>353</v>
      </c>
      <c r="B737" s="63" t="s">
        <v>52</v>
      </c>
      <c r="C737" s="63" t="s">
        <v>91</v>
      </c>
      <c r="D737" s="63">
        <v>1204.001</v>
      </c>
      <c r="E737" s="63">
        <v>1768</v>
      </c>
      <c r="F737" s="63">
        <v>0.1</v>
      </c>
      <c r="G737" s="63" t="s">
        <v>23</v>
      </c>
      <c r="H737" s="63" t="s">
        <v>23</v>
      </c>
      <c r="I737" s="63">
        <v>0</v>
      </c>
      <c r="J737" s="63">
        <v>0</v>
      </c>
      <c r="L737" s="63">
        <v>0.11141327991900001</v>
      </c>
      <c r="M737" s="63">
        <v>0</v>
      </c>
      <c r="N737" s="63">
        <v>9.1358763911999999E-2</v>
      </c>
      <c r="O737" s="64">
        <v>0</v>
      </c>
    </row>
    <row r="738" spans="1:15" x14ac:dyDescent="0.25">
      <c r="A738" s="114" t="s">
        <v>348</v>
      </c>
      <c r="B738" s="63" t="s">
        <v>52</v>
      </c>
      <c r="C738" s="63" t="s">
        <v>91</v>
      </c>
      <c r="D738" s="63">
        <v>-50</v>
      </c>
      <c r="E738" s="63">
        <v>-1E-3</v>
      </c>
      <c r="F738" s="63">
        <v>1</v>
      </c>
      <c r="G738" s="63" t="s">
        <v>23</v>
      </c>
      <c r="H738" s="63" t="s">
        <v>23</v>
      </c>
      <c r="I738" s="63">
        <v>0</v>
      </c>
      <c r="J738" s="63">
        <v>0</v>
      </c>
      <c r="L738" s="63">
        <v>0.60144616618699998</v>
      </c>
      <c r="M738" s="63">
        <v>0</v>
      </c>
      <c r="N738" s="63">
        <v>0.58521376021299998</v>
      </c>
      <c r="O738" s="64">
        <v>0</v>
      </c>
    </row>
    <row r="739" spans="1:15" x14ac:dyDescent="0.25">
      <c r="A739" s="114" t="s">
        <v>350</v>
      </c>
      <c r="B739" s="63" t="s">
        <v>52</v>
      </c>
      <c r="C739" s="63" t="s">
        <v>91</v>
      </c>
      <c r="D739" s="63">
        <v>0</v>
      </c>
      <c r="E739" s="63">
        <v>593</v>
      </c>
      <c r="F739" s="63">
        <v>1</v>
      </c>
      <c r="G739" s="63" t="s">
        <v>23</v>
      </c>
      <c r="H739" s="63" t="s">
        <v>23</v>
      </c>
      <c r="I739" s="63">
        <v>0</v>
      </c>
      <c r="J739" s="63">
        <v>0</v>
      </c>
      <c r="L739" s="63">
        <v>0.59680179664699995</v>
      </c>
      <c r="M739" s="63">
        <v>0</v>
      </c>
      <c r="N739" s="63">
        <v>0.58080813607299997</v>
      </c>
      <c r="O739" s="64">
        <v>0</v>
      </c>
    </row>
    <row r="740" spans="1:15" x14ac:dyDescent="0.25">
      <c r="A740" s="114" t="s">
        <v>352</v>
      </c>
      <c r="B740" s="63" t="s">
        <v>52</v>
      </c>
      <c r="C740" s="63" t="s">
        <v>91</v>
      </c>
      <c r="D740" s="63">
        <v>593.00099999999998</v>
      </c>
      <c r="E740" s="63">
        <v>1204</v>
      </c>
      <c r="F740" s="63">
        <v>1</v>
      </c>
      <c r="G740" s="63" t="s">
        <v>23</v>
      </c>
      <c r="H740" s="63" t="s">
        <v>23</v>
      </c>
      <c r="I740" s="63">
        <v>0</v>
      </c>
      <c r="J740" s="63">
        <v>0</v>
      </c>
      <c r="L740" s="63">
        <v>0.59383916637400003</v>
      </c>
      <c r="M740" s="63">
        <v>0</v>
      </c>
      <c r="N740" s="63">
        <v>0.57998187447899996</v>
      </c>
      <c r="O740" s="64">
        <v>0</v>
      </c>
    </row>
    <row r="741" spans="1:15" x14ac:dyDescent="0.25">
      <c r="A741" s="114" t="s">
        <v>354</v>
      </c>
      <c r="B741" s="63" t="s">
        <v>52</v>
      </c>
      <c r="C741" s="63" t="s">
        <v>91</v>
      </c>
      <c r="D741" s="63">
        <v>1204.001</v>
      </c>
      <c r="E741" s="63">
        <v>1768</v>
      </c>
      <c r="F741" s="63">
        <v>1</v>
      </c>
      <c r="G741" s="63" t="s">
        <v>23</v>
      </c>
      <c r="H741" s="63" t="s">
        <v>23</v>
      </c>
      <c r="I741" s="63">
        <v>0</v>
      </c>
      <c r="J741" s="63">
        <v>0</v>
      </c>
      <c r="L741" s="63">
        <v>0.595493412675</v>
      </c>
      <c r="M741" s="63">
        <v>0</v>
      </c>
      <c r="N741" s="63">
        <v>0.58167553132600003</v>
      </c>
      <c r="O741" s="64">
        <v>0</v>
      </c>
    </row>
    <row r="742" spans="1:15" x14ac:dyDescent="0.25">
      <c r="A742" s="114" t="s">
        <v>344</v>
      </c>
      <c r="B742" s="63" t="s">
        <v>52</v>
      </c>
      <c r="C742" s="63" t="s">
        <v>92</v>
      </c>
      <c r="D742" s="63">
        <v>-270</v>
      </c>
      <c r="E742" s="63">
        <v>-240.001</v>
      </c>
      <c r="F742" s="63">
        <v>0.1</v>
      </c>
      <c r="G742" s="63" t="s">
        <v>23</v>
      </c>
      <c r="H742" s="63" t="s">
        <v>23</v>
      </c>
      <c r="I742" s="63">
        <v>0</v>
      </c>
      <c r="J742" s="63">
        <v>0</v>
      </c>
      <c r="L742" s="63">
        <v>0.24590050138299999</v>
      </c>
      <c r="M742" s="63">
        <v>0</v>
      </c>
      <c r="N742" s="63">
        <v>0.23488276122099999</v>
      </c>
      <c r="O742" s="64">
        <v>0</v>
      </c>
    </row>
    <row r="743" spans="1:15" x14ac:dyDescent="0.25">
      <c r="A743" s="114" t="s">
        <v>2326</v>
      </c>
      <c r="B743" s="63" t="s">
        <v>52</v>
      </c>
      <c r="C743" s="63" t="s">
        <v>92</v>
      </c>
      <c r="D743" s="63">
        <v>-240</v>
      </c>
      <c r="E743" s="63">
        <v>92.998999999999995</v>
      </c>
      <c r="F743" s="63">
        <v>0.1</v>
      </c>
      <c r="G743" s="63" t="s">
        <v>23</v>
      </c>
      <c r="H743" s="63" t="s">
        <v>23</v>
      </c>
      <c r="I743" s="63">
        <v>0</v>
      </c>
      <c r="J743" s="63">
        <v>0</v>
      </c>
      <c r="L743" s="63">
        <v>0.108409273345</v>
      </c>
      <c r="M743" s="63">
        <v>0</v>
      </c>
      <c r="N743" s="63">
        <v>8.5819789406000005E-2</v>
      </c>
      <c r="O743" s="64">
        <v>0</v>
      </c>
    </row>
    <row r="744" spans="1:15" x14ac:dyDescent="0.25">
      <c r="A744" s="114" t="s">
        <v>346</v>
      </c>
      <c r="B744" s="63" t="s">
        <v>52</v>
      </c>
      <c r="C744" s="63" t="s">
        <v>92</v>
      </c>
      <c r="D744" s="63">
        <v>93</v>
      </c>
      <c r="E744" s="63">
        <v>400</v>
      </c>
      <c r="F744" s="63">
        <v>0.1</v>
      </c>
      <c r="G744" s="63" t="s">
        <v>23</v>
      </c>
      <c r="H744" s="63" t="s">
        <v>23</v>
      </c>
      <c r="I744" s="63">
        <v>0</v>
      </c>
      <c r="J744" s="63">
        <v>0</v>
      </c>
      <c r="L744" s="63">
        <v>7.6721655829999999E-2</v>
      </c>
      <c r="M744" s="63">
        <v>0</v>
      </c>
      <c r="N744" s="63">
        <v>6.6644853870000006E-2</v>
      </c>
      <c r="O744" s="64">
        <v>0</v>
      </c>
    </row>
    <row r="745" spans="1:15" x14ac:dyDescent="0.25">
      <c r="A745" s="114" t="s">
        <v>2327</v>
      </c>
      <c r="B745" s="63" t="s">
        <v>52</v>
      </c>
      <c r="C745" s="63" t="s">
        <v>92</v>
      </c>
      <c r="D745" s="63">
        <v>-270</v>
      </c>
      <c r="E745" s="63">
        <v>-240.001</v>
      </c>
      <c r="F745" s="63">
        <v>1</v>
      </c>
      <c r="G745" s="63" t="s">
        <v>23</v>
      </c>
      <c r="H745" s="63" t="s">
        <v>23</v>
      </c>
      <c r="I745" s="63">
        <v>0</v>
      </c>
      <c r="J745" s="63">
        <v>0</v>
      </c>
      <c r="L745" s="63">
        <v>0.63746254146100001</v>
      </c>
      <c r="M745" s="63">
        <v>0</v>
      </c>
      <c r="N745" s="63">
        <v>0.62062058580000001</v>
      </c>
      <c r="O745" s="64">
        <v>0</v>
      </c>
    </row>
    <row r="746" spans="1:15" x14ac:dyDescent="0.25">
      <c r="A746" s="114" t="s">
        <v>345</v>
      </c>
      <c r="B746" s="63" t="s">
        <v>52</v>
      </c>
      <c r="C746" s="63" t="s">
        <v>92</v>
      </c>
      <c r="D746" s="63">
        <v>-240</v>
      </c>
      <c r="E746" s="63">
        <v>92.998999999999995</v>
      </c>
      <c r="F746" s="63">
        <v>1</v>
      </c>
      <c r="G746" s="63" t="s">
        <v>23</v>
      </c>
      <c r="H746" s="63" t="s">
        <v>23</v>
      </c>
      <c r="I746" s="63">
        <v>0</v>
      </c>
      <c r="J746" s="63">
        <v>0</v>
      </c>
      <c r="L746" s="63">
        <v>0.59574757526</v>
      </c>
      <c r="M746" s="63">
        <v>0</v>
      </c>
      <c r="N746" s="63">
        <v>0.58083133201799997</v>
      </c>
      <c r="O746" s="64">
        <v>0</v>
      </c>
    </row>
    <row r="747" spans="1:15" x14ac:dyDescent="0.25">
      <c r="A747" s="114" t="s">
        <v>2328</v>
      </c>
      <c r="B747" s="63" t="s">
        <v>52</v>
      </c>
      <c r="C747" s="63" t="s">
        <v>92</v>
      </c>
      <c r="D747" s="63">
        <v>93</v>
      </c>
      <c r="E747" s="63">
        <v>400</v>
      </c>
      <c r="F747" s="63">
        <v>1</v>
      </c>
      <c r="G747" s="63" t="s">
        <v>23</v>
      </c>
      <c r="H747" s="63" t="s">
        <v>23</v>
      </c>
      <c r="I747" s="63">
        <v>0</v>
      </c>
      <c r="J747" s="63">
        <v>0</v>
      </c>
      <c r="L747" s="63">
        <v>0.58328401336799995</v>
      </c>
      <c r="M747" s="63">
        <v>0</v>
      </c>
      <c r="N747" s="63">
        <v>0.57830920496500005</v>
      </c>
      <c r="O747" s="64">
        <v>0</v>
      </c>
    </row>
    <row r="748" spans="1:15" x14ac:dyDescent="0.25">
      <c r="A748" s="114" t="s">
        <v>295</v>
      </c>
      <c r="B748" s="63" t="s">
        <v>52</v>
      </c>
      <c r="C748" s="63" t="s">
        <v>43</v>
      </c>
      <c r="D748" s="63">
        <v>0</v>
      </c>
      <c r="E748" s="63">
        <v>9.9999999999999995E-8</v>
      </c>
      <c r="F748" s="63">
        <v>9.9999999999999998E-13</v>
      </c>
      <c r="G748" s="63" t="s">
        <v>13</v>
      </c>
      <c r="H748" s="63" t="s">
        <v>67</v>
      </c>
      <c r="I748" s="63">
        <v>0</v>
      </c>
      <c r="J748" s="63">
        <v>0</v>
      </c>
      <c r="L748" s="63">
        <v>4.8000000000000001E-2</v>
      </c>
      <c r="M748" s="63">
        <v>34000</v>
      </c>
      <c r="N748" s="63">
        <v>4.6246000000000002E-2</v>
      </c>
      <c r="O748" s="64">
        <v>34649</v>
      </c>
    </row>
    <row r="749" spans="1:15" x14ac:dyDescent="0.25">
      <c r="A749" s="114" t="s">
        <v>306</v>
      </c>
      <c r="B749" s="63" t="s">
        <v>52</v>
      </c>
      <c r="C749" s="63" t="s">
        <v>43</v>
      </c>
      <c r="D749" s="63">
        <v>9.9999999999999995E-8</v>
      </c>
      <c r="E749" s="63">
        <v>9.9999999999999995E-7</v>
      </c>
      <c r="F749" s="63">
        <v>9.9999999999999998E-13</v>
      </c>
      <c r="G749" s="63" t="s">
        <v>13</v>
      </c>
      <c r="H749" s="63" t="s">
        <v>67</v>
      </c>
      <c r="I749" s="63">
        <v>0</v>
      </c>
      <c r="J749" s="63">
        <v>0</v>
      </c>
      <c r="L749" s="63">
        <v>4.8000000000000001E-2</v>
      </c>
      <c r="M749" s="63">
        <v>23000</v>
      </c>
      <c r="N749" s="63">
        <v>4.6073000000000003E-2</v>
      </c>
      <c r="O749" s="64">
        <v>24826</v>
      </c>
    </row>
    <row r="750" spans="1:15" x14ac:dyDescent="0.25">
      <c r="A750" s="114" t="s">
        <v>311</v>
      </c>
      <c r="B750" s="63" t="s">
        <v>52</v>
      </c>
      <c r="C750" s="63" t="s">
        <v>43</v>
      </c>
      <c r="D750" s="63">
        <v>9.9999999999999995E-7</v>
      </c>
      <c r="E750" s="63">
        <v>1.0000000000000001E-5</v>
      </c>
      <c r="F750" s="63">
        <v>9.9999999999999998E-13</v>
      </c>
      <c r="G750" s="63" t="s">
        <v>13</v>
      </c>
      <c r="H750" s="63" t="s">
        <v>67</v>
      </c>
      <c r="I750" s="63">
        <v>0</v>
      </c>
      <c r="J750" s="63">
        <v>0</v>
      </c>
      <c r="L750" s="63">
        <v>0.13</v>
      </c>
      <c r="M750" s="63">
        <v>25000</v>
      </c>
      <c r="N750" s="63">
        <v>0.11375</v>
      </c>
      <c r="O750" s="64">
        <v>25625</v>
      </c>
    </row>
    <row r="751" spans="1:15" x14ac:dyDescent="0.25">
      <c r="A751" s="114" t="s">
        <v>2329</v>
      </c>
      <c r="B751" s="63" t="s">
        <v>52</v>
      </c>
      <c r="C751" s="63" t="s">
        <v>43</v>
      </c>
      <c r="D751" s="63">
        <v>0</v>
      </c>
      <c r="E751" s="63">
        <v>9.9999999999999995E-8</v>
      </c>
      <c r="F751" s="63">
        <v>9.9999999999999994E-12</v>
      </c>
      <c r="G751" s="63" t="s">
        <v>13</v>
      </c>
      <c r="H751" s="63" t="s">
        <v>67</v>
      </c>
      <c r="I751" s="63">
        <v>0</v>
      </c>
      <c r="J751" s="63">
        <v>0</v>
      </c>
      <c r="L751" s="63">
        <v>4.8000000000000001E-2</v>
      </c>
      <c r="M751" s="63">
        <v>34000</v>
      </c>
      <c r="N751" s="63">
        <v>4.6600999999999997E-2</v>
      </c>
      <c r="O751" s="64">
        <v>34403</v>
      </c>
    </row>
    <row r="752" spans="1:15" x14ac:dyDescent="0.25">
      <c r="A752" s="114" t="s">
        <v>307</v>
      </c>
      <c r="B752" s="63" t="s">
        <v>52</v>
      </c>
      <c r="C752" s="63" t="s">
        <v>43</v>
      </c>
      <c r="D752" s="63">
        <v>9.9999999999999995E-8</v>
      </c>
      <c r="E752" s="63">
        <v>9.9999999999999995E-7</v>
      </c>
      <c r="F752" s="63">
        <v>9.9999999999999994E-12</v>
      </c>
      <c r="G752" s="63" t="s">
        <v>13</v>
      </c>
      <c r="H752" s="63" t="s">
        <v>67</v>
      </c>
      <c r="I752" s="63">
        <v>0</v>
      </c>
      <c r="J752" s="63">
        <v>0</v>
      </c>
      <c r="L752" s="63">
        <v>4.8000000000000001E-2</v>
      </c>
      <c r="M752" s="63">
        <v>23271</v>
      </c>
      <c r="N752" s="63">
        <v>4.6424E-2</v>
      </c>
      <c r="O752" s="64">
        <v>24708</v>
      </c>
    </row>
    <row r="753" spans="1:15" x14ac:dyDescent="0.25">
      <c r="A753" s="114" t="s">
        <v>312</v>
      </c>
      <c r="B753" s="63" t="s">
        <v>52</v>
      </c>
      <c r="C753" s="63" t="s">
        <v>43</v>
      </c>
      <c r="D753" s="63">
        <v>9.9999999999999995E-7</v>
      </c>
      <c r="E753" s="63">
        <v>1.0000000000000001E-5</v>
      </c>
      <c r="F753" s="63">
        <v>9.9999999999999994E-12</v>
      </c>
      <c r="G753" s="63" t="s">
        <v>13</v>
      </c>
      <c r="H753" s="63" t="s">
        <v>67</v>
      </c>
      <c r="I753" s="63">
        <v>0</v>
      </c>
      <c r="J753" s="63">
        <v>0</v>
      </c>
      <c r="L753" s="63">
        <v>0.13</v>
      </c>
      <c r="M753" s="63">
        <v>25119</v>
      </c>
      <c r="N753" s="63">
        <v>0.11389000000000001</v>
      </c>
      <c r="O753" s="64">
        <v>25617</v>
      </c>
    </row>
    <row r="754" spans="1:15" x14ac:dyDescent="0.25">
      <c r="A754" s="114" t="s">
        <v>316</v>
      </c>
      <c r="B754" s="63" t="s">
        <v>52</v>
      </c>
      <c r="C754" s="63" t="s">
        <v>43</v>
      </c>
      <c r="D754" s="63">
        <v>1.0000000000000001E-5</v>
      </c>
      <c r="E754" s="63">
        <v>1E-4</v>
      </c>
      <c r="F754" s="63">
        <v>9.9999999999999994E-12</v>
      </c>
      <c r="G754" s="63" t="s">
        <v>13</v>
      </c>
      <c r="H754" s="63" t="s">
        <v>67</v>
      </c>
      <c r="I754" s="63">
        <v>0</v>
      </c>
      <c r="J754" s="63">
        <v>0</v>
      </c>
      <c r="L754" s="63">
        <v>0.16</v>
      </c>
      <c r="M754" s="63">
        <v>23000</v>
      </c>
      <c r="N754" s="63">
        <v>0.11411</v>
      </c>
      <c r="O754" s="64">
        <v>23000</v>
      </c>
    </row>
    <row r="755" spans="1:15" x14ac:dyDescent="0.25">
      <c r="A755" s="114" t="s">
        <v>296</v>
      </c>
      <c r="B755" s="63" t="s">
        <v>52</v>
      </c>
      <c r="C755" s="63" t="s">
        <v>43</v>
      </c>
      <c r="D755" s="63">
        <v>0</v>
      </c>
      <c r="E755" s="63">
        <v>9.9999999999999995E-8</v>
      </c>
      <c r="F755" s="63">
        <v>1E-10</v>
      </c>
      <c r="G755" s="63" t="s">
        <v>13</v>
      </c>
      <c r="H755" s="63" t="s">
        <v>67</v>
      </c>
      <c r="I755" s="63">
        <v>0</v>
      </c>
      <c r="J755" s="63">
        <v>0</v>
      </c>
      <c r="L755" s="63">
        <v>7.4257000000000004E-2</v>
      </c>
      <c r="M755" s="63">
        <v>24027</v>
      </c>
      <c r="N755" s="63">
        <v>7.3969999999999994E-2</v>
      </c>
      <c r="O755" s="64">
        <v>22146</v>
      </c>
    </row>
    <row r="756" spans="1:15" x14ac:dyDescent="0.25">
      <c r="A756" s="114" t="s">
        <v>308</v>
      </c>
      <c r="B756" s="63" t="s">
        <v>52</v>
      </c>
      <c r="C756" s="63" t="s">
        <v>43</v>
      </c>
      <c r="D756" s="63">
        <v>9.9999999999999995E-8</v>
      </c>
      <c r="E756" s="63">
        <v>9.9999999999999995E-7</v>
      </c>
      <c r="F756" s="63">
        <v>1E-10</v>
      </c>
      <c r="G756" s="63" t="s">
        <v>13</v>
      </c>
      <c r="H756" s="63" t="s">
        <v>67</v>
      </c>
      <c r="I756" s="63">
        <v>0</v>
      </c>
      <c r="J756" s="63">
        <v>0</v>
      </c>
      <c r="L756" s="63">
        <v>7.4091000000000004E-2</v>
      </c>
      <c r="M756" s="63">
        <v>17690</v>
      </c>
      <c r="N756" s="63">
        <v>7.3660000000000003E-2</v>
      </c>
      <c r="O756" s="64">
        <v>17772</v>
      </c>
    </row>
    <row r="757" spans="1:15" x14ac:dyDescent="0.25">
      <c r="A757" s="114" t="s">
        <v>313</v>
      </c>
      <c r="B757" s="63" t="s">
        <v>52</v>
      </c>
      <c r="C757" s="63" t="s">
        <v>43</v>
      </c>
      <c r="D757" s="63">
        <v>9.9999999999999995E-7</v>
      </c>
      <c r="E757" s="63">
        <v>1.0000000000000001E-5</v>
      </c>
      <c r="F757" s="63">
        <v>1E-10</v>
      </c>
      <c r="G757" s="63" t="s">
        <v>13</v>
      </c>
      <c r="H757" s="63" t="s">
        <v>67</v>
      </c>
      <c r="I757" s="63">
        <v>0</v>
      </c>
      <c r="J757" s="63">
        <v>0</v>
      </c>
      <c r="L757" s="63">
        <v>0.13</v>
      </c>
      <c r="M757" s="63">
        <v>24832</v>
      </c>
      <c r="N757" s="63">
        <v>0.12601999999999999</v>
      </c>
      <c r="O757" s="64">
        <v>24846</v>
      </c>
    </row>
    <row r="758" spans="1:15" x14ac:dyDescent="0.25">
      <c r="A758" s="114" t="s">
        <v>317</v>
      </c>
      <c r="B758" s="63" t="s">
        <v>52</v>
      </c>
      <c r="C758" s="63" t="s">
        <v>43</v>
      </c>
      <c r="D758" s="63">
        <v>1.0000000000000001E-5</v>
      </c>
      <c r="E758" s="63">
        <v>1E-4</v>
      </c>
      <c r="F758" s="63">
        <v>1E-10</v>
      </c>
      <c r="G758" s="63" t="s">
        <v>13</v>
      </c>
      <c r="H758" s="63" t="s">
        <v>67</v>
      </c>
      <c r="I758" s="63">
        <v>0</v>
      </c>
      <c r="J758" s="63">
        <v>0</v>
      </c>
      <c r="L758" s="63">
        <v>0.16</v>
      </c>
      <c r="M758" s="63">
        <v>23403</v>
      </c>
      <c r="N758" s="63">
        <v>0.11928</v>
      </c>
      <c r="O758" s="64">
        <v>23403</v>
      </c>
    </row>
    <row r="759" spans="1:15" x14ac:dyDescent="0.25">
      <c r="A759" s="114" t="s">
        <v>320</v>
      </c>
      <c r="B759" s="63" t="s">
        <v>52</v>
      </c>
      <c r="C759" s="63" t="s">
        <v>43</v>
      </c>
      <c r="D759" s="63">
        <v>1E-4</v>
      </c>
      <c r="E759" s="63">
        <v>1E-3</v>
      </c>
      <c r="F759" s="63">
        <v>1E-10</v>
      </c>
      <c r="G759" s="63" t="s">
        <v>13</v>
      </c>
      <c r="H759" s="63" t="s">
        <v>67</v>
      </c>
      <c r="I759" s="63">
        <v>0</v>
      </c>
      <c r="J759" s="63">
        <v>0</v>
      </c>
      <c r="L759" s="63">
        <v>6.3</v>
      </c>
      <c r="M759" s="63">
        <v>23000</v>
      </c>
      <c r="N759" s="63">
        <v>5.7455999999999996</v>
      </c>
      <c r="O759" s="64">
        <v>23552</v>
      </c>
    </row>
    <row r="760" spans="1:15" x14ac:dyDescent="0.25">
      <c r="A760" s="114" t="s">
        <v>297</v>
      </c>
      <c r="B760" s="63" t="s">
        <v>52</v>
      </c>
      <c r="C760" s="63" t="s">
        <v>43</v>
      </c>
      <c r="D760" s="63">
        <v>0</v>
      </c>
      <c r="E760" s="63">
        <v>9.9999999999999995E-8</v>
      </c>
      <c r="F760" s="63">
        <v>1.0000000000000001E-9</v>
      </c>
      <c r="G760" s="63" t="s">
        <v>13</v>
      </c>
      <c r="H760" s="63" t="s">
        <v>67</v>
      </c>
      <c r="I760" s="63">
        <v>0</v>
      </c>
      <c r="J760" s="63">
        <v>0</v>
      </c>
      <c r="L760" s="63">
        <v>0.57935000000000003</v>
      </c>
      <c r="M760" s="63">
        <v>3897.9</v>
      </c>
      <c r="N760" s="63">
        <v>0.57920000000000005</v>
      </c>
      <c r="O760" s="64">
        <v>2870.4</v>
      </c>
    </row>
    <row r="761" spans="1:15" x14ac:dyDescent="0.25">
      <c r="A761" s="114" t="s">
        <v>309</v>
      </c>
      <c r="B761" s="63" t="s">
        <v>52</v>
      </c>
      <c r="C761" s="63" t="s">
        <v>43</v>
      </c>
      <c r="D761" s="63">
        <v>9.9999999999999995E-8</v>
      </c>
      <c r="E761" s="63">
        <v>9.9999999999999995E-7</v>
      </c>
      <c r="F761" s="63">
        <v>1.0000000000000001E-9</v>
      </c>
      <c r="G761" s="63" t="s">
        <v>13</v>
      </c>
      <c r="H761" s="63" t="s">
        <v>67</v>
      </c>
      <c r="I761" s="63">
        <v>0</v>
      </c>
      <c r="J761" s="63">
        <v>0</v>
      </c>
      <c r="L761" s="63">
        <v>0.57935999999999999</v>
      </c>
      <c r="M761" s="63">
        <v>2553.1999999999998</v>
      </c>
      <c r="N761" s="63">
        <v>0.57913999999999999</v>
      </c>
      <c r="O761" s="64">
        <v>2554.1</v>
      </c>
    </row>
    <row r="762" spans="1:15" x14ac:dyDescent="0.25">
      <c r="A762" s="114" t="s">
        <v>2330</v>
      </c>
      <c r="B762" s="63" t="s">
        <v>52</v>
      </c>
      <c r="C762" s="63" t="s">
        <v>43</v>
      </c>
      <c r="D762" s="63">
        <v>9.9999999999999995E-7</v>
      </c>
      <c r="E762" s="63">
        <v>1.0000000000000001E-5</v>
      </c>
      <c r="F762" s="63">
        <v>1.0000000000000001E-9</v>
      </c>
      <c r="G762" s="63" t="s">
        <v>13</v>
      </c>
      <c r="H762" s="63" t="s">
        <v>67</v>
      </c>
      <c r="I762" s="63">
        <v>0</v>
      </c>
      <c r="J762" s="63">
        <v>0</v>
      </c>
      <c r="L762" s="63">
        <v>0.58396000000000003</v>
      </c>
      <c r="M762" s="63">
        <v>10197</v>
      </c>
      <c r="N762" s="63">
        <v>0.58374000000000004</v>
      </c>
      <c r="O762" s="64">
        <v>10200</v>
      </c>
    </row>
    <row r="763" spans="1:15" x14ac:dyDescent="0.25">
      <c r="A763" s="114" t="s">
        <v>2331</v>
      </c>
      <c r="B763" s="63" t="s">
        <v>52</v>
      </c>
      <c r="C763" s="63" t="s">
        <v>43</v>
      </c>
      <c r="D763" s="63">
        <v>1.0000000000000001E-5</v>
      </c>
      <c r="E763" s="63">
        <v>1E-4</v>
      </c>
      <c r="F763" s="63">
        <v>1.0000000000000001E-9</v>
      </c>
      <c r="G763" s="63" t="s">
        <v>13</v>
      </c>
      <c r="H763" s="63" t="s">
        <v>67</v>
      </c>
      <c r="I763" s="63">
        <v>0</v>
      </c>
      <c r="J763" s="63">
        <v>0</v>
      </c>
      <c r="L763" s="63">
        <v>0.47123999999999999</v>
      </c>
      <c r="M763" s="63">
        <v>20574</v>
      </c>
      <c r="N763" s="63">
        <v>0.46866000000000002</v>
      </c>
      <c r="O763" s="64">
        <v>20574</v>
      </c>
    </row>
    <row r="764" spans="1:15" x14ac:dyDescent="0.25">
      <c r="A764" s="114" t="s">
        <v>321</v>
      </c>
      <c r="B764" s="63" t="s">
        <v>52</v>
      </c>
      <c r="C764" s="63" t="s">
        <v>43</v>
      </c>
      <c r="D764" s="63">
        <v>1E-4</v>
      </c>
      <c r="E764" s="63">
        <v>1E-3</v>
      </c>
      <c r="F764" s="63">
        <v>1.0000000000000001E-9</v>
      </c>
      <c r="G764" s="63" t="s">
        <v>13</v>
      </c>
      <c r="H764" s="63" t="s">
        <v>67</v>
      </c>
      <c r="I764" s="63">
        <v>0</v>
      </c>
      <c r="J764" s="63">
        <v>0</v>
      </c>
      <c r="L764" s="63">
        <v>6.3</v>
      </c>
      <c r="M764" s="63">
        <v>23340</v>
      </c>
      <c r="N764" s="63">
        <v>5.7675000000000001</v>
      </c>
      <c r="O764" s="64">
        <v>23536</v>
      </c>
    </row>
    <row r="765" spans="1:15" x14ac:dyDescent="0.25">
      <c r="A765" s="114" t="s">
        <v>325</v>
      </c>
      <c r="B765" s="63" t="s">
        <v>52</v>
      </c>
      <c r="C765" s="63" t="s">
        <v>43</v>
      </c>
      <c r="D765" s="63">
        <v>1E-3</v>
      </c>
      <c r="E765" s="63">
        <v>0.01</v>
      </c>
      <c r="F765" s="63">
        <v>1.0000000000000001E-9</v>
      </c>
      <c r="G765" s="63" t="s">
        <v>13</v>
      </c>
      <c r="H765" s="63" t="s">
        <v>11</v>
      </c>
      <c r="I765" s="63">
        <v>0</v>
      </c>
      <c r="J765" s="63">
        <v>0</v>
      </c>
      <c r="L765" s="63">
        <v>6.4000000000000001E-2</v>
      </c>
      <c r="M765" s="63">
        <v>23</v>
      </c>
      <c r="N765" s="63">
        <v>5.7395000000000002E-2</v>
      </c>
      <c r="O765" s="64">
        <v>23.593</v>
      </c>
    </row>
    <row r="766" spans="1:15" x14ac:dyDescent="0.25">
      <c r="A766" s="114" t="s">
        <v>298</v>
      </c>
      <c r="B766" s="63" t="s">
        <v>52</v>
      </c>
      <c r="C766" s="63" t="s">
        <v>43</v>
      </c>
      <c r="D766" s="63">
        <v>0</v>
      </c>
      <c r="E766" s="63">
        <v>9.9999999999999995E-8</v>
      </c>
      <c r="F766" s="63">
        <v>1E-8</v>
      </c>
      <c r="G766" s="63" t="s">
        <v>13</v>
      </c>
      <c r="H766" s="63" t="s">
        <v>67</v>
      </c>
      <c r="I766" s="63">
        <v>0</v>
      </c>
      <c r="J766" s="63">
        <v>0</v>
      </c>
      <c r="L766" s="63">
        <v>5.7737999999999996</v>
      </c>
      <c r="M766" s="63">
        <v>700.9</v>
      </c>
      <c r="N766" s="63">
        <v>5.7736999999999998</v>
      </c>
      <c r="O766" s="64">
        <v>288.02</v>
      </c>
    </row>
    <row r="767" spans="1:15" x14ac:dyDescent="0.25">
      <c r="A767" s="114" t="s">
        <v>310</v>
      </c>
      <c r="B767" s="63" t="s">
        <v>52</v>
      </c>
      <c r="C767" s="63" t="s">
        <v>43</v>
      </c>
      <c r="D767" s="63">
        <v>9.9999999999999995E-8</v>
      </c>
      <c r="E767" s="63">
        <v>9.9999999999999995E-7</v>
      </c>
      <c r="F767" s="63">
        <v>1E-8</v>
      </c>
      <c r="G767" s="63" t="s">
        <v>13</v>
      </c>
      <c r="H767" s="63" t="s">
        <v>67</v>
      </c>
      <c r="I767" s="63">
        <v>0</v>
      </c>
      <c r="J767" s="63">
        <v>0</v>
      </c>
      <c r="L767" s="63">
        <v>5.7737999999999996</v>
      </c>
      <c r="M767" s="63">
        <v>256.81</v>
      </c>
      <c r="N767" s="63">
        <v>5.7736999999999998</v>
      </c>
      <c r="O767" s="64">
        <v>256.81</v>
      </c>
    </row>
    <row r="768" spans="1:15" x14ac:dyDescent="0.25">
      <c r="A768" s="114" t="s">
        <v>314</v>
      </c>
      <c r="B768" s="63" t="s">
        <v>52</v>
      </c>
      <c r="C768" s="63" t="s">
        <v>43</v>
      </c>
      <c r="D768" s="63">
        <v>9.9999999999999995E-7</v>
      </c>
      <c r="E768" s="63">
        <v>1.0000000000000001E-5</v>
      </c>
      <c r="F768" s="63">
        <v>1E-8</v>
      </c>
      <c r="G768" s="63" t="s">
        <v>13</v>
      </c>
      <c r="H768" s="63" t="s">
        <v>67</v>
      </c>
      <c r="I768" s="63">
        <v>0</v>
      </c>
      <c r="J768" s="63">
        <v>0</v>
      </c>
      <c r="L768" s="63">
        <v>5.7742000000000004</v>
      </c>
      <c r="M768" s="63">
        <v>1129.0999999999999</v>
      </c>
      <c r="N768" s="63">
        <v>5.7740999999999998</v>
      </c>
      <c r="O768" s="64">
        <v>1129.0999999999999</v>
      </c>
    </row>
    <row r="769" spans="1:15" x14ac:dyDescent="0.25">
      <c r="A769" s="114" t="s">
        <v>318</v>
      </c>
      <c r="B769" s="63" t="s">
        <v>52</v>
      </c>
      <c r="C769" s="63" t="s">
        <v>43</v>
      </c>
      <c r="D769" s="63">
        <v>1.0000000000000001E-5</v>
      </c>
      <c r="E769" s="63">
        <v>1E-4</v>
      </c>
      <c r="F769" s="63">
        <v>1E-8</v>
      </c>
      <c r="G769" s="63" t="s">
        <v>13</v>
      </c>
      <c r="H769" s="63" t="s">
        <v>67</v>
      </c>
      <c r="I769" s="63">
        <v>0</v>
      </c>
      <c r="J769" s="63">
        <v>0</v>
      </c>
      <c r="L769" s="63">
        <v>5.7304000000000004</v>
      </c>
      <c r="M769" s="63">
        <v>5486.9</v>
      </c>
      <c r="N769" s="63">
        <v>5.7294</v>
      </c>
      <c r="O769" s="64">
        <v>5486.9</v>
      </c>
    </row>
    <row r="770" spans="1:15" x14ac:dyDescent="0.25">
      <c r="A770" s="114" t="s">
        <v>322</v>
      </c>
      <c r="B770" s="63" t="s">
        <v>52</v>
      </c>
      <c r="C770" s="63" t="s">
        <v>43</v>
      </c>
      <c r="D770" s="63">
        <v>1E-4</v>
      </c>
      <c r="E770" s="63">
        <v>1E-3</v>
      </c>
      <c r="F770" s="63">
        <v>1E-8</v>
      </c>
      <c r="G770" s="63" t="s">
        <v>13</v>
      </c>
      <c r="H770" s="63" t="s">
        <v>67</v>
      </c>
      <c r="I770" s="63">
        <v>0</v>
      </c>
      <c r="J770" s="63">
        <v>0</v>
      </c>
      <c r="L770" s="63">
        <v>7.7388000000000003</v>
      </c>
      <c r="M770" s="63">
        <v>22133</v>
      </c>
      <c r="N770" s="63">
        <v>7.7351000000000001</v>
      </c>
      <c r="O770" s="64">
        <v>22126</v>
      </c>
    </row>
    <row r="771" spans="1:15" x14ac:dyDescent="0.25">
      <c r="A771" s="114" t="s">
        <v>2332</v>
      </c>
      <c r="B771" s="63" t="s">
        <v>52</v>
      </c>
      <c r="C771" s="63" t="s">
        <v>43</v>
      </c>
      <c r="D771" s="63">
        <v>1E-3</v>
      </c>
      <c r="E771" s="63">
        <v>0.01</v>
      </c>
      <c r="F771" s="63">
        <v>1E-8</v>
      </c>
      <c r="G771" s="63" t="s">
        <v>13</v>
      </c>
      <c r="H771" s="63" t="s">
        <v>11</v>
      </c>
      <c r="I771" s="63">
        <v>0</v>
      </c>
      <c r="J771" s="63">
        <v>0</v>
      </c>
      <c r="L771" s="63">
        <v>6.4000000000000001E-2</v>
      </c>
      <c r="M771" s="63">
        <v>23.49</v>
      </c>
      <c r="N771" s="63">
        <v>5.7620999999999999E-2</v>
      </c>
      <c r="O771" s="64">
        <v>23.576000000000001</v>
      </c>
    </row>
    <row r="772" spans="1:15" x14ac:dyDescent="0.25">
      <c r="A772" s="114" t="s">
        <v>330</v>
      </c>
      <c r="B772" s="63" t="s">
        <v>52</v>
      </c>
      <c r="C772" s="63" t="s">
        <v>43</v>
      </c>
      <c r="D772" s="63">
        <v>0.01</v>
      </c>
      <c r="E772" s="63">
        <v>0.1</v>
      </c>
      <c r="F772" s="63">
        <v>1E-8</v>
      </c>
      <c r="G772" s="63" t="s">
        <v>13</v>
      </c>
      <c r="H772" s="63" t="s">
        <v>11</v>
      </c>
      <c r="I772" s="63">
        <v>0</v>
      </c>
      <c r="J772" s="63">
        <v>0</v>
      </c>
      <c r="L772" s="63">
        <v>0.67</v>
      </c>
      <c r="M772" s="63">
        <v>40</v>
      </c>
      <c r="N772" s="63">
        <v>0.57450999999999997</v>
      </c>
      <c r="O772" s="64">
        <v>40.857999999999997</v>
      </c>
    </row>
    <row r="773" spans="1:15" x14ac:dyDescent="0.25">
      <c r="A773" s="114" t="s">
        <v>299</v>
      </c>
      <c r="B773" s="63" t="s">
        <v>52</v>
      </c>
      <c r="C773" s="63" t="s">
        <v>43</v>
      </c>
      <c r="D773" s="63">
        <v>0</v>
      </c>
      <c r="E773" s="63">
        <v>9.9999999999999995E-8</v>
      </c>
      <c r="F773" s="63">
        <v>9.9999999999999995E-8</v>
      </c>
      <c r="G773" s="63" t="s">
        <v>13</v>
      </c>
      <c r="H773" s="63" t="s">
        <v>67</v>
      </c>
      <c r="I773" s="63">
        <v>0</v>
      </c>
      <c r="J773" s="63">
        <v>0</v>
      </c>
      <c r="L773" s="63">
        <v>57.735999999999997</v>
      </c>
      <c r="M773" s="63">
        <v>193.97</v>
      </c>
      <c r="N773" s="63">
        <v>57.735999999999997</v>
      </c>
      <c r="O773" s="64">
        <v>28.803000000000001</v>
      </c>
    </row>
    <row r="774" spans="1:15" x14ac:dyDescent="0.25">
      <c r="A774" s="114" t="s">
        <v>2333</v>
      </c>
      <c r="B774" s="63" t="s">
        <v>52</v>
      </c>
      <c r="C774" s="63" t="s">
        <v>43</v>
      </c>
      <c r="D774" s="63">
        <v>9.9999999999999995E-8</v>
      </c>
      <c r="E774" s="63">
        <v>9.9999999999999995E-7</v>
      </c>
      <c r="F774" s="63">
        <v>9.9999999999999995E-8</v>
      </c>
      <c r="G774" s="63" t="s">
        <v>13</v>
      </c>
      <c r="H774" s="63" t="s">
        <v>67</v>
      </c>
      <c r="I774" s="63">
        <v>0</v>
      </c>
      <c r="J774" s="63">
        <v>0</v>
      </c>
      <c r="L774" s="63">
        <v>57.735999999999997</v>
      </c>
      <c r="M774" s="63">
        <v>25.681999999999999</v>
      </c>
      <c r="N774" s="63">
        <v>57.735999999999997</v>
      </c>
      <c r="O774" s="64">
        <v>25.681999999999999</v>
      </c>
    </row>
    <row r="775" spans="1:15" x14ac:dyDescent="0.25">
      <c r="A775" s="114" t="s">
        <v>315</v>
      </c>
      <c r="B775" s="63" t="s">
        <v>52</v>
      </c>
      <c r="C775" s="63" t="s">
        <v>43</v>
      </c>
      <c r="D775" s="63">
        <v>9.9999999999999995E-7</v>
      </c>
      <c r="E775" s="63">
        <v>1.0000000000000001E-5</v>
      </c>
      <c r="F775" s="63">
        <v>9.9999999999999995E-8</v>
      </c>
      <c r="G775" s="63" t="s">
        <v>13</v>
      </c>
      <c r="H775" s="63" t="s">
        <v>67</v>
      </c>
      <c r="I775" s="63">
        <v>0</v>
      </c>
      <c r="J775" s="63">
        <v>0</v>
      </c>
      <c r="L775" s="63">
        <v>57.735999999999997</v>
      </c>
      <c r="M775" s="63">
        <v>113.04</v>
      </c>
      <c r="N775" s="63">
        <v>57.734999999999999</v>
      </c>
      <c r="O775" s="64">
        <v>113.04</v>
      </c>
    </row>
    <row r="776" spans="1:15" x14ac:dyDescent="0.25">
      <c r="A776" s="114" t="s">
        <v>2334</v>
      </c>
      <c r="B776" s="63" t="s">
        <v>52</v>
      </c>
      <c r="C776" s="63" t="s">
        <v>43</v>
      </c>
      <c r="D776" s="63">
        <v>1.0000000000000001E-5</v>
      </c>
      <c r="E776" s="63">
        <v>1E-4</v>
      </c>
      <c r="F776" s="63">
        <v>9.9999999999999995E-8</v>
      </c>
      <c r="G776" s="63" t="s">
        <v>13</v>
      </c>
      <c r="H776" s="63" t="s">
        <v>67</v>
      </c>
      <c r="I776" s="63">
        <v>0</v>
      </c>
      <c r="J776" s="63">
        <v>0</v>
      </c>
      <c r="L776" s="63">
        <v>57.731000000000002</v>
      </c>
      <c r="M776" s="63">
        <v>581.51</v>
      </c>
      <c r="N776" s="63">
        <v>57.731000000000002</v>
      </c>
      <c r="O776" s="64">
        <v>581.51</v>
      </c>
    </row>
    <row r="777" spans="1:15" x14ac:dyDescent="0.25">
      <c r="A777" s="114" t="s">
        <v>323</v>
      </c>
      <c r="B777" s="63" t="s">
        <v>52</v>
      </c>
      <c r="C777" s="63" t="s">
        <v>43</v>
      </c>
      <c r="D777" s="63">
        <v>1E-4</v>
      </c>
      <c r="E777" s="63">
        <v>1E-3</v>
      </c>
      <c r="F777" s="63">
        <v>9.9999999999999995E-8</v>
      </c>
      <c r="G777" s="63" t="s">
        <v>13</v>
      </c>
      <c r="H777" s="63" t="s">
        <v>67</v>
      </c>
      <c r="I777" s="63">
        <v>0</v>
      </c>
      <c r="J777" s="63">
        <v>0</v>
      </c>
      <c r="L777" s="63">
        <v>57.585999999999999</v>
      </c>
      <c r="M777" s="63">
        <v>7177.2</v>
      </c>
      <c r="N777" s="63">
        <v>57.585000000000001</v>
      </c>
      <c r="O777" s="64">
        <v>7158.5</v>
      </c>
    </row>
    <row r="778" spans="1:15" x14ac:dyDescent="0.25">
      <c r="A778" s="114" t="s">
        <v>326</v>
      </c>
      <c r="B778" s="63" t="s">
        <v>52</v>
      </c>
      <c r="C778" s="63" t="s">
        <v>43</v>
      </c>
      <c r="D778" s="63">
        <v>1E-3</v>
      </c>
      <c r="E778" s="63">
        <v>0.01</v>
      </c>
      <c r="F778" s="63">
        <v>9.9999999999999995E-8</v>
      </c>
      <c r="G778" s="63" t="s">
        <v>13</v>
      </c>
      <c r="H778" s="63" t="s">
        <v>11</v>
      </c>
      <c r="I778" s="63">
        <v>0</v>
      </c>
      <c r="J778" s="63">
        <v>0</v>
      </c>
      <c r="L778" s="63">
        <v>7.7329999999999996E-2</v>
      </c>
      <c r="M778" s="63">
        <v>22.172999999999998</v>
      </c>
      <c r="N778" s="63">
        <v>7.7294000000000002E-2</v>
      </c>
      <c r="O778" s="64">
        <v>22.166</v>
      </c>
    </row>
    <row r="779" spans="1:15" x14ac:dyDescent="0.25">
      <c r="A779" s="114" t="s">
        <v>331</v>
      </c>
      <c r="B779" s="63" t="s">
        <v>52</v>
      </c>
      <c r="C779" s="63" t="s">
        <v>43</v>
      </c>
      <c r="D779" s="63">
        <v>0.01</v>
      </c>
      <c r="E779" s="63">
        <v>0.1</v>
      </c>
      <c r="F779" s="63">
        <v>9.9999999999999995E-8</v>
      </c>
      <c r="G779" s="63" t="s">
        <v>13</v>
      </c>
      <c r="H779" s="63" t="s">
        <v>11</v>
      </c>
      <c r="I779" s="63">
        <v>0</v>
      </c>
      <c r="J779" s="63">
        <v>0</v>
      </c>
      <c r="L779" s="63">
        <v>0.67</v>
      </c>
      <c r="M779" s="63">
        <v>40.353999999999999</v>
      </c>
      <c r="N779" s="63">
        <v>0.57628999999999997</v>
      </c>
      <c r="O779" s="64">
        <v>40.844000000000001</v>
      </c>
    </row>
    <row r="780" spans="1:15" x14ac:dyDescent="0.25">
      <c r="A780" s="114" t="s">
        <v>336</v>
      </c>
      <c r="B780" s="63" t="s">
        <v>52</v>
      </c>
      <c r="C780" s="63" t="s">
        <v>43</v>
      </c>
      <c r="D780" s="63">
        <v>0.1</v>
      </c>
      <c r="E780" s="63">
        <v>1</v>
      </c>
      <c r="F780" s="63">
        <v>9.9999999999999995E-8</v>
      </c>
      <c r="G780" s="63" t="s">
        <v>13</v>
      </c>
      <c r="H780" s="63" t="s">
        <v>11</v>
      </c>
      <c r="I780" s="63">
        <v>0</v>
      </c>
      <c r="J780" s="63">
        <v>0</v>
      </c>
      <c r="L780" s="63">
        <v>12</v>
      </c>
      <c r="M780" s="63">
        <v>130</v>
      </c>
      <c r="N780" s="63">
        <v>11.536</v>
      </c>
      <c r="O780" s="64">
        <v>127.22</v>
      </c>
    </row>
    <row r="781" spans="1:15" x14ac:dyDescent="0.25">
      <c r="A781" s="114" t="s">
        <v>300</v>
      </c>
      <c r="B781" s="63" t="s">
        <v>52</v>
      </c>
      <c r="C781" s="63" t="s">
        <v>43</v>
      </c>
      <c r="D781" s="63">
        <v>0</v>
      </c>
      <c r="E781" s="63">
        <v>9.9999999999999995E-8</v>
      </c>
      <c r="F781" s="63">
        <v>9.9999999999999995E-7</v>
      </c>
      <c r="G781" s="63" t="s">
        <v>13</v>
      </c>
      <c r="H781" s="63" t="s">
        <v>67</v>
      </c>
      <c r="I781" s="63">
        <v>0</v>
      </c>
      <c r="J781" s="63">
        <v>0</v>
      </c>
      <c r="L781" s="63">
        <v>577.36</v>
      </c>
      <c r="M781" s="63">
        <v>68.944999999999993</v>
      </c>
      <c r="N781" s="63">
        <v>577.36</v>
      </c>
      <c r="O781" s="64">
        <v>2.8803000000000001</v>
      </c>
    </row>
    <row r="782" spans="1:15" x14ac:dyDescent="0.25">
      <c r="A782" s="114" t="s">
        <v>319</v>
      </c>
      <c r="B782" s="63" t="s">
        <v>52</v>
      </c>
      <c r="C782" s="63" t="s">
        <v>43</v>
      </c>
      <c r="D782" s="63">
        <v>1.0000000000000001E-5</v>
      </c>
      <c r="E782" s="63">
        <v>1E-4</v>
      </c>
      <c r="F782" s="63">
        <v>9.9999999999999995E-7</v>
      </c>
      <c r="G782" s="63" t="s">
        <v>13</v>
      </c>
      <c r="H782" s="63" t="s">
        <v>67</v>
      </c>
      <c r="I782" s="63">
        <v>0</v>
      </c>
      <c r="J782" s="63">
        <v>0</v>
      </c>
      <c r="L782" s="63">
        <v>577.35</v>
      </c>
      <c r="M782" s="63">
        <v>61.585000000000001</v>
      </c>
      <c r="N782" s="63">
        <v>577.35</v>
      </c>
      <c r="O782" s="64">
        <v>61.585000000000001</v>
      </c>
    </row>
    <row r="783" spans="1:15" x14ac:dyDescent="0.25">
      <c r="A783" s="114" t="s">
        <v>324</v>
      </c>
      <c r="B783" s="63" t="s">
        <v>52</v>
      </c>
      <c r="C783" s="63" t="s">
        <v>43</v>
      </c>
      <c r="D783" s="63">
        <v>1E-4</v>
      </c>
      <c r="E783" s="63">
        <v>1E-3</v>
      </c>
      <c r="F783" s="63">
        <v>9.9999999999999995E-7</v>
      </c>
      <c r="G783" s="63" t="s">
        <v>13</v>
      </c>
      <c r="H783" s="63" t="s">
        <v>67</v>
      </c>
      <c r="I783" s="63">
        <v>0</v>
      </c>
      <c r="J783" s="63">
        <v>0</v>
      </c>
      <c r="L783" s="63">
        <v>577.34</v>
      </c>
      <c r="M783" s="63">
        <v>770.78</v>
      </c>
      <c r="N783" s="63">
        <v>577.34</v>
      </c>
      <c r="O783" s="64">
        <v>762.27</v>
      </c>
    </row>
    <row r="784" spans="1:15" x14ac:dyDescent="0.25">
      <c r="A784" s="114" t="s">
        <v>327</v>
      </c>
      <c r="B784" s="63" t="s">
        <v>52</v>
      </c>
      <c r="C784" s="63" t="s">
        <v>43</v>
      </c>
      <c r="D784" s="63">
        <v>1E-3</v>
      </c>
      <c r="E784" s="63">
        <v>0.01</v>
      </c>
      <c r="F784" s="63">
        <v>9.9999999999999995E-7</v>
      </c>
      <c r="G784" s="63" t="s">
        <v>13</v>
      </c>
      <c r="H784" s="63" t="s">
        <v>11</v>
      </c>
      <c r="I784" s="63">
        <v>0</v>
      </c>
      <c r="J784" s="63">
        <v>0</v>
      </c>
      <c r="L784" s="63">
        <v>0.57584000000000002</v>
      </c>
      <c r="M784" s="63">
        <v>7.1948999999999996</v>
      </c>
      <c r="N784" s="63">
        <v>0.57582999999999995</v>
      </c>
      <c r="O784" s="64">
        <v>7.1763000000000003</v>
      </c>
    </row>
    <row r="785" spans="1:15" x14ac:dyDescent="0.25">
      <c r="A785" s="114" t="s">
        <v>332</v>
      </c>
      <c r="B785" s="63" t="s">
        <v>52</v>
      </c>
      <c r="C785" s="63" t="s">
        <v>43</v>
      </c>
      <c r="D785" s="63">
        <v>0.01</v>
      </c>
      <c r="E785" s="63">
        <v>0.1</v>
      </c>
      <c r="F785" s="63">
        <v>9.9999999999999995E-7</v>
      </c>
      <c r="G785" s="63" t="s">
        <v>13</v>
      </c>
      <c r="H785" s="63" t="s">
        <v>11</v>
      </c>
      <c r="I785" s="63">
        <v>0</v>
      </c>
      <c r="J785" s="63">
        <v>0</v>
      </c>
      <c r="L785" s="63">
        <v>0.75326000000000004</v>
      </c>
      <c r="M785" s="63">
        <v>39.473999999999997</v>
      </c>
      <c r="N785" s="63">
        <v>0.74494000000000005</v>
      </c>
      <c r="O785" s="64">
        <v>39.51</v>
      </c>
    </row>
    <row r="786" spans="1:15" x14ac:dyDescent="0.25">
      <c r="A786" s="114" t="s">
        <v>2335</v>
      </c>
      <c r="B786" s="63" t="s">
        <v>52</v>
      </c>
      <c r="C786" s="63" t="s">
        <v>43</v>
      </c>
      <c r="D786" s="63">
        <v>0.1</v>
      </c>
      <c r="E786" s="63">
        <v>1</v>
      </c>
      <c r="F786" s="63">
        <v>9.9999999999999995E-7</v>
      </c>
      <c r="G786" s="63" t="s">
        <v>13</v>
      </c>
      <c r="H786" s="63" t="s">
        <v>11</v>
      </c>
      <c r="I786" s="63">
        <v>0</v>
      </c>
      <c r="J786" s="63">
        <v>0</v>
      </c>
      <c r="L786" s="63">
        <v>12</v>
      </c>
      <c r="M786" s="63">
        <v>130</v>
      </c>
      <c r="N786" s="63">
        <v>11.548</v>
      </c>
      <c r="O786" s="64">
        <v>127.21</v>
      </c>
    </row>
    <row r="787" spans="1:15" x14ac:dyDescent="0.25">
      <c r="A787" s="114" t="s">
        <v>339</v>
      </c>
      <c r="B787" s="63" t="s">
        <v>52</v>
      </c>
      <c r="C787" s="63" t="s">
        <v>43</v>
      </c>
      <c r="D787" s="63">
        <v>1</v>
      </c>
      <c r="E787" s="63">
        <v>20</v>
      </c>
      <c r="F787" s="63">
        <v>9.9999999999999995E-7</v>
      </c>
      <c r="G787" s="63" t="s">
        <v>13</v>
      </c>
      <c r="H787" s="63" t="s">
        <v>12</v>
      </c>
      <c r="I787" s="63">
        <v>0</v>
      </c>
      <c r="J787" s="63">
        <v>0</v>
      </c>
      <c r="L787" s="63">
        <v>6.8000000000000005E-2</v>
      </c>
      <c r="M787" s="63">
        <v>3.5999999999999999E-3</v>
      </c>
      <c r="N787" s="63">
        <v>4.2999999999999997E-2</v>
      </c>
      <c r="O787" s="64">
        <v>4.7621E-3</v>
      </c>
    </row>
    <row r="788" spans="1:15" x14ac:dyDescent="0.25">
      <c r="A788" s="114" t="s">
        <v>301</v>
      </c>
      <c r="B788" s="63" t="s">
        <v>52</v>
      </c>
      <c r="C788" s="63" t="s">
        <v>43</v>
      </c>
      <c r="D788" s="63">
        <v>0</v>
      </c>
      <c r="E788" s="63">
        <v>9.9999999999999995E-8</v>
      </c>
      <c r="F788" s="63">
        <v>1.0000000000000001E-5</v>
      </c>
      <c r="G788" s="63" t="s">
        <v>13</v>
      </c>
      <c r="H788" s="63" t="s">
        <v>67</v>
      </c>
      <c r="I788" s="63">
        <v>0</v>
      </c>
      <c r="J788" s="63">
        <v>0</v>
      </c>
      <c r="L788" s="63">
        <v>5773.6</v>
      </c>
      <c r="M788" s="63">
        <v>26.713999999999999</v>
      </c>
      <c r="N788" s="63">
        <v>5773.6</v>
      </c>
      <c r="O788" s="64">
        <v>0.28803000000000001</v>
      </c>
    </row>
    <row r="789" spans="1:15" x14ac:dyDescent="0.25">
      <c r="A789" s="114" t="s">
        <v>2336</v>
      </c>
      <c r="B789" s="63" t="s">
        <v>52</v>
      </c>
      <c r="C789" s="63" t="s">
        <v>43</v>
      </c>
      <c r="D789" s="63">
        <v>1E-4</v>
      </c>
      <c r="E789" s="63">
        <v>1E-3</v>
      </c>
      <c r="F789" s="63">
        <v>1.0000000000000001E-5</v>
      </c>
      <c r="G789" s="63" t="s">
        <v>13</v>
      </c>
      <c r="H789" s="63" t="s">
        <v>67</v>
      </c>
      <c r="I789" s="63">
        <v>0</v>
      </c>
      <c r="J789" s="63">
        <v>0</v>
      </c>
      <c r="L789" s="63">
        <v>5773.6</v>
      </c>
      <c r="M789" s="63">
        <v>79.686000000000007</v>
      </c>
      <c r="N789" s="63">
        <v>5773.5</v>
      </c>
      <c r="O789" s="64">
        <v>76.28</v>
      </c>
    </row>
    <row r="790" spans="1:15" x14ac:dyDescent="0.25">
      <c r="A790" s="114" t="s">
        <v>328</v>
      </c>
      <c r="B790" s="63" t="s">
        <v>52</v>
      </c>
      <c r="C790" s="63" t="s">
        <v>43</v>
      </c>
      <c r="D790" s="63">
        <v>1E-3</v>
      </c>
      <c r="E790" s="63">
        <v>0.01</v>
      </c>
      <c r="F790" s="63">
        <v>1.0000000000000001E-5</v>
      </c>
      <c r="G790" s="63" t="s">
        <v>13</v>
      </c>
      <c r="H790" s="63" t="s">
        <v>11</v>
      </c>
      <c r="I790" s="63">
        <v>0</v>
      </c>
      <c r="J790" s="63">
        <v>0</v>
      </c>
      <c r="L790" s="63">
        <v>5.7733999999999996</v>
      </c>
      <c r="M790" s="63">
        <v>0.77276999999999996</v>
      </c>
      <c r="N790" s="63">
        <v>5.7733999999999996</v>
      </c>
      <c r="O790" s="64">
        <v>0.76426000000000005</v>
      </c>
    </row>
    <row r="791" spans="1:15" x14ac:dyDescent="0.25">
      <c r="A791" s="114" t="s">
        <v>333</v>
      </c>
      <c r="B791" s="63" t="s">
        <v>52</v>
      </c>
      <c r="C791" s="63" t="s">
        <v>43</v>
      </c>
      <c r="D791" s="63">
        <v>0.01</v>
      </c>
      <c r="E791" s="63">
        <v>0.1</v>
      </c>
      <c r="F791" s="63">
        <v>1.0000000000000001E-5</v>
      </c>
      <c r="G791" s="63" t="s">
        <v>13</v>
      </c>
      <c r="H791" s="63" t="s">
        <v>11</v>
      </c>
      <c r="I791" s="63">
        <v>0</v>
      </c>
      <c r="J791" s="63">
        <v>0</v>
      </c>
      <c r="L791" s="63">
        <v>5.6886000000000001</v>
      </c>
      <c r="M791" s="63">
        <v>17.431000000000001</v>
      </c>
      <c r="N791" s="63">
        <v>5.6829999999999998</v>
      </c>
      <c r="O791" s="64">
        <v>17.367999999999999</v>
      </c>
    </row>
    <row r="792" spans="1:15" x14ac:dyDescent="0.25">
      <c r="A792" s="114" t="s">
        <v>337</v>
      </c>
      <c r="B792" s="63" t="s">
        <v>52</v>
      </c>
      <c r="C792" s="63" t="s">
        <v>43</v>
      </c>
      <c r="D792" s="63">
        <v>0.1</v>
      </c>
      <c r="E792" s="63">
        <v>1</v>
      </c>
      <c r="F792" s="63">
        <v>1.0000000000000001E-5</v>
      </c>
      <c r="G792" s="63" t="s">
        <v>13</v>
      </c>
      <c r="H792" s="63" t="s">
        <v>11</v>
      </c>
      <c r="I792" s="63">
        <v>0</v>
      </c>
      <c r="J792" s="63">
        <v>0</v>
      </c>
      <c r="L792" s="63">
        <v>12</v>
      </c>
      <c r="M792" s="63">
        <v>130</v>
      </c>
      <c r="N792" s="63">
        <v>12.276999999999999</v>
      </c>
      <c r="O792" s="64">
        <v>126.6</v>
      </c>
    </row>
    <row r="793" spans="1:15" x14ac:dyDescent="0.25">
      <c r="A793" s="114" t="s">
        <v>2337</v>
      </c>
      <c r="B793" s="63" t="s">
        <v>52</v>
      </c>
      <c r="C793" s="63" t="s">
        <v>43</v>
      </c>
      <c r="D793" s="63">
        <v>1</v>
      </c>
      <c r="E793" s="63">
        <v>20</v>
      </c>
      <c r="F793" s="63">
        <v>1.0000000000000001E-5</v>
      </c>
      <c r="G793" s="63" t="s">
        <v>13</v>
      </c>
      <c r="H793" s="63" t="s">
        <v>12</v>
      </c>
      <c r="I793" s="63">
        <v>0</v>
      </c>
      <c r="J793" s="63">
        <v>0</v>
      </c>
      <c r="L793" s="63">
        <v>6.8000000000000005E-2</v>
      </c>
      <c r="M793" s="63">
        <v>3.5999999999999999E-3</v>
      </c>
      <c r="N793" s="63">
        <v>4.3318000000000002E-2</v>
      </c>
      <c r="O793" s="64">
        <v>4.7475E-3</v>
      </c>
    </row>
    <row r="794" spans="1:15" x14ac:dyDescent="0.25">
      <c r="A794" s="114" t="s">
        <v>302</v>
      </c>
      <c r="B794" s="63" t="s">
        <v>52</v>
      </c>
      <c r="C794" s="63" t="s">
        <v>43</v>
      </c>
      <c r="D794" s="63">
        <v>0</v>
      </c>
      <c r="E794" s="63">
        <v>9.9999999999999995E-8</v>
      </c>
      <c r="F794" s="63">
        <v>1E-4</v>
      </c>
      <c r="G794" s="63" t="s">
        <v>13</v>
      </c>
      <c r="H794" s="63" t="s">
        <v>67</v>
      </c>
      <c r="I794" s="63">
        <v>0</v>
      </c>
      <c r="J794" s="63">
        <v>0</v>
      </c>
      <c r="L794" s="63">
        <v>57736</v>
      </c>
      <c r="M794" s="63">
        <v>10.599</v>
      </c>
      <c r="N794" s="63">
        <v>57736</v>
      </c>
      <c r="O794" s="64">
        <v>2.8736000000000001E-2</v>
      </c>
    </row>
    <row r="795" spans="1:15" x14ac:dyDescent="0.25">
      <c r="A795" s="114" t="s">
        <v>329</v>
      </c>
      <c r="B795" s="63" t="s">
        <v>52</v>
      </c>
      <c r="C795" s="63" t="s">
        <v>43</v>
      </c>
      <c r="D795" s="63">
        <v>1E-3</v>
      </c>
      <c r="E795" s="63">
        <v>0.01</v>
      </c>
      <c r="F795" s="63">
        <v>1E-4</v>
      </c>
      <c r="G795" s="63" t="s">
        <v>13</v>
      </c>
      <c r="H795" s="63" t="s">
        <v>11</v>
      </c>
      <c r="I795" s="63">
        <v>0</v>
      </c>
      <c r="J795" s="63">
        <v>0</v>
      </c>
      <c r="L795" s="63">
        <v>57.735999999999997</v>
      </c>
      <c r="M795" s="63">
        <v>7.9884999999999998E-2</v>
      </c>
      <c r="N795" s="63">
        <v>57.734999999999999</v>
      </c>
      <c r="O795" s="64">
        <v>7.6479000000000005E-2</v>
      </c>
    </row>
    <row r="796" spans="1:15" x14ac:dyDescent="0.25">
      <c r="A796" s="114" t="s">
        <v>334</v>
      </c>
      <c r="B796" s="63" t="s">
        <v>52</v>
      </c>
      <c r="C796" s="63" t="s">
        <v>43</v>
      </c>
      <c r="D796" s="63">
        <v>0.01</v>
      </c>
      <c r="E796" s="63">
        <v>0.1</v>
      </c>
      <c r="F796" s="63">
        <v>1E-4</v>
      </c>
      <c r="G796" s="63" t="s">
        <v>13</v>
      </c>
      <c r="H796" s="63" t="s">
        <v>11</v>
      </c>
      <c r="I796" s="63">
        <v>0</v>
      </c>
      <c r="J796" s="63">
        <v>0</v>
      </c>
      <c r="L796" s="63">
        <v>57.725999999999999</v>
      </c>
      <c r="M796" s="63">
        <v>2.0333999999999999</v>
      </c>
      <c r="N796" s="63">
        <v>57.723999999999997</v>
      </c>
      <c r="O796" s="64">
        <v>1.9935</v>
      </c>
    </row>
    <row r="797" spans="1:15" x14ac:dyDescent="0.25">
      <c r="A797" s="114" t="s">
        <v>2338</v>
      </c>
      <c r="B797" s="63" t="s">
        <v>52</v>
      </c>
      <c r="C797" s="63" t="s">
        <v>43</v>
      </c>
      <c r="D797" s="63">
        <v>0.1</v>
      </c>
      <c r="E797" s="63">
        <v>1</v>
      </c>
      <c r="F797" s="63">
        <v>1E-4</v>
      </c>
      <c r="G797" s="63" t="s">
        <v>13</v>
      </c>
      <c r="H797" s="63" t="s">
        <v>11</v>
      </c>
      <c r="I797" s="63">
        <v>0</v>
      </c>
      <c r="J797" s="63">
        <v>0</v>
      </c>
      <c r="L797" s="63">
        <v>52.948999999999998</v>
      </c>
      <c r="M797" s="63">
        <v>97.341999999999999</v>
      </c>
      <c r="N797" s="63">
        <v>52.884</v>
      </c>
      <c r="O797" s="64">
        <v>97.405000000000001</v>
      </c>
    </row>
    <row r="798" spans="1:15" x14ac:dyDescent="0.25">
      <c r="A798" s="114" t="s">
        <v>340</v>
      </c>
      <c r="B798" s="63" t="s">
        <v>52</v>
      </c>
      <c r="C798" s="63" t="s">
        <v>43</v>
      </c>
      <c r="D798" s="63">
        <v>1</v>
      </c>
      <c r="E798" s="63">
        <v>20</v>
      </c>
      <c r="F798" s="63">
        <v>1E-4</v>
      </c>
      <c r="G798" s="63" t="s">
        <v>13</v>
      </c>
      <c r="H798" s="63" t="s">
        <v>12</v>
      </c>
      <c r="I798" s="63">
        <v>0</v>
      </c>
      <c r="J798" s="63">
        <v>0</v>
      </c>
      <c r="L798" s="63">
        <v>7.0892999999999998E-2</v>
      </c>
      <c r="M798" s="63">
        <v>3.8964999999999998E-3</v>
      </c>
      <c r="N798" s="63">
        <v>6.8928000000000003E-2</v>
      </c>
      <c r="O798" s="64">
        <v>3.8257999999999999E-3</v>
      </c>
    </row>
    <row r="799" spans="1:15" x14ac:dyDescent="0.25">
      <c r="A799" s="114" t="s">
        <v>303</v>
      </c>
      <c r="B799" s="63" t="s">
        <v>52</v>
      </c>
      <c r="C799" s="63" t="s">
        <v>43</v>
      </c>
      <c r="D799" s="63">
        <v>0</v>
      </c>
      <c r="E799" s="63">
        <v>9.9999999999999995E-8</v>
      </c>
      <c r="F799" s="63">
        <v>1E-3</v>
      </c>
      <c r="G799" s="63" t="s">
        <v>13</v>
      </c>
      <c r="H799" s="63" t="s">
        <v>67</v>
      </c>
      <c r="I799" s="63">
        <v>0</v>
      </c>
      <c r="J799" s="63">
        <v>0</v>
      </c>
      <c r="L799" s="63">
        <v>577360</v>
      </c>
      <c r="M799" s="63">
        <v>4.2309000000000001</v>
      </c>
      <c r="N799" s="63">
        <v>577360</v>
      </c>
      <c r="O799" s="64">
        <v>0</v>
      </c>
    </row>
    <row r="800" spans="1:15" x14ac:dyDescent="0.25">
      <c r="A800" s="114" t="s">
        <v>335</v>
      </c>
      <c r="B800" s="63" t="s">
        <v>52</v>
      </c>
      <c r="C800" s="63" t="s">
        <v>43</v>
      </c>
      <c r="D800" s="63">
        <v>0.01</v>
      </c>
      <c r="E800" s="63">
        <v>0.1</v>
      </c>
      <c r="F800" s="63">
        <v>1E-3</v>
      </c>
      <c r="G800" s="63" t="s">
        <v>13</v>
      </c>
      <c r="H800" s="63" t="s">
        <v>11</v>
      </c>
      <c r="I800" s="63">
        <v>0</v>
      </c>
      <c r="J800" s="63">
        <v>0</v>
      </c>
      <c r="L800" s="63">
        <v>577.35</v>
      </c>
      <c r="M800" s="63">
        <v>0.21573000000000001</v>
      </c>
      <c r="N800" s="63">
        <v>577.34</v>
      </c>
      <c r="O800" s="64">
        <v>0.19968</v>
      </c>
    </row>
    <row r="801" spans="1:15" x14ac:dyDescent="0.25">
      <c r="A801" s="114" t="s">
        <v>338</v>
      </c>
      <c r="B801" s="63" t="s">
        <v>52</v>
      </c>
      <c r="C801" s="63" t="s">
        <v>43</v>
      </c>
      <c r="D801" s="63">
        <v>0.1</v>
      </c>
      <c r="E801" s="63">
        <v>1</v>
      </c>
      <c r="F801" s="63">
        <v>1E-3</v>
      </c>
      <c r="G801" s="63" t="s">
        <v>13</v>
      </c>
      <c r="H801" s="63" t="s">
        <v>11</v>
      </c>
      <c r="I801" s="63">
        <v>0</v>
      </c>
      <c r="J801" s="63">
        <v>0</v>
      </c>
      <c r="L801" s="63">
        <v>576.12</v>
      </c>
      <c r="M801" s="63">
        <v>17.673999999999999</v>
      </c>
      <c r="N801" s="63">
        <v>576.1</v>
      </c>
      <c r="O801" s="64">
        <v>17.7</v>
      </c>
    </row>
    <row r="802" spans="1:15" x14ac:dyDescent="0.25">
      <c r="A802" s="114" t="s">
        <v>341</v>
      </c>
      <c r="B802" s="63" t="s">
        <v>52</v>
      </c>
      <c r="C802" s="63" t="s">
        <v>43</v>
      </c>
      <c r="D802" s="63">
        <v>1</v>
      </c>
      <c r="E802" s="63">
        <v>20</v>
      </c>
      <c r="F802" s="63">
        <v>1E-3</v>
      </c>
      <c r="G802" s="63" t="s">
        <v>13</v>
      </c>
      <c r="H802" s="63" t="s">
        <v>12</v>
      </c>
      <c r="I802" s="63">
        <v>0</v>
      </c>
      <c r="J802" s="63">
        <v>0</v>
      </c>
      <c r="L802" s="63">
        <v>0.57833999999999997</v>
      </c>
      <c r="M802" s="63">
        <v>8.1072999999999996E-4</v>
      </c>
      <c r="N802" s="63">
        <v>0.57808999999999999</v>
      </c>
      <c r="O802" s="64">
        <v>6.9919999999999997E-4</v>
      </c>
    </row>
    <row r="803" spans="1:15" x14ac:dyDescent="0.25">
      <c r="A803" s="114" t="s">
        <v>304</v>
      </c>
      <c r="B803" s="63" t="s">
        <v>52</v>
      </c>
      <c r="C803" s="63" t="s">
        <v>43</v>
      </c>
      <c r="D803" s="63">
        <v>0</v>
      </c>
      <c r="E803" s="63">
        <v>9.9999999999999995E-8</v>
      </c>
      <c r="F803" s="63">
        <v>0.01</v>
      </c>
      <c r="G803" s="63" t="s">
        <v>13</v>
      </c>
      <c r="H803" s="63" t="s">
        <v>67</v>
      </c>
      <c r="I803" s="63">
        <v>0</v>
      </c>
      <c r="J803" s="63">
        <v>0</v>
      </c>
      <c r="L803" s="63">
        <v>5773600</v>
      </c>
      <c r="M803" s="63">
        <v>1.6933</v>
      </c>
      <c r="N803" s="63">
        <v>5773600</v>
      </c>
      <c r="O803" s="64">
        <v>0</v>
      </c>
    </row>
    <row r="804" spans="1:15" x14ac:dyDescent="0.25">
      <c r="A804" s="114" t="s">
        <v>2339</v>
      </c>
      <c r="B804" s="63" t="s">
        <v>52</v>
      </c>
      <c r="C804" s="63" t="s">
        <v>43</v>
      </c>
      <c r="D804" s="63">
        <v>0.1</v>
      </c>
      <c r="E804" s="63">
        <v>1</v>
      </c>
      <c r="F804" s="63">
        <v>0.01</v>
      </c>
      <c r="G804" s="63" t="s">
        <v>13</v>
      </c>
      <c r="H804" s="63" t="s">
        <v>11</v>
      </c>
      <c r="I804" s="63">
        <v>0</v>
      </c>
      <c r="J804" s="63">
        <v>0</v>
      </c>
      <c r="L804" s="63">
        <v>5773.4</v>
      </c>
      <c r="M804" s="63">
        <v>1.7853000000000001</v>
      </c>
      <c r="N804" s="63">
        <v>5771.8</v>
      </c>
      <c r="O804" s="64">
        <v>1.7958000000000001</v>
      </c>
    </row>
    <row r="805" spans="1:15" x14ac:dyDescent="0.25">
      <c r="A805" s="114" t="s">
        <v>342</v>
      </c>
      <c r="B805" s="63" t="s">
        <v>52</v>
      </c>
      <c r="C805" s="63" t="s">
        <v>43</v>
      </c>
      <c r="D805" s="63">
        <v>1</v>
      </c>
      <c r="E805" s="63">
        <v>20</v>
      </c>
      <c r="F805" s="63">
        <v>0.01</v>
      </c>
      <c r="G805" s="63" t="s">
        <v>13</v>
      </c>
      <c r="H805" s="63" t="s">
        <v>12</v>
      </c>
      <c r="I805" s="63">
        <v>0</v>
      </c>
      <c r="J805" s="63">
        <v>0</v>
      </c>
      <c r="L805" s="63">
        <v>5.7739000000000003</v>
      </c>
      <c r="M805" s="63">
        <v>1.1677E-4</v>
      </c>
      <c r="N805" s="63">
        <v>5.7736000000000001</v>
      </c>
      <c r="O805" s="64">
        <v>7.0888000000000003E-5</v>
      </c>
    </row>
    <row r="806" spans="1:15" x14ac:dyDescent="0.25">
      <c r="A806" s="114" t="s">
        <v>305</v>
      </c>
      <c r="B806" s="63" t="s">
        <v>52</v>
      </c>
      <c r="C806" s="63" t="s">
        <v>43</v>
      </c>
      <c r="D806" s="63">
        <v>0</v>
      </c>
      <c r="E806" s="63">
        <v>9.9999999999999995E-8</v>
      </c>
      <c r="F806" s="63">
        <v>0.1</v>
      </c>
      <c r="G806" s="63" t="s">
        <v>13</v>
      </c>
      <c r="H806" s="63" t="s">
        <v>67</v>
      </c>
      <c r="I806" s="63">
        <v>0</v>
      </c>
      <c r="J806" s="63">
        <v>0</v>
      </c>
      <c r="L806" s="63">
        <v>57736000</v>
      </c>
      <c r="M806" s="63">
        <v>0.75258000000000003</v>
      </c>
      <c r="N806" s="63">
        <v>57736000</v>
      </c>
      <c r="O806" s="64">
        <v>0</v>
      </c>
    </row>
    <row r="807" spans="1:15" x14ac:dyDescent="0.25">
      <c r="A807" s="114" t="s">
        <v>343</v>
      </c>
      <c r="B807" s="63" t="s">
        <v>52</v>
      </c>
      <c r="C807" s="63" t="s">
        <v>43</v>
      </c>
      <c r="D807" s="63">
        <v>1</v>
      </c>
      <c r="E807" s="63">
        <v>20</v>
      </c>
      <c r="F807" s="63">
        <v>0.1</v>
      </c>
      <c r="G807" s="63" t="s">
        <v>13</v>
      </c>
      <c r="H807" s="63" t="s">
        <v>12</v>
      </c>
      <c r="I807" s="63">
        <v>0</v>
      </c>
      <c r="J807" s="63">
        <v>0</v>
      </c>
      <c r="L807" s="63">
        <v>57.735999999999997</v>
      </c>
      <c r="M807" s="63">
        <v>2.5449E-5</v>
      </c>
      <c r="N807" s="63">
        <v>57.734999999999999</v>
      </c>
      <c r="O807" s="64">
        <v>7.0898000000000003E-6</v>
      </c>
    </row>
    <row r="808" spans="1:15" x14ac:dyDescent="0.25">
      <c r="A808" s="114" t="s">
        <v>267</v>
      </c>
      <c r="B808" s="63" t="s">
        <v>52</v>
      </c>
      <c r="C808" s="63" t="s">
        <v>3</v>
      </c>
      <c r="D808" s="63">
        <v>0</v>
      </c>
      <c r="E808" s="63">
        <v>0.1</v>
      </c>
      <c r="F808" s="63">
        <v>1E-8</v>
      </c>
      <c r="G808" s="63" t="s">
        <v>6</v>
      </c>
      <c r="H808" s="63" t="s">
        <v>5</v>
      </c>
      <c r="I808" s="63">
        <v>0</v>
      </c>
      <c r="J808" s="63">
        <v>0</v>
      </c>
      <c r="L808" s="63">
        <v>0.62</v>
      </c>
      <c r="M808" s="63">
        <v>8</v>
      </c>
      <c r="N808" s="63">
        <v>0.60546</v>
      </c>
      <c r="O808" s="64">
        <v>8.1091999999999995</v>
      </c>
    </row>
    <row r="809" spans="1:15" x14ac:dyDescent="0.25">
      <c r="A809" s="114" t="s">
        <v>276</v>
      </c>
      <c r="B809" s="63" t="s">
        <v>52</v>
      </c>
      <c r="C809" s="63" t="s">
        <v>3</v>
      </c>
      <c r="D809" s="63">
        <v>0.1</v>
      </c>
      <c r="E809" s="63">
        <v>1</v>
      </c>
      <c r="F809" s="63">
        <v>1E-8</v>
      </c>
      <c r="G809" s="63" t="s">
        <v>6</v>
      </c>
      <c r="H809" s="63" t="s">
        <v>5</v>
      </c>
      <c r="I809" s="63">
        <v>0</v>
      </c>
      <c r="J809" s="63">
        <v>0</v>
      </c>
      <c r="L809" s="63">
        <v>0.44</v>
      </c>
      <c r="M809" s="63">
        <v>6</v>
      </c>
      <c r="N809" s="63">
        <v>0.43733</v>
      </c>
      <c r="O809" s="64">
        <v>5.9926000000000004</v>
      </c>
    </row>
    <row r="810" spans="1:15" x14ac:dyDescent="0.25">
      <c r="A810" s="114" t="s">
        <v>268</v>
      </c>
      <c r="B810" s="63" t="s">
        <v>52</v>
      </c>
      <c r="C810" s="63" t="s">
        <v>3</v>
      </c>
      <c r="D810" s="63">
        <v>0</v>
      </c>
      <c r="E810" s="63">
        <v>0.1</v>
      </c>
      <c r="F810" s="63">
        <v>9.9999999999999995E-8</v>
      </c>
      <c r="G810" s="63" t="s">
        <v>6</v>
      </c>
      <c r="H810" s="63" t="s">
        <v>5</v>
      </c>
      <c r="I810" s="63">
        <v>0</v>
      </c>
      <c r="J810" s="63">
        <v>0</v>
      </c>
      <c r="L810" s="63">
        <v>0.62</v>
      </c>
      <c r="M810" s="63">
        <v>8.0237999999999996</v>
      </c>
      <c r="N810" s="63">
        <v>0.60819000000000001</v>
      </c>
      <c r="O810" s="64">
        <v>8.0937000000000001</v>
      </c>
    </row>
    <row r="811" spans="1:15" x14ac:dyDescent="0.25">
      <c r="A811" s="114" t="s">
        <v>277</v>
      </c>
      <c r="B811" s="63" t="s">
        <v>52</v>
      </c>
      <c r="C811" s="63" t="s">
        <v>3</v>
      </c>
      <c r="D811" s="63">
        <v>0.1</v>
      </c>
      <c r="E811" s="63">
        <v>1</v>
      </c>
      <c r="F811" s="63">
        <v>9.9999999999999995E-8</v>
      </c>
      <c r="G811" s="63" t="s">
        <v>6</v>
      </c>
      <c r="H811" s="63" t="s">
        <v>5</v>
      </c>
      <c r="I811" s="63">
        <v>0</v>
      </c>
      <c r="J811" s="63">
        <v>0</v>
      </c>
      <c r="L811" s="63">
        <v>0.44094</v>
      </c>
      <c r="M811" s="63">
        <v>5.99</v>
      </c>
      <c r="N811" s="63">
        <v>0.43908999999999998</v>
      </c>
      <c r="O811" s="64">
        <v>5.9911000000000003</v>
      </c>
    </row>
    <row r="812" spans="1:15" x14ac:dyDescent="0.25">
      <c r="A812" s="114" t="s">
        <v>280</v>
      </c>
      <c r="B812" s="63" t="s">
        <v>52</v>
      </c>
      <c r="C812" s="63" t="s">
        <v>3</v>
      </c>
      <c r="D812" s="63">
        <v>1</v>
      </c>
      <c r="E812" s="63">
        <v>10</v>
      </c>
      <c r="F812" s="63">
        <v>9.9999999999999995E-8</v>
      </c>
      <c r="G812" s="63" t="s">
        <v>6</v>
      </c>
      <c r="H812" s="63" t="s">
        <v>5</v>
      </c>
      <c r="I812" s="63">
        <v>0</v>
      </c>
      <c r="J812" s="63">
        <v>0</v>
      </c>
      <c r="L812" s="63">
        <v>1.2</v>
      </c>
      <c r="M812" s="63">
        <v>5.3</v>
      </c>
      <c r="N812" s="63">
        <v>0.75905</v>
      </c>
      <c r="O812" s="64">
        <v>5.3437000000000001</v>
      </c>
    </row>
    <row r="813" spans="1:15" x14ac:dyDescent="0.25">
      <c r="A813" s="114" t="s">
        <v>269</v>
      </c>
      <c r="B813" s="63" t="s">
        <v>52</v>
      </c>
      <c r="C813" s="63" t="s">
        <v>3</v>
      </c>
      <c r="D813" s="63">
        <v>0</v>
      </c>
      <c r="E813" s="63">
        <v>0.1</v>
      </c>
      <c r="F813" s="63">
        <v>9.9999999999999995E-7</v>
      </c>
      <c r="G813" s="63" t="s">
        <v>6</v>
      </c>
      <c r="H813" s="63" t="s">
        <v>5</v>
      </c>
      <c r="I813" s="63">
        <v>0</v>
      </c>
      <c r="J813" s="63">
        <v>0</v>
      </c>
      <c r="L813" s="63">
        <v>0.83938000000000001</v>
      </c>
      <c r="M813" s="63">
        <v>6.9596</v>
      </c>
      <c r="N813" s="63">
        <v>0.83736999999999995</v>
      </c>
      <c r="O813" s="64">
        <v>6.9316000000000004</v>
      </c>
    </row>
    <row r="814" spans="1:15" x14ac:dyDescent="0.25">
      <c r="A814" s="114" t="s">
        <v>2340</v>
      </c>
      <c r="B814" s="63" t="s">
        <v>52</v>
      </c>
      <c r="C814" s="63" t="s">
        <v>3</v>
      </c>
      <c r="D814" s="63">
        <v>0.1</v>
      </c>
      <c r="E814" s="63">
        <v>1</v>
      </c>
      <c r="F814" s="63">
        <v>9.9999999999999995E-7</v>
      </c>
      <c r="G814" s="63" t="s">
        <v>6</v>
      </c>
      <c r="H814" s="63" t="s">
        <v>5</v>
      </c>
      <c r="I814" s="63">
        <v>0</v>
      </c>
      <c r="J814" s="63">
        <v>0</v>
      </c>
      <c r="L814" s="63">
        <v>0.60901000000000005</v>
      </c>
      <c r="M814" s="63">
        <v>5.85</v>
      </c>
      <c r="N814" s="63">
        <v>0.60243999999999998</v>
      </c>
      <c r="O814" s="64">
        <v>5.8536000000000001</v>
      </c>
    </row>
    <row r="815" spans="1:15" x14ac:dyDescent="0.25">
      <c r="A815" s="114" t="s">
        <v>281</v>
      </c>
      <c r="B815" s="63" t="s">
        <v>52</v>
      </c>
      <c r="C815" s="63" t="s">
        <v>3</v>
      </c>
      <c r="D815" s="63">
        <v>1</v>
      </c>
      <c r="E815" s="63">
        <v>10</v>
      </c>
      <c r="F815" s="63">
        <v>9.9999999999999995E-7</v>
      </c>
      <c r="G815" s="63" t="s">
        <v>6</v>
      </c>
      <c r="H815" s="63" t="s">
        <v>5</v>
      </c>
      <c r="I815" s="63">
        <v>0</v>
      </c>
      <c r="J815" s="63">
        <v>0</v>
      </c>
      <c r="L815" s="63">
        <v>1.2</v>
      </c>
      <c r="M815" s="63">
        <v>5.3409000000000004</v>
      </c>
      <c r="N815" s="63">
        <v>0.78898000000000001</v>
      </c>
      <c r="O815" s="64">
        <v>5.3410000000000002</v>
      </c>
    </row>
    <row r="816" spans="1:15" x14ac:dyDescent="0.25">
      <c r="A816" s="114" t="s">
        <v>285</v>
      </c>
      <c r="B816" s="63" t="s">
        <v>52</v>
      </c>
      <c r="C816" s="63" t="s">
        <v>3</v>
      </c>
      <c r="D816" s="63">
        <v>10</v>
      </c>
      <c r="E816" s="63">
        <v>100</v>
      </c>
      <c r="F816" s="63">
        <v>9.9999999999999995E-7</v>
      </c>
      <c r="G816" s="63" t="s">
        <v>6</v>
      </c>
      <c r="H816" s="63" t="s">
        <v>5</v>
      </c>
      <c r="I816" s="63">
        <v>0</v>
      </c>
      <c r="J816" s="63">
        <v>0</v>
      </c>
      <c r="L816" s="63">
        <v>34</v>
      </c>
      <c r="M816" s="63">
        <v>7.8</v>
      </c>
      <c r="N816" s="63">
        <v>33.131999999999998</v>
      </c>
      <c r="O816" s="64">
        <v>7.7866</v>
      </c>
    </row>
    <row r="817" spans="1:15" x14ac:dyDescent="0.25">
      <c r="A817" s="114" t="s">
        <v>270</v>
      </c>
      <c r="B817" s="63" t="s">
        <v>52</v>
      </c>
      <c r="C817" s="63" t="s">
        <v>3</v>
      </c>
      <c r="D817" s="63">
        <v>0</v>
      </c>
      <c r="E817" s="63">
        <v>0.1</v>
      </c>
      <c r="F817" s="63">
        <v>1.0000000000000001E-5</v>
      </c>
      <c r="G817" s="63" t="s">
        <v>6</v>
      </c>
      <c r="H817" s="63" t="s">
        <v>5</v>
      </c>
      <c r="I817" s="63">
        <v>0</v>
      </c>
      <c r="J817" s="63">
        <v>0</v>
      </c>
      <c r="L817" s="63">
        <v>5.8320999999999996</v>
      </c>
      <c r="M817" s="63">
        <v>1.4327000000000001</v>
      </c>
      <c r="N817" s="63">
        <v>5.8310000000000004</v>
      </c>
      <c r="O817" s="64">
        <v>1.3947000000000001</v>
      </c>
    </row>
    <row r="818" spans="1:15" x14ac:dyDescent="0.25">
      <c r="A818" s="114" t="s">
        <v>2341</v>
      </c>
      <c r="B818" s="63" t="s">
        <v>52</v>
      </c>
      <c r="C818" s="63" t="s">
        <v>3</v>
      </c>
      <c r="D818" s="63">
        <v>0.1</v>
      </c>
      <c r="E818" s="63">
        <v>1</v>
      </c>
      <c r="F818" s="63">
        <v>1.0000000000000001E-5</v>
      </c>
      <c r="G818" s="63" t="s">
        <v>6</v>
      </c>
      <c r="H818" s="63" t="s">
        <v>5</v>
      </c>
      <c r="I818" s="63">
        <v>0</v>
      </c>
      <c r="J818" s="63">
        <v>0</v>
      </c>
      <c r="L818" s="63">
        <v>5.5890000000000004</v>
      </c>
      <c r="M818" s="63">
        <v>3.0792000000000002</v>
      </c>
      <c r="N818" s="63">
        <v>5.5845000000000002</v>
      </c>
      <c r="O818" s="64">
        <v>3.0749</v>
      </c>
    </row>
    <row r="819" spans="1:15" x14ac:dyDescent="0.25">
      <c r="A819" s="114" t="s">
        <v>282</v>
      </c>
      <c r="B819" s="63" t="s">
        <v>52</v>
      </c>
      <c r="C819" s="63" t="s">
        <v>3</v>
      </c>
      <c r="D819" s="63">
        <v>1</v>
      </c>
      <c r="E819" s="63">
        <v>10</v>
      </c>
      <c r="F819" s="63">
        <v>1.0000000000000001E-5</v>
      </c>
      <c r="G819" s="63" t="s">
        <v>6</v>
      </c>
      <c r="H819" s="63" t="s">
        <v>5</v>
      </c>
      <c r="I819" s="63">
        <v>0</v>
      </c>
      <c r="J819" s="63">
        <v>0</v>
      </c>
      <c r="L819" s="63">
        <v>3.3010000000000002</v>
      </c>
      <c r="M819" s="63">
        <v>5.1204999999999998</v>
      </c>
      <c r="N819" s="63">
        <v>3.2984</v>
      </c>
      <c r="O819" s="64">
        <v>5.1207000000000003</v>
      </c>
    </row>
    <row r="820" spans="1:15" x14ac:dyDescent="0.25">
      <c r="A820" s="114" t="s">
        <v>286</v>
      </c>
      <c r="B820" s="63" t="s">
        <v>52</v>
      </c>
      <c r="C820" s="63" t="s">
        <v>3</v>
      </c>
      <c r="D820" s="63">
        <v>10</v>
      </c>
      <c r="E820" s="63">
        <v>100</v>
      </c>
      <c r="F820" s="63">
        <v>1.0000000000000001E-5</v>
      </c>
      <c r="G820" s="63" t="s">
        <v>6</v>
      </c>
      <c r="H820" s="63" t="s">
        <v>5</v>
      </c>
      <c r="I820" s="63">
        <v>0</v>
      </c>
      <c r="J820" s="63">
        <v>0</v>
      </c>
      <c r="L820" s="63">
        <v>34</v>
      </c>
      <c r="M820" s="63">
        <v>7.7847999999999997</v>
      </c>
      <c r="N820" s="63">
        <v>33.299999999999997</v>
      </c>
      <c r="O820" s="64">
        <v>7.7850999999999999</v>
      </c>
    </row>
    <row r="821" spans="1:15" x14ac:dyDescent="0.25">
      <c r="A821" s="114" t="s">
        <v>289</v>
      </c>
      <c r="B821" s="63" t="s">
        <v>52</v>
      </c>
      <c r="C821" s="63" t="s">
        <v>3</v>
      </c>
      <c r="D821" s="63">
        <v>100</v>
      </c>
      <c r="E821" s="63">
        <v>1000</v>
      </c>
      <c r="F821" s="63">
        <v>1.0000000000000001E-5</v>
      </c>
      <c r="G821" s="63" t="s">
        <v>6</v>
      </c>
      <c r="H821" s="63" t="s">
        <v>4</v>
      </c>
      <c r="I821" s="63">
        <v>0</v>
      </c>
      <c r="J821" s="63">
        <v>0</v>
      </c>
      <c r="L821" s="63">
        <v>0.11</v>
      </c>
      <c r="M821" s="63">
        <v>8.6999999999999994E-3</v>
      </c>
      <c r="N821" s="63">
        <v>0.10063999999999999</v>
      </c>
      <c r="O821" s="64">
        <v>8.6546999999999995E-3</v>
      </c>
    </row>
    <row r="822" spans="1:15" x14ac:dyDescent="0.25">
      <c r="A822" s="114" t="s">
        <v>271</v>
      </c>
      <c r="B822" s="63" t="s">
        <v>52</v>
      </c>
      <c r="C822" s="63" t="s">
        <v>3</v>
      </c>
      <c r="D822" s="63">
        <v>0</v>
      </c>
      <c r="E822" s="63">
        <v>0.1</v>
      </c>
      <c r="F822" s="63">
        <v>1E-4</v>
      </c>
      <c r="G822" s="63" t="s">
        <v>6</v>
      </c>
      <c r="H822" s="63" t="s">
        <v>5</v>
      </c>
      <c r="I822" s="63">
        <v>0</v>
      </c>
      <c r="J822" s="63">
        <v>0</v>
      </c>
      <c r="L822" s="63">
        <v>58.003999999999998</v>
      </c>
      <c r="M822" s="63">
        <v>0.15762999999999999</v>
      </c>
      <c r="N822" s="63">
        <v>58.003</v>
      </c>
      <c r="O822" s="64">
        <v>0.14188000000000001</v>
      </c>
    </row>
    <row r="823" spans="1:15" x14ac:dyDescent="0.25">
      <c r="A823" s="114" t="s">
        <v>278</v>
      </c>
      <c r="B823" s="63" t="s">
        <v>52</v>
      </c>
      <c r="C823" s="63" t="s">
        <v>3</v>
      </c>
      <c r="D823" s="63">
        <v>0.1</v>
      </c>
      <c r="E823" s="63">
        <v>1</v>
      </c>
      <c r="F823" s="63">
        <v>1E-4</v>
      </c>
      <c r="G823" s="63" t="s">
        <v>6</v>
      </c>
      <c r="H823" s="63" t="s">
        <v>5</v>
      </c>
      <c r="I823" s="63">
        <v>0</v>
      </c>
      <c r="J823" s="63">
        <v>0</v>
      </c>
      <c r="L823" s="63">
        <v>57.972999999999999</v>
      </c>
      <c r="M823" s="63">
        <v>0.3881</v>
      </c>
      <c r="N823" s="63">
        <v>57.970999999999997</v>
      </c>
      <c r="O823" s="64">
        <v>0.38451999999999997</v>
      </c>
    </row>
    <row r="824" spans="1:15" x14ac:dyDescent="0.25">
      <c r="A824" s="114" t="s">
        <v>2342</v>
      </c>
      <c r="B824" s="63" t="s">
        <v>52</v>
      </c>
      <c r="C824" s="63" t="s">
        <v>3</v>
      </c>
      <c r="D824" s="63">
        <v>1</v>
      </c>
      <c r="E824" s="63">
        <v>10</v>
      </c>
      <c r="F824" s="63">
        <v>1E-4</v>
      </c>
      <c r="G824" s="63" t="s">
        <v>6</v>
      </c>
      <c r="H824" s="63" t="s">
        <v>5</v>
      </c>
      <c r="I824" s="63">
        <v>0</v>
      </c>
      <c r="J824" s="63">
        <v>0</v>
      </c>
      <c r="L824" s="63">
        <v>55.981000000000002</v>
      </c>
      <c r="M824" s="63">
        <v>2.3401000000000001</v>
      </c>
      <c r="N824" s="63">
        <v>55.98</v>
      </c>
      <c r="O824" s="64">
        <v>2.34</v>
      </c>
    </row>
    <row r="825" spans="1:15" x14ac:dyDescent="0.25">
      <c r="A825" s="114" t="s">
        <v>287</v>
      </c>
      <c r="B825" s="63" t="s">
        <v>52</v>
      </c>
      <c r="C825" s="63" t="s">
        <v>3</v>
      </c>
      <c r="D825" s="63">
        <v>10</v>
      </c>
      <c r="E825" s="63">
        <v>100</v>
      </c>
      <c r="F825" s="63">
        <v>1E-4</v>
      </c>
      <c r="G825" s="63" t="s">
        <v>6</v>
      </c>
      <c r="H825" s="63" t="s">
        <v>5</v>
      </c>
      <c r="I825" s="63">
        <v>0</v>
      </c>
      <c r="J825" s="63">
        <v>0</v>
      </c>
      <c r="L825" s="63">
        <v>48.99</v>
      </c>
      <c r="M825" s="63">
        <v>7.6505000000000001</v>
      </c>
      <c r="N825" s="63">
        <v>48.722999999999999</v>
      </c>
      <c r="O825" s="64">
        <v>7.6513999999999998</v>
      </c>
    </row>
    <row r="826" spans="1:15" x14ac:dyDescent="0.25">
      <c r="A826" s="114" t="s">
        <v>290</v>
      </c>
      <c r="B826" s="63" t="s">
        <v>52</v>
      </c>
      <c r="C826" s="63" t="s">
        <v>3</v>
      </c>
      <c r="D826" s="63">
        <v>100</v>
      </c>
      <c r="E826" s="63">
        <v>1000</v>
      </c>
      <c r="F826" s="63">
        <v>1E-4</v>
      </c>
      <c r="G826" s="63" t="s">
        <v>6</v>
      </c>
      <c r="H826" s="63" t="s">
        <v>4</v>
      </c>
      <c r="I826" s="63">
        <v>0</v>
      </c>
      <c r="J826" s="63">
        <v>0</v>
      </c>
      <c r="L826" s="63">
        <v>0.11</v>
      </c>
      <c r="M826" s="63">
        <v>8.6528999999999998E-3</v>
      </c>
      <c r="N826" s="63">
        <v>0.10253</v>
      </c>
      <c r="O826" s="64">
        <v>8.6529999999999992E-3</v>
      </c>
    </row>
    <row r="827" spans="1:15" x14ac:dyDescent="0.25">
      <c r="A827" s="114" t="s">
        <v>272</v>
      </c>
      <c r="B827" s="63" t="s">
        <v>52</v>
      </c>
      <c r="C827" s="63" t="s">
        <v>3</v>
      </c>
      <c r="D827" s="63">
        <v>0</v>
      </c>
      <c r="E827" s="63">
        <v>0.1</v>
      </c>
      <c r="F827" s="63">
        <v>1E-3</v>
      </c>
      <c r="G827" s="63" t="s">
        <v>6</v>
      </c>
      <c r="H827" s="63" t="s">
        <v>5</v>
      </c>
      <c r="I827" s="63">
        <v>0</v>
      </c>
      <c r="J827" s="63">
        <v>0</v>
      </c>
      <c r="L827" s="63">
        <v>580</v>
      </c>
      <c r="M827" s="63">
        <v>2.0493000000000001E-2</v>
      </c>
      <c r="N827" s="63">
        <v>580</v>
      </c>
      <c r="O827" s="64">
        <v>1.4191E-2</v>
      </c>
    </row>
    <row r="828" spans="1:15" x14ac:dyDescent="0.25">
      <c r="A828" s="114" t="s">
        <v>279</v>
      </c>
      <c r="B828" s="63" t="s">
        <v>52</v>
      </c>
      <c r="C828" s="63" t="s">
        <v>3</v>
      </c>
      <c r="D828" s="63">
        <v>0.1</v>
      </c>
      <c r="E828" s="63">
        <v>1</v>
      </c>
      <c r="F828" s="63">
        <v>1E-3</v>
      </c>
      <c r="G828" s="63" t="s">
        <v>6</v>
      </c>
      <c r="H828" s="63" t="s">
        <v>5</v>
      </c>
      <c r="I828" s="63">
        <v>0</v>
      </c>
      <c r="J828" s="63">
        <v>0</v>
      </c>
      <c r="L828" s="63">
        <v>580</v>
      </c>
      <c r="M828" s="63">
        <v>4.0017999999999998E-2</v>
      </c>
      <c r="N828" s="63">
        <v>579.96</v>
      </c>
      <c r="O828" s="64">
        <v>3.8571000000000001E-2</v>
      </c>
    </row>
    <row r="829" spans="1:15" x14ac:dyDescent="0.25">
      <c r="A829" s="114" t="s">
        <v>283</v>
      </c>
      <c r="B829" s="63" t="s">
        <v>52</v>
      </c>
      <c r="C829" s="63" t="s">
        <v>3</v>
      </c>
      <c r="D829" s="63">
        <v>1</v>
      </c>
      <c r="E829" s="63">
        <v>10</v>
      </c>
      <c r="F829" s="63">
        <v>1E-3</v>
      </c>
      <c r="G829" s="63" t="s">
        <v>6</v>
      </c>
      <c r="H829" s="63" t="s">
        <v>5</v>
      </c>
      <c r="I829" s="63">
        <v>0</v>
      </c>
      <c r="J829" s="63">
        <v>0</v>
      </c>
      <c r="L829" s="63">
        <v>579.76</v>
      </c>
      <c r="M829" s="63">
        <v>0.27723999999999999</v>
      </c>
      <c r="N829" s="63">
        <v>579.76</v>
      </c>
      <c r="O829" s="64">
        <v>0.27716000000000002</v>
      </c>
    </row>
    <row r="830" spans="1:15" x14ac:dyDescent="0.25">
      <c r="A830" s="114" t="s">
        <v>2343</v>
      </c>
      <c r="B830" s="63" t="s">
        <v>52</v>
      </c>
      <c r="C830" s="63" t="s">
        <v>3</v>
      </c>
      <c r="D830" s="63">
        <v>10</v>
      </c>
      <c r="E830" s="63">
        <v>100</v>
      </c>
      <c r="F830" s="63">
        <v>1E-3</v>
      </c>
      <c r="G830" s="63" t="s">
        <v>6</v>
      </c>
      <c r="H830" s="63" t="s">
        <v>5</v>
      </c>
      <c r="I830" s="63">
        <v>0</v>
      </c>
      <c r="J830" s="63">
        <v>0</v>
      </c>
      <c r="L830" s="63">
        <v>545.46</v>
      </c>
      <c r="M830" s="63">
        <v>4.5282999999999998</v>
      </c>
      <c r="N830" s="63">
        <v>545.28</v>
      </c>
      <c r="O830" s="64">
        <v>4.5242000000000004</v>
      </c>
    </row>
    <row r="831" spans="1:15" x14ac:dyDescent="0.25">
      <c r="A831" s="114" t="s">
        <v>291</v>
      </c>
      <c r="B831" s="63" t="s">
        <v>52</v>
      </c>
      <c r="C831" s="63" t="s">
        <v>3</v>
      </c>
      <c r="D831" s="63">
        <v>100</v>
      </c>
      <c r="E831" s="63">
        <v>1000</v>
      </c>
      <c r="F831" s="63">
        <v>1E-3</v>
      </c>
      <c r="G831" s="63" t="s">
        <v>6</v>
      </c>
      <c r="H831" s="63" t="s">
        <v>4</v>
      </c>
      <c r="I831" s="63">
        <v>0</v>
      </c>
      <c r="J831" s="63">
        <v>0</v>
      </c>
      <c r="L831" s="63">
        <v>0.27989000000000003</v>
      </c>
      <c r="M831" s="63">
        <v>8.4975999999999993E-3</v>
      </c>
      <c r="N831" s="63">
        <v>0.27706999999999998</v>
      </c>
      <c r="O831" s="64">
        <v>8.4974999999999998E-3</v>
      </c>
    </row>
    <row r="832" spans="1:15" x14ac:dyDescent="0.25">
      <c r="A832" s="114" t="s">
        <v>273</v>
      </c>
      <c r="B832" s="63" t="s">
        <v>52</v>
      </c>
      <c r="C832" s="63" t="s">
        <v>3</v>
      </c>
      <c r="D832" s="63">
        <v>0</v>
      </c>
      <c r="E832" s="63">
        <v>0.1</v>
      </c>
      <c r="F832" s="63">
        <v>0.01</v>
      </c>
      <c r="G832" s="63" t="s">
        <v>6</v>
      </c>
      <c r="H832" s="63" t="s">
        <v>4</v>
      </c>
      <c r="I832" s="63">
        <v>0</v>
      </c>
      <c r="J832" s="63">
        <v>0</v>
      </c>
      <c r="L832" s="63">
        <v>5.8</v>
      </c>
      <c r="M832" s="63">
        <v>3.9400000000000004E-6</v>
      </c>
      <c r="N832" s="63">
        <v>5.7999000000000001</v>
      </c>
      <c r="O832" s="64">
        <v>1.4191000000000001E-6</v>
      </c>
    </row>
    <row r="833" spans="1:15" x14ac:dyDescent="0.25">
      <c r="A833" s="114" t="s">
        <v>284</v>
      </c>
      <c r="B833" s="63" t="s">
        <v>52</v>
      </c>
      <c r="C833" s="63" t="s">
        <v>3</v>
      </c>
      <c r="D833" s="63">
        <v>1</v>
      </c>
      <c r="E833" s="63">
        <v>10</v>
      </c>
      <c r="F833" s="63">
        <v>0.01</v>
      </c>
      <c r="G833" s="63" t="s">
        <v>6</v>
      </c>
      <c r="H833" s="63" t="s">
        <v>5</v>
      </c>
      <c r="I833" s="63">
        <v>0</v>
      </c>
      <c r="J833" s="63">
        <v>0</v>
      </c>
      <c r="L833" s="63">
        <v>5800</v>
      </c>
      <c r="M833" s="63">
        <v>2.7807999999999999E-2</v>
      </c>
      <c r="N833" s="63">
        <v>5799.7</v>
      </c>
      <c r="O833" s="64">
        <v>2.7777E-2</v>
      </c>
    </row>
    <row r="834" spans="1:15" x14ac:dyDescent="0.25">
      <c r="A834" s="114" t="s">
        <v>288</v>
      </c>
      <c r="B834" s="63" t="s">
        <v>52</v>
      </c>
      <c r="C834" s="63" t="s">
        <v>3</v>
      </c>
      <c r="D834" s="63">
        <v>10</v>
      </c>
      <c r="E834" s="63">
        <v>100</v>
      </c>
      <c r="F834" s="63">
        <v>0.01</v>
      </c>
      <c r="G834" s="63" t="s">
        <v>6</v>
      </c>
      <c r="H834" s="63" t="s">
        <v>5</v>
      </c>
      <c r="I834" s="63">
        <v>0</v>
      </c>
      <c r="J834" s="63">
        <v>0</v>
      </c>
      <c r="L834" s="63">
        <v>5795</v>
      </c>
      <c r="M834" s="63">
        <v>0.61987000000000003</v>
      </c>
      <c r="N834" s="63">
        <v>5794.9</v>
      </c>
      <c r="O834" s="64">
        <v>0.61636999999999997</v>
      </c>
    </row>
    <row r="835" spans="1:15" x14ac:dyDescent="0.25">
      <c r="A835" s="114" t="s">
        <v>292</v>
      </c>
      <c r="B835" s="63" t="s">
        <v>52</v>
      </c>
      <c r="C835" s="63" t="s">
        <v>3</v>
      </c>
      <c r="D835" s="63">
        <v>100</v>
      </c>
      <c r="E835" s="63">
        <v>1000</v>
      </c>
      <c r="F835" s="63">
        <v>0.01</v>
      </c>
      <c r="G835" s="63" t="s">
        <v>6</v>
      </c>
      <c r="H835" s="63" t="s">
        <v>4</v>
      </c>
      <c r="I835" s="63">
        <v>0</v>
      </c>
      <c r="J835" s="63">
        <v>0</v>
      </c>
      <c r="L835" s="63">
        <v>5.3677000000000001</v>
      </c>
      <c r="M835" s="63">
        <v>5.1444000000000004E-3</v>
      </c>
      <c r="N835" s="63">
        <v>5.3662999999999998</v>
      </c>
      <c r="O835" s="64">
        <v>5.1358999999999997E-3</v>
      </c>
    </row>
    <row r="836" spans="1:15" x14ac:dyDescent="0.25">
      <c r="A836" s="114" t="s">
        <v>274</v>
      </c>
      <c r="B836" s="63" t="s">
        <v>52</v>
      </c>
      <c r="C836" s="63" t="s">
        <v>3</v>
      </c>
      <c r="D836" s="63">
        <v>0</v>
      </c>
      <c r="E836" s="63">
        <v>0.1</v>
      </c>
      <c r="F836" s="63">
        <v>0.1</v>
      </c>
      <c r="G836" s="63" t="s">
        <v>6</v>
      </c>
      <c r="H836" s="63" t="s">
        <v>4</v>
      </c>
      <c r="I836" s="63">
        <v>0</v>
      </c>
      <c r="J836" s="63">
        <v>0</v>
      </c>
      <c r="L836" s="63">
        <v>58</v>
      </c>
      <c r="M836" s="63">
        <v>1.1503E-6</v>
      </c>
      <c r="N836" s="63">
        <v>58</v>
      </c>
      <c r="O836" s="64">
        <v>1.4191E-7</v>
      </c>
    </row>
    <row r="837" spans="1:15" x14ac:dyDescent="0.25">
      <c r="A837" s="114" t="s">
        <v>293</v>
      </c>
      <c r="B837" s="63" t="s">
        <v>52</v>
      </c>
      <c r="C837" s="63" t="s">
        <v>3</v>
      </c>
      <c r="D837" s="63">
        <v>100</v>
      </c>
      <c r="E837" s="63">
        <v>1000</v>
      </c>
      <c r="F837" s="63">
        <v>0.1</v>
      </c>
      <c r="G837" s="63" t="s">
        <v>6</v>
      </c>
      <c r="H837" s="63" t="s">
        <v>4</v>
      </c>
      <c r="I837" s="63">
        <v>0</v>
      </c>
      <c r="J837" s="63">
        <v>0</v>
      </c>
      <c r="L837" s="63">
        <v>57.936</v>
      </c>
      <c r="M837" s="63">
        <v>7.2802999999999995E-4</v>
      </c>
      <c r="N837" s="63">
        <v>57.936</v>
      </c>
      <c r="O837" s="64">
        <v>7.2117999999999998E-4</v>
      </c>
    </row>
    <row r="838" spans="1:15" x14ac:dyDescent="0.25">
      <c r="A838" s="114" t="s">
        <v>275</v>
      </c>
      <c r="B838" s="63" t="s">
        <v>52</v>
      </c>
      <c r="C838" s="63" t="s">
        <v>3</v>
      </c>
      <c r="D838" s="63">
        <v>0</v>
      </c>
      <c r="E838" s="63">
        <v>0.1</v>
      </c>
      <c r="F838" s="63">
        <v>1</v>
      </c>
      <c r="G838" s="63" t="s">
        <v>6</v>
      </c>
      <c r="H838" s="63" t="s">
        <v>4</v>
      </c>
      <c r="I838" s="63">
        <v>0</v>
      </c>
      <c r="J838" s="63">
        <v>0</v>
      </c>
      <c r="L838" s="63">
        <v>580</v>
      </c>
      <c r="M838" s="63">
        <v>4.1754000000000002E-7</v>
      </c>
      <c r="N838" s="63">
        <v>580</v>
      </c>
      <c r="O838" s="64">
        <v>1.4190999999999999E-8</v>
      </c>
    </row>
    <row r="839" spans="1:15" x14ac:dyDescent="0.25">
      <c r="A839" s="114" t="s">
        <v>294</v>
      </c>
      <c r="B839" s="63" t="s">
        <v>52</v>
      </c>
      <c r="C839" s="63" t="s">
        <v>3</v>
      </c>
      <c r="D839" s="63">
        <v>100</v>
      </c>
      <c r="E839" s="63">
        <v>1000</v>
      </c>
      <c r="F839" s="63">
        <v>1</v>
      </c>
      <c r="G839" s="63" t="s">
        <v>6</v>
      </c>
      <c r="H839" s="63" t="s">
        <v>4</v>
      </c>
      <c r="I839" s="63">
        <v>0</v>
      </c>
      <c r="J839" s="63">
        <v>0</v>
      </c>
      <c r="L839" s="63">
        <v>579.99</v>
      </c>
      <c r="M839" s="63">
        <v>7.5300000000000001E-5</v>
      </c>
      <c r="N839" s="63">
        <v>579.92999999999995</v>
      </c>
      <c r="O839" s="64">
        <v>7.2527999999999994E-5</v>
      </c>
    </row>
    <row r="840" spans="1:15" x14ac:dyDescent="0.25">
      <c r="A840" s="114" t="s">
        <v>261</v>
      </c>
      <c r="B840" s="63" t="s">
        <v>52</v>
      </c>
      <c r="C840" s="63" t="s">
        <v>77</v>
      </c>
      <c r="D840" s="63">
        <v>-454</v>
      </c>
      <c r="E840" s="63">
        <v>300</v>
      </c>
      <c r="F840" s="63">
        <v>0.1</v>
      </c>
      <c r="G840" s="63" t="s">
        <v>26</v>
      </c>
      <c r="H840" s="63" t="s">
        <v>26</v>
      </c>
      <c r="I840" s="63">
        <v>0</v>
      </c>
      <c r="J840" s="63">
        <v>0</v>
      </c>
      <c r="L840" s="63">
        <v>0.12</v>
      </c>
      <c r="M840" s="63">
        <v>0</v>
      </c>
      <c r="N840" s="63">
        <v>8.4620387795000002E-2</v>
      </c>
      <c r="O840" s="64">
        <v>0</v>
      </c>
    </row>
    <row r="841" spans="1:15" x14ac:dyDescent="0.25">
      <c r="A841" s="114" t="s">
        <v>263</v>
      </c>
      <c r="B841" s="63" t="s">
        <v>52</v>
      </c>
      <c r="C841" s="63" t="s">
        <v>77</v>
      </c>
      <c r="D841" s="63">
        <v>300.00099999999998</v>
      </c>
      <c r="E841" s="63">
        <v>1100</v>
      </c>
      <c r="F841" s="63">
        <v>0.1</v>
      </c>
      <c r="G841" s="63" t="s">
        <v>26</v>
      </c>
      <c r="H841" s="63" t="s">
        <v>26</v>
      </c>
      <c r="I841" s="63">
        <v>0</v>
      </c>
      <c r="J841" s="63">
        <v>0</v>
      </c>
      <c r="L841" s="63">
        <v>0.09</v>
      </c>
      <c r="M841" s="63">
        <v>0</v>
      </c>
      <c r="N841" s="63">
        <v>8.4258117024000004E-2</v>
      </c>
      <c r="O841" s="64">
        <v>0</v>
      </c>
    </row>
    <row r="842" spans="1:15" x14ac:dyDescent="0.25">
      <c r="A842" s="114" t="s">
        <v>265</v>
      </c>
      <c r="B842" s="63" t="s">
        <v>52</v>
      </c>
      <c r="C842" s="63" t="s">
        <v>77</v>
      </c>
      <c r="D842" s="63">
        <v>1100.001</v>
      </c>
      <c r="E842" s="63">
        <v>1832</v>
      </c>
      <c r="F842" s="63">
        <v>0.1</v>
      </c>
      <c r="G842" s="63" t="s">
        <v>26</v>
      </c>
      <c r="H842" s="63" t="s">
        <v>26</v>
      </c>
      <c r="I842" s="63">
        <v>0</v>
      </c>
      <c r="J842" s="63">
        <v>0</v>
      </c>
      <c r="L842" s="63">
        <v>9.1750578690000001E-2</v>
      </c>
      <c r="M842" s="63">
        <v>0</v>
      </c>
      <c r="N842" s="63">
        <v>8.7890410429999996E-2</v>
      </c>
      <c r="O842" s="64">
        <v>0</v>
      </c>
    </row>
    <row r="843" spans="1:15" x14ac:dyDescent="0.25">
      <c r="A843" s="114" t="s">
        <v>262</v>
      </c>
      <c r="B843" s="63" t="s">
        <v>52</v>
      </c>
      <c r="C843" s="63" t="s">
        <v>77</v>
      </c>
      <c r="D843" s="63">
        <v>-454</v>
      </c>
      <c r="E843" s="63">
        <v>300</v>
      </c>
      <c r="F843" s="63">
        <v>1</v>
      </c>
      <c r="G843" s="63" t="s">
        <v>26</v>
      </c>
      <c r="H843" s="63" t="s">
        <v>26</v>
      </c>
      <c r="I843" s="63">
        <v>0</v>
      </c>
      <c r="J843" s="63">
        <v>0</v>
      </c>
      <c r="L843" s="63">
        <v>0.60176790378900002</v>
      </c>
      <c r="M843" s="63">
        <v>0</v>
      </c>
      <c r="N843" s="63">
        <v>0.58065532808200004</v>
      </c>
      <c r="O843" s="64">
        <v>0</v>
      </c>
    </row>
    <row r="844" spans="1:15" x14ac:dyDescent="0.25">
      <c r="A844" s="114" t="s">
        <v>264</v>
      </c>
      <c r="B844" s="63" t="s">
        <v>52</v>
      </c>
      <c r="C844" s="63" t="s">
        <v>77</v>
      </c>
      <c r="D844" s="63">
        <v>300.00099999999998</v>
      </c>
      <c r="E844" s="63">
        <v>1100</v>
      </c>
      <c r="F844" s="63">
        <v>1</v>
      </c>
      <c r="G844" s="63" t="s">
        <v>26</v>
      </c>
      <c r="H844" s="63" t="s">
        <v>26</v>
      </c>
      <c r="I844" s="63">
        <v>0</v>
      </c>
      <c r="J844" s="63">
        <v>0</v>
      </c>
      <c r="L844" s="63">
        <v>0.58298645615699995</v>
      </c>
      <c r="M844" s="63">
        <v>0</v>
      </c>
      <c r="N844" s="63">
        <v>0.58060264405600004</v>
      </c>
      <c r="O844" s="64">
        <v>0</v>
      </c>
    </row>
    <row r="845" spans="1:15" x14ac:dyDescent="0.25">
      <c r="A845" s="114" t="s">
        <v>266</v>
      </c>
      <c r="B845" s="63" t="s">
        <v>52</v>
      </c>
      <c r="C845" s="63" t="s">
        <v>77</v>
      </c>
      <c r="D845" s="63">
        <v>1100.001</v>
      </c>
      <c r="E845" s="63">
        <v>1832</v>
      </c>
      <c r="F845" s="63">
        <v>1</v>
      </c>
      <c r="G845" s="63" t="s">
        <v>26</v>
      </c>
      <c r="H845" s="63" t="s">
        <v>26</v>
      </c>
      <c r="I845" s="63">
        <v>0</v>
      </c>
      <c r="J845" s="63">
        <v>0</v>
      </c>
      <c r="L845" s="63">
        <v>0.58352249487300001</v>
      </c>
      <c r="M845" s="63">
        <v>0</v>
      </c>
      <c r="N845" s="63">
        <v>0.58114088158199995</v>
      </c>
      <c r="O845" s="64">
        <v>0</v>
      </c>
    </row>
    <row r="846" spans="1:15" x14ac:dyDescent="0.25">
      <c r="A846" s="114" t="s">
        <v>255</v>
      </c>
      <c r="B846" s="63" t="s">
        <v>52</v>
      </c>
      <c r="C846" s="63" t="s">
        <v>78</v>
      </c>
      <c r="D846" s="63">
        <v>-346</v>
      </c>
      <c r="E846" s="63">
        <v>499.99900000000002</v>
      </c>
      <c r="F846" s="63">
        <v>0.1</v>
      </c>
      <c r="G846" s="63" t="s">
        <v>26</v>
      </c>
      <c r="H846" s="63" t="s">
        <v>26</v>
      </c>
      <c r="I846" s="63">
        <v>0</v>
      </c>
      <c r="J846" s="63">
        <v>0</v>
      </c>
      <c r="L846" s="63">
        <v>0.14000000000000001</v>
      </c>
      <c r="M846" s="63">
        <v>0</v>
      </c>
      <c r="N846" s="63">
        <v>9.1813958929999995E-2</v>
      </c>
      <c r="O846" s="64">
        <v>0</v>
      </c>
    </row>
    <row r="847" spans="1:15" x14ac:dyDescent="0.25">
      <c r="A847" s="114" t="s">
        <v>257</v>
      </c>
      <c r="B847" s="63" t="s">
        <v>52</v>
      </c>
      <c r="C847" s="63" t="s">
        <v>78</v>
      </c>
      <c r="D847" s="63">
        <v>500</v>
      </c>
      <c r="E847" s="63">
        <v>1350</v>
      </c>
      <c r="F847" s="63">
        <v>0.1</v>
      </c>
      <c r="G847" s="63" t="s">
        <v>26</v>
      </c>
      <c r="H847" s="63" t="s">
        <v>26</v>
      </c>
      <c r="I847" s="63">
        <v>0</v>
      </c>
      <c r="J847" s="63">
        <v>0</v>
      </c>
      <c r="L847" s="63">
        <v>0.11</v>
      </c>
      <c r="M847" s="63">
        <v>0</v>
      </c>
      <c r="N847" s="63">
        <v>8.5418892991000001E-2</v>
      </c>
      <c r="O847" s="64">
        <v>0</v>
      </c>
    </row>
    <row r="848" spans="1:15" x14ac:dyDescent="0.25">
      <c r="A848" s="114" t="s">
        <v>259</v>
      </c>
      <c r="B848" s="63" t="s">
        <v>52</v>
      </c>
      <c r="C848" s="63" t="s">
        <v>78</v>
      </c>
      <c r="D848" s="63">
        <v>1350.001</v>
      </c>
      <c r="E848" s="63">
        <v>2192</v>
      </c>
      <c r="F848" s="63">
        <v>0.1</v>
      </c>
      <c r="G848" s="63" t="s">
        <v>26</v>
      </c>
      <c r="H848" s="63" t="s">
        <v>26</v>
      </c>
      <c r="I848" s="63">
        <v>0</v>
      </c>
      <c r="J848" s="63">
        <v>0</v>
      </c>
      <c r="L848" s="63">
        <v>0.11</v>
      </c>
      <c r="M848" s="63">
        <v>0</v>
      </c>
      <c r="N848" s="63">
        <v>9.0691638953000003E-2</v>
      </c>
      <c r="O848" s="64">
        <v>0</v>
      </c>
    </row>
    <row r="849" spans="1:15" x14ac:dyDescent="0.25">
      <c r="A849" s="114" t="s">
        <v>256</v>
      </c>
      <c r="B849" s="63" t="s">
        <v>52</v>
      </c>
      <c r="C849" s="63" t="s">
        <v>78</v>
      </c>
      <c r="D849" s="63">
        <v>-346</v>
      </c>
      <c r="E849" s="63">
        <v>499.99900000000002</v>
      </c>
      <c r="F849" s="63">
        <v>1</v>
      </c>
      <c r="G849" s="63" t="s">
        <v>26</v>
      </c>
      <c r="H849" s="63" t="s">
        <v>26</v>
      </c>
      <c r="I849" s="63">
        <v>0</v>
      </c>
      <c r="J849" s="63">
        <v>0</v>
      </c>
      <c r="L849" s="63">
        <v>0.61871661324000005</v>
      </c>
      <c r="M849" s="63">
        <v>0</v>
      </c>
      <c r="N849" s="63">
        <v>0.58174719857900004</v>
      </c>
      <c r="O849" s="64">
        <v>0</v>
      </c>
    </row>
    <row r="850" spans="1:15" x14ac:dyDescent="0.25">
      <c r="A850" s="114" t="s">
        <v>258</v>
      </c>
      <c r="B850" s="63" t="s">
        <v>52</v>
      </c>
      <c r="C850" s="63" t="s">
        <v>78</v>
      </c>
      <c r="D850" s="63">
        <v>500</v>
      </c>
      <c r="E850" s="63">
        <v>1350</v>
      </c>
      <c r="F850" s="63">
        <v>1</v>
      </c>
      <c r="G850" s="63" t="s">
        <v>26</v>
      </c>
      <c r="H850" s="63" t="s">
        <v>26</v>
      </c>
      <c r="I850" s="63">
        <v>0</v>
      </c>
      <c r="J850" s="63">
        <v>0</v>
      </c>
      <c r="L850" s="63">
        <v>0.59112989022899998</v>
      </c>
      <c r="M850" s="63">
        <v>0</v>
      </c>
      <c r="N850" s="63">
        <v>0.58077223356499996</v>
      </c>
      <c r="O850" s="64">
        <v>0</v>
      </c>
    </row>
    <row r="851" spans="1:15" x14ac:dyDescent="0.25">
      <c r="A851" s="114" t="s">
        <v>260</v>
      </c>
      <c r="B851" s="63" t="s">
        <v>52</v>
      </c>
      <c r="C851" s="63" t="s">
        <v>78</v>
      </c>
      <c r="D851" s="63">
        <v>1350.001</v>
      </c>
      <c r="E851" s="63">
        <v>2192</v>
      </c>
      <c r="F851" s="63">
        <v>1</v>
      </c>
      <c r="G851" s="63" t="s">
        <v>26</v>
      </c>
      <c r="H851" s="63" t="s">
        <v>26</v>
      </c>
      <c r="I851" s="63">
        <v>0</v>
      </c>
      <c r="J851" s="63">
        <v>0</v>
      </c>
      <c r="L851" s="63">
        <v>0.589270524593</v>
      </c>
      <c r="M851" s="63">
        <v>0</v>
      </c>
      <c r="N851" s="63">
        <v>0.58157112494999996</v>
      </c>
      <c r="O851" s="64">
        <v>0</v>
      </c>
    </row>
    <row r="852" spans="1:15" x14ac:dyDescent="0.25">
      <c r="A852" s="114" t="s">
        <v>249</v>
      </c>
      <c r="B852" s="63" t="s">
        <v>52</v>
      </c>
      <c r="C852" s="63" t="s">
        <v>79</v>
      </c>
      <c r="D852" s="63">
        <v>-454</v>
      </c>
      <c r="E852" s="63">
        <v>-400.00099999999998</v>
      </c>
      <c r="F852" s="63">
        <v>0.1</v>
      </c>
      <c r="G852" s="63" t="s">
        <v>26</v>
      </c>
      <c r="H852" s="63" t="s">
        <v>26</v>
      </c>
      <c r="I852" s="63">
        <v>0</v>
      </c>
      <c r="J852" s="63">
        <v>0</v>
      </c>
      <c r="L852" s="63">
        <v>0.77443041011000002</v>
      </c>
      <c r="M852" s="63">
        <v>0</v>
      </c>
      <c r="N852" s="63">
        <v>0.76326909416199995</v>
      </c>
      <c r="O852" s="64">
        <v>0</v>
      </c>
    </row>
    <row r="853" spans="1:15" x14ac:dyDescent="0.25">
      <c r="A853" s="114" t="s">
        <v>250</v>
      </c>
      <c r="B853" s="63" t="s">
        <v>52</v>
      </c>
      <c r="C853" s="63" t="s">
        <v>79</v>
      </c>
      <c r="D853" s="63">
        <v>-400</v>
      </c>
      <c r="E853" s="63">
        <v>499.99900000000002</v>
      </c>
      <c r="F853" s="63">
        <v>0.1</v>
      </c>
      <c r="G853" s="63" t="s">
        <v>26</v>
      </c>
      <c r="H853" s="63" t="s">
        <v>26</v>
      </c>
      <c r="I853" s="63">
        <v>0</v>
      </c>
      <c r="J853" s="63">
        <v>0</v>
      </c>
      <c r="L853" s="63">
        <v>0.19</v>
      </c>
      <c r="M853" s="63">
        <v>0</v>
      </c>
      <c r="N853" s="63">
        <v>0.135879482385</v>
      </c>
      <c r="O853" s="64">
        <v>0</v>
      </c>
    </row>
    <row r="854" spans="1:15" x14ac:dyDescent="0.25">
      <c r="A854" s="114" t="s">
        <v>252</v>
      </c>
      <c r="B854" s="63" t="s">
        <v>52</v>
      </c>
      <c r="C854" s="63" t="s">
        <v>79</v>
      </c>
      <c r="D854" s="63">
        <v>500</v>
      </c>
      <c r="E854" s="63">
        <v>1500</v>
      </c>
      <c r="F854" s="63">
        <v>0.1</v>
      </c>
      <c r="G854" s="63" t="s">
        <v>26</v>
      </c>
      <c r="H854" s="63" t="s">
        <v>26</v>
      </c>
      <c r="I854" s="63">
        <v>0</v>
      </c>
      <c r="J854" s="63">
        <v>0</v>
      </c>
      <c r="L854" s="63">
        <v>0.12</v>
      </c>
      <c r="M854" s="63">
        <v>0</v>
      </c>
      <c r="N854" s="63">
        <v>8.8716091735000002E-2</v>
      </c>
      <c r="O854" s="64">
        <v>0</v>
      </c>
    </row>
    <row r="855" spans="1:15" x14ac:dyDescent="0.25">
      <c r="A855" s="114" t="s">
        <v>254</v>
      </c>
      <c r="B855" s="63" t="s">
        <v>52</v>
      </c>
      <c r="C855" s="63" t="s">
        <v>79</v>
      </c>
      <c r="D855" s="63">
        <v>1500.001</v>
      </c>
      <c r="E855" s="63">
        <v>2500</v>
      </c>
      <c r="F855" s="63">
        <v>0.1</v>
      </c>
      <c r="G855" s="63" t="s">
        <v>26</v>
      </c>
      <c r="H855" s="63" t="s">
        <v>26</v>
      </c>
      <c r="I855" s="63">
        <v>0</v>
      </c>
      <c r="J855" s="63">
        <v>0</v>
      </c>
      <c r="L855" s="63">
        <v>0.13134693283599999</v>
      </c>
      <c r="M855" s="63">
        <v>0</v>
      </c>
      <c r="N855" s="63">
        <v>9.8982266025999993E-2</v>
      </c>
      <c r="O855" s="64">
        <v>0</v>
      </c>
    </row>
    <row r="856" spans="1:15" x14ac:dyDescent="0.25">
      <c r="A856" s="114" t="s">
        <v>2344</v>
      </c>
      <c r="B856" s="63" t="s">
        <v>52</v>
      </c>
      <c r="C856" s="63" t="s">
        <v>79</v>
      </c>
      <c r="D856" s="63">
        <v>-454</v>
      </c>
      <c r="E856" s="63">
        <v>-400.00099999999998</v>
      </c>
      <c r="F856" s="63">
        <v>1</v>
      </c>
      <c r="G856" s="63" t="s">
        <v>26</v>
      </c>
      <c r="H856" s="63" t="s">
        <v>26</v>
      </c>
      <c r="I856" s="63">
        <v>0</v>
      </c>
      <c r="J856" s="63">
        <v>0</v>
      </c>
      <c r="L856" s="63">
        <v>0.99057090109900003</v>
      </c>
      <c r="M856" s="63">
        <v>0</v>
      </c>
      <c r="N856" s="63">
        <v>0.95529037999099997</v>
      </c>
      <c r="O856" s="64">
        <v>0</v>
      </c>
    </row>
    <row r="857" spans="1:15" x14ac:dyDescent="0.25">
      <c r="A857" s="114" t="s">
        <v>251</v>
      </c>
      <c r="B857" s="63" t="s">
        <v>52</v>
      </c>
      <c r="C857" s="63" t="s">
        <v>79</v>
      </c>
      <c r="D857" s="63">
        <v>-400</v>
      </c>
      <c r="E857" s="63">
        <v>499.99900000000002</v>
      </c>
      <c r="F857" s="63">
        <v>1</v>
      </c>
      <c r="G857" s="63" t="s">
        <v>26</v>
      </c>
      <c r="H857" s="63" t="s">
        <v>26</v>
      </c>
      <c r="I857" s="63">
        <v>0</v>
      </c>
      <c r="J857" s="63">
        <v>0</v>
      </c>
      <c r="L857" s="63">
        <v>0.63828364502900004</v>
      </c>
      <c r="M857" s="63">
        <v>0</v>
      </c>
      <c r="N857" s="63">
        <v>0.59030774493799998</v>
      </c>
      <c r="O857" s="64">
        <v>0</v>
      </c>
    </row>
    <row r="858" spans="1:15" x14ac:dyDescent="0.25">
      <c r="A858" s="114" t="s">
        <v>253</v>
      </c>
      <c r="B858" s="63" t="s">
        <v>52</v>
      </c>
      <c r="C858" s="63" t="s">
        <v>79</v>
      </c>
      <c r="D858" s="63">
        <v>500</v>
      </c>
      <c r="E858" s="63">
        <v>1500</v>
      </c>
      <c r="F858" s="63">
        <v>1</v>
      </c>
      <c r="G858" s="63" t="s">
        <v>26</v>
      </c>
      <c r="H858" s="63" t="s">
        <v>26</v>
      </c>
      <c r="I858" s="63">
        <v>0</v>
      </c>
      <c r="J858" s="63">
        <v>0</v>
      </c>
      <c r="L858" s="63">
        <v>0.59947253707799997</v>
      </c>
      <c r="M858" s="63">
        <v>0</v>
      </c>
      <c r="N858" s="63">
        <v>0.58126632874499995</v>
      </c>
      <c r="O858" s="64">
        <v>0</v>
      </c>
    </row>
    <row r="859" spans="1:15" x14ac:dyDescent="0.25">
      <c r="A859" s="114" t="s">
        <v>2345</v>
      </c>
      <c r="B859" s="63" t="s">
        <v>52</v>
      </c>
      <c r="C859" s="63" t="s">
        <v>79</v>
      </c>
      <c r="D859" s="63">
        <v>1500.001</v>
      </c>
      <c r="E859" s="63">
        <v>2500</v>
      </c>
      <c r="F859" s="63">
        <v>1</v>
      </c>
      <c r="G859" s="63" t="s">
        <v>26</v>
      </c>
      <c r="H859" s="63" t="s">
        <v>26</v>
      </c>
      <c r="I859" s="63">
        <v>0</v>
      </c>
      <c r="J859" s="63">
        <v>0</v>
      </c>
      <c r="L859" s="63">
        <v>0.60796019614700003</v>
      </c>
      <c r="M859" s="63">
        <v>0</v>
      </c>
      <c r="N859" s="63">
        <v>0.58292151185899999</v>
      </c>
      <c r="O859" s="64">
        <v>0</v>
      </c>
    </row>
    <row r="860" spans="1:15" x14ac:dyDescent="0.25">
      <c r="A860" s="114" t="s">
        <v>241</v>
      </c>
      <c r="B860" s="63" t="s">
        <v>52</v>
      </c>
      <c r="C860" s="63" t="s">
        <v>80</v>
      </c>
      <c r="D860" s="63">
        <v>-454</v>
      </c>
      <c r="E860" s="63">
        <v>-400.00099999999998</v>
      </c>
      <c r="F860" s="63">
        <v>0.1</v>
      </c>
      <c r="G860" s="63" t="s">
        <v>26</v>
      </c>
      <c r="H860" s="63" t="s">
        <v>26</v>
      </c>
      <c r="I860" s="63">
        <v>0</v>
      </c>
      <c r="J860" s="63">
        <v>0</v>
      </c>
      <c r="L860" s="63">
        <v>1.5</v>
      </c>
      <c r="M860" s="63">
        <v>0</v>
      </c>
      <c r="N860" s="63">
        <v>1.4288134381199999</v>
      </c>
      <c r="O860" s="64">
        <v>0</v>
      </c>
    </row>
    <row r="861" spans="1:15" x14ac:dyDescent="0.25">
      <c r="A861" s="114" t="s">
        <v>243</v>
      </c>
      <c r="B861" s="63" t="s">
        <v>52</v>
      </c>
      <c r="C861" s="63" t="s">
        <v>80</v>
      </c>
      <c r="D861" s="63">
        <v>-400</v>
      </c>
      <c r="E861" s="63">
        <v>-150.001</v>
      </c>
      <c r="F861" s="63">
        <v>0.1</v>
      </c>
      <c r="G861" s="63" t="s">
        <v>26</v>
      </c>
      <c r="H861" s="63" t="s">
        <v>26</v>
      </c>
      <c r="I861" s="63">
        <v>0</v>
      </c>
      <c r="J861" s="63">
        <v>0</v>
      </c>
      <c r="L861" s="63">
        <v>0.24</v>
      </c>
      <c r="M861" s="63">
        <v>0</v>
      </c>
      <c r="N861" s="63">
        <v>0.198729600225</v>
      </c>
      <c r="O861" s="64">
        <v>0</v>
      </c>
    </row>
    <row r="862" spans="1:15" x14ac:dyDescent="0.25">
      <c r="A862" s="114" t="s">
        <v>244</v>
      </c>
      <c r="B862" s="63" t="s">
        <v>52</v>
      </c>
      <c r="C862" s="63" t="s">
        <v>80</v>
      </c>
      <c r="D862" s="63">
        <v>-150</v>
      </c>
      <c r="E862" s="63">
        <v>700</v>
      </c>
      <c r="F862" s="63">
        <v>0.1</v>
      </c>
      <c r="G862" s="63" t="s">
        <v>26</v>
      </c>
      <c r="H862" s="63" t="s">
        <v>26</v>
      </c>
      <c r="I862" s="63">
        <v>0</v>
      </c>
      <c r="J862" s="63">
        <v>0</v>
      </c>
      <c r="L862" s="63">
        <v>0.14000000000000001</v>
      </c>
      <c r="M862" s="63">
        <v>0</v>
      </c>
      <c r="N862" s="63">
        <v>8.8082792133999999E-2</v>
      </c>
      <c r="O862" s="64">
        <v>0</v>
      </c>
    </row>
    <row r="863" spans="1:15" x14ac:dyDescent="0.25">
      <c r="A863" s="114" t="s">
        <v>245</v>
      </c>
      <c r="B863" s="63" t="s">
        <v>52</v>
      </c>
      <c r="C863" s="63" t="s">
        <v>80</v>
      </c>
      <c r="D863" s="63">
        <v>700.00099999999998</v>
      </c>
      <c r="E863" s="63">
        <v>1500</v>
      </c>
      <c r="F863" s="63">
        <v>0.1</v>
      </c>
      <c r="G863" s="63" t="s">
        <v>26</v>
      </c>
      <c r="H863" s="63" t="s">
        <v>26</v>
      </c>
      <c r="I863" s="63">
        <v>0</v>
      </c>
      <c r="J863" s="63">
        <v>0</v>
      </c>
      <c r="L863" s="63">
        <v>0.12</v>
      </c>
      <c r="M863" s="63">
        <v>0</v>
      </c>
      <c r="N863" s="63">
        <v>8.7954481685999994E-2</v>
      </c>
      <c r="O863" s="64">
        <v>0</v>
      </c>
    </row>
    <row r="864" spans="1:15" x14ac:dyDescent="0.25">
      <c r="A864" s="114" t="s">
        <v>247</v>
      </c>
      <c r="B864" s="63" t="s">
        <v>52</v>
      </c>
      <c r="C864" s="63" t="s">
        <v>80</v>
      </c>
      <c r="D864" s="63">
        <v>1500.001</v>
      </c>
      <c r="E864" s="63">
        <v>2372</v>
      </c>
      <c r="F864" s="63">
        <v>0.1</v>
      </c>
      <c r="G864" s="63" t="s">
        <v>26</v>
      </c>
      <c r="H864" s="63" t="s">
        <v>26</v>
      </c>
      <c r="I864" s="63">
        <v>0</v>
      </c>
      <c r="J864" s="63">
        <v>0</v>
      </c>
      <c r="L864" s="63">
        <v>0.13</v>
      </c>
      <c r="M864" s="63">
        <v>0</v>
      </c>
      <c r="N864" s="63">
        <v>9.4805567091999998E-2</v>
      </c>
      <c r="O864" s="64">
        <v>0</v>
      </c>
    </row>
    <row r="865" spans="1:15" x14ac:dyDescent="0.25">
      <c r="A865" s="114" t="s">
        <v>242</v>
      </c>
      <c r="B865" s="63" t="s">
        <v>52</v>
      </c>
      <c r="C865" s="63" t="s">
        <v>80</v>
      </c>
      <c r="D865" s="63">
        <v>-454</v>
      </c>
      <c r="E865" s="63">
        <v>-400.00099999999998</v>
      </c>
      <c r="F865" s="63">
        <v>1</v>
      </c>
      <c r="G865" s="63" t="s">
        <v>26</v>
      </c>
      <c r="H865" s="63" t="s">
        <v>26</v>
      </c>
      <c r="I865" s="63">
        <v>0</v>
      </c>
      <c r="J865" s="63">
        <v>0</v>
      </c>
      <c r="L865" s="63">
        <v>1.5603240962689999</v>
      </c>
      <c r="M865" s="63">
        <v>0</v>
      </c>
      <c r="N865" s="63">
        <v>1.5399700779409999</v>
      </c>
      <c r="O865" s="64">
        <v>0</v>
      </c>
    </row>
    <row r="866" spans="1:15" x14ac:dyDescent="0.25">
      <c r="A866" s="114" t="s">
        <v>2346</v>
      </c>
      <c r="B866" s="63" t="s">
        <v>52</v>
      </c>
      <c r="C866" s="63" t="s">
        <v>80</v>
      </c>
      <c r="D866" s="63">
        <v>-400</v>
      </c>
      <c r="E866" s="63">
        <v>-150.001</v>
      </c>
      <c r="F866" s="63">
        <v>1</v>
      </c>
      <c r="G866" s="63" t="s">
        <v>26</v>
      </c>
      <c r="H866" s="63" t="s">
        <v>26</v>
      </c>
      <c r="I866" s="63">
        <v>0</v>
      </c>
      <c r="J866" s="63">
        <v>0</v>
      </c>
      <c r="L866" s="63">
        <v>0.65772098830000003</v>
      </c>
      <c r="M866" s="63">
        <v>0</v>
      </c>
      <c r="N866" s="63">
        <v>0.60785973218</v>
      </c>
      <c r="O866" s="64">
        <v>0</v>
      </c>
    </row>
    <row r="867" spans="1:15" x14ac:dyDescent="0.25">
      <c r="A867" s="114" t="s">
        <v>2347</v>
      </c>
      <c r="B867" s="63" t="s">
        <v>52</v>
      </c>
      <c r="C867" s="63" t="s">
        <v>80</v>
      </c>
      <c r="D867" s="63">
        <v>-150</v>
      </c>
      <c r="E867" s="63">
        <v>700</v>
      </c>
      <c r="F867" s="63">
        <v>1</v>
      </c>
      <c r="G867" s="63" t="s">
        <v>26</v>
      </c>
      <c r="H867" s="63" t="s">
        <v>26</v>
      </c>
      <c r="I867" s="63">
        <v>0</v>
      </c>
      <c r="J867" s="63">
        <v>0</v>
      </c>
      <c r="L867" s="63">
        <v>0.61817394211900001</v>
      </c>
      <c r="M867" s="63">
        <v>0</v>
      </c>
      <c r="N867" s="63">
        <v>0.58117000806100005</v>
      </c>
      <c r="O867" s="64">
        <v>0</v>
      </c>
    </row>
    <row r="868" spans="1:15" x14ac:dyDescent="0.25">
      <c r="A868" s="114" t="s">
        <v>246</v>
      </c>
      <c r="B868" s="63" t="s">
        <v>52</v>
      </c>
      <c r="C868" s="63" t="s">
        <v>80</v>
      </c>
      <c r="D868" s="63">
        <v>700.00099999999998</v>
      </c>
      <c r="E868" s="63">
        <v>1500</v>
      </c>
      <c r="F868" s="63">
        <v>1</v>
      </c>
      <c r="G868" s="63" t="s">
        <v>26</v>
      </c>
      <c r="H868" s="63" t="s">
        <v>26</v>
      </c>
      <c r="I868" s="63">
        <v>0</v>
      </c>
      <c r="J868" s="63">
        <v>0</v>
      </c>
      <c r="L868" s="63">
        <v>0.601093255627</v>
      </c>
      <c r="M868" s="63">
        <v>0</v>
      </c>
      <c r="N868" s="63">
        <v>0.58115057502199996</v>
      </c>
      <c r="O868" s="64">
        <v>0</v>
      </c>
    </row>
    <row r="869" spans="1:15" x14ac:dyDescent="0.25">
      <c r="A869" s="114" t="s">
        <v>248</v>
      </c>
      <c r="B869" s="63" t="s">
        <v>52</v>
      </c>
      <c r="C869" s="63" t="s">
        <v>80</v>
      </c>
      <c r="D869" s="63">
        <v>1500.001</v>
      </c>
      <c r="E869" s="63">
        <v>2372</v>
      </c>
      <c r="F869" s="63">
        <v>1</v>
      </c>
      <c r="G869" s="63" t="s">
        <v>26</v>
      </c>
      <c r="H869" s="63" t="s">
        <v>26</v>
      </c>
      <c r="I869" s="63">
        <v>0</v>
      </c>
      <c r="J869" s="63">
        <v>0</v>
      </c>
      <c r="L869" s="63">
        <v>0.603858874238</v>
      </c>
      <c r="M869" s="63">
        <v>0</v>
      </c>
      <c r="N869" s="63">
        <v>0.58222684200599994</v>
      </c>
      <c r="O869" s="64">
        <v>0</v>
      </c>
    </row>
    <row r="870" spans="1:15" x14ac:dyDescent="0.25">
      <c r="A870" s="114" t="s">
        <v>229</v>
      </c>
      <c r="B870" s="63" t="s">
        <v>52</v>
      </c>
      <c r="C870" s="63" t="s">
        <v>84</v>
      </c>
      <c r="D870" s="63">
        <v>-320</v>
      </c>
      <c r="E870" s="63">
        <v>32</v>
      </c>
      <c r="F870" s="63">
        <v>0.01</v>
      </c>
      <c r="G870" s="63" t="s">
        <v>26</v>
      </c>
      <c r="H870" s="63" t="s">
        <v>26</v>
      </c>
      <c r="I870" s="63">
        <v>0</v>
      </c>
      <c r="J870" s="63">
        <v>0</v>
      </c>
      <c r="L870" s="63">
        <v>1.2999999999999999E-2</v>
      </c>
      <c r="M870" s="63">
        <v>0</v>
      </c>
      <c r="N870" s="63">
        <v>1.0679013171E-2</v>
      </c>
      <c r="O870" s="64">
        <v>0</v>
      </c>
    </row>
    <row r="871" spans="1:15" x14ac:dyDescent="0.25">
      <c r="A871" s="114" t="s">
        <v>2348</v>
      </c>
      <c r="B871" s="63" t="s">
        <v>52</v>
      </c>
      <c r="C871" s="63" t="s">
        <v>84</v>
      </c>
      <c r="D871" s="63">
        <v>32.000999999999998</v>
      </c>
      <c r="E871" s="63">
        <v>400</v>
      </c>
      <c r="F871" s="63">
        <v>0.01</v>
      </c>
      <c r="G871" s="63" t="s">
        <v>26</v>
      </c>
      <c r="H871" s="63" t="s">
        <v>26</v>
      </c>
      <c r="I871" s="63">
        <v>0</v>
      </c>
      <c r="J871" s="63">
        <v>0</v>
      </c>
      <c r="L871" s="63">
        <v>1.6E-2</v>
      </c>
      <c r="M871" s="63">
        <v>0</v>
      </c>
      <c r="N871" s="63">
        <v>1.4506479885E-2</v>
      </c>
      <c r="O871" s="64">
        <v>0</v>
      </c>
    </row>
    <row r="872" spans="1:15" x14ac:dyDescent="0.25">
      <c r="A872" s="114" t="s">
        <v>232</v>
      </c>
      <c r="B872" s="63" t="s">
        <v>52</v>
      </c>
      <c r="C872" s="63" t="s">
        <v>84</v>
      </c>
      <c r="D872" s="63">
        <v>400.00099999999998</v>
      </c>
      <c r="E872" s="63">
        <v>800</v>
      </c>
      <c r="F872" s="63">
        <v>0.01</v>
      </c>
      <c r="G872" s="63" t="s">
        <v>26</v>
      </c>
      <c r="H872" s="63" t="s">
        <v>26</v>
      </c>
      <c r="I872" s="63">
        <v>0</v>
      </c>
      <c r="J872" s="63">
        <v>0</v>
      </c>
      <c r="L872" s="63">
        <v>2.1000000000000001E-2</v>
      </c>
      <c r="M872" s="63">
        <v>0</v>
      </c>
      <c r="N872" s="63">
        <v>1.8861623966999998E-2</v>
      </c>
      <c r="O872" s="64">
        <v>0</v>
      </c>
    </row>
    <row r="873" spans="1:15" x14ac:dyDescent="0.25">
      <c r="A873" s="114" t="s">
        <v>235</v>
      </c>
      <c r="B873" s="63" t="s">
        <v>52</v>
      </c>
      <c r="C873" s="63" t="s">
        <v>84</v>
      </c>
      <c r="D873" s="63">
        <v>800.00099999999998</v>
      </c>
      <c r="E873" s="63">
        <v>1200</v>
      </c>
      <c r="F873" s="63">
        <v>0.01</v>
      </c>
      <c r="G873" s="63" t="s">
        <v>26</v>
      </c>
      <c r="H873" s="63" t="s">
        <v>26</v>
      </c>
      <c r="I873" s="63">
        <v>0</v>
      </c>
      <c r="J873" s="63">
        <v>0</v>
      </c>
      <c r="L873" s="63">
        <v>2.7260507468E-2</v>
      </c>
      <c r="M873" s="63">
        <v>0</v>
      </c>
      <c r="N873" s="63">
        <v>2.6097132923000001E-2</v>
      </c>
      <c r="O873" s="64">
        <v>0</v>
      </c>
    </row>
    <row r="874" spans="1:15" x14ac:dyDescent="0.25">
      <c r="A874" s="114" t="s">
        <v>238</v>
      </c>
      <c r="B874" s="63" t="s">
        <v>52</v>
      </c>
      <c r="C874" s="63" t="s">
        <v>84</v>
      </c>
      <c r="D874" s="63">
        <v>1200.001</v>
      </c>
      <c r="E874" s="63">
        <v>1562</v>
      </c>
      <c r="F874" s="63">
        <v>0.01</v>
      </c>
      <c r="G874" s="63" t="s">
        <v>26</v>
      </c>
      <c r="H874" s="63" t="s">
        <v>26</v>
      </c>
      <c r="I874" s="63">
        <v>0</v>
      </c>
      <c r="J874" s="63">
        <v>0</v>
      </c>
      <c r="L874" s="63">
        <v>3.4473084940000003E-2</v>
      </c>
      <c r="M874" s="63">
        <v>0</v>
      </c>
      <c r="N874" s="63">
        <v>3.2866752600999999E-2</v>
      </c>
      <c r="O874" s="64">
        <v>0</v>
      </c>
    </row>
    <row r="875" spans="1:15" x14ac:dyDescent="0.25">
      <c r="A875" s="114" t="s">
        <v>2349</v>
      </c>
      <c r="B875" s="63" t="s">
        <v>52</v>
      </c>
      <c r="C875" s="63" t="s">
        <v>84</v>
      </c>
      <c r="D875" s="63">
        <v>-320</v>
      </c>
      <c r="E875" s="63">
        <v>32</v>
      </c>
      <c r="F875" s="63">
        <v>0.1</v>
      </c>
      <c r="G875" s="63" t="s">
        <v>26</v>
      </c>
      <c r="H875" s="63" t="s">
        <v>26</v>
      </c>
      <c r="I875" s="63">
        <v>0</v>
      </c>
      <c r="J875" s="63">
        <v>0</v>
      </c>
      <c r="L875" s="63">
        <v>5.9935600796999999E-2</v>
      </c>
      <c r="M875" s="63">
        <v>0</v>
      </c>
      <c r="N875" s="63">
        <v>5.8429798239999997E-2</v>
      </c>
      <c r="O875" s="64">
        <v>0</v>
      </c>
    </row>
    <row r="876" spans="1:15" x14ac:dyDescent="0.25">
      <c r="A876" s="114" t="s">
        <v>2350</v>
      </c>
      <c r="B876" s="63" t="s">
        <v>52</v>
      </c>
      <c r="C876" s="63" t="s">
        <v>84</v>
      </c>
      <c r="D876" s="63">
        <v>32.000999999999998</v>
      </c>
      <c r="E876" s="63">
        <v>400</v>
      </c>
      <c r="F876" s="63">
        <v>0.1</v>
      </c>
      <c r="G876" s="63" t="s">
        <v>26</v>
      </c>
      <c r="H876" s="63" t="s">
        <v>26</v>
      </c>
      <c r="I876" s="63">
        <v>0</v>
      </c>
      <c r="J876" s="63">
        <v>0</v>
      </c>
      <c r="L876" s="63">
        <v>6.0734445574999997E-2</v>
      </c>
      <c r="M876" s="63">
        <v>0</v>
      </c>
      <c r="N876" s="63">
        <v>5.9248949008999997E-2</v>
      </c>
      <c r="O876" s="64">
        <v>0</v>
      </c>
    </row>
    <row r="877" spans="1:15" x14ac:dyDescent="0.25">
      <c r="A877" s="114" t="s">
        <v>233</v>
      </c>
      <c r="B877" s="63" t="s">
        <v>52</v>
      </c>
      <c r="C877" s="63" t="s">
        <v>84</v>
      </c>
      <c r="D877" s="63">
        <v>400.00099999999998</v>
      </c>
      <c r="E877" s="63">
        <v>800</v>
      </c>
      <c r="F877" s="63">
        <v>0.1</v>
      </c>
      <c r="G877" s="63" t="s">
        <v>26</v>
      </c>
      <c r="H877" s="63" t="s">
        <v>26</v>
      </c>
      <c r="I877" s="63">
        <v>0</v>
      </c>
      <c r="J877" s="63">
        <v>0</v>
      </c>
      <c r="L877" s="63">
        <v>6.2482481875000002E-2</v>
      </c>
      <c r="M877" s="63">
        <v>0</v>
      </c>
      <c r="N877" s="63">
        <v>6.0462888276E-2</v>
      </c>
      <c r="O877" s="64">
        <v>0</v>
      </c>
    </row>
    <row r="878" spans="1:15" x14ac:dyDescent="0.25">
      <c r="A878" s="114" t="s">
        <v>236</v>
      </c>
      <c r="B878" s="63" t="s">
        <v>52</v>
      </c>
      <c r="C878" s="63" t="s">
        <v>84</v>
      </c>
      <c r="D878" s="63">
        <v>800.00099999999998</v>
      </c>
      <c r="E878" s="63">
        <v>1200</v>
      </c>
      <c r="F878" s="63">
        <v>0.1</v>
      </c>
      <c r="G878" s="63" t="s">
        <v>26</v>
      </c>
      <c r="H878" s="63" t="s">
        <v>26</v>
      </c>
      <c r="I878" s="63">
        <v>0</v>
      </c>
      <c r="J878" s="63">
        <v>0</v>
      </c>
      <c r="L878" s="63">
        <v>6.5033530039000004E-2</v>
      </c>
      <c r="M878" s="63">
        <v>0</v>
      </c>
      <c r="N878" s="63">
        <v>6.3095644436000006E-2</v>
      </c>
      <c r="O878" s="64">
        <v>0</v>
      </c>
    </row>
    <row r="879" spans="1:15" x14ac:dyDescent="0.25">
      <c r="A879" s="114" t="s">
        <v>239</v>
      </c>
      <c r="B879" s="63" t="s">
        <v>52</v>
      </c>
      <c r="C879" s="63" t="s">
        <v>84</v>
      </c>
      <c r="D879" s="63">
        <v>1200.001</v>
      </c>
      <c r="E879" s="63">
        <v>1562</v>
      </c>
      <c r="F879" s="63">
        <v>0.1</v>
      </c>
      <c r="G879" s="63" t="s">
        <v>26</v>
      </c>
      <c r="H879" s="63" t="s">
        <v>26</v>
      </c>
      <c r="I879" s="63">
        <v>0</v>
      </c>
      <c r="J879" s="63">
        <v>0</v>
      </c>
      <c r="L879" s="63">
        <v>6.9375096839000006E-2</v>
      </c>
      <c r="M879" s="63">
        <v>0</v>
      </c>
      <c r="N879" s="63">
        <v>6.6183256391000006E-2</v>
      </c>
      <c r="O879" s="64">
        <v>0</v>
      </c>
    </row>
    <row r="880" spans="1:15" x14ac:dyDescent="0.25">
      <c r="A880" s="114" t="s">
        <v>230</v>
      </c>
      <c r="B880" s="63" t="s">
        <v>52</v>
      </c>
      <c r="C880" s="63" t="s">
        <v>84</v>
      </c>
      <c r="D880" s="63">
        <v>-320</v>
      </c>
      <c r="E880" s="63">
        <v>32</v>
      </c>
      <c r="F880" s="63">
        <v>1</v>
      </c>
      <c r="G880" s="63" t="s">
        <v>26</v>
      </c>
      <c r="H880" s="63" t="s">
        <v>26</v>
      </c>
      <c r="I880" s="63">
        <v>0</v>
      </c>
      <c r="J880" s="63">
        <v>0</v>
      </c>
      <c r="L880" s="63">
        <v>0.57803717960400003</v>
      </c>
      <c r="M880" s="63">
        <v>0</v>
      </c>
      <c r="N880" s="63">
        <v>0.57742016012800002</v>
      </c>
      <c r="O880" s="64">
        <v>0</v>
      </c>
    </row>
    <row r="881" spans="1:15" x14ac:dyDescent="0.25">
      <c r="A881" s="114" t="s">
        <v>231</v>
      </c>
      <c r="B881" s="63" t="s">
        <v>52</v>
      </c>
      <c r="C881" s="63" t="s">
        <v>84</v>
      </c>
      <c r="D881" s="63">
        <v>32.000999999999998</v>
      </c>
      <c r="E881" s="63">
        <v>400</v>
      </c>
      <c r="F881" s="63">
        <v>1</v>
      </c>
      <c r="G881" s="63" t="s">
        <v>26</v>
      </c>
      <c r="H881" s="63" t="s">
        <v>26</v>
      </c>
      <c r="I881" s="63">
        <v>0</v>
      </c>
      <c r="J881" s="63">
        <v>0</v>
      </c>
      <c r="L881" s="63">
        <v>0.57812055632100001</v>
      </c>
      <c r="M881" s="63">
        <v>0</v>
      </c>
      <c r="N881" s="63">
        <v>0.577503625927</v>
      </c>
      <c r="O881" s="64">
        <v>0</v>
      </c>
    </row>
    <row r="882" spans="1:15" x14ac:dyDescent="0.25">
      <c r="A882" s="114" t="s">
        <v>234</v>
      </c>
      <c r="B882" s="63" t="s">
        <v>52</v>
      </c>
      <c r="C882" s="63" t="s">
        <v>84</v>
      </c>
      <c r="D882" s="63">
        <v>400.00099999999998</v>
      </c>
      <c r="E882" s="63">
        <v>800</v>
      </c>
      <c r="F882" s="63">
        <v>1</v>
      </c>
      <c r="G882" s="63" t="s">
        <v>26</v>
      </c>
      <c r="H882" s="63" t="s">
        <v>26</v>
      </c>
      <c r="I882" s="63">
        <v>0</v>
      </c>
      <c r="J882" s="63">
        <v>0</v>
      </c>
      <c r="L882" s="63">
        <v>0.57848851292699999</v>
      </c>
      <c r="M882" s="63">
        <v>0</v>
      </c>
      <c r="N882" s="63">
        <v>0.57762943212600004</v>
      </c>
      <c r="O882" s="64">
        <v>0</v>
      </c>
    </row>
    <row r="883" spans="1:15" x14ac:dyDescent="0.25">
      <c r="A883" s="114" t="s">
        <v>237</v>
      </c>
      <c r="B883" s="63" t="s">
        <v>52</v>
      </c>
      <c r="C883" s="63" t="s">
        <v>84</v>
      </c>
      <c r="D883" s="63">
        <v>800.00099999999998</v>
      </c>
      <c r="E883" s="63">
        <v>1200</v>
      </c>
      <c r="F883" s="63">
        <v>1</v>
      </c>
      <c r="G883" s="63" t="s">
        <v>26</v>
      </c>
      <c r="H883" s="63" t="s">
        <v>26</v>
      </c>
      <c r="I883" s="63">
        <v>0</v>
      </c>
      <c r="J883" s="63">
        <v>0</v>
      </c>
      <c r="L883" s="63">
        <v>0.57876960794200005</v>
      </c>
      <c r="M883" s="63">
        <v>0</v>
      </c>
      <c r="N883" s="63">
        <v>0.57791094499700002</v>
      </c>
      <c r="O883" s="64">
        <v>0</v>
      </c>
    </row>
    <row r="884" spans="1:15" x14ac:dyDescent="0.25">
      <c r="A884" s="114" t="s">
        <v>240</v>
      </c>
      <c r="B884" s="63" t="s">
        <v>52</v>
      </c>
      <c r="C884" s="63" t="s">
        <v>84</v>
      </c>
      <c r="D884" s="63">
        <v>1200.001</v>
      </c>
      <c r="E884" s="63">
        <v>1562</v>
      </c>
      <c r="F884" s="63">
        <v>1</v>
      </c>
      <c r="G884" s="63" t="s">
        <v>26</v>
      </c>
      <c r="H884" s="63" t="s">
        <v>26</v>
      </c>
      <c r="I884" s="63">
        <v>0</v>
      </c>
      <c r="J884" s="63">
        <v>0</v>
      </c>
      <c r="L884" s="63">
        <v>0.57975076193700004</v>
      </c>
      <c r="M884" s="63">
        <v>0</v>
      </c>
      <c r="N884" s="63">
        <v>0.57825619186199995</v>
      </c>
      <c r="O884" s="64">
        <v>0</v>
      </c>
    </row>
    <row r="885" spans="1:15" x14ac:dyDescent="0.25">
      <c r="A885" s="114" t="s">
        <v>2351</v>
      </c>
      <c r="B885" s="63" t="s">
        <v>52</v>
      </c>
      <c r="C885" s="63" t="s">
        <v>85</v>
      </c>
      <c r="D885" s="63">
        <v>-320</v>
      </c>
      <c r="E885" s="63">
        <v>32</v>
      </c>
      <c r="F885" s="63">
        <v>0.01</v>
      </c>
      <c r="G885" s="63" t="s">
        <v>26</v>
      </c>
      <c r="H885" s="63" t="s">
        <v>26</v>
      </c>
      <c r="I885" s="63">
        <v>0</v>
      </c>
      <c r="J885" s="63">
        <v>0</v>
      </c>
      <c r="L885" s="63">
        <v>9.0497973720000003E-3</v>
      </c>
      <c r="M885" s="63">
        <v>0</v>
      </c>
      <c r="N885" s="63">
        <v>8.0620868999999994E-3</v>
      </c>
      <c r="O885" s="64">
        <v>0</v>
      </c>
    </row>
    <row r="886" spans="1:15" x14ac:dyDescent="0.25">
      <c r="A886" s="114" t="s">
        <v>223</v>
      </c>
      <c r="B886" s="63" t="s">
        <v>52</v>
      </c>
      <c r="C886" s="63" t="s">
        <v>85</v>
      </c>
      <c r="D886" s="63">
        <v>32.000999999999998</v>
      </c>
      <c r="E886" s="63">
        <v>400</v>
      </c>
      <c r="F886" s="63">
        <v>0.01</v>
      </c>
      <c r="G886" s="63" t="s">
        <v>26</v>
      </c>
      <c r="H886" s="63" t="s">
        <v>26</v>
      </c>
      <c r="I886" s="63">
        <v>0</v>
      </c>
      <c r="J886" s="63">
        <v>0</v>
      </c>
      <c r="L886" s="63">
        <v>1.6E-2</v>
      </c>
      <c r="M886" s="63">
        <v>0</v>
      </c>
      <c r="N886" s="63">
        <v>1.4466336601E-2</v>
      </c>
      <c r="O886" s="64">
        <v>0</v>
      </c>
    </row>
    <row r="887" spans="1:15" x14ac:dyDescent="0.25">
      <c r="A887" s="114" t="s">
        <v>2352</v>
      </c>
      <c r="B887" s="63" t="s">
        <v>52</v>
      </c>
      <c r="C887" s="63" t="s">
        <v>85</v>
      </c>
      <c r="D887" s="63">
        <v>400.00099999999998</v>
      </c>
      <c r="E887" s="63">
        <v>800</v>
      </c>
      <c r="F887" s="63">
        <v>0.01</v>
      </c>
      <c r="G887" s="63" t="s">
        <v>26</v>
      </c>
      <c r="H887" s="63" t="s">
        <v>26</v>
      </c>
      <c r="I887" s="63">
        <v>0</v>
      </c>
      <c r="J887" s="63">
        <v>0</v>
      </c>
      <c r="L887" s="63">
        <v>0.02</v>
      </c>
      <c r="M887" s="63">
        <v>0</v>
      </c>
      <c r="N887" s="63">
        <v>1.8758799073000001E-2</v>
      </c>
      <c r="O887" s="64">
        <v>0</v>
      </c>
    </row>
    <row r="888" spans="1:15" x14ac:dyDescent="0.25">
      <c r="A888" s="114" t="s">
        <v>226</v>
      </c>
      <c r="B888" s="63" t="s">
        <v>52</v>
      </c>
      <c r="C888" s="63" t="s">
        <v>85</v>
      </c>
      <c r="D888" s="63">
        <v>800.00099999999998</v>
      </c>
      <c r="E888" s="63">
        <v>1200</v>
      </c>
      <c r="F888" s="63">
        <v>0.01</v>
      </c>
      <c r="G888" s="63" t="s">
        <v>26</v>
      </c>
      <c r="H888" s="63" t="s">
        <v>26</v>
      </c>
      <c r="I888" s="63">
        <v>0</v>
      </c>
      <c r="J888" s="63">
        <v>0</v>
      </c>
      <c r="L888" s="63">
        <v>2.7080150588999999E-2</v>
      </c>
      <c r="M888" s="63">
        <v>0</v>
      </c>
      <c r="N888" s="63">
        <v>2.5908678763000001E-2</v>
      </c>
      <c r="O888" s="64">
        <v>0</v>
      </c>
    </row>
    <row r="889" spans="1:15" x14ac:dyDescent="0.25">
      <c r="A889" s="114" t="s">
        <v>2353</v>
      </c>
      <c r="B889" s="63" t="s">
        <v>52</v>
      </c>
      <c r="C889" s="63" t="s">
        <v>85</v>
      </c>
      <c r="D889" s="63">
        <v>1200.001</v>
      </c>
      <c r="E889" s="63">
        <v>1562</v>
      </c>
      <c r="F889" s="63">
        <v>0.01</v>
      </c>
      <c r="G889" s="63" t="s">
        <v>26</v>
      </c>
      <c r="H889" s="63" t="s">
        <v>26</v>
      </c>
      <c r="I889" s="63">
        <v>0</v>
      </c>
      <c r="J889" s="63">
        <v>0</v>
      </c>
      <c r="L889" s="63">
        <v>3.3168701389999999E-2</v>
      </c>
      <c r="M889" s="63">
        <v>0</v>
      </c>
      <c r="N889" s="63">
        <v>3.2593935887999997E-2</v>
      </c>
      <c r="O889" s="64">
        <v>0</v>
      </c>
    </row>
    <row r="890" spans="1:15" x14ac:dyDescent="0.25">
      <c r="A890" s="114" t="s">
        <v>2354</v>
      </c>
      <c r="B890" s="63" t="s">
        <v>52</v>
      </c>
      <c r="C890" s="63" t="s">
        <v>85</v>
      </c>
      <c r="D890" s="63">
        <v>-320</v>
      </c>
      <c r="E890" s="63">
        <v>32</v>
      </c>
      <c r="F890" s="63">
        <v>0.1</v>
      </c>
      <c r="G890" s="63" t="s">
        <v>26</v>
      </c>
      <c r="H890" s="63" t="s">
        <v>26</v>
      </c>
      <c r="I890" s="63">
        <v>0</v>
      </c>
      <c r="J890" s="63">
        <v>0</v>
      </c>
      <c r="L890" s="63">
        <v>5.858842543E-2</v>
      </c>
      <c r="M890" s="63">
        <v>0</v>
      </c>
      <c r="N890" s="63">
        <v>5.8008596304000001E-2</v>
      </c>
      <c r="O890" s="64">
        <v>0</v>
      </c>
    </row>
    <row r="891" spans="1:15" x14ac:dyDescent="0.25">
      <c r="A891" s="114" t="s">
        <v>2355</v>
      </c>
      <c r="B891" s="63" t="s">
        <v>52</v>
      </c>
      <c r="C891" s="63" t="s">
        <v>85</v>
      </c>
      <c r="D891" s="63">
        <v>32.000999999999998</v>
      </c>
      <c r="E891" s="63">
        <v>400</v>
      </c>
      <c r="F891" s="63">
        <v>0.1</v>
      </c>
      <c r="G891" s="63" t="s">
        <v>26</v>
      </c>
      <c r="H891" s="63" t="s">
        <v>26</v>
      </c>
      <c r="I891" s="63">
        <v>0</v>
      </c>
      <c r="J891" s="63">
        <v>0</v>
      </c>
      <c r="L891" s="63">
        <v>5.9981478406000002E-2</v>
      </c>
      <c r="M891" s="63">
        <v>0</v>
      </c>
      <c r="N891" s="63">
        <v>5.9239133136000002E-2</v>
      </c>
      <c r="O891" s="64">
        <v>0</v>
      </c>
    </row>
    <row r="892" spans="1:15" x14ac:dyDescent="0.25">
      <c r="A892" s="114" t="s">
        <v>225</v>
      </c>
      <c r="B892" s="63" t="s">
        <v>52</v>
      </c>
      <c r="C892" s="63" t="s">
        <v>85</v>
      </c>
      <c r="D892" s="63">
        <v>400.00099999999998</v>
      </c>
      <c r="E892" s="63">
        <v>800</v>
      </c>
      <c r="F892" s="63">
        <v>0.1</v>
      </c>
      <c r="G892" s="63" t="s">
        <v>26</v>
      </c>
      <c r="H892" s="63" t="s">
        <v>26</v>
      </c>
      <c r="I892" s="63">
        <v>0</v>
      </c>
      <c r="J892" s="63">
        <v>0</v>
      </c>
      <c r="L892" s="63">
        <v>6.1158772058999999E-2</v>
      </c>
      <c r="M892" s="63">
        <v>0</v>
      </c>
      <c r="N892" s="63">
        <v>6.0430890633000001E-2</v>
      </c>
      <c r="O892" s="64">
        <v>0</v>
      </c>
    </row>
    <row r="893" spans="1:15" x14ac:dyDescent="0.25">
      <c r="A893" s="114" t="s">
        <v>227</v>
      </c>
      <c r="B893" s="63" t="s">
        <v>52</v>
      </c>
      <c r="C893" s="63" t="s">
        <v>85</v>
      </c>
      <c r="D893" s="63">
        <v>800.00099999999998</v>
      </c>
      <c r="E893" s="63">
        <v>1200</v>
      </c>
      <c r="F893" s="63">
        <v>0.1</v>
      </c>
      <c r="G893" s="63" t="s">
        <v>26</v>
      </c>
      <c r="H893" s="63" t="s">
        <v>26</v>
      </c>
      <c r="I893" s="63">
        <v>0</v>
      </c>
      <c r="J893" s="63">
        <v>0</v>
      </c>
      <c r="L893" s="63">
        <v>6.4958135116000001E-2</v>
      </c>
      <c r="M893" s="63">
        <v>0</v>
      </c>
      <c r="N893" s="63">
        <v>6.3017931060999996E-2</v>
      </c>
      <c r="O893" s="64">
        <v>0</v>
      </c>
    </row>
    <row r="894" spans="1:15" x14ac:dyDescent="0.25">
      <c r="A894" s="114" t="s">
        <v>2356</v>
      </c>
      <c r="B894" s="63" t="s">
        <v>52</v>
      </c>
      <c r="C894" s="63" t="s">
        <v>85</v>
      </c>
      <c r="D894" s="63">
        <v>1200.001</v>
      </c>
      <c r="E894" s="63">
        <v>1562</v>
      </c>
      <c r="F894" s="63">
        <v>0.1</v>
      </c>
      <c r="G894" s="63" t="s">
        <v>26</v>
      </c>
      <c r="H894" s="63" t="s">
        <v>26</v>
      </c>
      <c r="I894" s="63">
        <v>0</v>
      </c>
      <c r="J894" s="63">
        <v>0</v>
      </c>
      <c r="L894" s="63">
        <v>6.7183011525000003E-2</v>
      </c>
      <c r="M894" s="63">
        <v>0</v>
      </c>
      <c r="N894" s="63">
        <v>6.6048199496000007E-2</v>
      </c>
      <c r="O894" s="64">
        <v>0</v>
      </c>
    </row>
    <row r="895" spans="1:15" x14ac:dyDescent="0.25">
      <c r="A895" s="114" t="s">
        <v>222</v>
      </c>
      <c r="B895" s="63" t="s">
        <v>52</v>
      </c>
      <c r="C895" s="63" t="s">
        <v>85</v>
      </c>
      <c r="D895" s="63">
        <v>-320</v>
      </c>
      <c r="E895" s="63">
        <v>32</v>
      </c>
      <c r="F895" s="63">
        <v>1</v>
      </c>
      <c r="G895" s="63" t="s">
        <v>26</v>
      </c>
      <c r="H895" s="63" t="s">
        <v>26</v>
      </c>
      <c r="I895" s="63">
        <v>0</v>
      </c>
      <c r="J895" s="63">
        <v>0</v>
      </c>
      <c r="L895" s="63">
        <v>0.57761182695799995</v>
      </c>
      <c r="M895" s="63">
        <v>0</v>
      </c>
      <c r="N895" s="63">
        <v>0.57737769028999997</v>
      </c>
      <c r="O895" s="64">
        <v>0</v>
      </c>
    </row>
    <row r="896" spans="1:15" x14ac:dyDescent="0.25">
      <c r="A896" s="114" t="s">
        <v>224</v>
      </c>
      <c r="B896" s="63" t="s">
        <v>52</v>
      </c>
      <c r="C896" s="63" t="s">
        <v>85</v>
      </c>
      <c r="D896" s="63">
        <v>32.000999999999998</v>
      </c>
      <c r="E896" s="63">
        <v>400</v>
      </c>
      <c r="F896" s="63">
        <v>1</v>
      </c>
      <c r="G896" s="63" t="s">
        <v>26</v>
      </c>
      <c r="H896" s="63" t="s">
        <v>26</v>
      </c>
      <c r="I896" s="63">
        <v>0</v>
      </c>
      <c r="J896" s="63">
        <v>0</v>
      </c>
      <c r="L896" s="63">
        <v>0.57780903966899999</v>
      </c>
      <c r="M896" s="63">
        <v>0</v>
      </c>
      <c r="N896" s="63">
        <v>0.57750261894999999</v>
      </c>
      <c r="O896" s="64">
        <v>0</v>
      </c>
    </row>
    <row r="897" spans="1:15" x14ac:dyDescent="0.25">
      <c r="A897" s="114" t="s">
        <v>2357</v>
      </c>
      <c r="B897" s="63" t="s">
        <v>52</v>
      </c>
      <c r="C897" s="63" t="s">
        <v>85</v>
      </c>
      <c r="D897" s="63">
        <v>400.00099999999998</v>
      </c>
      <c r="E897" s="63">
        <v>800</v>
      </c>
      <c r="F897" s="63">
        <v>1</v>
      </c>
      <c r="G897" s="63" t="s">
        <v>26</v>
      </c>
      <c r="H897" s="63" t="s">
        <v>26</v>
      </c>
      <c r="I897" s="63">
        <v>0</v>
      </c>
      <c r="J897" s="63">
        <v>0</v>
      </c>
      <c r="L897" s="63">
        <v>0.57793243893299995</v>
      </c>
      <c r="M897" s="63">
        <v>0</v>
      </c>
      <c r="N897" s="63">
        <v>0.57762608367599999</v>
      </c>
      <c r="O897" s="64">
        <v>0</v>
      </c>
    </row>
    <row r="898" spans="1:15" x14ac:dyDescent="0.25">
      <c r="A898" s="114" t="s">
        <v>228</v>
      </c>
      <c r="B898" s="63" t="s">
        <v>52</v>
      </c>
      <c r="C898" s="63" t="s">
        <v>85</v>
      </c>
      <c r="D898" s="63">
        <v>800.00099999999998</v>
      </c>
      <c r="E898" s="63">
        <v>1200</v>
      </c>
      <c r="F898" s="63">
        <v>1</v>
      </c>
      <c r="G898" s="63" t="s">
        <v>26</v>
      </c>
      <c r="H898" s="63" t="s">
        <v>26</v>
      </c>
      <c r="I898" s="63">
        <v>0</v>
      </c>
      <c r="J898" s="63">
        <v>0</v>
      </c>
      <c r="L898" s="63">
        <v>0.578761141029</v>
      </c>
      <c r="M898" s="63">
        <v>0</v>
      </c>
      <c r="N898" s="63">
        <v>0.57790246550400004</v>
      </c>
      <c r="O898" s="64">
        <v>0</v>
      </c>
    </row>
    <row r="899" spans="1:15" x14ac:dyDescent="0.25">
      <c r="A899" s="114" t="s">
        <v>2358</v>
      </c>
      <c r="B899" s="63" t="s">
        <v>52</v>
      </c>
      <c r="C899" s="63" t="s">
        <v>85</v>
      </c>
      <c r="D899" s="63">
        <v>1200.001</v>
      </c>
      <c r="E899" s="63">
        <v>1562</v>
      </c>
      <c r="F899" s="63">
        <v>1</v>
      </c>
      <c r="G899" s="63" t="s">
        <v>26</v>
      </c>
      <c r="H899" s="63" t="s">
        <v>26</v>
      </c>
      <c r="I899" s="63">
        <v>0</v>
      </c>
      <c r="J899" s="63">
        <v>0</v>
      </c>
      <c r="L899" s="63">
        <v>0.57876345269899998</v>
      </c>
      <c r="M899" s="63">
        <v>0</v>
      </c>
      <c r="N899" s="63">
        <v>0.57824074973700001</v>
      </c>
      <c r="O899" s="64">
        <v>0</v>
      </c>
    </row>
    <row r="900" spans="1:15" x14ac:dyDescent="0.25">
      <c r="A900" s="114" t="s">
        <v>217</v>
      </c>
      <c r="B900" s="63" t="s">
        <v>52</v>
      </c>
      <c r="C900" s="63" t="s">
        <v>81</v>
      </c>
      <c r="D900" s="63">
        <v>-58</v>
      </c>
      <c r="E900" s="63">
        <v>31.998999999999999</v>
      </c>
      <c r="F900" s="63">
        <v>0.1</v>
      </c>
      <c r="G900" s="63" t="s">
        <v>26</v>
      </c>
      <c r="H900" s="63" t="s">
        <v>26</v>
      </c>
      <c r="I900" s="63">
        <v>0</v>
      </c>
      <c r="J900" s="63">
        <v>0</v>
      </c>
      <c r="L900" s="63">
        <v>0.26</v>
      </c>
      <c r="M900" s="63">
        <v>0</v>
      </c>
      <c r="N900" s="63">
        <v>0.222146298464</v>
      </c>
      <c r="O900" s="64">
        <v>0</v>
      </c>
    </row>
    <row r="901" spans="1:15" x14ac:dyDescent="0.25">
      <c r="A901" s="114" t="s">
        <v>2359</v>
      </c>
      <c r="B901" s="63" t="s">
        <v>52</v>
      </c>
      <c r="C901" s="63" t="s">
        <v>81</v>
      </c>
      <c r="D901" s="63">
        <v>32</v>
      </c>
      <c r="E901" s="63">
        <v>1100</v>
      </c>
      <c r="F901" s="63">
        <v>0.1</v>
      </c>
      <c r="G901" s="63" t="s">
        <v>26</v>
      </c>
      <c r="H901" s="63" t="s">
        <v>26</v>
      </c>
      <c r="I901" s="63">
        <v>0</v>
      </c>
      <c r="J901" s="63">
        <v>0</v>
      </c>
      <c r="L901" s="63">
        <v>0.19</v>
      </c>
      <c r="M901" s="63">
        <v>0</v>
      </c>
      <c r="N901" s="63">
        <v>0.13897985690100001</v>
      </c>
      <c r="O901" s="64">
        <v>0</v>
      </c>
    </row>
    <row r="902" spans="1:15" x14ac:dyDescent="0.25">
      <c r="A902" s="114" t="s">
        <v>2360</v>
      </c>
      <c r="B902" s="63" t="s">
        <v>52</v>
      </c>
      <c r="C902" s="63" t="s">
        <v>81</v>
      </c>
      <c r="D902" s="63">
        <v>1100.001</v>
      </c>
      <c r="E902" s="63">
        <v>2200</v>
      </c>
      <c r="F902" s="63">
        <v>0.1</v>
      </c>
      <c r="G902" s="63" t="s">
        <v>26</v>
      </c>
      <c r="H902" s="63" t="s">
        <v>26</v>
      </c>
      <c r="I902" s="63">
        <v>0</v>
      </c>
      <c r="J902" s="63">
        <v>0</v>
      </c>
      <c r="L902" s="63">
        <v>0.16</v>
      </c>
      <c r="M902" s="63">
        <v>0</v>
      </c>
      <c r="N902" s="63">
        <v>0.10571338059099999</v>
      </c>
      <c r="O902" s="64">
        <v>0</v>
      </c>
    </row>
    <row r="903" spans="1:15" x14ac:dyDescent="0.25">
      <c r="A903" s="114" t="s">
        <v>220</v>
      </c>
      <c r="B903" s="63" t="s">
        <v>52</v>
      </c>
      <c r="C903" s="63" t="s">
        <v>81</v>
      </c>
      <c r="D903" s="63">
        <v>2200.0010000000002</v>
      </c>
      <c r="E903" s="63">
        <v>3214</v>
      </c>
      <c r="F903" s="63">
        <v>0.1</v>
      </c>
      <c r="G903" s="63" t="s">
        <v>26</v>
      </c>
      <c r="H903" s="63" t="s">
        <v>26</v>
      </c>
      <c r="I903" s="63">
        <v>0</v>
      </c>
      <c r="J903" s="63">
        <v>0</v>
      </c>
      <c r="L903" s="63">
        <v>0.17</v>
      </c>
      <c r="M903" s="63">
        <v>0</v>
      </c>
      <c r="N903" s="63">
        <v>0.122419895803</v>
      </c>
      <c r="O903" s="64">
        <v>0</v>
      </c>
    </row>
    <row r="904" spans="1:15" x14ac:dyDescent="0.25">
      <c r="A904" s="114" t="s">
        <v>218</v>
      </c>
      <c r="B904" s="63" t="s">
        <v>52</v>
      </c>
      <c r="C904" s="63" t="s">
        <v>81</v>
      </c>
      <c r="D904" s="63">
        <v>-58</v>
      </c>
      <c r="E904" s="63">
        <v>31.998999999999999</v>
      </c>
      <c r="F904" s="63">
        <v>1</v>
      </c>
      <c r="G904" s="63" t="s">
        <v>26</v>
      </c>
      <c r="H904" s="63" t="s">
        <v>26</v>
      </c>
      <c r="I904" s="63">
        <v>0</v>
      </c>
      <c r="J904" s="63">
        <v>0</v>
      </c>
      <c r="L904" s="63">
        <v>0.66464951509900005</v>
      </c>
      <c r="M904" s="63">
        <v>0</v>
      </c>
      <c r="N904" s="63">
        <v>0.615913125304</v>
      </c>
      <c r="O904" s="64">
        <v>0</v>
      </c>
    </row>
    <row r="905" spans="1:15" x14ac:dyDescent="0.25">
      <c r="A905" s="114" t="s">
        <v>2361</v>
      </c>
      <c r="B905" s="63" t="s">
        <v>52</v>
      </c>
      <c r="C905" s="63" t="s">
        <v>81</v>
      </c>
      <c r="D905" s="63">
        <v>32</v>
      </c>
      <c r="E905" s="63">
        <v>1100</v>
      </c>
      <c r="F905" s="63">
        <v>1</v>
      </c>
      <c r="G905" s="63" t="s">
        <v>26</v>
      </c>
      <c r="H905" s="63" t="s">
        <v>26</v>
      </c>
      <c r="I905" s="63">
        <v>0</v>
      </c>
      <c r="J905" s="63">
        <v>0</v>
      </c>
      <c r="L905" s="63">
        <v>0.64165832077899998</v>
      </c>
      <c r="M905" s="63">
        <v>0</v>
      </c>
      <c r="N905" s="63">
        <v>0.59102910302699996</v>
      </c>
      <c r="O905" s="64">
        <v>0</v>
      </c>
    </row>
    <row r="906" spans="1:15" x14ac:dyDescent="0.25">
      <c r="A906" s="114" t="s">
        <v>219</v>
      </c>
      <c r="B906" s="63" t="s">
        <v>52</v>
      </c>
      <c r="C906" s="63" t="s">
        <v>81</v>
      </c>
      <c r="D906" s="63">
        <v>1100.001</v>
      </c>
      <c r="E906" s="63">
        <v>2200</v>
      </c>
      <c r="F906" s="63">
        <v>1</v>
      </c>
      <c r="G906" s="63" t="s">
        <v>26</v>
      </c>
      <c r="H906" s="63" t="s">
        <v>26</v>
      </c>
      <c r="I906" s="63">
        <v>0</v>
      </c>
      <c r="J906" s="63">
        <v>0</v>
      </c>
      <c r="L906" s="63">
        <v>0.62759628473600004</v>
      </c>
      <c r="M906" s="63">
        <v>0</v>
      </c>
      <c r="N906" s="63">
        <v>0.58410214760400003</v>
      </c>
      <c r="O906" s="64">
        <v>0</v>
      </c>
    </row>
    <row r="907" spans="1:15" x14ac:dyDescent="0.25">
      <c r="A907" s="114" t="s">
        <v>221</v>
      </c>
      <c r="B907" s="63" t="s">
        <v>52</v>
      </c>
      <c r="C907" s="63" t="s">
        <v>81</v>
      </c>
      <c r="D907" s="63">
        <v>2200.0010000000002</v>
      </c>
      <c r="E907" s="63">
        <v>3214</v>
      </c>
      <c r="F907" s="63">
        <v>1</v>
      </c>
      <c r="G907" s="63" t="s">
        <v>26</v>
      </c>
      <c r="H907" s="63" t="s">
        <v>26</v>
      </c>
      <c r="I907" s="63">
        <v>0</v>
      </c>
      <c r="J907" s="63">
        <v>0</v>
      </c>
      <c r="L907" s="63">
        <v>0.63062541073599998</v>
      </c>
      <c r="M907" s="63">
        <v>0</v>
      </c>
      <c r="N907" s="63">
        <v>0.58735562556999998</v>
      </c>
      <c r="O907" s="64">
        <v>0</v>
      </c>
    </row>
    <row r="908" spans="1:15" x14ac:dyDescent="0.25">
      <c r="A908" s="114" t="s">
        <v>211</v>
      </c>
      <c r="B908" s="63" t="s">
        <v>52</v>
      </c>
      <c r="C908" s="63" t="s">
        <v>82</v>
      </c>
      <c r="D908" s="63">
        <v>-58</v>
      </c>
      <c r="E908" s="63">
        <v>31.998999999999999</v>
      </c>
      <c r="F908" s="63">
        <v>0.1</v>
      </c>
      <c r="G908" s="63" t="s">
        <v>26</v>
      </c>
      <c r="H908" s="63" t="s">
        <v>26</v>
      </c>
      <c r="I908" s="63">
        <v>0</v>
      </c>
      <c r="J908" s="63">
        <v>0</v>
      </c>
      <c r="L908" s="63">
        <v>0.22</v>
      </c>
      <c r="M908" s="63">
        <v>0</v>
      </c>
      <c r="N908" s="63">
        <v>0.17935751635399999</v>
      </c>
      <c r="O908" s="64">
        <v>0</v>
      </c>
    </row>
    <row r="909" spans="1:15" x14ac:dyDescent="0.25">
      <c r="A909" s="114" t="s">
        <v>213</v>
      </c>
      <c r="B909" s="63" t="s">
        <v>52</v>
      </c>
      <c r="C909" s="63" t="s">
        <v>82</v>
      </c>
      <c r="D909" s="63">
        <v>32</v>
      </c>
      <c r="E909" s="63">
        <v>1100</v>
      </c>
      <c r="F909" s="63">
        <v>0.1</v>
      </c>
      <c r="G909" s="63" t="s">
        <v>26</v>
      </c>
      <c r="H909" s="63" t="s">
        <v>26</v>
      </c>
      <c r="I909" s="63">
        <v>0</v>
      </c>
      <c r="J909" s="63">
        <v>0</v>
      </c>
      <c r="L909" s="63">
        <v>0.18</v>
      </c>
      <c r="M909" s="63">
        <v>0</v>
      </c>
      <c r="N909" s="63">
        <v>0.12667225052700001</v>
      </c>
      <c r="O909" s="64">
        <v>0</v>
      </c>
    </row>
    <row r="910" spans="1:15" x14ac:dyDescent="0.25">
      <c r="A910" s="114" t="s">
        <v>2362</v>
      </c>
      <c r="B910" s="63" t="s">
        <v>52</v>
      </c>
      <c r="C910" s="63" t="s">
        <v>82</v>
      </c>
      <c r="D910" s="63">
        <v>1100.001</v>
      </c>
      <c r="E910" s="63">
        <v>2200</v>
      </c>
      <c r="F910" s="63">
        <v>0.1</v>
      </c>
      <c r="G910" s="63" t="s">
        <v>26</v>
      </c>
      <c r="H910" s="63" t="s">
        <v>26</v>
      </c>
      <c r="I910" s="63">
        <v>0</v>
      </c>
      <c r="J910" s="63">
        <v>0</v>
      </c>
      <c r="L910" s="63">
        <v>0.17</v>
      </c>
      <c r="M910" s="63">
        <v>0</v>
      </c>
      <c r="N910" s="63">
        <v>0.10571338059099999</v>
      </c>
      <c r="O910" s="64">
        <v>0</v>
      </c>
    </row>
    <row r="911" spans="1:15" x14ac:dyDescent="0.25">
      <c r="A911" s="114" t="s">
        <v>2363</v>
      </c>
      <c r="B911" s="63" t="s">
        <v>52</v>
      </c>
      <c r="C911" s="63" t="s">
        <v>82</v>
      </c>
      <c r="D911" s="63">
        <v>2200.0010000000002</v>
      </c>
      <c r="E911" s="63">
        <v>3214</v>
      </c>
      <c r="F911" s="63">
        <v>0.1</v>
      </c>
      <c r="G911" s="63" t="s">
        <v>26</v>
      </c>
      <c r="H911" s="63" t="s">
        <v>26</v>
      </c>
      <c r="I911" s="63">
        <v>0</v>
      </c>
      <c r="J911" s="63">
        <v>0</v>
      </c>
      <c r="L911" s="63">
        <v>0.17</v>
      </c>
      <c r="M911" s="63">
        <v>0</v>
      </c>
      <c r="N911" s="63">
        <v>0.122419895803</v>
      </c>
      <c r="O911" s="64">
        <v>0</v>
      </c>
    </row>
    <row r="912" spans="1:15" x14ac:dyDescent="0.25">
      <c r="A912" s="114" t="s">
        <v>212</v>
      </c>
      <c r="B912" s="63" t="s">
        <v>52</v>
      </c>
      <c r="C912" s="63" t="s">
        <v>82</v>
      </c>
      <c r="D912" s="63">
        <v>-58</v>
      </c>
      <c r="E912" s="63">
        <v>31.998999999999999</v>
      </c>
      <c r="F912" s="63">
        <v>1</v>
      </c>
      <c r="G912" s="63" t="s">
        <v>26</v>
      </c>
      <c r="H912" s="63" t="s">
        <v>26</v>
      </c>
      <c r="I912" s="63">
        <v>0</v>
      </c>
      <c r="J912" s="63">
        <v>0</v>
      </c>
      <c r="L912" s="63">
        <v>0.65159735931999996</v>
      </c>
      <c r="M912" s="63">
        <v>0</v>
      </c>
      <c r="N912" s="63">
        <v>0.60180488422099998</v>
      </c>
      <c r="O912" s="64">
        <v>0</v>
      </c>
    </row>
    <row r="913" spans="1:15" x14ac:dyDescent="0.25">
      <c r="A913" s="114" t="s">
        <v>214</v>
      </c>
      <c r="B913" s="63" t="s">
        <v>52</v>
      </c>
      <c r="C913" s="63" t="s">
        <v>82</v>
      </c>
      <c r="D913" s="63">
        <v>32</v>
      </c>
      <c r="E913" s="63">
        <v>1100</v>
      </c>
      <c r="F913" s="63">
        <v>1</v>
      </c>
      <c r="G913" s="63" t="s">
        <v>26</v>
      </c>
      <c r="H913" s="63" t="s">
        <v>26</v>
      </c>
      <c r="I913" s="63">
        <v>0</v>
      </c>
      <c r="J913" s="63">
        <v>0</v>
      </c>
      <c r="L913" s="63">
        <v>0.63801956879400001</v>
      </c>
      <c r="M913" s="63">
        <v>0</v>
      </c>
      <c r="N913" s="63">
        <v>0.58825662686699998</v>
      </c>
      <c r="O913" s="64">
        <v>0</v>
      </c>
    </row>
    <row r="914" spans="1:15" x14ac:dyDescent="0.25">
      <c r="A914" s="114" t="s">
        <v>215</v>
      </c>
      <c r="B914" s="63" t="s">
        <v>52</v>
      </c>
      <c r="C914" s="63" t="s">
        <v>82</v>
      </c>
      <c r="D914" s="63">
        <v>1100.001</v>
      </c>
      <c r="E914" s="63">
        <v>2200</v>
      </c>
      <c r="F914" s="63">
        <v>1</v>
      </c>
      <c r="G914" s="63" t="s">
        <v>26</v>
      </c>
      <c r="H914" s="63" t="s">
        <v>26</v>
      </c>
      <c r="I914" s="63">
        <v>0</v>
      </c>
      <c r="J914" s="63">
        <v>0</v>
      </c>
      <c r="L914" s="63">
        <v>0.62833487402099997</v>
      </c>
      <c r="M914" s="63">
        <v>0</v>
      </c>
      <c r="N914" s="63">
        <v>0.58489566260400006</v>
      </c>
      <c r="O914" s="64">
        <v>0</v>
      </c>
    </row>
    <row r="915" spans="1:15" x14ac:dyDescent="0.25">
      <c r="A915" s="114" t="s">
        <v>216</v>
      </c>
      <c r="B915" s="63" t="s">
        <v>52</v>
      </c>
      <c r="C915" s="63" t="s">
        <v>82</v>
      </c>
      <c r="D915" s="63">
        <v>2200.0010000000002</v>
      </c>
      <c r="E915" s="63">
        <v>3214</v>
      </c>
      <c r="F915" s="63">
        <v>1</v>
      </c>
      <c r="G915" s="63" t="s">
        <v>26</v>
      </c>
      <c r="H915" s="63" t="s">
        <v>26</v>
      </c>
      <c r="I915" s="63">
        <v>0</v>
      </c>
      <c r="J915" s="63">
        <v>0</v>
      </c>
      <c r="L915" s="63">
        <v>0.63062541073599998</v>
      </c>
      <c r="M915" s="63">
        <v>0</v>
      </c>
      <c r="N915" s="63">
        <v>0.58877774141100003</v>
      </c>
      <c r="O915" s="64">
        <v>0</v>
      </c>
    </row>
    <row r="916" spans="1:15" x14ac:dyDescent="0.25">
      <c r="A916" s="114" t="s">
        <v>205</v>
      </c>
      <c r="B916" s="63" t="s">
        <v>52</v>
      </c>
      <c r="C916" s="63" t="s">
        <v>83</v>
      </c>
      <c r="D916" s="63">
        <v>-454</v>
      </c>
      <c r="E916" s="63">
        <v>-400.00099999999998</v>
      </c>
      <c r="F916" s="63">
        <v>0.1</v>
      </c>
      <c r="G916" s="63" t="s">
        <v>26</v>
      </c>
      <c r="H916" s="63" t="s">
        <v>26</v>
      </c>
      <c r="I916" s="63">
        <v>0</v>
      </c>
      <c r="J916" s="63">
        <v>0</v>
      </c>
      <c r="L916" s="63">
        <v>0.41398294918299999</v>
      </c>
      <c r="M916" s="63">
        <v>0</v>
      </c>
      <c r="N916" s="63">
        <v>0.39270743845099998</v>
      </c>
      <c r="O916" s="64">
        <v>0</v>
      </c>
    </row>
    <row r="917" spans="1:15" x14ac:dyDescent="0.25">
      <c r="A917" s="114" t="s">
        <v>207</v>
      </c>
      <c r="B917" s="63" t="s">
        <v>52</v>
      </c>
      <c r="C917" s="63" t="s">
        <v>83</v>
      </c>
      <c r="D917" s="63">
        <v>-400</v>
      </c>
      <c r="E917" s="63">
        <v>199.999</v>
      </c>
      <c r="F917" s="63">
        <v>0.1</v>
      </c>
      <c r="G917" s="63" t="s">
        <v>26</v>
      </c>
      <c r="H917" s="63" t="s">
        <v>26</v>
      </c>
      <c r="I917" s="63">
        <v>0</v>
      </c>
      <c r="J917" s="63">
        <v>0</v>
      </c>
      <c r="L917" s="63">
        <v>0.18</v>
      </c>
      <c r="M917" s="63">
        <v>0</v>
      </c>
      <c r="N917" s="63">
        <v>0.124119992832</v>
      </c>
      <c r="O917" s="64">
        <v>0</v>
      </c>
    </row>
    <row r="918" spans="1:15" x14ac:dyDescent="0.25">
      <c r="A918" s="114" t="s">
        <v>209</v>
      </c>
      <c r="B918" s="63" t="s">
        <v>52</v>
      </c>
      <c r="C918" s="63" t="s">
        <v>83</v>
      </c>
      <c r="D918" s="63">
        <v>200</v>
      </c>
      <c r="E918" s="63">
        <v>752</v>
      </c>
      <c r="F918" s="63">
        <v>0.1</v>
      </c>
      <c r="G918" s="63" t="s">
        <v>26</v>
      </c>
      <c r="H918" s="63" t="s">
        <v>26</v>
      </c>
      <c r="I918" s="63">
        <v>0</v>
      </c>
      <c r="J918" s="63">
        <v>0</v>
      </c>
      <c r="L918" s="63">
        <v>0.11</v>
      </c>
      <c r="M918" s="63">
        <v>0</v>
      </c>
      <c r="N918" s="63">
        <v>8.3094007918000007E-2</v>
      </c>
      <c r="O918" s="64">
        <v>0</v>
      </c>
    </row>
    <row r="919" spans="1:15" x14ac:dyDescent="0.25">
      <c r="A919" s="114" t="s">
        <v>206</v>
      </c>
      <c r="B919" s="63" t="s">
        <v>52</v>
      </c>
      <c r="C919" s="63" t="s">
        <v>83</v>
      </c>
      <c r="D919" s="63">
        <v>-454</v>
      </c>
      <c r="E919" s="63">
        <v>-400.00099999999998</v>
      </c>
      <c r="F919" s="63">
        <v>1</v>
      </c>
      <c r="G919" s="63" t="s">
        <v>26</v>
      </c>
      <c r="H919" s="63" t="s">
        <v>26</v>
      </c>
      <c r="I919" s="63">
        <v>0</v>
      </c>
      <c r="J919" s="63">
        <v>0</v>
      </c>
      <c r="L919" s="63">
        <v>0.74355237355199999</v>
      </c>
      <c r="M919" s="63">
        <v>0</v>
      </c>
      <c r="N919" s="63">
        <v>0.69585855762100002</v>
      </c>
      <c r="O919" s="64">
        <v>0</v>
      </c>
    </row>
    <row r="920" spans="1:15" x14ac:dyDescent="0.25">
      <c r="A920" s="114" t="s">
        <v>208</v>
      </c>
      <c r="B920" s="63" t="s">
        <v>52</v>
      </c>
      <c r="C920" s="63" t="s">
        <v>83</v>
      </c>
      <c r="D920" s="63">
        <v>-400</v>
      </c>
      <c r="E920" s="63">
        <v>199.999</v>
      </c>
      <c r="F920" s="63">
        <v>1</v>
      </c>
      <c r="G920" s="63" t="s">
        <v>26</v>
      </c>
      <c r="H920" s="63" t="s">
        <v>26</v>
      </c>
      <c r="I920" s="63">
        <v>0</v>
      </c>
      <c r="J920" s="63">
        <v>0</v>
      </c>
      <c r="L920" s="63">
        <v>0.63424618017400003</v>
      </c>
      <c r="M920" s="63">
        <v>0</v>
      </c>
      <c r="N920" s="63">
        <v>0.58771232131100004</v>
      </c>
      <c r="O920" s="64">
        <v>0</v>
      </c>
    </row>
    <row r="921" spans="1:15" x14ac:dyDescent="0.25">
      <c r="A921" s="114" t="s">
        <v>210</v>
      </c>
      <c r="B921" s="63" t="s">
        <v>52</v>
      </c>
      <c r="C921" s="63" t="s">
        <v>83</v>
      </c>
      <c r="D921" s="63">
        <v>200</v>
      </c>
      <c r="E921" s="63">
        <v>752</v>
      </c>
      <c r="F921" s="63">
        <v>1</v>
      </c>
      <c r="G921" s="63" t="s">
        <v>26</v>
      </c>
      <c r="H921" s="63" t="s">
        <v>26</v>
      </c>
      <c r="I921" s="63">
        <v>0</v>
      </c>
      <c r="J921" s="63">
        <v>0</v>
      </c>
      <c r="L921" s="63">
        <v>0.59634521390899997</v>
      </c>
      <c r="M921" s="63">
        <v>0</v>
      </c>
      <c r="N921" s="63">
        <v>0.58043484918800003</v>
      </c>
      <c r="O921" s="64">
        <v>0</v>
      </c>
    </row>
    <row r="922" spans="1:15" x14ac:dyDescent="0.25">
      <c r="A922" s="114" t="s">
        <v>2364</v>
      </c>
      <c r="B922" s="63" t="s">
        <v>52</v>
      </c>
      <c r="C922" s="63" t="s">
        <v>17</v>
      </c>
      <c r="D922" s="63">
        <v>0</v>
      </c>
      <c r="E922" s="63">
        <v>40</v>
      </c>
      <c r="F922" s="63">
        <v>9.9999999999999995E-7</v>
      </c>
      <c r="G922" s="63" t="s">
        <v>9</v>
      </c>
      <c r="H922" s="63" t="s">
        <v>9</v>
      </c>
      <c r="I922" s="63">
        <v>0</v>
      </c>
      <c r="J922" s="63">
        <v>0</v>
      </c>
      <c r="L922" s="63">
        <v>0</v>
      </c>
      <c r="M922" s="63">
        <v>6E-10</v>
      </c>
      <c r="N922" s="63">
        <v>1.1000000000000001E-11</v>
      </c>
      <c r="O922" s="64">
        <v>5.7699999999999997E-10</v>
      </c>
    </row>
    <row r="923" spans="1:15" x14ac:dyDescent="0.25">
      <c r="A923" s="114" t="s">
        <v>171</v>
      </c>
      <c r="B923" s="63" t="s">
        <v>52</v>
      </c>
      <c r="C923" s="63" t="s">
        <v>17</v>
      </c>
      <c r="D923" s="63">
        <v>0</v>
      </c>
      <c r="E923" s="63">
        <v>40</v>
      </c>
      <c r="F923" s="63">
        <v>1.0000000000000001E-5</v>
      </c>
      <c r="G923" s="63" t="s">
        <v>9</v>
      </c>
      <c r="H923" s="63" t="s">
        <v>9</v>
      </c>
      <c r="I923" s="63">
        <v>0</v>
      </c>
      <c r="J923" s="63">
        <v>0</v>
      </c>
      <c r="L923" s="63">
        <v>0</v>
      </c>
      <c r="M923" s="63">
        <v>6E-10</v>
      </c>
      <c r="N923" s="63">
        <v>3E-11</v>
      </c>
      <c r="O923" s="64">
        <v>5.7699999999999997E-10</v>
      </c>
    </row>
    <row r="924" spans="1:15" x14ac:dyDescent="0.25">
      <c r="A924" s="114" t="s">
        <v>2365</v>
      </c>
      <c r="B924" s="63" t="s">
        <v>52</v>
      </c>
      <c r="C924" s="63" t="s">
        <v>17</v>
      </c>
      <c r="D924" s="63">
        <v>0</v>
      </c>
      <c r="E924" s="63">
        <v>40</v>
      </c>
      <c r="F924" s="63">
        <v>1E-4</v>
      </c>
      <c r="G924" s="63" t="s">
        <v>9</v>
      </c>
      <c r="H924" s="63" t="s">
        <v>9</v>
      </c>
      <c r="I924" s="63">
        <v>0</v>
      </c>
      <c r="J924" s="63">
        <v>0</v>
      </c>
      <c r="L924" s="63">
        <v>0</v>
      </c>
      <c r="M924" s="63">
        <v>6E-10</v>
      </c>
      <c r="N924" s="63">
        <v>2.9509999999999998E-9</v>
      </c>
      <c r="O924" s="64">
        <v>5.7699999999999997E-10</v>
      </c>
    </row>
    <row r="925" spans="1:15" x14ac:dyDescent="0.25">
      <c r="A925" s="114" t="s">
        <v>178</v>
      </c>
      <c r="B925" s="63" t="s">
        <v>52</v>
      </c>
      <c r="C925" s="63" t="s">
        <v>17</v>
      </c>
      <c r="D925" s="63">
        <v>40</v>
      </c>
      <c r="E925" s="63">
        <v>1000</v>
      </c>
      <c r="F925" s="63">
        <v>1E-4</v>
      </c>
      <c r="G925" s="63" t="s">
        <v>9</v>
      </c>
      <c r="H925" s="63" t="s">
        <v>9</v>
      </c>
      <c r="I925" s="63">
        <v>0</v>
      </c>
      <c r="J925" s="63">
        <v>0</v>
      </c>
      <c r="L925" s="63">
        <v>2.8999999999999998E-7</v>
      </c>
      <c r="M925" s="63">
        <v>1.3E-7</v>
      </c>
      <c r="N925" s="63">
        <v>2.5344999999999998E-7</v>
      </c>
      <c r="O925" s="64">
        <v>1.2897E-7</v>
      </c>
    </row>
    <row r="926" spans="1:15" x14ac:dyDescent="0.25">
      <c r="A926" s="114" t="s">
        <v>2366</v>
      </c>
      <c r="B926" s="63" t="s">
        <v>52</v>
      </c>
      <c r="C926" s="63" t="s">
        <v>17</v>
      </c>
      <c r="D926" s="63">
        <v>0</v>
      </c>
      <c r="E926" s="63">
        <v>40</v>
      </c>
      <c r="F926" s="63">
        <v>1E-3</v>
      </c>
      <c r="G926" s="63" t="s">
        <v>9</v>
      </c>
      <c r="H926" s="63" t="s">
        <v>9</v>
      </c>
      <c r="I926" s="63">
        <v>0</v>
      </c>
      <c r="J926" s="63">
        <v>0</v>
      </c>
      <c r="L926" s="63">
        <v>2.2343999999999999E-7</v>
      </c>
      <c r="M926" s="63">
        <v>5.9400000000000002E-10</v>
      </c>
      <c r="N926" s="63">
        <v>2.4522999999999998E-7</v>
      </c>
      <c r="O926" s="64">
        <v>5.7099999999999999E-10</v>
      </c>
    </row>
    <row r="927" spans="1:15" x14ac:dyDescent="0.25">
      <c r="A927" s="114" t="s">
        <v>179</v>
      </c>
      <c r="B927" s="63" t="s">
        <v>52</v>
      </c>
      <c r="C927" s="63" t="s">
        <v>17</v>
      </c>
      <c r="D927" s="63">
        <v>40</v>
      </c>
      <c r="E927" s="63">
        <v>1000</v>
      </c>
      <c r="F927" s="63">
        <v>1E-3</v>
      </c>
      <c r="G927" s="63" t="s">
        <v>9</v>
      </c>
      <c r="H927" s="63" t="s">
        <v>9</v>
      </c>
      <c r="I927" s="63">
        <v>0</v>
      </c>
      <c r="J927" s="63">
        <v>0</v>
      </c>
      <c r="L927" s="63">
        <v>6.5700999999999998E-7</v>
      </c>
      <c r="M927" s="63">
        <v>1.2893999999999999E-7</v>
      </c>
      <c r="N927" s="63">
        <v>5.9818000000000003E-7</v>
      </c>
      <c r="O927" s="64">
        <v>1.2907E-7</v>
      </c>
    </row>
    <row r="928" spans="1:15" x14ac:dyDescent="0.25">
      <c r="A928" s="114" t="s">
        <v>182</v>
      </c>
      <c r="B928" s="63" t="s">
        <v>52</v>
      </c>
      <c r="C928" s="63" t="s">
        <v>17</v>
      </c>
      <c r="D928" s="63">
        <v>1000</v>
      </c>
      <c r="E928" s="63">
        <v>10000</v>
      </c>
      <c r="F928" s="63">
        <v>1E-3</v>
      </c>
      <c r="G928" s="63" t="s">
        <v>9</v>
      </c>
      <c r="H928" s="63" t="s">
        <v>9</v>
      </c>
      <c r="I928" s="63">
        <v>0</v>
      </c>
      <c r="J928" s="63">
        <v>0</v>
      </c>
      <c r="L928" s="63">
        <v>4.3999999999999997E-9</v>
      </c>
      <c r="M928" s="63">
        <v>1.3E-7</v>
      </c>
      <c r="N928" s="63">
        <v>7.4100000000000003E-10</v>
      </c>
      <c r="O928" s="64">
        <v>1.2921999999999999E-7</v>
      </c>
    </row>
    <row r="929" spans="1:15" x14ac:dyDescent="0.25">
      <c r="A929" s="114" t="s">
        <v>172</v>
      </c>
      <c r="B929" s="63" t="s">
        <v>52</v>
      </c>
      <c r="C929" s="63" t="s">
        <v>17</v>
      </c>
      <c r="D929" s="63">
        <v>0</v>
      </c>
      <c r="E929" s="63">
        <v>40</v>
      </c>
      <c r="F929" s="63">
        <v>0.01</v>
      </c>
      <c r="G929" s="63" t="s">
        <v>9</v>
      </c>
      <c r="H929" s="63" t="s">
        <v>9</v>
      </c>
      <c r="I929" s="63">
        <v>0</v>
      </c>
      <c r="J929" s="63">
        <v>0</v>
      </c>
      <c r="L929" s="63">
        <v>5.3364999999999996E-6</v>
      </c>
      <c r="M929" s="63">
        <v>4.6700000000000004E-10</v>
      </c>
      <c r="N929" s="63">
        <v>5.3407999999999998E-6</v>
      </c>
      <c r="O929" s="64">
        <v>4.6200000000000001E-10</v>
      </c>
    </row>
    <row r="930" spans="1:15" x14ac:dyDescent="0.25">
      <c r="A930" s="114" t="s">
        <v>180</v>
      </c>
      <c r="B930" s="63" t="s">
        <v>52</v>
      </c>
      <c r="C930" s="63" t="s">
        <v>17</v>
      </c>
      <c r="D930" s="63">
        <v>40</v>
      </c>
      <c r="E930" s="63">
        <v>1000</v>
      </c>
      <c r="F930" s="63">
        <v>0.01</v>
      </c>
      <c r="G930" s="63" t="s">
        <v>9</v>
      </c>
      <c r="H930" s="63" t="s">
        <v>9</v>
      </c>
      <c r="I930" s="63">
        <v>0</v>
      </c>
      <c r="J930" s="63">
        <v>0</v>
      </c>
      <c r="L930" s="63">
        <v>2.6089999999999999E-5</v>
      </c>
      <c r="M930" s="63">
        <v>1.3885E-7</v>
      </c>
      <c r="N930" s="63">
        <v>2.5942E-5</v>
      </c>
      <c r="O930" s="64">
        <v>1.3918000000000001E-7</v>
      </c>
    </row>
    <row r="931" spans="1:15" x14ac:dyDescent="0.25">
      <c r="A931" s="114" t="s">
        <v>183</v>
      </c>
      <c r="B931" s="63" t="s">
        <v>52</v>
      </c>
      <c r="C931" s="63" t="s">
        <v>17</v>
      </c>
      <c r="D931" s="63">
        <v>1000</v>
      </c>
      <c r="E931" s="63">
        <v>10000</v>
      </c>
      <c r="F931" s="63">
        <v>0.01</v>
      </c>
      <c r="G931" s="63" t="s">
        <v>9</v>
      </c>
      <c r="H931" s="63" t="s">
        <v>9</v>
      </c>
      <c r="I931" s="63">
        <v>0</v>
      </c>
      <c r="J931" s="63">
        <v>0</v>
      </c>
      <c r="L931" s="63">
        <v>1.9518E-7</v>
      </c>
      <c r="M931" s="63">
        <v>1.2919999999999999E-7</v>
      </c>
      <c r="N931" s="63">
        <v>1.3836999999999999E-7</v>
      </c>
      <c r="O931" s="64">
        <v>1.2921E-7</v>
      </c>
    </row>
    <row r="932" spans="1:15" x14ac:dyDescent="0.25">
      <c r="A932" s="114" t="s">
        <v>187</v>
      </c>
      <c r="B932" s="63" t="s">
        <v>52</v>
      </c>
      <c r="C932" s="63" t="s">
        <v>17</v>
      </c>
      <c r="D932" s="63">
        <v>10000</v>
      </c>
      <c r="E932" s="63">
        <v>100000</v>
      </c>
      <c r="F932" s="63">
        <v>0.01</v>
      </c>
      <c r="G932" s="63" t="s">
        <v>9</v>
      </c>
      <c r="H932" s="63" t="s">
        <v>9</v>
      </c>
      <c r="I932" s="63">
        <v>0</v>
      </c>
      <c r="J932" s="63">
        <v>0</v>
      </c>
      <c r="L932" s="63">
        <v>4.3999999999999997E-8</v>
      </c>
      <c r="M932" s="63">
        <v>7.0000000000000001E-12</v>
      </c>
      <c r="N932" s="63">
        <v>7.4140000000000002E-9</v>
      </c>
      <c r="O932" s="64">
        <v>1.2921999999999999E-7</v>
      </c>
    </row>
    <row r="933" spans="1:15" x14ac:dyDescent="0.25">
      <c r="A933" s="114" t="s">
        <v>173</v>
      </c>
      <c r="B933" s="63" t="s">
        <v>52</v>
      </c>
      <c r="C933" s="63" t="s">
        <v>17</v>
      </c>
      <c r="D933" s="63">
        <v>0</v>
      </c>
      <c r="E933" s="63">
        <v>40</v>
      </c>
      <c r="F933" s="63">
        <v>0.1</v>
      </c>
      <c r="G933" s="63" t="s">
        <v>9</v>
      </c>
      <c r="H933" s="63" t="s">
        <v>9</v>
      </c>
      <c r="I933" s="63">
        <v>0</v>
      </c>
      <c r="J933" s="63">
        <v>0</v>
      </c>
      <c r="L933" s="63">
        <v>5.7624999999999998E-5</v>
      </c>
      <c r="M933" s="63">
        <v>1.1399999999999999E-10</v>
      </c>
      <c r="N933" s="63">
        <v>5.7277000000000001E-5</v>
      </c>
      <c r="O933" s="64">
        <v>1.1399999999999999E-10</v>
      </c>
    </row>
    <row r="934" spans="1:15" x14ac:dyDescent="0.25">
      <c r="A934" s="114" t="s">
        <v>2367</v>
      </c>
      <c r="B934" s="63" t="s">
        <v>52</v>
      </c>
      <c r="C934" s="63" t="s">
        <v>17</v>
      </c>
      <c r="D934" s="63">
        <v>40</v>
      </c>
      <c r="E934" s="63">
        <v>1000</v>
      </c>
      <c r="F934" s="63">
        <v>0.1</v>
      </c>
      <c r="G934" s="63" t="s">
        <v>9</v>
      </c>
      <c r="H934" s="63" t="s">
        <v>9</v>
      </c>
      <c r="I934" s="63">
        <v>0</v>
      </c>
      <c r="J934" s="63">
        <v>0</v>
      </c>
      <c r="L934" s="63">
        <v>3.9689E-4</v>
      </c>
      <c r="M934" s="63">
        <v>5.5570000000000003E-7</v>
      </c>
      <c r="N934" s="63">
        <v>3.9680999999999999E-4</v>
      </c>
      <c r="O934" s="64">
        <v>5.5588000000000003E-7</v>
      </c>
    </row>
    <row r="935" spans="1:15" x14ac:dyDescent="0.25">
      <c r="A935" s="114" t="s">
        <v>184</v>
      </c>
      <c r="B935" s="63" t="s">
        <v>52</v>
      </c>
      <c r="C935" s="63" t="s">
        <v>17</v>
      </c>
      <c r="D935" s="63">
        <v>1000</v>
      </c>
      <c r="E935" s="63">
        <v>10000</v>
      </c>
      <c r="F935" s="63">
        <v>0.1</v>
      </c>
      <c r="G935" s="63" t="s">
        <v>9</v>
      </c>
      <c r="H935" s="63" t="s">
        <v>9</v>
      </c>
      <c r="I935" s="63">
        <v>0</v>
      </c>
      <c r="J935" s="63">
        <v>0</v>
      </c>
      <c r="L935" s="63">
        <v>1.3574000000000001E-5</v>
      </c>
      <c r="M935" s="63">
        <v>1.2799E-7</v>
      </c>
      <c r="N935" s="63">
        <v>1.3570999999999999E-5</v>
      </c>
      <c r="O935" s="64">
        <v>1.2799E-7</v>
      </c>
    </row>
    <row r="936" spans="1:15" x14ac:dyDescent="0.25">
      <c r="A936" s="114" t="s">
        <v>188</v>
      </c>
      <c r="B936" s="63" t="s">
        <v>52</v>
      </c>
      <c r="C936" s="63" t="s">
        <v>17</v>
      </c>
      <c r="D936" s="63">
        <v>10000</v>
      </c>
      <c r="E936" s="63">
        <v>100000</v>
      </c>
      <c r="F936" s="63">
        <v>0.1</v>
      </c>
      <c r="G936" s="63" t="s">
        <v>9</v>
      </c>
      <c r="H936" s="63" t="s">
        <v>9</v>
      </c>
      <c r="I936" s="63">
        <v>0</v>
      </c>
      <c r="J936" s="63">
        <v>0</v>
      </c>
      <c r="L936" s="63">
        <v>1.9518000000000001E-6</v>
      </c>
      <c r="M936" s="63">
        <v>1.384E-9</v>
      </c>
      <c r="N936" s="63">
        <v>1.3837E-6</v>
      </c>
      <c r="O936" s="64">
        <v>1.2921E-7</v>
      </c>
    </row>
    <row r="937" spans="1:15" x14ac:dyDescent="0.25">
      <c r="A937" s="114" t="s">
        <v>194</v>
      </c>
      <c r="B937" s="63" t="s">
        <v>52</v>
      </c>
      <c r="C937" s="63" t="s">
        <v>17</v>
      </c>
      <c r="D937" s="63">
        <v>100000</v>
      </c>
      <c r="E937" s="63">
        <v>1000000</v>
      </c>
      <c r="F937" s="63">
        <v>0.1</v>
      </c>
      <c r="G937" s="63" t="s">
        <v>9</v>
      </c>
      <c r="H937" s="63" t="s">
        <v>9</v>
      </c>
      <c r="I937" s="63">
        <v>0</v>
      </c>
      <c r="J937" s="63">
        <v>0</v>
      </c>
      <c r="L937" s="63">
        <v>4.4000000000000002E-7</v>
      </c>
      <c r="M937" s="63">
        <v>1.3E-7</v>
      </c>
      <c r="N937" s="63">
        <v>7.4136999999999997E-8</v>
      </c>
      <c r="O937" s="64">
        <v>1.2921999999999999E-7</v>
      </c>
    </row>
    <row r="938" spans="1:15" x14ac:dyDescent="0.25">
      <c r="A938" s="114" t="s">
        <v>174</v>
      </c>
      <c r="B938" s="63" t="s">
        <v>52</v>
      </c>
      <c r="C938" s="63" t="s">
        <v>17</v>
      </c>
      <c r="D938" s="63">
        <v>0</v>
      </c>
      <c r="E938" s="63">
        <v>40</v>
      </c>
      <c r="F938" s="63">
        <v>1</v>
      </c>
      <c r="G938" s="63" t="s">
        <v>9</v>
      </c>
      <c r="H938" s="63" t="s">
        <v>9</v>
      </c>
      <c r="I938" s="63">
        <v>0</v>
      </c>
      <c r="J938" s="63">
        <v>0</v>
      </c>
      <c r="L938" s="63">
        <v>5.7733999999999997E-4</v>
      </c>
      <c r="M938" s="63">
        <v>1.2000000000000001E-11</v>
      </c>
      <c r="N938" s="63">
        <v>5.7689000000000004E-4</v>
      </c>
      <c r="O938" s="64">
        <v>1.2000000000000001E-11</v>
      </c>
    </row>
    <row r="939" spans="1:15" x14ac:dyDescent="0.25">
      <c r="A939" s="114" t="s">
        <v>2368</v>
      </c>
      <c r="B939" s="63" t="s">
        <v>52</v>
      </c>
      <c r="C939" s="63" t="s">
        <v>17</v>
      </c>
      <c r="D939" s="63">
        <v>40</v>
      </c>
      <c r="E939" s="63">
        <v>1000</v>
      </c>
      <c r="F939" s="63">
        <v>1</v>
      </c>
      <c r="G939" s="63" t="s">
        <v>9</v>
      </c>
      <c r="H939" s="63" t="s">
        <v>9</v>
      </c>
      <c r="I939" s="63">
        <v>0</v>
      </c>
      <c r="J939" s="63">
        <v>0</v>
      </c>
      <c r="L939" s="63">
        <v>3.9871999999999998E-3</v>
      </c>
      <c r="M939" s="63">
        <v>5.4141000000000004E-6</v>
      </c>
      <c r="N939" s="63">
        <v>3.9871999999999998E-3</v>
      </c>
      <c r="O939" s="64">
        <v>5.4141000000000004E-6</v>
      </c>
    </row>
    <row r="940" spans="1:15" x14ac:dyDescent="0.25">
      <c r="A940" s="114" t="s">
        <v>185</v>
      </c>
      <c r="B940" s="63" t="s">
        <v>52</v>
      </c>
      <c r="C940" s="63" t="s">
        <v>17</v>
      </c>
      <c r="D940" s="63">
        <v>1000</v>
      </c>
      <c r="E940" s="63">
        <v>10000</v>
      </c>
      <c r="F940" s="63">
        <v>1</v>
      </c>
      <c r="G940" s="63" t="s">
        <v>9</v>
      </c>
      <c r="H940" s="63" t="s">
        <v>9</v>
      </c>
      <c r="I940" s="63">
        <v>0</v>
      </c>
      <c r="J940" s="63">
        <v>0</v>
      </c>
      <c r="L940" s="63">
        <v>6.8566000000000005E-4</v>
      </c>
      <c r="M940" s="63">
        <v>9.1516999999999998E-8</v>
      </c>
      <c r="N940" s="63">
        <v>6.8565E-4</v>
      </c>
      <c r="O940" s="64">
        <v>9.1517999999999999E-8</v>
      </c>
    </row>
    <row r="941" spans="1:15" x14ac:dyDescent="0.25">
      <c r="A941" s="114" t="s">
        <v>189</v>
      </c>
      <c r="B941" s="63" t="s">
        <v>52</v>
      </c>
      <c r="C941" s="63" t="s">
        <v>17</v>
      </c>
      <c r="D941" s="63">
        <v>10000</v>
      </c>
      <c r="E941" s="63">
        <v>100000</v>
      </c>
      <c r="F941" s="63">
        <v>1</v>
      </c>
      <c r="G941" s="63" t="s">
        <v>9</v>
      </c>
      <c r="H941" s="63" t="s">
        <v>9</v>
      </c>
      <c r="I941" s="63">
        <v>0</v>
      </c>
      <c r="J941" s="63">
        <v>0</v>
      </c>
      <c r="L941" s="63">
        <v>1.3574E-4</v>
      </c>
      <c r="M941" s="63">
        <v>1.3570999999999999E-7</v>
      </c>
      <c r="N941" s="63">
        <v>1.3570999999999999E-4</v>
      </c>
      <c r="O941" s="64">
        <v>1.2799E-7</v>
      </c>
    </row>
    <row r="942" spans="1:15" x14ac:dyDescent="0.25">
      <c r="A942" s="114" t="s">
        <v>195</v>
      </c>
      <c r="B942" s="63" t="s">
        <v>52</v>
      </c>
      <c r="C942" s="63" t="s">
        <v>17</v>
      </c>
      <c r="D942" s="63">
        <v>100000</v>
      </c>
      <c r="E942" s="63">
        <v>1000000</v>
      </c>
      <c r="F942" s="63">
        <v>1</v>
      </c>
      <c r="G942" s="63" t="s">
        <v>9</v>
      </c>
      <c r="H942" s="63" t="s">
        <v>9</v>
      </c>
      <c r="I942" s="63">
        <v>0</v>
      </c>
      <c r="J942" s="63">
        <v>0</v>
      </c>
      <c r="L942" s="63">
        <v>1.9517999999999998E-5</v>
      </c>
      <c r="M942" s="63">
        <v>1.2919999999999999E-7</v>
      </c>
      <c r="N942" s="63">
        <v>1.3837E-5</v>
      </c>
      <c r="O942" s="64">
        <v>1.2921E-7</v>
      </c>
    </row>
    <row r="943" spans="1:15" x14ac:dyDescent="0.25">
      <c r="A943" s="114" t="s">
        <v>2369</v>
      </c>
      <c r="B943" s="63" t="s">
        <v>52</v>
      </c>
      <c r="C943" s="63" t="s">
        <v>17</v>
      </c>
      <c r="D943" s="63">
        <v>1000000</v>
      </c>
      <c r="E943" s="63">
        <v>10000000</v>
      </c>
      <c r="F943" s="63">
        <v>1</v>
      </c>
      <c r="G943" s="63" t="s">
        <v>9</v>
      </c>
      <c r="H943" s="63" t="s">
        <v>9</v>
      </c>
      <c r="I943" s="63">
        <v>0</v>
      </c>
      <c r="J943" s="63">
        <v>0</v>
      </c>
      <c r="L943" s="63">
        <v>4.4000000000000002E-6</v>
      </c>
      <c r="M943" s="63">
        <v>1.3E-7</v>
      </c>
      <c r="N943" s="63">
        <v>7.4137000000000003E-7</v>
      </c>
      <c r="O943" s="64">
        <v>1.2921999999999999E-7</v>
      </c>
    </row>
    <row r="944" spans="1:15" x14ac:dyDescent="0.25">
      <c r="A944" s="114" t="s">
        <v>175</v>
      </c>
      <c r="B944" s="63" t="s">
        <v>52</v>
      </c>
      <c r="C944" s="63" t="s">
        <v>17</v>
      </c>
      <c r="D944" s="63">
        <v>0</v>
      </c>
      <c r="E944" s="63">
        <v>40</v>
      </c>
      <c r="F944" s="63">
        <v>10</v>
      </c>
      <c r="G944" s="63" t="s">
        <v>9</v>
      </c>
      <c r="H944" s="63" t="s">
        <v>9</v>
      </c>
      <c r="I944" s="63">
        <v>0</v>
      </c>
      <c r="J944" s="63">
        <v>0</v>
      </c>
      <c r="L944" s="63">
        <v>5.7736000000000003E-3</v>
      </c>
      <c r="M944" s="63">
        <v>9.9999999999999998E-13</v>
      </c>
      <c r="N944" s="63">
        <v>5.7730999999999998E-3</v>
      </c>
      <c r="O944" s="64">
        <v>9.9999999999999998E-13</v>
      </c>
    </row>
    <row r="945" spans="1:15" x14ac:dyDescent="0.25">
      <c r="A945" s="114" t="s">
        <v>181</v>
      </c>
      <c r="B945" s="63" t="s">
        <v>52</v>
      </c>
      <c r="C945" s="63" t="s">
        <v>17</v>
      </c>
      <c r="D945" s="63">
        <v>40</v>
      </c>
      <c r="E945" s="63">
        <v>1000</v>
      </c>
      <c r="F945" s="63">
        <v>10</v>
      </c>
      <c r="G945" s="63" t="s">
        <v>9</v>
      </c>
      <c r="H945" s="63" t="s">
        <v>9</v>
      </c>
      <c r="I945" s="63">
        <v>0</v>
      </c>
      <c r="J945" s="63">
        <v>0</v>
      </c>
      <c r="L945" s="63">
        <v>5.5948999999999999E-2</v>
      </c>
      <c r="M945" s="63">
        <v>5.4126999999999999E-5</v>
      </c>
      <c r="N945" s="63">
        <v>5.5948999999999999E-2</v>
      </c>
      <c r="O945" s="64">
        <v>5.4126999999999999E-5</v>
      </c>
    </row>
    <row r="946" spans="1:15" x14ac:dyDescent="0.25">
      <c r="A946" s="114" t="s">
        <v>186</v>
      </c>
      <c r="B946" s="63" t="s">
        <v>52</v>
      </c>
      <c r="C946" s="63" t="s">
        <v>17</v>
      </c>
      <c r="D946" s="63">
        <v>1000</v>
      </c>
      <c r="E946" s="63">
        <v>10000</v>
      </c>
      <c r="F946" s="63">
        <v>10</v>
      </c>
      <c r="G946" s="63" t="s">
        <v>9</v>
      </c>
      <c r="H946" s="63" t="s">
        <v>9</v>
      </c>
      <c r="I946" s="63">
        <v>0</v>
      </c>
      <c r="J946" s="63">
        <v>0</v>
      </c>
      <c r="L946" s="63">
        <v>5.7844000000000003E-3</v>
      </c>
      <c r="M946" s="63">
        <v>1.571E-8</v>
      </c>
      <c r="N946" s="63">
        <v>5.7844000000000003E-3</v>
      </c>
      <c r="O946" s="64">
        <v>1.571E-8</v>
      </c>
    </row>
    <row r="947" spans="1:15" x14ac:dyDescent="0.25">
      <c r="A947" s="114" t="s">
        <v>190</v>
      </c>
      <c r="B947" s="63" t="s">
        <v>52</v>
      </c>
      <c r="C947" s="63" t="s">
        <v>17</v>
      </c>
      <c r="D947" s="63">
        <v>10000</v>
      </c>
      <c r="E947" s="63">
        <v>100000</v>
      </c>
      <c r="F947" s="63">
        <v>10</v>
      </c>
      <c r="G947" s="63" t="s">
        <v>9</v>
      </c>
      <c r="H947" s="63" t="s">
        <v>9</v>
      </c>
      <c r="I947" s="63">
        <v>0</v>
      </c>
      <c r="J947" s="63">
        <v>0</v>
      </c>
      <c r="L947" s="63">
        <v>6.8566E-3</v>
      </c>
      <c r="M947" s="63">
        <v>6.8565000000000003E-6</v>
      </c>
      <c r="N947" s="63">
        <v>6.8564999999999997E-3</v>
      </c>
      <c r="O947" s="64">
        <v>9.1517999999999999E-8</v>
      </c>
    </row>
    <row r="948" spans="1:15" x14ac:dyDescent="0.25">
      <c r="A948" s="114" t="s">
        <v>196</v>
      </c>
      <c r="B948" s="63" t="s">
        <v>52</v>
      </c>
      <c r="C948" s="63" t="s">
        <v>17</v>
      </c>
      <c r="D948" s="63">
        <v>100000</v>
      </c>
      <c r="E948" s="63">
        <v>1000000</v>
      </c>
      <c r="F948" s="63">
        <v>10</v>
      </c>
      <c r="G948" s="63" t="s">
        <v>9</v>
      </c>
      <c r="H948" s="63" t="s">
        <v>9</v>
      </c>
      <c r="I948" s="63">
        <v>0</v>
      </c>
      <c r="J948" s="63">
        <v>0</v>
      </c>
      <c r="L948" s="63">
        <v>1.3573999999999999E-3</v>
      </c>
      <c r="M948" s="63">
        <v>1.2799E-7</v>
      </c>
      <c r="N948" s="63">
        <v>1.3571E-3</v>
      </c>
      <c r="O948" s="64">
        <v>1.2799E-7</v>
      </c>
    </row>
    <row r="949" spans="1:15" x14ac:dyDescent="0.25">
      <c r="A949" s="114" t="s">
        <v>200</v>
      </c>
      <c r="B949" s="63" t="s">
        <v>52</v>
      </c>
      <c r="C949" s="63" t="s">
        <v>17</v>
      </c>
      <c r="D949" s="63">
        <v>1000000</v>
      </c>
      <c r="E949" s="63">
        <v>10000000</v>
      </c>
      <c r="F949" s="63">
        <v>10</v>
      </c>
      <c r="G949" s="63" t="s">
        <v>9</v>
      </c>
      <c r="H949" s="63" t="s">
        <v>9</v>
      </c>
      <c r="I949" s="63">
        <v>0</v>
      </c>
      <c r="J949" s="63">
        <v>0</v>
      </c>
      <c r="L949" s="63">
        <v>1.9518000000000001E-4</v>
      </c>
      <c r="M949" s="63">
        <v>1.2919999999999999E-7</v>
      </c>
      <c r="N949" s="63">
        <v>1.3836999999999999E-4</v>
      </c>
      <c r="O949" s="64">
        <v>1.2921E-7</v>
      </c>
    </row>
    <row r="950" spans="1:15" x14ac:dyDescent="0.25">
      <c r="A950" s="114" t="s">
        <v>2370</v>
      </c>
      <c r="B950" s="63" t="s">
        <v>52</v>
      </c>
      <c r="C950" s="63" t="s">
        <v>17</v>
      </c>
      <c r="D950" s="63">
        <v>0</v>
      </c>
      <c r="E950" s="63">
        <v>40</v>
      </c>
      <c r="F950" s="63">
        <v>100</v>
      </c>
      <c r="G950" s="63" t="s">
        <v>9</v>
      </c>
      <c r="H950" s="63" t="s">
        <v>9</v>
      </c>
      <c r="I950" s="63">
        <v>0</v>
      </c>
      <c r="J950" s="63">
        <v>0</v>
      </c>
      <c r="L950" s="63">
        <v>5.7736000000000003E-2</v>
      </c>
      <c r="M950" s="63">
        <v>0</v>
      </c>
      <c r="N950" s="63">
        <v>5.7735000000000002E-2</v>
      </c>
      <c r="O950" s="64">
        <v>0</v>
      </c>
    </row>
    <row r="951" spans="1:15" x14ac:dyDescent="0.25">
      <c r="A951" s="114" t="s">
        <v>2371</v>
      </c>
      <c r="B951" s="63" t="s">
        <v>52</v>
      </c>
      <c r="C951" s="63" t="s">
        <v>17</v>
      </c>
      <c r="D951" s="63">
        <v>1000</v>
      </c>
      <c r="E951" s="63">
        <v>10000</v>
      </c>
      <c r="F951" s="63">
        <v>100</v>
      </c>
      <c r="G951" s="63" t="s">
        <v>9</v>
      </c>
      <c r="H951" s="63" t="s">
        <v>9</v>
      </c>
      <c r="I951" s="63">
        <v>0</v>
      </c>
      <c r="J951" s="63">
        <v>0</v>
      </c>
      <c r="L951" s="63">
        <v>5.7734000000000001E-2</v>
      </c>
      <c r="M951" s="63">
        <v>1.5900000000000001E-9</v>
      </c>
      <c r="N951" s="63">
        <v>5.772E-2</v>
      </c>
      <c r="O951" s="64">
        <v>1.5900000000000001E-9</v>
      </c>
    </row>
    <row r="952" spans="1:15" x14ac:dyDescent="0.25">
      <c r="A952" s="114" t="s">
        <v>191</v>
      </c>
      <c r="B952" s="63" t="s">
        <v>52</v>
      </c>
      <c r="C952" s="63" t="s">
        <v>17</v>
      </c>
      <c r="D952" s="63">
        <v>10000</v>
      </c>
      <c r="E952" s="63">
        <v>100000</v>
      </c>
      <c r="F952" s="63">
        <v>100</v>
      </c>
      <c r="G952" s="63" t="s">
        <v>9</v>
      </c>
      <c r="H952" s="63" t="s">
        <v>9</v>
      </c>
      <c r="I952" s="63">
        <v>0</v>
      </c>
      <c r="J952" s="63">
        <v>0</v>
      </c>
      <c r="L952" s="63">
        <v>5.7844E-2</v>
      </c>
      <c r="M952" s="63">
        <v>5.7843999999999997E-5</v>
      </c>
      <c r="N952" s="63">
        <v>5.7844E-2</v>
      </c>
      <c r="O952" s="64">
        <v>1.571E-8</v>
      </c>
    </row>
    <row r="953" spans="1:15" x14ac:dyDescent="0.25">
      <c r="A953" s="114" t="s">
        <v>197</v>
      </c>
      <c r="B953" s="63" t="s">
        <v>52</v>
      </c>
      <c r="C953" s="63" t="s">
        <v>17</v>
      </c>
      <c r="D953" s="63">
        <v>100000</v>
      </c>
      <c r="E953" s="63">
        <v>1000000</v>
      </c>
      <c r="F953" s="63">
        <v>100</v>
      </c>
      <c r="G953" s="63" t="s">
        <v>9</v>
      </c>
      <c r="H953" s="63" t="s">
        <v>9</v>
      </c>
      <c r="I953" s="63">
        <v>0</v>
      </c>
      <c r="J953" s="63">
        <v>0</v>
      </c>
      <c r="L953" s="63">
        <v>6.8566000000000002E-2</v>
      </c>
      <c r="M953" s="63">
        <v>9.1516999999999998E-8</v>
      </c>
      <c r="N953" s="63">
        <v>6.8565000000000001E-2</v>
      </c>
      <c r="O953" s="64">
        <v>9.1517999999999999E-8</v>
      </c>
    </row>
    <row r="954" spans="1:15" x14ac:dyDescent="0.25">
      <c r="A954" s="114" t="s">
        <v>201</v>
      </c>
      <c r="B954" s="63" t="s">
        <v>52</v>
      </c>
      <c r="C954" s="63" t="s">
        <v>17</v>
      </c>
      <c r="D954" s="63">
        <v>1000000</v>
      </c>
      <c r="E954" s="63">
        <v>10000000</v>
      </c>
      <c r="F954" s="63">
        <v>100</v>
      </c>
      <c r="G954" s="63" t="s">
        <v>9</v>
      </c>
      <c r="H954" s="63" t="s">
        <v>9</v>
      </c>
      <c r="I954" s="63">
        <v>0</v>
      </c>
      <c r="J954" s="63">
        <v>0</v>
      </c>
      <c r="L954" s="63">
        <v>1.3573999999999999E-2</v>
      </c>
      <c r="M954" s="63">
        <v>1.2799E-7</v>
      </c>
      <c r="N954" s="63">
        <v>1.3571E-2</v>
      </c>
      <c r="O954" s="64">
        <v>1.2799E-7</v>
      </c>
    </row>
    <row r="955" spans="1:15" x14ac:dyDescent="0.25">
      <c r="A955" s="114" t="s">
        <v>176</v>
      </c>
      <c r="B955" s="63" t="s">
        <v>52</v>
      </c>
      <c r="C955" s="63" t="s">
        <v>17</v>
      </c>
      <c r="D955" s="63">
        <v>0</v>
      </c>
      <c r="E955" s="63">
        <v>40</v>
      </c>
      <c r="F955" s="63">
        <v>1000</v>
      </c>
      <c r="G955" s="63" t="s">
        <v>9</v>
      </c>
      <c r="H955" s="63" t="s">
        <v>9</v>
      </c>
      <c r="I955" s="63">
        <v>0</v>
      </c>
      <c r="J955" s="63">
        <v>0</v>
      </c>
      <c r="L955" s="63">
        <v>0.57735999999999998</v>
      </c>
      <c r="M955" s="63">
        <v>0</v>
      </c>
      <c r="N955" s="63">
        <v>0.57735000000000003</v>
      </c>
      <c r="O955" s="64">
        <v>0</v>
      </c>
    </row>
    <row r="956" spans="1:15" x14ac:dyDescent="0.25">
      <c r="A956" s="114" t="s">
        <v>192</v>
      </c>
      <c r="B956" s="63" t="s">
        <v>52</v>
      </c>
      <c r="C956" s="63" t="s">
        <v>17</v>
      </c>
      <c r="D956" s="63">
        <v>10000</v>
      </c>
      <c r="E956" s="63">
        <v>100000</v>
      </c>
      <c r="F956" s="63">
        <v>1000</v>
      </c>
      <c r="G956" s="63" t="s">
        <v>9</v>
      </c>
      <c r="H956" s="63" t="s">
        <v>9</v>
      </c>
      <c r="I956" s="63">
        <v>0</v>
      </c>
      <c r="J956" s="63">
        <v>0</v>
      </c>
      <c r="L956" s="63">
        <v>0.57733999999999996</v>
      </c>
      <c r="M956" s="63">
        <v>5.7720000000000004E-4</v>
      </c>
      <c r="N956" s="63">
        <v>0.57720000000000005</v>
      </c>
      <c r="O956" s="64">
        <v>1.5900000000000001E-9</v>
      </c>
    </row>
    <row r="957" spans="1:15" x14ac:dyDescent="0.25">
      <c r="A957" s="114" t="s">
        <v>198</v>
      </c>
      <c r="B957" s="63" t="s">
        <v>52</v>
      </c>
      <c r="C957" s="63" t="s">
        <v>17</v>
      </c>
      <c r="D957" s="63">
        <v>100000</v>
      </c>
      <c r="E957" s="63">
        <v>1000000</v>
      </c>
      <c r="F957" s="63">
        <v>1000</v>
      </c>
      <c r="G957" s="63" t="s">
        <v>9</v>
      </c>
      <c r="H957" s="63" t="s">
        <v>9</v>
      </c>
      <c r="I957" s="63">
        <v>0</v>
      </c>
      <c r="J957" s="63">
        <v>0</v>
      </c>
      <c r="L957" s="63">
        <v>0.57843999999999995</v>
      </c>
      <c r="M957" s="63">
        <v>1.571E-8</v>
      </c>
      <c r="N957" s="63">
        <v>0.57843999999999995</v>
      </c>
      <c r="O957" s="64">
        <v>1.571E-8</v>
      </c>
    </row>
    <row r="958" spans="1:15" x14ac:dyDescent="0.25">
      <c r="A958" s="114" t="s">
        <v>202</v>
      </c>
      <c r="B958" s="63" t="s">
        <v>52</v>
      </c>
      <c r="C958" s="63" t="s">
        <v>17</v>
      </c>
      <c r="D958" s="63">
        <v>1000000</v>
      </c>
      <c r="E958" s="63">
        <v>10000000</v>
      </c>
      <c r="F958" s="63">
        <v>1000</v>
      </c>
      <c r="G958" s="63" t="s">
        <v>9</v>
      </c>
      <c r="H958" s="63" t="s">
        <v>9</v>
      </c>
      <c r="I958" s="63">
        <v>0</v>
      </c>
      <c r="J958" s="63">
        <v>0</v>
      </c>
      <c r="L958" s="63">
        <v>0.68566000000000005</v>
      </c>
      <c r="M958" s="63">
        <v>9.1516999999999998E-8</v>
      </c>
      <c r="N958" s="63">
        <v>0.68564999999999998</v>
      </c>
      <c r="O958" s="64">
        <v>9.1517999999999999E-8</v>
      </c>
    </row>
    <row r="959" spans="1:15" x14ac:dyDescent="0.25">
      <c r="A959" s="114" t="s">
        <v>177</v>
      </c>
      <c r="B959" s="63" t="s">
        <v>52</v>
      </c>
      <c r="C959" s="63" t="s">
        <v>17</v>
      </c>
      <c r="D959" s="63">
        <v>0</v>
      </c>
      <c r="E959" s="63">
        <v>40</v>
      </c>
      <c r="F959" s="63">
        <v>10000</v>
      </c>
      <c r="G959" s="63" t="s">
        <v>9</v>
      </c>
      <c r="H959" s="63" t="s">
        <v>9</v>
      </c>
      <c r="I959" s="63">
        <v>0</v>
      </c>
      <c r="J959" s="63">
        <v>0</v>
      </c>
      <c r="L959" s="63">
        <v>5.7736000000000001</v>
      </c>
      <c r="M959" s="63">
        <v>0</v>
      </c>
      <c r="N959" s="63">
        <v>5.7736000000000001</v>
      </c>
      <c r="O959" s="64">
        <v>0</v>
      </c>
    </row>
    <row r="960" spans="1:15" x14ac:dyDescent="0.25">
      <c r="A960" s="114" t="s">
        <v>193</v>
      </c>
      <c r="B960" s="63" t="s">
        <v>52</v>
      </c>
      <c r="C960" s="63" t="s">
        <v>17</v>
      </c>
      <c r="D960" s="63">
        <v>10000</v>
      </c>
      <c r="E960" s="63">
        <v>100000</v>
      </c>
      <c r="F960" s="63">
        <v>10000</v>
      </c>
      <c r="G960" s="63" t="s">
        <v>9</v>
      </c>
      <c r="H960" s="63" t="s">
        <v>9</v>
      </c>
      <c r="I960" s="63">
        <v>0</v>
      </c>
      <c r="J960" s="63">
        <v>0</v>
      </c>
      <c r="L960" s="63">
        <v>5.7736000000000001</v>
      </c>
      <c r="M960" s="63">
        <v>5.7733999999999997E-3</v>
      </c>
      <c r="N960" s="63">
        <v>5.7733999999999996</v>
      </c>
      <c r="O960" s="64">
        <v>1.5899999999999999E-10</v>
      </c>
    </row>
    <row r="961" spans="1:15" x14ac:dyDescent="0.25">
      <c r="A961" s="114" t="s">
        <v>199</v>
      </c>
      <c r="B961" s="63" t="s">
        <v>52</v>
      </c>
      <c r="C961" s="63" t="s">
        <v>17</v>
      </c>
      <c r="D961" s="63">
        <v>100000</v>
      </c>
      <c r="E961" s="63">
        <v>1000000</v>
      </c>
      <c r="F961" s="63">
        <v>10000</v>
      </c>
      <c r="G961" s="63" t="s">
        <v>9</v>
      </c>
      <c r="H961" s="63" t="s">
        <v>9</v>
      </c>
      <c r="I961" s="63">
        <v>0</v>
      </c>
      <c r="J961" s="63">
        <v>0</v>
      </c>
      <c r="L961" s="63">
        <v>5.7733999999999996</v>
      </c>
      <c r="M961" s="63">
        <v>1.5900000000000001E-9</v>
      </c>
      <c r="N961" s="63">
        <v>5.7720000000000002</v>
      </c>
      <c r="O961" s="64">
        <v>1.5900000000000001E-9</v>
      </c>
    </row>
    <row r="962" spans="1:15" x14ac:dyDescent="0.25">
      <c r="A962" s="114" t="s">
        <v>203</v>
      </c>
      <c r="B962" s="63" t="s">
        <v>52</v>
      </c>
      <c r="C962" s="63" t="s">
        <v>17</v>
      </c>
      <c r="D962" s="63">
        <v>1000000</v>
      </c>
      <c r="E962" s="63">
        <v>10000000</v>
      </c>
      <c r="F962" s="63">
        <v>10000</v>
      </c>
      <c r="G962" s="63" t="s">
        <v>9</v>
      </c>
      <c r="H962" s="63" t="s">
        <v>9</v>
      </c>
      <c r="I962" s="63">
        <v>0</v>
      </c>
      <c r="J962" s="63">
        <v>0</v>
      </c>
      <c r="L962" s="63">
        <v>5.7843999999999998</v>
      </c>
      <c r="M962" s="63">
        <v>1.571E-8</v>
      </c>
      <c r="N962" s="63">
        <v>5.7843999999999998</v>
      </c>
      <c r="O962" s="64">
        <v>1.571E-8</v>
      </c>
    </row>
    <row r="963" spans="1:15" x14ac:dyDescent="0.25">
      <c r="A963" s="114" t="s">
        <v>204</v>
      </c>
      <c r="B963" s="63" t="s">
        <v>52</v>
      </c>
      <c r="C963" s="63" t="s">
        <v>17</v>
      </c>
      <c r="D963" s="63">
        <v>1000000</v>
      </c>
      <c r="E963" s="63">
        <v>10000000</v>
      </c>
      <c r="F963" s="63">
        <v>100000</v>
      </c>
      <c r="G963" s="63" t="s">
        <v>9</v>
      </c>
      <c r="H963" s="63" t="s">
        <v>9</v>
      </c>
      <c r="I963" s="63">
        <v>0</v>
      </c>
      <c r="J963" s="63">
        <v>0</v>
      </c>
      <c r="L963" s="63">
        <v>57.734000000000002</v>
      </c>
      <c r="M963" s="63">
        <v>1.5900000000000001E-9</v>
      </c>
      <c r="N963" s="63">
        <v>57.72</v>
      </c>
      <c r="O963" s="64">
        <v>1.5900000000000001E-9</v>
      </c>
    </row>
    <row r="964" spans="1:15" x14ac:dyDescent="0.25">
      <c r="A964" s="114" t="s">
        <v>2068</v>
      </c>
      <c r="B964" s="63" t="s">
        <v>52</v>
      </c>
      <c r="C964" s="63" t="s">
        <v>7</v>
      </c>
      <c r="D964" s="63">
        <v>0</v>
      </c>
      <c r="E964" s="63">
        <v>10</v>
      </c>
      <c r="F964" s="63">
        <v>1.0000000000000001E-5</v>
      </c>
      <c r="G964" s="63" t="s">
        <v>46</v>
      </c>
      <c r="H964" s="63" t="s">
        <v>68</v>
      </c>
      <c r="I964" s="63">
        <v>0</v>
      </c>
      <c r="J964" s="63">
        <v>0</v>
      </c>
      <c r="L964" s="63">
        <v>65</v>
      </c>
      <c r="M964" s="63">
        <v>17</v>
      </c>
      <c r="N964" s="63">
        <v>61.667999999999999</v>
      </c>
      <c r="O964" s="64">
        <v>17.321000000000002</v>
      </c>
    </row>
    <row r="965" spans="1:15" x14ac:dyDescent="0.25">
      <c r="A965" s="114" t="s">
        <v>2372</v>
      </c>
      <c r="B965" s="63" t="s">
        <v>52</v>
      </c>
      <c r="C965" s="63" t="s">
        <v>7</v>
      </c>
      <c r="D965" s="63">
        <v>10</v>
      </c>
      <c r="E965" s="63">
        <v>100</v>
      </c>
      <c r="F965" s="63">
        <v>1.0000000000000001E-5</v>
      </c>
      <c r="G965" s="63" t="s">
        <v>46</v>
      </c>
      <c r="H965" s="63" t="s">
        <v>68</v>
      </c>
      <c r="I965" s="63">
        <v>0</v>
      </c>
      <c r="J965" s="63">
        <v>1</v>
      </c>
      <c r="L965" s="63">
        <v>580</v>
      </c>
      <c r="M965" s="63">
        <v>14</v>
      </c>
      <c r="N965" s="63">
        <v>577.27</v>
      </c>
      <c r="O965" s="64">
        <v>0</v>
      </c>
    </row>
    <row r="966" spans="1:15" x14ac:dyDescent="0.25">
      <c r="A966" s="114" t="s">
        <v>2069</v>
      </c>
      <c r="B966" s="63" t="s">
        <v>52</v>
      </c>
      <c r="C966" s="63" t="s">
        <v>7</v>
      </c>
      <c r="D966" s="63">
        <v>0</v>
      </c>
      <c r="E966" s="63">
        <v>10</v>
      </c>
      <c r="F966" s="63">
        <v>1E-4</v>
      </c>
      <c r="G966" s="63" t="s">
        <v>46</v>
      </c>
      <c r="H966" s="63" t="s">
        <v>68</v>
      </c>
      <c r="I966" s="63">
        <v>0</v>
      </c>
      <c r="J966" s="63">
        <v>0</v>
      </c>
      <c r="L966" s="63">
        <v>81.733999999999995</v>
      </c>
      <c r="M966" s="63">
        <v>16.018000000000001</v>
      </c>
      <c r="N966" s="63">
        <v>81.655000000000001</v>
      </c>
      <c r="O966" s="64">
        <v>16.015000000000001</v>
      </c>
    </row>
    <row r="967" spans="1:15" x14ac:dyDescent="0.25">
      <c r="A967" s="114" t="s">
        <v>2373</v>
      </c>
      <c r="B967" s="63" t="s">
        <v>52</v>
      </c>
      <c r="C967" s="63" t="s">
        <v>7</v>
      </c>
      <c r="D967" s="63">
        <v>10</v>
      </c>
      <c r="E967" s="63">
        <v>100</v>
      </c>
      <c r="F967" s="63">
        <v>1E-4</v>
      </c>
      <c r="G967" s="63" t="s">
        <v>46</v>
      </c>
      <c r="H967" s="63" t="s">
        <v>68</v>
      </c>
      <c r="I967" s="63">
        <v>0</v>
      </c>
      <c r="J967" s="63">
        <v>0</v>
      </c>
      <c r="L967" s="63">
        <v>580</v>
      </c>
      <c r="M967" s="63">
        <v>13.975</v>
      </c>
      <c r="N967" s="63">
        <v>579.78</v>
      </c>
      <c r="O967" s="64">
        <v>13.975</v>
      </c>
    </row>
    <row r="968" spans="1:15" x14ac:dyDescent="0.25">
      <c r="A968" s="114" t="s">
        <v>2070</v>
      </c>
      <c r="B968" s="63" t="s">
        <v>52</v>
      </c>
      <c r="C968" s="63" t="s">
        <v>7</v>
      </c>
      <c r="D968" s="63">
        <v>100</v>
      </c>
      <c r="E968" s="63">
        <v>1000</v>
      </c>
      <c r="F968" s="63">
        <v>1E-4</v>
      </c>
      <c r="G968" s="63" t="s">
        <v>46</v>
      </c>
      <c r="H968" s="63" t="s">
        <v>68</v>
      </c>
      <c r="I968" s="63">
        <v>0</v>
      </c>
      <c r="J968" s="63">
        <v>0</v>
      </c>
      <c r="L968" s="63">
        <v>590</v>
      </c>
      <c r="M968" s="63">
        <v>12</v>
      </c>
      <c r="N968" s="63">
        <v>568.01</v>
      </c>
      <c r="O968" s="64">
        <v>11.811999999999999</v>
      </c>
    </row>
    <row r="969" spans="1:15" x14ac:dyDescent="0.25">
      <c r="A969" s="114" t="s">
        <v>2071</v>
      </c>
      <c r="B969" s="63" t="s">
        <v>52</v>
      </c>
      <c r="C969" s="63" t="s">
        <v>7</v>
      </c>
      <c r="D969" s="63">
        <v>0</v>
      </c>
      <c r="E969" s="63">
        <v>10</v>
      </c>
      <c r="F969" s="63">
        <v>1E-3</v>
      </c>
      <c r="G969" s="63" t="s">
        <v>46</v>
      </c>
      <c r="H969" s="63" t="s">
        <v>68</v>
      </c>
      <c r="I969" s="63">
        <v>0</v>
      </c>
      <c r="J969" s="63">
        <v>0</v>
      </c>
      <c r="L969" s="63">
        <v>578.24</v>
      </c>
      <c r="M969" s="63">
        <v>4.5206999999999997</v>
      </c>
      <c r="N969" s="63">
        <v>578.20000000000005</v>
      </c>
      <c r="O969" s="64">
        <v>4.5079000000000002</v>
      </c>
    </row>
    <row r="970" spans="1:15" x14ac:dyDescent="0.25">
      <c r="A970" s="114" t="s">
        <v>2374</v>
      </c>
      <c r="B970" s="63" t="s">
        <v>52</v>
      </c>
      <c r="C970" s="63" t="s">
        <v>7</v>
      </c>
      <c r="D970" s="63">
        <v>10</v>
      </c>
      <c r="E970" s="63">
        <v>100</v>
      </c>
      <c r="F970" s="63">
        <v>1E-3</v>
      </c>
      <c r="G970" s="63" t="s">
        <v>46</v>
      </c>
      <c r="H970" s="63" t="s">
        <v>68</v>
      </c>
      <c r="I970" s="63">
        <v>0</v>
      </c>
      <c r="J970" s="63">
        <v>0</v>
      </c>
      <c r="L970" s="63">
        <v>794.35</v>
      </c>
      <c r="M970" s="63">
        <v>12.648</v>
      </c>
      <c r="N970" s="63">
        <v>794.24</v>
      </c>
      <c r="O970" s="64">
        <v>12.648</v>
      </c>
    </row>
    <row r="971" spans="1:15" x14ac:dyDescent="0.25">
      <c r="A971" s="114" t="s">
        <v>2072</v>
      </c>
      <c r="B971" s="63" t="s">
        <v>52</v>
      </c>
      <c r="C971" s="63" t="s">
        <v>7</v>
      </c>
      <c r="D971" s="63">
        <v>100</v>
      </c>
      <c r="E971" s="63">
        <v>1000</v>
      </c>
      <c r="F971" s="63">
        <v>1E-3</v>
      </c>
      <c r="G971" s="63" t="s">
        <v>46</v>
      </c>
      <c r="H971" s="63" t="s">
        <v>68</v>
      </c>
      <c r="I971" s="63">
        <v>0</v>
      </c>
      <c r="J971" s="63">
        <v>0</v>
      </c>
      <c r="L971" s="63">
        <v>647.66</v>
      </c>
      <c r="M971" s="63">
        <v>11.942</v>
      </c>
      <c r="N971" s="63">
        <v>669.04</v>
      </c>
      <c r="O971" s="64">
        <v>11.724</v>
      </c>
    </row>
    <row r="972" spans="1:15" x14ac:dyDescent="0.25">
      <c r="A972" s="114" t="s">
        <v>2073</v>
      </c>
      <c r="B972" s="63" t="s">
        <v>52</v>
      </c>
      <c r="C972" s="63" t="s">
        <v>7</v>
      </c>
      <c r="D972" s="63">
        <v>1000</v>
      </c>
      <c r="E972" s="63">
        <v>10000</v>
      </c>
      <c r="F972" s="63">
        <v>1E-3</v>
      </c>
      <c r="G972" s="63" t="s">
        <v>46</v>
      </c>
      <c r="H972" s="63" t="s">
        <v>45</v>
      </c>
      <c r="I972" s="63">
        <v>0</v>
      </c>
      <c r="J972" s="63">
        <v>0</v>
      </c>
      <c r="L972" s="63">
        <v>5.9</v>
      </c>
      <c r="M972" s="63">
        <v>1.2E-2</v>
      </c>
      <c r="N972" s="63">
        <v>5.8777999999999997</v>
      </c>
      <c r="O972" s="64">
        <v>1.1642E-2</v>
      </c>
    </row>
    <row r="973" spans="1:15" x14ac:dyDescent="0.25">
      <c r="A973" s="114" t="s">
        <v>2074</v>
      </c>
      <c r="B973" s="63" t="s">
        <v>52</v>
      </c>
      <c r="C973" s="63" t="s">
        <v>7</v>
      </c>
      <c r="D973" s="63">
        <v>0</v>
      </c>
      <c r="E973" s="63">
        <v>10</v>
      </c>
      <c r="F973" s="63">
        <v>0.01</v>
      </c>
      <c r="G973" s="63" t="s">
        <v>46</v>
      </c>
      <c r="H973" s="63" t="s">
        <v>68</v>
      </c>
      <c r="I973" s="63">
        <v>0</v>
      </c>
      <c r="J973" s="63">
        <v>0</v>
      </c>
      <c r="L973" s="63">
        <v>5773.6</v>
      </c>
      <c r="M973" s="63">
        <v>0.47627000000000003</v>
      </c>
      <c r="N973" s="63">
        <v>5773.6</v>
      </c>
      <c r="O973" s="64">
        <v>0.47059000000000001</v>
      </c>
    </row>
    <row r="974" spans="1:15" x14ac:dyDescent="0.25">
      <c r="A974" s="114" t="s">
        <v>2075</v>
      </c>
      <c r="B974" s="63" t="s">
        <v>52</v>
      </c>
      <c r="C974" s="63" t="s">
        <v>7</v>
      </c>
      <c r="D974" s="63">
        <v>10</v>
      </c>
      <c r="E974" s="63">
        <v>100</v>
      </c>
      <c r="F974" s="63">
        <v>0.01</v>
      </c>
      <c r="G974" s="63" t="s">
        <v>46</v>
      </c>
      <c r="H974" s="63" t="s">
        <v>68</v>
      </c>
      <c r="I974" s="63">
        <v>0</v>
      </c>
      <c r="J974" s="63">
        <v>0</v>
      </c>
      <c r="L974" s="63">
        <v>5786.4</v>
      </c>
      <c r="M974" s="63">
        <v>3.1625999999999999</v>
      </c>
      <c r="N974" s="63">
        <v>5786.3</v>
      </c>
      <c r="O974" s="64">
        <v>3.1617000000000002</v>
      </c>
    </row>
    <row r="975" spans="1:15" x14ac:dyDescent="0.25">
      <c r="A975" s="114" t="s">
        <v>2076</v>
      </c>
      <c r="B975" s="63" t="s">
        <v>52</v>
      </c>
      <c r="C975" s="63" t="s">
        <v>7</v>
      </c>
      <c r="D975" s="63">
        <v>100</v>
      </c>
      <c r="E975" s="63">
        <v>1000</v>
      </c>
      <c r="F975" s="63">
        <v>0.01</v>
      </c>
      <c r="G975" s="63" t="s">
        <v>46</v>
      </c>
      <c r="H975" s="63" t="s">
        <v>68</v>
      </c>
      <c r="I975" s="63">
        <v>0</v>
      </c>
      <c r="J975" s="63">
        <v>0</v>
      </c>
      <c r="L975" s="63">
        <v>5185.8</v>
      </c>
      <c r="M975" s="63">
        <v>8.4755000000000003</v>
      </c>
      <c r="N975" s="63">
        <v>5185</v>
      </c>
      <c r="O975" s="64">
        <v>8.4748000000000001</v>
      </c>
    </row>
    <row r="976" spans="1:15" x14ac:dyDescent="0.25">
      <c r="A976" s="114" t="s">
        <v>2077</v>
      </c>
      <c r="B976" s="63" t="s">
        <v>52</v>
      </c>
      <c r="C976" s="63" t="s">
        <v>7</v>
      </c>
      <c r="D976" s="63">
        <v>1000</v>
      </c>
      <c r="E976" s="63">
        <v>10000</v>
      </c>
      <c r="F976" s="63">
        <v>0.01</v>
      </c>
      <c r="G976" s="63" t="s">
        <v>46</v>
      </c>
      <c r="H976" s="63" t="s">
        <v>45</v>
      </c>
      <c r="I976" s="63">
        <v>0</v>
      </c>
      <c r="J976" s="63">
        <v>0</v>
      </c>
      <c r="L976" s="63">
        <v>6.5110999999999999</v>
      </c>
      <c r="M976" s="63">
        <v>1.1939E-2</v>
      </c>
      <c r="N976" s="63">
        <v>6.8826999999999998</v>
      </c>
      <c r="O976" s="64">
        <v>1.1554999999999999E-2</v>
      </c>
    </row>
    <row r="977" spans="1:15" x14ac:dyDescent="0.25">
      <c r="A977" s="114" t="s">
        <v>2078</v>
      </c>
      <c r="B977" s="63" t="s">
        <v>52</v>
      </c>
      <c r="C977" s="63" t="s">
        <v>7</v>
      </c>
      <c r="D977" s="63">
        <v>10000</v>
      </c>
      <c r="E977" s="63">
        <v>100000</v>
      </c>
      <c r="F977" s="63">
        <v>0.01</v>
      </c>
      <c r="G977" s="63" t="s">
        <v>46</v>
      </c>
      <c r="H977" s="63" t="s">
        <v>45</v>
      </c>
      <c r="I977" s="63">
        <v>0</v>
      </c>
      <c r="J977" s="63">
        <v>0</v>
      </c>
      <c r="L977" s="63">
        <v>58</v>
      </c>
      <c r="M977" s="63">
        <v>1.2E-2</v>
      </c>
      <c r="N977" s="63">
        <v>53.872999999999998</v>
      </c>
      <c r="O977" s="64">
        <v>1.2026999999999999E-2</v>
      </c>
    </row>
    <row r="978" spans="1:15" x14ac:dyDescent="0.25">
      <c r="A978" s="114" t="s">
        <v>2079</v>
      </c>
      <c r="B978" s="63" t="s">
        <v>52</v>
      </c>
      <c r="C978" s="63" t="s">
        <v>7</v>
      </c>
      <c r="D978" s="63">
        <v>0</v>
      </c>
      <c r="E978" s="63">
        <v>10</v>
      </c>
      <c r="F978" s="63">
        <v>0.1</v>
      </c>
      <c r="G978" s="63" t="s">
        <v>46</v>
      </c>
      <c r="H978" s="63" t="s">
        <v>68</v>
      </c>
      <c r="I978" s="63">
        <v>0</v>
      </c>
      <c r="J978" s="63">
        <v>0</v>
      </c>
      <c r="L978" s="63">
        <v>57736</v>
      </c>
      <c r="M978" s="63">
        <v>4.9352E-2</v>
      </c>
      <c r="N978" s="63">
        <v>57736</v>
      </c>
      <c r="O978" s="64">
        <v>4.7080999999999998E-2</v>
      </c>
    </row>
    <row r="979" spans="1:15" x14ac:dyDescent="0.25">
      <c r="A979" s="114" t="s">
        <v>2080</v>
      </c>
      <c r="B979" s="63" t="s">
        <v>52</v>
      </c>
      <c r="C979" s="63" t="s">
        <v>7</v>
      </c>
      <c r="D979" s="63">
        <v>10</v>
      </c>
      <c r="E979" s="63">
        <v>100</v>
      </c>
      <c r="F979" s="63">
        <v>0.1</v>
      </c>
      <c r="G979" s="63" t="s">
        <v>46</v>
      </c>
      <c r="H979" s="63" t="s">
        <v>68</v>
      </c>
      <c r="I979" s="63">
        <v>0</v>
      </c>
      <c r="J979" s="63">
        <v>0</v>
      </c>
      <c r="L979" s="63">
        <v>57737</v>
      </c>
      <c r="M979" s="63">
        <v>0.32668999999999998</v>
      </c>
      <c r="N979" s="63">
        <v>57737</v>
      </c>
      <c r="O979" s="64">
        <v>0.32628000000000001</v>
      </c>
    </row>
    <row r="980" spans="1:15" x14ac:dyDescent="0.25">
      <c r="A980" s="114" t="s">
        <v>2081</v>
      </c>
      <c r="B980" s="63" t="s">
        <v>52</v>
      </c>
      <c r="C980" s="63" t="s">
        <v>7</v>
      </c>
      <c r="D980" s="63">
        <v>100</v>
      </c>
      <c r="E980" s="63">
        <v>1000</v>
      </c>
      <c r="F980" s="63">
        <v>0.1</v>
      </c>
      <c r="G980" s="63" t="s">
        <v>46</v>
      </c>
      <c r="H980" s="63" t="s">
        <v>68</v>
      </c>
      <c r="I980" s="63">
        <v>0</v>
      </c>
      <c r="J980" s="63">
        <v>0</v>
      </c>
      <c r="L980" s="63">
        <v>57619</v>
      </c>
      <c r="M980" s="63">
        <v>1.4298999999999999</v>
      </c>
      <c r="N980" s="63">
        <v>57619</v>
      </c>
      <c r="O980" s="64">
        <v>1.4287000000000001</v>
      </c>
    </row>
    <row r="981" spans="1:15" x14ac:dyDescent="0.25">
      <c r="A981" s="114" t="s">
        <v>2082</v>
      </c>
      <c r="B981" s="63" t="s">
        <v>52</v>
      </c>
      <c r="C981" s="63" t="s">
        <v>7</v>
      </c>
      <c r="D981" s="63">
        <v>1000</v>
      </c>
      <c r="E981" s="63">
        <v>10000</v>
      </c>
      <c r="F981" s="63">
        <v>0.1</v>
      </c>
      <c r="G981" s="63" t="s">
        <v>46</v>
      </c>
      <c r="H981" s="63" t="s">
        <v>45</v>
      </c>
      <c r="I981" s="63">
        <v>0</v>
      </c>
      <c r="J981" s="63">
        <v>0</v>
      </c>
      <c r="L981" s="63">
        <v>52.024000000000001</v>
      </c>
      <c r="M981" s="63">
        <v>8.3239000000000004E-3</v>
      </c>
      <c r="N981" s="63">
        <v>52.009</v>
      </c>
      <c r="O981" s="64">
        <v>8.3230999999999999E-3</v>
      </c>
    </row>
    <row r="982" spans="1:15" x14ac:dyDescent="0.25">
      <c r="A982" s="114" t="s">
        <v>2083</v>
      </c>
      <c r="B982" s="63" t="s">
        <v>52</v>
      </c>
      <c r="C982" s="63" t="s">
        <v>7</v>
      </c>
      <c r="D982" s="63">
        <v>10000</v>
      </c>
      <c r="E982" s="63">
        <v>100000</v>
      </c>
      <c r="F982" s="63">
        <v>0.1</v>
      </c>
      <c r="G982" s="63" t="s">
        <v>46</v>
      </c>
      <c r="H982" s="63" t="s">
        <v>45</v>
      </c>
      <c r="I982" s="63">
        <v>0</v>
      </c>
      <c r="J982" s="63">
        <v>0</v>
      </c>
      <c r="L982" s="63">
        <v>64.108000000000004</v>
      </c>
      <c r="M982" s="63">
        <v>1.1939E-2</v>
      </c>
      <c r="N982" s="63">
        <v>63.985999999999997</v>
      </c>
      <c r="O982" s="64">
        <v>1.1939E-2</v>
      </c>
    </row>
    <row r="983" spans="1:15" x14ac:dyDescent="0.25">
      <c r="A983" s="114" t="s">
        <v>2084</v>
      </c>
      <c r="B983" s="63" t="s">
        <v>52</v>
      </c>
      <c r="C983" s="63" t="s">
        <v>7</v>
      </c>
      <c r="D983" s="63">
        <v>100000</v>
      </c>
      <c r="E983" s="63">
        <v>1000000</v>
      </c>
      <c r="F983" s="63">
        <v>0.1</v>
      </c>
      <c r="G983" s="63" t="s">
        <v>46</v>
      </c>
      <c r="H983" s="63" t="s">
        <v>46</v>
      </c>
      <c r="I983" s="63">
        <v>0</v>
      </c>
      <c r="J983" s="63">
        <v>0</v>
      </c>
      <c r="L983" s="63">
        <v>2.2999999999999998</v>
      </c>
      <c r="M983" s="63">
        <v>1.8E-5</v>
      </c>
      <c r="N983" s="63">
        <v>2.2686999999999999</v>
      </c>
      <c r="O983" s="64">
        <v>1.7870999999999999E-5</v>
      </c>
    </row>
    <row r="984" spans="1:15" x14ac:dyDescent="0.25">
      <c r="A984" s="114" t="s">
        <v>2085</v>
      </c>
      <c r="B984" s="63" t="s">
        <v>52</v>
      </c>
      <c r="C984" s="63" t="s">
        <v>7</v>
      </c>
      <c r="D984" s="63">
        <v>0</v>
      </c>
      <c r="E984" s="63">
        <v>10</v>
      </c>
      <c r="F984" s="63">
        <v>1</v>
      </c>
      <c r="G984" s="63" t="s">
        <v>46</v>
      </c>
      <c r="H984" s="63" t="s">
        <v>68</v>
      </c>
      <c r="I984" s="63">
        <v>0</v>
      </c>
      <c r="J984" s="63">
        <v>0</v>
      </c>
      <c r="L984" s="63">
        <v>577360</v>
      </c>
      <c r="M984" s="63">
        <v>5.6165E-3</v>
      </c>
      <c r="N984" s="63">
        <v>577360</v>
      </c>
      <c r="O984" s="64">
        <v>4.7080999999999998E-3</v>
      </c>
    </row>
    <row r="985" spans="1:15" x14ac:dyDescent="0.25">
      <c r="A985" s="114" t="s">
        <v>2086</v>
      </c>
      <c r="B985" s="63" t="s">
        <v>52</v>
      </c>
      <c r="C985" s="63" t="s">
        <v>7</v>
      </c>
      <c r="D985" s="63">
        <v>10</v>
      </c>
      <c r="E985" s="63">
        <v>100</v>
      </c>
      <c r="F985" s="63">
        <v>1</v>
      </c>
      <c r="G985" s="63" t="s">
        <v>46</v>
      </c>
      <c r="H985" s="63" t="s">
        <v>68</v>
      </c>
      <c r="I985" s="63">
        <v>0</v>
      </c>
      <c r="J985" s="63">
        <v>0</v>
      </c>
      <c r="L985" s="63">
        <v>577360</v>
      </c>
      <c r="M985" s="63">
        <v>3.2801999999999998E-2</v>
      </c>
      <c r="N985" s="63">
        <v>577350</v>
      </c>
      <c r="O985" s="64">
        <v>3.2639000000000001E-2</v>
      </c>
    </row>
    <row r="986" spans="1:15" x14ac:dyDescent="0.25">
      <c r="A986" s="114" t="s">
        <v>2087</v>
      </c>
      <c r="B986" s="63" t="s">
        <v>52</v>
      </c>
      <c r="C986" s="63" t="s">
        <v>7</v>
      </c>
      <c r="D986" s="63">
        <v>100</v>
      </c>
      <c r="E986" s="63">
        <v>1000</v>
      </c>
      <c r="F986" s="63">
        <v>1</v>
      </c>
      <c r="G986" s="63" t="s">
        <v>46</v>
      </c>
      <c r="H986" s="63" t="s">
        <v>68</v>
      </c>
      <c r="I986" s="63">
        <v>0</v>
      </c>
      <c r="J986" s="63">
        <v>0</v>
      </c>
      <c r="L986" s="63">
        <v>577340</v>
      </c>
      <c r="M986" s="63">
        <v>0.14501</v>
      </c>
      <c r="N986" s="63">
        <v>577340</v>
      </c>
      <c r="O986" s="64">
        <v>0.14451</v>
      </c>
    </row>
    <row r="987" spans="1:15" x14ac:dyDescent="0.25">
      <c r="A987" s="114" t="s">
        <v>2088</v>
      </c>
      <c r="B987" s="63" t="s">
        <v>52</v>
      </c>
      <c r="C987" s="63" t="s">
        <v>7</v>
      </c>
      <c r="D987" s="63">
        <v>1000</v>
      </c>
      <c r="E987" s="63">
        <v>10000</v>
      </c>
      <c r="F987" s="63">
        <v>1</v>
      </c>
      <c r="G987" s="63" t="s">
        <v>46</v>
      </c>
      <c r="H987" s="63" t="s">
        <v>45</v>
      </c>
      <c r="I987" s="63">
        <v>0</v>
      </c>
      <c r="J987" s="63">
        <v>0</v>
      </c>
      <c r="L987" s="63">
        <v>576.23</v>
      </c>
      <c r="M987" s="63">
        <v>1.3955E-3</v>
      </c>
      <c r="N987" s="63">
        <v>576.23</v>
      </c>
      <c r="O987" s="64">
        <v>1.3939E-3</v>
      </c>
    </row>
    <row r="988" spans="1:15" x14ac:dyDescent="0.25">
      <c r="A988" s="114" t="s">
        <v>2375</v>
      </c>
      <c r="B988" s="63" t="s">
        <v>52</v>
      </c>
      <c r="C988" s="63" t="s">
        <v>7</v>
      </c>
      <c r="D988" s="63">
        <v>10000</v>
      </c>
      <c r="E988" s="63">
        <v>100000</v>
      </c>
      <c r="F988" s="63">
        <v>1</v>
      </c>
      <c r="G988" s="63" t="s">
        <v>46</v>
      </c>
      <c r="H988" s="63" t="s">
        <v>45</v>
      </c>
      <c r="I988" s="63">
        <v>0</v>
      </c>
      <c r="J988" s="63">
        <v>0</v>
      </c>
      <c r="L988" s="63">
        <v>516.51</v>
      </c>
      <c r="M988" s="63">
        <v>8.6656000000000007E-3</v>
      </c>
      <c r="N988" s="63">
        <v>516.37</v>
      </c>
      <c r="O988" s="64">
        <v>8.6648999999999997E-3</v>
      </c>
    </row>
    <row r="989" spans="1:15" x14ac:dyDescent="0.25">
      <c r="A989" s="114" t="s">
        <v>2089</v>
      </c>
      <c r="B989" s="63" t="s">
        <v>52</v>
      </c>
      <c r="C989" s="63" t="s">
        <v>7</v>
      </c>
      <c r="D989" s="63">
        <v>100000</v>
      </c>
      <c r="E989" s="63">
        <v>1000000</v>
      </c>
      <c r="F989" s="63">
        <v>1</v>
      </c>
      <c r="G989" s="63" t="s">
        <v>46</v>
      </c>
      <c r="H989" s="63" t="s">
        <v>46</v>
      </c>
      <c r="I989" s="63">
        <v>0</v>
      </c>
      <c r="J989" s="63">
        <v>0</v>
      </c>
      <c r="L989" s="63">
        <v>2.2999999999999998</v>
      </c>
      <c r="M989" s="63">
        <v>1.8E-5</v>
      </c>
      <c r="N989" s="63">
        <v>2.3129</v>
      </c>
      <c r="O989" s="64">
        <v>1.7835000000000001E-5</v>
      </c>
    </row>
    <row r="990" spans="1:15" x14ac:dyDescent="0.25">
      <c r="A990" s="114" t="s">
        <v>2090</v>
      </c>
      <c r="B990" s="63" t="s">
        <v>52</v>
      </c>
      <c r="C990" s="63" t="s">
        <v>7</v>
      </c>
      <c r="D990" s="63">
        <v>1000000</v>
      </c>
      <c r="E990" s="63">
        <v>10000000</v>
      </c>
      <c r="F990" s="63">
        <v>1</v>
      </c>
      <c r="G990" s="63" t="s">
        <v>46</v>
      </c>
      <c r="H990" s="63" t="s">
        <v>46</v>
      </c>
      <c r="I990" s="63">
        <v>0</v>
      </c>
      <c r="J990" s="63">
        <v>0</v>
      </c>
      <c r="L990" s="63">
        <v>120</v>
      </c>
      <c r="M990" s="63">
        <v>5.8999999999999998E-5</v>
      </c>
      <c r="N990" s="63">
        <v>115.5</v>
      </c>
      <c r="O990" s="64">
        <v>5.7738999999999997E-5</v>
      </c>
    </row>
    <row r="991" spans="1:15" x14ac:dyDescent="0.25">
      <c r="A991" s="114" t="s">
        <v>2091</v>
      </c>
      <c r="B991" s="63" t="s">
        <v>52</v>
      </c>
      <c r="C991" s="63" t="s">
        <v>7</v>
      </c>
      <c r="D991" s="63">
        <v>0</v>
      </c>
      <c r="E991" s="63">
        <v>10</v>
      </c>
      <c r="F991" s="63">
        <v>10</v>
      </c>
      <c r="G991" s="63" t="s">
        <v>46</v>
      </c>
      <c r="H991" s="63" t="s">
        <v>68</v>
      </c>
      <c r="I991" s="63">
        <v>0</v>
      </c>
      <c r="J991" s="63">
        <v>0</v>
      </c>
      <c r="L991" s="63">
        <v>5773600</v>
      </c>
      <c r="M991" s="63">
        <v>8.3416999999999996E-4</v>
      </c>
      <c r="N991" s="63">
        <v>5773600</v>
      </c>
      <c r="O991" s="64">
        <v>4.7081E-4</v>
      </c>
    </row>
    <row r="992" spans="1:15" x14ac:dyDescent="0.25">
      <c r="A992" s="114" t="s">
        <v>2092</v>
      </c>
      <c r="B992" s="63" t="s">
        <v>52</v>
      </c>
      <c r="C992" s="63" t="s">
        <v>7</v>
      </c>
      <c r="D992" s="63">
        <v>100</v>
      </c>
      <c r="E992" s="63">
        <v>1000</v>
      </c>
      <c r="F992" s="63">
        <v>10</v>
      </c>
      <c r="G992" s="63" t="s">
        <v>46</v>
      </c>
      <c r="H992" s="63" t="s">
        <v>68</v>
      </c>
      <c r="I992" s="63">
        <v>0</v>
      </c>
      <c r="J992" s="63">
        <v>0</v>
      </c>
      <c r="L992" s="63">
        <v>5773600</v>
      </c>
      <c r="M992" s="63">
        <v>1.4652999999999999E-2</v>
      </c>
      <c r="N992" s="63">
        <v>5773500</v>
      </c>
      <c r="O992" s="64">
        <v>1.4453000000000001E-2</v>
      </c>
    </row>
    <row r="993" spans="1:15" x14ac:dyDescent="0.25">
      <c r="A993" s="114" t="s">
        <v>2093</v>
      </c>
      <c r="B993" s="63" t="s">
        <v>52</v>
      </c>
      <c r="C993" s="63" t="s">
        <v>7</v>
      </c>
      <c r="D993" s="63">
        <v>1000</v>
      </c>
      <c r="E993" s="63">
        <v>10000</v>
      </c>
      <c r="F993" s="63">
        <v>10</v>
      </c>
      <c r="G993" s="63" t="s">
        <v>46</v>
      </c>
      <c r="H993" s="63" t="s">
        <v>45</v>
      </c>
      <c r="I993" s="63">
        <v>0</v>
      </c>
      <c r="J993" s="63">
        <v>0</v>
      </c>
      <c r="L993" s="63">
        <v>5773.4</v>
      </c>
      <c r="M993" s="63">
        <v>1.416E-4</v>
      </c>
      <c r="N993" s="63">
        <v>5773.4</v>
      </c>
      <c r="O993" s="64">
        <v>1.4095000000000001E-4</v>
      </c>
    </row>
    <row r="994" spans="1:15" x14ac:dyDescent="0.25">
      <c r="A994" s="114" t="s">
        <v>2094</v>
      </c>
      <c r="B994" s="63" t="s">
        <v>52</v>
      </c>
      <c r="C994" s="63" t="s">
        <v>7</v>
      </c>
      <c r="D994" s="63">
        <v>10000</v>
      </c>
      <c r="E994" s="63">
        <v>100000</v>
      </c>
      <c r="F994" s="63">
        <v>10</v>
      </c>
      <c r="G994" s="63" t="s">
        <v>46</v>
      </c>
      <c r="H994" s="63" t="s">
        <v>45</v>
      </c>
      <c r="I994" s="63">
        <v>0</v>
      </c>
      <c r="J994" s="63">
        <v>0</v>
      </c>
      <c r="L994" s="63">
        <v>5761.5</v>
      </c>
      <c r="M994" s="63">
        <v>1.4741999999999999E-3</v>
      </c>
      <c r="N994" s="63">
        <v>5761.5</v>
      </c>
      <c r="O994" s="64">
        <v>1.4725999999999999E-3</v>
      </c>
    </row>
    <row r="995" spans="1:15" x14ac:dyDescent="0.25">
      <c r="A995" s="114" t="s">
        <v>2376</v>
      </c>
      <c r="B995" s="63" t="s">
        <v>52</v>
      </c>
      <c r="C995" s="63" t="s">
        <v>7</v>
      </c>
      <c r="D995" s="63">
        <v>100000</v>
      </c>
      <c r="E995" s="63">
        <v>1000000</v>
      </c>
      <c r="F995" s="63">
        <v>10</v>
      </c>
      <c r="G995" s="63" t="s">
        <v>46</v>
      </c>
      <c r="H995" s="63" t="s">
        <v>46</v>
      </c>
      <c r="I995" s="63">
        <v>0</v>
      </c>
      <c r="J995" s="63">
        <v>0</v>
      </c>
      <c r="L995" s="63">
        <v>5.5163000000000002</v>
      </c>
      <c r="M995" s="63">
        <v>1.5438E-5</v>
      </c>
      <c r="N995" s="63">
        <v>5.5115999999999996</v>
      </c>
      <c r="O995" s="64">
        <v>1.5438999999999999E-5</v>
      </c>
    </row>
    <row r="996" spans="1:15" x14ac:dyDescent="0.25">
      <c r="A996" s="114" t="s">
        <v>2095</v>
      </c>
      <c r="B996" s="63" t="s">
        <v>52</v>
      </c>
      <c r="C996" s="63" t="s">
        <v>7</v>
      </c>
      <c r="D996" s="63">
        <v>1000000</v>
      </c>
      <c r="E996" s="63">
        <v>10000000</v>
      </c>
      <c r="F996" s="63">
        <v>10</v>
      </c>
      <c r="G996" s="63" t="s">
        <v>46</v>
      </c>
      <c r="H996" s="63" t="s">
        <v>46</v>
      </c>
      <c r="I996" s="63">
        <v>0</v>
      </c>
      <c r="J996" s="63">
        <v>0</v>
      </c>
      <c r="L996" s="63">
        <v>120</v>
      </c>
      <c r="M996" s="63">
        <v>5.8999999999999998E-5</v>
      </c>
      <c r="N996" s="63">
        <v>115.61</v>
      </c>
      <c r="O996" s="64">
        <v>5.7731E-5</v>
      </c>
    </row>
    <row r="997" spans="1:15" x14ac:dyDescent="0.25">
      <c r="A997" s="114" t="s">
        <v>2096</v>
      </c>
      <c r="B997" s="63" t="s">
        <v>52</v>
      </c>
      <c r="C997" s="63" t="s">
        <v>7</v>
      </c>
      <c r="D997" s="63">
        <v>10000000</v>
      </c>
      <c r="E997" s="63">
        <v>100000000</v>
      </c>
      <c r="F997" s="63">
        <v>10</v>
      </c>
      <c r="G997" s="63" t="s">
        <v>46</v>
      </c>
      <c r="H997" s="63" t="s">
        <v>47</v>
      </c>
      <c r="I997" s="63">
        <v>0</v>
      </c>
      <c r="J997" s="63">
        <v>0</v>
      </c>
      <c r="L997" s="63">
        <v>1.2</v>
      </c>
      <c r="M997" s="63">
        <v>5.7999999999999995E-7</v>
      </c>
      <c r="N997" s="63">
        <v>1.1508</v>
      </c>
      <c r="O997" s="64">
        <v>5.778E-7</v>
      </c>
    </row>
    <row r="998" spans="1:15" x14ac:dyDescent="0.25">
      <c r="A998" s="114" t="s">
        <v>2377</v>
      </c>
      <c r="B998" s="63" t="s">
        <v>52</v>
      </c>
      <c r="C998" s="63" t="s">
        <v>7</v>
      </c>
      <c r="D998" s="63">
        <v>0</v>
      </c>
      <c r="E998" s="63">
        <v>10</v>
      </c>
      <c r="F998" s="63">
        <v>100</v>
      </c>
      <c r="G998" s="63" t="s">
        <v>46</v>
      </c>
      <c r="H998" s="63" t="s">
        <v>68</v>
      </c>
      <c r="I998" s="63">
        <v>0</v>
      </c>
      <c r="J998" s="63">
        <v>0</v>
      </c>
      <c r="L998" s="63">
        <v>57736000</v>
      </c>
      <c r="M998" s="63">
        <v>1.9242E-4</v>
      </c>
      <c r="N998" s="63">
        <v>57736000</v>
      </c>
      <c r="O998" s="64">
        <v>4.7080000000000003E-5</v>
      </c>
    </row>
    <row r="999" spans="1:15" x14ac:dyDescent="0.25">
      <c r="A999" s="114" t="s">
        <v>2378</v>
      </c>
      <c r="B999" s="63" t="s">
        <v>52</v>
      </c>
      <c r="C999" s="63" t="s">
        <v>7</v>
      </c>
      <c r="D999" s="63">
        <v>1000</v>
      </c>
      <c r="E999" s="63">
        <v>10000</v>
      </c>
      <c r="F999" s="63">
        <v>100</v>
      </c>
      <c r="G999" s="63" t="s">
        <v>46</v>
      </c>
      <c r="H999" s="63" t="s">
        <v>45</v>
      </c>
      <c r="I999" s="63">
        <v>0</v>
      </c>
      <c r="J999" s="63">
        <v>0</v>
      </c>
      <c r="L999" s="63">
        <v>57736</v>
      </c>
      <c r="M999" s="63">
        <v>1.4357E-5</v>
      </c>
      <c r="N999" s="63">
        <v>57735</v>
      </c>
      <c r="O999" s="64">
        <v>1.4097000000000001E-5</v>
      </c>
    </row>
    <row r="1000" spans="1:15" x14ac:dyDescent="0.25">
      <c r="A1000" s="114" t="s">
        <v>2097</v>
      </c>
      <c r="B1000" s="63" t="s">
        <v>52</v>
      </c>
      <c r="C1000" s="63" t="s">
        <v>7</v>
      </c>
      <c r="D1000" s="63">
        <v>10000</v>
      </c>
      <c r="E1000" s="63">
        <v>100000</v>
      </c>
      <c r="F1000" s="63">
        <v>100</v>
      </c>
      <c r="G1000" s="63" t="s">
        <v>46</v>
      </c>
      <c r="H1000" s="63" t="s">
        <v>45</v>
      </c>
      <c r="I1000" s="63">
        <v>0</v>
      </c>
      <c r="J1000" s="63">
        <v>0</v>
      </c>
      <c r="L1000" s="63">
        <v>57734</v>
      </c>
      <c r="M1000" s="63">
        <v>1.4965000000000001E-4</v>
      </c>
      <c r="N1000" s="63">
        <v>57734</v>
      </c>
      <c r="O1000" s="64">
        <v>1.4899999999999999E-4</v>
      </c>
    </row>
    <row r="1001" spans="1:15" x14ac:dyDescent="0.25">
      <c r="A1001" s="114" t="s">
        <v>2098</v>
      </c>
      <c r="B1001" s="63" t="s">
        <v>52</v>
      </c>
      <c r="C1001" s="63" t="s">
        <v>7</v>
      </c>
      <c r="D1001" s="63">
        <v>100000</v>
      </c>
      <c r="E1001" s="63">
        <v>1000000</v>
      </c>
      <c r="F1001" s="63">
        <v>100</v>
      </c>
      <c r="G1001" s="63" t="s">
        <v>46</v>
      </c>
      <c r="H1001" s="63" t="s">
        <v>46</v>
      </c>
      <c r="I1001" s="63">
        <v>0</v>
      </c>
      <c r="J1001" s="63">
        <v>0</v>
      </c>
      <c r="L1001" s="63">
        <v>57.515999999999998</v>
      </c>
      <c r="M1001" s="63">
        <v>3.6360999999999998E-6</v>
      </c>
      <c r="N1001" s="63">
        <v>57.515000000000001</v>
      </c>
      <c r="O1001" s="64">
        <v>3.6327E-6</v>
      </c>
    </row>
    <row r="1002" spans="1:15" x14ac:dyDescent="0.25">
      <c r="A1002" s="114" t="s">
        <v>2099</v>
      </c>
      <c r="B1002" s="63" t="s">
        <v>52</v>
      </c>
      <c r="C1002" s="63" t="s">
        <v>7</v>
      </c>
      <c r="D1002" s="63">
        <v>1000000</v>
      </c>
      <c r="E1002" s="63">
        <v>10000000</v>
      </c>
      <c r="F1002" s="63">
        <v>100</v>
      </c>
      <c r="G1002" s="63" t="s">
        <v>46</v>
      </c>
      <c r="H1002" s="63" t="s">
        <v>46</v>
      </c>
      <c r="I1002" s="63">
        <v>0</v>
      </c>
      <c r="J1002" s="63">
        <v>0</v>
      </c>
      <c r="L1002" s="63">
        <v>124.34</v>
      </c>
      <c r="M1002" s="63">
        <v>5.8566999999999997E-5</v>
      </c>
      <c r="N1002" s="63">
        <v>125.65</v>
      </c>
      <c r="O1002" s="64">
        <v>5.6965000000000001E-5</v>
      </c>
    </row>
    <row r="1003" spans="1:15" x14ac:dyDescent="0.25">
      <c r="A1003" s="114" t="s">
        <v>2100</v>
      </c>
      <c r="B1003" s="63" t="s">
        <v>52</v>
      </c>
      <c r="C1003" s="63" t="s">
        <v>7</v>
      </c>
      <c r="D1003" s="63">
        <v>10000000</v>
      </c>
      <c r="E1003" s="63">
        <v>100000000</v>
      </c>
      <c r="F1003" s="63">
        <v>100</v>
      </c>
      <c r="G1003" s="63" t="s">
        <v>46</v>
      </c>
      <c r="H1003" s="63" t="s">
        <v>47</v>
      </c>
      <c r="I1003" s="63">
        <v>0</v>
      </c>
      <c r="J1003" s="63">
        <v>0</v>
      </c>
      <c r="L1003" s="63">
        <v>1.2</v>
      </c>
      <c r="M1003" s="63">
        <v>5.7999999999999995E-7</v>
      </c>
      <c r="N1003" s="63">
        <v>1.1511</v>
      </c>
      <c r="O1003" s="64">
        <v>5.778E-7</v>
      </c>
    </row>
    <row r="1004" spans="1:15" x14ac:dyDescent="0.25">
      <c r="A1004" s="114" t="s">
        <v>2379</v>
      </c>
      <c r="B1004" s="63" t="s">
        <v>52</v>
      </c>
      <c r="C1004" s="63" t="s">
        <v>7</v>
      </c>
      <c r="D1004" s="63">
        <v>100000000</v>
      </c>
      <c r="E1004" s="63">
        <v>1000000000</v>
      </c>
      <c r="F1004" s="63">
        <v>100</v>
      </c>
      <c r="G1004" s="63" t="s">
        <v>46</v>
      </c>
      <c r="H1004" s="63" t="s">
        <v>47</v>
      </c>
      <c r="I1004" s="63">
        <v>0</v>
      </c>
      <c r="J1004" s="63">
        <v>0</v>
      </c>
      <c r="L1004" s="63">
        <v>12</v>
      </c>
      <c r="M1004" s="63">
        <v>5.8000000000000004E-6</v>
      </c>
      <c r="N1004" s="63">
        <v>11.592000000000001</v>
      </c>
      <c r="O1004" s="64">
        <v>5.7734999999999999E-6</v>
      </c>
    </row>
    <row r="1005" spans="1:15" x14ac:dyDescent="0.25">
      <c r="A1005" s="114" t="s">
        <v>2101</v>
      </c>
      <c r="B1005" s="63" t="s">
        <v>52</v>
      </c>
      <c r="C1005" s="63" t="s">
        <v>7</v>
      </c>
      <c r="D1005" s="63">
        <v>0</v>
      </c>
      <c r="E1005" s="63">
        <v>10</v>
      </c>
      <c r="F1005" s="63">
        <v>1000</v>
      </c>
      <c r="G1005" s="63" t="s">
        <v>46</v>
      </c>
      <c r="H1005" s="63" t="s">
        <v>68</v>
      </c>
      <c r="I1005" s="63">
        <v>0</v>
      </c>
      <c r="J1005" s="63">
        <v>0</v>
      </c>
      <c r="L1005" s="63">
        <v>577360000</v>
      </c>
      <c r="M1005" s="63">
        <v>6.2849999999999996E-5</v>
      </c>
      <c r="N1005" s="63">
        <v>577360000</v>
      </c>
      <c r="O1005" s="64">
        <v>4.7021000000000003E-6</v>
      </c>
    </row>
    <row r="1006" spans="1:15" x14ac:dyDescent="0.25">
      <c r="A1006" s="114" t="s">
        <v>2102</v>
      </c>
      <c r="B1006" s="63" t="s">
        <v>52</v>
      </c>
      <c r="C1006" s="63" t="s">
        <v>7</v>
      </c>
      <c r="D1006" s="63">
        <v>10000</v>
      </c>
      <c r="E1006" s="63">
        <v>100000</v>
      </c>
      <c r="F1006" s="63">
        <v>1000</v>
      </c>
      <c r="G1006" s="63" t="s">
        <v>46</v>
      </c>
      <c r="H1006" s="63" t="s">
        <v>45</v>
      </c>
      <c r="I1006" s="63">
        <v>0</v>
      </c>
      <c r="J1006" s="63">
        <v>0</v>
      </c>
      <c r="L1006" s="63">
        <v>577360</v>
      </c>
      <c r="M1006" s="63">
        <v>1.5162E-5</v>
      </c>
      <c r="N1006" s="63">
        <v>577350</v>
      </c>
      <c r="O1006" s="64">
        <v>1.4902000000000001E-5</v>
      </c>
    </row>
    <row r="1007" spans="1:15" x14ac:dyDescent="0.25">
      <c r="A1007" s="114" t="s">
        <v>2103</v>
      </c>
      <c r="B1007" s="63" t="s">
        <v>52</v>
      </c>
      <c r="C1007" s="63" t="s">
        <v>7</v>
      </c>
      <c r="D1007" s="63">
        <v>100000</v>
      </c>
      <c r="E1007" s="63">
        <v>1000000</v>
      </c>
      <c r="F1007" s="63">
        <v>1000</v>
      </c>
      <c r="G1007" s="63" t="s">
        <v>46</v>
      </c>
      <c r="H1007" s="63" t="s">
        <v>46</v>
      </c>
      <c r="I1007" s="63">
        <v>0</v>
      </c>
      <c r="J1007" s="63">
        <v>0</v>
      </c>
      <c r="L1007" s="63">
        <v>577.33000000000004</v>
      </c>
      <c r="M1007" s="63">
        <v>3.7584000000000001E-7</v>
      </c>
      <c r="N1007" s="63">
        <v>577.33000000000004</v>
      </c>
      <c r="O1007" s="64">
        <v>3.7432999999999999E-7</v>
      </c>
    </row>
    <row r="1008" spans="1:15" x14ac:dyDescent="0.25">
      <c r="A1008" s="114" t="s">
        <v>2104</v>
      </c>
      <c r="B1008" s="63" t="s">
        <v>52</v>
      </c>
      <c r="C1008" s="63" t="s">
        <v>7</v>
      </c>
      <c r="D1008" s="63">
        <v>1000000</v>
      </c>
      <c r="E1008" s="63">
        <v>10000000</v>
      </c>
      <c r="F1008" s="63">
        <v>1000</v>
      </c>
      <c r="G1008" s="63" t="s">
        <v>46</v>
      </c>
      <c r="H1008" s="63" t="s">
        <v>46</v>
      </c>
      <c r="I1008" s="63">
        <v>0</v>
      </c>
      <c r="J1008" s="63">
        <v>0</v>
      </c>
      <c r="L1008" s="63">
        <v>569.84</v>
      </c>
      <c r="M1008" s="63">
        <v>3.3312999999999998E-5</v>
      </c>
      <c r="N1008" s="63">
        <v>569.54999999999995</v>
      </c>
      <c r="O1008" s="64">
        <v>3.3235999999999998E-5</v>
      </c>
    </row>
    <row r="1009" spans="1:15" x14ac:dyDescent="0.25">
      <c r="A1009" s="114" t="s">
        <v>2380</v>
      </c>
      <c r="B1009" s="63" t="s">
        <v>52</v>
      </c>
      <c r="C1009" s="63" t="s">
        <v>7</v>
      </c>
      <c r="D1009" s="63">
        <v>10000000</v>
      </c>
      <c r="E1009" s="63">
        <v>100000000</v>
      </c>
      <c r="F1009" s="63">
        <v>1000</v>
      </c>
      <c r="G1009" s="63" t="s">
        <v>46</v>
      </c>
      <c r="H1009" s="63" t="s">
        <v>47</v>
      </c>
      <c r="I1009" s="63">
        <v>0</v>
      </c>
      <c r="J1009" s="63">
        <v>0</v>
      </c>
      <c r="L1009" s="63">
        <v>1.2</v>
      </c>
      <c r="M1009" s="63">
        <v>5.7999999999999995E-7</v>
      </c>
      <c r="N1009" s="63">
        <v>1.1777</v>
      </c>
      <c r="O1009" s="64">
        <v>5.7756000000000004E-7</v>
      </c>
    </row>
    <row r="1010" spans="1:15" x14ac:dyDescent="0.25">
      <c r="A1010" s="114" t="s">
        <v>2105</v>
      </c>
      <c r="B1010" s="63" t="s">
        <v>52</v>
      </c>
      <c r="C1010" s="63" t="s">
        <v>7</v>
      </c>
      <c r="D1010" s="63">
        <v>100000000</v>
      </c>
      <c r="E1010" s="63">
        <v>1000000000</v>
      </c>
      <c r="F1010" s="63">
        <v>1000</v>
      </c>
      <c r="G1010" s="63" t="s">
        <v>46</v>
      </c>
      <c r="H1010" s="63" t="s">
        <v>47</v>
      </c>
      <c r="I1010" s="63">
        <v>0</v>
      </c>
      <c r="J1010" s="63">
        <v>0</v>
      </c>
      <c r="L1010" s="63">
        <v>12</v>
      </c>
      <c r="M1010" s="63">
        <v>5.8000000000000004E-6</v>
      </c>
      <c r="N1010" s="63">
        <v>11.592000000000001</v>
      </c>
      <c r="O1010" s="64">
        <v>5.7734999999999999E-6</v>
      </c>
    </row>
    <row r="1011" spans="1:15" x14ac:dyDescent="0.25">
      <c r="A1011" s="114" t="s">
        <v>2106</v>
      </c>
      <c r="B1011" s="63" t="s">
        <v>52</v>
      </c>
      <c r="C1011" s="63" t="s">
        <v>7</v>
      </c>
      <c r="D1011" s="63">
        <v>0</v>
      </c>
      <c r="E1011" s="63">
        <v>10</v>
      </c>
      <c r="F1011" s="63">
        <v>10000</v>
      </c>
      <c r="G1011" s="63" t="s">
        <v>46</v>
      </c>
      <c r="H1011" s="63" t="s">
        <v>68</v>
      </c>
      <c r="I1011" s="63">
        <v>0</v>
      </c>
      <c r="J1011" s="63">
        <v>0</v>
      </c>
      <c r="L1011" s="63">
        <v>5773600000</v>
      </c>
      <c r="M1011" s="63">
        <v>2.3736000000000001E-5</v>
      </c>
      <c r="N1011" s="63">
        <v>5773600000</v>
      </c>
      <c r="O1011" s="64">
        <v>0</v>
      </c>
    </row>
    <row r="1012" spans="1:15" x14ac:dyDescent="0.25">
      <c r="A1012" s="114" t="s">
        <v>2107</v>
      </c>
      <c r="B1012" s="63" t="s">
        <v>52</v>
      </c>
      <c r="C1012" s="63" t="s">
        <v>7</v>
      </c>
      <c r="D1012" s="63">
        <v>100000</v>
      </c>
      <c r="E1012" s="63">
        <v>1000000</v>
      </c>
      <c r="F1012" s="63">
        <v>10000</v>
      </c>
      <c r="G1012" s="63" t="s">
        <v>46</v>
      </c>
      <c r="H1012" s="63" t="s">
        <v>46</v>
      </c>
      <c r="I1012" s="63">
        <v>0</v>
      </c>
      <c r="J1012" s="63">
        <v>0</v>
      </c>
      <c r="L1012" s="63">
        <v>5773.6</v>
      </c>
      <c r="M1012" s="63">
        <v>3.8047999999999998E-8</v>
      </c>
      <c r="N1012" s="63">
        <v>5773.5</v>
      </c>
      <c r="O1012" s="64">
        <v>3.7445000000000002E-8</v>
      </c>
    </row>
    <row r="1013" spans="1:15" x14ac:dyDescent="0.25">
      <c r="A1013" s="114" t="s">
        <v>2381</v>
      </c>
      <c r="B1013" s="63" t="s">
        <v>52</v>
      </c>
      <c r="C1013" s="63" t="s">
        <v>7</v>
      </c>
      <c r="D1013" s="63">
        <v>1000000</v>
      </c>
      <c r="E1013" s="63">
        <v>10000000</v>
      </c>
      <c r="F1013" s="63">
        <v>10000</v>
      </c>
      <c r="G1013" s="63" t="s">
        <v>46</v>
      </c>
      <c r="H1013" s="63" t="s">
        <v>46</v>
      </c>
      <c r="I1013" s="63">
        <v>0</v>
      </c>
      <c r="J1013" s="63">
        <v>0</v>
      </c>
      <c r="L1013" s="63">
        <v>5771.9</v>
      </c>
      <c r="M1013" s="63">
        <v>4.3707999999999997E-6</v>
      </c>
      <c r="N1013" s="63">
        <v>5771.8</v>
      </c>
      <c r="O1013" s="64">
        <v>4.3144999999999999E-6</v>
      </c>
    </row>
    <row r="1014" spans="1:15" x14ac:dyDescent="0.25">
      <c r="A1014" s="114" t="s">
        <v>2108</v>
      </c>
      <c r="B1014" s="63" t="s">
        <v>52</v>
      </c>
      <c r="C1014" s="63" t="s">
        <v>7</v>
      </c>
      <c r="D1014" s="63">
        <v>10000000</v>
      </c>
      <c r="E1014" s="63">
        <v>100000000</v>
      </c>
      <c r="F1014" s="63">
        <v>10000</v>
      </c>
      <c r="G1014" s="63" t="s">
        <v>46</v>
      </c>
      <c r="H1014" s="63" t="s">
        <v>47</v>
      </c>
      <c r="I1014" s="63">
        <v>0</v>
      </c>
      <c r="J1014" s="63">
        <v>0</v>
      </c>
      <c r="L1014" s="63">
        <v>3.4529000000000001</v>
      </c>
      <c r="M1014" s="63">
        <v>5.5767999999999995E-7</v>
      </c>
      <c r="N1014" s="63">
        <v>3.4420000000000002</v>
      </c>
      <c r="O1014" s="64">
        <v>5.5771000000000004E-7</v>
      </c>
    </row>
    <row r="1015" spans="1:15" x14ac:dyDescent="0.25">
      <c r="A1015" s="114" t="s">
        <v>2382</v>
      </c>
      <c r="B1015" s="63" t="s">
        <v>52</v>
      </c>
      <c r="C1015" s="63" t="s">
        <v>7</v>
      </c>
      <c r="D1015" s="63">
        <v>100000000</v>
      </c>
      <c r="E1015" s="63">
        <v>1000000000</v>
      </c>
      <c r="F1015" s="63">
        <v>10000</v>
      </c>
      <c r="G1015" s="63" t="s">
        <v>46</v>
      </c>
      <c r="H1015" s="63" t="s">
        <v>47</v>
      </c>
      <c r="I1015" s="63">
        <v>0</v>
      </c>
      <c r="J1015" s="63">
        <v>0</v>
      </c>
      <c r="L1015" s="63">
        <v>12</v>
      </c>
      <c r="M1015" s="63">
        <v>5.8000000000000004E-6</v>
      </c>
      <c r="N1015" s="63">
        <v>11.595000000000001</v>
      </c>
      <c r="O1015" s="64">
        <v>5.7706999999999997E-6</v>
      </c>
    </row>
    <row r="1016" spans="1:15" x14ac:dyDescent="0.25">
      <c r="A1016" s="114" t="s">
        <v>2109</v>
      </c>
      <c r="B1016" s="63" t="s">
        <v>52</v>
      </c>
      <c r="C1016" s="63" t="s">
        <v>7</v>
      </c>
      <c r="D1016" s="63">
        <v>0</v>
      </c>
      <c r="E1016" s="63">
        <v>10</v>
      </c>
      <c r="F1016" s="63">
        <v>100000</v>
      </c>
      <c r="G1016" s="63" t="s">
        <v>46</v>
      </c>
      <c r="H1016" s="63" t="s">
        <v>68</v>
      </c>
      <c r="I1016" s="63">
        <v>0</v>
      </c>
      <c r="J1016" s="63">
        <v>0</v>
      </c>
      <c r="L1016" s="63">
        <v>57736000000</v>
      </c>
      <c r="M1016" s="63">
        <v>8.4771000000000005E-6</v>
      </c>
      <c r="N1016" s="63">
        <v>57736000000</v>
      </c>
      <c r="O1016" s="64">
        <v>0</v>
      </c>
    </row>
    <row r="1017" spans="1:15" x14ac:dyDescent="0.25">
      <c r="A1017" s="114" t="s">
        <v>2110</v>
      </c>
      <c r="B1017" s="63" t="s">
        <v>52</v>
      </c>
      <c r="C1017" s="63" t="s">
        <v>7</v>
      </c>
      <c r="D1017" s="63">
        <v>1000000</v>
      </c>
      <c r="E1017" s="63">
        <v>10000000</v>
      </c>
      <c r="F1017" s="63">
        <v>100000</v>
      </c>
      <c r="G1017" s="63" t="s">
        <v>46</v>
      </c>
      <c r="H1017" s="63" t="s">
        <v>46</v>
      </c>
      <c r="I1017" s="63">
        <v>0</v>
      </c>
      <c r="J1017" s="63">
        <v>0</v>
      </c>
      <c r="L1017" s="63">
        <v>57735</v>
      </c>
      <c r="M1017" s="63">
        <v>4.5578999999999998E-7</v>
      </c>
      <c r="N1017" s="63">
        <v>57731</v>
      </c>
      <c r="O1017" s="64">
        <v>4.3308000000000001E-7</v>
      </c>
    </row>
    <row r="1018" spans="1:15" x14ac:dyDescent="0.25">
      <c r="A1018" s="114" t="s">
        <v>2111</v>
      </c>
      <c r="B1018" s="63" t="s">
        <v>52</v>
      </c>
      <c r="C1018" s="63" t="s">
        <v>7</v>
      </c>
      <c r="D1018" s="63">
        <v>10000000</v>
      </c>
      <c r="E1018" s="63">
        <v>100000000</v>
      </c>
      <c r="F1018" s="63">
        <v>100000</v>
      </c>
      <c r="G1018" s="63" t="s">
        <v>46</v>
      </c>
      <c r="H1018" s="63" t="s">
        <v>47</v>
      </c>
      <c r="I1018" s="63">
        <v>0</v>
      </c>
      <c r="J1018" s="63">
        <v>0</v>
      </c>
      <c r="L1018" s="63">
        <v>55.448999999999998</v>
      </c>
      <c r="M1018" s="63">
        <v>2.7074E-7</v>
      </c>
      <c r="N1018" s="63">
        <v>55.444000000000003</v>
      </c>
      <c r="O1018" s="64">
        <v>2.7056000000000001E-7</v>
      </c>
    </row>
    <row r="1019" spans="1:15" x14ac:dyDescent="0.25">
      <c r="A1019" s="114" t="s">
        <v>2112</v>
      </c>
      <c r="B1019" s="63" t="s">
        <v>52</v>
      </c>
      <c r="C1019" s="63" t="s">
        <v>7</v>
      </c>
      <c r="D1019" s="63">
        <v>100000000</v>
      </c>
      <c r="E1019" s="63">
        <v>1000000000</v>
      </c>
      <c r="F1019" s="63">
        <v>100000</v>
      </c>
      <c r="G1019" s="63" t="s">
        <v>46</v>
      </c>
      <c r="H1019" s="63" t="s">
        <v>47</v>
      </c>
      <c r="I1019" s="63">
        <v>0</v>
      </c>
      <c r="J1019" s="63">
        <v>0</v>
      </c>
      <c r="L1019" s="63">
        <v>12</v>
      </c>
      <c r="M1019" s="63">
        <v>5.8000000000000004E-6</v>
      </c>
      <c r="N1019" s="63">
        <v>14.68</v>
      </c>
      <c r="O1019" s="64">
        <v>5.7706999999999997E-6</v>
      </c>
    </row>
    <row r="1020" spans="1:15" x14ac:dyDescent="0.25">
      <c r="A1020" s="114" t="s">
        <v>2113</v>
      </c>
      <c r="B1020" s="63" t="s">
        <v>52</v>
      </c>
      <c r="C1020" s="63" t="s">
        <v>7</v>
      </c>
      <c r="D1020" s="63">
        <v>0</v>
      </c>
      <c r="E1020" s="63">
        <v>10</v>
      </c>
      <c r="F1020" s="63">
        <v>1000000</v>
      </c>
      <c r="G1020" s="63" t="s">
        <v>46</v>
      </c>
      <c r="H1020" s="63" t="s">
        <v>68</v>
      </c>
      <c r="I1020" s="63">
        <v>0</v>
      </c>
      <c r="J1020" s="63">
        <v>0</v>
      </c>
      <c r="L1020" s="63">
        <v>577360000000</v>
      </c>
      <c r="M1020" s="63">
        <v>0</v>
      </c>
      <c r="N1020" s="63">
        <v>577360000000</v>
      </c>
      <c r="O1020" s="64">
        <v>0</v>
      </c>
    </row>
    <row r="1021" spans="1:15" x14ac:dyDescent="0.25">
      <c r="A1021" s="114" t="s">
        <v>2114</v>
      </c>
      <c r="B1021" s="63" t="s">
        <v>52</v>
      </c>
      <c r="C1021" s="63" t="s">
        <v>7</v>
      </c>
      <c r="D1021" s="63">
        <v>10000000</v>
      </c>
      <c r="E1021" s="63">
        <v>100000000</v>
      </c>
      <c r="F1021" s="63">
        <v>10000000</v>
      </c>
      <c r="G1021" s="63" t="s">
        <v>46</v>
      </c>
      <c r="H1021" s="63" t="s">
        <v>47</v>
      </c>
      <c r="I1021" s="63">
        <v>0</v>
      </c>
      <c r="J1021" s="63">
        <v>0</v>
      </c>
      <c r="L1021" s="63">
        <v>5773.5</v>
      </c>
      <c r="M1021" s="63">
        <v>3.3069999999999999E-9</v>
      </c>
      <c r="N1021" s="63">
        <v>5770.9</v>
      </c>
      <c r="O1021" s="64">
        <v>3.2960000000000002E-9</v>
      </c>
    </row>
    <row r="1022" spans="1:15" x14ac:dyDescent="0.25">
      <c r="A1022" s="114" t="s">
        <v>2383</v>
      </c>
      <c r="B1022" s="63" t="s">
        <v>52</v>
      </c>
      <c r="C1022" s="63" t="s">
        <v>7</v>
      </c>
      <c r="D1022" s="63">
        <v>100000000</v>
      </c>
      <c r="E1022" s="63">
        <v>1000000000</v>
      </c>
      <c r="F1022" s="63">
        <v>10000000</v>
      </c>
      <c r="G1022" s="63" t="s">
        <v>46</v>
      </c>
      <c r="H1022" s="63" t="s">
        <v>47</v>
      </c>
      <c r="I1022" s="63">
        <v>0</v>
      </c>
      <c r="J1022" s="63">
        <v>0</v>
      </c>
      <c r="L1022" s="63">
        <v>5540.2</v>
      </c>
      <c r="M1022" s="63">
        <v>2.6330999999999998E-6</v>
      </c>
      <c r="N1022" s="63">
        <v>5540.2</v>
      </c>
      <c r="O1022" s="64">
        <v>2.633E-6</v>
      </c>
    </row>
    <row r="1023" spans="1:15" x14ac:dyDescent="0.25">
      <c r="A1023" s="114" t="s">
        <v>2384</v>
      </c>
      <c r="B1023" s="63" t="s">
        <v>52</v>
      </c>
      <c r="C1023" s="63" t="s">
        <v>7</v>
      </c>
      <c r="D1023" s="63">
        <v>100000000</v>
      </c>
      <c r="E1023" s="63">
        <v>1000000000</v>
      </c>
      <c r="F1023" s="63">
        <v>100000000</v>
      </c>
      <c r="G1023" s="63" t="s">
        <v>46</v>
      </c>
      <c r="H1023" s="63" t="s">
        <v>47</v>
      </c>
      <c r="I1023" s="63">
        <v>0</v>
      </c>
      <c r="J1023" s="63">
        <v>0</v>
      </c>
      <c r="L1023" s="63">
        <v>57707</v>
      </c>
      <c r="M1023" s="63">
        <v>3.1791000000000002E-7</v>
      </c>
      <c r="N1023" s="63">
        <v>57475</v>
      </c>
      <c r="O1023" s="64">
        <v>3.1790000000000001E-7</v>
      </c>
    </row>
    <row r="1024" spans="1:15" x14ac:dyDescent="0.25">
      <c r="A1024" s="114" t="s">
        <v>1737</v>
      </c>
      <c r="B1024" s="63" t="s">
        <v>51</v>
      </c>
      <c r="C1024" s="63" t="s">
        <v>44</v>
      </c>
      <c r="D1024" s="63">
        <v>0</v>
      </c>
      <c r="E1024" s="63">
        <v>3.3000999999999999E-4</v>
      </c>
      <c r="F1024" s="63">
        <v>1E-8</v>
      </c>
      <c r="G1024" s="63" t="s">
        <v>13</v>
      </c>
      <c r="H1024" s="63" t="s">
        <v>11</v>
      </c>
      <c r="I1024" s="63">
        <v>0.01</v>
      </c>
      <c r="J1024" s="63">
        <v>2.001E-2</v>
      </c>
      <c r="K1024" s="63" t="s">
        <v>10</v>
      </c>
      <c r="L1024" s="63">
        <v>0.13</v>
      </c>
      <c r="M1024" s="63">
        <v>2300</v>
      </c>
      <c r="N1024" s="63">
        <v>0.11565</v>
      </c>
      <c r="O1024" s="64">
        <v>2314.1999999999998</v>
      </c>
    </row>
    <row r="1025" spans="1:15" x14ac:dyDescent="0.25">
      <c r="A1025" s="114" t="s">
        <v>1734</v>
      </c>
      <c r="B1025" s="63" t="s">
        <v>51</v>
      </c>
      <c r="C1025" s="63" t="s">
        <v>44</v>
      </c>
      <c r="D1025" s="63">
        <v>0</v>
      </c>
      <c r="E1025" s="63">
        <v>3.3000999999999999E-4</v>
      </c>
      <c r="F1025" s="63">
        <v>1E-8</v>
      </c>
      <c r="G1025" s="63" t="s">
        <v>13</v>
      </c>
      <c r="H1025" s="63" t="s">
        <v>11</v>
      </c>
      <c r="I1025" s="63">
        <v>0.02</v>
      </c>
      <c r="J1025" s="63">
        <v>4.5010000000000001E-2</v>
      </c>
      <c r="K1025" s="63" t="s">
        <v>10</v>
      </c>
      <c r="L1025" s="63">
        <v>0.13</v>
      </c>
      <c r="M1025" s="63">
        <v>1700</v>
      </c>
      <c r="N1025" s="63">
        <v>0.11582000000000001</v>
      </c>
      <c r="O1025" s="64">
        <v>1731.6</v>
      </c>
    </row>
    <row r="1026" spans="1:15" x14ac:dyDescent="0.25">
      <c r="A1026" s="114" t="s">
        <v>2385</v>
      </c>
      <c r="B1026" s="63" t="s">
        <v>51</v>
      </c>
      <c r="C1026" s="63" t="s">
        <v>44</v>
      </c>
      <c r="D1026" s="63">
        <v>0</v>
      </c>
      <c r="E1026" s="63">
        <v>3.3000999999999999E-4</v>
      </c>
      <c r="F1026" s="63">
        <v>1E-8</v>
      </c>
      <c r="G1026" s="63" t="s">
        <v>13</v>
      </c>
      <c r="H1026" s="63" t="s">
        <v>11</v>
      </c>
      <c r="I1026" s="63">
        <v>4.4999999999999998E-2</v>
      </c>
      <c r="J1026" s="63">
        <v>1.0000100000000001</v>
      </c>
      <c r="K1026" s="63" t="s">
        <v>10</v>
      </c>
      <c r="L1026" s="63">
        <v>0.14000000000000001</v>
      </c>
      <c r="M1026" s="63">
        <v>1400</v>
      </c>
      <c r="N1026" s="63">
        <v>0.11584999999999999</v>
      </c>
      <c r="O1026" s="64">
        <v>1442.9</v>
      </c>
    </row>
    <row r="1027" spans="1:15" x14ac:dyDescent="0.25">
      <c r="A1027" s="114" t="s">
        <v>1733</v>
      </c>
      <c r="B1027" s="63" t="s">
        <v>51</v>
      </c>
      <c r="C1027" s="63" t="s">
        <v>44</v>
      </c>
      <c r="D1027" s="63">
        <v>0</v>
      </c>
      <c r="E1027" s="63">
        <v>3.3000999999999999E-4</v>
      </c>
      <c r="F1027" s="63">
        <v>1E-8</v>
      </c>
      <c r="G1027" s="63" t="s">
        <v>13</v>
      </c>
      <c r="H1027" s="63" t="s">
        <v>11</v>
      </c>
      <c r="I1027" s="63">
        <v>1</v>
      </c>
      <c r="J1027" s="63">
        <v>5.01</v>
      </c>
      <c r="K1027" s="63" t="s">
        <v>10</v>
      </c>
      <c r="L1027" s="63">
        <v>0.18</v>
      </c>
      <c r="M1027" s="63">
        <v>3500</v>
      </c>
      <c r="N1027" s="63">
        <v>0.17344000000000001</v>
      </c>
      <c r="O1027" s="64">
        <v>3463.7</v>
      </c>
    </row>
    <row r="1028" spans="1:15" x14ac:dyDescent="0.25">
      <c r="A1028" s="114" t="s">
        <v>1735</v>
      </c>
      <c r="B1028" s="63" t="s">
        <v>51</v>
      </c>
      <c r="C1028" s="63" t="s">
        <v>44</v>
      </c>
      <c r="D1028" s="63">
        <v>0</v>
      </c>
      <c r="E1028" s="63">
        <v>3.3000999999999999E-4</v>
      </c>
      <c r="F1028" s="63">
        <v>1E-8</v>
      </c>
      <c r="G1028" s="63" t="s">
        <v>13</v>
      </c>
      <c r="H1028" s="63" t="s">
        <v>11</v>
      </c>
      <c r="I1028" s="63">
        <v>5</v>
      </c>
      <c r="J1028" s="63">
        <v>10.01</v>
      </c>
      <c r="K1028" s="63" t="s">
        <v>10</v>
      </c>
      <c r="L1028" s="63">
        <v>0.25</v>
      </c>
      <c r="M1028" s="63">
        <v>9200</v>
      </c>
      <c r="N1028" s="63">
        <v>0.23105999999999999</v>
      </c>
      <c r="O1028" s="64">
        <v>9237.4</v>
      </c>
    </row>
    <row r="1029" spans="1:15" x14ac:dyDescent="0.25">
      <c r="A1029" s="114" t="s">
        <v>2386</v>
      </c>
      <c r="B1029" s="63" t="s">
        <v>51</v>
      </c>
      <c r="C1029" s="63" t="s">
        <v>44</v>
      </c>
      <c r="D1029" s="63">
        <v>0</v>
      </c>
      <c r="E1029" s="63">
        <v>3.3000999999999999E-4</v>
      </c>
      <c r="F1029" s="63">
        <v>1E-8</v>
      </c>
      <c r="G1029" s="63" t="s">
        <v>13</v>
      </c>
      <c r="H1029" s="63" t="s">
        <v>11</v>
      </c>
      <c r="I1029" s="63">
        <v>10</v>
      </c>
      <c r="J1029" s="63">
        <v>30</v>
      </c>
      <c r="K1029" s="63" t="s">
        <v>10</v>
      </c>
      <c r="L1029" s="63">
        <v>0.62</v>
      </c>
      <c r="M1029" s="63">
        <v>18000</v>
      </c>
      <c r="N1029" s="63">
        <v>0.46198</v>
      </c>
      <c r="O1029" s="64">
        <v>18475</v>
      </c>
    </row>
    <row r="1030" spans="1:15" x14ac:dyDescent="0.25">
      <c r="A1030" s="114" t="s">
        <v>1736</v>
      </c>
      <c r="B1030" s="63" t="s">
        <v>51</v>
      </c>
      <c r="C1030" s="63" t="s">
        <v>44</v>
      </c>
      <c r="D1030" s="63">
        <v>0</v>
      </c>
      <c r="E1030" s="63">
        <v>3.3000999999999999E-4</v>
      </c>
      <c r="F1030" s="63">
        <v>1E-8</v>
      </c>
      <c r="G1030" s="63" t="s">
        <v>13</v>
      </c>
      <c r="H1030" s="63" t="s">
        <v>11</v>
      </c>
      <c r="I1030" s="63">
        <v>30</v>
      </c>
      <c r="J1030" s="63">
        <v>30.1</v>
      </c>
      <c r="K1030" s="63" t="s">
        <v>10</v>
      </c>
      <c r="L1030" s="63">
        <v>0.62</v>
      </c>
      <c r="M1030" s="63">
        <v>18000</v>
      </c>
      <c r="N1030" s="63">
        <v>0.46198</v>
      </c>
      <c r="O1030" s="64">
        <v>18475</v>
      </c>
    </row>
    <row r="1031" spans="1:15" x14ac:dyDescent="0.25">
      <c r="A1031" s="114" t="s">
        <v>2387</v>
      </c>
      <c r="B1031" s="63" t="s">
        <v>51</v>
      </c>
      <c r="C1031" s="63" t="s">
        <v>44</v>
      </c>
      <c r="D1031" s="63">
        <v>3.3E-4</v>
      </c>
      <c r="E1031" s="63">
        <v>3.3000999999999998E-3</v>
      </c>
      <c r="F1031" s="63">
        <v>1E-8</v>
      </c>
      <c r="G1031" s="63" t="s">
        <v>13</v>
      </c>
      <c r="H1031" s="63" t="s">
        <v>11</v>
      </c>
      <c r="I1031" s="63">
        <v>0.01</v>
      </c>
      <c r="J1031" s="63">
        <v>2.001E-2</v>
      </c>
      <c r="K1031" s="63" t="s">
        <v>10</v>
      </c>
      <c r="L1031" s="63">
        <v>0.23</v>
      </c>
      <c r="M1031" s="63">
        <v>2300</v>
      </c>
      <c r="N1031" s="63">
        <v>0.17326</v>
      </c>
      <c r="O1031" s="64">
        <v>2315.4</v>
      </c>
    </row>
    <row r="1032" spans="1:15" x14ac:dyDescent="0.25">
      <c r="A1032" s="114" t="s">
        <v>1786</v>
      </c>
      <c r="B1032" s="63" t="s">
        <v>51</v>
      </c>
      <c r="C1032" s="63" t="s">
        <v>44</v>
      </c>
      <c r="D1032" s="63">
        <v>3.3E-4</v>
      </c>
      <c r="E1032" s="63">
        <v>3.3000999999999998E-3</v>
      </c>
      <c r="F1032" s="63">
        <v>1E-8</v>
      </c>
      <c r="G1032" s="63" t="s">
        <v>13</v>
      </c>
      <c r="H1032" s="63" t="s">
        <v>11</v>
      </c>
      <c r="I1032" s="63">
        <v>0.02</v>
      </c>
      <c r="J1032" s="63">
        <v>4.5010000000000001E-2</v>
      </c>
      <c r="K1032" s="63" t="s">
        <v>10</v>
      </c>
      <c r="L1032" s="63">
        <v>0.32</v>
      </c>
      <c r="M1032" s="63">
        <v>1400</v>
      </c>
      <c r="N1032" s="63">
        <v>0.17327000000000001</v>
      </c>
      <c r="O1032" s="64">
        <v>1443.8</v>
      </c>
    </row>
    <row r="1033" spans="1:15" x14ac:dyDescent="0.25">
      <c r="A1033" s="114" t="s">
        <v>2388</v>
      </c>
      <c r="B1033" s="63" t="s">
        <v>51</v>
      </c>
      <c r="C1033" s="63" t="s">
        <v>44</v>
      </c>
      <c r="D1033" s="63">
        <v>3.3E-4</v>
      </c>
      <c r="E1033" s="63">
        <v>3.3000999999999998E-3</v>
      </c>
      <c r="F1033" s="63">
        <v>1E-8</v>
      </c>
      <c r="G1033" s="63" t="s">
        <v>13</v>
      </c>
      <c r="H1033" s="63" t="s">
        <v>11</v>
      </c>
      <c r="I1033" s="63">
        <v>4.4999999999999998E-2</v>
      </c>
      <c r="J1033" s="63">
        <v>1.0000100000000001</v>
      </c>
      <c r="K1033" s="63" t="s">
        <v>10</v>
      </c>
      <c r="L1033" s="63">
        <v>0.18</v>
      </c>
      <c r="M1033" s="63">
        <v>1200</v>
      </c>
      <c r="N1033" s="63">
        <v>0.17374999999999999</v>
      </c>
      <c r="O1033" s="64">
        <v>1155.2</v>
      </c>
    </row>
    <row r="1034" spans="1:15" x14ac:dyDescent="0.25">
      <c r="A1034" s="114" t="s">
        <v>2389</v>
      </c>
      <c r="B1034" s="63" t="s">
        <v>51</v>
      </c>
      <c r="C1034" s="63" t="s">
        <v>44</v>
      </c>
      <c r="D1034" s="63">
        <v>3.3E-4</v>
      </c>
      <c r="E1034" s="63">
        <v>3.3000999999999998E-3</v>
      </c>
      <c r="F1034" s="63">
        <v>1E-8</v>
      </c>
      <c r="G1034" s="63" t="s">
        <v>13</v>
      </c>
      <c r="H1034" s="63" t="s">
        <v>11</v>
      </c>
      <c r="I1034" s="63">
        <v>1</v>
      </c>
      <c r="J1034" s="63">
        <v>5.01</v>
      </c>
      <c r="K1034" s="63" t="s">
        <v>10</v>
      </c>
      <c r="L1034" s="63">
        <v>0.27</v>
      </c>
      <c r="M1034" s="63">
        <v>2300</v>
      </c>
      <c r="N1034" s="63">
        <v>0.23111999999999999</v>
      </c>
      <c r="O1034" s="64">
        <v>2309.6999999999998</v>
      </c>
    </row>
    <row r="1035" spans="1:15" x14ac:dyDescent="0.25">
      <c r="A1035" s="114" t="s">
        <v>1784</v>
      </c>
      <c r="B1035" s="63" t="s">
        <v>51</v>
      </c>
      <c r="C1035" s="63" t="s">
        <v>44</v>
      </c>
      <c r="D1035" s="63">
        <v>3.3E-4</v>
      </c>
      <c r="E1035" s="63">
        <v>3.3000999999999998E-3</v>
      </c>
      <c r="F1035" s="63">
        <v>1E-8</v>
      </c>
      <c r="G1035" s="63" t="s">
        <v>13</v>
      </c>
      <c r="H1035" s="63" t="s">
        <v>11</v>
      </c>
      <c r="I1035" s="63">
        <v>5</v>
      </c>
      <c r="J1035" s="63">
        <v>10.01</v>
      </c>
      <c r="K1035" s="63" t="s">
        <v>10</v>
      </c>
      <c r="L1035" s="63">
        <v>0.35</v>
      </c>
      <c r="M1035" s="63">
        <v>5800</v>
      </c>
      <c r="N1035" s="63">
        <v>0.34654000000000001</v>
      </c>
      <c r="O1035" s="64">
        <v>5773.6</v>
      </c>
    </row>
    <row r="1036" spans="1:15" x14ac:dyDescent="0.25">
      <c r="A1036" s="114" t="s">
        <v>1787</v>
      </c>
      <c r="B1036" s="63" t="s">
        <v>51</v>
      </c>
      <c r="C1036" s="63" t="s">
        <v>44</v>
      </c>
      <c r="D1036" s="63">
        <v>3.3E-4</v>
      </c>
      <c r="E1036" s="63">
        <v>3.3000999999999998E-3</v>
      </c>
      <c r="F1036" s="63">
        <v>1E-8</v>
      </c>
      <c r="G1036" s="63" t="s">
        <v>13</v>
      </c>
      <c r="H1036" s="63" t="s">
        <v>11</v>
      </c>
      <c r="I1036" s="63">
        <v>10</v>
      </c>
      <c r="J1036" s="63">
        <v>30</v>
      </c>
      <c r="K1036" s="63" t="s">
        <v>10</v>
      </c>
      <c r="L1036" s="63">
        <v>0.7</v>
      </c>
      <c r="M1036" s="63">
        <v>12000</v>
      </c>
      <c r="N1036" s="63">
        <v>0.69332000000000005</v>
      </c>
      <c r="O1036" s="64">
        <v>11547</v>
      </c>
    </row>
    <row r="1037" spans="1:15" x14ac:dyDescent="0.25">
      <c r="A1037" s="114" t="s">
        <v>1785</v>
      </c>
      <c r="B1037" s="63" t="s">
        <v>51</v>
      </c>
      <c r="C1037" s="63" t="s">
        <v>44</v>
      </c>
      <c r="D1037" s="63">
        <v>3.3E-4</v>
      </c>
      <c r="E1037" s="63">
        <v>3.3000999999999998E-3</v>
      </c>
      <c r="F1037" s="63">
        <v>1E-8</v>
      </c>
      <c r="G1037" s="63" t="s">
        <v>13</v>
      </c>
      <c r="H1037" s="63" t="s">
        <v>11</v>
      </c>
      <c r="I1037" s="63">
        <v>30</v>
      </c>
      <c r="J1037" s="63">
        <v>30.1</v>
      </c>
      <c r="K1037" s="63" t="s">
        <v>10</v>
      </c>
      <c r="L1037" s="63">
        <v>0.7</v>
      </c>
      <c r="M1037" s="63">
        <v>12000</v>
      </c>
      <c r="N1037" s="63">
        <v>0.69332000000000005</v>
      </c>
      <c r="O1037" s="64">
        <v>11547</v>
      </c>
    </row>
    <row r="1038" spans="1:15" x14ac:dyDescent="0.25">
      <c r="A1038" s="114" t="s">
        <v>1810</v>
      </c>
      <c r="B1038" s="63" t="s">
        <v>51</v>
      </c>
      <c r="C1038" s="63" t="s">
        <v>44</v>
      </c>
      <c r="D1038" s="63">
        <v>3.3E-3</v>
      </c>
      <c r="E1038" s="63">
        <v>3.3001000000000003E-2</v>
      </c>
      <c r="F1038" s="63">
        <v>1E-8</v>
      </c>
      <c r="G1038" s="63" t="s">
        <v>13</v>
      </c>
      <c r="H1038" s="63" t="s">
        <v>11</v>
      </c>
      <c r="I1038" s="63">
        <v>0.01</v>
      </c>
      <c r="J1038" s="63">
        <v>2.001E-2</v>
      </c>
      <c r="K1038" s="63" t="s">
        <v>10</v>
      </c>
      <c r="L1038" s="63">
        <v>2.4</v>
      </c>
      <c r="M1038" s="63">
        <v>2100</v>
      </c>
      <c r="N1038" s="63">
        <v>2.3005</v>
      </c>
      <c r="O1038" s="64">
        <v>2087.6</v>
      </c>
    </row>
    <row r="1039" spans="1:15" x14ac:dyDescent="0.25">
      <c r="A1039" s="114" t="s">
        <v>2390</v>
      </c>
      <c r="B1039" s="63" t="s">
        <v>51</v>
      </c>
      <c r="C1039" s="63" t="s">
        <v>44</v>
      </c>
      <c r="D1039" s="63">
        <v>3.3E-3</v>
      </c>
      <c r="E1039" s="63">
        <v>3.3001000000000003E-2</v>
      </c>
      <c r="F1039" s="63">
        <v>1E-8</v>
      </c>
      <c r="G1039" s="63" t="s">
        <v>13</v>
      </c>
      <c r="H1039" s="63" t="s">
        <v>11</v>
      </c>
      <c r="I1039" s="63">
        <v>0.02</v>
      </c>
      <c r="J1039" s="63">
        <v>4.5010000000000001E-2</v>
      </c>
      <c r="K1039" s="63" t="s">
        <v>10</v>
      </c>
      <c r="L1039" s="63">
        <v>3.8</v>
      </c>
      <c r="M1039" s="63">
        <v>1000</v>
      </c>
      <c r="N1039" s="63">
        <v>2.2968000000000002</v>
      </c>
      <c r="O1039" s="64">
        <v>1043.5999999999999</v>
      </c>
    </row>
    <row r="1040" spans="1:15" x14ac:dyDescent="0.25">
      <c r="A1040" s="114" t="s">
        <v>1811</v>
      </c>
      <c r="B1040" s="63" t="s">
        <v>51</v>
      </c>
      <c r="C1040" s="63" t="s">
        <v>44</v>
      </c>
      <c r="D1040" s="63">
        <v>3.3E-3</v>
      </c>
      <c r="E1040" s="63">
        <v>3.3001000000000003E-2</v>
      </c>
      <c r="F1040" s="63">
        <v>1E-8</v>
      </c>
      <c r="G1040" s="63" t="s">
        <v>13</v>
      </c>
      <c r="H1040" s="63" t="s">
        <v>11</v>
      </c>
      <c r="I1040" s="63">
        <v>4.4999999999999998E-2</v>
      </c>
      <c r="J1040" s="63">
        <v>1.0000100000000001</v>
      </c>
      <c r="K1040" s="63" t="s">
        <v>10</v>
      </c>
      <c r="L1040" s="63">
        <v>2.4</v>
      </c>
      <c r="M1040" s="63">
        <v>470</v>
      </c>
      <c r="N1040" s="63">
        <v>2.2997999999999998</v>
      </c>
      <c r="O1040" s="64">
        <v>465.62</v>
      </c>
    </row>
    <row r="1041" spans="1:15" x14ac:dyDescent="0.25">
      <c r="A1041" s="114" t="s">
        <v>1812</v>
      </c>
      <c r="B1041" s="63" t="s">
        <v>51</v>
      </c>
      <c r="C1041" s="63" t="s">
        <v>44</v>
      </c>
      <c r="D1041" s="63">
        <v>3.3E-3</v>
      </c>
      <c r="E1041" s="63">
        <v>3.3001000000000003E-2</v>
      </c>
      <c r="F1041" s="63">
        <v>1E-8</v>
      </c>
      <c r="G1041" s="63" t="s">
        <v>13</v>
      </c>
      <c r="H1041" s="63" t="s">
        <v>11</v>
      </c>
      <c r="I1041" s="63">
        <v>1</v>
      </c>
      <c r="J1041" s="63">
        <v>5.01</v>
      </c>
      <c r="K1041" s="63" t="s">
        <v>10</v>
      </c>
      <c r="L1041" s="63">
        <v>2.4</v>
      </c>
      <c r="M1041" s="63">
        <v>930</v>
      </c>
      <c r="N1041" s="63">
        <v>2.3048000000000002</v>
      </c>
      <c r="O1041" s="64">
        <v>925.75</v>
      </c>
    </row>
    <row r="1042" spans="1:15" x14ac:dyDescent="0.25">
      <c r="A1042" s="114" t="s">
        <v>1813</v>
      </c>
      <c r="B1042" s="63" t="s">
        <v>51</v>
      </c>
      <c r="C1042" s="63" t="s">
        <v>44</v>
      </c>
      <c r="D1042" s="63">
        <v>3.3E-3</v>
      </c>
      <c r="E1042" s="63">
        <v>3.3001000000000003E-2</v>
      </c>
      <c r="F1042" s="63">
        <v>1E-8</v>
      </c>
      <c r="G1042" s="63" t="s">
        <v>13</v>
      </c>
      <c r="H1042" s="63" t="s">
        <v>11</v>
      </c>
      <c r="I1042" s="63">
        <v>5</v>
      </c>
      <c r="J1042" s="63">
        <v>10.01</v>
      </c>
      <c r="K1042" s="63" t="s">
        <v>10</v>
      </c>
      <c r="L1042" s="63">
        <v>3.8</v>
      </c>
      <c r="M1042" s="63">
        <v>2300</v>
      </c>
      <c r="N1042" s="63">
        <v>3.4643999999999999</v>
      </c>
      <c r="O1042" s="64">
        <v>2309.4</v>
      </c>
    </row>
    <row r="1043" spans="1:15" x14ac:dyDescent="0.25">
      <c r="A1043" s="114" t="s">
        <v>1809</v>
      </c>
      <c r="B1043" s="63" t="s">
        <v>51</v>
      </c>
      <c r="C1043" s="63" t="s">
        <v>44</v>
      </c>
      <c r="D1043" s="63">
        <v>3.3E-3</v>
      </c>
      <c r="E1043" s="63">
        <v>3.3001000000000003E-2</v>
      </c>
      <c r="F1043" s="63">
        <v>1E-8</v>
      </c>
      <c r="G1043" s="63" t="s">
        <v>13</v>
      </c>
      <c r="H1043" s="63" t="s">
        <v>11</v>
      </c>
      <c r="I1043" s="63">
        <v>10</v>
      </c>
      <c r="J1043" s="63">
        <v>30</v>
      </c>
      <c r="K1043" s="63" t="s">
        <v>10</v>
      </c>
      <c r="L1043" s="63">
        <v>5.3</v>
      </c>
      <c r="M1043" s="63">
        <v>4600</v>
      </c>
      <c r="N1043" s="63">
        <v>4.6162999999999998</v>
      </c>
      <c r="O1043" s="64">
        <v>4619.8999999999996</v>
      </c>
    </row>
    <row r="1044" spans="1:15" x14ac:dyDescent="0.25">
      <c r="A1044" s="114" t="s">
        <v>1740</v>
      </c>
      <c r="B1044" s="63" t="s">
        <v>51</v>
      </c>
      <c r="C1044" s="63" t="s">
        <v>44</v>
      </c>
      <c r="D1044" s="63">
        <v>0</v>
      </c>
      <c r="E1044" s="63">
        <v>3.3000999999999999E-4</v>
      </c>
      <c r="F1044" s="63">
        <v>9.9999999999999995E-8</v>
      </c>
      <c r="G1044" s="63" t="s">
        <v>13</v>
      </c>
      <c r="H1044" s="63" t="s">
        <v>11</v>
      </c>
      <c r="I1044" s="63">
        <v>0.01</v>
      </c>
      <c r="J1044" s="63">
        <v>2.001E-2</v>
      </c>
      <c r="K1044" s="63" t="s">
        <v>10</v>
      </c>
      <c r="L1044" s="63">
        <v>0.13</v>
      </c>
      <c r="M1044" s="63">
        <v>2300</v>
      </c>
      <c r="N1044" s="63">
        <v>0.12522</v>
      </c>
      <c r="O1044" s="64">
        <v>2290.9</v>
      </c>
    </row>
    <row r="1045" spans="1:15" x14ac:dyDescent="0.25">
      <c r="A1045" s="114" t="s">
        <v>1738</v>
      </c>
      <c r="B1045" s="63" t="s">
        <v>51</v>
      </c>
      <c r="C1045" s="63" t="s">
        <v>44</v>
      </c>
      <c r="D1045" s="63">
        <v>0</v>
      </c>
      <c r="E1045" s="63">
        <v>3.3000999999999999E-4</v>
      </c>
      <c r="F1045" s="63">
        <v>9.9999999999999995E-8</v>
      </c>
      <c r="G1045" s="63" t="s">
        <v>13</v>
      </c>
      <c r="H1045" s="63" t="s">
        <v>11</v>
      </c>
      <c r="I1045" s="63">
        <v>0.02</v>
      </c>
      <c r="J1045" s="63">
        <v>4.5010000000000001E-2</v>
      </c>
      <c r="K1045" s="63" t="s">
        <v>10</v>
      </c>
      <c r="L1045" s="63">
        <v>0.13</v>
      </c>
      <c r="M1045" s="63">
        <v>1700</v>
      </c>
      <c r="N1045" s="63">
        <v>0.12620000000000001</v>
      </c>
      <c r="O1045" s="64">
        <v>1707.4</v>
      </c>
    </row>
    <row r="1046" spans="1:15" x14ac:dyDescent="0.25">
      <c r="A1046" s="114" t="s">
        <v>1743</v>
      </c>
      <c r="B1046" s="63" t="s">
        <v>51</v>
      </c>
      <c r="C1046" s="63" t="s">
        <v>44</v>
      </c>
      <c r="D1046" s="63">
        <v>0</v>
      </c>
      <c r="E1046" s="63">
        <v>3.3000999999999999E-4</v>
      </c>
      <c r="F1046" s="63">
        <v>9.9999999999999995E-8</v>
      </c>
      <c r="G1046" s="63" t="s">
        <v>13</v>
      </c>
      <c r="H1046" s="63" t="s">
        <v>11</v>
      </c>
      <c r="I1046" s="63">
        <v>4.4999999999999998E-2</v>
      </c>
      <c r="J1046" s="63">
        <v>1.0000100000000001</v>
      </c>
      <c r="K1046" s="63" t="s">
        <v>10</v>
      </c>
      <c r="L1046" s="63">
        <v>0.14000000000000001</v>
      </c>
      <c r="M1046" s="63">
        <v>1400</v>
      </c>
      <c r="N1046" s="63">
        <v>0.12669</v>
      </c>
      <c r="O1046" s="64">
        <v>1418.5</v>
      </c>
    </row>
    <row r="1047" spans="1:15" x14ac:dyDescent="0.25">
      <c r="A1047" s="114" t="s">
        <v>1739</v>
      </c>
      <c r="B1047" s="63" t="s">
        <v>51</v>
      </c>
      <c r="C1047" s="63" t="s">
        <v>44</v>
      </c>
      <c r="D1047" s="63">
        <v>0</v>
      </c>
      <c r="E1047" s="63">
        <v>3.3000999999999999E-4</v>
      </c>
      <c r="F1047" s="63">
        <v>9.9999999999999995E-8</v>
      </c>
      <c r="G1047" s="63" t="s">
        <v>13</v>
      </c>
      <c r="H1047" s="63" t="s">
        <v>11</v>
      </c>
      <c r="I1047" s="63">
        <v>1</v>
      </c>
      <c r="J1047" s="63">
        <v>5.01</v>
      </c>
      <c r="K1047" s="63" t="s">
        <v>10</v>
      </c>
      <c r="L1047" s="63">
        <v>0.18</v>
      </c>
      <c r="M1047" s="63">
        <v>3500</v>
      </c>
      <c r="N1047" s="63">
        <v>0.17984</v>
      </c>
      <c r="O1047" s="64">
        <v>3448.1</v>
      </c>
    </row>
    <row r="1048" spans="1:15" x14ac:dyDescent="0.25">
      <c r="A1048" s="114" t="s">
        <v>1742</v>
      </c>
      <c r="B1048" s="63" t="s">
        <v>51</v>
      </c>
      <c r="C1048" s="63" t="s">
        <v>44</v>
      </c>
      <c r="D1048" s="63">
        <v>0</v>
      </c>
      <c r="E1048" s="63">
        <v>3.3000999999999999E-4</v>
      </c>
      <c r="F1048" s="63">
        <v>9.9999999999999995E-8</v>
      </c>
      <c r="G1048" s="63" t="s">
        <v>13</v>
      </c>
      <c r="H1048" s="63" t="s">
        <v>11</v>
      </c>
      <c r="I1048" s="63">
        <v>5</v>
      </c>
      <c r="J1048" s="63">
        <v>10.01</v>
      </c>
      <c r="K1048" s="63" t="s">
        <v>10</v>
      </c>
      <c r="L1048" s="63">
        <v>0.25</v>
      </c>
      <c r="M1048" s="63">
        <v>9200</v>
      </c>
      <c r="N1048" s="63">
        <v>0.23463000000000001</v>
      </c>
      <c r="O1048" s="64">
        <v>9228.1</v>
      </c>
    </row>
    <row r="1049" spans="1:15" x14ac:dyDescent="0.25">
      <c r="A1049" s="114" t="s">
        <v>1741</v>
      </c>
      <c r="B1049" s="63" t="s">
        <v>51</v>
      </c>
      <c r="C1049" s="63" t="s">
        <v>44</v>
      </c>
      <c r="D1049" s="63">
        <v>0</v>
      </c>
      <c r="E1049" s="63">
        <v>3.3000999999999999E-4</v>
      </c>
      <c r="F1049" s="63">
        <v>9.9999999999999995E-8</v>
      </c>
      <c r="G1049" s="63" t="s">
        <v>13</v>
      </c>
      <c r="H1049" s="63" t="s">
        <v>11</v>
      </c>
      <c r="I1049" s="63">
        <v>10</v>
      </c>
      <c r="J1049" s="63">
        <v>30</v>
      </c>
      <c r="K1049" s="63" t="s">
        <v>10</v>
      </c>
      <c r="L1049" s="63">
        <v>0.62</v>
      </c>
      <c r="M1049" s="63">
        <v>18000</v>
      </c>
      <c r="N1049" s="63">
        <v>0.46389000000000002</v>
      </c>
      <c r="O1049" s="64">
        <v>18470</v>
      </c>
    </row>
    <row r="1050" spans="1:15" x14ac:dyDescent="0.25">
      <c r="A1050" s="114" t="s">
        <v>2391</v>
      </c>
      <c r="B1050" s="63" t="s">
        <v>51</v>
      </c>
      <c r="C1050" s="63" t="s">
        <v>44</v>
      </c>
      <c r="D1050" s="63">
        <v>0</v>
      </c>
      <c r="E1050" s="63">
        <v>3.3000999999999999E-4</v>
      </c>
      <c r="F1050" s="63">
        <v>9.9999999999999995E-8</v>
      </c>
      <c r="G1050" s="63" t="s">
        <v>13</v>
      </c>
      <c r="H1050" s="63" t="s">
        <v>11</v>
      </c>
      <c r="I1050" s="63">
        <v>30</v>
      </c>
      <c r="J1050" s="63">
        <v>30.1</v>
      </c>
      <c r="K1050" s="63" t="s">
        <v>10</v>
      </c>
      <c r="L1050" s="63">
        <v>0.62</v>
      </c>
      <c r="M1050" s="63">
        <v>18000</v>
      </c>
      <c r="N1050" s="63">
        <v>0.46389000000000002</v>
      </c>
      <c r="O1050" s="64">
        <v>18470</v>
      </c>
    </row>
    <row r="1051" spans="1:15" x14ac:dyDescent="0.25">
      <c r="A1051" s="114" t="s">
        <v>1791</v>
      </c>
      <c r="B1051" s="63" t="s">
        <v>51</v>
      </c>
      <c r="C1051" s="63" t="s">
        <v>44</v>
      </c>
      <c r="D1051" s="63">
        <v>3.3E-4</v>
      </c>
      <c r="E1051" s="63">
        <v>3.3000999999999998E-3</v>
      </c>
      <c r="F1051" s="63">
        <v>9.9999999999999995E-8</v>
      </c>
      <c r="G1051" s="63" t="s">
        <v>13</v>
      </c>
      <c r="H1051" s="63" t="s">
        <v>11</v>
      </c>
      <c r="I1051" s="63">
        <v>0.01</v>
      </c>
      <c r="J1051" s="63">
        <v>2.001E-2</v>
      </c>
      <c r="K1051" s="63" t="s">
        <v>10</v>
      </c>
      <c r="L1051" s="63">
        <v>0.23</v>
      </c>
      <c r="M1051" s="63">
        <v>2300</v>
      </c>
      <c r="N1051" s="63">
        <v>0.17480999999999999</v>
      </c>
      <c r="O1051" s="64">
        <v>2314.9</v>
      </c>
    </row>
    <row r="1052" spans="1:15" x14ac:dyDescent="0.25">
      <c r="A1052" s="114" t="s">
        <v>1793</v>
      </c>
      <c r="B1052" s="63" t="s">
        <v>51</v>
      </c>
      <c r="C1052" s="63" t="s">
        <v>44</v>
      </c>
      <c r="D1052" s="63">
        <v>3.3E-4</v>
      </c>
      <c r="E1052" s="63">
        <v>3.3000999999999998E-3</v>
      </c>
      <c r="F1052" s="63">
        <v>9.9999999999999995E-8</v>
      </c>
      <c r="G1052" s="63" t="s">
        <v>13</v>
      </c>
      <c r="H1052" s="63" t="s">
        <v>11</v>
      </c>
      <c r="I1052" s="63">
        <v>0.02</v>
      </c>
      <c r="J1052" s="63">
        <v>4.5010000000000001E-2</v>
      </c>
      <c r="K1052" s="63" t="s">
        <v>10</v>
      </c>
      <c r="L1052" s="63">
        <v>0.32</v>
      </c>
      <c r="M1052" s="63">
        <v>1400</v>
      </c>
      <c r="N1052" s="63">
        <v>0.17604</v>
      </c>
      <c r="O1052" s="64">
        <v>1443.1</v>
      </c>
    </row>
    <row r="1053" spans="1:15" x14ac:dyDescent="0.25">
      <c r="A1053" s="114" t="s">
        <v>1790</v>
      </c>
      <c r="B1053" s="63" t="s">
        <v>51</v>
      </c>
      <c r="C1053" s="63" t="s">
        <v>44</v>
      </c>
      <c r="D1053" s="63">
        <v>3.3E-4</v>
      </c>
      <c r="E1053" s="63">
        <v>3.3000999999999998E-3</v>
      </c>
      <c r="F1053" s="63">
        <v>9.9999999999999995E-8</v>
      </c>
      <c r="G1053" s="63" t="s">
        <v>13</v>
      </c>
      <c r="H1053" s="63" t="s">
        <v>11</v>
      </c>
      <c r="I1053" s="63">
        <v>4.4999999999999998E-2</v>
      </c>
      <c r="J1053" s="63">
        <v>1.0000100000000001</v>
      </c>
      <c r="K1053" s="63" t="s">
        <v>10</v>
      </c>
      <c r="L1053" s="63">
        <v>0.18</v>
      </c>
      <c r="M1053" s="63">
        <v>1200</v>
      </c>
      <c r="N1053" s="63">
        <v>0.17651</v>
      </c>
      <c r="O1053" s="64">
        <v>1154.4000000000001</v>
      </c>
    </row>
    <row r="1054" spans="1:15" x14ac:dyDescent="0.25">
      <c r="A1054" s="114" t="s">
        <v>1792</v>
      </c>
      <c r="B1054" s="63" t="s">
        <v>51</v>
      </c>
      <c r="C1054" s="63" t="s">
        <v>44</v>
      </c>
      <c r="D1054" s="63">
        <v>3.3E-4</v>
      </c>
      <c r="E1054" s="63">
        <v>3.3000999999999998E-3</v>
      </c>
      <c r="F1054" s="63">
        <v>9.9999999999999995E-8</v>
      </c>
      <c r="G1054" s="63" t="s">
        <v>13</v>
      </c>
      <c r="H1054" s="63" t="s">
        <v>11</v>
      </c>
      <c r="I1054" s="63">
        <v>1</v>
      </c>
      <c r="J1054" s="63">
        <v>5.01</v>
      </c>
      <c r="K1054" s="63" t="s">
        <v>10</v>
      </c>
      <c r="L1054" s="63">
        <v>0.27</v>
      </c>
      <c r="M1054" s="63">
        <v>2300</v>
      </c>
      <c r="N1054" s="63">
        <v>0.23280000000000001</v>
      </c>
      <c r="O1054" s="64">
        <v>2309.1999999999998</v>
      </c>
    </row>
    <row r="1055" spans="1:15" x14ac:dyDescent="0.25">
      <c r="A1055" s="114" t="s">
        <v>1789</v>
      </c>
      <c r="B1055" s="63" t="s">
        <v>51</v>
      </c>
      <c r="C1055" s="63" t="s">
        <v>44</v>
      </c>
      <c r="D1055" s="63">
        <v>3.3E-4</v>
      </c>
      <c r="E1055" s="63">
        <v>3.3000999999999998E-3</v>
      </c>
      <c r="F1055" s="63">
        <v>9.9999999999999995E-8</v>
      </c>
      <c r="G1055" s="63" t="s">
        <v>13</v>
      </c>
      <c r="H1055" s="63" t="s">
        <v>11</v>
      </c>
      <c r="I1055" s="63">
        <v>5</v>
      </c>
      <c r="J1055" s="63">
        <v>10.01</v>
      </c>
      <c r="K1055" s="63" t="s">
        <v>10</v>
      </c>
      <c r="L1055" s="63">
        <v>0.35</v>
      </c>
      <c r="M1055" s="63">
        <v>5800</v>
      </c>
      <c r="N1055" s="63">
        <v>0.34723999999999999</v>
      </c>
      <c r="O1055" s="64">
        <v>5773.4</v>
      </c>
    </row>
    <row r="1056" spans="1:15" x14ac:dyDescent="0.25">
      <c r="A1056" s="114" t="s">
        <v>1788</v>
      </c>
      <c r="B1056" s="63" t="s">
        <v>51</v>
      </c>
      <c r="C1056" s="63" t="s">
        <v>44</v>
      </c>
      <c r="D1056" s="63">
        <v>3.3E-4</v>
      </c>
      <c r="E1056" s="63">
        <v>3.3000999999999998E-3</v>
      </c>
      <c r="F1056" s="63">
        <v>9.9999999999999995E-8</v>
      </c>
      <c r="G1056" s="63" t="s">
        <v>13</v>
      </c>
      <c r="H1056" s="63" t="s">
        <v>11</v>
      </c>
      <c r="I1056" s="63">
        <v>10</v>
      </c>
      <c r="J1056" s="63">
        <v>30</v>
      </c>
      <c r="K1056" s="63" t="s">
        <v>10</v>
      </c>
      <c r="L1056" s="63">
        <v>0.7</v>
      </c>
      <c r="M1056" s="63">
        <v>12000</v>
      </c>
      <c r="N1056" s="63">
        <v>0.69338999999999995</v>
      </c>
      <c r="O1056" s="64">
        <v>11547</v>
      </c>
    </row>
    <row r="1057" spans="1:15" x14ac:dyDescent="0.25">
      <c r="A1057" s="114" t="s">
        <v>2392</v>
      </c>
      <c r="B1057" s="63" t="s">
        <v>51</v>
      </c>
      <c r="C1057" s="63" t="s">
        <v>44</v>
      </c>
      <c r="D1057" s="63">
        <v>3.3E-4</v>
      </c>
      <c r="E1057" s="63">
        <v>3.3000999999999998E-3</v>
      </c>
      <c r="F1057" s="63">
        <v>9.9999999999999995E-8</v>
      </c>
      <c r="G1057" s="63" t="s">
        <v>13</v>
      </c>
      <c r="H1057" s="63" t="s">
        <v>11</v>
      </c>
      <c r="I1057" s="63">
        <v>30</v>
      </c>
      <c r="J1057" s="63">
        <v>30.1</v>
      </c>
      <c r="K1057" s="63" t="s">
        <v>10</v>
      </c>
      <c r="L1057" s="63">
        <v>0.7</v>
      </c>
      <c r="M1057" s="63">
        <v>12000</v>
      </c>
      <c r="N1057" s="63">
        <v>0.69338999999999995</v>
      </c>
      <c r="O1057" s="64">
        <v>11547</v>
      </c>
    </row>
    <row r="1058" spans="1:15" x14ac:dyDescent="0.25">
      <c r="A1058" s="114" t="s">
        <v>1815</v>
      </c>
      <c r="B1058" s="63" t="s">
        <v>51</v>
      </c>
      <c r="C1058" s="63" t="s">
        <v>44</v>
      </c>
      <c r="D1058" s="63">
        <v>3.3E-3</v>
      </c>
      <c r="E1058" s="63">
        <v>3.3001000000000003E-2</v>
      </c>
      <c r="F1058" s="63">
        <v>9.9999999999999995E-8</v>
      </c>
      <c r="G1058" s="63" t="s">
        <v>13</v>
      </c>
      <c r="H1058" s="63" t="s">
        <v>11</v>
      </c>
      <c r="I1058" s="63">
        <v>0.01</v>
      </c>
      <c r="J1058" s="63">
        <v>2.001E-2</v>
      </c>
      <c r="K1058" s="63" t="s">
        <v>10</v>
      </c>
      <c r="L1058" s="63">
        <v>2.4</v>
      </c>
      <c r="M1058" s="63">
        <v>2100</v>
      </c>
      <c r="N1058" s="63">
        <v>2.3157000000000001</v>
      </c>
      <c r="O1058" s="64">
        <v>2087.1</v>
      </c>
    </row>
    <row r="1059" spans="1:15" x14ac:dyDescent="0.25">
      <c r="A1059" s="114" t="s">
        <v>1816</v>
      </c>
      <c r="B1059" s="63" t="s">
        <v>51</v>
      </c>
      <c r="C1059" s="63" t="s">
        <v>44</v>
      </c>
      <c r="D1059" s="63">
        <v>3.3E-3</v>
      </c>
      <c r="E1059" s="63">
        <v>3.3001000000000003E-2</v>
      </c>
      <c r="F1059" s="63">
        <v>9.9999999999999995E-8</v>
      </c>
      <c r="G1059" s="63" t="s">
        <v>13</v>
      </c>
      <c r="H1059" s="63" t="s">
        <v>11</v>
      </c>
      <c r="I1059" s="63">
        <v>0.02</v>
      </c>
      <c r="J1059" s="63">
        <v>4.5010000000000001E-2</v>
      </c>
      <c r="K1059" s="63" t="s">
        <v>10</v>
      </c>
      <c r="L1059" s="63">
        <v>3.8</v>
      </c>
      <c r="M1059" s="63">
        <v>1000</v>
      </c>
      <c r="N1059" s="63">
        <v>2.3281999999999998</v>
      </c>
      <c r="O1059" s="64">
        <v>1042.8</v>
      </c>
    </row>
    <row r="1060" spans="1:15" x14ac:dyDescent="0.25">
      <c r="A1060" s="114" t="s">
        <v>1814</v>
      </c>
      <c r="B1060" s="63" t="s">
        <v>51</v>
      </c>
      <c r="C1060" s="63" t="s">
        <v>44</v>
      </c>
      <c r="D1060" s="63">
        <v>3.3E-3</v>
      </c>
      <c r="E1060" s="63">
        <v>3.3001000000000003E-2</v>
      </c>
      <c r="F1060" s="63">
        <v>9.9999999999999995E-8</v>
      </c>
      <c r="G1060" s="63" t="s">
        <v>13</v>
      </c>
      <c r="H1060" s="63" t="s">
        <v>11</v>
      </c>
      <c r="I1060" s="63">
        <v>4.4999999999999998E-2</v>
      </c>
      <c r="J1060" s="63">
        <v>1.0000100000000001</v>
      </c>
      <c r="K1060" s="63" t="s">
        <v>10</v>
      </c>
      <c r="L1060" s="63">
        <v>2.4</v>
      </c>
      <c r="M1060" s="63">
        <v>470</v>
      </c>
      <c r="N1060" s="63">
        <v>2.3464</v>
      </c>
      <c r="O1060" s="64">
        <v>464.49</v>
      </c>
    </row>
    <row r="1061" spans="1:15" x14ac:dyDescent="0.25">
      <c r="A1061" s="114" t="s">
        <v>2393</v>
      </c>
      <c r="B1061" s="63" t="s">
        <v>51</v>
      </c>
      <c r="C1061" s="63" t="s">
        <v>44</v>
      </c>
      <c r="D1061" s="63">
        <v>3.3E-3</v>
      </c>
      <c r="E1061" s="63">
        <v>3.3001000000000003E-2</v>
      </c>
      <c r="F1061" s="63">
        <v>9.9999999999999995E-8</v>
      </c>
      <c r="G1061" s="63" t="s">
        <v>13</v>
      </c>
      <c r="H1061" s="63" t="s">
        <v>11</v>
      </c>
      <c r="I1061" s="63">
        <v>1</v>
      </c>
      <c r="J1061" s="63">
        <v>5.01</v>
      </c>
      <c r="K1061" s="63" t="s">
        <v>10</v>
      </c>
      <c r="L1061" s="63">
        <v>2.4</v>
      </c>
      <c r="M1061" s="63">
        <v>930</v>
      </c>
      <c r="N1061" s="63">
        <v>2.3386</v>
      </c>
      <c r="O1061" s="64">
        <v>924.88</v>
      </c>
    </row>
    <row r="1062" spans="1:15" x14ac:dyDescent="0.25">
      <c r="A1062" s="114" t="s">
        <v>2394</v>
      </c>
      <c r="B1062" s="63" t="s">
        <v>51</v>
      </c>
      <c r="C1062" s="63" t="s">
        <v>44</v>
      </c>
      <c r="D1062" s="63">
        <v>3.3E-3</v>
      </c>
      <c r="E1062" s="63">
        <v>3.3001000000000003E-2</v>
      </c>
      <c r="F1062" s="63">
        <v>9.9999999999999995E-8</v>
      </c>
      <c r="G1062" s="63" t="s">
        <v>13</v>
      </c>
      <c r="H1062" s="63" t="s">
        <v>11</v>
      </c>
      <c r="I1062" s="63">
        <v>5</v>
      </c>
      <c r="J1062" s="63">
        <v>10.01</v>
      </c>
      <c r="K1062" s="63" t="s">
        <v>10</v>
      </c>
      <c r="L1062" s="63">
        <v>3.8</v>
      </c>
      <c r="M1062" s="63">
        <v>2300</v>
      </c>
      <c r="N1062" s="63">
        <v>3.4807000000000001</v>
      </c>
      <c r="O1062" s="64">
        <v>2309</v>
      </c>
    </row>
    <row r="1063" spans="1:15" x14ac:dyDescent="0.25">
      <c r="A1063" s="114" t="s">
        <v>1817</v>
      </c>
      <c r="B1063" s="63" t="s">
        <v>51</v>
      </c>
      <c r="C1063" s="63" t="s">
        <v>44</v>
      </c>
      <c r="D1063" s="63">
        <v>3.3E-3</v>
      </c>
      <c r="E1063" s="63">
        <v>3.3001000000000003E-2</v>
      </c>
      <c r="F1063" s="63">
        <v>9.9999999999999995E-8</v>
      </c>
      <c r="G1063" s="63" t="s">
        <v>13</v>
      </c>
      <c r="H1063" s="63" t="s">
        <v>11</v>
      </c>
      <c r="I1063" s="63">
        <v>10</v>
      </c>
      <c r="J1063" s="63">
        <v>30</v>
      </c>
      <c r="K1063" s="63" t="s">
        <v>10</v>
      </c>
      <c r="L1063" s="63">
        <v>5.3</v>
      </c>
      <c r="M1063" s="63">
        <v>4600</v>
      </c>
      <c r="N1063" s="63">
        <v>4.6261999999999999</v>
      </c>
      <c r="O1063" s="64">
        <v>4619.6000000000004</v>
      </c>
    </row>
    <row r="1064" spans="1:15" x14ac:dyDescent="0.25">
      <c r="A1064" s="114" t="s">
        <v>1744</v>
      </c>
      <c r="B1064" s="63" t="s">
        <v>51</v>
      </c>
      <c r="C1064" s="63" t="s">
        <v>44</v>
      </c>
      <c r="D1064" s="63">
        <v>0</v>
      </c>
      <c r="E1064" s="63">
        <v>3.3000999999999999E-4</v>
      </c>
      <c r="F1064" s="63">
        <v>9.9999999999999995E-7</v>
      </c>
      <c r="G1064" s="63" t="s">
        <v>13</v>
      </c>
      <c r="H1064" s="63" t="s">
        <v>11</v>
      </c>
      <c r="I1064" s="63">
        <v>0.01</v>
      </c>
      <c r="J1064" s="63">
        <v>2.001E-2</v>
      </c>
      <c r="K1064" s="63" t="s">
        <v>10</v>
      </c>
      <c r="L1064" s="63">
        <v>0.56557999999999997</v>
      </c>
      <c r="M1064" s="63">
        <v>1474.9</v>
      </c>
      <c r="N1064" s="63">
        <v>0.56533</v>
      </c>
      <c r="O1064" s="64">
        <v>1474.5</v>
      </c>
    </row>
    <row r="1065" spans="1:15" x14ac:dyDescent="0.25">
      <c r="A1065" s="114" t="s">
        <v>2395</v>
      </c>
      <c r="B1065" s="63" t="s">
        <v>51</v>
      </c>
      <c r="C1065" s="63" t="s">
        <v>44</v>
      </c>
      <c r="D1065" s="63">
        <v>0</v>
      </c>
      <c r="E1065" s="63">
        <v>3.3000999999999999E-4</v>
      </c>
      <c r="F1065" s="63">
        <v>9.9999999999999995E-7</v>
      </c>
      <c r="G1065" s="63" t="s">
        <v>13</v>
      </c>
      <c r="H1065" s="63" t="s">
        <v>11</v>
      </c>
      <c r="I1065" s="63">
        <v>0.02</v>
      </c>
      <c r="J1065" s="63">
        <v>4.5010000000000001E-2</v>
      </c>
      <c r="K1065" s="63" t="s">
        <v>10</v>
      </c>
      <c r="L1065" s="63">
        <v>0.57237000000000005</v>
      </c>
      <c r="M1065" s="63">
        <v>986.73</v>
      </c>
      <c r="N1065" s="63">
        <v>0.57213000000000003</v>
      </c>
      <c r="O1065" s="64">
        <v>986.13</v>
      </c>
    </row>
    <row r="1066" spans="1:15" x14ac:dyDescent="0.25">
      <c r="A1066" s="114" t="s">
        <v>1746</v>
      </c>
      <c r="B1066" s="63" t="s">
        <v>51</v>
      </c>
      <c r="C1066" s="63" t="s">
        <v>44</v>
      </c>
      <c r="D1066" s="63">
        <v>0</v>
      </c>
      <c r="E1066" s="63">
        <v>3.3000999999999999E-4</v>
      </c>
      <c r="F1066" s="63">
        <v>9.9999999999999995E-7</v>
      </c>
      <c r="G1066" s="63" t="s">
        <v>13</v>
      </c>
      <c r="H1066" s="63" t="s">
        <v>11</v>
      </c>
      <c r="I1066" s="63">
        <v>4.4999999999999998E-2</v>
      </c>
      <c r="J1066" s="63">
        <v>1.0000100000000001</v>
      </c>
      <c r="K1066" s="63" t="s">
        <v>10</v>
      </c>
      <c r="L1066" s="63">
        <v>0.57669999999999999</v>
      </c>
      <c r="M1066" s="63">
        <v>759.64</v>
      </c>
      <c r="N1066" s="63">
        <v>0.57647000000000004</v>
      </c>
      <c r="O1066" s="64">
        <v>758.92</v>
      </c>
    </row>
    <row r="1067" spans="1:15" x14ac:dyDescent="0.25">
      <c r="A1067" s="114" t="s">
        <v>2396</v>
      </c>
      <c r="B1067" s="63" t="s">
        <v>51</v>
      </c>
      <c r="C1067" s="63" t="s">
        <v>44</v>
      </c>
      <c r="D1067" s="63">
        <v>0</v>
      </c>
      <c r="E1067" s="63">
        <v>3.3000999999999999E-4</v>
      </c>
      <c r="F1067" s="63">
        <v>9.9999999999999995E-7</v>
      </c>
      <c r="G1067" s="63" t="s">
        <v>13</v>
      </c>
      <c r="H1067" s="63" t="s">
        <v>11</v>
      </c>
      <c r="I1067" s="63">
        <v>1</v>
      </c>
      <c r="J1067" s="63">
        <v>5.01</v>
      </c>
      <c r="K1067" s="63" t="s">
        <v>10</v>
      </c>
      <c r="L1067" s="63">
        <v>0.56230999999999998</v>
      </c>
      <c r="M1067" s="63">
        <v>2652.9</v>
      </c>
      <c r="N1067" s="63">
        <v>0.56206999999999996</v>
      </c>
      <c r="O1067" s="64">
        <v>2652.8</v>
      </c>
    </row>
    <row r="1068" spans="1:15" x14ac:dyDescent="0.25">
      <c r="A1068" s="114" t="s">
        <v>1745</v>
      </c>
      <c r="B1068" s="63" t="s">
        <v>51</v>
      </c>
      <c r="C1068" s="63" t="s">
        <v>44</v>
      </c>
      <c r="D1068" s="63">
        <v>0</v>
      </c>
      <c r="E1068" s="63">
        <v>3.3000999999999999E-4</v>
      </c>
      <c r="F1068" s="63">
        <v>9.9999999999999995E-7</v>
      </c>
      <c r="G1068" s="63" t="s">
        <v>13</v>
      </c>
      <c r="H1068" s="63" t="s">
        <v>11</v>
      </c>
      <c r="I1068" s="63">
        <v>5</v>
      </c>
      <c r="J1068" s="63">
        <v>10.01</v>
      </c>
      <c r="K1068" s="63" t="s">
        <v>10</v>
      </c>
      <c r="L1068" s="63">
        <v>0.51629999999999998</v>
      </c>
      <c r="M1068" s="63">
        <v>8526.7000000000007</v>
      </c>
      <c r="N1068" s="63">
        <v>0.51576</v>
      </c>
      <c r="O1068" s="64">
        <v>8527.5</v>
      </c>
    </row>
    <row r="1069" spans="1:15" x14ac:dyDescent="0.25">
      <c r="A1069" s="114" t="s">
        <v>2397</v>
      </c>
      <c r="B1069" s="63" t="s">
        <v>51</v>
      </c>
      <c r="C1069" s="63" t="s">
        <v>44</v>
      </c>
      <c r="D1069" s="63">
        <v>0</v>
      </c>
      <c r="E1069" s="63">
        <v>3.3000999999999999E-4</v>
      </c>
      <c r="F1069" s="63">
        <v>9.9999999999999995E-7</v>
      </c>
      <c r="G1069" s="63" t="s">
        <v>13</v>
      </c>
      <c r="H1069" s="63" t="s">
        <v>11</v>
      </c>
      <c r="I1069" s="63">
        <v>10</v>
      </c>
      <c r="J1069" s="63">
        <v>30</v>
      </c>
      <c r="K1069" s="63" t="s">
        <v>10</v>
      </c>
      <c r="L1069" s="63">
        <v>0.62980000000000003</v>
      </c>
      <c r="M1069" s="63">
        <v>18044</v>
      </c>
      <c r="N1069" s="63">
        <v>0.62958000000000003</v>
      </c>
      <c r="O1069" s="64">
        <v>18044</v>
      </c>
    </row>
    <row r="1070" spans="1:15" x14ac:dyDescent="0.25">
      <c r="A1070" s="114" t="s">
        <v>1747</v>
      </c>
      <c r="B1070" s="63" t="s">
        <v>51</v>
      </c>
      <c r="C1070" s="63" t="s">
        <v>44</v>
      </c>
      <c r="D1070" s="63">
        <v>0</v>
      </c>
      <c r="E1070" s="63">
        <v>3.3000999999999999E-4</v>
      </c>
      <c r="F1070" s="63">
        <v>9.9999999999999995E-7</v>
      </c>
      <c r="G1070" s="63" t="s">
        <v>13</v>
      </c>
      <c r="H1070" s="63" t="s">
        <v>11</v>
      </c>
      <c r="I1070" s="63">
        <v>30</v>
      </c>
      <c r="J1070" s="63">
        <v>30.1</v>
      </c>
      <c r="K1070" s="63" t="s">
        <v>10</v>
      </c>
      <c r="L1070" s="63">
        <v>0.62980000000000003</v>
      </c>
      <c r="M1070" s="63">
        <v>18044</v>
      </c>
      <c r="N1070" s="63">
        <v>0.62958000000000003</v>
      </c>
      <c r="O1070" s="64">
        <v>18044</v>
      </c>
    </row>
    <row r="1071" spans="1:15" x14ac:dyDescent="0.25">
      <c r="A1071" s="114" t="s">
        <v>2398</v>
      </c>
      <c r="B1071" s="63" t="s">
        <v>51</v>
      </c>
      <c r="C1071" s="63" t="s">
        <v>44</v>
      </c>
      <c r="D1071" s="63">
        <v>3.3E-4</v>
      </c>
      <c r="E1071" s="63">
        <v>3.3000999999999998E-3</v>
      </c>
      <c r="F1071" s="63">
        <v>9.9999999999999995E-7</v>
      </c>
      <c r="G1071" s="63" t="s">
        <v>13</v>
      </c>
      <c r="H1071" s="63" t="s">
        <v>11</v>
      </c>
      <c r="I1071" s="63">
        <v>0.01</v>
      </c>
      <c r="J1071" s="63">
        <v>2.001E-2</v>
      </c>
      <c r="K1071" s="63" t="s">
        <v>10</v>
      </c>
      <c r="L1071" s="63">
        <v>0.35293999999999998</v>
      </c>
      <c r="M1071" s="63">
        <v>2267.3000000000002</v>
      </c>
      <c r="N1071" s="63">
        <v>0.35227000000000003</v>
      </c>
      <c r="O1071" s="64">
        <v>2267.5</v>
      </c>
    </row>
    <row r="1072" spans="1:15" x14ac:dyDescent="0.25">
      <c r="A1072" s="114" t="s">
        <v>1796</v>
      </c>
      <c r="B1072" s="63" t="s">
        <v>51</v>
      </c>
      <c r="C1072" s="63" t="s">
        <v>44</v>
      </c>
      <c r="D1072" s="63">
        <v>3.3E-4</v>
      </c>
      <c r="E1072" s="63">
        <v>3.3000999999999998E-3</v>
      </c>
      <c r="F1072" s="63">
        <v>9.9999999999999995E-7</v>
      </c>
      <c r="G1072" s="63" t="s">
        <v>13</v>
      </c>
      <c r="H1072" s="63" t="s">
        <v>11</v>
      </c>
      <c r="I1072" s="63">
        <v>0.02</v>
      </c>
      <c r="J1072" s="63">
        <v>4.5010000000000001E-2</v>
      </c>
      <c r="K1072" s="63" t="s">
        <v>10</v>
      </c>
      <c r="L1072" s="63">
        <v>0.41399000000000002</v>
      </c>
      <c r="M1072" s="63">
        <v>1381.1</v>
      </c>
      <c r="N1072" s="63">
        <v>0.41349000000000002</v>
      </c>
      <c r="O1072" s="64">
        <v>1381.2</v>
      </c>
    </row>
    <row r="1073" spans="1:15" x14ac:dyDescent="0.25">
      <c r="A1073" s="114" t="s">
        <v>1794</v>
      </c>
      <c r="B1073" s="63" t="s">
        <v>51</v>
      </c>
      <c r="C1073" s="63" t="s">
        <v>44</v>
      </c>
      <c r="D1073" s="63">
        <v>3.3E-4</v>
      </c>
      <c r="E1073" s="63">
        <v>3.3000999999999998E-3</v>
      </c>
      <c r="F1073" s="63">
        <v>9.9999999999999995E-7</v>
      </c>
      <c r="G1073" s="63" t="s">
        <v>13</v>
      </c>
      <c r="H1073" s="63" t="s">
        <v>11</v>
      </c>
      <c r="I1073" s="63">
        <v>4.4999999999999998E-2</v>
      </c>
      <c r="J1073" s="63">
        <v>1.0000100000000001</v>
      </c>
      <c r="K1073" s="63" t="s">
        <v>10</v>
      </c>
      <c r="L1073" s="63">
        <v>0.43013000000000001</v>
      </c>
      <c r="M1073" s="63">
        <v>1124.2</v>
      </c>
      <c r="N1073" s="63">
        <v>0.44201000000000001</v>
      </c>
      <c r="O1073" s="64">
        <v>1086.4000000000001</v>
      </c>
    </row>
    <row r="1074" spans="1:15" x14ac:dyDescent="0.25">
      <c r="A1074" s="114" t="s">
        <v>1799</v>
      </c>
      <c r="B1074" s="63" t="s">
        <v>51</v>
      </c>
      <c r="C1074" s="63" t="s">
        <v>44</v>
      </c>
      <c r="D1074" s="63">
        <v>3.3E-4</v>
      </c>
      <c r="E1074" s="63">
        <v>3.3000999999999998E-3</v>
      </c>
      <c r="F1074" s="63">
        <v>9.9999999999999995E-7</v>
      </c>
      <c r="G1074" s="63" t="s">
        <v>13</v>
      </c>
      <c r="H1074" s="63" t="s">
        <v>11</v>
      </c>
      <c r="I1074" s="63">
        <v>1</v>
      </c>
      <c r="J1074" s="63">
        <v>5.01</v>
      </c>
      <c r="K1074" s="63" t="s">
        <v>10</v>
      </c>
      <c r="L1074" s="63">
        <v>0.40200999999999998</v>
      </c>
      <c r="M1074" s="63">
        <v>2264.3000000000002</v>
      </c>
      <c r="N1074" s="63">
        <v>0.40155999999999997</v>
      </c>
      <c r="O1074" s="64">
        <v>2264.4</v>
      </c>
    </row>
    <row r="1075" spans="1:15" x14ac:dyDescent="0.25">
      <c r="A1075" s="114" t="s">
        <v>1798</v>
      </c>
      <c r="B1075" s="63" t="s">
        <v>51</v>
      </c>
      <c r="C1075" s="63" t="s">
        <v>44</v>
      </c>
      <c r="D1075" s="63">
        <v>3.3E-4</v>
      </c>
      <c r="E1075" s="63">
        <v>3.3000999999999998E-3</v>
      </c>
      <c r="F1075" s="63">
        <v>9.9999999999999995E-7</v>
      </c>
      <c r="G1075" s="63" t="s">
        <v>13</v>
      </c>
      <c r="H1075" s="63" t="s">
        <v>11</v>
      </c>
      <c r="I1075" s="63">
        <v>5</v>
      </c>
      <c r="J1075" s="63">
        <v>10.01</v>
      </c>
      <c r="K1075" s="63" t="s">
        <v>10</v>
      </c>
      <c r="L1075" s="63">
        <v>0.41769000000000001</v>
      </c>
      <c r="M1075" s="63">
        <v>5779.5</v>
      </c>
      <c r="N1075" s="63">
        <v>0.4264</v>
      </c>
      <c r="O1075" s="64">
        <v>5752</v>
      </c>
    </row>
    <row r="1076" spans="1:15" x14ac:dyDescent="0.25">
      <c r="A1076" s="114" t="s">
        <v>1795</v>
      </c>
      <c r="B1076" s="63" t="s">
        <v>51</v>
      </c>
      <c r="C1076" s="63" t="s">
        <v>44</v>
      </c>
      <c r="D1076" s="63">
        <v>3.3E-4</v>
      </c>
      <c r="E1076" s="63">
        <v>3.3000999999999998E-3</v>
      </c>
      <c r="F1076" s="63">
        <v>9.9999999999999995E-7</v>
      </c>
      <c r="G1076" s="63" t="s">
        <v>13</v>
      </c>
      <c r="H1076" s="63" t="s">
        <v>11</v>
      </c>
      <c r="I1076" s="63">
        <v>10</v>
      </c>
      <c r="J1076" s="63">
        <v>30</v>
      </c>
      <c r="K1076" s="63" t="s">
        <v>10</v>
      </c>
      <c r="L1076" s="63">
        <v>0.7</v>
      </c>
      <c r="M1076" s="63">
        <v>12000</v>
      </c>
      <c r="N1076" s="63">
        <v>0.7339</v>
      </c>
      <c r="O1076" s="64">
        <v>11536</v>
      </c>
    </row>
    <row r="1077" spans="1:15" x14ac:dyDescent="0.25">
      <c r="A1077" s="114" t="s">
        <v>1797</v>
      </c>
      <c r="B1077" s="63" t="s">
        <v>51</v>
      </c>
      <c r="C1077" s="63" t="s">
        <v>44</v>
      </c>
      <c r="D1077" s="63">
        <v>3.3E-4</v>
      </c>
      <c r="E1077" s="63">
        <v>3.3000999999999998E-3</v>
      </c>
      <c r="F1077" s="63">
        <v>9.9999999999999995E-7</v>
      </c>
      <c r="G1077" s="63" t="s">
        <v>13</v>
      </c>
      <c r="H1077" s="63" t="s">
        <v>11</v>
      </c>
      <c r="I1077" s="63">
        <v>30</v>
      </c>
      <c r="J1077" s="63">
        <v>30.1</v>
      </c>
      <c r="K1077" s="63" t="s">
        <v>10</v>
      </c>
      <c r="L1077" s="63">
        <v>0.7</v>
      </c>
      <c r="M1077" s="63">
        <v>12000</v>
      </c>
      <c r="N1077" s="63">
        <v>0.7339</v>
      </c>
      <c r="O1077" s="64">
        <v>11536</v>
      </c>
    </row>
    <row r="1078" spans="1:15" x14ac:dyDescent="0.25">
      <c r="A1078" s="114" t="s">
        <v>1819</v>
      </c>
      <c r="B1078" s="63" t="s">
        <v>51</v>
      </c>
      <c r="C1078" s="63" t="s">
        <v>44</v>
      </c>
      <c r="D1078" s="63">
        <v>3.3E-3</v>
      </c>
      <c r="E1078" s="63">
        <v>3.3001000000000003E-2</v>
      </c>
      <c r="F1078" s="63">
        <v>9.9999999999999995E-7</v>
      </c>
      <c r="G1078" s="63" t="s">
        <v>13</v>
      </c>
      <c r="H1078" s="63" t="s">
        <v>11</v>
      </c>
      <c r="I1078" s="63">
        <v>0.01</v>
      </c>
      <c r="J1078" s="63">
        <v>2.001E-2</v>
      </c>
      <c r="K1078" s="63" t="s">
        <v>10</v>
      </c>
      <c r="L1078" s="63">
        <v>4.0896999999999997</v>
      </c>
      <c r="M1078" s="63">
        <v>2048.8000000000002</v>
      </c>
      <c r="N1078" s="63">
        <v>4.1185</v>
      </c>
      <c r="O1078" s="64">
        <v>2039.5</v>
      </c>
    </row>
    <row r="1079" spans="1:15" x14ac:dyDescent="0.25">
      <c r="A1079" s="114" t="s">
        <v>2399</v>
      </c>
      <c r="B1079" s="63" t="s">
        <v>51</v>
      </c>
      <c r="C1079" s="63" t="s">
        <v>44</v>
      </c>
      <c r="D1079" s="63">
        <v>3.3E-3</v>
      </c>
      <c r="E1079" s="63">
        <v>3.3001000000000003E-2</v>
      </c>
      <c r="F1079" s="63">
        <v>9.9999999999999995E-7</v>
      </c>
      <c r="G1079" s="63" t="s">
        <v>13</v>
      </c>
      <c r="H1079" s="63" t="s">
        <v>11</v>
      </c>
      <c r="I1079" s="63">
        <v>0.02</v>
      </c>
      <c r="J1079" s="63">
        <v>4.5010000000000001E-2</v>
      </c>
      <c r="K1079" s="63" t="s">
        <v>10</v>
      </c>
      <c r="L1079" s="63">
        <v>4.9169999999999998</v>
      </c>
      <c r="M1079" s="63">
        <v>977.92</v>
      </c>
      <c r="N1079" s="63">
        <v>4.9145000000000003</v>
      </c>
      <c r="O1079" s="64">
        <v>977.93</v>
      </c>
    </row>
    <row r="1080" spans="1:15" x14ac:dyDescent="0.25">
      <c r="A1080" s="114" t="s">
        <v>2400</v>
      </c>
      <c r="B1080" s="63" t="s">
        <v>51</v>
      </c>
      <c r="C1080" s="63" t="s">
        <v>44</v>
      </c>
      <c r="D1080" s="63">
        <v>3.3E-3</v>
      </c>
      <c r="E1080" s="63">
        <v>3.3001000000000003E-2</v>
      </c>
      <c r="F1080" s="63">
        <v>9.9999999999999995E-7</v>
      </c>
      <c r="G1080" s="63" t="s">
        <v>13</v>
      </c>
      <c r="H1080" s="63" t="s">
        <v>11</v>
      </c>
      <c r="I1080" s="63">
        <v>4.4999999999999998E-2</v>
      </c>
      <c r="J1080" s="63">
        <v>1.0000100000000001</v>
      </c>
      <c r="K1080" s="63" t="s">
        <v>10</v>
      </c>
      <c r="L1080" s="63">
        <v>5.6395999999999997</v>
      </c>
      <c r="M1080" s="63">
        <v>392.41</v>
      </c>
      <c r="N1080" s="63">
        <v>5.6368999999999998</v>
      </c>
      <c r="O1080" s="64">
        <v>392.36</v>
      </c>
    </row>
    <row r="1081" spans="1:15" x14ac:dyDescent="0.25">
      <c r="A1081" s="114" t="s">
        <v>1821</v>
      </c>
      <c r="B1081" s="63" t="s">
        <v>51</v>
      </c>
      <c r="C1081" s="63" t="s">
        <v>44</v>
      </c>
      <c r="D1081" s="63">
        <v>3.3E-3</v>
      </c>
      <c r="E1081" s="63">
        <v>3.3001000000000003E-2</v>
      </c>
      <c r="F1081" s="63">
        <v>9.9999999999999995E-7</v>
      </c>
      <c r="G1081" s="63" t="s">
        <v>13</v>
      </c>
      <c r="H1081" s="63" t="s">
        <v>11</v>
      </c>
      <c r="I1081" s="63">
        <v>1</v>
      </c>
      <c r="J1081" s="63">
        <v>5.01</v>
      </c>
      <c r="K1081" s="63" t="s">
        <v>10</v>
      </c>
      <c r="L1081" s="63">
        <v>5.0491000000000001</v>
      </c>
      <c r="M1081" s="63">
        <v>857.92</v>
      </c>
      <c r="N1081" s="63">
        <v>5.0465999999999998</v>
      </c>
      <c r="O1081" s="64">
        <v>857.92</v>
      </c>
    </row>
    <row r="1082" spans="1:15" x14ac:dyDescent="0.25">
      <c r="A1082" s="114" t="s">
        <v>1820</v>
      </c>
      <c r="B1082" s="63" t="s">
        <v>51</v>
      </c>
      <c r="C1082" s="63" t="s">
        <v>44</v>
      </c>
      <c r="D1082" s="63">
        <v>3.3E-3</v>
      </c>
      <c r="E1082" s="63">
        <v>3.3001000000000003E-2</v>
      </c>
      <c r="F1082" s="63">
        <v>9.9999999999999995E-7</v>
      </c>
      <c r="G1082" s="63" t="s">
        <v>13</v>
      </c>
      <c r="H1082" s="63" t="s">
        <v>11</v>
      </c>
      <c r="I1082" s="63">
        <v>5</v>
      </c>
      <c r="J1082" s="63">
        <v>10.01</v>
      </c>
      <c r="K1082" s="63" t="s">
        <v>10</v>
      </c>
      <c r="L1082" s="63">
        <v>5.0186000000000002</v>
      </c>
      <c r="M1082" s="63">
        <v>2268.6999999999998</v>
      </c>
      <c r="N1082" s="63">
        <v>5.0129000000000001</v>
      </c>
      <c r="O1082" s="64">
        <v>2268.8000000000002</v>
      </c>
    </row>
    <row r="1083" spans="1:15" x14ac:dyDescent="0.25">
      <c r="A1083" s="114" t="s">
        <v>1818</v>
      </c>
      <c r="B1083" s="63" t="s">
        <v>51</v>
      </c>
      <c r="C1083" s="63" t="s">
        <v>44</v>
      </c>
      <c r="D1083" s="63">
        <v>3.3E-3</v>
      </c>
      <c r="E1083" s="63">
        <v>3.3001000000000003E-2</v>
      </c>
      <c r="F1083" s="63">
        <v>9.9999999999999995E-7</v>
      </c>
      <c r="G1083" s="63" t="s">
        <v>13</v>
      </c>
      <c r="H1083" s="63" t="s">
        <v>11</v>
      </c>
      <c r="I1083" s="63">
        <v>10</v>
      </c>
      <c r="J1083" s="63">
        <v>30</v>
      </c>
      <c r="K1083" s="63" t="s">
        <v>10</v>
      </c>
      <c r="L1083" s="63">
        <v>5.5293999999999999</v>
      </c>
      <c r="M1083" s="63">
        <v>4595.5</v>
      </c>
      <c r="N1083" s="63">
        <v>5.5179</v>
      </c>
      <c r="O1083" s="64">
        <v>4595.8</v>
      </c>
    </row>
    <row r="1084" spans="1:15" x14ac:dyDescent="0.25">
      <c r="A1084" s="114" t="s">
        <v>1837</v>
      </c>
      <c r="B1084" s="63" t="s">
        <v>51</v>
      </c>
      <c r="C1084" s="63" t="s">
        <v>44</v>
      </c>
      <c r="D1084" s="63">
        <v>3.3000000000000002E-2</v>
      </c>
      <c r="E1084" s="63">
        <v>0.33001000000000003</v>
      </c>
      <c r="F1084" s="63">
        <v>9.9999999999999995E-7</v>
      </c>
      <c r="G1084" s="63" t="s">
        <v>13</v>
      </c>
      <c r="H1084" s="63" t="s">
        <v>12</v>
      </c>
      <c r="I1084" s="63">
        <v>0.01</v>
      </c>
      <c r="J1084" s="63">
        <v>2.001E-2</v>
      </c>
      <c r="K1084" s="63" t="s">
        <v>10</v>
      </c>
      <c r="L1084" s="63">
        <v>2.3E-2</v>
      </c>
      <c r="M1084" s="63">
        <v>2.1</v>
      </c>
      <c r="N1084" s="63">
        <v>2.2917E-2</v>
      </c>
      <c r="O1084" s="64">
        <v>2.0907</v>
      </c>
    </row>
    <row r="1085" spans="1:15" x14ac:dyDescent="0.25">
      <c r="A1085" s="114" t="s">
        <v>1835</v>
      </c>
      <c r="B1085" s="63" t="s">
        <v>51</v>
      </c>
      <c r="C1085" s="63" t="s">
        <v>44</v>
      </c>
      <c r="D1085" s="63">
        <v>3.3000000000000002E-2</v>
      </c>
      <c r="E1085" s="63">
        <v>0.33001000000000003</v>
      </c>
      <c r="F1085" s="63">
        <v>9.9999999999999995E-7</v>
      </c>
      <c r="G1085" s="63" t="s">
        <v>13</v>
      </c>
      <c r="H1085" s="63" t="s">
        <v>12</v>
      </c>
      <c r="I1085" s="63">
        <v>0.02</v>
      </c>
      <c r="J1085" s="63">
        <v>4.5010000000000001E-2</v>
      </c>
      <c r="K1085" s="63" t="s">
        <v>10</v>
      </c>
      <c r="L1085" s="63">
        <v>3.7999999999999999E-2</v>
      </c>
      <c r="M1085" s="63">
        <v>1</v>
      </c>
      <c r="N1085" s="63">
        <v>2.3094E-2</v>
      </c>
      <c r="O1085" s="64">
        <v>1.0436000000000001</v>
      </c>
    </row>
    <row r="1086" spans="1:15" x14ac:dyDescent="0.25">
      <c r="A1086" s="114" t="s">
        <v>1831</v>
      </c>
      <c r="B1086" s="63" t="s">
        <v>51</v>
      </c>
      <c r="C1086" s="63" t="s">
        <v>44</v>
      </c>
      <c r="D1086" s="63">
        <v>3.3000000000000002E-2</v>
      </c>
      <c r="E1086" s="63">
        <v>0.33001000000000003</v>
      </c>
      <c r="F1086" s="63">
        <v>9.9999999999999995E-7</v>
      </c>
      <c r="G1086" s="63" t="s">
        <v>13</v>
      </c>
      <c r="H1086" s="63" t="s">
        <v>12</v>
      </c>
      <c r="I1086" s="63">
        <v>4.4999999999999998E-2</v>
      </c>
      <c r="J1086" s="63">
        <v>1.0000100000000001</v>
      </c>
      <c r="K1086" s="63" t="s">
        <v>10</v>
      </c>
      <c r="L1086" s="63">
        <v>2.4E-2</v>
      </c>
      <c r="M1086" s="63">
        <v>0.47</v>
      </c>
      <c r="N1086" s="63">
        <v>2.282E-2</v>
      </c>
      <c r="O1086" s="64">
        <v>0.47204000000000002</v>
      </c>
    </row>
    <row r="1087" spans="1:15" x14ac:dyDescent="0.25">
      <c r="A1087" s="114" t="s">
        <v>1836</v>
      </c>
      <c r="B1087" s="63" t="s">
        <v>51</v>
      </c>
      <c r="C1087" s="63" t="s">
        <v>44</v>
      </c>
      <c r="D1087" s="63">
        <v>3.3000000000000002E-2</v>
      </c>
      <c r="E1087" s="63">
        <v>0.33001000000000003</v>
      </c>
      <c r="F1087" s="63">
        <v>9.9999999999999995E-7</v>
      </c>
      <c r="G1087" s="63" t="s">
        <v>13</v>
      </c>
      <c r="H1087" s="63" t="s">
        <v>12</v>
      </c>
      <c r="I1087" s="63">
        <v>1</v>
      </c>
      <c r="J1087" s="63">
        <v>5.01</v>
      </c>
      <c r="K1087" s="63" t="s">
        <v>10</v>
      </c>
      <c r="L1087" s="63">
        <v>5.8000000000000003E-2</v>
      </c>
      <c r="M1087" s="63">
        <v>1.2</v>
      </c>
      <c r="N1087" s="63">
        <v>5.7624000000000002E-2</v>
      </c>
      <c r="O1087" s="64">
        <v>1.1588000000000001</v>
      </c>
    </row>
    <row r="1088" spans="1:15" x14ac:dyDescent="0.25">
      <c r="A1088" s="114" t="s">
        <v>1833</v>
      </c>
      <c r="B1088" s="63" t="s">
        <v>51</v>
      </c>
      <c r="C1088" s="63" t="s">
        <v>44</v>
      </c>
      <c r="D1088" s="63">
        <v>3.3000000000000002E-2</v>
      </c>
      <c r="E1088" s="63">
        <v>0.33001000000000003</v>
      </c>
      <c r="F1088" s="63">
        <v>9.9999999999999995E-7</v>
      </c>
      <c r="G1088" s="63" t="s">
        <v>13</v>
      </c>
      <c r="H1088" s="63" t="s">
        <v>12</v>
      </c>
      <c r="I1088" s="63">
        <v>5</v>
      </c>
      <c r="J1088" s="63">
        <v>10.01</v>
      </c>
      <c r="K1088" s="63" t="s">
        <v>10</v>
      </c>
      <c r="L1088" s="63">
        <v>0.12</v>
      </c>
      <c r="M1088" s="63">
        <v>2.2999999999999998</v>
      </c>
      <c r="N1088" s="63">
        <v>0.11543</v>
      </c>
      <c r="O1088" s="64">
        <v>2.3113999999999999</v>
      </c>
    </row>
    <row r="1089" spans="1:15" x14ac:dyDescent="0.25">
      <c r="A1089" s="114" t="s">
        <v>1834</v>
      </c>
      <c r="B1089" s="63" t="s">
        <v>51</v>
      </c>
      <c r="C1089" s="63" t="s">
        <v>44</v>
      </c>
      <c r="D1089" s="63">
        <v>3.3000000000000002E-2</v>
      </c>
      <c r="E1089" s="63">
        <v>0.33001000000000003</v>
      </c>
      <c r="F1089" s="63">
        <v>9.9999999999999995E-7</v>
      </c>
      <c r="G1089" s="63" t="s">
        <v>13</v>
      </c>
      <c r="H1089" s="63" t="s">
        <v>12</v>
      </c>
      <c r="I1089" s="63">
        <v>10</v>
      </c>
      <c r="J1089" s="63">
        <v>30</v>
      </c>
      <c r="K1089" s="63" t="s">
        <v>10</v>
      </c>
      <c r="L1089" s="63">
        <v>0.24</v>
      </c>
      <c r="M1089" s="63">
        <v>4.5999999999999996</v>
      </c>
      <c r="N1089" s="63">
        <v>0.23085</v>
      </c>
      <c r="O1089" s="64">
        <v>4.6219000000000001</v>
      </c>
    </row>
    <row r="1090" spans="1:15" x14ac:dyDescent="0.25">
      <c r="A1090" s="114" t="s">
        <v>1832</v>
      </c>
      <c r="B1090" s="63" t="s">
        <v>51</v>
      </c>
      <c r="C1090" s="63" t="s">
        <v>44</v>
      </c>
      <c r="D1090" s="63">
        <v>3.3000000000000002E-2</v>
      </c>
      <c r="E1090" s="63">
        <v>0.33001000000000003</v>
      </c>
      <c r="F1090" s="63">
        <v>9.9999999999999995E-7</v>
      </c>
      <c r="G1090" s="63" t="s">
        <v>13</v>
      </c>
      <c r="H1090" s="63" t="s">
        <v>12</v>
      </c>
      <c r="I1090" s="63">
        <v>30</v>
      </c>
      <c r="J1090" s="63">
        <v>30.01</v>
      </c>
      <c r="K1090" s="63" t="s">
        <v>10</v>
      </c>
      <c r="L1090" s="63">
        <v>0.24</v>
      </c>
      <c r="M1090" s="63">
        <v>4.5999999999999996</v>
      </c>
      <c r="N1090" s="63">
        <v>0.23085</v>
      </c>
      <c r="O1090" s="64">
        <v>4.6219000000000001</v>
      </c>
    </row>
    <row r="1091" spans="1:15" x14ac:dyDescent="0.25">
      <c r="A1091" s="114" t="s">
        <v>1750</v>
      </c>
      <c r="B1091" s="63" t="s">
        <v>51</v>
      </c>
      <c r="C1091" s="63" t="s">
        <v>44</v>
      </c>
      <c r="D1091" s="63">
        <v>0</v>
      </c>
      <c r="E1091" s="63">
        <v>3.3000999999999999E-4</v>
      </c>
      <c r="F1091" s="63">
        <v>1.0000000000000001E-5</v>
      </c>
      <c r="G1091" s="63" t="s">
        <v>13</v>
      </c>
      <c r="H1091" s="63" t="s">
        <v>11</v>
      </c>
      <c r="I1091" s="63">
        <v>0.01</v>
      </c>
      <c r="J1091" s="63">
        <v>2.001E-2</v>
      </c>
      <c r="K1091" s="63" t="s">
        <v>10</v>
      </c>
      <c r="L1091" s="63">
        <v>5.7994000000000003</v>
      </c>
      <c r="M1091" s="63">
        <v>124.28</v>
      </c>
      <c r="N1091" s="63">
        <v>5.7992999999999997</v>
      </c>
      <c r="O1091" s="64">
        <v>123.73</v>
      </c>
    </row>
    <row r="1092" spans="1:15" x14ac:dyDescent="0.25">
      <c r="A1092" s="114" t="s">
        <v>2401</v>
      </c>
      <c r="B1092" s="63" t="s">
        <v>51</v>
      </c>
      <c r="C1092" s="63" t="s">
        <v>44</v>
      </c>
      <c r="D1092" s="63">
        <v>0</v>
      </c>
      <c r="E1092" s="63">
        <v>3.3000999999999999E-4</v>
      </c>
      <c r="F1092" s="63">
        <v>1.0000000000000001E-5</v>
      </c>
      <c r="G1092" s="63" t="s">
        <v>13</v>
      </c>
      <c r="H1092" s="63" t="s">
        <v>11</v>
      </c>
      <c r="I1092" s="63">
        <v>0.02</v>
      </c>
      <c r="J1092" s="63">
        <v>4.5010000000000001E-2</v>
      </c>
      <c r="K1092" s="63" t="s">
        <v>10</v>
      </c>
      <c r="L1092" s="63">
        <v>5.7723000000000004</v>
      </c>
      <c r="M1092" s="63">
        <v>128.02000000000001</v>
      </c>
      <c r="N1092" s="63">
        <v>5.7721999999999998</v>
      </c>
      <c r="O1092" s="64">
        <v>127.48</v>
      </c>
    </row>
    <row r="1093" spans="1:15" x14ac:dyDescent="0.25">
      <c r="A1093" s="114" t="s">
        <v>1751</v>
      </c>
      <c r="B1093" s="63" t="s">
        <v>51</v>
      </c>
      <c r="C1093" s="63" t="s">
        <v>44</v>
      </c>
      <c r="D1093" s="63">
        <v>0</v>
      </c>
      <c r="E1093" s="63">
        <v>3.3000999999999999E-4</v>
      </c>
      <c r="F1093" s="63">
        <v>1.0000000000000001E-5</v>
      </c>
      <c r="G1093" s="63" t="s">
        <v>13</v>
      </c>
      <c r="H1093" s="63" t="s">
        <v>11</v>
      </c>
      <c r="I1093" s="63">
        <v>4.4999999999999998E-2</v>
      </c>
      <c r="J1093" s="63">
        <v>1.0000100000000001</v>
      </c>
      <c r="K1093" s="63" t="s">
        <v>10</v>
      </c>
      <c r="L1093" s="63">
        <v>5.7731000000000003</v>
      </c>
      <c r="M1093" s="63">
        <v>93.963999999999999</v>
      </c>
      <c r="N1093" s="63">
        <v>5.7729999999999997</v>
      </c>
      <c r="O1093" s="64">
        <v>93.42</v>
      </c>
    </row>
    <row r="1094" spans="1:15" x14ac:dyDescent="0.25">
      <c r="A1094" s="114" t="s">
        <v>1752</v>
      </c>
      <c r="B1094" s="63" t="s">
        <v>51</v>
      </c>
      <c r="C1094" s="63" t="s">
        <v>44</v>
      </c>
      <c r="D1094" s="63">
        <v>0</v>
      </c>
      <c r="E1094" s="63">
        <v>3.3000999999999999E-4</v>
      </c>
      <c r="F1094" s="63">
        <v>1.0000000000000001E-5</v>
      </c>
      <c r="G1094" s="63" t="s">
        <v>13</v>
      </c>
      <c r="H1094" s="63" t="s">
        <v>11</v>
      </c>
      <c r="I1094" s="63">
        <v>1</v>
      </c>
      <c r="J1094" s="63">
        <v>5.01</v>
      </c>
      <c r="K1094" s="63" t="s">
        <v>10</v>
      </c>
      <c r="L1094" s="63">
        <v>5.7664999999999997</v>
      </c>
      <c r="M1094" s="63">
        <v>471.27</v>
      </c>
      <c r="N1094" s="63">
        <v>5.7664</v>
      </c>
      <c r="O1094" s="64">
        <v>470.74</v>
      </c>
    </row>
    <row r="1095" spans="1:15" x14ac:dyDescent="0.25">
      <c r="A1095" s="114" t="s">
        <v>1749</v>
      </c>
      <c r="B1095" s="63" t="s">
        <v>51</v>
      </c>
      <c r="C1095" s="63" t="s">
        <v>44</v>
      </c>
      <c r="D1095" s="63">
        <v>0</v>
      </c>
      <c r="E1095" s="63">
        <v>3.3000999999999999E-4</v>
      </c>
      <c r="F1095" s="63">
        <v>1.0000000000000001E-5</v>
      </c>
      <c r="G1095" s="63" t="s">
        <v>13</v>
      </c>
      <c r="H1095" s="63" t="s">
        <v>11</v>
      </c>
      <c r="I1095" s="63">
        <v>5</v>
      </c>
      <c r="J1095" s="63">
        <v>10.01</v>
      </c>
      <c r="K1095" s="63" t="s">
        <v>10</v>
      </c>
      <c r="L1095" s="63">
        <v>5.7138999999999998</v>
      </c>
      <c r="M1095" s="63">
        <v>2807.7</v>
      </c>
      <c r="N1095" s="63">
        <v>5.7137000000000002</v>
      </c>
      <c r="O1095" s="64">
        <v>2806.8</v>
      </c>
    </row>
    <row r="1096" spans="1:15" x14ac:dyDescent="0.25">
      <c r="A1096" s="114" t="s">
        <v>1748</v>
      </c>
      <c r="B1096" s="63" t="s">
        <v>51</v>
      </c>
      <c r="C1096" s="63" t="s">
        <v>44</v>
      </c>
      <c r="D1096" s="63">
        <v>0</v>
      </c>
      <c r="E1096" s="63">
        <v>3.3000999999999999E-4</v>
      </c>
      <c r="F1096" s="63">
        <v>1.0000000000000001E-5</v>
      </c>
      <c r="G1096" s="63" t="s">
        <v>13</v>
      </c>
      <c r="H1096" s="63" t="s">
        <v>11</v>
      </c>
      <c r="I1096" s="63">
        <v>10</v>
      </c>
      <c r="J1096" s="63">
        <v>30</v>
      </c>
      <c r="K1096" s="63" t="s">
        <v>10</v>
      </c>
      <c r="L1096" s="63">
        <v>5.5819999999999999</v>
      </c>
      <c r="M1096" s="63">
        <v>9564.6</v>
      </c>
      <c r="N1096" s="63">
        <v>5.5818000000000003</v>
      </c>
      <c r="O1096" s="64">
        <v>9564.1</v>
      </c>
    </row>
    <row r="1097" spans="1:15" x14ac:dyDescent="0.25">
      <c r="A1097" s="114" t="s">
        <v>2402</v>
      </c>
      <c r="B1097" s="63" t="s">
        <v>51</v>
      </c>
      <c r="C1097" s="63" t="s">
        <v>44</v>
      </c>
      <c r="D1097" s="63">
        <v>0</v>
      </c>
      <c r="E1097" s="63">
        <v>3.3000999999999999E-4</v>
      </c>
      <c r="F1097" s="63">
        <v>1.0000000000000001E-5</v>
      </c>
      <c r="G1097" s="63" t="s">
        <v>13</v>
      </c>
      <c r="H1097" s="63" t="s">
        <v>11</v>
      </c>
      <c r="I1097" s="63">
        <v>30</v>
      </c>
      <c r="J1097" s="63">
        <v>30.1</v>
      </c>
      <c r="K1097" s="63" t="s">
        <v>10</v>
      </c>
      <c r="L1097" s="63">
        <v>5.5819999999999999</v>
      </c>
      <c r="M1097" s="63">
        <v>9564.6</v>
      </c>
      <c r="N1097" s="63">
        <v>5.5818000000000003</v>
      </c>
      <c r="O1097" s="64">
        <v>9564.1</v>
      </c>
    </row>
    <row r="1098" spans="1:15" x14ac:dyDescent="0.25">
      <c r="A1098" s="114" t="s">
        <v>1801</v>
      </c>
      <c r="B1098" s="63" t="s">
        <v>51</v>
      </c>
      <c r="C1098" s="63" t="s">
        <v>44</v>
      </c>
      <c r="D1098" s="63">
        <v>3.3E-4</v>
      </c>
      <c r="E1098" s="63">
        <v>3.3000999999999998E-3</v>
      </c>
      <c r="F1098" s="63">
        <v>1.0000000000000001E-5</v>
      </c>
      <c r="G1098" s="63" t="s">
        <v>13</v>
      </c>
      <c r="H1098" s="63" t="s">
        <v>11</v>
      </c>
      <c r="I1098" s="63">
        <v>0.01</v>
      </c>
      <c r="J1098" s="63">
        <v>2.001E-2</v>
      </c>
      <c r="K1098" s="63" t="s">
        <v>10</v>
      </c>
      <c r="L1098" s="63">
        <v>5.4199000000000002</v>
      </c>
      <c r="M1098" s="63">
        <v>1301.8</v>
      </c>
      <c r="N1098" s="63">
        <v>5.4195000000000002</v>
      </c>
      <c r="O1098" s="64">
        <v>1301.8</v>
      </c>
    </row>
    <row r="1099" spans="1:15" x14ac:dyDescent="0.25">
      <c r="A1099" s="114" t="s">
        <v>1802</v>
      </c>
      <c r="B1099" s="63" t="s">
        <v>51</v>
      </c>
      <c r="C1099" s="63" t="s">
        <v>44</v>
      </c>
      <c r="D1099" s="63">
        <v>3.3E-4</v>
      </c>
      <c r="E1099" s="63">
        <v>3.3000999999999998E-3</v>
      </c>
      <c r="F1099" s="63">
        <v>1.0000000000000001E-5</v>
      </c>
      <c r="G1099" s="63" t="s">
        <v>13</v>
      </c>
      <c r="H1099" s="63" t="s">
        <v>11</v>
      </c>
      <c r="I1099" s="63">
        <v>0.02</v>
      </c>
      <c r="J1099" s="63">
        <v>4.5010000000000001E-2</v>
      </c>
      <c r="K1099" s="63" t="s">
        <v>10</v>
      </c>
      <c r="L1099" s="63">
        <v>5.6117999999999997</v>
      </c>
      <c r="M1099" s="63">
        <v>601.75</v>
      </c>
      <c r="N1099" s="63">
        <v>5.6113999999999997</v>
      </c>
      <c r="O1099" s="64">
        <v>601.72</v>
      </c>
    </row>
    <row r="1100" spans="1:15" x14ac:dyDescent="0.25">
      <c r="A1100" s="114" t="s">
        <v>1800</v>
      </c>
      <c r="B1100" s="63" t="s">
        <v>51</v>
      </c>
      <c r="C1100" s="63" t="s">
        <v>44</v>
      </c>
      <c r="D1100" s="63">
        <v>3.3E-4</v>
      </c>
      <c r="E1100" s="63">
        <v>3.3000999999999998E-3</v>
      </c>
      <c r="F1100" s="63">
        <v>1.0000000000000001E-5</v>
      </c>
      <c r="G1100" s="63" t="s">
        <v>13</v>
      </c>
      <c r="H1100" s="63" t="s">
        <v>11</v>
      </c>
      <c r="I1100" s="63">
        <v>4.4999999999999998E-2</v>
      </c>
      <c r="J1100" s="63">
        <v>1.0000100000000001</v>
      </c>
      <c r="K1100" s="63" t="s">
        <v>10</v>
      </c>
      <c r="L1100" s="63">
        <v>5.6654</v>
      </c>
      <c r="M1100" s="63">
        <v>409.29</v>
      </c>
      <c r="N1100" s="63">
        <v>5.6650999999999998</v>
      </c>
      <c r="O1100" s="64">
        <v>409.25</v>
      </c>
    </row>
    <row r="1101" spans="1:15" x14ac:dyDescent="0.25">
      <c r="A1101" s="114" t="s">
        <v>2403</v>
      </c>
      <c r="B1101" s="63" t="s">
        <v>51</v>
      </c>
      <c r="C1101" s="63" t="s">
        <v>44</v>
      </c>
      <c r="D1101" s="63">
        <v>3.3E-4</v>
      </c>
      <c r="E1101" s="63">
        <v>3.3000999999999998E-3</v>
      </c>
      <c r="F1101" s="63">
        <v>1.0000000000000001E-5</v>
      </c>
      <c r="G1101" s="63" t="s">
        <v>13</v>
      </c>
      <c r="H1101" s="63" t="s">
        <v>11</v>
      </c>
      <c r="I1101" s="63">
        <v>1</v>
      </c>
      <c r="J1101" s="63">
        <v>5.01</v>
      </c>
      <c r="K1101" s="63" t="s">
        <v>10</v>
      </c>
      <c r="L1101" s="63">
        <v>5.4265999999999996</v>
      </c>
      <c r="M1101" s="63">
        <v>1309.3</v>
      </c>
      <c r="N1101" s="63">
        <v>5.4263000000000003</v>
      </c>
      <c r="O1101" s="64">
        <v>1309.3</v>
      </c>
    </row>
    <row r="1102" spans="1:15" x14ac:dyDescent="0.25">
      <c r="A1102" s="114" t="s">
        <v>2404</v>
      </c>
      <c r="B1102" s="63" t="s">
        <v>51</v>
      </c>
      <c r="C1102" s="63" t="s">
        <v>44</v>
      </c>
      <c r="D1102" s="63">
        <v>3.3E-4</v>
      </c>
      <c r="E1102" s="63">
        <v>3.3000999999999998E-3</v>
      </c>
      <c r="F1102" s="63">
        <v>1.0000000000000001E-5</v>
      </c>
      <c r="G1102" s="63" t="s">
        <v>13</v>
      </c>
      <c r="H1102" s="63" t="s">
        <v>11</v>
      </c>
      <c r="I1102" s="63">
        <v>5</v>
      </c>
      <c r="J1102" s="63">
        <v>10.01</v>
      </c>
      <c r="K1102" s="63" t="s">
        <v>10</v>
      </c>
      <c r="L1102" s="63">
        <v>4.6372999999999998</v>
      </c>
      <c r="M1102" s="63">
        <v>4728.3</v>
      </c>
      <c r="N1102" s="63">
        <v>4.6368999999999998</v>
      </c>
      <c r="O1102" s="64">
        <v>4728.3</v>
      </c>
    </row>
    <row r="1103" spans="1:15" x14ac:dyDescent="0.25">
      <c r="A1103" s="114" t="s">
        <v>1803</v>
      </c>
      <c r="B1103" s="63" t="s">
        <v>51</v>
      </c>
      <c r="C1103" s="63" t="s">
        <v>44</v>
      </c>
      <c r="D1103" s="63">
        <v>3.3E-4</v>
      </c>
      <c r="E1103" s="63">
        <v>3.3000999999999998E-3</v>
      </c>
      <c r="F1103" s="63">
        <v>1.0000000000000001E-5</v>
      </c>
      <c r="G1103" s="63" t="s">
        <v>13</v>
      </c>
      <c r="H1103" s="63" t="s">
        <v>11</v>
      </c>
      <c r="I1103" s="63">
        <v>10</v>
      </c>
      <c r="J1103" s="63">
        <v>30</v>
      </c>
      <c r="K1103" s="63" t="s">
        <v>10</v>
      </c>
      <c r="L1103" s="63">
        <v>3.6591999999999998</v>
      </c>
      <c r="M1103" s="63">
        <v>11103</v>
      </c>
      <c r="N1103" s="63">
        <v>3.7772999999999999</v>
      </c>
      <c r="O1103" s="64">
        <v>10742</v>
      </c>
    </row>
    <row r="1104" spans="1:15" x14ac:dyDescent="0.25">
      <c r="A1104" s="114" t="s">
        <v>2405</v>
      </c>
      <c r="B1104" s="63" t="s">
        <v>51</v>
      </c>
      <c r="C1104" s="63" t="s">
        <v>44</v>
      </c>
      <c r="D1104" s="63">
        <v>3.3E-4</v>
      </c>
      <c r="E1104" s="63">
        <v>3.3000999999999998E-3</v>
      </c>
      <c r="F1104" s="63">
        <v>1.0000000000000001E-5</v>
      </c>
      <c r="G1104" s="63" t="s">
        <v>13</v>
      </c>
      <c r="H1104" s="63" t="s">
        <v>11</v>
      </c>
      <c r="I1104" s="63">
        <v>30</v>
      </c>
      <c r="J1104" s="63">
        <v>30.1</v>
      </c>
      <c r="K1104" s="63" t="s">
        <v>10</v>
      </c>
      <c r="L1104" s="63">
        <v>3.6591999999999998</v>
      </c>
      <c r="M1104" s="63">
        <v>11103</v>
      </c>
      <c r="N1104" s="63">
        <v>3.7772999999999999</v>
      </c>
      <c r="O1104" s="64">
        <v>10742</v>
      </c>
    </row>
    <row r="1105" spans="1:15" x14ac:dyDescent="0.25">
      <c r="A1105" s="114" t="s">
        <v>1823</v>
      </c>
      <c r="B1105" s="63" t="s">
        <v>51</v>
      </c>
      <c r="C1105" s="63" t="s">
        <v>44</v>
      </c>
      <c r="D1105" s="63">
        <v>3.3E-3</v>
      </c>
      <c r="E1105" s="63">
        <v>3.3001000000000003E-2</v>
      </c>
      <c r="F1105" s="63">
        <v>1.0000000000000001E-5</v>
      </c>
      <c r="G1105" s="63" t="s">
        <v>13</v>
      </c>
      <c r="H1105" s="63" t="s">
        <v>11</v>
      </c>
      <c r="I1105" s="63">
        <v>0.01</v>
      </c>
      <c r="J1105" s="63">
        <v>2.001E-2</v>
      </c>
      <c r="K1105" s="63" t="s">
        <v>10</v>
      </c>
      <c r="L1105" s="63">
        <v>54.774000000000001</v>
      </c>
      <c r="M1105" s="63">
        <v>1117.8</v>
      </c>
      <c r="N1105" s="63">
        <v>54.773000000000003</v>
      </c>
      <c r="O1105" s="64">
        <v>1117.7</v>
      </c>
    </row>
    <row r="1106" spans="1:15" x14ac:dyDescent="0.25">
      <c r="A1106" s="114" t="s">
        <v>1824</v>
      </c>
      <c r="B1106" s="63" t="s">
        <v>51</v>
      </c>
      <c r="C1106" s="63" t="s">
        <v>44</v>
      </c>
      <c r="D1106" s="63">
        <v>3.3E-3</v>
      </c>
      <c r="E1106" s="63">
        <v>3.3001000000000003E-2</v>
      </c>
      <c r="F1106" s="63">
        <v>1.0000000000000001E-5</v>
      </c>
      <c r="G1106" s="63" t="s">
        <v>13</v>
      </c>
      <c r="H1106" s="63" t="s">
        <v>11</v>
      </c>
      <c r="I1106" s="63">
        <v>0.02</v>
      </c>
      <c r="J1106" s="63">
        <v>4.5010000000000001E-2</v>
      </c>
      <c r="K1106" s="63" t="s">
        <v>10</v>
      </c>
      <c r="L1106" s="63">
        <v>56.865000000000002</v>
      </c>
      <c r="M1106" s="63">
        <v>350.66</v>
      </c>
      <c r="N1106" s="63">
        <v>56.863</v>
      </c>
      <c r="O1106" s="64">
        <v>350.55</v>
      </c>
    </row>
    <row r="1107" spans="1:15" x14ac:dyDescent="0.25">
      <c r="A1107" s="114" t="s">
        <v>1825</v>
      </c>
      <c r="B1107" s="63" t="s">
        <v>51</v>
      </c>
      <c r="C1107" s="63" t="s">
        <v>44</v>
      </c>
      <c r="D1107" s="63">
        <v>3.3E-3</v>
      </c>
      <c r="E1107" s="63">
        <v>3.3001000000000003E-2</v>
      </c>
      <c r="F1107" s="63">
        <v>1.0000000000000001E-5</v>
      </c>
      <c r="G1107" s="63" t="s">
        <v>13</v>
      </c>
      <c r="H1107" s="63" t="s">
        <v>11</v>
      </c>
      <c r="I1107" s="63">
        <v>4.4999999999999998E-2</v>
      </c>
      <c r="J1107" s="63">
        <v>1.0000100000000001</v>
      </c>
      <c r="K1107" s="63" t="s">
        <v>10</v>
      </c>
      <c r="L1107" s="63">
        <v>57.584000000000003</v>
      </c>
      <c r="M1107" s="63">
        <v>84.81</v>
      </c>
      <c r="N1107" s="63">
        <v>57.582999999999998</v>
      </c>
      <c r="O1107" s="64">
        <v>84.671999999999997</v>
      </c>
    </row>
    <row r="1108" spans="1:15" x14ac:dyDescent="0.25">
      <c r="A1108" s="114" t="s">
        <v>2406</v>
      </c>
      <c r="B1108" s="63" t="s">
        <v>51</v>
      </c>
      <c r="C1108" s="63" t="s">
        <v>44</v>
      </c>
      <c r="D1108" s="63">
        <v>3.3E-3</v>
      </c>
      <c r="E1108" s="63">
        <v>3.3001000000000003E-2</v>
      </c>
      <c r="F1108" s="63">
        <v>1.0000000000000001E-5</v>
      </c>
      <c r="G1108" s="63" t="s">
        <v>13</v>
      </c>
      <c r="H1108" s="63" t="s">
        <v>11</v>
      </c>
      <c r="I1108" s="63">
        <v>1</v>
      </c>
      <c r="J1108" s="63">
        <v>5.01</v>
      </c>
      <c r="K1108" s="63" t="s">
        <v>10</v>
      </c>
      <c r="L1108" s="63">
        <v>57.046999999999997</v>
      </c>
      <c r="M1108" s="63">
        <v>284.47000000000003</v>
      </c>
      <c r="N1108" s="63">
        <v>57.045000000000002</v>
      </c>
      <c r="O1108" s="64">
        <v>284.35000000000002</v>
      </c>
    </row>
    <row r="1109" spans="1:15" x14ac:dyDescent="0.25">
      <c r="A1109" s="114" t="s">
        <v>2407</v>
      </c>
      <c r="B1109" s="63" t="s">
        <v>51</v>
      </c>
      <c r="C1109" s="63" t="s">
        <v>44</v>
      </c>
      <c r="D1109" s="63">
        <v>3.3E-3</v>
      </c>
      <c r="E1109" s="63">
        <v>3.3001000000000003E-2</v>
      </c>
      <c r="F1109" s="63">
        <v>1.0000000000000001E-5</v>
      </c>
      <c r="G1109" s="63" t="s">
        <v>13</v>
      </c>
      <c r="H1109" s="63" t="s">
        <v>11</v>
      </c>
      <c r="I1109" s="63">
        <v>5</v>
      </c>
      <c r="J1109" s="63">
        <v>10.01</v>
      </c>
      <c r="K1109" s="63" t="s">
        <v>10</v>
      </c>
      <c r="L1109" s="63">
        <v>54.396999999999998</v>
      </c>
      <c r="M1109" s="63">
        <v>1333.5</v>
      </c>
      <c r="N1109" s="63">
        <v>54.39</v>
      </c>
      <c r="O1109" s="64">
        <v>1333.5</v>
      </c>
    </row>
    <row r="1110" spans="1:15" x14ac:dyDescent="0.25">
      <c r="A1110" s="114" t="s">
        <v>1822</v>
      </c>
      <c r="B1110" s="63" t="s">
        <v>51</v>
      </c>
      <c r="C1110" s="63" t="s">
        <v>44</v>
      </c>
      <c r="D1110" s="63">
        <v>3.3E-3</v>
      </c>
      <c r="E1110" s="63">
        <v>3.3001000000000003E-2</v>
      </c>
      <c r="F1110" s="63">
        <v>1.0000000000000001E-5</v>
      </c>
      <c r="G1110" s="63" t="s">
        <v>13</v>
      </c>
      <c r="H1110" s="63" t="s">
        <v>11</v>
      </c>
      <c r="I1110" s="63">
        <v>10</v>
      </c>
      <c r="J1110" s="63">
        <v>30</v>
      </c>
      <c r="K1110" s="63" t="s">
        <v>10</v>
      </c>
      <c r="L1110" s="63">
        <v>49.259</v>
      </c>
      <c r="M1110" s="63">
        <v>3578.8</v>
      </c>
      <c r="N1110" s="63">
        <v>49.247</v>
      </c>
      <c r="O1110" s="64">
        <v>3578.8</v>
      </c>
    </row>
    <row r="1111" spans="1:15" x14ac:dyDescent="0.25">
      <c r="A1111" s="114" t="s">
        <v>1841</v>
      </c>
      <c r="B1111" s="63" t="s">
        <v>51</v>
      </c>
      <c r="C1111" s="63" t="s">
        <v>44</v>
      </c>
      <c r="D1111" s="63">
        <v>3.3000000000000002E-2</v>
      </c>
      <c r="E1111" s="63">
        <v>0.33001000000000003</v>
      </c>
      <c r="F1111" s="63">
        <v>1.0000000000000001E-5</v>
      </c>
      <c r="G1111" s="63" t="s">
        <v>13</v>
      </c>
      <c r="H1111" s="63" t="s">
        <v>12</v>
      </c>
      <c r="I1111" s="63">
        <v>0.01</v>
      </c>
      <c r="J1111" s="63">
        <v>2.001E-2</v>
      </c>
      <c r="K1111" s="63" t="s">
        <v>10</v>
      </c>
      <c r="L1111" s="63">
        <v>2.3E-2</v>
      </c>
      <c r="M1111" s="63">
        <v>2.1</v>
      </c>
      <c r="N1111" s="63">
        <v>2.3129E-2</v>
      </c>
      <c r="O1111" s="64">
        <v>2.0901000000000001</v>
      </c>
    </row>
    <row r="1112" spans="1:15" x14ac:dyDescent="0.25">
      <c r="A1112" s="114" t="s">
        <v>1838</v>
      </c>
      <c r="B1112" s="63" t="s">
        <v>51</v>
      </c>
      <c r="C1112" s="63" t="s">
        <v>44</v>
      </c>
      <c r="D1112" s="63">
        <v>3.3000000000000002E-2</v>
      </c>
      <c r="E1112" s="63">
        <v>0.33001000000000003</v>
      </c>
      <c r="F1112" s="63">
        <v>1.0000000000000001E-5</v>
      </c>
      <c r="G1112" s="63" t="s">
        <v>13</v>
      </c>
      <c r="H1112" s="63" t="s">
        <v>12</v>
      </c>
      <c r="I1112" s="63">
        <v>0.02</v>
      </c>
      <c r="J1112" s="63">
        <v>4.5010000000000001E-2</v>
      </c>
      <c r="K1112" s="63" t="s">
        <v>10</v>
      </c>
      <c r="L1112" s="63">
        <v>3.7999999999999999E-2</v>
      </c>
      <c r="M1112" s="63">
        <v>1</v>
      </c>
      <c r="N1112" s="63">
        <v>2.3358E-2</v>
      </c>
      <c r="O1112" s="64">
        <v>1.0427999999999999</v>
      </c>
    </row>
    <row r="1113" spans="1:15" x14ac:dyDescent="0.25">
      <c r="A1113" s="114" t="s">
        <v>2408</v>
      </c>
      <c r="B1113" s="63" t="s">
        <v>51</v>
      </c>
      <c r="C1113" s="63" t="s">
        <v>44</v>
      </c>
      <c r="D1113" s="63">
        <v>3.3000000000000002E-2</v>
      </c>
      <c r="E1113" s="63">
        <v>0.33001000000000003</v>
      </c>
      <c r="F1113" s="63">
        <v>1.0000000000000001E-5</v>
      </c>
      <c r="G1113" s="63" t="s">
        <v>13</v>
      </c>
      <c r="H1113" s="63" t="s">
        <v>12</v>
      </c>
      <c r="I1113" s="63">
        <v>4.4999999999999998E-2</v>
      </c>
      <c r="J1113" s="63">
        <v>1.0000100000000001</v>
      </c>
      <c r="K1113" s="63" t="s">
        <v>10</v>
      </c>
      <c r="L1113" s="63">
        <v>2.4E-2</v>
      </c>
      <c r="M1113" s="63">
        <v>0.47</v>
      </c>
      <c r="N1113" s="63">
        <v>2.3285E-2</v>
      </c>
      <c r="O1113" s="64">
        <v>0.47091</v>
      </c>
    </row>
    <row r="1114" spans="1:15" x14ac:dyDescent="0.25">
      <c r="A1114" s="114" t="s">
        <v>1839</v>
      </c>
      <c r="B1114" s="63" t="s">
        <v>51</v>
      </c>
      <c r="C1114" s="63" t="s">
        <v>44</v>
      </c>
      <c r="D1114" s="63">
        <v>3.3000000000000002E-2</v>
      </c>
      <c r="E1114" s="63">
        <v>0.33001000000000003</v>
      </c>
      <c r="F1114" s="63">
        <v>1.0000000000000001E-5</v>
      </c>
      <c r="G1114" s="63" t="s">
        <v>13</v>
      </c>
      <c r="H1114" s="63" t="s">
        <v>12</v>
      </c>
      <c r="I1114" s="63">
        <v>1</v>
      </c>
      <c r="J1114" s="63">
        <v>5.01</v>
      </c>
      <c r="K1114" s="63" t="s">
        <v>10</v>
      </c>
      <c r="L1114" s="63">
        <v>5.8000000000000003E-2</v>
      </c>
      <c r="M1114" s="63">
        <v>1.2</v>
      </c>
      <c r="N1114" s="63">
        <v>5.7825000000000001E-2</v>
      </c>
      <c r="O1114" s="64">
        <v>1.1583000000000001</v>
      </c>
    </row>
    <row r="1115" spans="1:15" x14ac:dyDescent="0.25">
      <c r="A1115" s="114" t="s">
        <v>2409</v>
      </c>
      <c r="B1115" s="63" t="s">
        <v>51</v>
      </c>
      <c r="C1115" s="63" t="s">
        <v>44</v>
      </c>
      <c r="D1115" s="63">
        <v>3.3000000000000002E-2</v>
      </c>
      <c r="E1115" s="63">
        <v>0.33001000000000003</v>
      </c>
      <c r="F1115" s="63">
        <v>1.0000000000000001E-5</v>
      </c>
      <c r="G1115" s="63" t="s">
        <v>13</v>
      </c>
      <c r="H1115" s="63" t="s">
        <v>12</v>
      </c>
      <c r="I1115" s="63">
        <v>5</v>
      </c>
      <c r="J1115" s="63">
        <v>10.01</v>
      </c>
      <c r="K1115" s="63" t="s">
        <v>10</v>
      </c>
      <c r="L1115" s="63">
        <v>0.12</v>
      </c>
      <c r="M1115" s="63">
        <v>2.2999999999999998</v>
      </c>
      <c r="N1115" s="63">
        <v>0.11552</v>
      </c>
      <c r="O1115" s="64">
        <v>2.3111999999999999</v>
      </c>
    </row>
    <row r="1116" spans="1:15" x14ac:dyDescent="0.25">
      <c r="A1116" s="114" t="s">
        <v>1840</v>
      </c>
      <c r="B1116" s="63" t="s">
        <v>51</v>
      </c>
      <c r="C1116" s="63" t="s">
        <v>44</v>
      </c>
      <c r="D1116" s="63">
        <v>3.3000000000000002E-2</v>
      </c>
      <c r="E1116" s="63">
        <v>0.33001000000000003</v>
      </c>
      <c r="F1116" s="63">
        <v>1.0000000000000001E-5</v>
      </c>
      <c r="G1116" s="63" t="s">
        <v>13</v>
      </c>
      <c r="H1116" s="63" t="s">
        <v>12</v>
      </c>
      <c r="I1116" s="63">
        <v>10</v>
      </c>
      <c r="J1116" s="63">
        <v>30</v>
      </c>
      <c r="K1116" s="63" t="s">
        <v>10</v>
      </c>
      <c r="L1116" s="63">
        <v>0.24</v>
      </c>
      <c r="M1116" s="63">
        <v>4.5999999999999996</v>
      </c>
      <c r="N1116" s="63">
        <v>0.23089999999999999</v>
      </c>
      <c r="O1116" s="64">
        <v>4.6218000000000004</v>
      </c>
    </row>
    <row r="1117" spans="1:15" x14ac:dyDescent="0.25">
      <c r="A1117" s="114" t="s">
        <v>1842</v>
      </c>
      <c r="B1117" s="63" t="s">
        <v>51</v>
      </c>
      <c r="C1117" s="63" t="s">
        <v>44</v>
      </c>
      <c r="D1117" s="63">
        <v>3.3000000000000002E-2</v>
      </c>
      <c r="E1117" s="63">
        <v>0.33001000000000003</v>
      </c>
      <c r="F1117" s="63">
        <v>1.0000000000000001E-5</v>
      </c>
      <c r="G1117" s="63" t="s">
        <v>13</v>
      </c>
      <c r="H1117" s="63" t="s">
        <v>12</v>
      </c>
      <c r="I1117" s="63">
        <v>30</v>
      </c>
      <c r="J1117" s="63">
        <v>30.01</v>
      </c>
      <c r="K1117" s="63" t="s">
        <v>10</v>
      </c>
      <c r="L1117" s="63">
        <v>0.24</v>
      </c>
      <c r="M1117" s="63">
        <v>4.5999999999999996</v>
      </c>
      <c r="N1117" s="63">
        <v>0.23089999999999999</v>
      </c>
      <c r="O1117" s="64">
        <v>4.6218000000000004</v>
      </c>
    </row>
    <row r="1118" spans="1:15" x14ac:dyDescent="0.25">
      <c r="A1118" s="114" t="s">
        <v>1860</v>
      </c>
      <c r="B1118" s="63" t="s">
        <v>51</v>
      </c>
      <c r="C1118" s="63" t="s">
        <v>44</v>
      </c>
      <c r="D1118" s="63">
        <v>0.33</v>
      </c>
      <c r="E1118" s="63">
        <v>1.1000099999999999</v>
      </c>
      <c r="F1118" s="63">
        <v>1.0000000000000001E-5</v>
      </c>
      <c r="G1118" s="63" t="s">
        <v>13</v>
      </c>
      <c r="H1118" s="63" t="s">
        <v>12</v>
      </c>
      <c r="I1118" s="63">
        <v>0.01</v>
      </c>
      <c r="J1118" s="63">
        <v>4.5010000000000001E-2</v>
      </c>
      <c r="K1118" s="63" t="s">
        <v>10</v>
      </c>
      <c r="L1118" s="63">
        <v>0.12</v>
      </c>
      <c r="M1118" s="63">
        <v>2.1</v>
      </c>
      <c r="N1118" s="63">
        <v>0.11617</v>
      </c>
      <c r="O1118" s="64">
        <v>2.0783999999999998</v>
      </c>
    </row>
    <row r="1119" spans="1:15" x14ac:dyDescent="0.25">
      <c r="A1119" s="114" t="s">
        <v>1862</v>
      </c>
      <c r="B1119" s="63" t="s">
        <v>51</v>
      </c>
      <c r="C1119" s="63" t="s">
        <v>44</v>
      </c>
      <c r="D1119" s="63">
        <v>0.33</v>
      </c>
      <c r="E1119" s="63">
        <v>1.1000099999999999</v>
      </c>
      <c r="F1119" s="63">
        <v>1.0000000000000001E-5</v>
      </c>
      <c r="G1119" s="63" t="s">
        <v>13</v>
      </c>
      <c r="H1119" s="63" t="s">
        <v>12</v>
      </c>
      <c r="I1119" s="63">
        <v>4.4999999999999998E-2</v>
      </c>
      <c r="J1119" s="63">
        <v>1.0000100000000001</v>
      </c>
      <c r="K1119" s="63" t="s">
        <v>10</v>
      </c>
      <c r="L1119" s="63">
        <v>0.12</v>
      </c>
      <c r="M1119" s="63">
        <v>0.57999999999999996</v>
      </c>
      <c r="N1119" s="63">
        <v>0.11734</v>
      </c>
      <c r="O1119" s="64">
        <v>0.57738999999999996</v>
      </c>
    </row>
    <row r="1120" spans="1:15" x14ac:dyDescent="0.25">
      <c r="A1120" s="114" t="s">
        <v>1861</v>
      </c>
      <c r="B1120" s="63" t="s">
        <v>51</v>
      </c>
      <c r="C1120" s="63" t="s">
        <v>44</v>
      </c>
      <c r="D1120" s="63">
        <v>0.33</v>
      </c>
      <c r="E1120" s="63">
        <v>1.1000099999999999</v>
      </c>
      <c r="F1120" s="63">
        <v>1.0000000000000001E-5</v>
      </c>
      <c r="G1120" s="63" t="s">
        <v>13</v>
      </c>
      <c r="H1120" s="63" t="s">
        <v>12</v>
      </c>
      <c r="I1120" s="63">
        <v>1</v>
      </c>
      <c r="J1120" s="63">
        <v>5.01</v>
      </c>
      <c r="K1120" s="63" t="s">
        <v>10</v>
      </c>
      <c r="L1120" s="63">
        <v>1.2</v>
      </c>
      <c r="M1120" s="63">
        <v>6.9</v>
      </c>
      <c r="N1120" s="63">
        <v>1.1549</v>
      </c>
      <c r="O1120" s="64">
        <v>6.9282000000000004</v>
      </c>
    </row>
    <row r="1121" spans="1:15" x14ac:dyDescent="0.25">
      <c r="A1121" s="114" t="s">
        <v>2410</v>
      </c>
      <c r="B1121" s="63" t="s">
        <v>51</v>
      </c>
      <c r="C1121" s="63" t="s">
        <v>44</v>
      </c>
      <c r="D1121" s="63">
        <v>0.33</v>
      </c>
      <c r="E1121" s="63">
        <v>1.1000099999999999</v>
      </c>
      <c r="F1121" s="63">
        <v>1.0000000000000001E-5</v>
      </c>
      <c r="G1121" s="63" t="s">
        <v>13</v>
      </c>
      <c r="H1121" s="63" t="s">
        <v>12</v>
      </c>
      <c r="I1121" s="63">
        <v>5</v>
      </c>
      <c r="J1121" s="63">
        <v>10</v>
      </c>
      <c r="K1121" s="63" t="s">
        <v>10</v>
      </c>
      <c r="L1121" s="63">
        <v>5.8</v>
      </c>
      <c r="M1121" s="63">
        <v>29</v>
      </c>
      <c r="N1121" s="63">
        <v>5.7733999999999996</v>
      </c>
      <c r="O1121" s="64">
        <v>28.867999999999999</v>
      </c>
    </row>
    <row r="1122" spans="1:15" x14ac:dyDescent="0.25">
      <c r="A1122" s="114" t="s">
        <v>1863</v>
      </c>
      <c r="B1122" s="63" t="s">
        <v>51</v>
      </c>
      <c r="C1122" s="63" t="s">
        <v>44</v>
      </c>
      <c r="D1122" s="63">
        <v>0.33</v>
      </c>
      <c r="E1122" s="63">
        <v>1.1000099999999999</v>
      </c>
      <c r="F1122" s="63">
        <v>1.0000000000000001E-5</v>
      </c>
      <c r="G1122" s="63" t="s">
        <v>13</v>
      </c>
      <c r="H1122" s="63" t="s">
        <v>12</v>
      </c>
      <c r="I1122" s="63">
        <v>10</v>
      </c>
      <c r="J1122" s="63">
        <v>10.01</v>
      </c>
      <c r="K1122" s="63" t="s">
        <v>10</v>
      </c>
      <c r="L1122" s="63">
        <v>5.8</v>
      </c>
      <c r="M1122" s="63">
        <v>29</v>
      </c>
      <c r="N1122" s="63">
        <v>5.7733999999999996</v>
      </c>
      <c r="O1122" s="64">
        <v>28.867999999999999</v>
      </c>
    </row>
    <row r="1123" spans="1:15" x14ac:dyDescent="0.25">
      <c r="A1123" s="114" t="s">
        <v>1881</v>
      </c>
      <c r="B1123" s="63" t="s">
        <v>51</v>
      </c>
      <c r="C1123" s="63" t="s">
        <v>44</v>
      </c>
      <c r="D1123" s="63">
        <v>1.1000000000000001</v>
      </c>
      <c r="E1123" s="63">
        <v>3.0009999999999999</v>
      </c>
      <c r="F1123" s="63">
        <v>1.0000000000000001E-5</v>
      </c>
      <c r="G1123" s="63" t="s">
        <v>13</v>
      </c>
      <c r="H1123" s="63" t="s">
        <v>12</v>
      </c>
      <c r="I1123" s="63">
        <v>0.01</v>
      </c>
      <c r="J1123" s="63">
        <v>4.5010000000000001E-2</v>
      </c>
      <c r="K1123" s="63" t="s">
        <v>10</v>
      </c>
      <c r="L1123" s="63">
        <v>0.12</v>
      </c>
      <c r="M1123" s="63">
        <v>2.1</v>
      </c>
      <c r="N1123" s="63">
        <v>0.11589000000000001</v>
      </c>
      <c r="O1123" s="64">
        <v>2.0787</v>
      </c>
    </row>
    <row r="1124" spans="1:15" x14ac:dyDescent="0.25">
      <c r="A1124" s="114" t="s">
        <v>1878</v>
      </c>
      <c r="B1124" s="63" t="s">
        <v>51</v>
      </c>
      <c r="C1124" s="63" t="s">
        <v>44</v>
      </c>
      <c r="D1124" s="63">
        <v>1.1000000000000001</v>
      </c>
      <c r="E1124" s="63">
        <v>3.0009999999999999</v>
      </c>
      <c r="F1124" s="63">
        <v>1.0000000000000001E-5</v>
      </c>
      <c r="G1124" s="63" t="s">
        <v>13</v>
      </c>
      <c r="H1124" s="63" t="s">
        <v>12</v>
      </c>
      <c r="I1124" s="63">
        <v>4.4999999999999998E-2</v>
      </c>
      <c r="J1124" s="63">
        <v>1.0000100000000001</v>
      </c>
      <c r="K1124" s="63" t="s">
        <v>10</v>
      </c>
      <c r="L1124" s="63">
        <v>0.13</v>
      </c>
      <c r="M1124" s="63">
        <v>0.69</v>
      </c>
      <c r="N1124" s="63">
        <v>0.11619</v>
      </c>
      <c r="O1124" s="64">
        <v>0.69369000000000003</v>
      </c>
    </row>
    <row r="1125" spans="1:15" x14ac:dyDescent="0.25">
      <c r="A1125" s="114" t="s">
        <v>2411</v>
      </c>
      <c r="B1125" s="63" t="s">
        <v>51</v>
      </c>
      <c r="C1125" s="63" t="s">
        <v>44</v>
      </c>
      <c r="D1125" s="63">
        <v>1.1000000000000001</v>
      </c>
      <c r="E1125" s="63">
        <v>3.0009999999999999</v>
      </c>
      <c r="F1125" s="63">
        <v>1.0000000000000001E-5</v>
      </c>
      <c r="G1125" s="63" t="s">
        <v>13</v>
      </c>
      <c r="H1125" s="63" t="s">
        <v>12</v>
      </c>
      <c r="I1125" s="63">
        <v>1</v>
      </c>
      <c r="J1125" s="63">
        <v>5.01</v>
      </c>
      <c r="K1125" s="63" t="s">
        <v>10</v>
      </c>
      <c r="L1125" s="63">
        <v>1.3</v>
      </c>
      <c r="M1125" s="63">
        <v>6.9</v>
      </c>
      <c r="N1125" s="63">
        <v>1.1548</v>
      </c>
      <c r="O1125" s="64">
        <v>6.9283000000000001</v>
      </c>
    </row>
    <row r="1126" spans="1:15" x14ac:dyDescent="0.25">
      <c r="A1126" s="114" t="s">
        <v>1879</v>
      </c>
      <c r="B1126" s="63" t="s">
        <v>51</v>
      </c>
      <c r="C1126" s="63" t="s">
        <v>44</v>
      </c>
      <c r="D1126" s="63">
        <v>1.1000000000000001</v>
      </c>
      <c r="E1126" s="63">
        <v>3.0009999999999999</v>
      </c>
      <c r="F1126" s="63">
        <v>1.0000000000000001E-5</v>
      </c>
      <c r="G1126" s="63" t="s">
        <v>13</v>
      </c>
      <c r="H1126" s="63" t="s">
        <v>12</v>
      </c>
      <c r="I1126" s="63">
        <v>5</v>
      </c>
      <c r="J1126" s="63">
        <v>10</v>
      </c>
      <c r="K1126" s="63" t="s">
        <v>10</v>
      </c>
      <c r="L1126" s="63">
        <v>5.8</v>
      </c>
      <c r="M1126" s="63">
        <v>29</v>
      </c>
      <c r="N1126" s="63">
        <v>5.7729999999999997</v>
      </c>
      <c r="O1126" s="64">
        <v>28.867999999999999</v>
      </c>
    </row>
    <row r="1127" spans="1:15" x14ac:dyDescent="0.25">
      <c r="A1127" s="114" t="s">
        <v>1880</v>
      </c>
      <c r="B1127" s="63" t="s">
        <v>51</v>
      </c>
      <c r="C1127" s="63" t="s">
        <v>44</v>
      </c>
      <c r="D1127" s="63">
        <v>1.1000000000000001</v>
      </c>
      <c r="E1127" s="63">
        <v>3.0009999999999999</v>
      </c>
      <c r="F1127" s="63">
        <v>1.0000000000000001E-5</v>
      </c>
      <c r="G1127" s="63" t="s">
        <v>13</v>
      </c>
      <c r="H1127" s="63" t="s">
        <v>12</v>
      </c>
      <c r="I1127" s="63">
        <v>10</v>
      </c>
      <c r="J1127" s="63">
        <v>10.01</v>
      </c>
      <c r="K1127" s="63" t="s">
        <v>10</v>
      </c>
      <c r="L1127" s="63">
        <v>5.8</v>
      </c>
      <c r="M1127" s="63">
        <v>29</v>
      </c>
      <c r="N1127" s="63">
        <v>5.7729999999999997</v>
      </c>
      <c r="O1127" s="64">
        <v>28.867999999999999</v>
      </c>
    </row>
    <row r="1128" spans="1:15" x14ac:dyDescent="0.25">
      <c r="A1128" s="114" t="s">
        <v>1754</v>
      </c>
      <c r="B1128" s="63" t="s">
        <v>51</v>
      </c>
      <c r="C1128" s="63" t="s">
        <v>44</v>
      </c>
      <c r="D1128" s="63">
        <v>0</v>
      </c>
      <c r="E1128" s="63">
        <v>3.3000999999999999E-4</v>
      </c>
      <c r="F1128" s="63">
        <v>1E-4</v>
      </c>
      <c r="G1128" s="63" t="s">
        <v>13</v>
      </c>
      <c r="H1128" s="63" t="s">
        <v>11</v>
      </c>
      <c r="I1128" s="63">
        <v>0.01</v>
      </c>
      <c r="J1128" s="63">
        <v>2.001E-2</v>
      </c>
      <c r="K1128" s="63" t="s">
        <v>10</v>
      </c>
      <c r="L1128" s="63">
        <v>58.024999999999999</v>
      </c>
      <c r="M1128" s="63">
        <v>-857.45</v>
      </c>
      <c r="N1128" s="63">
        <v>58.024999999999999</v>
      </c>
      <c r="O1128" s="64">
        <v>-857.67</v>
      </c>
    </row>
    <row r="1129" spans="1:15" x14ac:dyDescent="0.25">
      <c r="A1129" s="114" t="s">
        <v>1753</v>
      </c>
      <c r="B1129" s="63" t="s">
        <v>51</v>
      </c>
      <c r="C1129" s="63" t="s">
        <v>44</v>
      </c>
      <c r="D1129" s="63">
        <v>0</v>
      </c>
      <c r="E1129" s="63">
        <v>3.3000999999999999E-4</v>
      </c>
      <c r="F1129" s="63">
        <v>1E-4</v>
      </c>
      <c r="G1129" s="63" t="s">
        <v>13</v>
      </c>
      <c r="H1129" s="63" t="s">
        <v>11</v>
      </c>
      <c r="I1129" s="63">
        <v>0.02</v>
      </c>
      <c r="J1129" s="63">
        <v>4.5010000000000001E-2</v>
      </c>
      <c r="K1129" s="63" t="s">
        <v>10</v>
      </c>
      <c r="L1129" s="63">
        <v>57.734999999999999</v>
      </c>
      <c r="M1129" s="63">
        <v>13.015000000000001</v>
      </c>
      <c r="N1129" s="63">
        <v>57.734999999999999</v>
      </c>
      <c r="O1129" s="64">
        <v>12.795</v>
      </c>
    </row>
    <row r="1130" spans="1:15" x14ac:dyDescent="0.25">
      <c r="A1130" s="114" t="s">
        <v>1755</v>
      </c>
      <c r="B1130" s="63" t="s">
        <v>51</v>
      </c>
      <c r="C1130" s="63" t="s">
        <v>44</v>
      </c>
      <c r="D1130" s="63">
        <v>0</v>
      </c>
      <c r="E1130" s="63">
        <v>3.3000999999999999E-4</v>
      </c>
      <c r="F1130" s="63">
        <v>1E-4</v>
      </c>
      <c r="G1130" s="63" t="s">
        <v>13</v>
      </c>
      <c r="H1130" s="63" t="s">
        <v>11</v>
      </c>
      <c r="I1130" s="63">
        <v>4.4999999999999998E-2</v>
      </c>
      <c r="J1130" s="63">
        <v>1.0000100000000001</v>
      </c>
      <c r="K1130" s="63" t="s">
        <v>10</v>
      </c>
      <c r="L1130" s="63">
        <v>57.735999999999997</v>
      </c>
      <c r="M1130" s="63">
        <v>9.5875000000000004</v>
      </c>
      <c r="N1130" s="63">
        <v>57.734999999999999</v>
      </c>
      <c r="O1130" s="64">
        <v>9.3679000000000006</v>
      </c>
    </row>
    <row r="1131" spans="1:15" x14ac:dyDescent="0.25">
      <c r="A1131" s="114" t="s">
        <v>1756</v>
      </c>
      <c r="B1131" s="63" t="s">
        <v>51</v>
      </c>
      <c r="C1131" s="63" t="s">
        <v>44</v>
      </c>
      <c r="D1131" s="63">
        <v>0</v>
      </c>
      <c r="E1131" s="63">
        <v>3.3000999999999999E-4</v>
      </c>
      <c r="F1131" s="63">
        <v>1E-4</v>
      </c>
      <c r="G1131" s="63" t="s">
        <v>13</v>
      </c>
      <c r="H1131" s="63" t="s">
        <v>11</v>
      </c>
      <c r="I1131" s="63">
        <v>1</v>
      </c>
      <c r="J1131" s="63">
        <v>5.01</v>
      </c>
      <c r="K1131" s="63" t="s">
        <v>10</v>
      </c>
      <c r="L1131" s="63">
        <v>57.734999999999999</v>
      </c>
      <c r="M1131" s="63">
        <v>47.917999999999999</v>
      </c>
      <c r="N1131" s="63">
        <v>57.734999999999999</v>
      </c>
      <c r="O1131" s="64">
        <v>47.698999999999998</v>
      </c>
    </row>
    <row r="1132" spans="1:15" x14ac:dyDescent="0.25">
      <c r="A1132" s="114" t="s">
        <v>1757</v>
      </c>
      <c r="B1132" s="63" t="s">
        <v>51</v>
      </c>
      <c r="C1132" s="63" t="s">
        <v>44</v>
      </c>
      <c r="D1132" s="63">
        <v>0</v>
      </c>
      <c r="E1132" s="63">
        <v>3.3000999999999999E-4</v>
      </c>
      <c r="F1132" s="63">
        <v>1E-4</v>
      </c>
      <c r="G1132" s="63" t="s">
        <v>13</v>
      </c>
      <c r="H1132" s="63" t="s">
        <v>11</v>
      </c>
      <c r="I1132" s="63">
        <v>5</v>
      </c>
      <c r="J1132" s="63">
        <v>10.01</v>
      </c>
      <c r="K1132" s="63" t="s">
        <v>10</v>
      </c>
      <c r="L1132" s="63">
        <v>57.728999999999999</v>
      </c>
      <c r="M1132" s="63">
        <v>302.48</v>
      </c>
      <c r="N1132" s="63">
        <v>57.728999999999999</v>
      </c>
      <c r="O1132" s="64">
        <v>302.01</v>
      </c>
    </row>
    <row r="1133" spans="1:15" x14ac:dyDescent="0.25">
      <c r="A1133" s="114" t="s">
        <v>1758</v>
      </c>
      <c r="B1133" s="63" t="s">
        <v>51</v>
      </c>
      <c r="C1133" s="63" t="s">
        <v>44</v>
      </c>
      <c r="D1133" s="63">
        <v>0</v>
      </c>
      <c r="E1133" s="63">
        <v>3.3000999999999999E-4</v>
      </c>
      <c r="F1133" s="63">
        <v>1E-4</v>
      </c>
      <c r="G1133" s="63" t="s">
        <v>13</v>
      </c>
      <c r="H1133" s="63" t="s">
        <v>11</v>
      </c>
      <c r="I1133" s="63">
        <v>10</v>
      </c>
      <c r="J1133" s="63">
        <v>30</v>
      </c>
      <c r="K1133" s="63" t="s">
        <v>10</v>
      </c>
      <c r="L1133" s="63">
        <v>57.709000000000003</v>
      </c>
      <c r="M1133" s="63">
        <v>1205.5</v>
      </c>
      <c r="N1133" s="63">
        <v>57.709000000000003</v>
      </c>
      <c r="O1133" s="64">
        <v>1205.0999999999999</v>
      </c>
    </row>
    <row r="1134" spans="1:15" x14ac:dyDescent="0.25">
      <c r="A1134" s="114" t="s">
        <v>2412</v>
      </c>
      <c r="B1134" s="63" t="s">
        <v>51</v>
      </c>
      <c r="C1134" s="63" t="s">
        <v>44</v>
      </c>
      <c r="D1134" s="63">
        <v>0</v>
      </c>
      <c r="E1134" s="63">
        <v>3.3000999999999999E-4</v>
      </c>
      <c r="F1134" s="63">
        <v>1E-4</v>
      </c>
      <c r="G1134" s="63" t="s">
        <v>13</v>
      </c>
      <c r="H1134" s="63" t="s">
        <v>11</v>
      </c>
      <c r="I1134" s="63">
        <v>30</v>
      </c>
      <c r="J1134" s="63">
        <v>30.1</v>
      </c>
      <c r="K1134" s="63" t="s">
        <v>10</v>
      </c>
      <c r="L1134" s="63">
        <v>57.709000000000003</v>
      </c>
      <c r="M1134" s="63">
        <v>1205.5</v>
      </c>
      <c r="N1134" s="63">
        <v>57.709000000000003</v>
      </c>
      <c r="O1134" s="64">
        <v>1205.0999999999999</v>
      </c>
    </row>
    <row r="1135" spans="1:15" x14ac:dyDescent="0.25">
      <c r="A1135" s="114" t="s">
        <v>1808</v>
      </c>
      <c r="B1135" s="63" t="s">
        <v>51</v>
      </c>
      <c r="C1135" s="63" t="s">
        <v>44</v>
      </c>
      <c r="D1135" s="63">
        <v>3.3E-4</v>
      </c>
      <c r="E1135" s="63">
        <v>3.3000999999999998E-3</v>
      </c>
      <c r="F1135" s="63">
        <v>1E-4</v>
      </c>
      <c r="G1135" s="63" t="s">
        <v>13</v>
      </c>
      <c r="H1135" s="63" t="s">
        <v>11</v>
      </c>
      <c r="I1135" s="63">
        <v>0.01</v>
      </c>
      <c r="J1135" s="63">
        <v>2.001E-2</v>
      </c>
      <c r="K1135" s="63" t="s">
        <v>10</v>
      </c>
      <c r="L1135" s="63">
        <v>57.686</v>
      </c>
      <c r="M1135" s="63">
        <v>174.69</v>
      </c>
      <c r="N1135" s="63">
        <v>57.685000000000002</v>
      </c>
      <c r="O1135" s="64">
        <v>174.66</v>
      </c>
    </row>
    <row r="1136" spans="1:15" x14ac:dyDescent="0.25">
      <c r="A1136" s="114" t="s">
        <v>1806</v>
      </c>
      <c r="B1136" s="63" t="s">
        <v>51</v>
      </c>
      <c r="C1136" s="63" t="s">
        <v>44</v>
      </c>
      <c r="D1136" s="63">
        <v>3.3E-4</v>
      </c>
      <c r="E1136" s="63">
        <v>3.3000999999999998E-3</v>
      </c>
      <c r="F1136" s="63">
        <v>1E-4</v>
      </c>
      <c r="G1136" s="63" t="s">
        <v>13</v>
      </c>
      <c r="H1136" s="63" t="s">
        <v>11</v>
      </c>
      <c r="I1136" s="63">
        <v>0.02</v>
      </c>
      <c r="J1136" s="63">
        <v>4.5010000000000001E-2</v>
      </c>
      <c r="K1136" s="63" t="s">
        <v>10</v>
      </c>
      <c r="L1136" s="63">
        <v>57.716000000000001</v>
      </c>
      <c r="M1136" s="63">
        <v>69.766000000000005</v>
      </c>
      <c r="N1136" s="63">
        <v>57.716000000000001</v>
      </c>
      <c r="O1136" s="64">
        <v>69.734999999999999</v>
      </c>
    </row>
    <row r="1137" spans="1:15" x14ac:dyDescent="0.25">
      <c r="A1137" s="114" t="s">
        <v>1805</v>
      </c>
      <c r="B1137" s="63" t="s">
        <v>51</v>
      </c>
      <c r="C1137" s="63" t="s">
        <v>44</v>
      </c>
      <c r="D1137" s="63">
        <v>3.3E-4</v>
      </c>
      <c r="E1137" s="63">
        <v>3.3000999999999998E-3</v>
      </c>
      <c r="F1137" s="63">
        <v>1E-4</v>
      </c>
      <c r="G1137" s="63" t="s">
        <v>13</v>
      </c>
      <c r="H1137" s="63" t="s">
        <v>11</v>
      </c>
      <c r="I1137" s="63">
        <v>4.4999999999999998E-2</v>
      </c>
      <c r="J1137" s="63">
        <v>1.0000100000000001</v>
      </c>
      <c r="K1137" s="63" t="s">
        <v>10</v>
      </c>
      <c r="L1137" s="63">
        <v>57.722999999999999</v>
      </c>
      <c r="M1137" s="63">
        <v>45.396999999999998</v>
      </c>
      <c r="N1137" s="63">
        <v>57.722999999999999</v>
      </c>
      <c r="O1137" s="64">
        <v>45.366</v>
      </c>
    </row>
    <row r="1138" spans="1:15" x14ac:dyDescent="0.25">
      <c r="A1138" s="114" t="s">
        <v>1807</v>
      </c>
      <c r="B1138" s="63" t="s">
        <v>51</v>
      </c>
      <c r="C1138" s="63" t="s">
        <v>44</v>
      </c>
      <c r="D1138" s="63">
        <v>3.3E-4</v>
      </c>
      <c r="E1138" s="63">
        <v>3.3000999999999998E-3</v>
      </c>
      <c r="F1138" s="63">
        <v>1E-4</v>
      </c>
      <c r="G1138" s="63" t="s">
        <v>13</v>
      </c>
      <c r="H1138" s="63" t="s">
        <v>11</v>
      </c>
      <c r="I1138" s="63">
        <v>1</v>
      </c>
      <c r="J1138" s="63">
        <v>5.01</v>
      </c>
      <c r="K1138" s="63" t="s">
        <v>10</v>
      </c>
      <c r="L1138" s="63">
        <v>57.686</v>
      </c>
      <c r="M1138" s="63">
        <v>176.15</v>
      </c>
      <c r="N1138" s="63">
        <v>57.686</v>
      </c>
      <c r="O1138" s="64">
        <v>176.12</v>
      </c>
    </row>
    <row r="1139" spans="1:15" x14ac:dyDescent="0.25">
      <c r="A1139" s="114" t="s">
        <v>1804</v>
      </c>
      <c r="B1139" s="63" t="s">
        <v>51</v>
      </c>
      <c r="C1139" s="63" t="s">
        <v>44</v>
      </c>
      <c r="D1139" s="63">
        <v>3.3E-4</v>
      </c>
      <c r="E1139" s="63">
        <v>3.3000999999999998E-3</v>
      </c>
      <c r="F1139" s="63">
        <v>1E-4</v>
      </c>
      <c r="G1139" s="63" t="s">
        <v>13</v>
      </c>
      <c r="H1139" s="63" t="s">
        <v>11</v>
      </c>
      <c r="I1139" s="63">
        <v>5</v>
      </c>
      <c r="J1139" s="63">
        <v>10.01</v>
      </c>
      <c r="K1139" s="63" t="s">
        <v>10</v>
      </c>
      <c r="L1139" s="63">
        <v>57.432000000000002</v>
      </c>
      <c r="M1139" s="63">
        <v>1053.3</v>
      </c>
      <c r="N1139" s="63">
        <v>57.432000000000002</v>
      </c>
      <c r="O1139" s="64">
        <v>1053.2</v>
      </c>
    </row>
    <row r="1140" spans="1:15" x14ac:dyDescent="0.25">
      <c r="A1140" s="114" t="s">
        <v>2413</v>
      </c>
      <c r="B1140" s="63" t="s">
        <v>51</v>
      </c>
      <c r="C1140" s="63" t="s">
        <v>44</v>
      </c>
      <c r="D1140" s="63">
        <v>3.3E-4</v>
      </c>
      <c r="E1140" s="63">
        <v>3.3000999999999998E-3</v>
      </c>
      <c r="F1140" s="63">
        <v>1E-4</v>
      </c>
      <c r="G1140" s="63" t="s">
        <v>13</v>
      </c>
      <c r="H1140" s="63" t="s">
        <v>11</v>
      </c>
      <c r="I1140" s="63">
        <v>10</v>
      </c>
      <c r="J1140" s="63">
        <v>30</v>
      </c>
      <c r="K1140" s="63" t="s">
        <v>10</v>
      </c>
      <c r="L1140" s="63">
        <v>56.616999999999997</v>
      </c>
      <c r="M1140" s="63">
        <v>3922.7</v>
      </c>
      <c r="N1140" s="63">
        <v>56.616</v>
      </c>
      <c r="O1140" s="64">
        <v>3922.6</v>
      </c>
    </row>
    <row r="1141" spans="1:15" x14ac:dyDescent="0.25">
      <c r="A1141" s="114" t="s">
        <v>2414</v>
      </c>
      <c r="B1141" s="63" t="s">
        <v>51</v>
      </c>
      <c r="C1141" s="63" t="s">
        <v>44</v>
      </c>
      <c r="D1141" s="63">
        <v>3.3E-4</v>
      </c>
      <c r="E1141" s="63">
        <v>3.3000999999999998E-3</v>
      </c>
      <c r="F1141" s="63">
        <v>1E-4</v>
      </c>
      <c r="G1141" s="63" t="s">
        <v>13</v>
      </c>
      <c r="H1141" s="63" t="s">
        <v>11</v>
      </c>
      <c r="I1141" s="63">
        <v>30</v>
      </c>
      <c r="J1141" s="63">
        <v>30.1</v>
      </c>
      <c r="K1141" s="63" t="s">
        <v>10</v>
      </c>
      <c r="L1141" s="63">
        <v>56.616999999999997</v>
      </c>
      <c r="M1141" s="63">
        <v>3922.7</v>
      </c>
      <c r="N1141" s="63">
        <v>56.616</v>
      </c>
      <c r="O1141" s="64">
        <v>3922.6</v>
      </c>
    </row>
    <row r="1142" spans="1:15" x14ac:dyDescent="0.25">
      <c r="A1142" s="114" t="s">
        <v>2415</v>
      </c>
      <c r="B1142" s="63" t="s">
        <v>51</v>
      </c>
      <c r="C1142" s="63" t="s">
        <v>44</v>
      </c>
      <c r="D1142" s="63">
        <v>3.3E-3</v>
      </c>
      <c r="E1142" s="63">
        <v>3.3001000000000003E-2</v>
      </c>
      <c r="F1142" s="63">
        <v>1E-4</v>
      </c>
      <c r="G1142" s="63" t="s">
        <v>13</v>
      </c>
      <c r="H1142" s="63" t="s">
        <v>11</v>
      </c>
      <c r="I1142" s="63">
        <v>0.01</v>
      </c>
      <c r="J1142" s="63">
        <v>2.001E-2</v>
      </c>
      <c r="K1142" s="63" t="s">
        <v>10</v>
      </c>
      <c r="L1142" s="63">
        <v>576.95000000000005</v>
      </c>
      <c r="M1142" s="63">
        <v>144.81</v>
      </c>
      <c r="N1142" s="63">
        <v>576.95000000000005</v>
      </c>
      <c r="O1142" s="64">
        <v>144.75</v>
      </c>
    </row>
    <row r="1143" spans="1:15" x14ac:dyDescent="0.25">
      <c r="A1143" s="114" t="s">
        <v>2416</v>
      </c>
      <c r="B1143" s="63" t="s">
        <v>51</v>
      </c>
      <c r="C1143" s="63" t="s">
        <v>44</v>
      </c>
      <c r="D1143" s="63">
        <v>3.3E-3</v>
      </c>
      <c r="E1143" s="63">
        <v>3.3001000000000003E-2</v>
      </c>
      <c r="F1143" s="63">
        <v>1E-4</v>
      </c>
      <c r="G1143" s="63" t="s">
        <v>13</v>
      </c>
      <c r="H1143" s="63" t="s">
        <v>11</v>
      </c>
      <c r="I1143" s="63">
        <v>0.02</v>
      </c>
      <c r="J1143" s="63">
        <v>4.5010000000000001E-2</v>
      </c>
      <c r="K1143" s="63" t="s">
        <v>10</v>
      </c>
      <c r="L1143" s="63">
        <v>577.26</v>
      </c>
      <c r="M1143" s="63">
        <v>38.406999999999996</v>
      </c>
      <c r="N1143" s="63">
        <v>577.26</v>
      </c>
      <c r="O1143" s="64">
        <v>38.348999999999997</v>
      </c>
    </row>
    <row r="1144" spans="1:15" x14ac:dyDescent="0.25">
      <c r="A1144" s="114" t="s">
        <v>1829</v>
      </c>
      <c r="B1144" s="63" t="s">
        <v>51</v>
      </c>
      <c r="C1144" s="63" t="s">
        <v>44</v>
      </c>
      <c r="D1144" s="63">
        <v>3.3E-3</v>
      </c>
      <c r="E1144" s="63">
        <v>3.3001000000000003E-2</v>
      </c>
      <c r="F1144" s="63">
        <v>1E-4</v>
      </c>
      <c r="G1144" s="63" t="s">
        <v>13</v>
      </c>
      <c r="H1144" s="63" t="s">
        <v>11</v>
      </c>
      <c r="I1144" s="63">
        <v>4.4999999999999998E-2</v>
      </c>
      <c r="J1144" s="63">
        <v>1.0000100000000001</v>
      </c>
      <c r="K1144" s="63" t="s">
        <v>10</v>
      </c>
      <c r="L1144" s="63">
        <v>577.34</v>
      </c>
      <c r="M1144" s="63">
        <v>8.7265999999999995</v>
      </c>
      <c r="N1144" s="63">
        <v>577.34</v>
      </c>
      <c r="O1144" s="64">
        <v>8.6681000000000008</v>
      </c>
    </row>
    <row r="1145" spans="1:15" x14ac:dyDescent="0.25">
      <c r="A1145" s="114" t="s">
        <v>1826</v>
      </c>
      <c r="B1145" s="63" t="s">
        <v>51</v>
      </c>
      <c r="C1145" s="63" t="s">
        <v>44</v>
      </c>
      <c r="D1145" s="63">
        <v>3.3E-3</v>
      </c>
      <c r="E1145" s="63">
        <v>3.3001000000000003E-2</v>
      </c>
      <c r="F1145" s="63">
        <v>1E-4</v>
      </c>
      <c r="G1145" s="63" t="s">
        <v>13</v>
      </c>
      <c r="H1145" s="63" t="s">
        <v>11</v>
      </c>
      <c r="I1145" s="63">
        <v>1</v>
      </c>
      <c r="J1145" s="63">
        <v>5.01</v>
      </c>
      <c r="K1145" s="63" t="s">
        <v>10</v>
      </c>
      <c r="L1145" s="63">
        <v>577.28</v>
      </c>
      <c r="M1145" s="63">
        <v>30.67</v>
      </c>
      <c r="N1145" s="63">
        <v>577.28</v>
      </c>
      <c r="O1145" s="64">
        <v>30.611999999999998</v>
      </c>
    </row>
    <row r="1146" spans="1:15" x14ac:dyDescent="0.25">
      <c r="A1146" s="114" t="s">
        <v>1830</v>
      </c>
      <c r="B1146" s="63" t="s">
        <v>51</v>
      </c>
      <c r="C1146" s="63" t="s">
        <v>44</v>
      </c>
      <c r="D1146" s="63">
        <v>3.3E-3</v>
      </c>
      <c r="E1146" s="63">
        <v>3.3001000000000003E-2</v>
      </c>
      <c r="F1146" s="63">
        <v>1E-4</v>
      </c>
      <c r="G1146" s="63" t="s">
        <v>13</v>
      </c>
      <c r="H1146" s="63" t="s">
        <v>11</v>
      </c>
      <c r="I1146" s="63">
        <v>5</v>
      </c>
      <c r="J1146" s="63">
        <v>10.01</v>
      </c>
      <c r="K1146" s="63" t="s">
        <v>10</v>
      </c>
      <c r="L1146" s="63">
        <v>576.87</v>
      </c>
      <c r="M1146" s="63">
        <v>180.75</v>
      </c>
      <c r="N1146" s="63">
        <v>576.87</v>
      </c>
      <c r="O1146" s="64">
        <v>180.65</v>
      </c>
    </row>
    <row r="1147" spans="1:15" x14ac:dyDescent="0.25">
      <c r="A1147" s="114" t="s">
        <v>1827</v>
      </c>
      <c r="B1147" s="63" t="s">
        <v>51</v>
      </c>
      <c r="C1147" s="63" t="s">
        <v>44</v>
      </c>
      <c r="D1147" s="63">
        <v>3.3E-3</v>
      </c>
      <c r="E1147" s="63">
        <v>3.3001000000000003E-2</v>
      </c>
      <c r="F1147" s="63">
        <v>1E-4</v>
      </c>
      <c r="G1147" s="63" t="s">
        <v>13</v>
      </c>
      <c r="H1147" s="63" t="s">
        <v>11</v>
      </c>
      <c r="I1147" s="63">
        <v>10</v>
      </c>
      <c r="J1147" s="63">
        <v>30</v>
      </c>
      <c r="K1147" s="63" t="s">
        <v>10</v>
      </c>
      <c r="L1147" s="63">
        <v>575.41</v>
      </c>
      <c r="M1147" s="63">
        <v>695.3</v>
      </c>
      <c r="N1147" s="63">
        <v>575.4</v>
      </c>
      <c r="O1147" s="64">
        <v>695.06</v>
      </c>
    </row>
    <row r="1148" spans="1:15" x14ac:dyDescent="0.25">
      <c r="A1148" s="114" t="s">
        <v>1828</v>
      </c>
      <c r="B1148" s="63" t="s">
        <v>51</v>
      </c>
      <c r="C1148" s="63" t="s">
        <v>44</v>
      </c>
      <c r="D1148" s="63">
        <v>3.3E-3</v>
      </c>
      <c r="E1148" s="63">
        <v>3.3001000000000003E-2</v>
      </c>
      <c r="F1148" s="63">
        <v>1E-4</v>
      </c>
      <c r="G1148" s="63" t="s">
        <v>13</v>
      </c>
      <c r="H1148" s="63" t="s">
        <v>11</v>
      </c>
      <c r="I1148" s="63">
        <v>30</v>
      </c>
      <c r="J1148" s="63">
        <v>30.01</v>
      </c>
      <c r="K1148" s="63" t="s">
        <v>10</v>
      </c>
      <c r="L1148" s="63">
        <v>575.41</v>
      </c>
      <c r="M1148" s="63">
        <v>695.3</v>
      </c>
      <c r="N1148" s="63">
        <v>575.4</v>
      </c>
      <c r="O1148" s="64">
        <v>695.06</v>
      </c>
    </row>
    <row r="1149" spans="1:15" x14ac:dyDescent="0.25">
      <c r="A1149" s="114" t="s">
        <v>1847</v>
      </c>
      <c r="B1149" s="63" t="s">
        <v>51</v>
      </c>
      <c r="C1149" s="63" t="s">
        <v>44</v>
      </c>
      <c r="D1149" s="63">
        <v>3.3000000000000002E-2</v>
      </c>
      <c r="E1149" s="63">
        <v>0.33001000000000003</v>
      </c>
      <c r="F1149" s="63">
        <v>1E-4</v>
      </c>
      <c r="G1149" s="63" t="s">
        <v>13</v>
      </c>
      <c r="H1149" s="63" t="s">
        <v>12</v>
      </c>
      <c r="I1149" s="63">
        <v>0.01</v>
      </c>
      <c r="J1149" s="63">
        <v>2.001E-2</v>
      </c>
      <c r="K1149" s="63" t="s">
        <v>10</v>
      </c>
      <c r="L1149" s="63">
        <v>4.1051999999999998E-2</v>
      </c>
      <c r="M1149" s="63">
        <v>2.0453000000000001</v>
      </c>
      <c r="N1149" s="63">
        <v>4.1147999999999997E-2</v>
      </c>
      <c r="O1149" s="64">
        <v>2.0425</v>
      </c>
    </row>
    <row r="1150" spans="1:15" x14ac:dyDescent="0.25">
      <c r="A1150" s="114" t="s">
        <v>2417</v>
      </c>
      <c r="B1150" s="63" t="s">
        <v>51</v>
      </c>
      <c r="C1150" s="63" t="s">
        <v>44</v>
      </c>
      <c r="D1150" s="63">
        <v>3.3000000000000002E-2</v>
      </c>
      <c r="E1150" s="63">
        <v>0.33001000000000003</v>
      </c>
      <c r="F1150" s="63">
        <v>1E-4</v>
      </c>
      <c r="G1150" s="63" t="s">
        <v>13</v>
      </c>
      <c r="H1150" s="63" t="s">
        <v>12</v>
      </c>
      <c r="I1150" s="63">
        <v>0.02</v>
      </c>
      <c r="J1150" s="63">
        <v>4.5010000000000001E-2</v>
      </c>
      <c r="K1150" s="63" t="s">
        <v>10</v>
      </c>
      <c r="L1150" s="63">
        <v>4.9202999999999997E-2</v>
      </c>
      <c r="M1150" s="63">
        <v>0.97804000000000002</v>
      </c>
      <c r="N1150" s="63">
        <v>4.9192E-2</v>
      </c>
      <c r="O1150" s="64">
        <v>0.97804000000000002</v>
      </c>
    </row>
    <row r="1151" spans="1:15" x14ac:dyDescent="0.25">
      <c r="A1151" s="114" t="s">
        <v>1843</v>
      </c>
      <c r="B1151" s="63" t="s">
        <v>51</v>
      </c>
      <c r="C1151" s="63" t="s">
        <v>44</v>
      </c>
      <c r="D1151" s="63">
        <v>3.3000000000000002E-2</v>
      </c>
      <c r="E1151" s="63">
        <v>0.33001000000000003</v>
      </c>
      <c r="F1151" s="63">
        <v>1E-4</v>
      </c>
      <c r="G1151" s="63" t="s">
        <v>13</v>
      </c>
      <c r="H1151" s="63" t="s">
        <v>12</v>
      </c>
      <c r="I1151" s="63">
        <v>4.4999999999999998E-2</v>
      </c>
      <c r="J1151" s="63">
        <v>1.0000100000000001</v>
      </c>
      <c r="K1151" s="63" t="s">
        <v>10</v>
      </c>
      <c r="L1151" s="63">
        <v>5.6196999999999997E-2</v>
      </c>
      <c r="M1151" s="63">
        <v>0.39853</v>
      </c>
      <c r="N1151" s="63">
        <v>5.6184999999999999E-2</v>
      </c>
      <c r="O1151" s="64">
        <v>0.39850999999999998</v>
      </c>
    </row>
    <row r="1152" spans="1:15" x14ac:dyDescent="0.25">
      <c r="A1152" s="114" t="s">
        <v>1845</v>
      </c>
      <c r="B1152" s="63" t="s">
        <v>51</v>
      </c>
      <c r="C1152" s="63" t="s">
        <v>44</v>
      </c>
      <c r="D1152" s="63">
        <v>3.3000000000000002E-2</v>
      </c>
      <c r="E1152" s="63">
        <v>0.33001000000000003</v>
      </c>
      <c r="F1152" s="63">
        <v>1E-4</v>
      </c>
      <c r="G1152" s="63" t="s">
        <v>13</v>
      </c>
      <c r="H1152" s="63" t="s">
        <v>12</v>
      </c>
      <c r="I1152" s="63">
        <v>1</v>
      </c>
      <c r="J1152" s="63">
        <v>5.01</v>
      </c>
      <c r="K1152" s="63" t="s">
        <v>10</v>
      </c>
      <c r="L1152" s="63">
        <v>7.3934E-2</v>
      </c>
      <c r="M1152" s="63">
        <v>1.1516999999999999</v>
      </c>
      <c r="N1152" s="63">
        <v>7.5028999999999998E-2</v>
      </c>
      <c r="O1152" s="64">
        <v>1.1174999999999999</v>
      </c>
    </row>
    <row r="1153" spans="1:15" x14ac:dyDescent="0.25">
      <c r="A1153" s="114" t="s">
        <v>1846</v>
      </c>
      <c r="B1153" s="63" t="s">
        <v>51</v>
      </c>
      <c r="C1153" s="63" t="s">
        <v>44</v>
      </c>
      <c r="D1153" s="63">
        <v>3.3000000000000002E-2</v>
      </c>
      <c r="E1153" s="63">
        <v>0.33001000000000003</v>
      </c>
      <c r="F1153" s="63">
        <v>1E-4</v>
      </c>
      <c r="G1153" s="63" t="s">
        <v>13</v>
      </c>
      <c r="H1153" s="63" t="s">
        <v>12</v>
      </c>
      <c r="I1153" s="63">
        <v>5</v>
      </c>
      <c r="J1153" s="63">
        <v>10.01</v>
      </c>
      <c r="K1153" s="63" t="s">
        <v>10</v>
      </c>
      <c r="L1153" s="63">
        <v>0.12471</v>
      </c>
      <c r="M1153" s="63">
        <v>2.2890999999999999</v>
      </c>
      <c r="N1153" s="63">
        <v>0.12466000000000001</v>
      </c>
      <c r="O1153" s="64">
        <v>2.2892000000000001</v>
      </c>
    </row>
    <row r="1154" spans="1:15" x14ac:dyDescent="0.25">
      <c r="A1154" s="114" t="s">
        <v>1844</v>
      </c>
      <c r="B1154" s="63" t="s">
        <v>51</v>
      </c>
      <c r="C1154" s="63" t="s">
        <v>44</v>
      </c>
      <c r="D1154" s="63">
        <v>3.3000000000000002E-2</v>
      </c>
      <c r="E1154" s="63">
        <v>0.33001000000000003</v>
      </c>
      <c r="F1154" s="63">
        <v>1E-4</v>
      </c>
      <c r="G1154" s="63" t="s">
        <v>13</v>
      </c>
      <c r="H1154" s="63" t="s">
        <v>12</v>
      </c>
      <c r="I1154" s="63">
        <v>10</v>
      </c>
      <c r="J1154" s="63">
        <v>30</v>
      </c>
      <c r="K1154" s="63" t="s">
        <v>10</v>
      </c>
      <c r="L1154" s="63">
        <v>0.24</v>
      </c>
      <c r="M1154" s="63">
        <v>4.5999999999999996</v>
      </c>
      <c r="N1154" s="63">
        <v>0.23555999999999999</v>
      </c>
      <c r="O1154" s="64">
        <v>4.6105</v>
      </c>
    </row>
    <row r="1155" spans="1:15" x14ac:dyDescent="0.25">
      <c r="A1155" s="114" t="s">
        <v>2418</v>
      </c>
      <c r="B1155" s="63" t="s">
        <v>51</v>
      </c>
      <c r="C1155" s="63" t="s">
        <v>44</v>
      </c>
      <c r="D1155" s="63">
        <v>3.3000000000000002E-2</v>
      </c>
      <c r="E1155" s="63">
        <v>0.33001000000000003</v>
      </c>
      <c r="F1155" s="63">
        <v>1E-4</v>
      </c>
      <c r="G1155" s="63" t="s">
        <v>13</v>
      </c>
      <c r="H1155" s="63" t="s">
        <v>12</v>
      </c>
      <c r="I1155" s="63">
        <v>30</v>
      </c>
      <c r="J1155" s="63">
        <v>30.01</v>
      </c>
      <c r="K1155" s="63" t="s">
        <v>10</v>
      </c>
      <c r="L1155" s="63">
        <v>0.24</v>
      </c>
      <c r="M1155" s="63">
        <v>4.5999999999999996</v>
      </c>
      <c r="N1155" s="63">
        <v>0.23555999999999999</v>
      </c>
      <c r="O1155" s="64">
        <v>4.6105</v>
      </c>
    </row>
    <row r="1156" spans="1:15" x14ac:dyDescent="0.25">
      <c r="A1156" s="114" t="s">
        <v>1866</v>
      </c>
      <c r="B1156" s="63" t="s">
        <v>51</v>
      </c>
      <c r="C1156" s="63" t="s">
        <v>44</v>
      </c>
      <c r="D1156" s="63">
        <v>0.33</v>
      </c>
      <c r="E1156" s="63">
        <v>1.1000099999999999</v>
      </c>
      <c r="F1156" s="63">
        <v>1E-4</v>
      </c>
      <c r="G1156" s="63" t="s">
        <v>13</v>
      </c>
      <c r="H1156" s="63" t="s">
        <v>12</v>
      </c>
      <c r="I1156" s="63">
        <v>0.01</v>
      </c>
      <c r="J1156" s="63">
        <v>4.5010000000000001E-2</v>
      </c>
      <c r="K1156" s="63" t="s">
        <v>10</v>
      </c>
      <c r="L1156" s="63">
        <v>0.12</v>
      </c>
      <c r="M1156" s="63">
        <v>2.1</v>
      </c>
      <c r="N1156" s="63">
        <v>0.11882</v>
      </c>
      <c r="O1156" s="64">
        <v>2.0766</v>
      </c>
    </row>
    <row r="1157" spans="1:15" x14ac:dyDescent="0.25">
      <c r="A1157" s="114" t="s">
        <v>2419</v>
      </c>
      <c r="B1157" s="63" t="s">
        <v>51</v>
      </c>
      <c r="C1157" s="63" t="s">
        <v>44</v>
      </c>
      <c r="D1157" s="63">
        <v>0.33</v>
      </c>
      <c r="E1157" s="63">
        <v>1.1000099999999999</v>
      </c>
      <c r="F1157" s="63">
        <v>1E-4</v>
      </c>
      <c r="G1157" s="63" t="s">
        <v>13</v>
      </c>
      <c r="H1157" s="63" t="s">
        <v>12</v>
      </c>
      <c r="I1157" s="63">
        <v>4.4999999999999998E-2</v>
      </c>
      <c r="J1157" s="63">
        <v>1.0000100000000001</v>
      </c>
      <c r="K1157" s="63" t="s">
        <v>10</v>
      </c>
      <c r="L1157" s="63">
        <v>0.12267</v>
      </c>
      <c r="M1157" s="63">
        <v>0.57757999999999998</v>
      </c>
      <c r="N1157" s="63">
        <v>0.124</v>
      </c>
      <c r="O1157" s="64">
        <v>0.57333000000000001</v>
      </c>
    </row>
    <row r="1158" spans="1:15" x14ac:dyDescent="0.25">
      <c r="A1158" s="114" t="s">
        <v>1865</v>
      </c>
      <c r="B1158" s="63" t="s">
        <v>51</v>
      </c>
      <c r="C1158" s="63" t="s">
        <v>44</v>
      </c>
      <c r="D1158" s="63">
        <v>0.33</v>
      </c>
      <c r="E1158" s="63">
        <v>1.1000099999999999</v>
      </c>
      <c r="F1158" s="63">
        <v>1E-4</v>
      </c>
      <c r="G1158" s="63" t="s">
        <v>13</v>
      </c>
      <c r="H1158" s="63" t="s">
        <v>12</v>
      </c>
      <c r="I1158" s="63">
        <v>1</v>
      </c>
      <c r="J1158" s="63">
        <v>5.01</v>
      </c>
      <c r="K1158" s="63" t="s">
        <v>10</v>
      </c>
      <c r="L1158" s="63">
        <v>1.2</v>
      </c>
      <c r="M1158" s="63">
        <v>6.9</v>
      </c>
      <c r="N1158" s="63">
        <v>1.1555</v>
      </c>
      <c r="O1158" s="64">
        <v>6.9278000000000004</v>
      </c>
    </row>
    <row r="1159" spans="1:15" x14ac:dyDescent="0.25">
      <c r="A1159" s="114" t="s">
        <v>1864</v>
      </c>
      <c r="B1159" s="63" t="s">
        <v>51</v>
      </c>
      <c r="C1159" s="63" t="s">
        <v>44</v>
      </c>
      <c r="D1159" s="63">
        <v>0.33</v>
      </c>
      <c r="E1159" s="63">
        <v>1.1000099999999999</v>
      </c>
      <c r="F1159" s="63">
        <v>1E-4</v>
      </c>
      <c r="G1159" s="63" t="s">
        <v>13</v>
      </c>
      <c r="H1159" s="63" t="s">
        <v>12</v>
      </c>
      <c r="I1159" s="63">
        <v>5</v>
      </c>
      <c r="J1159" s="63">
        <v>10</v>
      </c>
      <c r="K1159" s="63" t="s">
        <v>10</v>
      </c>
      <c r="L1159" s="63">
        <v>5.8</v>
      </c>
      <c r="M1159" s="63">
        <v>29</v>
      </c>
      <c r="N1159" s="63">
        <v>5.7742000000000004</v>
      </c>
      <c r="O1159" s="64">
        <v>28.867000000000001</v>
      </c>
    </row>
    <row r="1160" spans="1:15" x14ac:dyDescent="0.25">
      <c r="A1160" s="114" t="s">
        <v>2420</v>
      </c>
      <c r="B1160" s="63" t="s">
        <v>51</v>
      </c>
      <c r="C1160" s="63" t="s">
        <v>44</v>
      </c>
      <c r="D1160" s="63">
        <v>0.33</v>
      </c>
      <c r="E1160" s="63">
        <v>1.1000099999999999</v>
      </c>
      <c r="F1160" s="63">
        <v>1E-4</v>
      </c>
      <c r="G1160" s="63" t="s">
        <v>13</v>
      </c>
      <c r="H1160" s="63" t="s">
        <v>12</v>
      </c>
      <c r="I1160" s="63">
        <v>10</v>
      </c>
      <c r="J1160" s="63">
        <v>10.01</v>
      </c>
      <c r="K1160" s="63" t="s">
        <v>10</v>
      </c>
      <c r="L1160" s="63">
        <v>5.8</v>
      </c>
      <c r="M1160" s="63">
        <v>29</v>
      </c>
      <c r="N1160" s="63">
        <v>5.7742000000000004</v>
      </c>
      <c r="O1160" s="64">
        <v>28.867000000000001</v>
      </c>
    </row>
    <row r="1161" spans="1:15" x14ac:dyDescent="0.25">
      <c r="A1161" s="114" t="s">
        <v>1885</v>
      </c>
      <c r="B1161" s="63" t="s">
        <v>51</v>
      </c>
      <c r="C1161" s="63" t="s">
        <v>44</v>
      </c>
      <c r="D1161" s="63">
        <v>1.1000000000000001</v>
      </c>
      <c r="E1161" s="63">
        <v>3.0009999999999999</v>
      </c>
      <c r="F1161" s="63">
        <v>1E-4</v>
      </c>
      <c r="G1161" s="63" t="s">
        <v>13</v>
      </c>
      <c r="H1161" s="63" t="s">
        <v>12</v>
      </c>
      <c r="I1161" s="63">
        <v>0.01</v>
      </c>
      <c r="J1161" s="63">
        <v>4.5010000000000001E-2</v>
      </c>
      <c r="K1161" s="63" t="s">
        <v>10</v>
      </c>
      <c r="L1161" s="63">
        <v>0.12</v>
      </c>
      <c r="M1161" s="63">
        <v>2.1</v>
      </c>
      <c r="N1161" s="63">
        <v>0.11676</v>
      </c>
      <c r="O1161" s="64">
        <v>2.0785</v>
      </c>
    </row>
    <row r="1162" spans="1:15" x14ac:dyDescent="0.25">
      <c r="A1162" s="114" t="s">
        <v>2421</v>
      </c>
      <c r="B1162" s="63" t="s">
        <v>51</v>
      </c>
      <c r="C1162" s="63" t="s">
        <v>44</v>
      </c>
      <c r="D1162" s="63">
        <v>1.1000000000000001</v>
      </c>
      <c r="E1162" s="63">
        <v>3.0009999999999999</v>
      </c>
      <c r="F1162" s="63">
        <v>1E-4</v>
      </c>
      <c r="G1162" s="63" t="s">
        <v>13</v>
      </c>
      <c r="H1162" s="63" t="s">
        <v>12</v>
      </c>
      <c r="I1162" s="63">
        <v>4.4999999999999998E-2</v>
      </c>
      <c r="J1162" s="63">
        <v>1.0000100000000001</v>
      </c>
      <c r="K1162" s="63" t="s">
        <v>10</v>
      </c>
      <c r="L1162" s="63">
        <v>0.13</v>
      </c>
      <c r="M1162" s="63">
        <v>0.69</v>
      </c>
      <c r="N1162" s="63">
        <v>0.11867999999999999</v>
      </c>
      <c r="O1162" s="64">
        <v>0.69310000000000005</v>
      </c>
    </row>
    <row r="1163" spans="1:15" x14ac:dyDescent="0.25">
      <c r="A1163" s="114" t="s">
        <v>1884</v>
      </c>
      <c r="B1163" s="63" t="s">
        <v>51</v>
      </c>
      <c r="C1163" s="63" t="s">
        <v>44</v>
      </c>
      <c r="D1163" s="63">
        <v>1.1000000000000001</v>
      </c>
      <c r="E1163" s="63">
        <v>3.0009999999999999</v>
      </c>
      <c r="F1163" s="63">
        <v>1E-4</v>
      </c>
      <c r="G1163" s="63" t="s">
        <v>13</v>
      </c>
      <c r="H1163" s="63" t="s">
        <v>12</v>
      </c>
      <c r="I1163" s="63">
        <v>1</v>
      </c>
      <c r="J1163" s="63">
        <v>5.01</v>
      </c>
      <c r="K1163" s="63" t="s">
        <v>10</v>
      </c>
      <c r="L1163" s="63">
        <v>1.3</v>
      </c>
      <c r="M1163" s="63">
        <v>6.9</v>
      </c>
      <c r="N1163" s="63">
        <v>1.1552</v>
      </c>
      <c r="O1163" s="64">
        <v>6.9282000000000004</v>
      </c>
    </row>
    <row r="1164" spans="1:15" x14ac:dyDescent="0.25">
      <c r="A1164" s="114" t="s">
        <v>1883</v>
      </c>
      <c r="B1164" s="63" t="s">
        <v>51</v>
      </c>
      <c r="C1164" s="63" t="s">
        <v>44</v>
      </c>
      <c r="D1164" s="63">
        <v>1.1000000000000001</v>
      </c>
      <c r="E1164" s="63">
        <v>3.0009999999999999</v>
      </c>
      <c r="F1164" s="63">
        <v>1E-4</v>
      </c>
      <c r="G1164" s="63" t="s">
        <v>13</v>
      </c>
      <c r="H1164" s="63" t="s">
        <v>12</v>
      </c>
      <c r="I1164" s="63">
        <v>5</v>
      </c>
      <c r="J1164" s="63">
        <v>10</v>
      </c>
      <c r="K1164" s="63" t="s">
        <v>10</v>
      </c>
      <c r="L1164" s="63">
        <v>5.8</v>
      </c>
      <c r="M1164" s="63">
        <v>29</v>
      </c>
      <c r="N1164" s="63">
        <v>5.7731000000000003</v>
      </c>
      <c r="O1164" s="64">
        <v>28.867999999999999</v>
      </c>
    </row>
    <row r="1165" spans="1:15" x14ac:dyDescent="0.25">
      <c r="A1165" s="114" t="s">
        <v>1882</v>
      </c>
      <c r="B1165" s="63" t="s">
        <v>51</v>
      </c>
      <c r="C1165" s="63" t="s">
        <v>44</v>
      </c>
      <c r="D1165" s="63">
        <v>1.1000000000000001</v>
      </c>
      <c r="E1165" s="63">
        <v>3.0009999999999999</v>
      </c>
      <c r="F1165" s="63">
        <v>1E-4</v>
      </c>
      <c r="G1165" s="63" t="s">
        <v>13</v>
      </c>
      <c r="H1165" s="63" t="s">
        <v>12</v>
      </c>
      <c r="I1165" s="63">
        <v>10</v>
      </c>
      <c r="J1165" s="63">
        <v>10.01</v>
      </c>
      <c r="K1165" s="63" t="s">
        <v>10</v>
      </c>
      <c r="L1165" s="63">
        <v>5.8</v>
      </c>
      <c r="M1165" s="63">
        <v>29</v>
      </c>
      <c r="N1165" s="63">
        <v>5.7731000000000003</v>
      </c>
      <c r="O1165" s="64">
        <v>28.867999999999999</v>
      </c>
    </row>
    <row r="1166" spans="1:15" x14ac:dyDescent="0.25">
      <c r="A1166" s="114" t="s">
        <v>2422</v>
      </c>
      <c r="B1166" s="63" t="s">
        <v>51</v>
      </c>
      <c r="C1166" s="63" t="s">
        <v>44</v>
      </c>
      <c r="D1166" s="63">
        <v>3</v>
      </c>
      <c r="E1166" s="63">
        <v>11.000999999999999</v>
      </c>
      <c r="F1166" s="63">
        <v>1E-4</v>
      </c>
      <c r="G1166" s="63" t="s">
        <v>13</v>
      </c>
      <c r="H1166" s="63" t="s">
        <v>12</v>
      </c>
      <c r="I1166" s="63">
        <v>4.4999999999999998E-2</v>
      </c>
      <c r="J1166" s="63">
        <v>0.10001</v>
      </c>
      <c r="K1166" s="63" t="s">
        <v>10</v>
      </c>
      <c r="L1166" s="63">
        <v>2.4</v>
      </c>
      <c r="M1166" s="63">
        <v>0.69</v>
      </c>
      <c r="N1166" s="63">
        <v>2.3298000000000001</v>
      </c>
      <c r="O1166" s="64">
        <v>0.69372999999999996</v>
      </c>
    </row>
    <row r="1167" spans="1:15" x14ac:dyDescent="0.25">
      <c r="A1167" s="114" t="s">
        <v>2423</v>
      </c>
      <c r="B1167" s="63" t="s">
        <v>51</v>
      </c>
      <c r="C1167" s="63" t="s">
        <v>44</v>
      </c>
      <c r="D1167" s="63">
        <v>3</v>
      </c>
      <c r="E1167" s="63">
        <v>11.000999999999999</v>
      </c>
      <c r="F1167" s="63">
        <v>1E-4</v>
      </c>
      <c r="G1167" s="63" t="s">
        <v>13</v>
      </c>
      <c r="H1167" s="63" t="s">
        <v>12</v>
      </c>
      <c r="I1167" s="63">
        <v>0.1</v>
      </c>
      <c r="J1167" s="63">
        <v>1.0000100000000001</v>
      </c>
      <c r="K1167" s="63" t="s">
        <v>10</v>
      </c>
      <c r="L1167" s="63">
        <v>2.4</v>
      </c>
      <c r="M1167" s="63">
        <v>1.2</v>
      </c>
      <c r="N1167" s="63">
        <v>2.3239999999999998</v>
      </c>
      <c r="O1167" s="64">
        <v>1.1553</v>
      </c>
    </row>
    <row r="1168" spans="1:15" x14ac:dyDescent="0.25">
      <c r="A1168" s="114" t="s">
        <v>1898</v>
      </c>
      <c r="B1168" s="63" t="s">
        <v>51</v>
      </c>
      <c r="C1168" s="63" t="s">
        <v>44</v>
      </c>
      <c r="D1168" s="63">
        <v>3</v>
      </c>
      <c r="E1168" s="63">
        <v>11.000999999999999</v>
      </c>
      <c r="F1168" s="63">
        <v>1E-4</v>
      </c>
      <c r="G1168" s="63" t="s">
        <v>13</v>
      </c>
      <c r="H1168" s="63" t="s">
        <v>12</v>
      </c>
      <c r="I1168" s="63">
        <v>1</v>
      </c>
      <c r="J1168" s="63">
        <v>5</v>
      </c>
      <c r="K1168" s="63" t="s">
        <v>10</v>
      </c>
      <c r="L1168" s="63">
        <v>2.5</v>
      </c>
      <c r="M1168" s="63">
        <v>35</v>
      </c>
      <c r="N1168" s="63">
        <v>2.3102999999999998</v>
      </c>
      <c r="O1168" s="64">
        <v>34.640999999999998</v>
      </c>
    </row>
    <row r="1169" spans="1:15" x14ac:dyDescent="0.25">
      <c r="A1169" s="114" t="s">
        <v>1897</v>
      </c>
      <c r="B1169" s="63" t="s">
        <v>51</v>
      </c>
      <c r="C1169" s="63" t="s">
        <v>44</v>
      </c>
      <c r="D1169" s="63">
        <v>3</v>
      </c>
      <c r="E1169" s="63">
        <v>11.000999999999999</v>
      </c>
      <c r="F1169" s="63">
        <v>1E-4</v>
      </c>
      <c r="G1169" s="63" t="s">
        <v>13</v>
      </c>
      <c r="H1169" s="63" t="s">
        <v>12</v>
      </c>
      <c r="I1169" s="63">
        <v>5</v>
      </c>
      <c r="J1169" s="63">
        <v>5.01</v>
      </c>
      <c r="K1169" s="63" t="s">
        <v>10</v>
      </c>
      <c r="L1169" s="63">
        <v>2.5</v>
      </c>
      <c r="M1169" s="63">
        <v>35</v>
      </c>
      <c r="N1169" s="63">
        <v>2.3102999999999998</v>
      </c>
      <c r="O1169" s="64">
        <v>34.640999999999998</v>
      </c>
    </row>
    <row r="1170" spans="1:15" x14ac:dyDescent="0.25">
      <c r="A1170" s="114" t="s">
        <v>1911</v>
      </c>
      <c r="B1170" s="63" t="s">
        <v>51</v>
      </c>
      <c r="C1170" s="63" t="s">
        <v>44</v>
      </c>
      <c r="D1170" s="63">
        <v>11</v>
      </c>
      <c r="E1170" s="63">
        <v>20.501000000000001</v>
      </c>
      <c r="F1170" s="63">
        <v>1E-4</v>
      </c>
      <c r="G1170" s="63" t="s">
        <v>13</v>
      </c>
      <c r="H1170" s="63" t="s">
        <v>12</v>
      </c>
      <c r="I1170" s="63">
        <v>4.4999999999999998E-2</v>
      </c>
      <c r="J1170" s="63">
        <v>0.10001</v>
      </c>
      <c r="K1170" s="63" t="s">
        <v>10</v>
      </c>
      <c r="L1170" s="63">
        <v>5.8</v>
      </c>
      <c r="M1170" s="63">
        <v>1.4</v>
      </c>
      <c r="N1170" s="63">
        <v>5.7744999999999997</v>
      </c>
      <c r="O1170" s="64">
        <v>1.3859999999999999</v>
      </c>
    </row>
    <row r="1171" spans="1:15" x14ac:dyDescent="0.25">
      <c r="A1171" s="114" t="s">
        <v>1913</v>
      </c>
      <c r="B1171" s="63" t="s">
        <v>51</v>
      </c>
      <c r="C1171" s="63" t="s">
        <v>44</v>
      </c>
      <c r="D1171" s="63">
        <v>11</v>
      </c>
      <c r="E1171" s="63">
        <v>20.501000000000001</v>
      </c>
      <c r="F1171" s="63">
        <v>1E-4</v>
      </c>
      <c r="G1171" s="63" t="s">
        <v>13</v>
      </c>
      <c r="H1171" s="63" t="s">
        <v>12</v>
      </c>
      <c r="I1171" s="63">
        <v>0.1</v>
      </c>
      <c r="J1171" s="63">
        <v>1.0000100000000001</v>
      </c>
      <c r="K1171" s="63" t="s">
        <v>10</v>
      </c>
      <c r="L1171" s="63">
        <v>6.5</v>
      </c>
      <c r="M1171" s="63">
        <v>1.7</v>
      </c>
      <c r="N1171" s="63">
        <v>5.7754000000000003</v>
      </c>
      <c r="O1171" s="64">
        <v>1.7323999999999999</v>
      </c>
    </row>
    <row r="1172" spans="1:15" x14ac:dyDescent="0.25">
      <c r="A1172" s="114" t="s">
        <v>1912</v>
      </c>
      <c r="B1172" s="63" t="s">
        <v>51</v>
      </c>
      <c r="C1172" s="63" t="s">
        <v>44</v>
      </c>
      <c r="D1172" s="63">
        <v>11</v>
      </c>
      <c r="E1172" s="63">
        <v>20.501000000000001</v>
      </c>
      <c r="F1172" s="63">
        <v>1E-4</v>
      </c>
      <c r="G1172" s="63" t="s">
        <v>13</v>
      </c>
      <c r="H1172" s="63" t="s">
        <v>12</v>
      </c>
      <c r="I1172" s="63">
        <v>1</v>
      </c>
      <c r="J1172" s="63">
        <v>5</v>
      </c>
      <c r="K1172" s="63" t="s">
        <v>10</v>
      </c>
      <c r="L1172" s="63">
        <v>5.9</v>
      </c>
      <c r="M1172" s="63">
        <v>35</v>
      </c>
      <c r="N1172" s="63">
        <v>5.7742000000000004</v>
      </c>
      <c r="O1172" s="64">
        <v>34.640999999999998</v>
      </c>
    </row>
    <row r="1173" spans="1:15" x14ac:dyDescent="0.25">
      <c r="A1173" s="114" t="s">
        <v>1914</v>
      </c>
      <c r="B1173" s="63" t="s">
        <v>51</v>
      </c>
      <c r="C1173" s="63" t="s">
        <v>44</v>
      </c>
      <c r="D1173" s="63">
        <v>11</v>
      </c>
      <c r="E1173" s="63">
        <v>20.501000000000001</v>
      </c>
      <c r="F1173" s="63">
        <v>1E-4</v>
      </c>
      <c r="G1173" s="63" t="s">
        <v>13</v>
      </c>
      <c r="H1173" s="63" t="s">
        <v>12</v>
      </c>
      <c r="I1173" s="63">
        <v>5</v>
      </c>
      <c r="J1173" s="63">
        <v>5.01</v>
      </c>
      <c r="K1173" s="63" t="s">
        <v>10</v>
      </c>
      <c r="L1173" s="63">
        <v>5.9</v>
      </c>
      <c r="M1173" s="63">
        <v>35</v>
      </c>
      <c r="N1173" s="63">
        <v>5.7742000000000004</v>
      </c>
      <c r="O1173" s="64">
        <v>34.640999999999998</v>
      </c>
    </row>
    <row r="1174" spans="1:15" x14ac:dyDescent="0.25">
      <c r="A1174" s="114" t="s">
        <v>1762</v>
      </c>
      <c r="B1174" s="63" t="s">
        <v>51</v>
      </c>
      <c r="C1174" s="63" t="s">
        <v>44</v>
      </c>
      <c r="D1174" s="63">
        <v>0</v>
      </c>
      <c r="E1174" s="63">
        <v>3.3000999999999999E-4</v>
      </c>
      <c r="F1174" s="63">
        <v>1E-3</v>
      </c>
      <c r="G1174" s="63" t="s">
        <v>13</v>
      </c>
      <c r="H1174" s="63" t="s">
        <v>11</v>
      </c>
      <c r="I1174" s="63">
        <v>0.01</v>
      </c>
      <c r="J1174" s="63">
        <v>2.001E-2</v>
      </c>
      <c r="K1174" s="63" t="s">
        <v>10</v>
      </c>
      <c r="L1174" s="63">
        <v>580.26</v>
      </c>
      <c r="M1174" s="63">
        <v>-8787.4</v>
      </c>
      <c r="N1174" s="63">
        <v>580.03</v>
      </c>
      <c r="O1174" s="64">
        <v>-8787.5</v>
      </c>
    </row>
    <row r="1175" spans="1:15" x14ac:dyDescent="0.25">
      <c r="A1175" s="114" t="s">
        <v>1763</v>
      </c>
      <c r="B1175" s="63" t="s">
        <v>51</v>
      </c>
      <c r="C1175" s="63" t="s">
        <v>44</v>
      </c>
      <c r="D1175" s="63">
        <v>0</v>
      </c>
      <c r="E1175" s="63">
        <v>3.3000999999999999E-4</v>
      </c>
      <c r="F1175" s="63">
        <v>1E-3</v>
      </c>
      <c r="G1175" s="63" t="s">
        <v>13</v>
      </c>
      <c r="H1175" s="63" t="s">
        <v>11</v>
      </c>
      <c r="I1175" s="63">
        <v>0.02</v>
      </c>
      <c r="J1175" s="63">
        <v>4.5010000000000001E-2</v>
      </c>
      <c r="K1175" s="63" t="s">
        <v>10</v>
      </c>
      <c r="L1175" s="63">
        <v>577.36</v>
      </c>
      <c r="M1175" s="63">
        <v>1.3673999999999999</v>
      </c>
      <c r="N1175" s="63">
        <v>577.35</v>
      </c>
      <c r="O1175" s="64">
        <v>1.2795000000000001</v>
      </c>
    </row>
    <row r="1176" spans="1:15" x14ac:dyDescent="0.25">
      <c r="A1176" s="114" t="s">
        <v>2424</v>
      </c>
      <c r="B1176" s="63" t="s">
        <v>51</v>
      </c>
      <c r="C1176" s="63" t="s">
        <v>44</v>
      </c>
      <c r="D1176" s="63">
        <v>0</v>
      </c>
      <c r="E1176" s="63">
        <v>3.3000999999999999E-4</v>
      </c>
      <c r="F1176" s="63">
        <v>1E-3</v>
      </c>
      <c r="G1176" s="63" t="s">
        <v>13</v>
      </c>
      <c r="H1176" s="63" t="s">
        <v>11</v>
      </c>
      <c r="I1176" s="63">
        <v>4.4999999999999998E-2</v>
      </c>
      <c r="J1176" s="63">
        <v>1.0000100000000001</v>
      </c>
      <c r="K1176" s="63" t="s">
        <v>10</v>
      </c>
      <c r="L1176" s="63">
        <v>577.36</v>
      </c>
      <c r="M1176" s="63">
        <v>1.0246</v>
      </c>
      <c r="N1176" s="63">
        <v>577.36</v>
      </c>
      <c r="O1176" s="64">
        <v>0.93681999999999999</v>
      </c>
    </row>
    <row r="1177" spans="1:15" x14ac:dyDescent="0.25">
      <c r="A1177" s="114" t="s">
        <v>2425</v>
      </c>
      <c r="B1177" s="63" t="s">
        <v>51</v>
      </c>
      <c r="C1177" s="63" t="s">
        <v>44</v>
      </c>
      <c r="D1177" s="63">
        <v>0</v>
      </c>
      <c r="E1177" s="63">
        <v>3.3000999999999999E-4</v>
      </c>
      <c r="F1177" s="63">
        <v>1E-3</v>
      </c>
      <c r="G1177" s="63" t="s">
        <v>13</v>
      </c>
      <c r="H1177" s="63" t="s">
        <v>11</v>
      </c>
      <c r="I1177" s="63">
        <v>1</v>
      </c>
      <c r="J1177" s="63">
        <v>5.01</v>
      </c>
      <c r="K1177" s="63" t="s">
        <v>10</v>
      </c>
      <c r="L1177" s="63">
        <v>577.36</v>
      </c>
      <c r="M1177" s="63">
        <v>4.8582999999999998</v>
      </c>
      <c r="N1177" s="63">
        <v>577.35</v>
      </c>
      <c r="O1177" s="64">
        <v>4.7705000000000002</v>
      </c>
    </row>
    <row r="1178" spans="1:15" x14ac:dyDescent="0.25">
      <c r="A1178" s="114" t="s">
        <v>1760</v>
      </c>
      <c r="B1178" s="63" t="s">
        <v>51</v>
      </c>
      <c r="C1178" s="63" t="s">
        <v>44</v>
      </c>
      <c r="D1178" s="63">
        <v>0</v>
      </c>
      <c r="E1178" s="63">
        <v>3.3000999999999999E-4</v>
      </c>
      <c r="F1178" s="63">
        <v>1E-3</v>
      </c>
      <c r="G1178" s="63" t="s">
        <v>13</v>
      </c>
      <c r="H1178" s="63" t="s">
        <v>11</v>
      </c>
      <c r="I1178" s="63">
        <v>5</v>
      </c>
      <c r="J1178" s="63">
        <v>10.01</v>
      </c>
      <c r="K1178" s="63" t="s">
        <v>10</v>
      </c>
      <c r="L1178" s="63">
        <v>577.35</v>
      </c>
      <c r="M1178" s="63">
        <v>30.413</v>
      </c>
      <c r="N1178" s="63">
        <v>577.35</v>
      </c>
      <c r="O1178" s="64">
        <v>30.225999999999999</v>
      </c>
    </row>
    <row r="1179" spans="1:15" x14ac:dyDescent="0.25">
      <c r="A1179" s="114" t="s">
        <v>1761</v>
      </c>
      <c r="B1179" s="63" t="s">
        <v>51</v>
      </c>
      <c r="C1179" s="63" t="s">
        <v>44</v>
      </c>
      <c r="D1179" s="63">
        <v>0</v>
      </c>
      <c r="E1179" s="63">
        <v>3.3000999999999999E-4</v>
      </c>
      <c r="F1179" s="63">
        <v>1E-3</v>
      </c>
      <c r="G1179" s="63" t="s">
        <v>13</v>
      </c>
      <c r="H1179" s="63" t="s">
        <v>11</v>
      </c>
      <c r="I1179" s="63">
        <v>10</v>
      </c>
      <c r="J1179" s="63">
        <v>30</v>
      </c>
      <c r="K1179" s="63" t="s">
        <v>10</v>
      </c>
      <c r="L1179" s="63">
        <v>577.35</v>
      </c>
      <c r="M1179" s="63">
        <v>121.09</v>
      </c>
      <c r="N1179" s="63">
        <v>577.32000000000005</v>
      </c>
      <c r="O1179" s="64">
        <v>120.9</v>
      </c>
    </row>
    <row r="1180" spans="1:15" x14ac:dyDescent="0.25">
      <c r="A1180" s="114" t="s">
        <v>1759</v>
      </c>
      <c r="B1180" s="63" t="s">
        <v>51</v>
      </c>
      <c r="C1180" s="63" t="s">
        <v>44</v>
      </c>
      <c r="D1180" s="63">
        <v>0</v>
      </c>
      <c r="E1180" s="63">
        <v>3.3000999999999999E-4</v>
      </c>
      <c r="F1180" s="63">
        <v>1E-3</v>
      </c>
      <c r="G1180" s="63" t="s">
        <v>13</v>
      </c>
      <c r="H1180" s="63" t="s">
        <v>11</v>
      </c>
      <c r="I1180" s="63">
        <v>30</v>
      </c>
      <c r="J1180" s="63">
        <v>30.1</v>
      </c>
      <c r="K1180" s="63" t="s">
        <v>10</v>
      </c>
      <c r="L1180" s="63">
        <v>577.35</v>
      </c>
      <c r="M1180" s="63">
        <v>121.09</v>
      </c>
      <c r="N1180" s="63">
        <v>577.32000000000005</v>
      </c>
      <c r="O1180" s="64">
        <v>120.9</v>
      </c>
    </row>
    <row r="1181" spans="1:15" x14ac:dyDescent="0.25">
      <c r="A1181" s="114" t="s">
        <v>1848</v>
      </c>
      <c r="B1181" s="63" t="s">
        <v>51</v>
      </c>
      <c r="C1181" s="63" t="s">
        <v>44</v>
      </c>
      <c r="D1181" s="63">
        <v>3.3000000000000002E-2</v>
      </c>
      <c r="E1181" s="63">
        <v>0.33001000000000003</v>
      </c>
      <c r="F1181" s="63">
        <v>1E-3</v>
      </c>
      <c r="G1181" s="63" t="s">
        <v>13</v>
      </c>
      <c r="H1181" s="63" t="s">
        <v>12</v>
      </c>
      <c r="I1181" s="63">
        <v>0.01</v>
      </c>
      <c r="J1181" s="63">
        <v>2.001E-2</v>
      </c>
      <c r="K1181" s="63" t="s">
        <v>10</v>
      </c>
      <c r="L1181" s="63">
        <v>0.54766999999999999</v>
      </c>
      <c r="M1181" s="63">
        <v>1.1202000000000001</v>
      </c>
      <c r="N1181" s="63">
        <v>0.54766000000000004</v>
      </c>
      <c r="O1181" s="64">
        <v>1.1202000000000001</v>
      </c>
    </row>
    <row r="1182" spans="1:15" x14ac:dyDescent="0.25">
      <c r="A1182" s="114" t="s">
        <v>1853</v>
      </c>
      <c r="B1182" s="63" t="s">
        <v>51</v>
      </c>
      <c r="C1182" s="63" t="s">
        <v>44</v>
      </c>
      <c r="D1182" s="63">
        <v>3.3000000000000002E-2</v>
      </c>
      <c r="E1182" s="63">
        <v>0.33001000000000003</v>
      </c>
      <c r="F1182" s="63">
        <v>1E-3</v>
      </c>
      <c r="G1182" s="63" t="s">
        <v>13</v>
      </c>
      <c r="H1182" s="63" t="s">
        <v>12</v>
      </c>
      <c r="I1182" s="63">
        <v>0.02</v>
      </c>
      <c r="J1182" s="63">
        <v>4.5010000000000001E-2</v>
      </c>
      <c r="K1182" s="63" t="s">
        <v>10</v>
      </c>
      <c r="L1182" s="63">
        <v>0.56864000000000003</v>
      </c>
      <c r="M1182" s="63">
        <v>0.35072999999999999</v>
      </c>
      <c r="N1182" s="63">
        <v>0.56864000000000003</v>
      </c>
      <c r="O1182" s="64">
        <v>0.35067999999999999</v>
      </c>
    </row>
    <row r="1183" spans="1:15" x14ac:dyDescent="0.25">
      <c r="A1183" s="114" t="s">
        <v>1852</v>
      </c>
      <c r="B1183" s="63" t="s">
        <v>51</v>
      </c>
      <c r="C1183" s="63" t="s">
        <v>44</v>
      </c>
      <c r="D1183" s="63">
        <v>3.3000000000000002E-2</v>
      </c>
      <c r="E1183" s="63">
        <v>0.33001000000000003</v>
      </c>
      <c r="F1183" s="63">
        <v>1E-3</v>
      </c>
      <c r="G1183" s="63" t="s">
        <v>13</v>
      </c>
      <c r="H1183" s="63" t="s">
        <v>12</v>
      </c>
      <c r="I1183" s="63">
        <v>4.4999999999999998E-2</v>
      </c>
      <c r="J1183" s="63">
        <v>1.0000100000000001</v>
      </c>
      <c r="K1183" s="63" t="s">
        <v>10</v>
      </c>
      <c r="L1183" s="63">
        <v>0.57577999999999996</v>
      </c>
      <c r="M1183" s="63">
        <v>8.6645E-2</v>
      </c>
      <c r="N1183" s="63">
        <v>0.57577</v>
      </c>
      <c r="O1183" s="64">
        <v>8.6583999999999994E-2</v>
      </c>
    </row>
    <row r="1184" spans="1:15" x14ac:dyDescent="0.25">
      <c r="A1184" s="114" t="s">
        <v>2426</v>
      </c>
      <c r="B1184" s="63" t="s">
        <v>51</v>
      </c>
      <c r="C1184" s="63" t="s">
        <v>44</v>
      </c>
      <c r="D1184" s="63">
        <v>3.3000000000000002E-2</v>
      </c>
      <c r="E1184" s="63">
        <v>0.33001000000000003</v>
      </c>
      <c r="F1184" s="63">
        <v>1E-3</v>
      </c>
      <c r="G1184" s="63" t="s">
        <v>13</v>
      </c>
      <c r="H1184" s="63" t="s">
        <v>12</v>
      </c>
      <c r="I1184" s="63">
        <v>1</v>
      </c>
      <c r="J1184" s="63">
        <v>5.01</v>
      </c>
      <c r="K1184" s="63" t="s">
        <v>10</v>
      </c>
      <c r="L1184" s="63">
        <v>0.56964999999999999</v>
      </c>
      <c r="M1184" s="63">
        <v>0.47367999999999999</v>
      </c>
      <c r="N1184" s="63">
        <v>0.56962999999999997</v>
      </c>
      <c r="O1184" s="64">
        <v>0.47360999999999998</v>
      </c>
    </row>
    <row r="1185" spans="1:15" x14ac:dyDescent="0.25">
      <c r="A1185" s="114" t="s">
        <v>1851</v>
      </c>
      <c r="B1185" s="63" t="s">
        <v>51</v>
      </c>
      <c r="C1185" s="63" t="s">
        <v>44</v>
      </c>
      <c r="D1185" s="63">
        <v>3.3000000000000002E-2</v>
      </c>
      <c r="E1185" s="63">
        <v>0.33001000000000003</v>
      </c>
      <c r="F1185" s="63">
        <v>1E-3</v>
      </c>
      <c r="G1185" s="63" t="s">
        <v>13</v>
      </c>
      <c r="H1185" s="63" t="s">
        <v>12</v>
      </c>
      <c r="I1185" s="63">
        <v>5</v>
      </c>
      <c r="J1185" s="63">
        <v>10.01</v>
      </c>
      <c r="K1185" s="63" t="s">
        <v>10</v>
      </c>
      <c r="L1185" s="63">
        <v>0.55922000000000005</v>
      </c>
      <c r="M1185" s="63">
        <v>1.4903999999999999</v>
      </c>
      <c r="N1185" s="63">
        <v>0.55915999999999999</v>
      </c>
      <c r="O1185" s="64">
        <v>1.4903999999999999</v>
      </c>
    </row>
    <row r="1186" spans="1:15" x14ac:dyDescent="0.25">
      <c r="A1186" s="114" t="s">
        <v>1849</v>
      </c>
      <c r="B1186" s="63" t="s">
        <v>51</v>
      </c>
      <c r="C1186" s="63" t="s">
        <v>44</v>
      </c>
      <c r="D1186" s="63">
        <v>3.3000000000000002E-2</v>
      </c>
      <c r="E1186" s="63">
        <v>0.33001000000000003</v>
      </c>
      <c r="F1186" s="63">
        <v>1E-3</v>
      </c>
      <c r="G1186" s="63" t="s">
        <v>13</v>
      </c>
      <c r="H1186" s="63" t="s">
        <v>12</v>
      </c>
      <c r="I1186" s="63">
        <v>10</v>
      </c>
      <c r="J1186" s="63">
        <v>30</v>
      </c>
      <c r="K1186" s="63" t="s">
        <v>10</v>
      </c>
      <c r="L1186" s="63">
        <v>0.56477999999999995</v>
      </c>
      <c r="M1186" s="63">
        <v>3.8904999999999998</v>
      </c>
      <c r="N1186" s="63">
        <v>0.56466000000000005</v>
      </c>
      <c r="O1186" s="64">
        <v>3.8906000000000001</v>
      </c>
    </row>
    <row r="1187" spans="1:15" x14ac:dyDescent="0.25">
      <c r="A1187" s="114" t="s">
        <v>1850</v>
      </c>
      <c r="B1187" s="63" t="s">
        <v>51</v>
      </c>
      <c r="C1187" s="63" t="s">
        <v>44</v>
      </c>
      <c r="D1187" s="63">
        <v>3.3000000000000002E-2</v>
      </c>
      <c r="E1187" s="63">
        <v>0.33001000000000003</v>
      </c>
      <c r="F1187" s="63">
        <v>1E-3</v>
      </c>
      <c r="G1187" s="63" t="s">
        <v>13</v>
      </c>
      <c r="H1187" s="63" t="s">
        <v>12</v>
      </c>
      <c r="I1187" s="63">
        <v>30</v>
      </c>
      <c r="J1187" s="63">
        <v>30.01</v>
      </c>
      <c r="K1187" s="63" t="s">
        <v>10</v>
      </c>
      <c r="L1187" s="63">
        <v>0.56477999999999995</v>
      </c>
      <c r="M1187" s="63">
        <v>3.8904999999999998</v>
      </c>
      <c r="N1187" s="63">
        <v>0.56466000000000005</v>
      </c>
      <c r="O1187" s="64">
        <v>3.8906000000000001</v>
      </c>
    </row>
    <row r="1188" spans="1:15" x14ac:dyDescent="0.25">
      <c r="A1188" s="114" t="s">
        <v>1868</v>
      </c>
      <c r="B1188" s="63" t="s">
        <v>51</v>
      </c>
      <c r="C1188" s="63" t="s">
        <v>44</v>
      </c>
      <c r="D1188" s="63">
        <v>0.33</v>
      </c>
      <c r="E1188" s="63">
        <v>1.1000099999999999</v>
      </c>
      <c r="F1188" s="63">
        <v>1E-3</v>
      </c>
      <c r="G1188" s="63" t="s">
        <v>13</v>
      </c>
      <c r="H1188" s="63" t="s">
        <v>12</v>
      </c>
      <c r="I1188" s="63">
        <v>0.01</v>
      </c>
      <c r="J1188" s="63">
        <v>4.5010000000000001E-2</v>
      </c>
      <c r="K1188" s="63" t="s">
        <v>10</v>
      </c>
      <c r="L1188" s="63">
        <v>0.35291</v>
      </c>
      <c r="M1188" s="63">
        <v>1.9255</v>
      </c>
      <c r="N1188" s="63">
        <v>0.35283999999999999</v>
      </c>
      <c r="O1188" s="64">
        <v>1.9254</v>
      </c>
    </row>
    <row r="1189" spans="1:15" x14ac:dyDescent="0.25">
      <c r="A1189" s="114" t="s">
        <v>1869</v>
      </c>
      <c r="B1189" s="63" t="s">
        <v>51</v>
      </c>
      <c r="C1189" s="63" t="s">
        <v>44</v>
      </c>
      <c r="D1189" s="63">
        <v>0.33</v>
      </c>
      <c r="E1189" s="63">
        <v>1.1000099999999999</v>
      </c>
      <c r="F1189" s="63">
        <v>1E-3</v>
      </c>
      <c r="G1189" s="63" t="s">
        <v>13</v>
      </c>
      <c r="H1189" s="63" t="s">
        <v>12</v>
      </c>
      <c r="I1189" s="63">
        <v>4.4999999999999998E-2</v>
      </c>
      <c r="J1189" s="63">
        <v>1.0000100000000001</v>
      </c>
      <c r="K1189" s="63" t="s">
        <v>10</v>
      </c>
      <c r="L1189" s="63">
        <v>0.52825</v>
      </c>
      <c r="M1189" s="63">
        <v>0.38235000000000002</v>
      </c>
      <c r="N1189" s="63">
        <v>0.52822999999999998</v>
      </c>
      <c r="O1189" s="64">
        <v>0.38200000000000001</v>
      </c>
    </row>
    <row r="1190" spans="1:15" x14ac:dyDescent="0.25">
      <c r="A1190" s="114" t="s">
        <v>1870</v>
      </c>
      <c r="B1190" s="63" t="s">
        <v>51</v>
      </c>
      <c r="C1190" s="63" t="s">
        <v>44</v>
      </c>
      <c r="D1190" s="63">
        <v>0.33</v>
      </c>
      <c r="E1190" s="63">
        <v>1.1000099999999999</v>
      </c>
      <c r="F1190" s="63">
        <v>1E-3</v>
      </c>
      <c r="G1190" s="63" t="s">
        <v>13</v>
      </c>
      <c r="H1190" s="63" t="s">
        <v>12</v>
      </c>
      <c r="I1190" s="63">
        <v>1</v>
      </c>
      <c r="J1190" s="63">
        <v>5.01</v>
      </c>
      <c r="K1190" s="63" t="s">
        <v>10</v>
      </c>
      <c r="L1190" s="63">
        <v>1.2163999999999999</v>
      </c>
      <c r="M1190" s="63">
        <v>6.8902999999999999</v>
      </c>
      <c r="N1190" s="63">
        <v>1.2155</v>
      </c>
      <c r="O1190" s="64">
        <v>6.8903999999999996</v>
      </c>
    </row>
    <row r="1191" spans="1:15" x14ac:dyDescent="0.25">
      <c r="A1191" s="114" t="s">
        <v>1867</v>
      </c>
      <c r="B1191" s="63" t="s">
        <v>51</v>
      </c>
      <c r="C1191" s="63" t="s">
        <v>44</v>
      </c>
      <c r="D1191" s="63">
        <v>0.33</v>
      </c>
      <c r="E1191" s="63">
        <v>1.1000099999999999</v>
      </c>
      <c r="F1191" s="63">
        <v>1E-3</v>
      </c>
      <c r="G1191" s="63" t="s">
        <v>13</v>
      </c>
      <c r="H1191" s="63" t="s">
        <v>12</v>
      </c>
      <c r="I1191" s="63">
        <v>5</v>
      </c>
      <c r="J1191" s="63">
        <v>10</v>
      </c>
      <c r="K1191" s="63" t="s">
        <v>10</v>
      </c>
      <c r="L1191" s="63">
        <v>5.8</v>
      </c>
      <c r="M1191" s="63">
        <v>29</v>
      </c>
      <c r="N1191" s="63">
        <v>5.7873999999999999</v>
      </c>
      <c r="O1191" s="64">
        <v>28.859000000000002</v>
      </c>
    </row>
    <row r="1192" spans="1:15" x14ac:dyDescent="0.25">
      <c r="A1192" s="114" t="s">
        <v>2427</v>
      </c>
      <c r="B1192" s="63" t="s">
        <v>51</v>
      </c>
      <c r="C1192" s="63" t="s">
        <v>44</v>
      </c>
      <c r="D1192" s="63">
        <v>0.33</v>
      </c>
      <c r="E1192" s="63">
        <v>1.1000099999999999</v>
      </c>
      <c r="F1192" s="63">
        <v>1E-3</v>
      </c>
      <c r="G1192" s="63" t="s">
        <v>13</v>
      </c>
      <c r="H1192" s="63" t="s">
        <v>12</v>
      </c>
      <c r="I1192" s="63">
        <v>10</v>
      </c>
      <c r="J1192" s="63">
        <v>10.01</v>
      </c>
      <c r="K1192" s="63" t="s">
        <v>10</v>
      </c>
      <c r="L1192" s="63">
        <v>5.8</v>
      </c>
      <c r="M1192" s="63">
        <v>29</v>
      </c>
      <c r="N1192" s="63">
        <v>5.7873999999999999</v>
      </c>
      <c r="O1192" s="64">
        <v>28.859000000000002</v>
      </c>
    </row>
    <row r="1193" spans="1:15" x14ac:dyDescent="0.25">
      <c r="A1193" s="114" t="s">
        <v>2428</v>
      </c>
      <c r="B1193" s="63" t="s">
        <v>51</v>
      </c>
      <c r="C1193" s="63" t="s">
        <v>44</v>
      </c>
      <c r="D1193" s="63">
        <v>1.1000000000000001</v>
      </c>
      <c r="E1193" s="63">
        <v>3.0009999999999999</v>
      </c>
      <c r="F1193" s="63">
        <v>1E-3</v>
      </c>
      <c r="G1193" s="63" t="s">
        <v>13</v>
      </c>
      <c r="H1193" s="63" t="s">
        <v>12</v>
      </c>
      <c r="I1193" s="63">
        <v>0.01</v>
      </c>
      <c r="J1193" s="63">
        <v>4.5010000000000001E-2</v>
      </c>
      <c r="K1193" s="63" t="s">
        <v>10</v>
      </c>
      <c r="L1193" s="63">
        <v>0.18892</v>
      </c>
      <c r="M1193" s="63">
        <v>2.077</v>
      </c>
      <c r="N1193" s="63">
        <v>0.20868</v>
      </c>
      <c r="O1193" s="64">
        <v>2.0565000000000002</v>
      </c>
    </row>
    <row r="1194" spans="1:15" x14ac:dyDescent="0.25">
      <c r="A1194" s="114" t="s">
        <v>1886</v>
      </c>
      <c r="B1194" s="63" t="s">
        <v>51</v>
      </c>
      <c r="C1194" s="63" t="s">
        <v>44</v>
      </c>
      <c r="D1194" s="63">
        <v>1.1000000000000001</v>
      </c>
      <c r="E1194" s="63">
        <v>3.0009999999999999</v>
      </c>
      <c r="F1194" s="63">
        <v>1E-3</v>
      </c>
      <c r="G1194" s="63" t="s">
        <v>13</v>
      </c>
      <c r="H1194" s="63" t="s">
        <v>12</v>
      </c>
      <c r="I1194" s="63">
        <v>4.4999999999999998E-2</v>
      </c>
      <c r="J1194" s="63">
        <v>1.0000100000000001</v>
      </c>
      <c r="K1194" s="63" t="s">
        <v>10</v>
      </c>
      <c r="L1194" s="63">
        <v>0.35192000000000001</v>
      </c>
      <c r="M1194" s="63">
        <v>0.64234000000000002</v>
      </c>
      <c r="N1194" s="63">
        <v>0.34550999999999998</v>
      </c>
      <c r="O1194" s="64">
        <v>0.6421</v>
      </c>
    </row>
    <row r="1195" spans="1:15" x14ac:dyDescent="0.25">
      <c r="A1195" s="114" t="s">
        <v>2429</v>
      </c>
      <c r="B1195" s="63" t="s">
        <v>51</v>
      </c>
      <c r="C1195" s="63" t="s">
        <v>44</v>
      </c>
      <c r="D1195" s="63">
        <v>1.1000000000000001</v>
      </c>
      <c r="E1195" s="63">
        <v>3.0009999999999999</v>
      </c>
      <c r="F1195" s="63">
        <v>1E-3</v>
      </c>
      <c r="G1195" s="63" t="s">
        <v>13</v>
      </c>
      <c r="H1195" s="63" t="s">
        <v>12</v>
      </c>
      <c r="I1195" s="63">
        <v>1</v>
      </c>
      <c r="J1195" s="63">
        <v>5.01</v>
      </c>
      <c r="K1195" s="63" t="s">
        <v>10</v>
      </c>
      <c r="L1195" s="63">
        <v>1.3</v>
      </c>
      <c r="M1195" s="63">
        <v>6.9</v>
      </c>
      <c r="N1195" s="63">
        <v>1.1803999999999999</v>
      </c>
      <c r="O1195" s="64">
        <v>6.9222999999999999</v>
      </c>
    </row>
    <row r="1196" spans="1:15" x14ac:dyDescent="0.25">
      <c r="A1196" s="114" t="s">
        <v>1888</v>
      </c>
      <c r="B1196" s="63" t="s">
        <v>51</v>
      </c>
      <c r="C1196" s="63" t="s">
        <v>44</v>
      </c>
      <c r="D1196" s="63">
        <v>1.1000000000000001</v>
      </c>
      <c r="E1196" s="63">
        <v>3.0009999999999999</v>
      </c>
      <c r="F1196" s="63">
        <v>1E-3</v>
      </c>
      <c r="G1196" s="63" t="s">
        <v>13</v>
      </c>
      <c r="H1196" s="63" t="s">
        <v>12</v>
      </c>
      <c r="I1196" s="63">
        <v>5</v>
      </c>
      <c r="J1196" s="63">
        <v>10</v>
      </c>
      <c r="K1196" s="63" t="s">
        <v>10</v>
      </c>
      <c r="L1196" s="63">
        <v>5.8</v>
      </c>
      <c r="M1196" s="63">
        <v>29</v>
      </c>
      <c r="N1196" s="63">
        <v>5.78</v>
      </c>
      <c r="O1196" s="64">
        <v>28.866</v>
      </c>
    </row>
    <row r="1197" spans="1:15" x14ac:dyDescent="0.25">
      <c r="A1197" s="114" t="s">
        <v>1887</v>
      </c>
      <c r="B1197" s="63" t="s">
        <v>51</v>
      </c>
      <c r="C1197" s="63" t="s">
        <v>44</v>
      </c>
      <c r="D1197" s="63">
        <v>1.1000000000000001</v>
      </c>
      <c r="E1197" s="63">
        <v>3.0009999999999999</v>
      </c>
      <c r="F1197" s="63">
        <v>1E-3</v>
      </c>
      <c r="G1197" s="63" t="s">
        <v>13</v>
      </c>
      <c r="H1197" s="63" t="s">
        <v>12</v>
      </c>
      <c r="I1197" s="63">
        <v>10</v>
      </c>
      <c r="J1197" s="63">
        <v>10.01</v>
      </c>
      <c r="K1197" s="63" t="s">
        <v>10</v>
      </c>
      <c r="L1197" s="63">
        <v>5.8</v>
      </c>
      <c r="M1197" s="63">
        <v>29</v>
      </c>
      <c r="N1197" s="63">
        <v>5.78</v>
      </c>
      <c r="O1197" s="64">
        <v>28.866</v>
      </c>
    </row>
    <row r="1198" spans="1:15" x14ac:dyDescent="0.25">
      <c r="A1198" s="114" t="s">
        <v>1900</v>
      </c>
      <c r="B1198" s="63" t="s">
        <v>51</v>
      </c>
      <c r="C1198" s="63" t="s">
        <v>44</v>
      </c>
      <c r="D1198" s="63">
        <v>3</v>
      </c>
      <c r="E1198" s="63">
        <v>11.000999999999999</v>
      </c>
      <c r="F1198" s="63">
        <v>1E-3</v>
      </c>
      <c r="G1198" s="63" t="s">
        <v>13</v>
      </c>
      <c r="H1198" s="63" t="s">
        <v>12</v>
      </c>
      <c r="I1198" s="63">
        <v>4.4999999999999998E-2</v>
      </c>
      <c r="J1198" s="63">
        <v>0.10001</v>
      </c>
      <c r="K1198" s="63" t="s">
        <v>10</v>
      </c>
      <c r="L1198" s="63">
        <v>2.4</v>
      </c>
      <c r="M1198" s="63">
        <v>0.69</v>
      </c>
      <c r="N1198" s="63">
        <v>2.3708999999999998</v>
      </c>
      <c r="O1198" s="64">
        <v>0.69111999999999996</v>
      </c>
    </row>
    <row r="1199" spans="1:15" x14ac:dyDescent="0.25">
      <c r="A1199" s="114" t="s">
        <v>2430</v>
      </c>
      <c r="B1199" s="63" t="s">
        <v>51</v>
      </c>
      <c r="C1199" s="63" t="s">
        <v>44</v>
      </c>
      <c r="D1199" s="63">
        <v>3</v>
      </c>
      <c r="E1199" s="63">
        <v>11.000999999999999</v>
      </c>
      <c r="F1199" s="63">
        <v>1E-3</v>
      </c>
      <c r="G1199" s="63" t="s">
        <v>13</v>
      </c>
      <c r="H1199" s="63" t="s">
        <v>12</v>
      </c>
      <c r="I1199" s="63">
        <v>0.1</v>
      </c>
      <c r="J1199" s="63">
        <v>1.0000100000000001</v>
      </c>
      <c r="K1199" s="63" t="s">
        <v>10</v>
      </c>
      <c r="L1199" s="63">
        <v>2.4</v>
      </c>
      <c r="M1199" s="63">
        <v>1.2</v>
      </c>
      <c r="N1199" s="63">
        <v>2.3551000000000002</v>
      </c>
      <c r="O1199" s="64">
        <v>1.1531</v>
      </c>
    </row>
    <row r="1200" spans="1:15" x14ac:dyDescent="0.25">
      <c r="A1200" s="114" t="s">
        <v>1901</v>
      </c>
      <c r="B1200" s="63" t="s">
        <v>51</v>
      </c>
      <c r="C1200" s="63" t="s">
        <v>44</v>
      </c>
      <c r="D1200" s="63">
        <v>3</v>
      </c>
      <c r="E1200" s="63">
        <v>11.000999999999999</v>
      </c>
      <c r="F1200" s="63">
        <v>1E-3</v>
      </c>
      <c r="G1200" s="63" t="s">
        <v>13</v>
      </c>
      <c r="H1200" s="63" t="s">
        <v>12</v>
      </c>
      <c r="I1200" s="63">
        <v>1</v>
      </c>
      <c r="J1200" s="63">
        <v>5</v>
      </c>
      <c r="K1200" s="63" t="s">
        <v>10</v>
      </c>
      <c r="L1200" s="63">
        <v>2.5</v>
      </c>
      <c r="M1200" s="63">
        <v>35</v>
      </c>
      <c r="N1200" s="63">
        <v>2.3111999999999999</v>
      </c>
      <c r="O1200" s="64">
        <v>34.640999999999998</v>
      </c>
    </row>
    <row r="1201" spans="1:15" x14ac:dyDescent="0.25">
      <c r="A1201" s="114" t="s">
        <v>1899</v>
      </c>
      <c r="B1201" s="63" t="s">
        <v>51</v>
      </c>
      <c r="C1201" s="63" t="s">
        <v>44</v>
      </c>
      <c r="D1201" s="63">
        <v>3</v>
      </c>
      <c r="E1201" s="63">
        <v>11.000999999999999</v>
      </c>
      <c r="F1201" s="63">
        <v>1E-3</v>
      </c>
      <c r="G1201" s="63" t="s">
        <v>13</v>
      </c>
      <c r="H1201" s="63" t="s">
        <v>12</v>
      </c>
      <c r="I1201" s="63">
        <v>5</v>
      </c>
      <c r="J1201" s="63">
        <v>5.01</v>
      </c>
      <c r="K1201" s="63" t="s">
        <v>10</v>
      </c>
      <c r="L1201" s="63">
        <v>2.5</v>
      </c>
      <c r="M1201" s="63">
        <v>35</v>
      </c>
      <c r="N1201" s="63">
        <v>2.3111999999999999</v>
      </c>
      <c r="O1201" s="64">
        <v>34.640999999999998</v>
      </c>
    </row>
    <row r="1202" spans="1:15" x14ac:dyDescent="0.25">
      <c r="A1202" s="114" t="s">
        <v>1916</v>
      </c>
      <c r="B1202" s="63" t="s">
        <v>51</v>
      </c>
      <c r="C1202" s="63" t="s">
        <v>44</v>
      </c>
      <c r="D1202" s="63">
        <v>11</v>
      </c>
      <c r="E1202" s="63">
        <v>20.501000000000001</v>
      </c>
      <c r="F1202" s="63">
        <v>1E-3</v>
      </c>
      <c r="G1202" s="63" t="s">
        <v>13</v>
      </c>
      <c r="H1202" s="63" t="s">
        <v>12</v>
      </c>
      <c r="I1202" s="63">
        <v>4.4999999999999998E-2</v>
      </c>
      <c r="J1202" s="63">
        <v>0.10001</v>
      </c>
      <c r="K1202" s="63" t="s">
        <v>10</v>
      </c>
      <c r="L1202" s="63">
        <v>5.8</v>
      </c>
      <c r="M1202" s="63">
        <v>1.4</v>
      </c>
      <c r="N1202" s="63">
        <v>5.7854999999999999</v>
      </c>
      <c r="O1202" s="64">
        <v>1.3856999999999999</v>
      </c>
    </row>
    <row r="1203" spans="1:15" x14ac:dyDescent="0.25">
      <c r="A1203" s="114" t="s">
        <v>1917</v>
      </c>
      <c r="B1203" s="63" t="s">
        <v>51</v>
      </c>
      <c r="C1203" s="63" t="s">
        <v>44</v>
      </c>
      <c r="D1203" s="63">
        <v>11</v>
      </c>
      <c r="E1203" s="63">
        <v>20.501000000000001</v>
      </c>
      <c r="F1203" s="63">
        <v>1E-3</v>
      </c>
      <c r="G1203" s="63" t="s">
        <v>13</v>
      </c>
      <c r="H1203" s="63" t="s">
        <v>12</v>
      </c>
      <c r="I1203" s="63">
        <v>0.1</v>
      </c>
      <c r="J1203" s="63">
        <v>1.0000100000000001</v>
      </c>
      <c r="K1203" s="63" t="s">
        <v>10</v>
      </c>
      <c r="L1203" s="63">
        <v>6.5</v>
      </c>
      <c r="M1203" s="63">
        <v>1.7</v>
      </c>
      <c r="N1203" s="63">
        <v>5.7851999999999997</v>
      </c>
      <c r="O1203" s="64">
        <v>1.7321</v>
      </c>
    </row>
    <row r="1204" spans="1:15" x14ac:dyDescent="0.25">
      <c r="A1204" s="114" t="s">
        <v>1915</v>
      </c>
      <c r="B1204" s="63" t="s">
        <v>51</v>
      </c>
      <c r="C1204" s="63" t="s">
        <v>44</v>
      </c>
      <c r="D1204" s="63">
        <v>11</v>
      </c>
      <c r="E1204" s="63">
        <v>20.501000000000001</v>
      </c>
      <c r="F1204" s="63">
        <v>1E-3</v>
      </c>
      <c r="G1204" s="63" t="s">
        <v>13</v>
      </c>
      <c r="H1204" s="63" t="s">
        <v>12</v>
      </c>
      <c r="I1204" s="63">
        <v>1</v>
      </c>
      <c r="J1204" s="63">
        <v>5</v>
      </c>
      <c r="K1204" s="63" t="s">
        <v>10</v>
      </c>
      <c r="L1204" s="63">
        <v>5.9</v>
      </c>
      <c r="M1204" s="63">
        <v>35</v>
      </c>
      <c r="N1204" s="63">
        <v>5.7744999999999997</v>
      </c>
      <c r="O1204" s="64">
        <v>34.640999999999998</v>
      </c>
    </row>
    <row r="1205" spans="1:15" x14ac:dyDescent="0.25">
      <c r="A1205" s="114" t="s">
        <v>1918</v>
      </c>
      <c r="B1205" s="63" t="s">
        <v>51</v>
      </c>
      <c r="C1205" s="63" t="s">
        <v>44</v>
      </c>
      <c r="D1205" s="63">
        <v>11</v>
      </c>
      <c r="E1205" s="63">
        <v>20.501000000000001</v>
      </c>
      <c r="F1205" s="63">
        <v>1E-3</v>
      </c>
      <c r="G1205" s="63" t="s">
        <v>13</v>
      </c>
      <c r="H1205" s="63" t="s">
        <v>12</v>
      </c>
      <c r="I1205" s="63">
        <v>5</v>
      </c>
      <c r="J1205" s="63">
        <v>5.01</v>
      </c>
      <c r="K1205" s="63" t="s">
        <v>10</v>
      </c>
      <c r="L1205" s="63">
        <v>5.9</v>
      </c>
      <c r="M1205" s="63">
        <v>35</v>
      </c>
      <c r="N1205" s="63">
        <v>5.7744999999999997</v>
      </c>
      <c r="O1205" s="64">
        <v>34.640999999999998</v>
      </c>
    </row>
    <row r="1206" spans="1:15" x14ac:dyDescent="0.25">
      <c r="A1206" s="114" t="s">
        <v>1765</v>
      </c>
      <c r="B1206" s="63" t="s">
        <v>51</v>
      </c>
      <c r="C1206" s="63" t="s">
        <v>44</v>
      </c>
      <c r="D1206" s="63">
        <v>0</v>
      </c>
      <c r="E1206" s="63">
        <v>3.3000999999999999E-4</v>
      </c>
      <c r="F1206" s="63">
        <v>0.01</v>
      </c>
      <c r="G1206" s="63" t="s">
        <v>13</v>
      </c>
      <c r="H1206" s="63" t="s">
        <v>11</v>
      </c>
      <c r="I1206" s="63">
        <v>0.01</v>
      </c>
      <c r="J1206" s="63">
        <v>2.001E-2</v>
      </c>
      <c r="K1206" s="63" t="s">
        <v>10</v>
      </c>
      <c r="L1206" s="63">
        <v>5802.6</v>
      </c>
      <c r="M1206" s="63">
        <v>-87896</v>
      </c>
      <c r="N1206" s="63">
        <v>5800</v>
      </c>
      <c r="O1206" s="64">
        <v>-87896</v>
      </c>
    </row>
    <row r="1207" spans="1:15" x14ac:dyDescent="0.25">
      <c r="A1207" s="114" t="s">
        <v>1766</v>
      </c>
      <c r="B1207" s="63" t="s">
        <v>51</v>
      </c>
      <c r="C1207" s="63" t="s">
        <v>44</v>
      </c>
      <c r="D1207" s="63">
        <v>0</v>
      </c>
      <c r="E1207" s="63">
        <v>3.3000999999999999E-4</v>
      </c>
      <c r="F1207" s="63">
        <v>0.01</v>
      </c>
      <c r="G1207" s="63" t="s">
        <v>13</v>
      </c>
      <c r="H1207" s="63" t="s">
        <v>11</v>
      </c>
      <c r="I1207" s="63">
        <v>0.02</v>
      </c>
      <c r="J1207" s="63">
        <v>4.5010000000000001E-2</v>
      </c>
      <c r="K1207" s="63" t="s">
        <v>10</v>
      </c>
      <c r="L1207" s="63">
        <v>5773.6</v>
      </c>
      <c r="M1207" s="63">
        <v>0.16308</v>
      </c>
      <c r="N1207" s="63">
        <v>5773.6</v>
      </c>
      <c r="O1207" s="64">
        <v>0.12795999999999999</v>
      </c>
    </row>
    <row r="1208" spans="1:15" x14ac:dyDescent="0.25">
      <c r="A1208" s="114" t="s">
        <v>2431</v>
      </c>
      <c r="B1208" s="63" t="s">
        <v>51</v>
      </c>
      <c r="C1208" s="63" t="s">
        <v>44</v>
      </c>
      <c r="D1208" s="63">
        <v>0</v>
      </c>
      <c r="E1208" s="63">
        <v>3.3000999999999999E-4</v>
      </c>
      <c r="F1208" s="63">
        <v>0.01</v>
      </c>
      <c r="G1208" s="63" t="s">
        <v>13</v>
      </c>
      <c r="H1208" s="63" t="s">
        <v>11</v>
      </c>
      <c r="I1208" s="63">
        <v>4.4999999999999998E-2</v>
      </c>
      <c r="J1208" s="63">
        <v>1.0000100000000001</v>
      </c>
      <c r="K1208" s="63" t="s">
        <v>10</v>
      </c>
      <c r="L1208" s="63">
        <v>5773.6</v>
      </c>
      <c r="M1208" s="63">
        <v>0.12881000000000001</v>
      </c>
      <c r="N1208" s="63">
        <v>5773.6</v>
      </c>
      <c r="O1208" s="64">
        <v>9.3682000000000001E-2</v>
      </c>
    </row>
    <row r="1209" spans="1:15" x14ac:dyDescent="0.25">
      <c r="A1209" s="114" t="s">
        <v>2432</v>
      </c>
      <c r="B1209" s="63" t="s">
        <v>51</v>
      </c>
      <c r="C1209" s="63" t="s">
        <v>44</v>
      </c>
      <c r="D1209" s="63">
        <v>0</v>
      </c>
      <c r="E1209" s="63">
        <v>3.3000999999999999E-4</v>
      </c>
      <c r="F1209" s="63">
        <v>0.01</v>
      </c>
      <c r="G1209" s="63" t="s">
        <v>13</v>
      </c>
      <c r="H1209" s="63" t="s">
        <v>11</v>
      </c>
      <c r="I1209" s="63">
        <v>1</v>
      </c>
      <c r="J1209" s="63">
        <v>5.01</v>
      </c>
      <c r="K1209" s="63" t="s">
        <v>10</v>
      </c>
      <c r="L1209" s="63">
        <v>5773.6</v>
      </c>
      <c r="M1209" s="63">
        <v>0.51217999999999997</v>
      </c>
      <c r="N1209" s="63">
        <v>5773.6</v>
      </c>
      <c r="O1209" s="64">
        <v>0.47704999999999997</v>
      </c>
    </row>
    <row r="1210" spans="1:15" x14ac:dyDescent="0.25">
      <c r="A1210" s="114" t="s">
        <v>1764</v>
      </c>
      <c r="B1210" s="63" t="s">
        <v>51</v>
      </c>
      <c r="C1210" s="63" t="s">
        <v>44</v>
      </c>
      <c r="D1210" s="63">
        <v>0</v>
      </c>
      <c r="E1210" s="63">
        <v>3.3000999999999999E-4</v>
      </c>
      <c r="F1210" s="63">
        <v>0.01</v>
      </c>
      <c r="G1210" s="63" t="s">
        <v>13</v>
      </c>
      <c r="H1210" s="63" t="s">
        <v>11</v>
      </c>
      <c r="I1210" s="63">
        <v>5</v>
      </c>
      <c r="J1210" s="63">
        <v>10.01</v>
      </c>
      <c r="K1210" s="63" t="s">
        <v>10</v>
      </c>
      <c r="L1210" s="63">
        <v>5773.6</v>
      </c>
      <c r="M1210" s="63">
        <v>3.0975999999999999</v>
      </c>
      <c r="N1210" s="63">
        <v>5773.5</v>
      </c>
      <c r="O1210" s="64">
        <v>3.0226000000000002</v>
      </c>
    </row>
    <row r="1211" spans="1:15" x14ac:dyDescent="0.25">
      <c r="A1211" s="114" t="s">
        <v>2433</v>
      </c>
      <c r="B1211" s="63" t="s">
        <v>51</v>
      </c>
      <c r="C1211" s="63" t="s">
        <v>44</v>
      </c>
      <c r="D1211" s="63">
        <v>0</v>
      </c>
      <c r="E1211" s="63">
        <v>3.3000999999999999E-4</v>
      </c>
      <c r="F1211" s="63">
        <v>0.01</v>
      </c>
      <c r="G1211" s="63" t="s">
        <v>13</v>
      </c>
      <c r="H1211" s="63" t="s">
        <v>11</v>
      </c>
      <c r="I1211" s="63">
        <v>10</v>
      </c>
      <c r="J1211" s="63">
        <v>30</v>
      </c>
      <c r="K1211" s="63" t="s">
        <v>10</v>
      </c>
      <c r="L1211" s="63">
        <v>5773.6</v>
      </c>
      <c r="M1211" s="63">
        <v>12.164999999999999</v>
      </c>
      <c r="N1211" s="63">
        <v>5773.5</v>
      </c>
      <c r="O1211" s="64">
        <v>12.09</v>
      </c>
    </row>
    <row r="1212" spans="1:15" x14ac:dyDescent="0.25">
      <c r="A1212" s="114" t="s">
        <v>1767</v>
      </c>
      <c r="B1212" s="63" t="s">
        <v>51</v>
      </c>
      <c r="C1212" s="63" t="s">
        <v>44</v>
      </c>
      <c r="D1212" s="63">
        <v>0</v>
      </c>
      <c r="E1212" s="63">
        <v>3.3000999999999999E-4</v>
      </c>
      <c r="F1212" s="63">
        <v>0.01</v>
      </c>
      <c r="G1212" s="63" t="s">
        <v>13</v>
      </c>
      <c r="H1212" s="63" t="s">
        <v>11</v>
      </c>
      <c r="I1212" s="63">
        <v>30</v>
      </c>
      <c r="J1212" s="63">
        <v>30.1</v>
      </c>
      <c r="K1212" s="63" t="s">
        <v>10</v>
      </c>
      <c r="L1212" s="63">
        <v>5773.6</v>
      </c>
      <c r="M1212" s="63">
        <v>12.164999999999999</v>
      </c>
      <c r="N1212" s="63">
        <v>5773.5</v>
      </c>
      <c r="O1212" s="64">
        <v>12.09</v>
      </c>
    </row>
    <row r="1213" spans="1:15" x14ac:dyDescent="0.25">
      <c r="A1213" s="114" t="s">
        <v>1857</v>
      </c>
      <c r="B1213" s="63" t="s">
        <v>51</v>
      </c>
      <c r="C1213" s="63" t="s">
        <v>44</v>
      </c>
      <c r="D1213" s="63">
        <v>3.3000000000000002E-2</v>
      </c>
      <c r="E1213" s="63">
        <v>0.33001000000000003</v>
      </c>
      <c r="F1213" s="63">
        <v>0.01</v>
      </c>
      <c r="G1213" s="63" t="s">
        <v>13</v>
      </c>
      <c r="H1213" s="63" t="s">
        <v>12</v>
      </c>
      <c r="I1213" s="63">
        <v>0.01</v>
      </c>
      <c r="J1213" s="63">
        <v>2.001E-2</v>
      </c>
      <c r="K1213" s="63" t="s">
        <v>10</v>
      </c>
      <c r="L1213" s="63">
        <v>5.7694999999999999</v>
      </c>
      <c r="M1213" s="63">
        <v>0.14516999999999999</v>
      </c>
      <c r="N1213" s="63">
        <v>5.7694999999999999</v>
      </c>
      <c r="O1213" s="64">
        <v>0.14515</v>
      </c>
    </row>
    <row r="1214" spans="1:15" x14ac:dyDescent="0.25">
      <c r="A1214" s="114" t="s">
        <v>1858</v>
      </c>
      <c r="B1214" s="63" t="s">
        <v>51</v>
      </c>
      <c r="C1214" s="63" t="s">
        <v>44</v>
      </c>
      <c r="D1214" s="63">
        <v>3.3000000000000002E-2</v>
      </c>
      <c r="E1214" s="63">
        <v>0.33001000000000003</v>
      </c>
      <c r="F1214" s="63">
        <v>0.01</v>
      </c>
      <c r="G1214" s="63" t="s">
        <v>13</v>
      </c>
      <c r="H1214" s="63" t="s">
        <v>12</v>
      </c>
      <c r="I1214" s="63">
        <v>0.02</v>
      </c>
      <c r="J1214" s="63">
        <v>4.5010000000000001E-2</v>
      </c>
      <c r="K1214" s="63" t="s">
        <v>10</v>
      </c>
      <c r="L1214" s="63">
        <v>5.7725999999999997</v>
      </c>
      <c r="M1214" s="63">
        <v>3.8390000000000001E-2</v>
      </c>
      <c r="N1214" s="63">
        <v>5.7725999999999997</v>
      </c>
      <c r="O1214" s="64">
        <v>3.8365000000000003E-2</v>
      </c>
    </row>
    <row r="1215" spans="1:15" x14ac:dyDescent="0.25">
      <c r="A1215" s="114" t="s">
        <v>1856</v>
      </c>
      <c r="B1215" s="63" t="s">
        <v>51</v>
      </c>
      <c r="C1215" s="63" t="s">
        <v>44</v>
      </c>
      <c r="D1215" s="63">
        <v>3.3000000000000002E-2</v>
      </c>
      <c r="E1215" s="63">
        <v>0.33001000000000003</v>
      </c>
      <c r="F1215" s="63">
        <v>0.01</v>
      </c>
      <c r="G1215" s="63" t="s">
        <v>13</v>
      </c>
      <c r="H1215" s="63" t="s">
        <v>12</v>
      </c>
      <c r="I1215" s="63">
        <v>4.4999999999999998E-2</v>
      </c>
      <c r="J1215" s="63">
        <v>1.0000100000000001</v>
      </c>
      <c r="K1215" s="63" t="s">
        <v>10</v>
      </c>
      <c r="L1215" s="63">
        <v>5.7733999999999996</v>
      </c>
      <c r="M1215" s="63">
        <v>8.8941000000000003E-3</v>
      </c>
      <c r="N1215" s="63">
        <v>5.7733999999999996</v>
      </c>
      <c r="O1215" s="64">
        <v>8.8681999999999997E-3</v>
      </c>
    </row>
    <row r="1216" spans="1:15" x14ac:dyDescent="0.25">
      <c r="A1216" s="114" t="s">
        <v>1859</v>
      </c>
      <c r="B1216" s="63" t="s">
        <v>51</v>
      </c>
      <c r="C1216" s="63" t="s">
        <v>44</v>
      </c>
      <c r="D1216" s="63">
        <v>3.3000000000000002E-2</v>
      </c>
      <c r="E1216" s="63">
        <v>0.33001000000000003</v>
      </c>
      <c r="F1216" s="63">
        <v>0.01</v>
      </c>
      <c r="G1216" s="63" t="s">
        <v>13</v>
      </c>
      <c r="H1216" s="63" t="s">
        <v>12</v>
      </c>
      <c r="I1216" s="63">
        <v>1</v>
      </c>
      <c r="J1216" s="63">
        <v>5.01</v>
      </c>
      <c r="K1216" s="63" t="s">
        <v>10</v>
      </c>
      <c r="L1216" s="63">
        <v>5.7725999999999997</v>
      </c>
      <c r="M1216" s="63">
        <v>5.3741999999999998E-2</v>
      </c>
      <c r="N1216" s="63">
        <v>5.7725999999999997</v>
      </c>
      <c r="O1216" s="64">
        <v>5.3697000000000002E-2</v>
      </c>
    </row>
    <row r="1217" spans="1:15" x14ac:dyDescent="0.25">
      <c r="A1217" s="114" t="s">
        <v>1855</v>
      </c>
      <c r="B1217" s="63" t="s">
        <v>51</v>
      </c>
      <c r="C1217" s="63" t="s">
        <v>44</v>
      </c>
      <c r="D1217" s="63">
        <v>3.3000000000000002E-2</v>
      </c>
      <c r="E1217" s="63">
        <v>0.33001000000000003</v>
      </c>
      <c r="F1217" s="63">
        <v>0.01</v>
      </c>
      <c r="G1217" s="63" t="s">
        <v>13</v>
      </c>
      <c r="H1217" s="63" t="s">
        <v>12</v>
      </c>
      <c r="I1217" s="63">
        <v>5</v>
      </c>
      <c r="J1217" s="63">
        <v>10.01</v>
      </c>
      <c r="K1217" s="63" t="s">
        <v>10</v>
      </c>
      <c r="L1217" s="63">
        <v>5.7697000000000003</v>
      </c>
      <c r="M1217" s="63">
        <v>0.21298</v>
      </c>
      <c r="N1217" s="63">
        <v>5.7697000000000003</v>
      </c>
      <c r="O1217" s="64">
        <v>0.21288000000000001</v>
      </c>
    </row>
    <row r="1218" spans="1:15" x14ac:dyDescent="0.25">
      <c r="A1218" s="114" t="s">
        <v>2434</v>
      </c>
      <c r="B1218" s="63" t="s">
        <v>51</v>
      </c>
      <c r="C1218" s="63" t="s">
        <v>44</v>
      </c>
      <c r="D1218" s="63">
        <v>3.3000000000000002E-2</v>
      </c>
      <c r="E1218" s="63">
        <v>0.33001000000000003</v>
      </c>
      <c r="F1218" s="63">
        <v>0.01</v>
      </c>
      <c r="G1218" s="63" t="s">
        <v>13</v>
      </c>
      <c r="H1218" s="63" t="s">
        <v>12</v>
      </c>
      <c r="I1218" s="63">
        <v>10</v>
      </c>
      <c r="J1218" s="63">
        <v>30</v>
      </c>
      <c r="K1218" s="63" t="s">
        <v>10</v>
      </c>
      <c r="L1218" s="63">
        <v>5.7587000000000002</v>
      </c>
      <c r="M1218" s="63">
        <v>0.83674000000000004</v>
      </c>
      <c r="N1218" s="63">
        <v>5.7587000000000002</v>
      </c>
      <c r="O1218" s="64">
        <v>0.83650999999999998</v>
      </c>
    </row>
    <row r="1219" spans="1:15" x14ac:dyDescent="0.25">
      <c r="A1219" s="114" t="s">
        <v>1854</v>
      </c>
      <c r="B1219" s="63" t="s">
        <v>51</v>
      </c>
      <c r="C1219" s="63" t="s">
        <v>44</v>
      </c>
      <c r="D1219" s="63">
        <v>3.3000000000000002E-2</v>
      </c>
      <c r="E1219" s="63">
        <v>0.33001000000000003</v>
      </c>
      <c r="F1219" s="63">
        <v>0.01</v>
      </c>
      <c r="G1219" s="63" t="s">
        <v>13</v>
      </c>
      <c r="H1219" s="63" t="s">
        <v>12</v>
      </c>
      <c r="I1219" s="63">
        <v>30</v>
      </c>
      <c r="J1219" s="63">
        <v>30.01</v>
      </c>
      <c r="K1219" s="63" t="s">
        <v>10</v>
      </c>
      <c r="L1219" s="63">
        <v>5.7587000000000002</v>
      </c>
      <c r="M1219" s="63">
        <v>0.83674000000000004</v>
      </c>
      <c r="N1219" s="63">
        <v>5.7587000000000002</v>
      </c>
      <c r="O1219" s="64">
        <v>0.83650999999999998</v>
      </c>
    </row>
    <row r="1220" spans="1:15" x14ac:dyDescent="0.25">
      <c r="A1220" s="114" t="s">
        <v>2435</v>
      </c>
      <c r="B1220" s="63" t="s">
        <v>51</v>
      </c>
      <c r="C1220" s="63" t="s">
        <v>44</v>
      </c>
      <c r="D1220" s="63">
        <v>0.33</v>
      </c>
      <c r="E1220" s="63">
        <v>1.1000099999999999</v>
      </c>
      <c r="F1220" s="63">
        <v>0.01</v>
      </c>
      <c r="G1220" s="63" t="s">
        <v>13</v>
      </c>
      <c r="H1220" s="63" t="s">
        <v>12</v>
      </c>
      <c r="I1220" s="63">
        <v>0.01</v>
      </c>
      <c r="J1220" s="63">
        <v>4.5010000000000001E-2</v>
      </c>
      <c r="K1220" s="63" t="s">
        <v>10</v>
      </c>
      <c r="L1220" s="63">
        <v>5.6471</v>
      </c>
      <c r="M1220" s="63">
        <v>0.55145</v>
      </c>
      <c r="N1220" s="63">
        <v>5.6471</v>
      </c>
      <c r="O1220" s="64">
        <v>0.55120999999999998</v>
      </c>
    </row>
    <row r="1221" spans="1:15" x14ac:dyDescent="0.25">
      <c r="A1221" s="114" t="s">
        <v>1874</v>
      </c>
      <c r="B1221" s="63" t="s">
        <v>51</v>
      </c>
      <c r="C1221" s="63" t="s">
        <v>44</v>
      </c>
      <c r="D1221" s="63">
        <v>0.33</v>
      </c>
      <c r="E1221" s="63">
        <v>1.1000099999999999</v>
      </c>
      <c r="F1221" s="63">
        <v>0.01</v>
      </c>
      <c r="G1221" s="63" t="s">
        <v>13</v>
      </c>
      <c r="H1221" s="63" t="s">
        <v>12</v>
      </c>
      <c r="I1221" s="63">
        <v>4.4999999999999998E-2</v>
      </c>
      <c r="J1221" s="63">
        <v>1.0000100000000001</v>
      </c>
      <c r="K1221" s="63" t="s">
        <v>10</v>
      </c>
      <c r="L1221" s="63">
        <v>5.7643000000000004</v>
      </c>
      <c r="M1221" s="63">
        <v>5.3023000000000001E-2</v>
      </c>
      <c r="N1221" s="63">
        <v>5.7643000000000004</v>
      </c>
      <c r="O1221" s="64">
        <v>5.2760000000000001E-2</v>
      </c>
    </row>
    <row r="1222" spans="1:15" x14ac:dyDescent="0.25">
      <c r="A1222" s="114" t="s">
        <v>1871</v>
      </c>
      <c r="B1222" s="63" t="s">
        <v>51</v>
      </c>
      <c r="C1222" s="63" t="s">
        <v>44</v>
      </c>
      <c r="D1222" s="63">
        <v>0.33</v>
      </c>
      <c r="E1222" s="63">
        <v>1.1000099999999999</v>
      </c>
      <c r="F1222" s="63">
        <v>0.01</v>
      </c>
      <c r="G1222" s="63" t="s">
        <v>13</v>
      </c>
      <c r="H1222" s="63" t="s">
        <v>12</v>
      </c>
      <c r="I1222" s="63">
        <v>1</v>
      </c>
      <c r="J1222" s="63">
        <v>5.01</v>
      </c>
      <c r="K1222" s="63" t="s">
        <v>10</v>
      </c>
      <c r="L1222" s="63">
        <v>5.1010999999999997</v>
      </c>
      <c r="M1222" s="63">
        <v>4.9149000000000003</v>
      </c>
      <c r="N1222" s="63">
        <v>5.0998000000000001</v>
      </c>
      <c r="O1222" s="64">
        <v>4.9135999999999997</v>
      </c>
    </row>
    <row r="1223" spans="1:15" x14ac:dyDescent="0.25">
      <c r="A1223" s="114" t="s">
        <v>1872</v>
      </c>
      <c r="B1223" s="63" t="s">
        <v>51</v>
      </c>
      <c r="C1223" s="63" t="s">
        <v>44</v>
      </c>
      <c r="D1223" s="63">
        <v>0.33</v>
      </c>
      <c r="E1223" s="63">
        <v>1.1000099999999999</v>
      </c>
      <c r="F1223" s="63">
        <v>0.01</v>
      </c>
      <c r="G1223" s="63" t="s">
        <v>13</v>
      </c>
      <c r="H1223" s="63" t="s">
        <v>12</v>
      </c>
      <c r="I1223" s="63">
        <v>5</v>
      </c>
      <c r="J1223" s="63">
        <v>10</v>
      </c>
      <c r="K1223" s="63" t="s">
        <v>10</v>
      </c>
      <c r="L1223" s="63">
        <v>7.0907999999999998</v>
      </c>
      <c r="M1223" s="63">
        <v>28.073</v>
      </c>
      <c r="N1223" s="63">
        <v>7.0891000000000002</v>
      </c>
      <c r="O1223" s="64">
        <v>28.073</v>
      </c>
    </row>
    <row r="1224" spans="1:15" x14ac:dyDescent="0.25">
      <c r="A1224" s="114" t="s">
        <v>1873</v>
      </c>
      <c r="B1224" s="63" t="s">
        <v>51</v>
      </c>
      <c r="C1224" s="63" t="s">
        <v>44</v>
      </c>
      <c r="D1224" s="63">
        <v>0.33</v>
      </c>
      <c r="E1224" s="63">
        <v>1.1000099999999999</v>
      </c>
      <c r="F1224" s="63">
        <v>0.01</v>
      </c>
      <c r="G1224" s="63" t="s">
        <v>13</v>
      </c>
      <c r="H1224" s="63" t="s">
        <v>12</v>
      </c>
      <c r="I1224" s="63">
        <v>10</v>
      </c>
      <c r="J1224" s="63">
        <v>10.01</v>
      </c>
      <c r="K1224" s="63" t="s">
        <v>10</v>
      </c>
      <c r="L1224" s="63">
        <v>7.0907999999999998</v>
      </c>
      <c r="M1224" s="63">
        <v>28.073</v>
      </c>
      <c r="N1224" s="63">
        <v>7.0891000000000002</v>
      </c>
      <c r="O1224" s="64">
        <v>28.073</v>
      </c>
    </row>
    <row r="1225" spans="1:15" x14ac:dyDescent="0.25">
      <c r="A1225" s="114" t="s">
        <v>1891</v>
      </c>
      <c r="B1225" s="63" t="s">
        <v>51</v>
      </c>
      <c r="C1225" s="63" t="s">
        <v>44</v>
      </c>
      <c r="D1225" s="63">
        <v>1.1000000000000001</v>
      </c>
      <c r="E1225" s="63">
        <v>3.0009999999999999</v>
      </c>
      <c r="F1225" s="63">
        <v>0.01</v>
      </c>
      <c r="G1225" s="63" t="s">
        <v>13</v>
      </c>
      <c r="H1225" s="63" t="s">
        <v>12</v>
      </c>
      <c r="I1225" s="63">
        <v>0.01</v>
      </c>
      <c r="J1225" s="63">
        <v>4.5010000000000001E-2</v>
      </c>
      <c r="K1225" s="63" t="s">
        <v>10</v>
      </c>
      <c r="L1225" s="63">
        <v>4.9070999999999998</v>
      </c>
      <c r="M1225" s="63">
        <v>1.2281</v>
      </c>
      <c r="N1225" s="63">
        <v>4.9043000000000001</v>
      </c>
      <c r="O1225" s="64">
        <v>1.2264999999999999</v>
      </c>
    </row>
    <row r="1226" spans="1:15" x14ac:dyDescent="0.25">
      <c r="A1226" s="114" t="s">
        <v>1890</v>
      </c>
      <c r="B1226" s="63" t="s">
        <v>51</v>
      </c>
      <c r="C1226" s="63" t="s">
        <v>44</v>
      </c>
      <c r="D1226" s="63">
        <v>1.1000000000000001</v>
      </c>
      <c r="E1226" s="63">
        <v>3.0009999999999999</v>
      </c>
      <c r="F1226" s="63">
        <v>0.01</v>
      </c>
      <c r="G1226" s="63" t="s">
        <v>13</v>
      </c>
      <c r="H1226" s="63" t="s">
        <v>12</v>
      </c>
      <c r="I1226" s="63">
        <v>4.4999999999999998E-2</v>
      </c>
      <c r="J1226" s="63">
        <v>1.0000100000000001</v>
      </c>
      <c r="K1226" s="63" t="s">
        <v>10</v>
      </c>
      <c r="L1226" s="63">
        <v>5.6463000000000001</v>
      </c>
      <c r="M1226" s="63">
        <v>0.18057000000000001</v>
      </c>
      <c r="N1226" s="63">
        <v>5.6448</v>
      </c>
      <c r="O1226" s="64">
        <v>0.17757999999999999</v>
      </c>
    </row>
    <row r="1227" spans="1:15" x14ac:dyDescent="0.25">
      <c r="A1227" s="114" t="s">
        <v>1892</v>
      </c>
      <c r="B1227" s="63" t="s">
        <v>51</v>
      </c>
      <c r="C1227" s="63" t="s">
        <v>44</v>
      </c>
      <c r="D1227" s="63">
        <v>1.1000000000000001</v>
      </c>
      <c r="E1227" s="63">
        <v>3.0009999999999999</v>
      </c>
      <c r="F1227" s="63">
        <v>0.01</v>
      </c>
      <c r="G1227" s="63" t="s">
        <v>13</v>
      </c>
      <c r="H1227" s="63" t="s">
        <v>12</v>
      </c>
      <c r="I1227" s="63">
        <v>1</v>
      </c>
      <c r="J1227" s="63">
        <v>5.01</v>
      </c>
      <c r="K1227" s="63" t="s">
        <v>10</v>
      </c>
      <c r="L1227" s="63">
        <v>3.4546999999999999</v>
      </c>
      <c r="M1227" s="63">
        <v>6.4116</v>
      </c>
      <c r="N1227" s="63">
        <v>3.4521000000000002</v>
      </c>
      <c r="O1227" s="64">
        <v>6.4115000000000002</v>
      </c>
    </row>
    <row r="1228" spans="1:15" x14ac:dyDescent="0.25">
      <c r="A1228" s="114" t="s">
        <v>1893</v>
      </c>
      <c r="B1228" s="63" t="s">
        <v>51</v>
      </c>
      <c r="C1228" s="63" t="s">
        <v>44</v>
      </c>
      <c r="D1228" s="63">
        <v>1.1000000000000001</v>
      </c>
      <c r="E1228" s="63">
        <v>3.0009999999999999</v>
      </c>
      <c r="F1228" s="63">
        <v>0.01</v>
      </c>
      <c r="G1228" s="63" t="s">
        <v>13</v>
      </c>
      <c r="H1228" s="63" t="s">
        <v>12</v>
      </c>
      <c r="I1228" s="63">
        <v>5</v>
      </c>
      <c r="J1228" s="63">
        <v>10</v>
      </c>
      <c r="K1228" s="63" t="s">
        <v>10</v>
      </c>
      <c r="L1228" s="63">
        <v>6.2283999999999997</v>
      </c>
      <c r="M1228" s="63">
        <v>28.856999999999999</v>
      </c>
      <c r="N1228" s="63">
        <v>6.3663999999999996</v>
      </c>
      <c r="O1228" s="64">
        <v>28.73</v>
      </c>
    </row>
    <row r="1229" spans="1:15" x14ac:dyDescent="0.25">
      <c r="A1229" s="114" t="s">
        <v>1889</v>
      </c>
      <c r="B1229" s="63" t="s">
        <v>51</v>
      </c>
      <c r="C1229" s="63" t="s">
        <v>44</v>
      </c>
      <c r="D1229" s="63">
        <v>1.1000000000000001</v>
      </c>
      <c r="E1229" s="63">
        <v>3.0009999999999999</v>
      </c>
      <c r="F1229" s="63">
        <v>0.01</v>
      </c>
      <c r="G1229" s="63" t="s">
        <v>13</v>
      </c>
      <c r="H1229" s="63" t="s">
        <v>12</v>
      </c>
      <c r="I1229" s="63">
        <v>10</v>
      </c>
      <c r="J1229" s="63">
        <v>10.01</v>
      </c>
      <c r="K1229" s="63" t="s">
        <v>10</v>
      </c>
      <c r="L1229" s="63">
        <v>6.2283999999999997</v>
      </c>
      <c r="M1229" s="63">
        <v>28.856999999999999</v>
      </c>
      <c r="N1229" s="63">
        <v>6.3663999999999996</v>
      </c>
      <c r="O1229" s="64">
        <v>28.73</v>
      </c>
    </row>
    <row r="1230" spans="1:15" x14ac:dyDescent="0.25">
      <c r="A1230" s="114" t="s">
        <v>2436</v>
      </c>
      <c r="B1230" s="63" t="s">
        <v>51</v>
      </c>
      <c r="C1230" s="63" t="s">
        <v>44</v>
      </c>
      <c r="D1230" s="63">
        <v>3</v>
      </c>
      <c r="E1230" s="63">
        <v>11.000999999999999</v>
      </c>
      <c r="F1230" s="63">
        <v>0.01</v>
      </c>
      <c r="G1230" s="63" t="s">
        <v>13</v>
      </c>
      <c r="H1230" s="63" t="s">
        <v>12</v>
      </c>
      <c r="I1230" s="63">
        <v>4.4999999999999998E-2</v>
      </c>
      <c r="J1230" s="63">
        <v>0.10001</v>
      </c>
      <c r="K1230" s="63" t="s">
        <v>10</v>
      </c>
      <c r="L1230" s="63">
        <v>5.6643999999999997</v>
      </c>
      <c r="M1230" s="63">
        <v>0.53041000000000005</v>
      </c>
      <c r="N1230" s="63">
        <v>5.6622000000000003</v>
      </c>
      <c r="O1230" s="64">
        <v>0.53025999999999995</v>
      </c>
    </row>
    <row r="1231" spans="1:15" x14ac:dyDescent="0.25">
      <c r="A1231" s="114" t="s">
        <v>1903</v>
      </c>
      <c r="B1231" s="63" t="s">
        <v>51</v>
      </c>
      <c r="C1231" s="63" t="s">
        <v>44</v>
      </c>
      <c r="D1231" s="63">
        <v>3</v>
      </c>
      <c r="E1231" s="63">
        <v>11.000999999999999</v>
      </c>
      <c r="F1231" s="63">
        <v>0.01</v>
      </c>
      <c r="G1231" s="63" t="s">
        <v>13</v>
      </c>
      <c r="H1231" s="63" t="s">
        <v>12</v>
      </c>
      <c r="I1231" s="63">
        <v>0.1</v>
      </c>
      <c r="J1231" s="63">
        <v>1.0000100000000001</v>
      </c>
      <c r="K1231" s="63" t="s">
        <v>10</v>
      </c>
      <c r="L1231" s="63">
        <v>5.1971999999999996</v>
      </c>
      <c r="M1231" s="63">
        <v>0.99041000000000001</v>
      </c>
      <c r="N1231" s="63">
        <v>5.1951000000000001</v>
      </c>
      <c r="O1231" s="64">
        <v>0.99036000000000002</v>
      </c>
    </row>
    <row r="1232" spans="1:15" x14ac:dyDescent="0.25">
      <c r="A1232" s="114" t="s">
        <v>1902</v>
      </c>
      <c r="B1232" s="63" t="s">
        <v>51</v>
      </c>
      <c r="C1232" s="63" t="s">
        <v>44</v>
      </c>
      <c r="D1232" s="63">
        <v>3</v>
      </c>
      <c r="E1232" s="63">
        <v>11.000999999999999</v>
      </c>
      <c r="F1232" s="63">
        <v>0.01</v>
      </c>
      <c r="G1232" s="63" t="s">
        <v>13</v>
      </c>
      <c r="H1232" s="63" t="s">
        <v>12</v>
      </c>
      <c r="I1232" s="63">
        <v>1</v>
      </c>
      <c r="J1232" s="63">
        <v>5</v>
      </c>
      <c r="K1232" s="63" t="s">
        <v>10</v>
      </c>
      <c r="L1232" s="63">
        <v>2.5</v>
      </c>
      <c r="M1232" s="63">
        <v>35</v>
      </c>
      <c r="N1232" s="63">
        <v>2.5084</v>
      </c>
      <c r="O1232" s="64">
        <v>34.627000000000002</v>
      </c>
    </row>
    <row r="1233" spans="1:15" x14ac:dyDescent="0.25">
      <c r="A1233" s="114" t="s">
        <v>2437</v>
      </c>
      <c r="B1233" s="63" t="s">
        <v>51</v>
      </c>
      <c r="C1233" s="63" t="s">
        <v>44</v>
      </c>
      <c r="D1233" s="63">
        <v>3</v>
      </c>
      <c r="E1233" s="63">
        <v>11.000999999999999</v>
      </c>
      <c r="F1233" s="63">
        <v>0.01</v>
      </c>
      <c r="G1233" s="63" t="s">
        <v>13</v>
      </c>
      <c r="H1233" s="63" t="s">
        <v>12</v>
      </c>
      <c r="I1233" s="63">
        <v>5</v>
      </c>
      <c r="J1233" s="63">
        <v>5.01</v>
      </c>
      <c r="K1233" s="63" t="s">
        <v>10</v>
      </c>
      <c r="L1233" s="63">
        <v>2.5</v>
      </c>
      <c r="M1233" s="63">
        <v>35</v>
      </c>
      <c r="N1233" s="63">
        <v>2.5084</v>
      </c>
      <c r="O1233" s="64">
        <v>34.627000000000002</v>
      </c>
    </row>
    <row r="1234" spans="1:15" x14ac:dyDescent="0.25">
      <c r="A1234" s="114" t="s">
        <v>2438</v>
      </c>
      <c r="B1234" s="63" t="s">
        <v>51</v>
      </c>
      <c r="C1234" s="63" t="s">
        <v>44</v>
      </c>
      <c r="D1234" s="63">
        <v>11</v>
      </c>
      <c r="E1234" s="63">
        <v>20.501000000000001</v>
      </c>
      <c r="F1234" s="63">
        <v>0.01</v>
      </c>
      <c r="G1234" s="63" t="s">
        <v>13</v>
      </c>
      <c r="H1234" s="63" t="s">
        <v>12</v>
      </c>
      <c r="I1234" s="63">
        <v>4.4999999999999998E-2</v>
      </c>
      <c r="J1234" s="63">
        <v>0.10001</v>
      </c>
      <c r="K1234" s="63" t="s">
        <v>10</v>
      </c>
      <c r="L1234" s="63">
        <v>6.9249000000000001</v>
      </c>
      <c r="M1234" s="63">
        <v>1.3567</v>
      </c>
      <c r="N1234" s="63">
        <v>6.9028</v>
      </c>
      <c r="O1234" s="64">
        <v>1.3548</v>
      </c>
    </row>
    <row r="1235" spans="1:15" x14ac:dyDescent="0.25">
      <c r="A1235" s="114" t="s">
        <v>1920</v>
      </c>
      <c r="B1235" s="63" t="s">
        <v>51</v>
      </c>
      <c r="C1235" s="63" t="s">
        <v>44</v>
      </c>
      <c r="D1235" s="63">
        <v>11</v>
      </c>
      <c r="E1235" s="63">
        <v>20.501000000000001</v>
      </c>
      <c r="F1235" s="63">
        <v>0.01</v>
      </c>
      <c r="G1235" s="63" t="s">
        <v>13</v>
      </c>
      <c r="H1235" s="63" t="s">
        <v>12</v>
      </c>
      <c r="I1235" s="63">
        <v>0.1</v>
      </c>
      <c r="J1235" s="63">
        <v>1.0000100000000001</v>
      </c>
      <c r="K1235" s="63" t="s">
        <v>10</v>
      </c>
      <c r="L1235" s="63">
        <v>6.7671000000000001</v>
      </c>
      <c r="M1235" s="63">
        <v>1.7061999999999999</v>
      </c>
      <c r="N1235" s="63">
        <v>6.7465999999999999</v>
      </c>
      <c r="O1235" s="64">
        <v>1.7047000000000001</v>
      </c>
    </row>
    <row r="1236" spans="1:15" x14ac:dyDescent="0.25">
      <c r="A1236" s="114" t="s">
        <v>1921</v>
      </c>
      <c r="B1236" s="63" t="s">
        <v>51</v>
      </c>
      <c r="C1236" s="63" t="s">
        <v>44</v>
      </c>
      <c r="D1236" s="63">
        <v>11</v>
      </c>
      <c r="E1236" s="63">
        <v>20.501000000000001</v>
      </c>
      <c r="F1236" s="63">
        <v>0.01</v>
      </c>
      <c r="G1236" s="63" t="s">
        <v>13</v>
      </c>
      <c r="H1236" s="63" t="s">
        <v>12</v>
      </c>
      <c r="I1236" s="63">
        <v>1</v>
      </c>
      <c r="J1236" s="63">
        <v>5</v>
      </c>
      <c r="K1236" s="63" t="s">
        <v>10</v>
      </c>
      <c r="L1236" s="63">
        <v>5.9</v>
      </c>
      <c r="M1236" s="63">
        <v>35</v>
      </c>
      <c r="N1236" s="63">
        <v>5.8395000000000001</v>
      </c>
      <c r="O1236" s="64">
        <v>34.639000000000003</v>
      </c>
    </row>
    <row r="1237" spans="1:15" x14ac:dyDescent="0.25">
      <c r="A1237" s="114" t="s">
        <v>1919</v>
      </c>
      <c r="B1237" s="63" t="s">
        <v>51</v>
      </c>
      <c r="C1237" s="63" t="s">
        <v>44</v>
      </c>
      <c r="D1237" s="63">
        <v>11</v>
      </c>
      <c r="E1237" s="63">
        <v>20.501000000000001</v>
      </c>
      <c r="F1237" s="63">
        <v>0.01</v>
      </c>
      <c r="G1237" s="63" t="s">
        <v>13</v>
      </c>
      <c r="H1237" s="63" t="s">
        <v>12</v>
      </c>
      <c r="I1237" s="63">
        <v>5</v>
      </c>
      <c r="J1237" s="63">
        <v>5.01</v>
      </c>
      <c r="K1237" s="63" t="s">
        <v>10</v>
      </c>
      <c r="L1237" s="63">
        <v>5.9</v>
      </c>
      <c r="M1237" s="63">
        <v>35</v>
      </c>
      <c r="N1237" s="63">
        <v>5.8395000000000001</v>
      </c>
      <c r="O1237" s="64">
        <v>34.639000000000003</v>
      </c>
    </row>
    <row r="1238" spans="1:15" x14ac:dyDescent="0.25">
      <c r="A1238" s="114" t="s">
        <v>1768</v>
      </c>
      <c r="B1238" s="63" t="s">
        <v>51</v>
      </c>
      <c r="C1238" s="63" t="s">
        <v>44</v>
      </c>
      <c r="D1238" s="63">
        <v>0</v>
      </c>
      <c r="E1238" s="63">
        <v>3.3000999999999999E-4</v>
      </c>
      <c r="F1238" s="63">
        <v>0.1</v>
      </c>
      <c r="G1238" s="63" t="s">
        <v>13</v>
      </c>
      <c r="H1238" s="63" t="s">
        <v>11</v>
      </c>
      <c r="I1238" s="63">
        <v>0.01</v>
      </c>
      <c r="J1238" s="63">
        <v>2.001E-2</v>
      </c>
      <c r="K1238" s="63" t="s">
        <v>10</v>
      </c>
      <c r="L1238" s="63">
        <v>58026</v>
      </c>
      <c r="M1238" s="63">
        <v>-878960</v>
      </c>
      <c r="N1238" s="63">
        <v>58000</v>
      </c>
      <c r="O1238" s="64">
        <v>-878960</v>
      </c>
    </row>
    <row r="1239" spans="1:15" x14ac:dyDescent="0.25">
      <c r="A1239" s="114" t="s">
        <v>1773</v>
      </c>
      <c r="B1239" s="63" t="s">
        <v>51</v>
      </c>
      <c r="C1239" s="63" t="s">
        <v>44</v>
      </c>
      <c r="D1239" s="63">
        <v>0</v>
      </c>
      <c r="E1239" s="63">
        <v>3.3000999999999999E-4</v>
      </c>
      <c r="F1239" s="63">
        <v>0.1</v>
      </c>
      <c r="G1239" s="63" t="s">
        <v>13</v>
      </c>
      <c r="H1239" s="63" t="s">
        <v>11</v>
      </c>
      <c r="I1239" s="63">
        <v>0.02</v>
      </c>
      <c r="J1239" s="63">
        <v>4.5010000000000001E-2</v>
      </c>
      <c r="K1239" s="63" t="s">
        <v>10</v>
      </c>
      <c r="L1239" s="63">
        <v>57736</v>
      </c>
      <c r="M1239" s="63">
        <v>2.6846999999999999E-2</v>
      </c>
      <c r="N1239" s="63">
        <v>57736</v>
      </c>
      <c r="O1239" s="64">
        <v>1.2796E-2</v>
      </c>
    </row>
    <row r="1240" spans="1:15" x14ac:dyDescent="0.25">
      <c r="A1240" s="114" t="s">
        <v>1772</v>
      </c>
      <c r="B1240" s="63" t="s">
        <v>51</v>
      </c>
      <c r="C1240" s="63" t="s">
        <v>44</v>
      </c>
      <c r="D1240" s="63">
        <v>0</v>
      </c>
      <c r="E1240" s="63">
        <v>3.3000999999999999E-4</v>
      </c>
      <c r="F1240" s="63">
        <v>0.1</v>
      </c>
      <c r="G1240" s="63" t="s">
        <v>13</v>
      </c>
      <c r="H1240" s="63" t="s">
        <v>11</v>
      </c>
      <c r="I1240" s="63">
        <v>4.4999999999999998E-2</v>
      </c>
      <c r="J1240" s="63">
        <v>1.0000100000000001</v>
      </c>
      <c r="K1240" s="63" t="s">
        <v>10</v>
      </c>
      <c r="L1240" s="63">
        <v>57736</v>
      </c>
      <c r="M1240" s="63">
        <v>2.342E-2</v>
      </c>
      <c r="N1240" s="63">
        <v>57736</v>
      </c>
      <c r="O1240" s="64">
        <v>9.3682000000000001E-3</v>
      </c>
    </row>
    <row r="1241" spans="1:15" x14ac:dyDescent="0.25">
      <c r="A1241" s="114" t="s">
        <v>2439</v>
      </c>
      <c r="B1241" s="63" t="s">
        <v>51</v>
      </c>
      <c r="C1241" s="63" t="s">
        <v>44</v>
      </c>
      <c r="D1241" s="63">
        <v>0</v>
      </c>
      <c r="E1241" s="63">
        <v>3.3000999999999999E-4</v>
      </c>
      <c r="F1241" s="63">
        <v>0.1</v>
      </c>
      <c r="G1241" s="63" t="s">
        <v>13</v>
      </c>
      <c r="H1241" s="63" t="s">
        <v>11</v>
      </c>
      <c r="I1241" s="63">
        <v>1</v>
      </c>
      <c r="J1241" s="63">
        <v>5.01</v>
      </c>
      <c r="K1241" s="63" t="s">
        <v>10</v>
      </c>
      <c r="L1241" s="63">
        <v>57736</v>
      </c>
      <c r="M1241" s="63">
        <v>6.1755999999999998E-2</v>
      </c>
      <c r="N1241" s="63">
        <v>57736</v>
      </c>
      <c r="O1241" s="64">
        <v>4.7704999999999997E-2</v>
      </c>
    </row>
    <row r="1242" spans="1:15" x14ac:dyDescent="0.25">
      <c r="A1242" s="114" t="s">
        <v>1770</v>
      </c>
      <c r="B1242" s="63" t="s">
        <v>51</v>
      </c>
      <c r="C1242" s="63" t="s">
        <v>44</v>
      </c>
      <c r="D1242" s="63">
        <v>0</v>
      </c>
      <c r="E1242" s="63">
        <v>3.3000999999999999E-4</v>
      </c>
      <c r="F1242" s="63">
        <v>0.1</v>
      </c>
      <c r="G1242" s="63" t="s">
        <v>13</v>
      </c>
      <c r="H1242" s="63" t="s">
        <v>11</v>
      </c>
      <c r="I1242" s="63">
        <v>5</v>
      </c>
      <c r="J1242" s="63">
        <v>10.01</v>
      </c>
      <c r="K1242" s="63" t="s">
        <v>10</v>
      </c>
      <c r="L1242" s="63">
        <v>57736</v>
      </c>
      <c r="M1242" s="63">
        <v>0.33223999999999998</v>
      </c>
      <c r="N1242" s="63">
        <v>57736</v>
      </c>
      <c r="O1242" s="64">
        <v>0.30225999999999997</v>
      </c>
    </row>
    <row r="1243" spans="1:15" x14ac:dyDescent="0.25">
      <c r="A1243" s="114" t="s">
        <v>1769</v>
      </c>
      <c r="B1243" s="63" t="s">
        <v>51</v>
      </c>
      <c r="C1243" s="63" t="s">
        <v>44</v>
      </c>
      <c r="D1243" s="63">
        <v>0</v>
      </c>
      <c r="E1243" s="63">
        <v>3.3000999999999999E-4</v>
      </c>
      <c r="F1243" s="63">
        <v>0.1</v>
      </c>
      <c r="G1243" s="63" t="s">
        <v>13</v>
      </c>
      <c r="H1243" s="63" t="s">
        <v>11</v>
      </c>
      <c r="I1243" s="63">
        <v>10</v>
      </c>
      <c r="J1243" s="63">
        <v>30</v>
      </c>
      <c r="K1243" s="63" t="s">
        <v>10</v>
      </c>
      <c r="L1243" s="63">
        <v>57736</v>
      </c>
      <c r="M1243" s="63">
        <v>1.2390000000000001</v>
      </c>
      <c r="N1243" s="63">
        <v>57735</v>
      </c>
      <c r="O1243" s="64">
        <v>1.2090000000000001</v>
      </c>
    </row>
    <row r="1244" spans="1:15" x14ac:dyDescent="0.25">
      <c r="A1244" s="114" t="s">
        <v>1771</v>
      </c>
      <c r="B1244" s="63" t="s">
        <v>51</v>
      </c>
      <c r="C1244" s="63" t="s">
        <v>44</v>
      </c>
      <c r="D1244" s="63">
        <v>0</v>
      </c>
      <c r="E1244" s="63">
        <v>3.3000999999999999E-4</v>
      </c>
      <c r="F1244" s="63">
        <v>0.1</v>
      </c>
      <c r="G1244" s="63" t="s">
        <v>13</v>
      </c>
      <c r="H1244" s="63" t="s">
        <v>11</v>
      </c>
      <c r="I1244" s="63">
        <v>30</v>
      </c>
      <c r="J1244" s="63">
        <v>30.1</v>
      </c>
      <c r="K1244" s="63" t="s">
        <v>10</v>
      </c>
      <c r="L1244" s="63">
        <v>57736</v>
      </c>
      <c r="M1244" s="63">
        <v>1.2390000000000001</v>
      </c>
      <c r="N1244" s="63">
        <v>57735</v>
      </c>
      <c r="O1244" s="64">
        <v>1.2090000000000001</v>
      </c>
    </row>
    <row r="1245" spans="1:15" x14ac:dyDescent="0.25">
      <c r="A1245" s="114" t="s">
        <v>2440</v>
      </c>
      <c r="B1245" s="63" t="s">
        <v>51</v>
      </c>
      <c r="C1245" s="63" t="s">
        <v>44</v>
      </c>
      <c r="D1245" s="63">
        <v>0.33</v>
      </c>
      <c r="E1245" s="63">
        <v>1.1000099999999999</v>
      </c>
      <c r="F1245" s="63">
        <v>0.1</v>
      </c>
      <c r="G1245" s="63" t="s">
        <v>13</v>
      </c>
      <c r="H1245" s="63" t="s">
        <v>12</v>
      </c>
      <c r="I1245" s="63">
        <v>0.01</v>
      </c>
      <c r="J1245" s="63">
        <v>4.5010000000000001E-2</v>
      </c>
      <c r="K1245" s="63" t="s">
        <v>10</v>
      </c>
      <c r="L1245" s="63">
        <v>57.722000000000001</v>
      </c>
      <c r="M1245" s="63">
        <v>5.7755000000000001E-2</v>
      </c>
      <c r="N1245" s="63">
        <v>57.722000000000001</v>
      </c>
      <c r="O1245" s="64">
        <v>5.7648999999999999E-2</v>
      </c>
    </row>
    <row r="1246" spans="1:15" x14ac:dyDescent="0.25">
      <c r="A1246" s="114" t="s">
        <v>1876</v>
      </c>
      <c r="B1246" s="63" t="s">
        <v>51</v>
      </c>
      <c r="C1246" s="63" t="s">
        <v>44</v>
      </c>
      <c r="D1246" s="63">
        <v>0.33</v>
      </c>
      <c r="E1246" s="63">
        <v>1.1000099999999999</v>
      </c>
      <c r="F1246" s="63">
        <v>0.1</v>
      </c>
      <c r="G1246" s="63" t="s">
        <v>13</v>
      </c>
      <c r="H1246" s="63" t="s">
        <v>12</v>
      </c>
      <c r="I1246" s="63">
        <v>4.4999999999999998E-2</v>
      </c>
      <c r="J1246" s="63">
        <v>1.0000100000000001</v>
      </c>
      <c r="K1246" s="63" t="s">
        <v>10</v>
      </c>
      <c r="L1246" s="63">
        <v>57.734999999999999</v>
      </c>
      <c r="M1246" s="63">
        <v>5.4079999999999996E-3</v>
      </c>
      <c r="N1246" s="63">
        <v>57.734999999999999</v>
      </c>
      <c r="O1246" s="64">
        <v>5.3017999999999997E-3</v>
      </c>
    </row>
    <row r="1247" spans="1:15" x14ac:dyDescent="0.25">
      <c r="A1247" s="114" t="s">
        <v>1875</v>
      </c>
      <c r="B1247" s="63" t="s">
        <v>51</v>
      </c>
      <c r="C1247" s="63" t="s">
        <v>44</v>
      </c>
      <c r="D1247" s="63">
        <v>0.33</v>
      </c>
      <c r="E1247" s="63">
        <v>1.1000099999999999</v>
      </c>
      <c r="F1247" s="63">
        <v>0.1</v>
      </c>
      <c r="G1247" s="63" t="s">
        <v>13</v>
      </c>
      <c r="H1247" s="63" t="s">
        <v>12</v>
      </c>
      <c r="I1247" s="63">
        <v>1</v>
      </c>
      <c r="J1247" s="63">
        <v>5.01</v>
      </c>
      <c r="K1247" s="63" t="s">
        <v>10</v>
      </c>
      <c r="L1247" s="63">
        <v>57.597999999999999</v>
      </c>
      <c r="M1247" s="63">
        <v>0.72965000000000002</v>
      </c>
      <c r="N1247" s="63">
        <v>57.597999999999999</v>
      </c>
      <c r="O1247" s="64">
        <v>0.72819</v>
      </c>
    </row>
    <row r="1248" spans="1:15" x14ac:dyDescent="0.25">
      <c r="A1248" s="114" t="s">
        <v>2441</v>
      </c>
      <c r="B1248" s="63" t="s">
        <v>51</v>
      </c>
      <c r="C1248" s="63" t="s">
        <v>44</v>
      </c>
      <c r="D1248" s="63">
        <v>0.33</v>
      </c>
      <c r="E1248" s="63">
        <v>1.1000099999999999</v>
      </c>
      <c r="F1248" s="63">
        <v>0.1</v>
      </c>
      <c r="G1248" s="63" t="s">
        <v>13</v>
      </c>
      <c r="H1248" s="63" t="s">
        <v>12</v>
      </c>
      <c r="I1248" s="63">
        <v>5</v>
      </c>
      <c r="J1248" s="63">
        <v>10</v>
      </c>
      <c r="K1248" s="63" t="s">
        <v>10</v>
      </c>
      <c r="L1248" s="63">
        <v>55.816000000000003</v>
      </c>
      <c r="M1248" s="63">
        <v>11.862</v>
      </c>
      <c r="N1248" s="63">
        <v>55.814999999999998</v>
      </c>
      <c r="O1248" s="64">
        <v>11.86</v>
      </c>
    </row>
    <row r="1249" spans="1:15" x14ac:dyDescent="0.25">
      <c r="A1249" s="114" t="s">
        <v>1877</v>
      </c>
      <c r="B1249" s="63" t="s">
        <v>51</v>
      </c>
      <c r="C1249" s="63" t="s">
        <v>44</v>
      </c>
      <c r="D1249" s="63">
        <v>0.33</v>
      </c>
      <c r="E1249" s="63">
        <v>1.1000099999999999</v>
      </c>
      <c r="F1249" s="63">
        <v>0.1</v>
      </c>
      <c r="G1249" s="63" t="s">
        <v>13</v>
      </c>
      <c r="H1249" s="63" t="s">
        <v>12</v>
      </c>
      <c r="I1249" s="63">
        <v>10</v>
      </c>
      <c r="J1249" s="63">
        <v>10.01</v>
      </c>
      <c r="K1249" s="63" t="s">
        <v>10</v>
      </c>
      <c r="L1249" s="63">
        <v>55.816000000000003</v>
      </c>
      <c r="M1249" s="63">
        <v>11.862</v>
      </c>
      <c r="N1249" s="63">
        <v>55.814999999999998</v>
      </c>
      <c r="O1249" s="64">
        <v>11.86</v>
      </c>
    </row>
    <row r="1250" spans="1:15" x14ac:dyDescent="0.25">
      <c r="A1250" s="114" t="s">
        <v>2442</v>
      </c>
      <c r="B1250" s="63" t="s">
        <v>51</v>
      </c>
      <c r="C1250" s="63" t="s">
        <v>44</v>
      </c>
      <c r="D1250" s="63">
        <v>1.1000000000000001</v>
      </c>
      <c r="E1250" s="63">
        <v>3.0009999999999999</v>
      </c>
      <c r="F1250" s="63">
        <v>0.1</v>
      </c>
      <c r="G1250" s="63" t="s">
        <v>13</v>
      </c>
      <c r="H1250" s="63" t="s">
        <v>12</v>
      </c>
      <c r="I1250" s="63">
        <v>0.01</v>
      </c>
      <c r="J1250" s="63">
        <v>4.5010000000000001E-2</v>
      </c>
      <c r="K1250" s="63" t="s">
        <v>10</v>
      </c>
      <c r="L1250" s="63">
        <v>57.613</v>
      </c>
      <c r="M1250" s="63">
        <v>0.15837999999999999</v>
      </c>
      <c r="N1250" s="63">
        <v>57.613</v>
      </c>
      <c r="O1250" s="64">
        <v>0.15706000000000001</v>
      </c>
    </row>
    <row r="1251" spans="1:15" x14ac:dyDescent="0.25">
      <c r="A1251" s="114" t="s">
        <v>2443</v>
      </c>
      <c r="B1251" s="63" t="s">
        <v>51</v>
      </c>
      <c r="C1251" s="63" t="s">
        <v>44</v>
      </c>
      <c r="D1251" s="63">
        <v>1.1000000000000001</v>
      </c>
      <c r="E1251" s="63">
        <v>3.0009999999999999</v>
      </c>
      <c r="F1251" s="63">
        <v>0.1</v>
      </c>
      <c r="G1251" s="63" t="s">
        <v>13</v>
      </c>
      <c r="H1251" s="63" t="s">
        <v>12</v>
      </c>
      <c r="I1251" s="63">
        <v>4.4999999999999998E-2</v>
      </c>
      <c r="J1251" s="63">
        <v>1.0000100000000001</v>
      </c>
      <c r="K1251" s="63" t="s">
        <v>10</v>
      </c>
      <c r="L1251" s="63">
        <v>57.722000000000001</v>
      </c>
      <c r="M1251" s="63">
        <v>1.9812E-2</v>
      </c>
      <c r="N1251" s="63">
        <v>57.722000000000001</v>
      </c>
      <c r="O1251" s="64">
        <v>1.8474000000000001E-2</v>
      </c>
    </row>
    <row r="1252" spans="1:15" x14ac:dyDescent="0.25">
      <c r="A1252" s="114" t="s">
        <v>1895</v>
      </c>
      <c r="B1252" s="63" t="s">
        <v>51</v>
      </c>
      <c r="C1252" s="63" t="s">
        <v>44</v>
      </c>
      <c r="D1252" s="63">
        <v>1.1000000000000001</v>
      </c>
      <c r="E1252" s="63">
        <v>3.0009999999999999</v>
      </c>
      <c r="F1252" s="63">
        <v>0.1</v>
      </c>
      <c r="G1252" s="63" t="s">
        <v>13</v>
      </c>
      <c r="H1252" s="63" t="s">
        <v>12</v>
      </c>
      <c r="I1252" s="63">
        <v>1</v>
      </c>
      <c r="J1252" s="63">
        <v>5.01</v>
      </c>
      <c r="K1252" s="63" t="s">
        <v>10</v>
      </c>
      <c r="L1252" s="63">
        <v>56.451000000000001</v>
      </c>
      <c r="M1252" s="63">
        <v>1.7722</v>
      </c>
      <c r="N1252" s="63">
        <v>56.451000000000001</v>
      </c>
      <c r="O1252" s="64">
        <v>1.7709999999999999</v>
      </c>
    </row>
    <row r="1253" spans="1:15" x14ac:dyDescent="0.25">
      <c r="A1253" s="114" t="s">
        <v>1896</v>
      </c>
      <c r="B1253" s="63" t="s">
        <v>51</v>
      </c>
      <c r="C1253" s="63" t="s">
        <v>44</v>
      </c>
      <c r="D1253" s="63">
        <v>1.1000000000000001</v>
      </c>
      <c r="E1253" s="63">
        <v>3.0009999999999999</v>
      </c>
      <c r="F1253" s="63">
        <v>0.1</v>
      </c>
      <c r="G1253" s="63" t="s">
        <v>13</v>
      </c>
      <c r="H1253" s="63" t="s">
        <v>12</v>
      </c>
      <c r="I1253" s="63">
        <v>5</v>
      </c>
      <c r="J1253" s="63">
        <v>10</v>
      </c>
      <c r="K1253" s="63" t="s">
        <v>10</v>
      </c>
      <c r="L1253" s="63">
        <v>45.661999999999999</v>
      </c>
      <c r="M1253" s="63">
        <v>21.093</v>
      </c>
      <c r="N1253" s="63">
        <v>45.658999999999999</v>
      </c>
      <c r="O1253" s="64">
        <v>21.091999999999999</v>
      </c>
    </row>
    <row r="1254" spans="1:15" x14ac:dyDescent="0.25">
      <c r="A1254" s="114" t="s">
        <v>1894</v>
      </c>
      <c r="B1254" s="63" t="s">
        <v>51</v>
      </c>
      <c r="C1254" s="63" t="s">
        <v>44</v>
      </c>
      <c r="D1254" s="63">
        <v>1.1000000000000001</v>
      </c>
      <c r="E1254" s="63">
        <v>3.0009999999999999</v>
      </c>
      <c r="F1254" s="63">
        <v>0.1</v>
      </c>
      <c r="G1254" s="63" t="s">
        <v>13</v>
      </c>
      <c r="H1254" s="63" t="s">
        <v>12</v>
      </c>
      <c r="I1254" s="63">
        <v>10</v>
      </c>
      <c r="J1254" s="63">
        <v>10.01</v>
      </c>
      <c r="K1254" s="63" t="s">
        <v>10</v>
      </c>
      <c r="L1254" s="63">
        <v>45.661999999999999</v>
      </c>
      <c r="M1254" s="63">
        <v>21.093</v>
      </c>
      <c r="N1254" s="63">
        <v>45.658999999999999</v>
      </c>
      <c r="O1254" s="64">
        <v>21.091999999999999</v>
      </c>
    </row>
    <row r="1255" spans="1:15" x14ac:dyDescent="0.25">
      <c r="A1255" s="114" t="s">
        <v>2444</v>
      </c>
      <c r="B1255" s="63" t="s">
        <v>51</v>
      </c>
      <c r="C1255" s="63" t="s">
        <v>44</v>
      </c>
      <c r="D1255" s="63">
        <v>3</v>
      </c>
      <c r="E1255" s="63">
        <v>11.000999999999999</v>
      </c>
      <c r="F1255" s="63">
        <v>0.1</v>
      </c>
      <c r="G1255" s="63" t="s">
        <v>13</v>
      </c>
      <c r="H1255" s="63" t="s">
        <v>12</v>
      </c>
      <c r="I1255" s="63">
        <v>4.4999999999999998E-2</v>
      </c>
      <c r="J1255" s="63">
        <v>0.10001</v>
      </c>
      <c r="K1255" s="63" t="s">
        <v>10</v>
      </c>
      <c r="L1255" s="63">
        <v>57.646999999999998</v>
      </c>
      <c r="M1255" s="63">
        <v>8.5551000000000002E-2</v>
      </c>
      <c r="N1255" s="63">
        <v>57.646000000000001</v>
      </c>
      <c r="O1255" s="64">
        <v>8.5343000000000002E-2</v>
      </c>
    </row>
    <row r="1256" spans="1:15" x14ac:dyDescent="0.25">
      <c r="A1256" s="114" t="s">
        <v>1904</v>
      </c>
      <c r="B1256" s="63" t="s">
        <v>51</v>
      </c>
      <c r="C1256" s="63" t="s">
        <v>44</v>
      </c>
      <c r="D1256" s="63">
        <v>3</v>
      </c>
      <c r="E1256" s="63">
        <v>11.000999999999999</v>
      </c>
      <c r="F1256" s="63">
        <v>0.1</v>
      </c>
      <c r="G1256" s="63" t="s">
        <v>13</v>
      </c>
      <c r="H1256" s="63" t="s">
        <v>12</v>
      </c>
      <c r="I1256" s="63">
        <v>0.1</v>
      </c>
      <c r="J1256" s="63">
        <v>1.0000100000000001</v>
      </c>
      <c r="K1256" s="63" t="s">
        <v>10</v>
      </c>
      <c r="L1256" s="63">
        <v>57.411999999999999</v>
      </c>
      <c r="M1256" s="63">
        <v>0.20433000000000001</v>
      </c>
      <c r="N1256" s="63">
        <v>57.411000000000001</v>
      </c>
      <c r="O1256" s="64">
        <v>0.20413000000000001</v>
      </c>
    </row>
    <row r="1257" spans="1:15" x14ac:dyDescent="0.25">
      <c r="A1257" s="114" t="s">
        <v>1905</v>
      </c>
      <c r="B1257" s="63" t="s">
        <v>51</v>
      </c>
      <c r="C1257" s="63" t="s">
        <v>44</v>
      </c>
      <c r="D1257" s="63">
        <v>3</v>
      </c>
      <c r="E1257" s="63">
        <v>11.000999999999999</v>
      </c>
      <c r="F1257" s="63">
        <v>0.1</v>
      </c>
      <c r="G1257" s="63" t="s">
        <v>13</v>
      </c>
      <c r="H1257" s="63" t="s">
        <v>12</v>
      </c>
      <c r="I1257" s="63">
        <v>1</v>
      </c>
      <c r="J1257" s="63">
        <v>5</v>
      </c>
      <c r="K1257" s="63" t="s">
        <v>10</v>
      </c>
      <c r="L1257" s="63">
        <v>20.888000000000002</v>
      </c>
      <c r="M1257" s="63">
        <v>33.345999999999997</v>
      </c>
      <c r="N1257" s="63">
        <v>20.867000000000001</v>
      </c>
      <c r="O1257" s="64">
        <v>33.347000000000001</v>
      </c>
    </row>
    <row r="1258" spans="1:15" x14ac:dyDescent="0.25">
      <c r="A1258" s="114" t="s">
        <v>1906</v>
      </c>
      <c r="B1258" s="63" t="s">
        <v>51</v>
      </c>
      <c r="C1258" s="63" t="s">
        <v>44</v>
      </c>
      <c r="D1258" s="63">
        <v>3</v>
      </c>
      <c r="E1258" s="63">
        <v>11.000999999999999</v>
      </c>
      <c r="F1258" s="63">
        <v>0.1</v>
      </c>
      <c r="G1258" s="63" t="s">
        <v>13</v>
      </c>
      <c r="H1258" s="63" t="s">
        <v>12</v>
      </c>
      <c r="I1258" s="63">
        <v>5</v>
      </c>
      <c r="J1258" s="63">
        <v>5.01</v>
      </c>
      <c r="K1258" s="63" t="s">
        <v>10</v>
      </c>
      <c r="L1258" s="63">
        <v>20.888000000000002</v>
      </c>
      <c r="M1258" s="63">
        <v>33.345999999999997</v>
      </c>
      <c r="N1258" s="63">
        <v>20.867000000000001</v>
      </c>
      <c r="O1258" s="64">
        <v>33.347000000000001</v>
      </c>
    </row>
    <row r="1259" spans="1:15" x14ac:dyDescent="0.25">
      <c r="A1259" s="114" t="s">
        <v>1922</v>
      </c>
      <c r="B1259" s="63" t="s">
        <v>51</v>
      </c>
      <c r="C1259" s="63" t="s">
        <v>44</v>
      </c>
      <c r="D1259" s="63">
        <v>11</v>
      </c>
      <c r="E1259" s="63">
        <v>20.501000000000001</v>
      </c>
      <c r="F1259" s="63">
        <v>0.1</v>
      </c>
      <c r="G1259" s="63" t="s">
        <v>13</v>
      </c>
      <c r="H1259" s="63" t="s">
        <v>12</v>
      </c>
      <c r="I1259" s="63">
        <v>4.4999999999999998E-2</v>
      </c>
      <c r="J1259" s="63">
        <v>0.10001</v>
      </c>
      <c r="K1259" s="63" t="s">
        <v>10</v>
      </c>
      <c r="L1259" s="63">
        <v>55.152999999999999</v>
      </c>
      <c r="M1259" s="63">
        <v>0.59996000000000005</v>
      </c>
      <c r="N1259" s="63">
        <v>55.167999999999999</v>
      </c>
      <c r="O1259" s="64">
        <v>0.59309999999999996</v>
      </c>
    </row>
    <row r="1260" spans="1:15" x14ac:dyDescent="0.25">
      <c r="A1260" s="114" t="s">
        <v>1924</v>
      </c>
      <c r="B1260" s="63" t="s">
        <v>51</v>
      </c>
      <c r="C1260" s="63" t="s">
        <v>44</v>
      </c>
      <c r="D1260" s="63">
        <v>11</v>
      </c>
      <c r="E1260" s="63">
        <v>20.501000000000001</v>
      </c>
      <c r="F1260" s="63">
        <v>0.1</v>
      </c>
      <c r="G1260" s="63" t="s">
        <v>13</v>
      </c>
      <c r="H1260" s="63" t="s">
        <v>12</v>
      </c>
      <c r="I1260" s="63">
        <v>0.1</v>
      </c>
      <c r="J1260" s="63">
        <v>1.0000100000000001</v>
      </c>
      <c r="K1260" s="63" t="s">
        <v>10</v>
      </c>
      <c r="L1260" s="63">
        <v>53.698999999999998</v>
      </c>
      <c r="M1260" s="63">
        <v>0.85924999999999996</v>
      </c>
      <c r="N1260" s="63">
        <v>53.709000000000003</v>
      </c>
      <c r="O1260" s="64">
        <v>0.85296000000000005</v>
      </c>
    </row>
    <row r="1261" spans="1:15" x14ac:dyDescent="0.25">
      <c r="A1261" s="114" t="s">
        <v>2445</v>
      </c>
      <c r="B1261" s="63" t="s">
        <v>51</v>
      </c>
      <c r="C1261" s="63" t="s">
        <v>44</v>
      </c>
      <c r="D1261" s="63">
        <v>11</v>
      </c>
      <c r="E1261" s="63">
        <v>20.501000000000001</v>
      </c>
      <c r="F1261" s="63">
        <v>0.1</v>
      </c>
      <c r="G1261" s="63" t="s">
        <v>13</v>
      </c>
      <c r="H1261" s="63" t="s">
        <v>12</v>
      </c>
      <c r="I1261" s="63">
        <v>1</v>
      </c>
      <c r="J1261" s="63">
        <v>5</v>
      </c>
      <c r="K1261" s="63" t="s">
        <v>10</v>
      </c>
      <c r="L1261" s="63">
        <v>6.5765000000000002</v>
      </c>
      <c r="M1261" s="63">
        <v>34.962000000000003</v>
      </c>
      <c r="N1261" s="63">
        <v>12.385999999999999</v>
      </c>
      <c r="O1261" s="64">
        <v>34.433</v>
      </c>
    </row>
    <row r="1262" spans="1:15" x14ac:dyDescent="0.25">
      <c r="A1262" s="114" t="s">
        <v>1923</v>
      </c>
      <c r="B1262" s="63" t="s">
        <v>51</v>
      </c>
      <c r="C1262" s="63" t="s">
        <v>44</v>
      </c>
      <c r="D1262" s="63">
        <v>11</v>
      </c>
      <c r="E1262" s="63">
        <v>20.501000000000001</v>
      </c>
      <c r="F1262" s="63">
        <v>0.1</v>
      </c>
      <c r="G1262" s="63" t="s">
        <v>13</v>
      </c>
      <c r="H1262" s="63" t="s">
        <v>12</v>
      </c>
      <c r="I1262" s="63">
        <v>5</v>
      </c>
      <c r="J1262" s="63">
        <v>5.01</v>
      </c>
      <c r="K1262" s="63" t="s">
        <v>10</v>
      </c>
      <c r="L1262" s="63">
        <v>6.5765000000000002</v>
      </c>
      <c r="M1262" s="63">
        <v>34.962000000000003</v>
      </c>
      <c r="N1262" s="63">
        <v>12.385999999999999</v>
      </c>
      <c r="O1262" s="64">
        <v>34.433</v>
      </c>
    </row>
    <row r="1263" spans="1:15" x14ac:dyDescent="0.25">
      <c r="A1263" s="114" t="s">
        <v>1775</v>
      </c>
      <c r="B1263" s="63" t="s">
        <v>51</v>
      </c>
      <c r="C1263" s="63" t="s">
        <v>44</v>
      </c>
      <c r="D1263" s="63">
        <v>0</v>
      </c>
      <c r="E1263" s="63">
        <v>3.3000999999999999E-4</v>
      </c>
      <c r="F1263" s="63">
        <v>1</v>
      </c>
      <c r="G1263" s="63" t="s">
        <v>13</v>
      </c>
      <c r="H1263" s="63" t="s">
        <v>11</v>
      </c>
      <c r="I1263" s="63">
        <v>0.01</v>
      </c>
      <c r="J1263" s="63">
        <v>2.001E-2</v>
      </c>
      <c r="K1263" s="63" t="s">
        <v>10</v>
      </c>
      <c r="L1263" s="63">
        <v>580260</v>
      </c>
      <c r="M1263" s="63">
        <v>-8789600</v>
      </c>
      <c r="N1263" s="63">
        <v>580000</v>
      </c>
      <c r="O1263" s="64">
        <v>-8789600</v>
      </c>
    </row>
    <row r="1264" spans="1:15" x14ac:dyDescent="0.25">
      <c r="A1264" s="114" t="s">
        <v>2446</v>
      </c>
      <c r="B1264" s="63" t="s">
        <v>51</v>
      </c>
      <c r="C1264" s="63" t="s">
        <v>44</v>
      </c>
      <c r="D1264" s="63">
        <v>0</v>
      </c>
      <c r="E1264" s="63">
        <v>3.3000999999999999E-4</v>
      </c>
      <c r="F1264" s="63">
        <v>1</v>
      </c>
      <c r="G1264" s="63" t="s">
        <v>13</v>
      </c>
      <c r="H1264" s="63" t="s">
        <v>11</v>
      </c>
      <c r="I1264" s="63">
        <v>0.02</v>
      </c>
      <c r="J1264" s="63">
        <v>4.5010000000000001E-2</v>
      </c>
      <c r="K1264" s="63" t="s">
        <v>10</v>
      </c>
      <c r="L1264" s="63">
        <v>577360</v>
      </c>
      <c r="M1264" s="63">
        <v>6.8998000000000002E-3</v>
      </c>
      <c r="N1264" s="63">
        <v>577360</v>
      </c>
      <c r="O1264" s="64">
        <v>1.2794E-3</v>
      </c>
    </row>
    <row r="1265" spans="1:15" x14ac:dyDescent="0.25">
      <c r="A1265" s="114" t="s">
        <v>1779</v>
      </c>
      <c r="B1265" s="63" t="s">
        <v>51</v>
      </c>
      <c r="C1265" s="63" t="s">
        <v>44</v>
      </c>
      <c r="D1265" s="63">
        <v>0</v>
      </c>
      <c r="E1265" s="63">
        <v>3.3000999999999999E-4</v>
      </c>
      <c r="F1265" s="63">
        <v>1</v>
      </c>
      <c r="G1265" s="63" t="s">
        <v>13</v>
      </c>
      <c r="H1265" s="63" t="s">
        <v>11</v>
      </c>
      <c r="I1265" s="63">
        <v>4.4999999999999998E-2</v>
      </c>
      <c r="J1265" s="63">
        <v>1.0000100000000001</v>
      </c>
      <c r="K1265" s="63" t="s">
        <v>10</v>
      </c>
      <c r="L1265" s="63">
        <v>577360</v>
      </c>
      <c r="M1265" s="63">
        <v>6.5572E-3</v>
      </c>
      <c r="N1265" s="63">
        <v>577360</v>
      </c>
      <c r="O1265" s="64">
        <v>9.3674000000000003E-4</v>
      </c>
    </row>
    <row r="1266" spans="1:15" x14ac:dyDescent="0.25">
      <c r="A1266" s="114" t="s">
        <v>1776</v>
      </c>
      <c r="B1266" s="63" t="s">
        <v>51</v>
      </c>
      <c r="C1266" s="63" t="s">
        <v>44</v>
      </c>
      <c r="D1266" s="63">
        <v>0</v>
      </c>
      <c r="E1266" s="63">
        <v>3.3000999999999999E-4</v>
      </c>
      <c r="F1266" s="63">
        <v>1</v>
      </c>
      <c r="G1266" s="63" t="s">
        <v>13</v>
      </c>
      <c r="H1266" s="63" t="s">
        <v>11</v>
      </c>
      <c r="I1266" s="63">
        <v>1</v>
      </c>
      <c r="J1266" s="63">
        <v>5.01</v>
      </c>
      <c r="K1266" s="63" t="s">
        <v>10</v>
      </c>
      <c r="L1266" s="63">
        <v>577360</v>
      </c>
      <c r="M1266" s="63">
        <v>1.0390999999999999E-2</v>
      </c>
      <c r="N1266" s="63">
        <v>577360</v>
      </c>
      <c r="O1266" s="64">
        <v>4.7702999999999999E-3</v>
      </c>
    </row>
    <row r="1267" spans="1:15" x14ac:dyDescent="0.25">
      <c r="A1267" s="114" t="s">
        <v>1778</v>
      </c>
      <c r="B1267" s="63" t="s">
        <v>51</v>
      </c>
      <c r="C1267" s="63" t="s">
        <v>44</v>
      </c>
      <c r="D1267" s="63">
        <v>0</v>
      </c>
      <c r="E1267" s="63">
        <v>3.3000999999999999E-4</v>
      </c>
      <c r="F1267" s="63">
        <v>1</v>
      </c>
      <c r="G1267" s="63" t="s">
        <v>13</v>
      </c>
      <c r="H1267" s="63" t="s">
        <v>11</v>
      </c>
      <c r="I1267" s="63">
        <v>5</v>
      </c>
      <c r="J1267" s="63">
        <v>10.01</v>
      </c>
      <c r="K1267" s="63" t="s">
        <v>10</v>
      </c>
      <c r="L1267" s="63">
        <v>577360</v>
      </c>
      <c r="M1267" s="63">
        <v>4.2220000000000001E-2</v>
      </c>
      <c r="N1267" s="63">
        <v>577360</v>
      </c>
      <c r="O1267" s="64">
        <v>3.0225999999999999E-2</v>
      </c>
    </row>
    <row r="1268" spans="1:15" x14ac:dyDescent="0.25">
      <c r="A1268" s="114" t="s">
        <v>1774</v>
      </c>
      <c r="B1268" s="63" t="s">
        <v>51</v>
      </c>
      <c r="C1268" s="63" t="s">
        <v>44</v>
      </c>
      <c r="D1268" s="63">
        <v>0</v>
      </c>
      <c r="E1268" s="63">
        <v>3.3000999999999999E-4</v>
      </c>
      <c r="F1268" s="63">
        <v>1</v>
      </c>
      <c r="G1268" s="63" t="s">
        <v>13</v>
      </c>
      <c r="H1268" s="63" t="s">
        <v>11</v>
      </c>
      <c r="I1268" s="63">
        <v>10</v>
      </c>
      <c r="J1268" s="63">
        <v>30</v>
      </c>
      <c r="K1268" s="63" t="s">
        <v>10</v>
      </c>
      <c r="L1268" s="63">
        <v>577360</v>
      </c>
      <c r="M1268" s="63">
        <v>0.13289999999999999</v>
      </c>
      <c r="N1268" s="63">
        <v>577360</v>
      </c>
      <c r="O1268" s="64">
        <v>0.12089999999999999</v>
      </c>
    </row>
    <row r="1269" spans="1:15" x14ac:dyDescent="0.25">
      <c r="A1269" s="114" t="s">
        <v>1777</v>
      </c>
      <c r="B1269" s="63" t="s">
        <v>51</v>
      </c>
      <c r="C1269" s="63" t="s">
        <v>44</v>
      </c>
      <c r="D1269" s="63">
        <v>0</v>
      </c>
      <c r="E1269" s="63">
        <v>3.3000999999999999E-4</v>
      </c>
      <c r="F1269" s="63">
        <v>1</v>
      </c>
      <c r="G1269" s="63" t="s">
        <v>13</v>
      </c>
      <c r="H1269" s="63" t="s">
        <v>11</v>
      </c>
      <c r="I1269" s="63">
        <v>30</v>
      </c>
      <c r="J1269" s="63">
        <v>30.1</v>
      </c>
      <c r="K1269" s="63" t="s">
        <v>10</v>
      </c>
      <c r="L1269" s="63">
        <v>577360</v>
      </c>
      <c r="M1269" s="63">
        <v>0.13289999999999999</v>
      </c>
      <c r="N1269" s="63">
        <v>577360</v>
      </c>
      <c r="O1269" s="64">
        <v>0.12089999999999999</v>
      </c>
    </row>
    <row r="1270" spans="1:15" x14ac:dyDescent="0.25">
      <c r="A1270" s="114" t="s">
        <v>1907</v>
      </c>
      <c r="B1270" s="63" t="s">
        <v>51</v>
      </c>
      <c r="C1270" s="63" t="s">
        <v>44</v>
      </c>
      <c r="D1270" s="63">
        <v>3</v>
      </c>
      <c r="E1270" s="63">
        <v>11.000999999999999</v>
      </c>
      <c r="F1270" s="63">
        <v>1</v>
      </c>
      <c r="G1270" s="63" t="s">
        <v>13</v>
      </c>
      <c r="H1270" s="63" t="s">
        <v>12</v>
      </c>
      <c r="I1270" s="63">
        <v>4.4999999999999998E-2</v>
      </c>
      <c r="J1270" s="63">
        <v>0.10001</v>
      </c>
      <c r="K1270" s="63" t="s">
        <v>10</v>
      </c>
      <c r="L1270" s="63">
        <v>577.35</v>
      </c>
      <c r="M1270" s="63">
        <v>8.6937999999999998E-3</v>
      </c>
      <c r="N1270" s="63">
        <v>577.35</v>
      </c>
      <c r="O1270" s="64">
        <v>8.6087000000000004E-3</v>
      </c>
    </row>
    <row r="1271" spans="1:15" x14ac:dyDescent="0.25">
      <c r="A1271" s="114" t="s">
        <v>1909</v>
      </c>
      <c r="B1271" s="63" t="s">
        <v>51</v>
      </c>
      <c r="C1271" s="63" t="s">
        <v>44</v>
      </c>
      <c r="D1271" s="63">
        <v>3</v>
      </c>
      <c r="E1271" s="63">
        <v>11.000999999999999</v>
      </c>
      <c r="F1271" s="63">
        <v>1</v>
      </c>
      <c r="G1271" s="63" t="s">
        <v>13</v>
      </c>
      <c r="H1271" s="63" t="s">
        <v>12</v>
      </c>
      <c r="I1271" s="63">
        <v>0.1</v>
      </c>
      <c r="J1271" s="63">
        <v>1.0000100000000001</v>
      </c>
      <c r="K1271" s="63" t="s">
        <v>10</v>
      </c>
      <c r="L1271" s="63">
        <v>577.32000000000005</v>
      </c>
      <c r="M1271" s="63">
        <v>2.0884E-2</v>
      </c>
      <c r="N1271" s="63">
        <v>577.32000000000005</v>
      </c>
      <c r="O1271" s="64">
        <v>2.0799000000000002E-2</v>
      </c>
    </row>
    <row r="1272" spans="1:15" x14ac:dyDescent="0.25">
      <c r="A1272" s="114" t="s">
        <v>1910</v>
      </c>
      <c r="B1272" s="63" t="s">
        <v>51</v>
      </c>
      <c r="C1272" s="63" t="s">
        <v>44</v>
      </c>
      <c r="D1272" s="63">
        <v>3</v>
      </c>
      <c r="E1272" s="63">
        <v>11.000999999999999</v>
      </c>
      <c r="F1272" s="63">
        <v>1</v>
      </c>
      <c r="G1272" s="63" t="s">
        <v>13</v>
      </c>
      <c r="H1272" s="63" t="s">
        <v>12</v>
      </c>
      <c r="I1272" s="63">
        <v>1</v>
      </c>
      <c r="J1272" s="63">
        <v>5</v>
      </c>
      <c r="K1272" s="63" t="s">
        <v>10</v>
      </c>
      <c r="L1272" s="63">
        <v>547.30999999999995</v>
      </c>
      <c r="M1272" s="63">
        <v>13.25</v>
      </c>
      <c r="N1272" s="63">
        <v>547.29999999999995</v>
      </c>
      <c r="O1272" s="64">
        <v>13.249000000000001</v>
      </c>
    </row>
    <row r="1273" spans="1:15" x14ac:dyDescent="0.25">
      <c r="A1273" s="114" t="s">
        <v>1908</v>
      </c>
      <c r="B1273" s="63" t="s">
        <v>51</v>
      </c>
      <c r="C1273" s="63" t="s">
        <v>44</v>
      </c>
      <c r="D1273" s="63">
        <v>3</v>
      </c>
      <c r="E1273" s="63">
        <v>11.000999999999999</v>
      </c>
      <c r="F1273" s="63">
        <v>1</v>
      </c>
      <c r="G1273" s="63" t="s">
        <v>13</v>
      </c>
      <c r="H1273" s="63" t="s">
        <v>12</v>
      </c>
      <c r="I1273" s="63">
        <v>5</v>
      </c>
      <c r="J1273" s="63">
        <v>5.01</v>
      </c>
      <c r="K1273" s="63" t="s">
        <v>10</v>
      </c>
      <c r="L1273" s="63">
        <v>547.30999999999995</v>
      </c>
      <c r="M1273" s="63">
        <v>13.25</v>
      </c>
      <c r="N1273" s="63">
        <v>547.29999999999995</v>
      </c>
      <c r="O1273" s="64">
        <v>13.249000000000001</v>
      </c>
    </row>
    <row r="1274" spans="1:15" x14ac:dyDescent="0.25">
      <c r="A1274" s="114" t="s">
        <v>1926</v>
      </c>
      <c r="B1274" s="63" t="s">
        <v>51</v>
      </c>
      <c r="C1274" s="63" t="s">
        <v>44</v>
      </c>
      <c r="D1274" s="63">
        <v>11</v>
      </c>
      <c r="E1274" s="63">
        <v>20.501000000000001</v>
      </c>
      <c r="F1274" s="63">
        <v>1</v>
      </c>
      <c r="G1274" s="63" t="s">
        <v>13</v>
      </c>
      <c r="H1274" s="63" t="s">
        <v>12</v>
      </c>
      <c r="I1274" s="63">
        <v>4.4999999999999998E-2</v>
      </c>
      <c r="J1274" s="63">
        <v>0.10001</v>
      </c>
      <c r="K1274" s="63" t="s">
        <v>10</v>
      </c>
      <c r="L1274" s="63">
        <v>579.65</v>
      </c>
      <c r="M1274" s="63">
        <v>6.9317000000000004E-2</v>
      </c>
      <c r="N1274" s="63">
        <v>579.66</v>
      </c>
      <c r="O1274" s="64">
        <v>6.5887000000000001E-2</v>
      </c>
    </row>
    <row r="1275" spans="1:15" x14ac:dyDescent="0.25">
      <c r="A1275" s="114" t="s">
        <v>2447</v>
      </c>
      <c r="B1275" s="63" t="s">
        <v>51</v>
      </c>
      <c r="C1275" s="63" t="s">
        <v>44</v>
      </c>
      <c r="D1275" s="63">
        <v>11</v>
      </c>
      <c r="E1275" s="63">
        <v>20.501000000000001</v>
      </c>
      <c r="F1275" s="63">
        <v>1</v>
      </c>
      <c r="G1275" s="63" t="s">
        <v>13</v>
      </c>
      <c r="H1275" s="63" t="s">
        <v>12</v>
      </c>
      <c r="I1275" s="63">
        <v>0.1</v>
      </c>
      <c r="J1275" s="63">
        <v>1.0000100000000001</v>
      </c>
      <c r="K1275" s="63" t="s">
        <v>10</v>
      </c>
      <c r="L1275" s="63">
        <v>579.44000000000005</v>
      </c>
      <c r="M1275" s="63">
        <v>0.10199999999999999</v>
      </c>
      <c r="N1275" s="63">
        <v>579.45000000000005</v>
      </c>
      <c r="O1275" s="64">
        <v>9.8572000000000007E-2</v>
      </c>
    </row>
    <row r="1276" spans="1:15" x14ac:dyDescent="0.25">
      <c r="A1276" s="114" t="s">
        <v>1925</v>
      </c>
      <c r="B1276" s="63" t="s">
        <v>51</v>
      </c>
      <c r="C1276" s="63" t="s">
        <v>44</v>
      </c>
      <c r="D1276" s="63">
        <v>11</v>
      </c>
      <c r="E1276" s="63">
        <v>20.501000000000001</v>
      </c>
      <c r="F1276" s="63">
        <v>1</v>
      </c>
      <c r="G1276" s="63" t="s">
        <v>13</v>
      </c>
      <c r="H1276" s="63" t="s">
        <v>12</v>
      </c>
      <c r="I1276" s="63">
        <v>1</v>
      </c>
      <c r="J1276" s="63">
        <v>5</v>
      </c>
      <c r="K1276" s="63" t="s">
        <v>10</v>
      </c>
      <c r="L1276" s="63">
        <v>437.55</v>
      </c>
      <c r="M1276" s="63">
        <v>23.603000000000002</v>
      </c>
      <c r="N1276" s="63">
        <v>437.54</v>
      </c>
      <c r="O1276" s="64">
        <v>23.602</v>
      </c>
    </row>
    <row r="1277" spans="1:15" x14ac:dyDescent="0.25">
      <c r="A1277" s="114" t="s">
        <v>1927</v>
      </c>
      <c r="B1277" s="63" t="s">
        <v>51</v>
      </c>
      <c r="C1277" s="63" t="s">
        <v>44</v>
      </c>
      <c r="D1277" s="63">
        <v>11</v>
      </c>
      <c r="E1277" s="63">
        <v>20.501000000000001</v>
      </c>
      <c r="F1277" s="63">
        <v>1</v>
      </c>
      <c r="G1277" s="63" t="s">
        <v>13</v>
      </c>
      <c r="H1277" s="63" t="s">
        <v>12</v>
      </c>
      <c r="I1277" s="63">
        <v>5</v>
      </c>
      <c r="J1277" s="63">
        <v>5.01</v>
      </c>
      <c r="K1277" s="63" t="s">
        <v>10</v>
      </c>
      <c r="L1277" s="63">
        <v>437.55</v>
      </c>
      <c r="M1277" s="63">
        <v>23.603000000000002</v>
      </c>
      <c r="N1277" s="63">
        <v>437.54</v>
      </c>
      <c r="O1277" s="64">
        <v>23.602</v>
      </c>
    </row>
    <row r="1278" spans="1:15" x14ac:dyDescent="0.25">
      <c r="A1278" s="114" t="s">
        <v>2448</v>
      </c>
      <c r="B1278" s="63" t="s">
        <v>51</v>
      </c>
      <c r="C1278" s="63" t="s">
        <v>44</v>
      </c>
      <c r="D1278" s="63">
        <v>0</v>
      </c>
      <c r="E1278" s="63">
        <v>3.3000999999999999E-4</v>
      </c>
      <c r="F1278" s="63">
        <v>10</v>
      </c>
      <c r="G1278" s="63" t="s">
        <v>13</v>
      </c>
      <c r="H1278" s="63" t="s">
        <v>11</v>
      </c>
      <c r="I1278" s="63">
        <v>0.01</v>
      </c>
      <c r="J1278" s="63">
        <v>2.001E-2</v>
      </c>
      <c r="K1278" s="63" t="s">
        <v>10</v>
      </c>
      <c r="L1278" s="63">
        <v>5802600</v>
      </c>
      <c r="M1278" s="63">
        <v>-87896000</v>
      </c>
      <c r="N1278" s="63">
        <v>5800000</v>
      </c>
      <c r="O1278" s="64">
        <v>-87896000</v>
      </c>
    </row>
    <row r="1279" spans="1:15" x14ac:dyDescent="0.25">
      <c r="A1279" s="114" t="s">
        <v>1783</v>
      </c>
      <c r="B1279" s="63" t="s">
        <v>51</v>
      </c>
      <c r="C1279" s="63" t="s">
        <v>44</v>
      </c>
      <c r="D1279" s="63">
        <v>0</v>
      </c>
      <c r="E1279" s="63">
        <v>3.3000999999999999E-4</v>
      </c>
      <c r="F1279" s="63">
        <v>10</v>
      </c>
      <c r="G1279" s="63" t="s">
        <v>13</v>
      </c>
      <c r="H1279" s="63" t="s">
        <v>11</v>
      </c>
      <c r="I1279" s="63">
        <v>0.02</v>
      </c>
      <c r="J1279" s="63">
        <v>4.5010000000000001E-2</v>
      </c>
      <c r="K1279" s="63" t="s">
        <v>10</v>
      </c>
      <c r="L1279" s="63">
        <v>5773600</v>
      </c>
      <c r="M1279" s="63">
        <v>2.3793999999999998E-3</v>
      </c>
      <c r="N1279" s="63">
        <v>5773600</v>
      </c>
      <c r="O1279" s="64">
        <v>1.2994999999999999E-4</v>
      </c>
    </row>
    <row r="1280" spans="1:15" x14ac:dyDescent="0.25">
      <c r="A1280" s="114" t="s">
        <v>1780</v>
      </c>
      <c r="B1280" s="63" t="s">
        <v>51</v>
      </c>
      <c r="C1280" s="63" t="s">
        <v>44</v>
      </c>
      <c r="D1280" s="63">
        <v>0</v>
      </c>
      <c r="E1280" s="63">
        <v>3.3000999999999999E-4</v>
      </c>
      <c r="F1280" s="63">
        <v>10</v>
      </c>
      <c r="G1280" s="63" t="s">
        <v>13</v>
      </c>
      <c r="H1280" s="63" t="s">
        <v>11</v>
      </c>
      <c r="I1280" s="63">
        <v>4.4999999999999998E-2</v>
      </c>
      <c r="J1280" s="63">
        <v>1.0000100000000001</v>
      </c>
      <c r="K1280" s="63" t="s">
        <v>10</v>
      </c>
      <c r="L1280" s="63">
        <v>5773600</v>
      </c>
      <c r="M1280" s="63">
        <v>2.3422E-3</v>
      </c>
      <c r="N1280" s="63">
        <v>5773600</v>
      </c>
      <c r="O1280" s="64">
        <v>9.5916999999999997E-5</v>
      </c>
    </row>
    <row r="1281" spans="1:15" x14ac:dyDescent="0.25">
      <c r="A1281" s="114" t="s">
        <v>1781</v>
      </c>
      <c r="B1281" s="63" t="s">
        <v>51</v>
      </c>
      <c r="C1281" s="63" t="s">
        <v>44</v>
      </c>
      <c r="D1281" s="63">
        <v>0</v>
      </c>
      <c r="E1281" s="63">
        <v>3.3000999999999999E-4</v>
      </c>
      <c r="F1281" s="63">
        <v>10</v>
      </c>
      <c r="G1281" s="63" t="s">
        <v>13</v>
      </c>
      <c r="H1281" s="63" t="s">
        <v>11</v>
      </c>
      <c r="I1281" s="63">
        <v>1</v>
      </c>
      <c r="J1281" s="63">
        <v>5.01</v>
      </c>
      <c r="K1281" s="63" t="s">
        <v>10</v>
      </c>
      <c r="L1281" s="63">
        <v>5773600</v>
      </c>
      <c r="M1281" s="63">
        <v>2.7258999999999999E-3</v>
      </c>
      <c r="N1281" s="63">
        <v>5773600</v>
      </c>
      <c r="O1281" s="64">
        <v>4.7648999999999999E-4</v>
      </c>
    </row>
    <row r="1282" spans="1:15" x14ac:dyDescent="0.25">
      <c r="A1282" s="114" t="s">
        <v>2449</v>
      </c>
      <c r="B1282" s="63" t="s">
        <v>51</v>
      </c>
      <c r="C1282" s="63" t="s">
        <v>44</v>
      </c>
      <c r="D1282" s="63">
        <v>0</v>
      </c>
      <c r="E1282" s="63">
        <v>3.3000999999999999E-4</v>
      </c>
      <c r="F1282" s="63">
        <v>10</v>
      </c>
      <c r="G1282" s="63" t="s">
        <v>13</v>
      </c>
      <c r="H1282" s="63" t="s">
        <v>11</v>
      </c>
      <c r="I1282" s="63">
        <v>5</v>
      </c>
      <c r="J1282" s="63">
        <v>10.01</v>
      </c>
      <c r="K1282" s="63" t="s">
        <v>10</v>
      </c>
      <c r="L1282" s="63">
        <v>5773600</v>
      </c>
      <c r="M1282" s="63">
        <v>7.8188000000000007E-3</v>
      </c>
      <c r="N1282" s="63">
        <v>5773600</v>
      </c>
      <c r="O1282" s="64">
        <v>3.0228999999999998E-3</v>
      </c>
    </row>
    <row r="1283" spans="1:15" x14ac:dyDescent="0.25">
      <c r="A1283" s="114" t="s">
        <v>1782</v>
      </c>
      <c r="B1283" s="63" t="s">
        <v>51</v>
      </c>
      <c r="C1283" s="63" t="s">
        <v>44</v>
      </c>
      <c r="D1283" s="63">
        <v>0</v>
      </c>
      <c r="E1283" s="63">
        <v>3.3000999999999999E-4</v>
      </c>
      <c r="F1283" s="63">
        <v>10</v>
      </c>
      <c r="G1283" s="63" t="s">
        <v>13</v>
      </c>
      <c r="H1283" s="63" t="s">
        <v>11</v>
      </c>
      <c r="I1283" s="63">
        <v>10</v>
      </c>
      <c r="J1283" s="63">
        <v>30</v>
      </c>
      <c r="K1283" s="63" t="s">
        <v>10</v>
      </c>
      <c r="L1283" s="63">
        <v>5773600</v>
      </c>
      <c r="M1283" s="63">
        <v>1.6888E-2</v>
      </c>
      <c r="N1283" s="63">
        <v>5773600</v>
      </c>
      <c r="O1283" s="64">
        <v>1.2089000000000001E-2</v>
      </c>
    </row>
    <row r="1284" spans="1:15" x14ac:dyDescent="0.25">
      <c r="A1284" s="114" t="s">
        <v>2450</v>
      </c>
      <c r="B1284" s="63" t="s">
        <v>51</v>
      </c>
      <c r="C1284" s="63" t="s">
        <v>44</v>
      </c>
      <c r="D1284" s="63">
        <v>0</v>
      </c>
      <c r="E1284" s="63">
        <v>3.3000999999999999E-4</v>
      </c>
      <c r="F1284" s="63">
        <v>10</v>
      </c>
      <c r="G1284" s="63" t="s">
        <v>13</v>
      </c>
      <c r="H1284" s="63" t="s">
        <v>11</v>
      </c>
      <c r="I1284" s="63">
        <v>30</v>
      </c>
      <c r="J1284" s="63">
        <v>30.1</v>
      </c>
      <c r="K1284" s="63" t="s">
        <v>10</v>
      </c>
      <c r="L1284" s="63">
        <v>5773600</v>
      </c>
      <c r="M1284" s="63">
        <v>1.6888E-2</v>
      </c>
      <c r="N1284" s="63">
        <v>5773600</v>
      </c>
      <c r="O1284" s="64">
        <v>1.2089000000000001E-2</v>
      </c>
    </row>
    <row r="1285" spans="1:15" x14ac:dyDescent="0.25">
      <c r="A1285" s="114" t="s">
        <v>1659</v>
      </c>
      <c r="B1285" s="63" t="s">
        <v>51</v>
      </c>
      <c r="C1285" s="63" t="s">
        <v>58</v>
      </c>
      <c r="D1285" s="63">
        <v>1</v>
      </c>
      <c r="E1285" s="63">
        <v>11.000999999999999</v>
      </c>
      <c r="F1285" s="63">
        <v>1E-4</v>
      </c>
      <c r="G1285" s="63" t="s">
        <v>13</v>
      </c>
      <c r="H1285" s="63" t="s">
        <v>12</v>
      </c>
      <c r="I1285" s="63">
        <v>0.01</v>
      </c>
      <c r="J1285" s="63">
        <v>4.5010000000000001E-2</v>
      </c>
      <c r="K1285" s="63" t="s">
        <v>10</v>
      </c>
      <c r="L1285" s="63">
        <v>3.3</v>
      </c>
      <c r="M1285" s="63">
        <v>2.7</v>
      </c>
      <c r="N1285" s="63">
        <v>0.97318000000000005</v>
      </c>
      <c r="O1285" s="64">
        <v>2.8730000000000002</v>
      </c>
    </row>
    <row r="1286" spans="1:15" x14ac:dyDescent="0.25">
      <c r="A1286" s="114" t="s">
        <v>1663</v>
      </c>
      <c r="B1286" s="63" t="s">
        <v>51</v>
      </c>
      <c r="C1286" s="63" t="s">
        <v>58</v>
      </c>
      <c r="D1286" s="63">
        <v>1</v>
      </c>
      <c r="E1286" s="63">
        <v>11.000999999999999</v>
      </c>
      <c r="F1286" s="63">
        <v>1E-3</v>
      </c>
      <c r="G1286" s="63" t="s">
        <v>13</v>
      </c>
      <c r="H1286" s="63" t="s">
        <v>12</v>
      </c>
      <c r="I1286" s="63">
        <v>0.01</v>
      </c>
      <c r="J1286" s="63">
        <v>4.5010000000000001E-2</v>
      </c>
      <c r="K1286" s="63" t="s">
        <v>10</v>
      </c>
      <c r="L1286" s="63">
        <v>4.3265000000000002</v>
      </c>
      <c r="M1286" s="63">
        <v>2.6149</v>
      </c>
      <c r="N1286" s="63">
        <v>4.3204000000000002</v>
      </c>
      <c r="O1286" s="64">
        <v>2.6147999999999998</v>
      </c>
    </row>
    <row r="1287" spans="1:15" x14ac:dyDescent="0.25">
      <c r="A1287" s="114" t="s">
        <v>1661</v>
      </c>
      <c r="B1287" s="63" t="s">
        <v>51</v>
      </c>
      <c r="C1287" s="63" t="s">
        <v>58</v>
      </c>
      <c r="D1287" s="63">
        <v>1</v>
      </c>
      <c r="E1287" s="63">
        <v>11.000999999999999</v>
      </c>
      <c r="F1287" s="63">
        <v>1E-3</v>
      </c>
      <c r="G1287" s="63" t="s">
        <v>13</v>
      </c>
      <c r="H1287" s="63" t="s">
        <v>12</v>
      </c>
      <c r="I1287" s="63">
        <v>4.4999999999999998E-2</v>
      </c>
      <c r="J1287" s="63">
        <v>1.0000100000000001</v>
      </c>
      <c r="K1287" s="63" t="s">
        <v>10</v>
      </c>
      <c r="L1287" s="63">
        <v>0.66</v>
      </c>
      <c r="M1287" s="63">
        <v>2.1</v>
      </c>
      <c r="N1287" s="63">
        <v>0.65508</v>
      </c>
      <c r="O1287" s="64">
        <v>2.0543</v>
      </c>
    </row>
    <row r="1288" spans="1:15" x14ac:dyDescent="0.25">
      <c r="A1288" s="114" t="s">
        <v>1662</v>
      </c>
      <c r="B1288" s="63" t="s">
        <v>51</v>
      </c>
      <c r="C1288" s="63" t="s">
        <v>58</v>
      </c>
      <c r="D1288" s="63">
        <v>1</v>
      </c>
      <c r="E1288" s="63">
        <v>11.000999999999999</v>
      </c>
      <c r="F1288" s="63">
        <v>1E-3</v>
      </c>
      <c r="G1288" s="63" t="s">
        <v>13</v>
      </c>
      <c r="H1288" s="63" t="s">
        <v>12</v>
      </c>
      <c r="I1288" s="63">
        <v>1</v>
      </c>
      <c r="J1288" s="63">
        <v>5.01</v>
      </c>
      <c r="K1288" s="63" t="s">
        <v>10</v>
      </c>
      <c r="L1288" s="63">
        <v>12</v>
      </c>
      <c r="M1288" s="63">
        <v>7.2</v>
      </c>
      <c r="N1288" s="63">
        <v>11.404999999999999</v>
      </c>
      <c r="O1288" s="64">
        <v>7.1882000000000001</v>
      </c>
    </row>
    <row r="1289" spans="1:15" x14ac:dyDescent="0.25">
      <c r="A1289" s="114" t="s">
        <v>1660</v>
      </c>
      <c r="B1289" s="63" t="s">
        <v>51</v>
      </c>
      <c r="C1289" s="63" t="s">
        <v>58</v>
      </c>
      <c r="D1289" s="63">
        <v>1</v>
      </c>
      <c r="E1289" s="63">
        <v>11.000999999999999</v>
      </c>
      <c r="F1289" s="63">
        <v>1E-3</v>
      </c>
      <c r="G1289" s="63" t="s">
        <v>13</v>
      </c>
      <c r="H1289" s="63" t="s">
        <v>12</v>
      </c>
      <c r="I1289" s="63">
        <v>5</v>
      </c>
      <c r="J1289" s="63">
        <v>10</v>
      </c>
      <c r="K1289" s="63" t="s">
        <v>10</v>
      </c>
      <c r="L1289" s="63">
        <v>58</v>
      </c>
      <c r="M1289" s="63">
        <v>29</v>
      </c>
      <c r="N1289" s="63">
        <v>57.703000000000003</v>
      </c>
      <c r="O1289" s="64">
        <v>28.928999999999998</v>
      </c>
    </row>
    <row r="1290" spans="1:15" x14ac:dyDescent="0.25">
      <c r="A1290" s="114" t="s">
        <v>1664</v>
      </c>
      <c r="B1290" s="63" t="s">
        <v>51</v>
      </c>
      <c r="C1290" s="63" t="s">
        <v>58</v>
      </c>
      <c r="D1290" s="63">
        <v>1</v>
      </c>
      <c r="E1290" s="63">
        <v>11.000999999999999</v>
      </c>
      <c r="F1290" s="63">
        <v>1E-3</v>
      </c>
      <c r="G1290" s="63" t="s">
        <v>13</v>
      </c>
      <c r="H1290" s="63" t="s">
        <v>12</v>
      </c>
      <c r="I1290" s="63">
        <v>10</v>
      </c>
      <c r="J1290" s="63">
        <v>10.01</v>
      </c>
      <c r="K1290" s="63" t="s">
        <v>10</v>
      </c>
      <c r="L1290" s="63">
        <v>58</v>
      </c>
      <c r="M1290" s="63">
        <v>29</v>
      </c>
      <c r="N1290" s="63">
        <v>57.703000000000003</v>
      </c>
      <c r="O1290" s="64">
        <v>28.928999999999998</v>
      </c>
    </row>
    <row r="1291" spans="1:15" x14ac:dyDescent="0.25">
      <c r="A1291" s="114" t="s">
        <v>2451</v>
      </c>
      <c r="B1291" s="63" t="s">
        <v>51</v>
      </c>
      <c r="C1291" s="63" t="s">
        <v>58</v>
      </c>
      <c r="D1291" s="63">
        <v>11</v>
      </c>
      <c r="E1291" s="63">
        <v>30.001000000000001</v>
      </c>
      <c r="F1291" s="63">
        <v>1E-3</v>
      </c>
      <c r="G1291" s="63" t="s">
        <v>13</v>
      </c>
      <c r="H1291" s="63" t="s">
        <v>12</v>
      </c>
      <c r="I1291" s="63">
        <v>0.01</v>
      </c>
      <c r="J1291" s="63">
        <v>4.5010000000000001E-2</v>
      </c>
      <c r="K1291" s="63" t="s">
        <v>10</v>
      </c>
      <c r="L1291" s="63">
        <v>0.87</v>
      </c>
      <c r="M1291" s="63">
        <v>2.9</v>
      </c>
      <c r="N1291" s="63">
        <v>0.85389000000000004</v>
      </c>
      <c r="O1291" s="64">
        <v>2.8839000000000001</v>
      </c>
    </row>
    <row r="1292" spans="1:15" x14ac:dyDescent="0.25">
      <c r="A1292" s="114" t="s">
        <v>1684</v>
      </c>
      <c r="B1292" s="63" t="s">
        <v>51</v>
      </c>
      <c r="C1292" s="63" t="s">
        <v>58</v>
      </c>
      <c r="D1292" s="63">
        <v>11</v>
      </c>
      <c r="E1292" s="63">
        <v>30.001000000000001</v>
      </c>
      <c r="F1292" s="63">
        <v>1E-3</v>
      </c>
      <c r="G1292" s="63" t="s">
        <v>13</v>
      </c>
      <c r="H1292" s="63" t="s">
        <v>12</v>
      </c>
      <c r="I1292" s="63">
        <v>4.4999999999999998E-2</v>
      </c>
      <c r="J1292" s="63">
        <v>1.0000100000000001</v>
      </c>
      <c r="K1292" s="63" t="s">
        <v>10</v>
      </c>
      <c r="L1292" s="63">
        <v>0.9</v>
      </c>
      <c r="M1292" s="63">
        <v>2.1</v>
      </c>
      <c r="N1292" s="63">
        <v>0.42297000000000001</v>
      </c>
      <c r="O1292" s="64">
        <v>2.1154999999999999</v>
      </c>
    </row>
    <row r="1293" spans="1:15" x14ac:dyDescent="0.25">
      <c r="A1293" s="114" t="s">
        <v>1681</v>
      </c>
      <c r="B1293" s="63" t="s">
        <v>51</v>
      </c>
      <c r="C1293" s="63" t="s">
        <v>58</v>
      </c>
      <c r="D1293" s="63">
        <v>11</v>
      </c>
      <c r="E1293" s="63">
        <v>30.001000000000001</v>
      </c>
      <c r="F1293" s="63">
        <v>1E-3</v>
      </c>
      <c r="G1293" s="63" t="s">
        <v>13</v>
      </c>
      <c r="H1293" s="63" t="s">
        <v>12</v>
      </c>
      <c r="I1293" s="63">
        <v>1</v>
      </c>
      <c r="J1293" s="63">
        <v>5.01</v>
      </c>
      <c r="K1293" s="63" t="s">
        <v>10</v>
      </c>
      <c r="L1293" s="63">
        <v>12</v>
      </c>
      <c r="M1293" s="63">
        <v>7.2</v>
      </c>
      <c r="N1293" s="63">
        <v>11.173999999999999</v>
      </c>
      <c r="O1293" s="64">
        <v>7.2092000000000001</v>
      </c>
    </row>
    <row r="1294" spans="1:15" x14ac:dyDescent="0.25">
      <c r="A1294" s="114" t="s">
        <v>1683</v>
      </c>
      <c r="B1294" s="63" t="s">
        <v>51</v>
      </c>
      <c r="C1294" s="63" t="s">
        <v>58</v>
      </c>
      <c r="D1294" s="63">
        <v>11</v>
      </c>
      <c r="E1294" s="63">
        <v>30.001000000000001</v>
      </c>
      <c r="F1294" s="63">
        <v>1E-3</v>
      </c>
      <c r="G1294" s="63" t="s">
        <v>13</v>
      </c>
      <c r="H1294" s="63" t="s">
        <v>12</v>
      </c>
      <c r="I1294" s="63">
        <v>5</v>
      </c>
      <c r="J1294" s="63">
        <v>10</v>
      </c>
      <c r="K1294" s="63" t="s">
        <v>10</v>
      </c>
      <c r="L1294" s="63">
        <v>58</v>
      </c>
      <c r="M1294" s="63">
        <v>29</v>
      </c>
      <c r="N1294" s="63">
        <v>57.627000000000002</v>
      </c>
      <c r="O1294" s="64">
        <v>28.936</v>
      </c>
    </row>
    <row r="1295" spans="1:15" x14ac:dyDescent="0.25">
      <c r="A1295" s="114" t="s">
        <v>1682</v>
      </c>
      <c r="B1295" s="63" t="s">
        <v>51</v>
      </c>
      <c r="C1295" s="63" t="s">
        <v>58</v>
      </c>
      <c r="D1295" s="63">
        <v>11</v>
      </c>
      <c r="E1295" s="63">
        <v>30.001000000000001</v>
      </c>
      <c r="F1295" s="63">
        <v>1E-3</v>
      </c>
      <c r="G1295" s="63" t="s">
        <v>13</v>
      </c>
      <c r="H1295" s="63" t="s">
        <v>12</v>
      </c>
      <c r="I1295" s="63">
        <v>10</v>
      </c>
      <c r="J1295" s="63">
        <v>10.01</v>
      </c>
      <c r="K1295" s="63" t="s">
        <v>10</v>
      </c>
      <c r="L1295" s="63">
        <v>58</v>
      </c>
      <c r="M1295" s="63">
        <v>29</v>
      </c>
      <c r="N1295" s="63">
        <v>57.627000000000002</v>
      </c>
      <c r="O1295" s="64">
        <v>28.936</v>
      </c>
    </row>
    <row r="1296" spans="1:15" x14ac:dyDescent="0.25">
      <c r="A1296" s="114" t="s">
        <v>2452</v>
      </c>
      <c r="B1296" s="63" t="s">
        <v>51</v>
      </c>
      <c r="C1296" s="63" t="s">
        <v>58</v>
      </c>
      <c r="D1296" s="63">
        <v>1</v>
      </c>
      <c r="E1296" s="63">
        <v>11.000999999999999</v>
      </c>
      <c r="F1296" s="63">
        <v>0.01</v>
      </c>
      <c r="G1296" s="63" t="s">
        <v>13</v>
      </c>
      <c r="H1296" s="63" t="s">
        <v>12</v>
      </c>
      <c r="I1296" s="63">
        <v>0.01</v>
      </c>
      <c r="J1296" s="63">
        <v>4.5010000000000001E-2</v>
      </c>
      <c r="K1296" s="63" t="s">
        <v>10</v>
      </c>
      <c r="L1296" s="63">
        <v>57.286999999999999</v>
      </c>
      <c r="M1296" s="63">
        <v>0.84058999999999995</v>
      </c>
      <c r="N1296" s="63">
        <v>57.284999999999997</v>
      </c>
      <c r="O1296" s="64">
        <v>0.83952000000000004</v>
      </c>
    </row>
    <row r="1297" spans="1:15" x14ac:dyDescent="0.25">
      <c r="A1297" s="114" t="s">
        <v>1666</v>
      </c>
      <c r="B1297" s="63" t="s">
        <v>51</v>
      </c>
      <c r="C1297" s="63" t="s">
        <v>58</v>
      </c>
      <c r="D1297" s="63">
        <v>1</v>
      </c>
      <c r="E1297" s="63">
        <v>11.000999999999999</v>
      </c>
      <c r="F1297" s="63">
        <v>0.01</v>
      </c>
      <c r="G1297" s="63" t="s">
        <v>13</v>
      </c>
      <c r="H1297" s="63" t="s">
        <v>12</v>
      </c>
      <c r="I1297" s="63">
        <v>4.4999999999999998E-2</v>
      </c>
      <c r="J1297" s="63">
        <v>1.0000100000000001</v>
      </c>
      <c r="K1297" s="63" t="s">
        <v>10</v>
      </c>
      <c r="L1297" s="63">
        <v>4.6182999999999996</v>
      </c>
      <c r="M1297" s="63">
        <v>1.7586999999999999</v>
      </c>
      <c r="N1297" s="63">
        <v>4.6169000000000002</v>
      </c>
      <c r="O1297" s="64">
        <v>1.7583</v>
      </c>
    </row>
    <row r="1298" spans="1:15" x14ac:dyDescent="0.25">
      <c r="A1298" s="114" t="s">
        <v>1665</v>
      </c>
      <c r="B1298" s="63" t="s">
        <v>51</v>
      </c>
      <c r="C1298" s="63" t="s">
        <v>58</v>
      </c>
      <c r="D1298" s="63">
        <v>1</v>
      </c>
      <c r="E1298" s="63">
        <v>11.000999999999999</v>
      </c>
      <c r="F1298" s="63">
        <v>0.01</v>
      </c>
      <c r="G1298" s="63" t="s">
        <v>13</v>
      </c>
      <c r="H1298" s="63" t="s">
        <v>12</v>
      </c>
      <c r="I1298" s="63">
        <v>1</v>
      </c>
      <c r="J1298" s="63">
        <v>5.01</v>
      </c>
      <c r="K1298" s="63" t="s">
        <v>10</v>
      </c>
      <c r="L1298" s="63">
        <v>12.361000000000001</v>
      </c>
      <c r="M1298" s="63">
        <v>7.1186999999999996</v>
      </c>
      <c r="N1298" s="63">
        <v>12.349</v>
      </c>
      <c r="O1298" s="64">
        <v>7.1191000000000004</v>
      </c>
    </row>
    <row r="1299" spans="1:15" x14ac:dyDescent="0.25">
      <c r="A1299" s="114" t="s">
        <v>1667</v>
      </c>
      <c r="B1299" s="63" t="s">
        <v>51</v>
      </c>
      <c r="C1299" s="63" t="s">
        <v>58</v>
      </c>
      <c r="D1299" s="63">
        <v>1</v>
      </c>
      <c r="E1299" s="63">
        <v>11.000999999999999</v>
      </c>
      <c r="F1299" s="63">
        <v>0.01</v>
      </c>
      <c r="G1299" s="63" t="s">
        <v>13</v>
      </c>
      <c r="H1299" s="63" t="s">
        <v>12</v>
      </c>
      <c r="I1299" s="63">
        <v>5</v>
      </c>
      <c r="J1299" s="63">
        <v>10</v>
      </c>
      <c r="K1299" s="63" t="s">
        <v>10</v>
      </c>
      <c r="L1299" s="63">
        <v>58</v>
      </c>
      <c r="M1299" s="63">
        <v>28.914000000000001</v>
      </c>
      <c r="N1299" s="63">
        <v>57.905000000000001</v>
      </c>
      <c r="O1299" s="64">
        <v>28.914999999999999</v>
      </c>
    </row>
    <row r="1300" spans="1:15" x14ac:dyDescent="0.25">
      <c r="A1300" s="114" t="s">
        <v>2453</v>
      </c>
      <c r="B1300" s="63" t="s">
        <v>51</v>
      </c>
      <c r="C1300" s="63" t="s">
        <v>58</v>
      </c>
      <c r="D1300" s="63">
        <v>1</v>
      </c>
      <c r="E1300" s="63">
        <v>11.000999999999999</v>
      </c>
      <c r="F1300" s="63">
        <v>0.01</v>
      </c>
      <c r="G1300" s="63" t="s">
        <v>13</v>
      </c>
      <c r="H1300" s="63" t="s">
        <v>12</v>
      </c>
      <c r="I1300" s="63">
        <v>10</v>
      </c>
      <c r="J1300" s="63">
        <v>10.01</v>
      </c>
      <c r="K1300" s="63" t="s">
        <v>10</v>
      </c>
      <c r="L1300" s="63">
        <v>58</v>
      </c>
      <c r="M1300" s="63">
        <v>28.914000000000001</v>
      </c>
      <c r="N1300" s="63">
        <v>57.905000000000001</v>
      </c>
      <c r="O1300" s="64">
        <v>28.914999999999999</v>
      </c>
    </row>
    <row r="1301" spans="1:15" x14ac:dyDescent="0.25">
      <c r="A1301" s="114" t="s">
        <v>1689</v>
      </c>
      <c r="B1301" s="63" t="s">
        <v>51</v>
      </c>
      <c r="C1301" s="63" t="s">
        <v>58</v>
      </c>
      <c r="D1301" s="63">
        <v>11</v>
      </c>
      <c r="E1301" s="63">
        <v>30.001000000000001</v>
      </c>
      <c r="F1301" s="63">
        <v>0.01</v>
      </c>
      <c r="G1301" s="63" t="s">
        <v>13</v>
      </c>
      <c r="H1301" s="63" t="s">
        <v>12</v>
      </c>
      <c r="I1301" s="63">
        <v>0.01</v>
      </c>
      <c r="J1301" s="63">
        <v>4.5010000000000001E-2</v>
      </c>
      <c r="K1301" s="63" t="s">
        <v>10</v>
      </c>
      <c r="L1301" s="63">
        <v>1.4280999999999999</v>
      </c>
      <c r="M1301" s="63">
        <v>2.8814000000000002</v>
      </c>
      <c r="N1301" s="63">
        <v>1.5428999999999999</v>
      </c>
      <c r="O1301" s="64">
        <v>2.8673000000000002</v>
      </c>
    </row>
    <row r="1302" spans="1:15" x14ac:dyDescent="0.25">
      <c r="A1302" s="114" t="s">
        <v>1688</v>
      </c>
      <c r="B1302" s="63" t="s">
        <v>51</v>
      </c>
      <c r="C1302" s="63" t="s">
        <v>58</v>
      </c>
      <c r="D1302" s="63">
        <v>11</v>
      </c>
      <c r="E1302" s="63">
        <v>30.001000000000001</v>
      </c>
      <c r="F1302" s="63">
        <v>0.01</v>
      </c>
      <c r="G1302" s="63" t="s">
        <v>13</v>
      </c>
      <c r="H1302" s="63" t="s">
        <v>12</v>
      </c>
      <c r="I1302" s="63">
        <v>4.4999999999999998E-2</v>
      </c>
      <c r="J1302" s="63">
        <v>1.0000100000000001</v>
      </c>
      <c r="K1302" s="63" t="s">
        <v>10</v>
      </c>
      <c r="L1302" s="63">
        <v>1.3908</v>
      </c>
      <c r="M1302" s="63">
        <v>2.0926999999999998</v>
      </c>
      <c r="N1302" s="63">
        <v>1.3648</v>
      </c>
      <c r="O1302" s="64">
        <v>2.0928</v>
      </c>
    </row>
    <row r="1303" spans="1:15" x14ac:dyDescent="0.25">
      <c r="A1303" s="114" t="s">
        <v>1687</v>
      </c>
      <c r="B1303" s="63" t="s">
        <v>51</v>
      </c>
      <c r="C1303" s="63" t="s">
        <v>58</v>
      </c>
      <c r="D1303" s="63">
        <v>11</v>
      </c>
      <c r="E1303" s="63">
        <v>30.001000000000001</v>
      </c>
      <c r="F1303" s="63">
        <v>0.01</v>
      </c>
      <c r="G1303" s="63" t="s">
        <v>13</v>
      </c>
      <c r="H1303" s="63" t="s">
        <v>12</v>
      </c>
      <c r="I1303" s="63">
        <v>1</v>
      </c>
      <c r="J1303" s="63">
        <v>5.01</v>
      </c>
      <c r="K1303" s="63" t="s">
        <v>10</v>
      </c>
      <c r="L1303" s="63">
        <v>12</v>
      </c>
      <c r="M1303" s="63">
        <v>7.2</v>
      </c>
      <c r="N1303" s="63">
        <v>11.422000000000001</v>
      </c>
      <c r="O1303" s="64">
        <v>7.2034000000000002</v>
      </c>
    </row>
    <row r="1304" spans="1:15" x14ac:dyDescent="0.25">
      <c r="A1304" s="114" t="s">
        <v>1686</v>
      </c>
      <c r="B1304" s="63" t="s">
        <v>51</v>
      </c>
      <c r="C1304" s="63" t="s">
        <v>58</v>
      </c>
      <c r="D1304" s="63">
        <v>11</v>
      </c>
      <c r="E1304" s="63">
        <v>30.001000000000001</v>
      </c>
      <c r="F1304" s="63">
        <v>0.01</v>
      </c>
      <c r="G1304" s="63" t="s">
        <v>13</v>
      </c>
      <c r="H1304" s="63" t="s">
        <v>12</v>
      </c>
      <c r="I1304" s="63">
        <v>5</v>
      </c>
      <c r="J1304" s="63">
        <v>10</v>
      </c>
      <c r="K1304" s="63" t="s">
        <v>10</v>
      </c>
      <c r="L1304" s="63">
        <v>58</v>
      </c>
      <c r="M1304" s="63">
        <v>29</v>
      </c>
      <c r="N1304" s="63">
        <v>57.682000000000002</v>
      </c>
      <c r="O1304" s="64">
        <v>28.934999999999999</v>
      </c>
    </row>
    <row r="1305" spans="1:15" x14ac:dyDescent="0.25">
      <c r="A1305" s="114" t="s">
        <v>1685</v>
      </c>
      <c r="B1305" s="63" t="s">
        <v>51</v>
      </c>
      <c r="C1305" s="63" t="s">
        <v>58</v>
      </c>
      <c r="D1305" s="63">
        <v>11</v>
      </c>
      <c r="E1305" s="63">
        <v>30.001000000000001</v>
      </c>
      <c r="F1305" s="63">
        <v>0.01</v>
      </c>
      <c r="G1305" s="63" t="s">
        <v>13</v>
      </c>
      <c r="H1305" s="63" t="s">
        <v>12</v>
      </c>
      <c r="I1305" s="63">
        <v>10</v>
      </c>
      <c r="J1305" s="63">
        <v>10.01</v>
      </c>
      <c r="K1305" s="63" t="s">
        <v>10</v>
      </c>
      <c r="L1305" s="63">
        <v>58</v>
      </c>
      <c r="M1305" s="63">
        <v>29</v>
      </c>
      <c r="N1305" s="63">
        <v>57.682000000000002</v>
      </c>
      <c r="O1305" s="64">
        <v>28.934999999999999</v>
      </c>
    </row>
    <row r="1306" spans="1:15" x14ac:dyDescent="0.25">
      <c r="A1306" s="114" t="s">
        <v>1701</v>
      </c>
      <c r="B1306" s="63" t="s">
        <v>51</v>
      </c>
      <c r="C1306" s="63" t="s">
        <v>58</v>
      </c>
      <c r="D1306" s="63">
        <v>30</v>
      </c>
      <c r="E1306" s="63">
        <v>110.01</v>
      </c>
      <c r="F1306" s="63">
        <v>0.01</v>
      </c>
      <c r="G1306" s="63" t="s">
        <v>13</v>
      </c>
      <c r="H1306" s="63" t="s">
        <v>12</v>
      </c>
      <c r="I1306" s="63">
        <v>4.4999999999999998E-2</v>
      </c>
      <c r="J1306" s="63">
        <v>0.10001</v>
      </c>
      <c r="K1306" s="63" t="s">
        <v>10</v>
      </c>
      <c r="L1306" s="63">
        <v>12</v>
      </c>
      <c r="M1306" s="63">
        <v>2.1</v>
      </c>
      <c r="N1306" s="63">
        <v>11.984</v>
      </c>
      <c r="O1306" s="64">
        <v>2.0859999999999999</v>
      </c>
    </row>
    <row r="1307" spans="1:15" x14ac:dyDescent="0.25">
      <c r="A1307" s="114" t="s">
        <v>1702</v>
      </c>
      <c r="B1307" s="63" t="s">
        <v>51</v>
      </c>
      <c r="C1307" s="63" t="s">
        <v>58</v>
      </c>
      <c r="D1307" s="63">
        <v>30</v>
      </c>
      <c r="E1307" s="63">
        <v>110.01</v>
      </c>
      <c r="F1307" s="63">
        <v>0.01</v>
      </c>
      <c r="G1307" s="63" t="s">
        <v>13</v>
      </c>
      <c r="H1307" s="63" t="s">
        <v>12</v>
      </c>
      <c r="I1307" s="63">
        <v>0.1</v>
      </c>
      <c r="J1307" s="63">
        <v>1.0000100000000001</v>
      </c>
      <c r="K1307" s="63" t="s">
        <v>10</v>
      </c>
      <c r="L1307" s="63">
        <v>15</v>
      </c>
      <c r="M1307" s="63">
        <v>2.2999999999999998</v>
      </c>
      <c r="N1307" s="63">
        <v>14.872</v>
      </c>
      <c r="O1307" s="64">
        <v>2.2866</v>
      </c>
    </row>
    <row r="1308" spans="1:15" x14ac:dyDescent="0.25">
      <c r="A1308" s="114" t="s">
        <v>1700</v>
      </c>
      <c r="B1308" s="63" t="s">
        <v>51</v>
      </c>
      <c r="C1308" s="63" t="s">
        <v>58</v>
      </c>
      <c r="D1308" s="63">
        <v>30</v>
      </c>
      <c r="E1308" s="63">
        <v>110.01</v>
      </c>
      <c r="F1308" s="63">
        <v>0.01</v>
      </c>
      <c r="G1308" s="63" t="s">
        <v>13</v>
      </c>
      <c r="H1308" s="63" t="s">
        <v>12</v>
      </c>
      <c r="I1308" s="63">
        <v>1</v>
      </c>
      <c r="J1308" s="63">
        <v>5</v>
      </c>
      <c r="K1308" s="63" t="s">
        <v>10</v>
      </c>
      <c r="L1308" s="63">
        <v>24</v>
      </c>
      <c r="M1308" s="63">
        <v>35</v>
      </c>
      <c r="N1308" s="63">
        <v>23.064</v>
      </c>
      <c r="O1308" s="64">
        <v>34.698999999999998</v>
      </c>
    </row>
    <row r="1309" spans="1:15" x14ac:dyDescent="0.25">
      <c r="A1309" s="114" t="s">
        <v>1703</v>
      </c>
      <c r="B1309" s="63" t="s">
        <v>51</v>
      </c>
      <c r="C1309" s="63" t="s">
        <v>58</v>
      </c>
      <c r="D1309" s="63">
        <v>30</v>
      </c>
      <c r="E1309" s="63">
        <v>110.01</v>
      </c>
      <c r="F1309" s="63">
        <v>0.01</v>
      </c>
      <c r="G1309" s="63" t="s">
        <v>13</v>
      </c>
      <c r="H1309" s="63" t="s">
        <v>12</v>
      </c>
      <c r="I1309" s="63">
        <v>5</v>
      </c>
      <c r="J1309" s="63">
        <v>5.01</v>
      </c>
      <c r="K1309" s="63" t="s">
        <v>10</v>
      </c>
      <c r="L1309" s="63">
        <v>24</v>
      </c>
      <c r="M1309" s="63">
        <v>35</v>
      </c>
      <c r="N1309" s="63">
        <v>23.064</v>
      </c>
      <c r="O1309" s="64">
        <v>34.698999999999998</v>
      </c>
    </row>
    <row r="1310" spans="1:15" x14ac:dyDescent="0.25">
      <c r="A1310" s="114" t="s">
        <v>1718</v>
      </c>
      <c r="B1310" s="63" t="s">
        <v>51</v>
      </c>
      <c r="C1310" s="63" t="s">
        <v>58</v>
      </c>
      <c r="D1310" s="63">
        <v>110</v>
      </c>
      <c r="E1310" s="63">
        <v>205.01</v>
      </c>
      <c r="F1310" s="63">
        <v>0.01</v>
      </c>
      <c r="G1310" s="63" t="s">
        <v>13</v>
      </c>
      <c r="H1310" s="63" t="s">
        <v>12</v>
      </c>
      <c r="I1310" s="63">
        <v>4.4999999999999998E-2</v>
      </c>
      <c r="J1310" s="63">
        <v>0.10001</v>
      </c>
      <c r="K1310" s="63" t="s">
        <v>10</v>
      </c>
      <c r="L1310" s="63">
        <v>42</v>
      </c>
      <c r="M1310" s="63">
        <v>2.4</v>
      </c>
      <c r="N1310" s="63">
        <v>38.552999999999997</v>
      </c>
      <c r="O1310" s="64">
        <v>2.4159000000000002</v>
      </c>
    </row>
    <row r="1311" spans="1:15" x14ac:dyDescent="0.25">
      <c r="A1311" s="114" t="s">
        <v>2454</v>
      </c>
      <c r="B1311" s="63" t="s">
        <v>51</v>
      </c>
      <c r="C1311" s="63" t="s">
        <v>58</v>
      </c>
      <c r="D1311" s="63">
        <v>110</v>
      </c>
      <c r="E1311" s="63">
        <v>205.01</v>
      </c>
      <c r="F1311" s="63">
        <v>0.01</v>
      </c>
      <c r="G1311" s="63" t="s">
        <v>13</v>
      </c>
      <c r="H1311" s="63" t="s">
        <v>12</v>
      </c>
      <c r="I1311" s="63">
        <v>0.1</v>
      </c>
      <c r="J1311" s="63">
        <v>1.0000100000000001</v>
      </c>
      <c r="K1311" s="63" t="s">
        <v>10</v>
      </c>
      <c r="L1311" s="63">
        <v>49</v>
      </c>
      <c r="M1311" s="63">
        <v>2.6</v>
      </c>
      <c r="N1311" s="63">
        <v>42.201999999999998</v>
      </c>
      <c r="O1311" s="64">
        <v>2.6324000000000001</v>
      </c>
    </row>
    <row r="1312" spans="1:15" x14ac:dyDescent="0.25">
      <c r="A1312" s="114" t="s">
        <v>2455</v>
      </c>
      <c r="B1312" s="63" t="s">
        <v>51</v>
      </c>
      <c r="C1312" s="63" t="s">
        <v>58</v>
      </c>
      <c r="D1312" s="63">
        <v>110</v>
      </c>
      <c r="E1312" s="63">
        <v>205.01</v>
      </c>
      <c r="F1312" s="63">
        <v>0.01</v>
      </c>
      <c r="G1312" s="63" t="s">
        <v>13</v>
      </c>
      <c r="H1312" s="63" t="s">
        <v>12</v>
      </c>
      <c r="I1312" s="63">
        <v>1</v>
      </c>
      <c r="J1312" s="63">
        <v>5</v>
      </c>
      <c r="K1312" s="63" t="s">
        <v>10</v>
      </c>
      <c r="L1312" s="63">
        <v>58</v>
      </c>
      <c r="M1312" s="63">
        <v>35</v>
      </c>
      <c r="N1312" s="63">
        <v>57.612000000000002</v>
      </c>
      <c r="O1312" s="64">
        <v>34.698999999999998</v>
      </c>
    </row>
    <row r="1313" spans="1:15" x14ac:dyDescent="0.25">
      <c r="A1313" s="114" t="s">
        <v>1717</v>
      </c>
      <c r="B1313" s="63" t="s">
        <v>51</v>
      </c>
      <c r="C1313" s="63" t="s">
        <v>58</v>
      </c>
      <c r="D1313" s="63">
        <v>110</v>
      </c>
      <c r="E1313" s="63">
        <v>205.01</v>
      </c>
      <c r="F1313" s="63">
        <v>0.01</v>
      </c>
      <c r="G1313" s="63" t="s">
        <v>13</v>
      </c>
      <c r="H1313" s="63" t="s">
        <v>12</v>
      </c>
      <c r="I1313" s="63">
        <v>5</v>
      </c>
      <c r="J1313" s="63">
        <v>5.01</v>
      </c>
      <c r="K1313" s="63" t="s">
        <v>10</v>
      </c>
      <c r="L1313" s="63">
        <v>58</v>
      </c>
      <c r="M1313" s="63">
        <v>35</v>
      </c>
      <c r="N1313" s="63">
        <v>57.612000000000002</v>
      </c>
      <c r="O1313" s="64">
        <v>34.698999999999998</v>
      </c>
    </row>
    <row r="1314" spans="1:15" x14ac:dyDescent="0.25">
      <c r="A1314" s="114" t="s">
        <v>1670</v>
      </c>
      <c r="B1314" s="63" t="s">
        <v>51</v>
      </c>
      <c r="C1314" s="63" t="s">
        <v>58</v>
      </c>
      <c r="D1314" s="63">
        <v>1</v>
      </c>
      <c r="E1314" s="63">
        <v>11.000999999999999</v>
      </c>
      <c r="F1314" s="63">
        <v>0.1</v>
      </c>
      <c r="G1314" s="63" t="s">
        <v>13</v>
      </c>
      <c r="H1314" s="63" t="s">
        <v>12</v>
      </c>
      <c r="I1314" s="63">
        <v>0.01</v>
      </c>
      <c r="J1314" s="63">
        <v>4.5010000000000001E-2</v>
      </c>
      <c r="K1314" s="63" t="s">
        <v>10</v>
      </c>
      <c r="L1314" s="63">
        <v>579.91999999999996</v>
      </c>
      <c r="M1314" s="63">
        <v>9.0643000000000001E-2</v>
      </c>
      <c r="N1314" s="63">
        <v>579.91999999999996</v>
      </c>
      <c r="O1314" s="64">
        <v>9.0135999999999994E-2</v>
      </c>
    </row>
    <row r="1315" spans="1:15" x14ac:dyDescent="0.25">
      <c r="A1315" s="114" t="s">
        <v>1671</v>
      </c>
      <c r="B1315" s="63" t="s">
        <v>51</v>
      </c>
      <c r="C1315" s="63" t="s">
        <v>58</v>
      </c>
      <c r="D1315" s="63">
        <v>1</v>
      </c>
      <c r="E1315" s="63">
        <v>11.000999999999999</v>
      </c>
      <c r="F1315" s="63">
        <v>0.1</v>
      </c>
      <c r="G1315" s="63" t="s">
        <v>13</v>
      </c>
      <c r="H1315" s="63" t="s">
        <v>12</v>
      </c>
      <c r="I1315" s="63">
        <v>4.4999999999999998E-2</v>
      </c>
      <c r="J1315" s="63">
        <v>1.0000100000000001</v>
      </c>
      <c r="K1315" s="63" t="s">
        <v>10</v>
      </c>
      <c r="L1315" s="63">
        <v>57.618000000000002</v>
      </c>
      <c r="M1315" s="63">
        <v>0.44323000000000001</v>
      </c>
      <c r="N1315" s="63">
        <v>57.618000000000002</v>
      </c>
      <c r="O1315" s="64">
        <v>0.44244</v>
      </c>
    </row>
    <row r="1316" spans="1:15" x14ac:dyDescent="0.25">
      <c r="A1316" s="114" t="s">
        <v>2456</v>
      </c>
      <c r="B1316" s="63" t="s">
        <v>51</v>
      </c>
      <c r="C1316" s="63" t="s">
        <v>58</v>
      </c>
      <c r="D1316" s="63">
        <v>1</v>
      </c>
      <c r="E1316" s="63">
        <v>11.000999999999999</v>
      </c>
      <c r="F1316" s="63">
        <v>0.1</v>
      </c>
      <c r="G1316" s="63" t="s">
        <v>13</v>
      </c>
      <c r="H1316" s="63" t="s">
        <v>12</v>
      </c>
      <c r="I1316" s="63">
        <v>1</v>
      </c>
      <c r="J1316" s="63">
        <v>5.01</v>
      </c>
      <c r="K1316" s="63" t="s">
        <v>10</v>
      </c>
      <c r="L1316" s="63">
        <v>56.262</v>
      </c>
      <c r="M1316" s="63">
        <v>4.6574</v>
      </c>
      <c r="N1316" s="63">
        <v>56.247999999999998</v>
      </c>
      <c r="O1316" s="64">
        <v>4.6563999999999997</v>
      </c>
    </row>
    <row r="1317" spans="1:15" x14ac:dyDescent="0.25">
      <c r="A1317" s="114" t="s">
        <v>1669</v>
      </c>
      <c r="B1317" s="63" t="s">
        <v>51</v>
      </c>
      <c r="C1317" s="63" t="s">
        <v>58</v>
      </c>
      <c r="D1317" s="63">
        <v>1</v>
      </c>
      <c r="E1317" s="63">
        <v>11.000999999999999</v>
      </c>
      <c r="F1317" s="63">
        <v>0.1</v>
      </c>
      <c r="G1317" s="63" t="s">
        <v>13</v>
      </c>
      <c r="H1317" s="63" t="s">
        <v>12</v>
      </c>
      <c r="I1317" s="63">
        <v>5</v>
      </c>
      <c r="J1317" s="63">
        <v>10</v>
      </c>
      <c r="K1317" s="63" t="s">
        <v>10</v>
      </c>
      <c r="L1317" s="63">
        <v>76.668000000000006</v>
      </c>
      <c r="M1317" s="63">
        <v>27.611000000000001</v>
      </c>
      <c r="N1317" s="63">
        <v>76.638000000000005</v>
      </c>
      <c r="O1317" s="64">
        <v>27.611999999999998</v>
      </c>
    </row>
    <row r="1318" spans="1:15" x14ac:dyDescent="0.25">
      <c r="A1318" s="114" t="s">
        <v>1668</v>
      </c>
      <c r="B1318" s="63" t="s">
        <v>51</v>
      </c>
      <c r="C1318" s="63" t="s">
        <v>58</v>
      </c>
      <c r="D1318" s="63">
        <v>1</v>
      </c>
      <c r="E1318" s="63">
        <v>11.000999999999999</v>
      </c>
      <c r="F1318" s="63">
        <v>0.1</v>
      </c>
      <c r="G1318" s="63" t="s">
        <v>13</v>
      </c>
      <c r="H1318" s="63" t="s">
        <v>12</v>
      </c>
      <c r="I1318" s="63">
        <v>10</v>
      </c>
      <c r="J1318" s="63">
        <v>10.01</v>
      </c>
      <c r="K1318" s="63" t="s">
        <v>10</v>
      </c>
      <c r="L1318" s="63">
        <v>76.668000000000006</v>
      </c>
      <c r="M1318" s="63">
        <v>27.611000000000001</v>
      </c>
      <c r="N1318" s="63">
        <v>76.638000000000005</v>
      </c>
      <c r="O1318" s="64">
        <v>27.611999999999998</v>
      </c>
    </row>
    <row r="1319" spans="1:15" x14ac:dyDescent="0.25">
      <c r="A1319" s="114" t="s">
        <v>1692</v>
      </c>
      <c r="B1319" s="63" t="s">
        <v>51</v>
      </c>
      <c r="C1319" s="63" t="s">
        <v>58</v>
      </c>
      <c r="D1319" s="63">
        <v>11</v>
      </c>
      <c r="E1319" s="63">
        <v>30.001000000000001</v>
      </c>
      <c r="F1319" s="63">
        <v>0.1</v>
      </c>
      <c r="G1319" s="63" t="s">
        <v>13</v>
      </c>
      <c r="H1319" s="63" t="s">
        <v>12</v>
      </c>
      <c r="I1319" s="63">
        <v>0.01</v>
      </c>
      <c r="J1319" s="63">
        <v>4.5010000000000001E-2</v>
      </c>
      <c r="K1319" s="63" t="s">
        <v>10</v>
      </c>
      <c r="L1319" s="63">
        <v>44.393999999999998</v>
      </c>
      <c r="M1319" s="63">
        <v>2.0188000000000001</v>
      </c>
      <c r="N1319" s="63">
        <v>44.317</v>
      </c>
      <c r="O1319" s="64">
        <v>2.0184000000000002</v>
      </c>
    </row>
    <row r="1320" spans="1:15" x14ac:dyDescent="0.25">
      <c r="A1320" s="114" t="s">
        <v>1690</v>
      </c>
      <c r="B1320" s="63" t="s">
        <v>51</v>
      </c>
      <c r="C1320" s="63" t="s">
        <v>58</v>
      </c>
      <c r="D1320" s="63">
        <v>11</v>
      </c>
      <c r="E1320" s="63">
        <v>30.001000000000001</v>
      </c>
      <c r="F1320" s="63">
        <v>0.1</v>
      </c>
      <c r="G1320" s="63" t="s">
        <v>13</v>
      </c>
      <c r="H1320" s="63" t="s">
        <v>12</v>
      </c>
      <c r="I1320" s="63">
        <v>4.4999999999999998E-2</v>
      </c>
      <c r="J1320" s="63">
        <v>1.0000100000000001</v>
      </c>
      <c r="K1320" s="63" t="s">
        <v>10</v>
      </c>
      <c r="L1320" s="63">
        <v>48.985999999999997</v>
      </c>
      <c r="M1320" s="63">
        <v>1.2457</v>
      </c>
      <c r="N1320" s="63">
        <v>48.966999999999999</v>
      </c>
      <c r="O1320" s="64">
        <v>1.244</v>
      </c>
    </row>
    <row r="1321" spans="1:15" x14ac:dyDescent="0.25">
      <c r="A1321" s="114" t="s">
        <v>2457</v>
      </c>
      <c r="B1321" s="63" t="s">
        <v>51</v>
      </c>
      <c r="C1321" s="63" t="s">
        <v>58</v>
      </c>
      <c r="D1321" s="63">
        <v>11</v>
      </c>
      <c r="E1321" s="63">
        <v>30.001000000000001</v>
      </c>
      <c r="F1321" s="63">
        <v>0.1</v>
      </c>
      <c r="G1321" s="63" t="s">
        <v>13</v>
      </c>
      <c r="H1321" s="63" t="s">
        <v>12</v>
      </c>
      <c r="I1321" s="63">
        <v>1</v>
      </c>
      <c r="J1321" s="63">
        <v>5.01</v>
      </c>
      <c r="K1321" s="63" t="s">
        <v>10</v>
      </c>
      <c r="L1321" s="63">
        <v>33.826999999999998</v>
      </c>
      <c r="M1321" s="63">
        <v>6.6978</v>
      </c>
      <c r="N1321" s="63">
        <v>33.792000000000002</v>
      </c>
      <c r="O1321" s="64">
        <v>6.6978999999999997</v>
      </c>
    </row>
    <row r="1322" spans="1:15" x14ac:dyDescent="0.25">
      <c r="A1322" s="114" t="s">
        <v>1691</v>
      </c>
      <c r="B1322" s="63" t="s">
        <v>51</v>
      </c>
      <c r="C1322" s="63" t="s">
        <v>58</v>
      </c>
      <c r="D1322" s="63">
        <v>11</v>
      </c>
      <c r="E1322" s="63">
        <v>30.001000000000001</v>
      </c>
      <c r="F1322" s="63">
        <v>0.1</v>
      </c>
      <c r="G1322" s="63" t="s">
        <v>13</v>
      </c>
      <c r="H1322" s="63" t="s">
        <v>12</v>
      </c>
      <c r="I1322" s="63">
        <v>5</v>
      </c>
      <c r="J1322" s="63">
        <v>10</v>
      </c>
      <c r="K1322" s="63" t="s">
        <v>10</v>
      </c>
      <c r="L1322" s="63">
        <v>63.353000000000002</v>
      </c>
      <c r="M1322" s="63">
        <v>28.821999999999999</v>
      </c>
      <c r="N1322" s="63">
        <v>63.613</v>
      </c>
      <c r="O1322" s="64">
        <v>28.797000000000001</v>
      </c>
    </row>
    <row r="1323" spans="1:15" x14ac:dyDescent="0.25">
      <c r="A1323" s="114" t="s">
        <v>2458</v>
      </c>
      <c r="B1323" s="63" t="s">
        <v>51</v>
      </c>
      <c r="C1323" s="63" t="s">
        <v>58</v>
      </c>
      <c r="D1323" s="63">
        <v>11</v>
      </c>
      <c r="E1323" s="63">
        <v>30.001000000000001</v>
      </c>
      <c r="F1323" s="63">
        <v>0.1</v>
      </c>
      <c r="G1323" s="63" t="s">
        <v>13</v>
      </c>
      <c r="H1323" s="63" t="s">
        <v>12</v>
      </c>
      <c r="I1323" s="63">
        <v>10</v>
      </c>
      <c r="J1323" s="63">
        <v>10.01</v>
      </c>
      <c r="K1323" s="63" t="s">
        <v>10</v>
      </c>
      <c r="L1323" s="63">
        <v>63.353000000000002</v>
      </c>
      <c r="M1323" s="63">
        <v>28.821999999999999</v>
      </c>
      <c r="N1323" s="63">
        <v>63.613</v>
      </c>
      <c r="O1323" s="64">
        <v>28.797000000000001</v>
      </c>
    </row>
    <row r="1324" spans="1:15" x14ac:dyDescent="0.25">
      <c r="A1324" s="114" t="s">
        <v>1705</v>
      </c>
      <c r="B1324" s="63" t="s">
        <v>51</v>
      </c>
      <c r="C1324" s="63" t="s">
        <v>58</v>
      </c>
      <c r="D1324" s="63">
        <v>30</v>
      </c>
      <c r="E1324" s="63">
        <v>110.01</v>
      </c>
      <c r="F1324" s="63">
        <v>0.1</v>
      </c>
      <c r="G1324" s="63" t="s">
        <v>13</v>
      </c>
      <c r="H1324" s="63" t="s">
        <v>12</v>
      </c>
      <c r="I1324" s="63">
        <v>4.4999999999999998E-2</v>
      </c>
      <c r="J1324" s="63">
        <v>0.10001</v>
      </c>
      <c r="K1324" s="63" t="s">
        <v>10</v>
      </c>
      <c r="L1324" s="63">
        <v>36.579000000000001</v>
      </c>
      <c r="M1324" s="63">
        <v>1.9251</v>
      </c>
      <c r="N1324" s="63">
        <v>36.551000000000002</v>
      </c>
      <c r="O1324" s="64">
        <v>1.9245000000000001</v>
      </c>
    </row>
    <row r="1325" spans="1:15" x14ac:dyDescent="0.25">
      <c r="A1325" s="114" t="s">
        <v>1704</v>
      </c>
      <c r="B1325" s="63" t="s">
        <v>51</v>
      </c>
      <c r="C1325" s="63" t="s">
        <v>58</v>
      </c>
      <c r="D1325" s="63">
        <v>30</v>
      </c>
      <c r="E1325" s="63">
        <v>110.01</v>
      </c>
      <c r="F1325" s="63">
        <v>0.1</v>
      </c>
      <c r="G1325" s="63" t="s">
        <v>13</v>
      </c>
      <c r="H1325" s="63" t="s">
        <v>12</v>
      </c>
      <c r="I1325" s="63">
        <v>0.1</v>
      </c>
      <c r="J1325" s="63">
        <v>1.0000100000000001</v>
      </c>
      <c r="K1325" s="63" t="s">
        <v>10</v>
      </c>
      <c r="L1325" s="63">
        <v>37.347999999999999</v>
      </c>
      <c r="M1325" s="63">
        <v>2.1392000000000002</v>
      </c>
      <c r="N1325" s="63">
        <v>37.319000000000003</v>
      </c>
      <c r="O1325" s="64">
        <v>2.1387</v>
      </c>
    </row>
    <row r="1326" spans="1:15" x14ac:dyDescent="0.25">
      <c r="A1326" s="114" t="s">
        <v>1706</v>
      </c>
      <c r="B1326" s="63" t="s">
        <v>51</v>
      </c>
      <c r="C1326" s="63" t="s">
        <v>58</v>
      </c>
      <c r="D1326" s="63">
        <v>30</v>
      </c>
      <c r="E1326" s="63">
        <v>110.01</v>
      </c>
      <c r="F1326" s="63">
        <v>0.1</v>
      </c>
      <c r="G1326" s="63" t="s">
        <v>13</v>
      </c>
      <c r="H1326" s="63" t="s">
        <v>12</v>
      </c>
      <c r="I1326" s="63">
        <v>1</v>
      </c>
      <c r="J1326" s="63">
        <v>5</v>
      </c>
      <c r="K1326" s="63" t="s">
        <v>10</v>
      </c>
      <c r="L1326" s="63">
        <v>24</v>
      </c>
      <c r="M1326" s="63">
        <v>35</v>
      </c>
      <c r="N1326" s="63">
        <v>25.111999999999998</v>
      </c>
      <c r="O1326" s="64">
        <v>34.683999999999997</v>
      </c>
    </row>
    <row r="1327" spans="1:15" x14ac:dyDescent="0.25">
      <c r="A1327" s="114" t="s">
        <v>1707</v>
      </c>
      <c r="B1327" s="63" t="s">
        <v>51</v>
      </c>
      <c r="C1327" s="63" t="s">
        <v>58</v>
      </c>
      <c r="D1327" s="63">
        <v>30</v>
      </c>
      <c r="E1327" s="63">
        <v>110.01</v>
      </c>
      <c r="F1327" s="63">
        <v>0.1</v>
      </c>
      <c r="G1327" s="63" t="s">
        <v>13</v>
      </c>
      <c r="H1327" s="63" t="s">
        <v>12</v>
      </c>
      <c r="I1327" s="63">
        <v>5</v>
      </c>
      <c r="J1327" s="63">
        <v>5.01</v>
      </c>
      <c r="K1327" s="63" t="s">
        <v>10</v>
      </c>
      <c r="L1327" s="63">
        <v>24</v>
      </c>
      <c r="M1327" s="63">
        <v>35</v>
      </c>
      <c r="N1327" s="63">
        <v>25.111999999999998</v>
      </c>
      <c r="O1327" s="64">
        <v>34.683999999999997</v>
      </c>
    </row>
    <row r="1328" spans="1:15" x14ac:dyDescent="0.25">
      <c r="A1328" s="114" t="s">
        <v>1720</v>
      </c>
      <c r="B1328" s="63" t="s">
        <v>51</v>
      </c>
      <c r="C1328" s="63" t="s">
        <v>58</v>
      </c>
      <c r="D1328" s="63">
        <v>110</v>
      </c>
      <c r="E1328" s="63">
        <v>205.01</v>
      </c>
      <c r="F1328" s="63">
        <v>0.1</v>
      </c>
      <c r="G1328" s="63" t="s">
        <v>13</v>
      </c>
      <c r="H1328" s="63" t="s">
        <v>12</v>
      </c>
      <c r="I1328" s="63">
        <v>4.4999999999999998E-2</v>
      </c>
      <c r="J1328" s="63">
        <v>0.10001</v>
      </c>
      <c r="K1328" s="63" t="s">
        <v>10</v>
      </c>
      <c r="L1328" s="63">
        <v>46.786999999999999</v>
      </c>
      <c r="M1328" s="63">
        <v>2.3923999999999999</v>
      </c>
      <c r="N1328" s="63">
        <v>46.65</v>
      </c>
      <c r="O1328" s="64">
        <v>2.3915999999999999</v>
      </c>
    </row>
    <row r="1329" spans="1:15" x14ac:dyDescent="0.25">
      <c r="A1329" s="114" t="s">
        <v>2459</v>
      </c>
      <c r="B1329" s="63" t="s">
        <v>51</v>
      </c>
      <c r="C1329" s="63" t="s">
        <v>58</v>
      </c>
      <c r="D1329" s="63">
        <v>110</v>
      </c>
      <c r="E1329" s="63">
        <v>205.01</v>
      </c>
      <c r="F1329" s="63">
        <v>0.1</v>
      </c>
      <c r="G1329" s="63" t="s">
        <v>13</v>
      </c>
      <c r="H1329" s="63" t="s">
        <v>12</v>
      </c>
      <c r="I1329" s="63">
        <v>0.1</v>
      </c>
      <c r="J1329" s="63">
        <v>1.0000100000000001</v>
      </c>
      <c r="K1329" s="63" t="s">
        <v>10</v>
      </c>
      <c r="L1329" s="63">
        <v>49.765000000000001</v>
      </c>
      <c r="M1329" s="63">
        <v>2.6107999999999998</v>
      </c>
      <c r="N1329" s="63">
        <v>49.649000000000001</v>
      </c>
      <c r="O1329" s="64">
        <v>2.61</v>
      </c>
    </row>
    <row r="1330" spans="1:15" x14ac:dyDescent="0.25">
      <c r="A1330" s="114" t="s">
        <v>1719</v>
      </c>
      <c r="B1330" s="63" t="s">
        <v>51</v>
      </c>
      <c r="C1330" s="63" t="s">
        <v>58</v>
      </c>
      <c r="D1330" s="63">
        <v>110</v>
      </c>
      <c r="E1330" s="63">
        <v>205.01</v>
      </c>
      <c r="F1330" s="63">
        <v>0.1</v>
      </c>
      <c r="G1330" s="63" t="s">
        <v>13</v>
      </c>
      <c r="H1330" s="63" t="s">
        <v>12</v>
      </c>
      <c r="I1330" s="63">
        <v>1</v>
      </c>
      <c r="J1330" s="63">
        <v>5</v>
      </c>
      <c r="K1330" s="63" t="s">
        <v>10</v>
      </c>
      <c r="L1330" s="63">
        <v>58</v>
      </c>
      <c r="M1330" s="63">
        <v>35</v>
      </c>
      <c r="N1330" s="63">
        <v>58.262</v>
      </c>
      <c r="O1330" s="64">
        <v>34.697000000000003</v>
      </c>
    </row>
    <row r="1331" spans="1:15" x14ac:dyDescent="0.25">
      <c r="A1331" s="114" t="s">
        <v>2460</v>
      </c>
      <c r="B1331" s="63" t="s">
        <v>51</v>
      </c>
      <c r="C1331" s="63" t="s">
        <v>58</v>
      </c>
      <c r="D1331" s="63">
        <v>110</v>
      </c>
      <c r="E1331" s="63">
        <v>205.01</v>
      </c>
      <c r="F1331" s="63">
        <v>0.1</v>
      </c>
      <c r="G1331" s="63" t="s">
        <v>13</v>
      </c>
      <c r="H1331" s="63" t="s">
        <v>12</v>
      </c>
      <c r="I1331" s="63">
        <v>5</v>
      </c>
      <c r="J1331" s="63">
        <v>5.01</v>
      </c>
      <c r="K1331" s="63" t="s">
        <v>10</v>
      </c>
      <c r="L1331" s="63">
        <v>58</v>
      </c>
      <c r="M1331" s="63">
        <v>35</v>
      </c>
      <c r="N1331" s="63">
        <v>58.262</v>
      </c>
      <c r="O1331" s="64">
        <v>34.697000000000003</v>
      </c>
    </row>
    <row r="1332" spans="1:15" x14ac:dyDescent="0.25">
      <c r="A1332" s="114" t="s">
        <v>1675</v>
      </c>
      <c r="B1332" s="63" t="s">
        <v>51</v>
      </c>
      <c r="C1332" s="63" t="s">
        <v>58</v>
      </c>
      <c r="D1332" s="63">
        <v>1</v>
      </c>
      <c r="E1332" s="63">
        <v>11.000999999999999</v>
      </c>
      <c r="F1332" s="63">
        <v>1</v>
      </c>
      <c r="G1332" s="63" t="s">
        <v>13</v>
      </c>
      <c r="H1332" s="63" t="s">
        <v>12</v>
      </c>
      <c r="I1332" s="63">
        <v>0.01</v>
      </c>
      <c r="J1332" s="63">
        <v>4.5010000000000001E-2</v>
      </c>
      <c r="K1332" s="63" t="s">
        <v>10</v>
      </c>
      <c r="L1332" s="63">
        <v>5800</v>
      </c>
      <c r="M1332" s="63">
        <v>9.2241000000000007E-3</v>
      </c>
      <c r="N1332" s="63">
        <v>5800</v>
      </c>
      <c r="O1332" s="64">
        <v>9.0206999999999996E-3</v>
      </c>
    </row>
    <row r="1333" spans="1:15" x14ac:dyDescent="0.25">
      <c r="A1333" s="114" t="s">
        <v>1673</v>
      </c>
      <c r="B1333" s="63" t="s">
        <v>51</v>
      </c>
      <c r="C1333" s="63" t="s">
        <v>58</v>
      </c>
      <c r="D1333" s="63">
        <v>1</v>
      </c>
      <c r="E1333" s="63">
        <v>11.000999999999999</v>
      </c>
      <c r="F1333" s="63">
        <v>1</v>
      </c>
      <c r="G1333" s="63" t="s">
        <v>13</v>
      </c>
      <c r="H1333" s="63" t="s">
        <v>12</v>
      </c>
      <c r="I1333" s="63">
        <v>4.4999999999999998E-2</v>
      </c>
      <c r="J1333" s="63">
        <v>1.0000100000000001</v>
      </c>
      <c r="K1333" s="63" t="s">
        <v>10</v>
      </c>
      <c r="L1333" s="63">
        <v>579.96</v>
      </c>
      <c r="M1333" s="63">
        <v>4.6302000000000003E-2</v>
      </c>
      <c r="N1333" s="63">
        <v>579.96</v>
      </c>
      <c r="O1333" s="64">
        <v>4.5959E-2</v>
      </c>
    </row>
    <row r="1334" spans="1:15" x14ac:dyDescent="0.25">
      <c r="A1334" s="114" t="s">
        <v>1674</v>
      </c>
      <c r="B1334" s="63" t="s">
        <v>51</v>
      </c>
      <c r="C1334" s="63" t="s">
        <v>58</v>
      </c>
      <c r="D1334" s="63">
        <v>1</v>
      </c>
      <c r="E1334" s="63">
        <v>11.000999999999999</v>
      </c>
      <c r="F1334" s="63">
        <v>1</v>
      </c>
      <c r="G1334" s="63" t="s">
        <v>13</v>
      </c>
      <c r="H1334" s="63" t="s">
        <v>12</v>
      </c>
      <c r="I1334" s="63">
        <v>1</v>
      </c>
      <c r="J1334" s="63">
        <v>5.01</v>
      </c>
      <c r="K1334" s="63" t="s">
        <v>10</v>
      </c>
      <c r="L1334" s="63">
        <v>579.63</v>
      </c>
      <c r="M1334" s="63">
        <v>0.67288000000000003</v>
      </c>
      <c r="N1334" s="63">
        <v>579.63</v>
      </c>
      <c r="O1334" s="64">
        <v>0.67162999999999995</v>
      </c>
    </row>
    <row r="1335" spans="1:15" x14ac:dyDescent="0.25">
      <c r="A1335" s="114" t="s">
        <v>1672</v>
      </c>
      <c r="B1335" s="63" t="s">
        <v>51</v>
      </c>
      <c r="C1335" s="63" t="s">
        <v>58</v>
      </c>
      <c r="D1335" s="63">
        <v>1</v>
      </c>
      <c r="E1335" s="63">
        <v>11.000999999999999</v>
      </c>
      <c r="F1335" s="63">
        <v>1</v>
      </c>
      <c r="G1335" s="63" t="s">
        <v>13</v>
      </c>
      <c r="H1335" s="63" t="s">
        <v>12</v>
      </c>
      <c r="I1335" s="63">
        <v>5</v>
      </c>
      <c r="J1335" s="63">
        <v>10</v>
      </c>
      <c r="K1335" s="63" t="s">
        <v>10</v>
      </c>
      <c r="L1335" s="63">
        <v>575.98</v>
      </c>
      <c r="M1335" s="63">
        <v>10.476000000000001</v>
      </c>
      <c r="N1335" s="63">
        <v>575.96</v>
      </c>
      <c r="O1335" s="64">
        <v>10.474</v>
      </c>
    </row>
    <row r="1336" spans="1:15" x14ac:dyDescent="0.25">
      <c r="A1336" s="114" t="s">
        <v>1676</v>
      </c>
      <c r="B1336" s="63" t="s">
        <v>51</v>
      </c>
      <c r="C1336" s="63" t="s">
        <v>58</v>
      </c>
      <c r="D1336" s="63">
        <v>1</v>
      </c>
      <c r="E1336" s="63">
        <v>11.000999999999999</v>
      </c>
      <c r="F1336" s="63">
        <v>1</v>
      </c>
      <c r="G1336" s="63" t="s">
        <v>13</v>
      </c>
      <c r="H1336" s="63" t="s">
        <v>12</v>
      </c>
      <c r="I1336" s="63">
        <v>10</v>
      </c>
      <c r="J1336" s="63">
        <v>10.01</v>
      </c>
      <c r="K1336" s="63" t="s">
        <v>10</v>
      </c>
      <c r="L1336" s="63">
        <v>575.98</v>
      </c>
      <c r="M1336" s="63">
        <v>10.476000000000001</v>
      </c>
      <c r="N1336" s="63">
        <v>575.96</v>
      </c>
      <c r="O1336" s="64">
        <v>10.474</v>
      </c>
    </row>
    <row r="1337" spans="1:15" x14ac:dyDescent="0.25">
      <c r="A1337" s="114" t="s">
        <v>1694</v>
      </c>
      <c r="B1337" s="63" t="s">
        <v>51</v>
      </c>
      <c r="C1337" s="63" t="s">
        <v>58</v>
      </c>
      <c r="D1337" s="63">
        <v>11</v>
      </c>
      <c r="E1337" s="63">
        <v>30.001000000000001</v>
      </c>
      <c r="F1337" s="63">
        <v>1</v>
      </c>
      <c r="G1337" s="63" t="s">
        <v>13</v>
      </c>
      <c r="H1337" s="63" t="s">
        <v>12</v>
      </c>
      <c r="I1337" s="63">
        <v>0.01</v>
      </c>
      <c r="J1337" s="63">
        <v>4.5010000000000001E-2</v>
      </c>
      <c r="K1337" s="63" t="s">
        <v>10</v>
      </c>
      <c r="L1337" s="63">
        <v>577.67999999999995</v>
      </c>
      <c r="M1337" s="63">
        <v>0.29774</v>
      </c>
      <c r="N1337" s="63">
        <v>577.66</v>
      </c>
      <c r="O1337" s="64">
        <v>0.29630000000000001</v>
      </c>
    </row>
    <row r="1338" spans="1:15" x14ac:dyDescent="0.25">
      <c r="A1338" s="114" t="s">
        <v>2461</v>
      </c>
      <c r="B1338" s="63" t="s">
        <v>51</v>
      </c>
      <c r="C1338" s="63" t="s">
        <v>58</v>
      </c>
      <c r="D1338" s="63">
        <v>11</v>
      </c>
      <c r="E1338" s="63">
        <v>30.001000000000001</v>
      </c>
      <c r="F1338" s="63">
        <v>1</v>
      </c>
      <c r="G1338" s="63" t="s">
        <v>13</v>
      </c>
      <c r="H1338" s="63" t="s">
        <v>12</v>
      </c>
      <c r="I1338" s="63">
        <v>4.4999999999999998E-2</v>
      </c>
      <c r="J1338" s="63">
        <v>1.0000100000000001</v>
      </c>
      <c r="K1338" s="63" t="s">
        <v>10</v>
      </c>
      <c r="L1338" s="63">
        <v>578.74</v>
      </c>
      <c r="M1338" s="63">
        <v>0.1605</v>
      </c>
      <c r="N1338" s="63">
        <v>578.73</v>
      </c>
      <c r="O1338" s="64">
        <v>0.15917999999999999</v>
      </c>
    </row>
    <row r="1339" spans="1:15" x14ac:dyDescent="0.25">
      <c r="A1339" s="114" t="s">
        <v>1696</v>
      </c>
      <c r="B1339" s="63" t="s">
        <v>51</v>
      </c>
      <c r="C1339" s="63" t="s">
        <v>58</v>
      </c>
      <c r="D1339" s="63">
        <v>11</v>
      </c>
      <c r="E1339" s="63">
        <v>30.001000000000001</v>
      </c>
      <c r="F1339" s="63">
        <v>1</v>
      </c>
      <c r="G1339" s="63" t="s">
        <v>13</v>
      </c>
      <c r="H1339" s="63" t="s">
        <v>12</v>
      </c>
      <c r="I1339" s="63">
        <v>1</v>
      </c>
      <c r="J1339" s="63">
        <v>5.01</v>
      </c>
      <c r="K1339" s="63" t="s">
        <v>10</v>
      </c>
      <c r="L1339" s="63">
        <v>566.19000000000005</v>
      </c>
      <c r="M1339" s="63">
        <v>1.8955</v>
      </c>
      <c r="N1339" s="63">
        <v>566.17999999999995</v>
      </c>
      <c r="O1339" s="64">
        <v>1.8942000000000001</v>
      </c>
    </row>
    <row r="1340" spans="1:15" x14ac:dyDescent="0.25">
      <c r="A1340" s="114" t="s">
        <v>1693</v>
      </c>
      <c r="B1340" s="63" t="s">
        <v>51</v>
      </c>
      <c r="C1340" s="63" t="s">
        <v>58</v>
      </c>
      <c r="D1340" s="63">
        <v>11</v>
      </c>
      <c r="E1340" s="63">
        <v>30.001000000000001</v>
      </c>
      <c r="F1340" s="63">
        <v>1</v>
      </c>
      <c r="G1340" s="63" t="s">
        <v>13</v>
      </c>
      <c r="H1340" s="63" t="s">
        <v>12</v>
      </c>
      <c r="I1340" s="63">
        <v>5</v>
      </c>
      <c r="J1340" s="63">
        <v>10</v>
      </c>
      <c r="K1340" s="63" t="s">
        <v>10</v>
      </c>
      <c r="L1340" s="63">
        <v>458.92</v>
      </c>
      <c r="M1340" s="63">
        <v>21.117999999999999</v>
      </c>
      <c r="N1340" s="63">
        <v>458.89</v>
      </c>
      <c r="O1340" s="64">
        <v>21.117000000000001</v>
      </c>
    </row>
    <row r="1341" spans="1:15" x14ac:dyDescent="0.25">
      <c r="A1341" s="114" t="s">
        <v>1695</v>
      </c>
      <c r="B1341" s="63" t="s">
        <v>51</v>
      </c>
      <c r="C1341" s="63" t="s">
        <v>58</v>
      </c>
      <c r="D1341" s="63">
        <v>11</v>
      </c>
      <c r="E1341" s="63">
        <v>30.001000000000001</v>
      </c>
      <c r="F1341" s="63">
        <v>1</v>
      </c>
      <c r="G1341" s="63" t="s">
        <v>13</v>
      </c>
      <c r="H1341" s="63" t="s">
        <v>12</v>
      </c>
      <c r="I1341" s="63">
        <v>10</v>
      </c>
      <c r="J1341" s="63">
        <v>10.01</v>
      </c>
      <c r="K1341" s="63" t="s">
        <v>10</v>
      </c>
      <c r="L1341" s="63">
        <v>458.92</v>
      </c>
      <c r="M1341" s="63">
        <v>21.117999999999999</v>
      </c>
      <c r="N1341" s="63">
        <v>458.89</v>
      </c>
      <c r="O1341" s="64">
        <v>21.117000000000001</v>
      </c>
    </row>
    <row r="1342" spans="1:15" x14ac:dyDescent="0.25">
      <c r="A1342" s="114" t="s">
        <v>1708</v>
      </c>
      <c r="B1342" s="63" t="s">
        <v>51</v>
      </c>
      <c r="C1342" s="63" t="s">
        <v>58</v>
      </c>
      <c r="D1342" s="63">
        <v>30</v>
      </c>
      <c r="E1342" s="63">
        <v>110.01</v>
      </c>
      <c r="F1342" s="63">
        <v>1</v>
      </c>
      <c r="G1342" s="63" t="s">
        <v>13</v>
      </c>
      <c r="H1342" s="63" t="s">
        <v>12</v>
      </c>
      <c r="I1342" s="63">
        <v>4.4999999999999998E-2</v>
      </c>
      <c r="J1342" s="63">
        <v>0.10001</v>
      </c>
      <c r="K1342" s="63" t="s">
        <v>10</v>
      </c>
      <c r="L1342" s="63">
        <v>568.42999999999995</v>
      </c>
      <c r="M1342" s="63">
        <v>0.54491000000000001</v>
      </c>
      <c r="N1342" s="63">
        <v>568.44000000000005</v>
      </c>
      <c r="O1342" s="64">
        <v>0.54347000000000001</v>
      </c>
    </row>
    <row r="1343" spans="1:15" x14ac:dyDescent="0.25">
      <c r="A1343" s="114" t="s">
        <v>1711</v>
      </c>
      <c r="B1343" s="63" t="s">
        <v>51</v>
      </c>
      <c r="C1343" s="63" t="s">
        <v>58</v>
      </c>
      <c r="D1343" s="63">
        <v>30</v>
      </c>
      <c r="E1343" s="63">
        <v>110.01</v>
      </c>
      <c r="F1343" s="63">
        <v>1</v>
      </c>
      <c r="G1343" s="63" t="s">
        <v>13</v>
      </c>
      <c r="H1343" s="63" t="s">
        <v>12</v>
      </c>
      <c r="I1343" s="63">
        <v>0.1</v>
      </c>
      <c r="J1343" s="63">
        <v>1.0000100000000001</v>
      </c>
      <c r="K1343" s="63" t="s">
        <v>10</v>
      </c>
      <c r="L1343" s="63">
        <v>566.33000000000004</v>
      </c>
      <c r="M1343" s="63">
        <v>0.65491999999999995</v>
      </c>
      <c r="N1343" s="63">
        <v>566.34</v>
      </c>
      <c r="O1343" s="64">
        <v>0.65351000000000004</v>
      </c>
    </row>
    <row r="1344" spans="1:15" x14ac:dyDescent="0.25">
      <c r="A1344" s="114" t="s">
        <v>1709</v>
      </c>
      <c r="B1344" s="63" t="s">
        <v>51</v>
      </c>
      <c r="C1344" s="63" t="s">
        <v>58</v>
      </c>
      <c r="D1344" s="63">
        <v>30</v>
      </c>
      <c r="E1344" s="63">
        <v>110.01</v>
      </c>
      <c r="F1344" s="63">
        <v>1</v>
      </c>
      <c r="G1344" s="63" t="s">
        <v>13</v>
      </c>
      <c r="H1344" s="63" t="s">
        <v>12</v>
      </c>
      <c r="I1344" s="63">
        <v>1</v>
      </c>
      <c r="J1344" s="63">
        <v>5</v>
      </c>
      <c r="K1344" s="63" t="s">
        <v>10</v>
      </c>
      <c r="L1344" s="63">
        <v>210.04</v>
      </c>
      <c r="M1344" s="63">
        <v>33.396000000000001</v>
      </c>
      <c r="N1344" s="63">
        <v>210.02</v>
      </c>
      <c r="O1344" s="64">
        <v>33.395000000000003</v>
      </c>
    </row>
    <row r="1345" spans="1:15" x14ac:dyDescent="0.25">
      <c r="A1345" s="114" t="s">
        <v>1710</v>
      </c>
      <c r="B1345" s="63" t="s">
        <v>51</v>
      </c>
      <c r="C1345" s="63" t="s">
        <v>58</v>
      </c>
      <c r="D1345" s="63">
        <v>30</v>
      </c>
      <c r="E1345" s="63">
        <v>110.01</v>
      </c>
      <c r="F1345" s="63">
        <v>1</v>
      </c>
      <c r="G1345" s="63" t="s">
        <v>13</v>
      </c>
      <c r="H1345" s="63" t="s">
        <v>12</v>
      </c>
      <c r="I1345" s="63">
        <v>5</v>
      </c>
      <c r="J1345" s="63">
        <v>5.01</v>
      </c>
      <c r="K1345" s="63" t="s">
        <v>10</v>
      </c>
      <c r="L1345" s="63">
        <v>210.04</v>
      </c>
      <c r="M1345" s="63">
        <v>33.396000000000001</v>
      </c>
      <c r="N1345" s="63">
        <v>210.02</v>
      </c>
      <c r="O1345" s="64">
        <v>33.395000000000003</v>
      </c>
    </row>
    <row r="1346" spans="1:15" x14ac:dyDescent="0.25">
      <c r="A1346" s="114" t="s">
        <v>1722</v>
      </c>
      <c r="B1346" s="63" t="s">
        <v>51</v>
      </c>
      <c r="C1346" s="63" t="s">
        <v>58</v>
      </c>
      <c r="D1346" s="63">
        <v>110</v>
      </c>
      <c r="E1346" s="63">
        <v>205.01</v>
      </c>
      <c r="F1346" s="63">
        <v>1</v>
      </c>
      <c r="G1346" s="63" t="s">
        <v>13</v>
      </c>
      <c r="H1346" s="63" t="s">
        <v>12</v>
      </c>
      <c r="I1346" s="63">
        <v>4.4999999999999998E-2</v>
      </c>
      <c r="J1346" s="63">
        <v>0.10001</v>
      </c>
      <c r="K1346" s="63" t="s">
        <v>10</v>
      </c>
      <c r="L1346" s="63">
        <v>500.59</v>
      </c>
      <c r="M1346" s="63">
        <v>1.4072</v>
      </c>
      <c r="N1346" s="63">
        <v>500.63</v>
      </c>
      <c r="O1346" s="64">
        <v>1.403</v>
      </c>
    </row>
    <row r="1347" spans="1:15" x14ac:dyDescent="0.25">
      <c r="A1347" s="114" t="s">
        <v>1723</v>
      </c>
      <c r="B1347" s="63" t="s">
        <v>51</v>
      </c>
      <c r="C1347" s="63" t="s">
        <v>58</v>
      </c>
      <c r="D1347" s="63">
        <v>110</v>
      </c>
      <c r="E1347" s="63">
        <v>205.01</v>
      </c>
      <c r="F1347" s="63">
        <v>1</v>
      </c>
      <c r="G1347" s="63" t="s">
        <v>13</v>
      </c>
      <c r="H1347" s="63" t="s">
        <v>12</v>
      </c>
      <c r="I1347" s="63">
        <v>0.1</v>
      </c>
      <c r="J1347" s="63">
        <v>1.0000100000000001</v>
      </c>
      <c r="K1347" s="63" t="s">
        <v>10</v>
      </c>
      <c r="L1347" s="63">
        <v>490.55</v>
      </c>
      <c r="M1347" s="63">
        <v>1.6184000000000001</v>
      </c>
      <c r="N1347" s="63">
        <v>490.58</v>
      </c>
      <c r="O1347" s="64">
        <v>1.6144000000000001</v>
      </c>
    </row>
    <row r="1348" spans="1:15" x14ac:dyDescent="0.25">
      <c r="A1348" s="114" t="s">
        <v>1724</v>
      </c>
      <c r="B1348" s="63" t="s">
        <v>51</v>
      </c>
      <c r="C1348" s="63" t="s">
        <v>58</v>
      </c>
      <c r="D1348" s="63">
        <v>110</v>
      </c>
      <c r="E1348" s="63">
        <v>205.01</v>
      </c>
      <c r="F1348" s="63">
        <v>1</v>
      </c>
      <c r="G1348" s="63" t="s">
        <v>13</v>
      </c>
      <c r="H1348" s="63" t="s">
        <v>12</v>
      </c>
      <c r="I1348" s="63">
        <v>1</v>
      </c>
      <c r="J1348" s="63">
        <v>5</v>
      </c>
      <c r="K1348" s="63" t="s">
        <v>10</v>
      </c>
      <c r="L1348" s="63">
        <v>79.069999999999993</v>
      </c>
      <c r="M1348" s="63">
        <v>34.896999999999998</v>
      </c>
      <c r="N1348" s="63">
        <v>123.66</v>
      </c>
      <c r="O1348" s="64">
        <v>34.491</v>
      </c>
    </row>
    <row r="1349" spans="1:15" x14ac:dyDescent="0.25">
      <c r="A1349" s="114" t="s">
        <v>1721</v>
      </c>
      <c r="B1349" s="63" t="s">
        <v>51</v>
      </c>
      <c r="C1349" s="63" t="s">
        <v>58</v>
      </c>
      <c r="D1349" s="63">
        <v>110</v>
      </c>
      <c r="E1349" s="63">
        <v>205.01</v>
      </c>
      <c r="F1349" s="63">
        <v>1</v>
      </c>
      <c r="G1349" s="63" t="s">
        <v>13</v>
      </c>
      <c r="H1349" s="63" t="s">
        <v>12</v>
      </c>
      <c r="I1349" s="63">
        <v>5</v>
      </c>
      <c r="J1349" s="63">
        <v>5.01</v>
      </c>
      <c r="K1349" s="63" t="s">
        <v>10</v>
      </c>
      <c r="L1349" s="63">
        <v>79.069999999999993</v>
      </c>
      <c r="M1349" s="63">
        <v>34.896999999999998</v>
      </c>
      <c r="N1349" s="63">
        <v>123.66</v>
      </c>
      <c r="O1349" s="64">
        <v>34.491</v>
      </c>
    </row>
    <row r="1350" spans="1:15" x14ac:dyDescent="0.25">
      <c r="A1350" s="114" t="s">
        <v>1678</v>
      </c>
      <c r="B1350" s="63" t="s">
        <v>51</v>
      </c>
      <c r="C1350" s="63" t="s">
        <v>58</v>
      </c>
      <c r="D1350" s="63">
        <v>1</v>
      </c>
      <c r="E1350" s="63">
        <v>11.000999999999999</v>
      </c>
      <c r="F1350" s="63">
        <v>10</v>
      </c>
      <c r="G1350" s="63" t="s">
        <v>13</v>
      </c>
      <c r="H1350" s="63" t="s">
        <v>12</v>
      </c>
      <c r="I1350" s="63">
        <v>0.01</v>
      </c>
      <c r="J1350" s="63">
        <v>4.5010000000000001E-2</v>
      </c>
      <c r="K1350" s="63" t="s">
        <v>10</v>
      </c>
      <c r="L1350" s="63">
        <v>58000</v>
      </c>
      <c r="M1350" s="63">
        <v>9.8346000000000002E-4</v>
      </c>
      <c r="N1350" s="63">
        <v>58000</v>
      </c>
      <c r="O1350" s="64">
        <v>9.0207999999999998E-4</v>
      </c>
    </row>
    <row r="1351" spans="1:15" x14ac:dyDescent="0.25">
      <c r="A1351" s="114" t="s">
        <v>1679</v>
      </c>
      <c r="B1351" s="63" t="s">
        <v>51</v>
      </c>
      <c r="C1351" s="63" t="s">
        <v>58</v>
      </c>
      <c r="D1351" s="63">
        <v>1</v>
      </c>
      <c r="E1351" s="63">
        <v>11.000999999999999</v>
      </c>
      <c r="F1351" s="63">
        <v>10</v>
      </c>
      <c r="G1351" s="63" t="s">
        <v>13</v>
      </c>
      <c r="H1351" s="63" t="s">
        <v>12</v>
      </c>
      <c r="I1351" s="63">
        <v>4.4999999999999998E-2</v>
      </c>
      <c r="J1351" s="63">
        <v>1.0000100000000001</v>
      </c>
      <c r="K1351" s="63" t="s">
        <v>10</v>
      </c>
      <c r="L1351" s="63">
        <v>5800</v>
      </c>
      <c r="M1351" s="63">
        <v>4.7349999999999996E-3</v>
      </c>
      <c r="N1351" s="63">
        <v>5800</v>
      </c>
      <c r="O1351" s="64">
        <v>4.5976999999999997E-3</v>
      </c>
    </row>
    <row r="1352" spans="1:15" x14ac:dyDescent="0.25">
      <c r="A1352" s="114" t="s">
        <v>2462</v>
      </c>
      <c r="B1352" s="63" t="s">
        <v>51</v>
      </c>
      <c r="C1352" s="63" t="s">
        <v>58</v>
      </c>
      <c r="D1352" s="63">
        <v>1</v>
      </c>
      <c r="E1352" s="63">
        <v>11.000999999999999</v>
      </c>
      <c r="F1352" s="63">
        <v>10</v>
      </c>
      <c r="G1352" s="63" t="s">
        <v>13</v>
      </c>
      <c r="H1352" s="63" t="s">
        <v>12</v>
      </c>
      <c r="I1352" s="63">
        <v>1</v>
      </c>
      <c r="J1352" s="63">
        <v>5.01</v>
      </c>
      <c r="K1352" s="63" t="s">
        <v>10</v>
      </c>
      <c r="L1352" s="63">
        <v>5800</v>
      </c>
      <c r="M1352" s="63">
        <v>6.8090999999999999E-2</v>
      </c>
      <c r="N1352" s="63">
        <v>5800</v>
      </c>
      <c r="O1352" s="64">
        <v>6.7582000000000003E-2</v>
      </c>
    </row>
    <row r="1353" spans="1:15" x14ac:dyDescent="0.25">
      <c r="A1353" s="114" t="s">
        <v>1677</v>
      </c>
      <c r="B1353" s="63" t="s">
        <v>51</v>
      </c>
      <c r="C1353" s="63" t="s">
        <v>58</v>
      </c>
      <c r="D1353" s="63">
        <v>1</v>
      </c>
      <c r="E1353" s="63">
        <v>11.000999999999999</v>
      </c>
      <c r="F1353" s="63">
        <v>10</v>
      </c>
      <c r="G1353" s="63" t="s">
        <v>13</v>
      </c>
      <c r="H1353" s="63" t="s">
        <v>12</v>
      </c>
      <c r="I1353" s="63">
        <v>5</v>
      </c>
      <c r="J1353" s="63">
        <v>10</v>
      </c>
      <c r="K1353" s="63" t="s">
        <v>10</v>
      </c>
      <c r="L1353" s="63">
        <v>5799.5</v>
      </c>
      <c r="M1353" s="63">
        <v>1.1535</v>
      </c>
      <c r="N1353" s="63">
        <v>5799.5</v>
      </c>
      <c r="O1353" s="64">
        <v>1.1523000000000001</v>
      </c>
    </row>
    <row r="1354" spans="1:15" x14ac:dyDescent="0.25">
      <c r="A1354" s="114" t="s">
        <v>1680</v>
      </c>
      <c r="B1354" s="63" t="s">
        <v>51</v>
      </c>
      <c r="C1354" s="63" t="s">
        <v>58</v>
      </c>
      <c r="D1354" s="63">
        <v>1</v>
      </c>
      <c r="E1354" s="63">
        <v>11.000999999999999</v>
      </c>
      <c r="F1354" s="63">
        <v>10</v>
      </c>
      <c r="G1354" s="63" t="s">
        <v>13</v>
      </c>
      <c r="H1354" s="63" t="s">
        <v>12</v>
      </c>
      <c r="I1354" s="63">
        <v>10</v>
      </c>
      <c r="J1354" s="63">
        <v>10.01</v>
      </c>
      <c r="K1354" s="63" t="s">
        <v>10</v>
      </c>
      <c r="L1354" s="63">
        <v>5799.5</v>
      </c>
      <c r="M1354" s="63">
        <v>1.1535</v>
      </c>
      <c r="N1354" s="63">
        <v>5799.5</v>
      </c>
      <c r="O1354" s="64">
        <v>1.1523000000000001</v>
      </c>
    </row>
    <row r="1355" spans="1:15" x14ac:dyDescent="0.25">
      <c r="A1355" s="114" t="s">
        <v>2463</v>
      </c>
      <c r="B1355" s="63" t="s">
        <v>51</v>
      </c>
      <c r="C1355" s="63" t="s">
        <v>58</v>
      </c>
      <c r="D1355" s="63">
        <v>11</v>
      </c>
      <c r="E1355" s="63">
        <v>30.001000000000001</v>
      </c>
      <c r="F1355" s="63">
        <v>10</v>
      </c>
      <c r="G1355" s="63" t="s">
        <v>13</v>
      </c>
      <c r="H1355" s="63" t="s">
        <v>12</v>
      </c>
      <c r="I1355" s="63">
        <v>0.01</v>
      </c>
      <c r="J1355" s="63">
        <v>4.5010000000000001E-2</v>
      </c>
      <c r="K1355" s="63" t="s">
        <v>10</v>
      </c>
      <c r="L1355" s="63">
        <v>5799.8</v>
      </c>
      <c r="M1355" s="63">
        <v>3.0408000000000001E-2</v>
      </c>
      <c r="N1355" s="63">
        <v>5799.8</v>
      </c>
      <c r="O1355" s="64">
        <v>2.9818999999999998E-2</v>
      </c>
    </row>
    <row r="1356" spans="1:15" x14ac:dyDescent="0.25">
      <c r="A1356" s="114" t="s">
        <v>1698</v>
      </c>
      <c r="B1356" s="63" t="s">
        <v>51</v>
      </c>
      <c r="C1356" s="63" t="s">
        <v>58</v>
      </c>
      <c r="D1356" s="63">
        <v>11</v>
      </c>
      <c r="E1356" s="63">
        <v>30.001000000000001</v>
      </c>
      <c r="F1356" s="63">
        <v>10</v>
      </c>
      <c r="G1356" s="63" t="s">
        <v>13</v>
      </c>
      <c r="H1356" s="63" t="s">
        <v>12</v>
      </c>
      <c r="I1356" s="63">
        <v>4.4999999999999998E-2</v>
      </c>
      <c r="J1356" s="63">
        <v>1.0000100000000001</v>
      </c>
      <c r="K1356" s="63" t="s">
        <v>10</v>
      </c>
      <c r="L1356" s="63">
        <v>5799.9</v>
      </c>
      <c r="M1356" s="63">
        <v>1.6507000000000001E-2</v>
      </c>
      <c r="N1356" s="63">
        <v>5799.9</v>
      </c>
      <c r="O1356" s="64">
        <v>1.5972E-2</v>
      </c>
    </row>
    <row r="1357" spans="1:15" x14ac:dyDescent="0.25">
      <c r="A1357" s="114" t="s">
        <v>1699</v>
      </c>
      <c r="B1357" s="63" t="s">
        <v>51</v>
      </c>
      <c r="C1357" s="63" t="s">
        <v>58</v>
      </c>
      <c r="D1357" s="63">
        <v>11</v>
      </c>
      <c r="E1357" s="63">
        <v>30.001000000000001</v>
      </c>
      <c r="F1357" s="63">
        <v>10</v>
      </c>
      <c r="G1357" s="63" t="s">
        <v>13</v>
      </c>
      <c r="H1357" s="63" t="s">
        <v>12</v>
      </c>
      <c r="I1357" s="63">
        <v>1</v>
      </c>
      <c r="J1357" s="63">
        <v>5.01</v>
      </c>
      <c r="K1357" s="63" t="s">
        <v>10</v>
      </c>
      <c r="L1357" s="63">
        <v>5798.5</v>
      </c>
      <c r="M1357" s="63">
        <v>0.19808000000000001</v>
      </c>
      <c r="N1357" s="63">
        <v>5798.5</v>
      </c>
      <c r="O1357" s="64">
        <v>0.19750000000000001</v>
      </c>
    </row>
    <row r="1358" spans="1:15" x14ac:dyDescent="0.25">
      <c r="A1358" s="114" t="s">
        <v>1697</v>
      </c>
      <c r="B1358" s="63" t="s">
        <v>51</v>
      </c>
      <c r="C1358" s="63" t="s">
        <v>58</v>
      </c>
      <c r="D1358" s="63">
        <v>11</v>
      </c>
      <c r="E1358" s="63">
        <v>30.001000000000001</v>
      </c>
      <c r="F1358" s="63">
        <v>10</v>
      </c>
      <c r="G1358" s="63" t="s">
        <v>13</v>
      </c>
      <c r="H1358" s="63" t="s">
        <v>12</v>
      </c>
      <c r="I1358" s="63">
        <v>5</v>
      </c>
      <c r="J1358" s="63">
        <v>10</v>
      </c>
      <c r="K1358" s="63" t="s">
        <v>10</v>
      </c>
      <c r="L1358" s="63">
        <v>5776.7</v>
      </c>
      <c r="M1358" s="63">
        <v>3.2241</v>
      </c>
      <c r="N1358" s="63">
        <v>5776.7</v>
      </c>
      <c r="O1358" s="64">
        <v>3.2231000000000001</v>
      </c>
    </row>
    <row r="1359" spans="1:15" x14ac:dyDescent="0.25">
      <c r="A1359" s="114" t="s">
        <v>2464</v>
      </c>
      <c r="B1359" s="63" t="s">
        <v>51</v>
      </c>
      <c r="C1359" s="63" t="s">
        <v>58</v>
      </c>
      <c r="D1359" s="63">
        <v>11</v>
      </c>
      <c r="E1359" s="63">
        <v>30.001000000000001</v>
      </c>
      <c r="F1359" s="63">
        <v>10</v>
      </c>
      <c r="G1359" s="63" t="s">
        <v>13</v>
      </c>
      <c r="H1359" s="63" t="s">
        <v>12</v>
      </c>
      <c r="I1359" s="63">
        <v>10</v>
      </c>
      <c r="J1359" s="63">
        <v>10.01</v>
      </c>
      <c r="K1359" s="63" t="s">
        <v>10</v>
      </c>
      <c r="L1359" s="63">
        <v>5776.7</v>
      </c>
      <c r="M1359" s="63">
        <v>3.2241</v>
      </c>
      <c r="N1359" s="63">
        <v>5776.7</v>
      </c>
      <c r="O1359" s="64">
        <v>3.2231000000000001</v>
      </c>
    </row>
    <row r="1360" spans="1:15" x14ac:dyDescent="0.25">
      <c r="A1360" s="114" t="s">
        <v>1712</v>
      </c>
      <c r="B1360" s="63" t="s">
        <v>51</v>
      </c>
      <c r="C1360" s="63" t="s">
        <v>58</v>
      </c>
      <c r="D1360" s="63">
        <v>30</v>
      </c>
      <c r="E1360" s="63">
        <v>110.01</v>
      </c>
      <c r="F1360" s="63">
        <v>10</v>
      </c>
      <c r="G1360" s="63" t="s">
        <v>13</v>
      </c>
      <c r="H1360" s="63" t="s">
        <v>12</v>
      </c>
      <c r="I1360" s="63">
        <v>4.4999999999999998E-2</v>
      </c>
      <c r="J1360" s="63">
        <v>0.10001</v>
      </c>
      <c r="K1360" s="63" t="s">
        <v>10</v>
      </c>
      <c r="L1360" s="63">
        <v>5798.8</v>
      </c>
      <c r="M1360" s="63">
        <v>5.7436000000000001E-2</v>
      </c>
      <c r="N1360" s="63">
        <v>5798.8</v>
      </c>
      <c r="O1360" s="64">
        <v>5.6800999999999997E-2</v>
      </c>
    </row>
    <row r="1361" spans="1:15" x14ac:dyDescent="0.25">
      <c r="A1361" s="114" t="s">
        <v>2465</v>
      </c>
      <c r="B1361" s="63" t="s">
        <v>51</v>
      </c>
      <c r="C1361" s="63" t="s">
        <v>58</v>
      </c>
      <c r="D1361" s="63">
        <v>30</v>
      </c>
      <c r="E1361" s="63">
        <v>110.01</v>
      </c>
      <c r="F1361" s="63">
        <v>10</v>
      </c>
      <c r="G1361" s="63" t="s">
        <v>13</v>
      </c>
      <c r="H1361" s="63" t="s">
        <v>12</v>
      </c>
      <c r="I1361" s="63">
        <v>0.1</v>
      </c>
      <c r="J1361" s="63">
        <v>1.0000100000000001</v>
      </c>
      <c r="K1361" s="63" t="s">
        <v>10</v>
      </c>
      <c r="L1361" s="63">
        <v>5798.5</v>
      </c>
      <c r="M1361" s="63">
        <v>6.9560999999999998E-2</v>
      </c>
      <c r="N1361" s="63">
        <v>5798.5</v>
      </c>
      <c r="O1361" s="64">
        <v>6.8926000000000001E-2</v>
      </c>
    </row>
    <row r="1362" spans="1:15" x14ac:dyDescent="0.25">
      <c r="A1362" s="114" t="s">
        <v>1714</v>
      </c>
      <c r="B1362" s="63" t="s">
        <v>51</v>
      </c>
      <c r="C1362" s="63" t="s">
        <v>58</v>
      </c>
      <c r="D1362" s="63">
        <v>30</v>
      </c>
      <c r="E1362" s="63">
        <v>110.01</v>
      </c>
      <c r="F1362" s="63">
        <v>10</v>
      </c>
      <c r="G1362" s="63" t="s">
        <v>13</v>
      </c>
      <c r="H1362" s="63" t="s">
        <v>12</v>
      </c>
      <c r="I1362" s="63">
        <v>1</v>
      </c>
      <c r="J1362" s="63">
        <v>5</v>
      </c>
      <c r="K1362" s="63" t="s">
        <v>10</v>
      </c>
      <c r="L1362" s="63">
        <v>5499.6</v>
      </c>
      <c r="M1362" s="63">
        <v>13.241</v>
      </c>
      <c r="N1362" s="63">
        <v>5499.7</v>
      </c>
      <c r="O1362" s="64">
        <v>13.239000000000001</v>
      </c>
    </row>
    <row r="1363" spans="1:15" x14ac:dyDescent="0.25">
      <c r="A1363" s="114" t="s">
        <v>1713</v>
      </c>
      <c r="B1363" s="63" t="s">
        <v>51</v>
      </c>
      <c r="C1363" s="63" t="s">
        <v>58</v>
      </c>
      <c r="D1363" s="63">
        <v>30</v>
      </c>
      <c r="E1363" s="63">
        <v>110.01</v>
      </c>
      <c r="F1363" s="63">
        <v>10</v>
      </c>
      <c r="G1363" s="63" t="s">
        <v>13</v>
      </c>
      <c r="H1363" s="63" t="s">
        <v>12</v>
      </c>
      <c r="I1363" s="63">
        <v>5</v>
      </c>
      <c r="J1363" s="63">
        <v>5.01</v>
      </c>
      <c r="K1363" s="63" t="s">
        <v>10</v>
      </c>
      <c r="L1363" s="63">
        <v>5499.6</v>
      </c>
      <c r="M1363" s="63">
        <v>13.241</v>
      </c>
      <c r="N1363" s="63">
        <v>5499.7</v>
      </c>
      <c r="O1363" s="64">
        <v>13.239000000000001</v>
      </c>
    </row>
    <row r="1364" spans="1:15" x14ac:dyDescent="0.25">
      <c r="A1364" s="114" t="s">
        <v>1728</v>
      </c>
      <c r="B1364" s="63" t="s">
        <v>51</v>
      </c>
      <c r="C1364" s="63" t="s">
        <v>58</v>
      </c>
      <c r="D1364" s="63">
        <v>110</v>
      </c>
      <c r="E1364" s="63">
        <v>205.01</v>
      </c>
      <c r="F1364" s="63">
        <v>10</v>
      </c>
      <c r="G1364" s="63" t="s">
        <v>13</v>
      </c>
      <c r="H1364" s="63" t="s">
        <v>12</v>
      </c>
      <c r="I1364" s="63">
        <v>4.4999999999999998E-2</v>
      </c>
      <c r="J1364" s="63">
        <v>0.10001</v>
      </c>
      <c r="K1364" s="63" t="s">
        <v>10</v>
      </c>
      <c r="L1364" s="63">
        <v>5788.7</v>
      </c>
      <c r="M1364" s="63">
        <v>0.17673</v>
      </c>
      <c r="N1364" s="63">
        <v>5788.8</v>
      </c>
      <c r="O1364" s="64">
        <v>0.17407</v>
      </c>
    </row>
    <row r="1365" spans="1:15" x14ac:dyDescent="0.25">
      <c r="A1365" s="114" t="s">
        <v>1727</v>
      </c>
      <c r="B1365" s="63" t="s">
        <v>51</v>
      </c>
      <c r="C1365" s="63" t="s">
        <v>58</v>
      </c>
      <c r="D1365" s="63">
        <v>110</v>
      </c>
      <c r="E1365" s="63">
        <v>205.01</v>
      </c>
      <c r="F1365" s="63">
        <v>10</v>
      </c>
      <c r="G1365" s="63" t="s">
        <v>13</v>
      </c>
      <c r="H1365" s="63" t="s">
        <v>12</v>
      </c>
      <c r="I1365" s="63">
        <v>0.1</v>
      </c>
      <c r="J1365" s="63">
        <v>1.0000100000000001</v>
      </c>
      <c r="K1365" s="63" t="s">
        <v>10</v>
      </c>
      <c r="L1365" s="63">
        <v>5786.7</v>
      </c>
      <c r="M1365" s="63">
        <v>0.20930000000000001</v>
      </c>
      <c r="N1365" s="63">
        <v>5786.8</v>
      </c>
      <c r="O1365" s="64">
        <v>0.20663999999999999</v>
      </c>
    </row>
    <row r="1366" spans="1:15" x14ac:dyDescent="0.25">
      <c r="A1366" s="114" t="s">
        <v>1726</v>
      </c>
      <c r="B1366" s="63" t="s">
        <v>51</v>
      </c>
      <c r="C1366" s="63" t="s">
        <v>58</v>
      </c>
      <c r="D1366" s="63">
        <v>110</v>
      </c>
      <c r="E1366" s="63">
        <v>205.01</v>
      </c>
      <c r="F1366" s="63">
        <v>10</v>
      </c>
      <c r="G1366" s="63" t="s">
        <v>13</v>
      </c>
      <c r="H1366" s="63" t="s">
        <v>12</v>
      </c>
      <c r="I1366" s="63">
        <v>1</v>
      </c>
      <c r="J1366" s="63">
        <v>5</v>
      </c>
      <c r="K1366" s="63" t="s">
        <v>10</v>
      </c>
      <c r="L1366" s="63">
        <v>4372.5</v>
      </c>
      <c r="M1366" s="63">
        <v>23.661999999999999</v>
      </c>
      <c r="N1366" s="63">
        <v>4372.3999999999996</v>
      </c>
      <c r="O1366" s="64">
        <v>23.661000000000001</v>
      </c>
    </row>
    <row r="1367" spans="1:15" x14ac:dyDescent="0.25">
      <c r="A1367" s="114" t="s">
        <v>1725</v>
      </c>
      <c r="B1367" s="63" t="s">
        <v>51</v>
      </c>
      <c r="C1367" s="63" t="s">
        <v>58</v>
      </c>
      <c r="D1367" s="63">
        <v>110</v>
      </c>
      <c r="E1367" s="63">
        <v>205.01</v>
      </c>
      <c r="F1367" s="63">
        <v>10</v>
      </c>
      <c r="G1367" s="63" t="s">
        <v>13</v>
      </c>
      <c r="H1367" s="63" t="s">
        <v>12</v>
      </c>
      <c r="I1367" s="63">
        <v>5</v>
      </c>
      <c r="J1367" s="63">
        <v>5.01</v>
      </c>
      <c r="K1367" s="63" t="s">
        <v>10</v>
      </c>
      <c r="L1367" s="63">
        <v>4372.5</v>
      </c>
      <c r="M1367" s="63">
        <v>23.661999999999999</v>
      </c>
      <c r="N1367" s="63">
        <v>4372.3999999999996</v>
      </c>
      <c r="O1367" s="64">
        <v>23.661000000000001</v>
      </c>
    </row>
    <row r="1368" spans="1:15" x14ac:dyDescent="0.25">
      <c r="A1368" s="114" t="s">
        <v>1715</v>
      </c>
      <c r="B1368" s="63" t="s">
        <v>51</v>
      </c>
      <c r="C1368" s="63" t="s">
        <v>58</v>
      </c>
      <c r="D1368" s="63">
        <v>30</v>
      </c>
      <c r="E1368" s="63">
        <v>110.01</v>
      </c>
      <c r="F1368" s="63">
        <v>100</v>
      </c>
      <c r="G1368" s="63" t="s">
        <v>13</v>
      </c>
      <c r="H1368" s="63" t="s">
        <v>12</v>
      </c>
      <c r="I1368" s="63">
        <v>4.4999999999999998E-2</v>
      </c>
      <c r="J1368" s="63">
        <v>0.10001</v>
      </c>
      <c r="K1368" s="63" t="s">
        <v>10</v>
      </c>
      <c r="L1368" s="63">
        <v>58000</v>
      </c>
      <c r="M1368" s="63">
        <v>5.9370999999999998E-3</v>
      </c>
      <c r="N1368" s="63">
        <v>58000</v>
      </c>
      <c r="O1368" s="64">
        <v>5.6828E-3</v>
      </c>
    </row>
    <row r="1369" spans="1:15" x14ac:dyDescent="0.25">
      <c r="A1369" s="114" t="s">
        <v>1716</v>
      </c>
      <c r="B1369" s="63" t="s">
        <v>51</v>
      </c>
      <c r="C1369" s="63" t="s">
        <v>58</v>
      </c>
      <c r="D1369" s="63">
        <v>30</v>
      </c>
      <c r="E1369" s="63">
        <v>110.01</v>
      </c>
      <c r="F1369" s="63">
        <v>100</v>
      </c>
      <c r="G1369" s="63" t="s">
        <v>13</v>
      </c>
      <c r="H1369" s="63" t="s">
        <v>12</v>
      </c>
      <c r="I1369" s="63">
        <v>0.1</v>
      </c>
      <c r="J1369" s="63">
        <v>1.0000100000000001</v>
      </c>
      <c r="K1369" s="63" t="s">
        <v>10</v>
      </c>
      <c r="L1369" s="63">
        <v>58000</v>
      </c>
      <c r="M1369" s="63">
        <v>7.1509E-3</v>
      </c>
      <c r="N1369" s="63">
        <v>58000</v>
      </c>
      <c r="O1369" s="64">
        <v>6.8966000000000001E-3</v>
      </c>
    </row>
    <row r="1370" spans="1:15" x14ac:dyDescent="0.25">
      <c r="A1370" s="114" t="s">
        <v>2466</v>
      </c>
      <c r="B1370" s="63" t="s">
        <v>51</v>
      </c>
      <c r="C1370" s="63" t="s">
        <v>58</v>
      </c>
      <c r="D1370" s="63">
        <v>30</v>
      </c>
      <c r="E1370" s="63">
        <v>110.01</v>
      </c>
      <c r="F1370" s="63">
        <v>100</v>
      </c>
      <c r="G1370" s="63" t="s">
        <v>13</v>
      </c>
      <c r="H1370" s="63" t="s">
        <v>12</v>
      </c>
      <c r="I1370" s="63">
        <v>1</v>
      </c>
      <c r="J1370" s="63">
        <v>5</v>
      </c>
      <c r="K1370" s="63" t="s">
        <v>10</v>
      </c>
      <c r="L1370" s="63">
        <v>57966</v>
      </c>
      <c r="M1370" s="63">
        <v>1.4661</v>
      </c>
      <c r="N1370" s="63">
        <v>57966</v>
      </c>
      <c r="O1370" s="64">
        <v>1.4652000000000001</v>
      </c>
    </row>
    <row r="1371" spans="1:15" x14ac:dyDescent="0.25">
      <c r="A1371" s="114" t="s">
        <v>2467</v>
      </c>
      <c r="B1371" s="63" t="s">
        <v>51</v>
      </c>
      <c r="C1371" s="63" t="s">
        <v>58</v>
      </c>
      <c r="D1371" s="63">
        <v>30</v>
      </c>
      <c r="E1371" s="63">
        <v>110.01</v>
      </c>
      <c r="F1371" s="63">
        <v>100</v>
      </c>
      <c r="G1371" s="63" t="s">
        <v>13</v>
      </c>
      <c r="H1371" s="63" t="s">
        <v>12</v>
      </c>
      <c r="I1371" s="63">
        <v>5</v>
      </c>
      <c r="J1371" s="63">
        <v>5.01</v>
      </c>
      <c r="K1371" s="63" t="s">
        <v>10</v>
      </c>
      <c r="L1371" s="63">
        <v>57966</v>
      </c>
      <c r="M1371" s="63">
        <v>1.4661</v>
      </c>
      <c r="N1371" s="63">
        <v>57966</v>
      </c>
      <c r="O1371" s="64">
        <v>1.4652000000000001</v>
      </c>
    </row>
    <row r="1372" spans="1:15" x14ac:dyDescent="0.25">
      <c r="A1372" s="114" t="s">
        <v>1729</v>
      </c>
      <c r="B1372" s="63" t="s">
        <v>51</v>
      </c>
      <c r="C1372" s="63" t="s">
        <v>58</v>
      </c>
      <c r="D1372" s="63">
        <v>110</v>
      </c>
      <c r="E1372" s="63">
        <v>205.01</v>
      </c>
      <c r="F1372" s="63">
        <v>100</v>
      </c>
      <c r="G1372" s="63" t="s">
        <v>13</v>
      </c>
      <c r="H1372" s="63" t="s">
        <v>12</v>
      </c>
      <c r="I1372" s="63">
        <v>4.4999999999999998E-2</v>
      </c>
      <c r="J1372" s="63">
        <v>0.10001</v>
      </c>
      <c r="K1372" s="63" t="s">
        <v>10</v>
      </c>
      <c r="L1372" s="63">
        <v>57999</v>
      </c>
      <c r="M1372" s="63">
        <v>1.8526000000000001E-2</v>
      </c>
      <c r="N1372" s="63">
        <v>57999</v>
      </c>
      <c r="O1372" s="64">
        <v>1.7454999999999998E-2</v>
      </c>
    </row>
    <row r="1373" spans="1:15" x14ac:dyDescent="0.25">
      <c r="A1373" s="114" t="s">
        <v>1731</v>
      </c>
      <c r="B1373" s="63" t="s">
        <v>51</v>
      </c>
      <c r="C1373" s="63" t="s">
        <v>58</v>
      </c>
      <c r="D1373" s="63">
        <v>110</v>
      </c>
      <c r="E1373" s="63">
        <v>205.01</v>
      </c>
      <c r="F1373" s="63">
        <v>100</v>
      </c>
      <c r="G1373" s="63" t="s">
        <v>13</v>
      </c>
      <c r="H1373" s="63" t="s">
        <v>12</v>
      </c>
      <c r="I1373" s="63">
        <v>0.1</v>
      </c>
      <c r="J1373" s="63">
        <v>1.0000100000000001</v>
      </c>
      <c r="K1373" s="63" t="s">
        <v>10</v>
      </c>
      <c r="L1373" s="63">
        <v>57999</v>
      </c>
      <c r="M1373" s="63">
        <v>2.1802999999999999E-2</v>
      </c>
      <c r="N1373" s="63">
        <v>57999</v>
      </c>
      <c r="O1373" s="64">
        <v>2.0732E-2</v>
      </c>
    </row>
    <row r="1374" spans="1:15" x14ac:dyDescent="0.25">
      <c r="A1374" s="114" t="s">
        <v>1730</v>
      </c>
      <c r="B1374" s="63" t="s">
        <v>51</v>
      </c>
      <c r="C1374" s="63" t="s">
        <v>58</v>
      </c>
      <c r="D1374" s="63">
        <v>110</v>
      </c>
      <c r="E1374" s="63">
        <v>205.01</v>
      </c>
      <c r="F1374" s="63">
        <v>100</v>
      </c>
      <c r="G1374" s="63" t="s">
        <v>13</v>
      </c>
      <c r="H1374" s="63" t="s">
        <v>12</v>
      </c>
      <c r="I1374" s="63">
        <v>1</v>
      </c>
      <c r="J1374" s="63">
        <v>5</v>
      </c>
      <c r="K1374" s="63" t="s">
        <v>10</v>
      </c>
      <c r="L1374" s="63">
        <v>57768</v>
      </c>
      <c r="M1374" s="63">
        <v>3.2888999999999999</v>
      </c>
      <c r="N1374" s="63">
        <v>57768</v>
      </c>
      <c r="O1374" s="64">
        <v>3.2877999999999998</v>
      </c>
    </row>
    <row r="1375" spans="1:15" x14ac:dyDescent="0.25">
      <c r="A1375" s="114" t="s">
        <v>1732</v>
      </c>
      <c r="B1375" s="63" t="s">
        <v>51</v>
      </c>
      <c r="C1375" s="63" t="s">
        <v>58</v>
      </c>
      <c r="D1375" s="63">
        <v>110</v>
      </c>
      <c r="E1375" s="63">
        <v>205.01</v>
      </c>
      <c r="F1375" s="63">
        <v>100</v>
      </c>
      <c r="G1375" s="63" t="s">
        <v>13</v>
      </c>
      <c r="H1375" s="63" t="s">
        <v>12</v>
      </c>
      <c r="I1375" s="63">
        <v>5</v>
      </c>
      <c r="J1375" s="63">
        <v>5.01</v>
      </c>
      <c r="K1375" s="63" t="s">
        <v>10</v>
      </c>
      <c r="L1375" s="63">
        <v>57768</v>
      </c>
      <c r="M1375" s="63">
        <v>3.2888999999999999</v>
      </c>
      <c r="N1375" s="63">
        <v>57768</v>
      </c>
      <c r="O1375" s="64">
        <v>3.2877999999999998</v>
      </c>
    </row>
    <row r="1376" spans="1:15" x14ac:dyDescent="0.25">
      <c r="A1376" s="114" t="s">
        <v>1611</v>
      </c>
      <c r="B1376" s="63" t="s">
        <v>51</v>
      </c>
      <c r="C1376" s="63" t="s">
        <v>59</v>
      </c>
      <c r="D1376" s="63">
        <v>22</v>
      </c>
      <c r="E1376" s="63">
        <v>60.000999999999998</v>
      </c>
      <c r="F1376" s="63">
        <v>1E-3</v>
      </c>
      <c r="G1376" s="63" t="s">
        <v>13</v>
      </c>
      <c r="H1376" s="63" t="s">
        <v>12</v>
      </c>
      <c r="I1376" s="63">
        <v>0.01</v>
      </c>
      <c r="J1376" s="63">
        <v>4.5010000000000001E-2</v>
      </c>
      <c r="K1376" s="63" t="s">
        <v>10</v>
      </c>
      <c r="L1376" s="63">
        <v>-5.2</v>
      </c>
      <c r="M1376" s="63">
        <v>3</v>
      </c>
      <c r="N1376" s="63">
        <v>-6.3514999999999997</v>
      </c>
      <c r="O1376" s="64">
        <v>3.0358000000000001</v>
      </c>
    </row>
    <row r="1377" spans="1:15" x14ac:dyDescent="0.25">
      <c r="A1377" s="114" t="s">
        <v>1610</v>
      </c>
      <c r="B1377" s="63" t="s">
        <v>51</v>
      </c>
      <c r="C1377" s="63" t="s">
        <v>59</v>
      </c>
      <c r="D1377" s="63">
        <v>22</v>
      </c>
      <c r="E1377" s="63">
        <v>60.000999999999998</v>
      </c>
      <c r="F1377" s="63">
        <v>1E-3</v>
      </c>
      <c r="G1377" s="63" t="s">
        <v>13</v>
      </c>
      <c r="H1377" s="63" t="s">
        <v>12</v>
      </c>
      <c r="I1377" s="63">
        <v>4.4999999999999998E-2</v>
      </c>
      <c r="J1377" s="63">
        <v>1.0000100000000001</v>
      </c>
      <c r="K1377" s="63" t="s">
        <v>10</v>
      </c>
      <c r="L1377" s="63">
        <v>15</v>
      </c>
      <c r="M1377" s="63">
        <v>2.2999999999999998</v>
      </c>
      <c r="N1377" s="63">
        <v>-5.0780000000000003</v>
      </c>
      <c r="O1377" s="64">
        <v>2.2269999999999999</v>
      </c>
    </row>
    <row r="1378" spans="1:15" x14ac:dyDescent="0.25">
      <c r="A1378" s="114" t="s">
        <v>1612</v>
      </c>
      <c r="B1378" s="63" t="s">
        <v>51</v>
      </c>
      <c r="C1378" s="63" t="s">
        <v>59</v>
      </c>
      <c r="D1378" s="63">
        <v>22</v>
      </c>
      <c r="E1378" s="63">
        <v>60.000999999999998</v>
      </c>
      <c r="F1378" s="63">
        <v>1E-3</v>
      </c>
      <c r="G1378" s="63" t="s">
        <v>13</v>
      </c>
      <c r="H1378" s="63" t="s">
        <v>12</v>
      </c>
      <c r="I1378" s="63">
        <v>1</v>
      </c>
      <c r="J1378" s="63">
        <v>5.01</v>
      </c>
      <c r="K1378" s="63" t="s">
        <v>10</v>
      </c>
      <c r="L1378" s="63">
        <v>2.2999999999999998</v>
      </c>
      <c r="M1378" s="63">
        <v>7.6</v>
      </c>
      <c r="N1378" s="63">
        <v>2.2214999999999998</v>
      </c>
      <c r="O1378" s="64">
        <v>7.5885999999999996</v>
      </c>
    </row>
    <row r="1379" spans="1:15" x14ac:dyDescent="0.25">
      <c r="A1379" s="114" t="s">
        <v>2468</v>
      </c>
      <c r="B1379" s="63" t="s">
        <v>51</v>
      </c>
      <c r="C1379" s="63" t="s">
        <v>59</v>
      </c>
      <c r="D1379" s="63">
        <v>22</v>
      </c>
      <c r="E1379" s="63">
        <v>60.000999999999998</v>
      </c>
      <c r="F1379" s="63">
        <v>1E-3</v>
      </c>
      <c r="G1379" s="63" t="s">
        <v>13</v>
      </c>
      <c r="H1379" s="63" t="s">
        <v>12</v>
      </c>
      <c r="I1379" s="63">
        <v>5</v>
      </c>
      <c r="J1379" s="63">
        <v>10</v>
      </c>
      <c r="K1379" s="63" t="s">
        <v>10</v>
      </c>
      <c r="L1379" s="63">
        <v>52</v>
      </c>
      <c r="M1379" s="63">
        <v>30</v>
      </c>
      <c r="N1379" s="63">
        <v>34.529000000000003</v>
      </c>
      <c r="O1379" s="64">
        <v>30.459</v>
      </c>
    </row>
    <row r="1380" spans="1:15" x14ac:dyDescent="0.25">
      <c r="A1380" s="114" t="s">
        <v>1613</v>
      </c>
      <c r="B1380" s="63" t="s">
        <v>51</v>
      </c>
      <c r="C1380" s="63" t="s">
        <v>59</v>
      </c>
      <c r="D1380" s="63">
        <v>22</v>
      </c>
      <c r="E1380" s="63">
        <v>60.000999999999998</v>
      </c>
      <c r="F1380" s="63">
        <v>1E-3</v>
      </c>
      <c r="G1380" s="63" t="s">
        <v>13</v>
      </c>
      <c r="H1380" s="63" t="s">
        <v>12</v>
      </c>
      <c r="I1380" s="63">
        <v>10</v>
      </c>
      <c r="J1380" s="63">
        <v>10.01</v>
      </c>
      <c r="K1380" s="63" t="s">
        <v>10</v>
      </c>
      <c r="L1380" s="63">
        <v>52</v>
      </c>
      <c r="M1380" s="63">
        <v>30</v>
      </c>
      <c r="N1380" s="63">
        <v>34.529000000000003</v>
      </c>
      <c r="O1380" s="64">
        <v>30.459</v>
      </c>
    </row>
    <row r="1381" spans="1:15" x14ac:dyDescent="0.25">
      <c r="A1381" s="114" t="s">
        <v>1615</v>
      </c>
      <c r="B1381" s="63" t="s">
        <v>51</v>
      </c>
      <c r="C1381" s="63" t="s">
        <v>59</v>
      </c>
      <c r="D1381" s="63">
        <v>22</v>
      </c>
      <c r="E1381" s="63">
        <v>60.000999999999998</v>
      </c>
      <c r="F1381" s="63">
        <v>0.01</v>
      </c>
      <c r="G1381" s="63" t="s">
        <v>13</v>
      </c>
      <c r="H1381" s="63" t="s">
        <v>12</v>
      </c>
      <c r="I1381" s="63">
        <v>0.01</v>
      </c>
      <c r="J1381" s="63">
        <v>4.5010000000000001E-2</v>
      </c>
      <c r="K1381" s="63" t="s">
        <v>10</v>
      </c>
      <c r="L1381" s="63">
        <v>-5.2</v>
      </c>
      <c r="M1381" s="63">
        <v>3.0308999999999999</v>
      </c>
      <c r="N1381" s="63">
        <v>-6.0166000000000004</v>
      </c>
      <c r="O1381" s="64">
        <v>3.0310000000000001</v>
      </c>
    </row>
    <row r="1382" spans="1:15" x14ac:dyDescent="0.25">
      <c r="A1382" s="114" t="s">
        <v>1616</v>
      </c>
      <c r="B1382" s="63" t="s">
        <v>51</v>
      </c>
      <c r="C1382" s="63" t="s">
        <v>59</v>
      </c>
      <c r="D1382" s="63">
        <v>22</v>
      </c>
      <c r="E1382" s="63">
        <v>60.000999999999998</v>
      </c>
      <c r="F1382" s="63">
        <v>0.01</v>
      </c>
      <c r="G1382" s="63" t="s">
        <v>13</v>
      </c>
      <c r="H1382" s="63" t="s">
        <v>12</v>
      </c>
      <c r="I1382" s="63">
        <v>4.4999999999999998E-2</v>
      </c>
      <c r="J1382" s="63">
        <v>1.0000100000000001</v>
      </c>
      <c r="K1382" s="63" t="s">
        <v>10</v>
      </c>
      <c r="L1382" s="63">
        <v>15</v>
      </c>
      <c r="M1382" s="63">
        <v>2.2999999999999998</v>
      </c>
      <c r="N1382" s="63">
        <v>-4.6150000000000002</v>
      </c>
      <c r="O1382" s="64">
        <v>2.2202999999999999</v>
      </c>
    </row>
    <row r="1383" spans="1:15" x14ac:dyDescent="0.25">
      <c r="A1383" s="114" t="s">
        <v>1614</v>
      </c>
      <c r="B1383" s="63" t="s">
        <v>51</v>
      </c>
      <c r="C1383" s="63" t="s">
        <v>59</v>
      </c>
      <c r="D1383" s="63">
        <v>22</v>
      </c>
      <c r="E1383" s="63">
        <v>60.000999999999998</v>
      </c>
      <c r="F1383" s="63">
        <v>0.01</v>
      </c>
      <c r="G1383" s="63" t="s">
        <v>13</v>
      </c>
      <c r="H1383" s="63" t="s">
        <v>12</v>
      </c>
      <c r="I1383" s="63">
        <v>1</v>
      </c>
      <c r="J1383" s="63">
        <v>5.01</v>
      </c>
      <c r="K1383" s="63" t="s">
        <v>10</v>
      </c>
      <c r="L1383" s="63">
        <v>2.3481999999999998</v>
      </c>
      <c r="M1383" s="63">
        <v>7.5869</v>
      </c>
      <c r="N1383" s="63">
        <v>2.3433000000000002</v>
      </c>
      <c r="O1383" s="64">
        <v>7.5869</v>
      </c>
    </row>
    <row r="1384" spans="1:15" x14ac:dyDescent="0.25">
      <c r="A1384" s="114" t="s">
        <v>2469</v>
      </c>
      <c r="B1384" s="63" t="s">
        <v>51</v>
      </c>
      <c r="C1384" s="63" t="s">
        <v>59</v>
      </c>
      <c r="D1384" s="63">
        <v>22</v>
      </c>
      <c r="E1384" s="63">
        <v>60.000999999999998</v>
      </c>
      <c r="F1384" s="63">
        <v>0.01</v>
      </c>
      <c r="G1384" s="63" t="s">
        <v>13</v>
      </c>
      <c r="H1384" s="63" t="s">
        <v>12</v>
      </c>
      <c r="I1384" s="63">
        <v>5</v>
      </c>
      <c r="J1384" s="63">
        <v>10</v>
      </c>
      <c r="K1384" s="63" t="s">
        <v>10</v>
      </c>
      <c r="L1384" s="63">
        <v>52</v>
      </c>
      <c r="M1384" s="63">
        <v>30.457999999999998</v>
      </c>
      <c r="N1384" s="63">
        <v>34.545000000000002</v>
      </c>
      <c r="O1384" s="64">
        <v>30.459</v>
      </c>
    </row>
    <row r="1385" spans="1:15" x14ac:dyDescent="0.25">
      <c r="A1385" s="114" t="s">
        <v>1617</v>
      </c>
      <c r="B1385" s="63" t="s">
        <v>51</v>
      </c>
      <c r="C1385" s="63" t="s">
        <v>59</v>
      </c>
      <c r="D1385" s="63">
        <v>22</v>
      </c>
      <c r="E1385" s="63">
        <v>60.000999999999998</v>
      </c>
      <c r="F1385" s="63">
        <v>0.01</v>
      </c>
      <c r="G1385" s="63" t="s">
        <v>13</v>
      </c>
      <c r="H1385" s="63" t="s">
        <v>12</v>
      </c>
      <c r="I1385" s="63">
        <v>10</v>
      </c>
      <c r="J1385" s="63">
        <v>10.01</v>
      </c>
      <c r="K1385" s="63" t="s">
        <v>10</v>
      </c>
      <c r="L1385" s="63">
        <v>52</v>
      </c>
      <c r="M1385" s="63">
        <v>30.457999999999998</v>
      </c>
      <c r="N1385" s="63">
        <v>34.545000000000002</v>
      </c>
      <c r="O1385" s="64">
        <v>30.459</v>
      </c>
    </row>
    <row r="1386" spans="1:15" x14ac:dyDescent="0.25">
      <c r="A1386" s="114" t="s">
        <v>2470</v>
      </c>
      <c r="B1386" s="63" t="s">
        <v>51</v>
      </c>
      <c r="C1386" s="63" t="s">
        <v>59</v>
      </c>
      <c r="D1386" s="63">
        <v>60</v>
      </c>
      <c r="E1386" s="63">
        <v>220.01</v>
      </c>
      <c r="F1386" s="63">
        <v>0.01</v>
      </c>
      <c r="G1386" s="63" t="s">
        <v>13</v>
      </c>
      <c r="H1386" s="63" t="s">
        <v>12</v>
      </c>
      <c r="I1386" s="63">
        <v>4.4999999999999998E-2</v>
      </c>
      <c r="J1386" s="63">
        <v>0.10001</v>
      </c>
      <c r="K1386" s="63" t="s">
        <v>10</v>
      </c>
      <c r="L1386" s="63">
        <v>24</v>
      </c>
      <c r="M1386" s="63">
        <v>2.1</v>
      </c>
      <c r="N1386" s="63">
        <v>23.533999999999999</v>
      </c>
      <c r="O1386" s="64">
        <v>2.0874999999999999</v>
      </c>
    </row>
    <row r="1387" spans="1:15" x14ac:dyDescent="0.25">
      <c r="A1387" s="114" t="s">
        <v>2471</v>
      </c>
      <c r="B1387" s="63" t="s">
        <v>51</v>
      </c>
      <c r="C1387" s="63" t="s">
        <v>59</v>
      </c>
      <c r="D1387" s="63">
        <v>60</v>
      </c>
      <c r="E1387" s="63">
        <v>220.01</v>
      </c>
      <c r="F1387" s="63">
        <v>0.01</v>
      </c>
      <c r="G1387" s="63" t="s">
        <v>13</v>
      </c>
      <c r="H1387" s="63" t="s">
        <v>12</v>
      </c>
      <c r="I1387" s="63">
        <v>0.1</v>
      </c>
      <c r="J1387" s="63">
        <v>1.0000100000000001</v>
      </c>
      <c r="K1387" s="63" t="s">
        <v>10</v>
      </c>
      <c r="L1387" s="63">
        <v>30</v>
      </c>
      <c r="M1387" s="63">
        <v>2.2999999999999998</v>
      </c>
      <c r="N1387" s="63">
        <v>29.364000000000001</v>
      </c>
      <c r="O1387" s="64">
        <v>2.2879</v>
      </c>
    </row>
    <row r="1388" spans="1:15" x14ac:dyDescent="0.25">
      <c r="A1388" s="114" t="s">
        <v>1628</v>
      </c>
      <c r="B1388" s="63" t="s">
        <v>51</v>
      </c>
      <c r="C1388" s="63" t="s">
        <v>59</v>
      </c>
      <c r="D1388" s="63">
        <v>60</v>
      </c>
      <c r="E1388" s="63">
        <v>220.01</v>
      </c>
      <c r="F1388" s="63">
        <v>0.01</v>
      </c>
      <c r="G1388" s="63" t="s">
        <v>13</v>
      </c>
      <c r="H1388" s="63" t="s">
        <v>12</v>
      </c>
      <c r="I1388" s="63">
        <v>1</v>
      </c>
      <c r="J1388" s="63">
        <v>5</v>
      </c>
      <c r="K1388" s="63" t="s">
        <v>10</v>
      </c>
      <c r="L1388" s="63">
        <v>47</v>
      </c>
      <c r="M1388" s="63">
        <v>35</v>
      </c>
      <c r="N1388" s="63">
        <v>46.103000000000002</v>
      </c>
      <c r="O1388" s="64">
        <v>34.698999999999998</v>
      </c>
    </row>
    <row r="1389" spans="1:15" x14ac:dyDescent="0.25">
      <c r="A1389" s="114" t="s">
        <v>1629</v>
      </c>
      <c r="B1389" s="63" t="s">
        <v>51</v>
      </c>
      <c r="C1389" s="63" t="s">
        <v>59</v>
      </c>
      <c r="D1389" s="63">
        <v>60</v>
      </c>
      <c r="E1389" s="63">
        <v>220.01</v>
      </c>
      <c r="F1389" s="63">
        <v>0.01</v>
      </c>
      <c r="G1389" s="63" t="s">
        <v>13</v>
      </c>
      <c r="H1389" s="63" t="s">
        <v>12</v>
      </c>
      <c r="I1389" s="63">
        <v>5</v>
      </c>
      <c r="J1389" s="63">
        <v>5.01</v>
      </c>
      <c r="K1389" s="63" t="s">
        <v>10</v>
      </c>
      <c r="L1389" s="63">
        <v>47</v>
      </c>
      <c r="M1389" s="63">
        <v>35</v>
      </c>
      <c r="N1389" s="63">
        <v>46.103000000000002</v>
      </c>
      <c r="O1389" s="64">
        <v>34.698999999999998</v>
      </c>
    </row>
    <row r="1390" spans="1:15" x14ac:dyDescent="0.25">
      <c r="A1390" s="114" t="s">
        <v>1643</v>
      </c>
      <c r="B1390" s="63" t="s">
        <v>51</v>
      </c>
      <c r="C1390" s="63" t="s">
        <v>59</v>
      </c>
      <c r="D1390" s="63">
        <v>220</v>
      </c>
      <c r="E1390" s="63">
        <v>410.01</v>
      </c>
      <c r="F1390" s="63">
        <v>0.01</v>
      </c>
      <c r="G1390" s="63" t="s">
        <v>13</v>
      </c>
      <c r="H1390" s="63" t="s">
        <v>12</v>
      </c>
      <c r="I1390" s="63">
        <v>4.4999999999999998E-2</v>
      </c>
      <c r="J1390" s="63">
        <v>0.10001</v>
      </c>
      <c r="K1390" s="63" t="s">
        <v>10</v>
      </c>
      <c r="L1390" s="63">
        <v>84</v>
      </c>
      <c r="M1390" s="63">
        <v>2.4</v>
      </c>
      <c r="N1390" s="63">
        <v>76.977999999999994</v>
      </c>
      <c r="O1390" s="64">
        <v>2.4161000000000001</v>
      </c>
    </row>
    <row r="1391" spans="1:15" x14ac:dyDescent="0.25">
      <c r="A1391" s="114" t="s">
        <v>1644</v>
      </c>
      <c r="B1391" s="63" t="s">
        <v>51</v>
      </c>
      <c r="C1391" s="63" t="s">
        <v>59</v>
      </c>
      <c r="D1391" s="63">
        <v>220</v>
      </c>
      <c r="E1391" s="63">
        <v>410.01</v>
      </c>
      <c r="F1391" s="63">
        <v>0.01</v>
      </c>
      <c r="G1391" s="63" t="s">
        <v>13</v>
      </c>
      <c r="H1391" s="63" t="s">
        <v>12</v>
      </c>
      <c r="I1391" s="63">
        <v>0.1</v>
      </c>
      <c r="J1391" s="63">
        <v>1.0000100000000001</v>
      </c>
      <c r="K1391" s="63" t="s">
        <v>10</v>
      </c>
      <c r="L1391" s="63">
        <v>98</v>
      </c>
      <c r="M1391" s="63">
        <v>2.6</v>
      </c>
      <c r="N1391" s="63">
        <v>84.28</v>
      </c>
      <c r="O1391" s="64">
        <v>2.6326000000000001</v>
      </c>
    </row>
    <row r="1392" spans="1:15" x14ac:dyDescent="0.25">
      <c r="A1392" s="114" t="s">
        <v>1642</v>
      </c>
      <c r="B1392" s="63" t="s">
        <v>51</v>
      </c>
      <c r="C1392" s="63" t="s">
        <v>59</v>
      </c>
      <c r="D1392" s="63">
        <v>220</v>
      </c>
      <c r="E1392" s="63">
        <v>410.01</v>
      </c>
      <c r="F1392" s="63">
        <v>0.01</v>
      </c>
      <c r="G1392" s="63" t="s">
        <v>13</v>
      </c>
      <c r="H1392" s="63" t="s">
        <v>12</v>
      </c>
      <c r="I1392" s="63">
        <v>1</v>
      </c>
      <c r="J1392" s="63">
        <v>5</v>
      </c>
      <c r="K1392" s="63" t="s">
        <v>10</v>
      </c>
      <c r="L1392" s="63">
        <v>120</v>
      </c>
      <c r="M1392" s="63">
        <v>35</v>
      </c>
      <c r="N1392" s="63">
        <v>115.22</v>
      </c>
      <c r="O1392" s="64">
        <v>34.698999999999998</v>
      </c>
    </row>
    <row r="1393" spans="1:15" x14ac:dyDescent="0.25">
      <c r="A1393" s="114" t="s">
        <v>1645</v>
      </c>
      <c r="B1393" s="63" t="s">
        <v>51</v>
      </c>
      <c r="C1393" s="63" t="s">
        <v>59</v>
      </c>
      <c r="D1393" s="63">
        <v>220</v>
      </c>
      <c r="E1393" s="63">
        <v>410.01</v>
      </c>
      <c r="F1393" s="63">
        <v>0.01</v>
      </c>
      <c r="G1393" s="63" t="s">
        <v>13</v>
      </c>
      <c r="H1393" s="63" t="s">
        <v>12</v>
      </c>
      <c r="I1393" s="63">
        <v>5</v>
      </c>
      <c r="J1393" s="63">
        <v>5.01</v>
      </c>
      <c r="K1393" s="63" t="s">
        <v>10</v>
      </c>
      <c r="L1393" s="63">
        <v>120</v>
      </c>
      <c r="M1393" s="63">
        <v>35</v>
      </c>
      <c r="N1393" s="63">
        <v>115.22</v>
      </c>
      <c r="O1393" s="64">
        <v>34.698999999999998</v>
      </c>
    </row>
    <row r="1394" spans="1:15" x14ac:dyDescent="0.25">
      <c r="A1394" s="114" t="s">
        <v>1618</v>
      </c>
      <c r="B1394" s="63" t="s">
        <v>51</v>
      </c>
      <c r="C1394" s="63" t="s">
        <v>59</v>
      </c>
      <c r="D1394" s="63">
        <v>22</v>
      </c>
      <c r="E1394" s="63">
        <v>60.000999999999998</v>
      </c>
      <c r="F1394" s="63">
        <v>0.1</v>
      </c>
      <c r="G1394" s="63" t="s">
        <v>13</v>
      </c>
      <c r="H1394" s="63" t="s">
        <v>12</v>
      </c>
      <c r="I1394" s="63">
        <v>0.01</v>
      </c>
      <c r="J1394" s="63">
        <v>4.5010000000000001E-2</v>
      </c>
      <c r="K1394" s="63" t="s">
        <v>10</v>
      </c>
      <c r="L1394" s="63">
        <v>24.504000000000001</v>
      </c>
      <c r="M1394" s="63">
        <v>2.6608999999999998</v>
      </c>
      <c r="N1394" s="63">
        <v>24.465</v>
      </c>
      <c r="O1394" s="64">
        <v>2.6608000000000001</v>
      </c>
    </row>
    <row r="1395" spans="1:15" x14ac:dyDescent="0.25">
      <c r="A1395" s="114" t="s">
        <v>1619</v>
      </c>
      <c r="B1395" s="63" t="s">
        <v>51</v>
      </c>
      <c r="C1395" s="63" t="s">
        <v>59</v>
      </c>
      <c r="D1395" s="63">
        <v>22</v>
      </c>
      <c r="E1395" s="63">
        <v>60.000999999999998</v>
      </c>
      <c r="F1395" s="63">
        <v>0.1</v>
      </c>
      <c r="G1395" s="63" t="s">
        <v>13</v>
      </c>
      <c r="H1395" s="63" t="s">
        <v>12</v>
      </c>
      <c r="I1395" s="63">
        <v>4.4999999999999998E-2</v>
      </c>
      <c r="J1395" s="63">
        <v>1.0000100000000001</v>
      </c>
      <c r="K1395" s="63" t="s">
        <v>10</v>
      </c>
      <c r="L1395" s="63">
        <v>25.632000000000001</v>
      </c>
      <c r="M1395" s="63">
        <v>2.1227999999999998</v>
      </c>
      <c r="N1395" s="63">
        <v>32.901000000000003</v>
      </c>
      <c r="O1395" s="64">
        <v>1.7903</v>
      </c>
    </row>
    <row r="1396" spans="1:15" x14ac:dyDescent="0.25">
      <c r="A1396" s="114" t="s">
        <v>1622</v>
      </c>
      <c r="B1396" s="63" t="s">
        <v>51</v>
      </c>
      <c r="C1396" s="63" t="s">
        <v>59</v>
      </c>
      <c r="D1396" s="63">
        <v>22</v>
      </c>
      <c r="E1396" s="63">
        <v>60.000999999999998</v>
      </c>
      <c r="F1396" s="63">
        <v>0.1</v>
      </c>
      <c r="G1396" s="63" t="s">
        <v>13</v>
      </c>
      <c r="H1396" s="63" t="s">
        <v>12</v>
      </c>
      <c r="I1396" s="63">
        <v>1</v>
      </c>
      <c r="J1396" s="63">
        <v>5.01</v>
      </c>
      <c r="K1396" s="63" t="s">
        <v>10</v>
      </c>
      <c r="L1396" s="63">
        <v>14.11</v>
      </c>
      <c r="M1396" s="63">
        <v>7.4272999999999998</v>
      </c>
      <c r="N1396" s="63">
        <v>14.090999999999999</v>
      </c>
      <c r="O1396" s="64">
        <v>7.4272999999999998</v>
      </c>
    </row>
    <row r="1397" spans="1:15" x14ac:dyDescent="0.25">
      <c r="A1397" s="114" t="s">
        <v>1620</v>
      </c>
      <c r="B1397" s="63" t="s">
        <v>51</v>
      </c>
      <c r="C1397" s="63" t="s">
        <v>59</v>
      </c>
      <c r="D1397" s="63">
        <v>22</v>
      </c>
      <c r="E1397" s="63">
        <v>60.000999999999998</v>
      </c>
      <c r="F1397" s="63">
        <v>0.1</v>
      </c>
      <c r="G1397" s="63" t="s">
        <v>13</v>
      </c>
      <c r="H1397" s="63" t="s">
        <v>12</v>
      </c>
      <c r="I1397" s="63">
        <v>5</v>
      </c>
      <c r="J1397" s="63">
        <v>10</v>
      </c>
      <c r="K1397" s="63" t="s">
        <v>10</v>
      </c>
      <c r="L1397" s="63">
        <v>52</v>
      </c>
      <c r="M1397" s="63">
        <v>30.419</v>
      </c>
      <c r="N1397" s="63">
        <v>37.46</v>
      </c>
      <c r="O1397" s="64">
        <v>30.419</v>
      </c>
    </row>
    <row r="1398" spans="1:15" x14ac:dyDescent="0.25">
      <c r="A1398" s="114" t="s">
        <v>1621</v>
      </c>
      <c r="B1398" s="63" t="s">
        <v>51</v>
      </c>
      <c r="C1398" s="63" t="s">
        <v>59</v>
      </c>
      <c r="D1398" s="63">
        <v>22</v>
      </c>
      <c r="E1398" s="63">
        <v>60.000999999999998</v>
      </c>
      <c r="F1398" s="63">
        <v>0.1</v>
      </c>
      <c r="G1398" s="63" t="s">
        <v>13</v>
      </c>
      <c r="H1398" s="63" t="s">
        <v>12</v>
      </c>
      <c r="I1398" s="63">
        <v>10</v>
      </c>
      <c r="J1398" s="63">
        <v>10.01</v>
      </c>
      <c r="K1398" s="63" t="s">
        <v>10</v>
      </c>
      <c r="L1398" s="63">
        <v>52</v>
      </c>
      <c r="M1398" s="63">
        <v>30.419</v>
      </c>
      <c r="N1398" s="63">
        <v>37.46</v>
      </c>
      <c r="O1398" s="64">
        <v>30.419</v>
      </c>
    </row>
    <row r="1399" spans="1:15" x14ac:dyDescent="0.25">
      <c r="A1399" s="114" t="s">
        <v>2472</v>
      </c>
      <c r="B1399" s="63" t="s">
        <v>51</v>
      </c>
      <c r="C1399" s="63" t="s">
        <v>59</v>
      </c>
      <c r="D1399" s="63">
        <v>60</v>
      </c>
      <c r="E1399" s="63">
        <v>220.01</v>
      </c>
      <c r="F1399" s="63">
        <v>0.1</v>
      </c>
      <c r="G1399" s="63" t="s">
        <v>13</v>
      </c>
      <c r="H1399" s="63" t="s">
        <v>12</v>
      </c>
      <c r="I1399" s="63">
        <v>4.4999999999999998E-2</v>
      </c>
      <c r="J1399" s="63">
        <v>0.10001</v>
      </c>
      <c r="K1399" s="63" t="s">
        <v>10</v>
      </c>
      <c r="L1399" s="63">
        <v>37.146000000000001</v>
      </c>
      <c r="M1399" s="63">
        <v>2.0415000000000001</v>
      </c>
      <c r="N1399" s="63">
        <v>37.093000000000004</v>
      </c>
      <c r="O1399" s="64">
        <v>2.0415000000000001</v>
      </c>
    </row>
    <row r="1400" spans="1:15" x14ac:dyDescent="0.25">
      <c r="A1400" s="114" t="s">
        <v>1630</v>
      </c>
      <c r="B1400" s="63" t="s">
        <v>51</v>
      </c>
      <c r="C1400" s="63" t="s">
        <v>59</v>
      </c>
      <c r="D1400" s="63">
        <v>60</v>
      </c>
      <c r="E1400" s="63">
        <v>220.01</v>
      </c>
      <c r="F1400" s="63">
        <v>0.1</v>
      </c>
      <c r="G1400" s="63" t="s">
        <v>13</v>
      </c>
      <c r="H1400" s="63" t="s">
        <v>12</v>
      </c>
      <c r="I1400" s="63">
        <v>0.1</v>
      </c>
      <c r="J1400" s="63">
        <v>1.0000100000000001</v>
      </c>
      <c r="K1400" s="63" t="s">
        <v>10</v>
      </c>
      <c r="L1400" s="63">
        <v>41.543999999999997</v>
      </c>
      <c r="M1400" s="63">
        <v>2.2475000000000001</v>
      </c>
      <c r="N1400" s="63">
        <v>41.546999999999997</v>
      </c>
      <c r="O1400" s="64">
        <v>2.2467000000000001</v>
      </c>
    </row>
    <row r="1401" spans="1:15" x14ac:dyDescent="0.25">
      <c r="A1401" s="114" t="s">
        <v>2473</v>
      </c>
      <c r="B1401" s="63" t="s">
        <v>51</v>
      </c>
      <c r="C1401" s="63" t="s">
        <v>59</v>
      </c>
      <c r="D1401" s="63">
        <v>60</v>
      </c>
      <c r="E1401" s="63">
        <v>220.01</v>
      </c>
      <c r="F1401" s="63">
        <v>0.1</v>
      </c>
      <c r="G1401" s="63" t="s">
        <v>13</v>
      </c>
      <c r="H1401" s="63" t="s">
        <v>12</v>
      </c>
      <c r="I1401" s="63">
        <v>1</v>
      </c>
      <c r="J1401" s="63">
        <v>5</v>
      </c>
      <c r="K1401" s="63" t="s">
        <v>10</v>
      </c>
      <c r="L1401" s="63">
        <v>47</v>
      </c>
      <c r="M1401" s="63">
        <v>35</v>
      </c>
      <c r="N1401" s="63">
        <v>47.146000000000001</v>
      </c>
      <c r="O1401" s="64">
        <v>34.695</v>
      </c>
    </row>
    <row r="1402" spans="1:15" x14ac:dyDescent="0.25">
      <c r="A1402" s="114" t="s">
        <v>2474</v>
      </c>
      <c r="B1402" s="63" t="s">
        <v>51</v>
      </c>
      <c r="C1402" s="63" t="s">
        <v>59</v>
      </c>
      <c r="D1402" s="63">
        <v>60</v>
      </c>
      <c r="E1402" s="63">
        <v>220.01</v>
      </c>
      <c r="F1402" s="63">
        <v>0.1</v>
      </c>
      <c r="G1402" s="63" t="s">
        <v>13</v>
      </c>
      <c r="H1402" s="63" t="s">
        <v>12</v>
      </c>
      <c r="I1402" s="63">
        <v>5</v>
      </c>
      <c r="J1402" s="63">
        <v>5.01</v>
      </c>
      <c r="K1402" s="63" t="s">
        <v>10</v>
      </c>
      <c r="L1402" s="63">
        <v>47</v>
      </c>
      <c r="M1402" s="63">
        <v>35</v>
      </c>
      <c r="N1402" s="63">
        <v>47.146000000000001</v>
      </c>
      <c r="O1402" s="64">
        <v>34.695</v>
      </c>
    </row>
    <row r="1403" spans="1:15" x14ac:dyDescent="0.25">
      <c r="A1403" s="114" t="s">
        <v>1648</v>
      </c>
      <c r="B1403" s="63" t="s">
        <v>51</v>
      </c>
      <c r="C1403" s="63" t="s">
        <v>59</v>
      </c>
      <c r="D1403" s="63">
        <v>220</v>
      </c>
      <c r="E1403" s="63">
        <v>410.01</v>
      </c>
      <c r="F1403" s="63">
        <v>0.1</v>
      </c>
      <c r="G1403" s="63" t="s">
        <v>13</v>
      </c>
      <c r="H1403" s="63" t="s">
        <v>12</v>
      </c>
      <c r="I1403" s="63">
        <v>4.4999999999999998E-2</v>
      </c>
      <c r="J1403" s="63">
        <v>0.10001</v>
      </c>
      <c r="K1403" s="63" t="s">
        <v>10</v>
      </c>
      <c r="L1403" s="63">
        <v>84</v>
      </c>
      <c r="M1403" s="63">
        <v>2.4068999999999998</v>
      </c>
      <c r="N1403" s="63">
        <v>81.076999999999998</v>
      </c>
      <c r="O1403" s="64">
        <v>2.4098999999999999</v>
      </c>
    </row>
    <row r="1404" spans="1:15" x14ac:dyDescent="0.25">
      <c r="A1404" s="114" t="s">
        <v>1647</v>
      </c>
      <c r="B1404" s="63" t="s">
        <v>51</v>
      </c>
      <c r="C1404" s="63" t="s">
        <v>59</v>
      </c>
      <c r="D1404" s="63">
        <v>220</v>
      </c>
      <c r="E1404" s="63">
        <v>410.01</v>
      </c>
      <c r="F1404" s="63">
        <v>0.1</v>
      </c>
      <c r="G1404" s="63" t="s">
        <v>13</v>
      </c>
      <c r="H1404" s="63" t="s">
        <v>12</v>
      </c>
      <c r="I1404" s="63">
        <v>0.1</v>
      </c>
      <c r="J1404" s="63">
        <v>1.0000100000000001</v>
      </c>
      <c r="K1404" s="63" t="s">
        <v>10</v>
      </c>
      <c r="L1404" s="63">
        <v>98</v>
      </c>
      <c r="M1404" s="63">
        <v>2.6065</v>
      </c>
      <c r="N1404" s="63">
        <v>88.046000000000006</v>
      </c>
      <c r="O1404" s="64">
        <v>2.6269</v>
      </c>
    </row>
    <row r="1405" spans="1:15" x14ac:dyDescent="0.25">
      <c r="A1405" s="114" t="s">
        <v>1646</v>
      </c>
      <c r="B1405" s="63" t="s">
        <v>51</v>
      </c>
      <c r="C1405" s="63" t="s">
        <v>59</v>
      </c>
      <c r="D1405" s="63">
        <v>220</v>
      </c>
      <c r="E1405" s="63">
        <v>410.01</v>
      </c>
      <c r="F1405" s="63">
        <v>0.1</v>
      </c>
      <c r="G1405" s="63" t="s">
        <v>13</v>
      </c>
      <c r="H1405" s="63" t="s">
        <v>12</v>
      </c>
      <c r="I1405" s="63">
        <v>1</v>
      </c>
      <c r="J1405" s="63">
        <v>5</v>
      </c>
      <c r="K1405" s="63" t="s">
        <v>10</v>
      </c>
      <c r="L1405" s="63">
        <v>120</v>
      </c>
      <c r="M1405" s="63">
        <v>35</v>
      </c>
      <c r="N1405" s="63">
        <v>115.69</v>
      </c>
      <c r="O1405" s="64">
        <v>34.698</v>
      </c>
    </row>
    <row r="1406" spans="1:15" x14ac:dyDescent="0.25">
      <c r="A1406" s="114" t="s">
        <v>1649</v>
      </c>
      <c r="B1406" s="63" t="s">
        <v>51</v>
      </c>
      <c r="C1406" s="63" t="s">
        <v>59</v>
      </c>
      <c r="D1406" s="63">
        <v>220</v>
      </c>
      <c r="E1406" s="63">
        <v>410.01</v>
      </c>
      <c r="F1406" s="63">
        <v>0.1</v>
      </c>
      <c r="G1406" s="63" t="s">
        <v>13</v>
      </c>
      <c r="H1406" s="63" t="s">
        <v>12</v>
      </c>
      <c r="I1406" s="63">
        <v>5</v>
      </c>
      <c r="J1406" s="63">
        <v>5.01</v>
      </c>
      <c r="K1406" s="63" t="s">
        <v>10</v>
      </c>
      <c r="L1406" s="63">
        <v>120</v>
      </c>
      <c r="M1406" s="63">
        <v>35</v>
      </c>
      <c r="N1406" s="63">
        <v>115.69</v>
      </c>
      <c r="O1406" s="64">
        <v>34.698</v>
      </c>
    </row>
    <row r="1407" spans="1:15" x14ac:dyDescent="0.25">
      <c r="A1407" s="114" t="s">
        <v>2475</v>
      </c>
      <c r="B1407" s="63" t="s">
        <v>51</v>
      </c>
      <c r="C1407" s="63" t="s">
        <v>59</v>
      </c>
      <c r="D1407" s="63">
        <v>22</v>
      </c>
      <c r="E1407" s="63">
        <v>60.000999999999998</v>
      </c>
      <c r="F1407" s="63">
        <v>1</v>
      </c>
      <c r="G1407" s="63" t="s">
        <v>13</v>
      </c>
      <c r="H1407" s="63" t="s">
        <v>12</v>
      </c>
      <c r="I1407" s="63">
        <v>0.01</v>
      </c>
      <c r="J1407" s="63">
        <v>4.5010000000000001E-2</v>
      </c>
      <c r="K1407" s="63" t="s">
        <v>10</v>
      </c>
      <c r="L1407" s="63">
        <v>569.88</v>
      </c>
      <c r="M1407" s="63">
        <v>0.59872000000000003</v>
      </c>
      <c r="N1407" s="63">
        <v>569.88</v>
      </c>
      <c r="O1407" s="64">
        <v>0.59787000000000001</v>
      </c>
    </row>
    <row r="1408" spans="1:15" x14ac:dyDescent="0.25">
      <c r="A1408" s="114" t="s">
        <v>2476</v>
      </c>
      <c r="B1408" s="63" t="s">
        <v>51</v>
      </c>
      <c r="C1408" s="63" t="s">
        <v>59</v>
      </c>
      <c r="D1408" s="63">
        <v>22</v>
      </c>
      <c r="E1408" s="63">
        <v>60.000999999999998</v>
      </c>
      <c r="F1408" s="63">
        <v>1</v>
      </c>
      <c r="G1408" s="63" t="s">
        <v>13</v>
      </c>
      <c r="H1408" s="63" t="s">
        <v>12</v>
      </c>
      <c r="I1408" s="63">
        <v>4.4999999999999998E-2</v>
      </c>
      <c r="J1408" s="63">
        <v>1.0000100000000001</v>
      </c>
      <c r="K1408" s="63" t="s">
        <v>10</v>
      </c>
      <c r="L1408" s="63">
        <v>574.48</v>
      </c>
      <c r="M1408" s="63">
        <v>0.32468000000000002</v>
      </c>
      <c r="N1408" s="63">
        <v>574.48</v>
      </c>
      <c r="O1408" s="64">
        <v>0.32379999999999998</v>
      </c>
    </row>
    <row r="1409" spans="1:15" x14ac:dyDescent="0.25">
      <c r="A1409" s="114" t="s">
        <v>1624</v>
      </c>
      <c r="B1409" s="63" t="s">
        <v>51</v>
      </c>
      <c r="C1409" s="63" t="s">
        <v>59</v>
      </c>
      <c r="D1409" s="63">
        <v>22</v>
      </c>
      <c r="E1409" s="63">
        <v>60.000999999999998</v>
      </c>
      <c r="F1409" s="63">
        <v>1</v>
      </c>
      <c r="G1409" s="63" t="s">
        <v>13</v>
      </c>
      <c r="H1409" s="63" t="s">
        <v>12</v>
      </c>
      <c r="I1409" s="63">
        <v>1</v>
      </c>
      <c r="J1409" s="63">
        <v>5.01</v>
      </c>
      <c r="K1409" s="63" t="s">
        <v>10</v>
      </c>
      <c r="L1409" s="63">
        <v>526.04999999999995</v>
      </c>
      <c r="M1409" s="63">
        <v>3.5184000000000002</v>
      </c>
      <c r="N1409" s="63">
        <v>526.04999999999995</v>
      </c>
      <c r="O1409" s="64">
        <v>3.5177999999999998</v>
      </c>
    </row>
    <row r="1410" spans="1:15" x14ac:dyDescent="0.25">
      <c r="A1410" s="114" t="s">
        <v>1625</v>
      </c>
      <c r="B1410" s="63" t="s">
        <v>51</v>
      </c>
      <c r="C1410" s="63" t="s">
        <v>59</v>
      </c>
      <c r="D1410" s="63">
        <v>22</v>
      </c>
      <c r="E1410" s="63">
        <v>60.000999999999998</v>
      </c>
      <c r="F1410" s="63">
        <v>1</v>
      </c>
      <c r="G1410" s="63" t="s">
        <v>13</v>
      </c>
      <c r="H1410" s="63" t="s">
        <v>12</v>
      </c>
      <c r="I1410" s="63">
        <v>5</v>
      </c>
      <c r="J1410" s="63">
        <v>10</v>
      </c>
      <c r="K1410" s="63" t="s">
        <v>10</v>
      </c>
      <c r="L1410" s="63">
        <v>304.91000000000003</v>
      </c>
      <c r="M1410" s="63">
        <v>27.254999999999999</v>
      </c>
      <c r="N1410" s="63">
        <v>304.83999999999997</v>
      </c>
      <c r="O1410" s="64">
        <v>27.254999999999999</v>
      </c>
    </row>
    <row r="1411" spans="1:15" x14ac:dyDescent="0.25">
      <c r="A1411" s="114" t="s">
        <v>1623</v>
      </c>
      <c r="B1411" s="63" t="s">
        <v>51</v>
      </c>
      <c r="C1411" s="63" t="s">
        <v>59</v>
      </c>
      <c r="D1411" s="63">
        <v>22</v>
      </c>
      <c r="E1411" s="63">
        <v>60.000999999999998</v>
      </c>
      <c r="F1411" s="63">
        <v>1</v>
      </c>
      <c r="G1411" s="63" t="s">
        <v>13</v>
      </c>
      <c r="H1411" s="63" t="s">
        <v>12</v>
      </c>
      <c r="I1411" s="63">
        <v>10</v>
      </c>
      <c r="J1411" s="63">
        <v>10.01</v>
      </c>
      <c r="K1411" s="63" t="s">
        <v>10</v>
      </c>
      <c r="L1411" s="63">
        <v>304.91000000000003</v>
      </c>
      <c r="M1411" s="63">
        <v>27.254999999999999</v>
      </c>
      <c r="N1411" s="63">
        <v>304.83999999999997</v>
      </c>
      <c r="O1411" s="64">
        <v>27.254999999999999</v>
      </c>
    </row>
    <row r="1412" spans="1:15" x14ac:dyDescent="0.25">
      <c r="A1412" s="114" t="s">
        <v>1632</v>
      </c>
      <c r="B1412" s="63" t="s">
        <v>51</v>
      </c>
      <c r="C1412" s="63" t="s">
        <v>59</v>
      </c>
      <c r="D1412" s="63">
        <v>60</v>
      </c>
      <c r="E1412" s="63">
        <v>220.01</v>
      </c>
      <c r="F1412" s="63">
        <v>1</v>
      </c>
      <c r="G1412" s="63" t="s">
        <v>13</v>
      </c>
      <c r="H1412" s="63" t="s">
        <v>12</v>
      </c>
      <c r="I1412" s="63">
        <v>4.4999999999999998E-2</v>
      </c>
      <c r="J1412" s="63">
        <v>0.10001</v>
      </c>
      <c r="K1412" s="63" t="s">
        <v>10</v>
      </c>
      <c r="L1412" s="63">
        <v>540.32000000000005</v>
      </c>
      <c r="M1412" s="63">
        <v>0.97470999999999997</v>
      </c>
      <c r="N1412" s="63">
        <v>540.29999999999995</v>
      </c>
      <c r="O1412" s="64">
        <v>0.97416999999999998</v>
      </c>
    </row>
    <row r="1413" spans="1:15" x14ac:dyDescent="0.25">
      <c r="A1413" s="114" t="s">
        <v>1633</v>
      </c>
      <c r="B1413" s="63" t="s">
        <v>51</v>
      </c>
      <c r="C1413" s="63" t="s">
        <v>59</v>
      </c>
      <c r="D1413" s="63">
        <v>60</v>
      </c>
      <c r="E1413" s="63">
        <v>220.01</v>
      </c>
      <c r="F1413" s="63">
        <v>1</v>
      </c>
      <c r="G1413" s="63" t="s">
        <v>13</v>
      </c>
      <c r="H1413" s="63" t="s">
        <v>12</v>
      </c>
      <c r="I1413" s="63">
        <v>0.1</v>
      </c>
      <c r="J1413" s="63">
        <v>1.0000100000000001</v>
      </c>
      <c r="K1413" s="63" t="s">
        <v>10</v>
      </c>
      <c r="L1413" s="63">
        <v>534.45000000000005</v>
      </c>
      <c r="M1413" s="63">
        <v>1.1508</v>
      </c>
      <c r="N1413" s="63">
        <v>534.41999999999996</v>
      </c>
      <c r="O1413" s="64">
        <v>1.1503000000000001</v>
      </c>
    </row>
    <row r="1414" spans="1:15" x14ac:dyDescent="0.25">
      <c r="A1414" s="114" t="s">
        <v>2477</v>
      </c>
      <c r="B1414" s="63" t="s">
        <v>51</v>
      </c>
      <c r="C1414" s="63" t="s">
        <v>59</v>
      </c>
      <c r="D1414" s="63">
        <v>60</v>
      </c>
      <c r="E1414" s="63">
        <v>220.01</v>
      </c>
      <c r="F1414" s="63">
        <v>1</v>
      </c>
      <c r="G1414" s="63" t="s">
        <v>13</v>
      </c>
      <c r="H1414" s="63" t="s">
        <v>12</v>
      </c>
      <c r="I1414" s="63">
        <v>1</v>
      </c>
      <c r="J1414" s="63">
        <v>5</v>
      </c>
      <c r="K1414" s="63" t="s">
        <v>10</v>
      </c>
      <c r="L1414" s="63">
        <v>127.73</v>
      </c>
      <c r="M1414" s="63">
        <v>34.633000000000003</v>
      </c>
      <c r="N1414" s="63">
        <v>144.69999999999999</v>
      </c>
      <c r="O1414" s="64">
        <v>34.35</v>
      </c>
    </row>
    <row r="1415" spans="1:15" x14ac:dyDescent="0.25">
      <c r="A1415" s="114" t="s">
        <v>1631</v>
      </c>
      <c r="B1415" s="63" t="s">
        <v>51</v>
      </c>
      <c r="C1415" s="63" t="s">
        <v>59</v>
      </c>
      <c r="D1415" s="63">
        <v>60</v>
      </c>
      <c r="E1415" s="63">
        <v>220.01</v>
      </c>
      <c r="F1415" s="63">
        <v>1</v>
      </c>
      <c r="G1415" s="63" t="s">
        <v>13</v>
      </c>
      <c r="H1415" s="63" t="s">
        <v>12</v>
      </c>
      <c r="I1415" s="63">
        <v>5</v>
      </c>
      <c r="J1415" s="63">
        <v>5.01</v>
      </c>
      <c r="K1415" s="63" t="s">
        <v>10</v>
      </c>
      <c r="L1415" s="63">
        <v>127.73</v>
      </c>
      <c r="M1415" s="63">
        <v>34.633000000000003</v>
      </c>
      <c r="N1415" s="63">
        <v>144.69999999999999</v>
      </c>
      <c r="O1415" s="64">
        <v>34.35</v>
      </c>
    </row>
    <row r="1416" spans="1:15" x14ac:dyDescent="0.25">
      <c r="A1416" s="114" t="s">
        <v>1651</v>
      </c>
      <c r="B1416" s="63" t="s">
        <v>51</v>
      </c>
      <c r="C1416" s="63" t="s">
        <v>59</v>
      </c>
      <c r="D1416" s="63">
        <v>220</v>
      </c>
      <c r="E1416" s="63">
        <v>410.01</v>
      </c>
      <c r="F1416" s="63">
        <v>1</v>
      </c>
      <c r="G1416" s="63" t="s">
        <v>13</v>
      </c>
      <c r="H1416" s="63" t="s">
        <v>12</v>
      </c>
      <c r="I1416" s="63">
        <v>4.4999999999999998E-2</v>
      </c>
      <c r="J1416" s="63">
        <v>0.10001</v>
      </c>
      <c r="K1416" s="63" t="s">
        <v>10</v>
      </c>
      <c r="L1416" s="63">
        <v>407.38</v>
      </c>
      <c r="M1416" s="63">
        <v>1.9712000000000001</v>
      </c>
      <c r="N1416" s="63">
        <v>407.21</v>
      </c>
      <c r="O1416" s="64">
        <v>1.9701</v>
      </c>
    </row>
    <row r="1417" spans="1:15" x14ac:dyDescent="0.25">
      <c r="A1417" s="114" t="s">
        <v>1652</v>
      </c>
      <c r="B1417" s="63" t="s">
        <v>51</v>
      </c>
      <c r="C1417" s="63" t="s">
        <v>59</v>
      </c>
      <c r="D1417" s="63">
        <v>220</v>
      </c>
      <c r="E1417" s="63">
        <v>410.01</v>
      </c>
      <c r="F1417" s="63">
        <v>1</v>
      </c>
      <c r="G1417" s="63" t="s">
        <v>13</v>
      </c>
      <c r="H1417" s="63" t="s">
        <v>12</v>
      </c>
      <c r="I1417" s="63">
        <v>0.1</v>
      </c>
      <c r="J1417" s="63">
        <v>1.0000100000000001</v>
      </c>
      <c r="K1417" s="63" t="s">
        <v>10</v>
      </c>
      <c r="L1417" s="63">
        <v>396.27</v>
      </c>
      <c r="M1417" s="63">
        <v>2.2061000000000002</v>
      </c>
      <c r="N1417" s="63">
        <v>396.12</v>
      </c>
      <c r="O1417" s="64">
        <v>2.2050000000000001</v>
      </c>
    </row>
    <row r="1418" spans="1:15" x14ac:dyDescent="0.25">
      <c r="A1418" s="114" t="s">
        <v>1653</v>
      </c>
      <c r="B1418" s="63" t="s">
        <v>51</v>
      </c>
      <c r="C1418" s="63" t="s">
        <v>59</v>
      </c>
      <c r="D1418" s="63">
        <v>220</v>
      </c>
      <c r="E1418" s="63">
        <v>410.01</v>
      </c>
      <c r="F1418" s="63">
        <v>1</v>
      </c>
      <c r="G1418" s="63" t="s">
        <v>13</v>
      </c>
      <c r="H1418" s="63" t="s">
        <v>12</v>
      </c>
      <c r="I1418" s="63">
        <v>1</v>
      </c>
      <c r="J1418" s="63">
        <v>5</v>
      </c>
      <c r="K1418" s="63" t="s">
        <v>10</v>
      </c>
      <c r="L1418" s="63">
        <v>120</v>
      </c>
      <c r="M1418" s="63">
        <v>35</v>
      </c>
      <c r="N1418" s="63">
        <v>148.62</v>
      </c>
      <c r="O1418" s="64">
        <v>34.646000000000001</v>
      </c>
    </row>
    <row r="1419" spans="1:15" x14ac:dyDescent="0.25">
      <c r="A1419" s="114" t="s">
        <v>1650</v>
      </c>
      <c r="B1419" s="63" t="s">
        <v>51</v>
      </c>
      <c r="C1419" s="63" t="s">
        <v>59</v>
      </c>
      <c r="D1419" s="63">
        <v>220</v>
      </c>
      <c r="E1419" s="63">
        <v>410.01</v>
      </c>
      <c r="F1419" s="63">
        <v>1</v>
      </c>
      <c r="G1419" s="63" t="s">
        <v>13</v>
      </c>
      <c r="H1419" s="63" t="s">
        <v>12</v>
      </c>
      <c r="I1419" s="63">
        <v>5</v>
      </c>
      <c r="J1419" s="63">
        <v>5.01</v>
      </c>
      <c r="K1419" s="63" t="s">
        <v>10</v>
      </c>
      <c r="L1419" s="63">
        <v>120</v>
      </c>
      <c r="M1419" s="63">
        <v>35</v>
      </c>
      <c r="N1419" s="63">
        <v>148.62</v>
      </c>
      <c r="O1419" s="64">
        <v>34.646000000000001</v>
      </c>
    </row>
    <row r="1420" spans="1:15" x14ac:dyDescent="0.25">
      <c r="A1420" s="114" t="s">
        <v>2478</v>
      </c>
      <c r="B1420" s="63" t="s">
        <v>51</v>
      </c>
      <c r="C1420" s="63" t="s">
        <v>59</v>
      </c>
      <c r="D1420" s="63">
        <v>22</v>
      </c>
      <c r="E1420" s="63">
        <v>60.000999999999998</v>
      </c>
      <c r="F1420" s="63">
        <v>10</v>
      </c>
      <c r="G1420" s="63" t="s">
        <v>13</v>
      </c>
      <c r="H1420" s="63" t="s">
        <v>12</v>
      </c>
      <c r="I1420" s="63">
        <v>0.01</v>
      </c>
      <c r="J1420" s="63">
        <v>4.5010000000000001E-2</v>
      </c>
      <c r="K1420" s="63" t="s">
        <v>10</v>
      </c>
      <c r="L1420" s="63">
        <v>5799</v>
      </c>
      <c r="M1420" s="63">
        <v>6.1619E-2</v>
      </c>
      <c r="N1420" s="63">
        <v>5799</v>
      </c>
      <c r="O1420" s="64">
        <v>6.1254999999999997E-2</v>
      </c>
    </row>
    <row r="1421" spans="1:15" x14ac:dyDescent="0.25">
      <c r="A1421" s="114" t="s">
        <v>2479</v>
      </c>
      <c r="B1421" s="63" t="s">
        <v>51</v>
      </c>
      <c r="C1421" s="63" t="s">
        <v>59</v>
      </c>
      <c r="D1421" s="63">
        <v>22</v>
      </c>
      <c r="E1421" s="63">
        <v>60.000999999999998</v>
      </c>
      <c r="F1421" s="63">
        <v>10</v>
      </c>
      <c r="G1421" s="63" t="s">
        <v>13</v>
      </c>
      <c r="H1421" s="63" t="s">
        <v>12</v>
      </c>
      <c r="I1421" s="63">
        <v>4.4999999999999998E-2</v>
      </c>
      <c r="J1421" s="63">
        <v>1.0000100000000001</v>
      </c>
      <c r="K1421" s="63" t="s">
        <v>10</v>
      </c>
      <c r="L1421" s="63">
        <v>5799.4</v>
      </c>
      <c r="M1421" s="63">
        <v>3.3173000000000001E-2</v>
      </c>
      <c r="N1421" s="63">
        <v>5799.4</v>
      </c>
      <c r="O1421" s="64">
        <v>3.2808999999999998E-2</v>
      </c>
    </row>
    <row r="1422" spans="1:15" x14ac:dyDescent="0.25">
      <c r="A1422" s="114" t="s">
        <v>1627</v>
      </c>
      <c r="B1422" s="63" t="s">
        <v>51</v>
      </c>
      <c r="C1422" s="63" t="s">
        <v>59</v>
      </c>
      <c r="D1422" s="63">
        <v>22</v>
      </c>
      <c r="E1422" s="63">
        <v>60.000999999999998</v>
      </c>
      <c r="F1422" s="63">
        <v>10</v>
      </c>
      <c r="G1422" s="63" t="s">
        <v>13</v>
      </c>
      <c r="H1422" s="63" t="s">
        <v>12</v>
      </c>
      <c r="I1422" s="63">
        <v>1</v>
      </c>
      <c r="J1422" s="63">
        <v>5.01</v>
      </c>
      <c r="K1422" s="63" t="s">
        <v>10</v>
      </c>
      <c r="L1422" s="63">
        <v>5793.5</v>
      </c>
      <c r="M1422" s="63">
        <v>0.40619</v>
      </c>
      <c r="N1422" s="63">
        <v>5793.5</v>
      </c>
      <c r="O1422" s="64">
        <v>0.40583000000000002</v>
      </c>
    </row>
    <row r="1423" spans="1:15" x14ac:dyDescent="0.25">
      <c r="A1423" s="114" t="s">
        <v>2480</v>
      </c>
      <c r="B1423" s="63" t="s">
        <v>51</v>
      </c>
      <c r="C1423" s="63" t="s">
        <v>59</v>
      </c>
      <c r="D1423" s="63">
        <v>22</v>
      </c>
      <c r="E1423" s="63">
        <v>60.000999999999998</v>
      </c>
      <c r="F1423" s="63">
        <v>10</v>
      </c>
      <c r="G1423" s="63" t="s">
        <v>13</v>
      </c>
      <c r="H1423" s="63" t="s">
        <v>12</v>
      </c>
      <c r="I1423" s="63">
        <v>5</v>
      </c>
      <c r="J1423" s="63">
        <v>10</v>
      </c>
      <c r="K1423" s="63" t="s">
        <v>10</v>
      </c>
      <c r="L1423" s="63">
        <v>5698.4</v>
      </c>
      <c r="M1423" s="63">
        <v>6.4999000000000002</v>
      </c>
      <c r="N1423" s="63">
        <v>5698.4</v>
      </c>
      <c r="O1423" s="64">
        <v>6.4988999999999999</v>
      </c>
    </row>
    <row r="1424" spans="1:15" x14ac:dyDescent="0.25">
      <c r="A1424" s="114" t="s">
        <v>1626</v>
      </c>
      <c r="B1424" s="63" t="s">
        <v>51</v>
      </c>
      <c r="C1424" s="63" t="s">
        <v>59</v>
      </c>
      <c r="D1424" s="63">
        <v>22</v>
      </c>
      <c r="E1424" s="63">
        <v>60.000999999999998</v>
      </c>
      <c r="F1424" s="63">
        <v>10</v>
      </c>
      <c r="G1424" s="63" t="s">
        <v>13</v>
      </c>
      <c r="H1424" s="63" t="s">
        <v>12</v>
      </c>
      <c r="I1424" s="63">
        <v>10</v>
      </c>
      <c r="J1424" s="63">
        <v>10.01</v>
      </c>
      <c r="K1424" s="63" t="s">
        <v>10</v>
      </c>
      <c r="L1424" s="63">
        <v>5698.4</v>
      </c>
      <c r="M1424" s="63">
        <v>6.4999000000000002</v>
      </c>
      <c r="N1424" s="63">
        <v>5698.4</v>
      </c>
      <c r="O1424" s="64">
        <v>6.4988999999999999</v>
      </c>
    </row>
    <row r="1425" spans="1:15" x14ac:dyDescent="0.25">
      <c r="A1425" s="114" t="s">
        <v>1637</v>
      </c>
      <c r="B1425" s="63" t="s">
        <v>51</v>
      </c>
      <c r="C1425" s="63" t="s">
        <v>59</v>
      </c>
      <c r="D1425" s="63">
        <v>60</v>
      </c>
      <c r="E1425" s="63">
        <v>220.01</v>
      </c>
      <c r="F1425" s="63">
        <v>10</v>
      </c>
      <c r="G1425" s="63" t="s">
        <v>13</v>
      </c>
      <c r="H1425" s="63" t="s">
        <v>12</v>
      </c>
      <c r="I1425" s="63">
        <v>4.4999999999999998E-2</v>
      </c>
      <c r="J1425" s="63">
        <v>0.10001</v>
      </c>
      <c r="K1425" s="63" t="s">
        <v>10</v>
      </c>
      <c r="L1425" s="63">
        <v>5795.1</v>
      </c>
      <c r="M1425" s="63">
        <v>0.11376</v>
      </c>
      <c r="N1425" s="63">
        <v>5795.1</v>
      </c>
      <c r="O1425" s="64">
        <v>0.11344</v>
      </c>
    </row>
    <row r="1426" spans="1:15" x14ac:dyDescent="0.25">
      <c r="A1426" s="114" t="s">
        <v>1635</v>
      </c>
      <c r="B1426" s="63" t="s">
        <v>51</v>
      </c>
      <c r="C1426" s="63" t="s">
        <v>59</v>
      </c>
      <c r="D1426" s="63">
        <v>60</v>
      </c>
      <c r="E1426" s="63">
        <v>220.01</v>
      </c>
      <c r="F1426" s="63">
        <v>10</v>
      </c>
      <c r="G1426" s="63" t="s">
        <v>13</v>
      </c>
      <c r="H1426" s="63" t="s">
        <v>12</v>
      </c>
      <c r="I1426" s="63">
        <v>0.1</v>
      </c>
      <c r="J1426" s="63">
        <v>1.0000100000000001</v>
      </c>
      <c r="K1426" s="63" t="s">
        <v>10</v>
      </c>
      <c r="L1426" s="63">
        <v>5794.1</v>
      </c>
      <c r="M1426" s="63">
        <v>0.13793</v>
      </c>
      <c r="N1426" s="63">
        <v>5794.1</v>
      </c>
      <c r="O1426" s="64">
        <v>0.13761000000000001</v>
      </c>
    </row>
    <row r="1427" spans="1:15" x14ac:dyDescent="0.25">
      <c r="A1427" s="114" t="s">
        <v>1636</v>
      </c>
      <c r="B1427" s="63" t="s">
        <v>51</v>
      </c>
      <c r="C1427" s="63" t="s">
        <v>59</v>
      </c>
      <c r="D1427" s="63">
        <v>60</v>
      </c>
      <c r="E1427" s="63">
        <v>220.01</v>
      </c>
      <c r="F1427" s="63">
        <v>10</v>
      </c>
      <c r="G1427" s="63" t="s">
        <v>13</v>
      </c>
      <c r="H1427" s="63" t="s">
        <v>12</v>
      </c>
      <c r="I1427" s="63">
        <v>1</v>
      </c>
      <c r="J1427" s="63">
        <v>5</v>
      </c>
      <c r="K1427" s="63" t="s">
        <v>10</v>
      </c>
      <c r="L1427" s="63">
        <v>4885.8999999999996</v>
      </c>
      <c r="M1427" s="63">
        <v>21.536999999999999</v>
      </c>
      <c r="N1427" s="63">
        <v>4885.8999999999996</v>
      </c>
      <c r="O1427" s="64">
        <v>21.536999999999999</v>
      </c>
    </row>
    <row r="1428" spans="1:15" x14ac:dyDescent="0.25">
      <c r="A1428" s="114" t="s">
        <v>1634</v>
      </c>
      <c r="B1428" s="63" t="s">
        <v>51</v>
      </c>
      <c r="C1428" s="63" t="s">
        <v>59</v>
      </c>
      <c r="D1428" s="63">
        <v>60</v>
      </c>
      <c r="E1428" s="63">
        <v>220.01</v>
      </c>
      <c r="F1428" s="63">
        <v>10</v>
      </c>
      <c r="G1428" s="63" t="s">
        <v>13</v>
      </c>
      <c r="H1428" s="63" t="s">
        <v>12</v>
      </c>
      <c r="I1428" s="63">
        <v>5</v>
      </c>
      <c r="J1428" s="63">
        <v>5.01</v>
      </c>
      <c r="K1428" s="63" t="s">
        <v>10</v>
      </c>
      <c r="L1428" s="63">
        <v>4885.8999999999996</v>
      </c>
      <c r="M1428" s="63">
        <v>21.536999999999999</v>
      </c>
      <c r="N1428" s="63">
        <v>4885.8999999999996</v>
      </c>
      <c r="O1428" s="64">
        <v>21.536999999999999</v>
      </c>
    </row>
    <row r="1429" spans="1:15" x14ac:dyDescent="0.25">
      <c r="A1429" s="114" t="s">
        <v>2481</v>
      </c>
      <c r="B1429" s="63" t="s">
        <v>51</v>
      </c>
      <c r="C1429" s="63" t="s">
        <v>59</v>
      </c>
      <c r="D1429" s="63">
        <v>220</v>
      </c>
      <c r="E1429" s="63">
        <v>410.01</v>
      </c>
      <c r="F1429" s="63">
        <v>10</v>
      </c>
      <c r="G1429" s="63" t="s">
        <v>13</v>
      </c>
      <c r="H1429" s="63" t="s">
        <v>12</v>
      </c>
      <c r="I1429" s="63">
        <v>4.4999999999999998E-2</v>
      </c>
      <c r="J1429" s="63">
        <v>0.10001</v>
      </c>
      <c r="K1429" s="63" t="s">
        <v>10</v>
      </c>
      <c r="L1429" s="63">
        <v>5755.8</v>
      </c>
      <c r="M1429" s="63">
        <v>0.34672999999999998</v>
      </c>
      <c r="N1429" s="63">
        <v>5755.9</v>
      </c>
      <c r="O1429" s="64">
        <v>0.34526000000000001</v>
      </c>
    </row>
    <row r="1430" spans="1:15" x14ac:dyDescent="0.25">
      <c r="A1430" s="114" t="s">
        <v>1654</v>
      </c>
      <c r="B1430" s="63" t="s">
        <v>51</v>
      </c>
      <c r="C1430" s="63" t="s">
        <v>59</v>
      </c>
      <c r="D1430" s="63">
        <v>220</v>
      </c>
      <c r="E1430" s="63">
        <v>410.01</v>
      </c>
      <c r="F1430" s="63">
        <v>10</v>
      </c>
      <c r="G1430" s="63" t="s">
        <v>13</v>
      </c>
      <c r="H1430" s="63" t="s">
        <v>12</v>
      </c>
      <c r="I1430" s="63">
        <v>0.1</v>
      </c>
      <c r="J1430" s="63">
        <v>1.0000100000000001</v>
      </c>
      <c r="K1430" s="63" t="s">
        <v>10</v>
      </c>
      <c r="L1430" s="63">
        <v>5747.7</v>
      </c>
      <c r="M1430" s="63">
        <v>0.41071000000000002</v>
      </c>
      <c r="N1430" s="63">
        <v>5747.8</v>
      </c>
      <c r="O1430" s="64">
        <v>0.40925</v>
      </c>
    </row>
    <row r="1431" spans="1:15" x14ac:dyDescent="0.25">
      <c r="A1431" s="114" t="s">
        <v>1655</v>
      </c>
      <c r="B1431" s="63" t="s">
        <v>51</v>
      </c>
      <c r="C1431" s="63" t="s">
        <v>59</v>
      </c>
      <c r="D1431" s="63">
        <v>220</v>
      </c>
      <c r="E1431" s="63">
        <v>410.01</v>
      </c>
      <c r="F1431" s="63">
        <v>10</v>
      </c>
      <c r="G1431" s="63" t="s">
        <v>13</v>
      </c>
      <c r="H1431" s="63" t="s">
        <v>12</v>
      </c>
      <c r="I1431" s="63">
        <v>1</v>
      </c>
      <c r="J1431" s="63">
        <v>5</v>
      </c>
      <c r="K1431" s="63" t="s">
        <v>10</v>
      </c>
      <c r="L1431" s="63">
        <v>2974.4</v>
      </c>
      <c r="M1431" s="63">
        <v>30.478999999999999</v>
      </c>
      <c r="N1431" s="63">
        <v>2973.8</v>
      </c>
      <c r="O1431" s="64">
        <v>30.478999999999999</v>
      </c>
    </row>
    <row r="1432" spans="1:15" x14ac:dyDescent="0.25">
      <c r="A1432" s="114" t="s">
        <v>1656</v>
      </c>
      <c r="B1432" s="63" t="s">
        <v>51</v>
      </c>
      <c r="C1432" s="63" t="s">
        <v>59</v>
      </c>
      <c r="D1432" s="63">
        <v>220</v>
      </c>
      <c r="E1432" s="63">
        <v>410.01</v>
      </c>
      <c r="F1432" s="63">
        <v>10</v>
      </c>
      <c r="G1432" s="63" t="s">
        <v>13</v>
      </c>
      <c r="H1432" s="63" t="s">
        <v>12</v>
      </c>
      <c r="I1432" s="63">
        <v>5</v>
      </c>
      <c r="J1432" s="63">
        <v>5.01</v>
      </c>
      <c r="K1432" s="63" t="s">
        <v>10</v>
      </c>
      <c r="L1432" s="63">
        <v>2974.4</v>
      </c>
      <c r="M1432" s="63">
        <v>30.478999999999999</v>
      </c>
      <c r="N1432" s="63">
        <v>2973.8</v>
      </c>
      <c r="O1432" s="64">
        <v>30.478999999999999</v>
      </c>
    </row>
    <row r="1433" spans="1:15" x14ac:dyDescent="0.25">
      <c r="A1433" s="114" t="s">
        <v>1641</v>
      </c>
      <c r="B1433" s="63" t="s">
        <v>51</v>
      </c>
      <c r="C1433" s="63" t="s">
        <v>59</v>
      </c>
      <c r="D1433" s="63">
        <v>60</v>
      </c>
      <c r="E1433" s="63">
        <v>220.01</v>
      </c>
      <c r="F1433" s="63">
        <v>100</v>
      </c>
      <c r="G1433" s="63" t="s">
        <v>13</v>
      </c>
      <c r="H1433" s="63" t="s">
        <v>12</v>
      </c>
      <c r="I1433" s="63">
        <v>4.4999999999999998E-2</v>
      </c>
      <c r="J1433" s="63">
        <v>0.10001</v>
      </c>
      <c r="K1433" s="63" t="s">
        <v>10</v>
      </c>
      <c r="L1433" s="63">
        <v>58000</v>
      </c>
      <c r="M1433" s="63">
        <v>1.1493E-2</v>
      </c>
      <c r="N1433" s="63">
        <v>58000</v>
      </c>
      <c r="O1433" s="64">
        <v>1.1365E-2</v>
      </c>
    </row>
    <row r="1434" spans="1:15" x14ac:dyDescent="0.25">
      <c r="A1434" s="114" t="s">
        <v>1640</v>
      </c>
      <c r="B1434" s="63" t="s">
        <v>51</v>
      </c>
      <c r="C1434" s="63" t="s">
        <v>59</v>
      </c>
      <c r="D1434" s="63">
        <v>60</v>
      </c>
      <c r="E1434" s="63">
        <v>220.01</v>
      </c>
      <c r="F1434" s="63">
        <v>100</v>
      </c>
      <c r="G1434" s="63" t="s">
        <v>13</v>
      </c>
      <c r="H1434" s="63" t="s">
        <v>12</v>
      </c>
      <c r="I1434" s="63">
        <v>0.1</v>
      </c>
      <c r="J1434" s="63">
        <v>1.0000100000000001</v>
      </c>
      <c r="K1434" s="63" t="s">
        <v>10</v>
      </c>
      <c r="L1434" s="63">
        <v>58000</v>
      </c>
      <c r="M1434" s="63">
        <v>1.392E-2</v>
      </c>
      <c r="N1434" s="63">
        <v>58000</v>
      </c>
      <c r="O1434" s="64">
        <v>1.3793E-2</v>
      </c>
    </row>
    <row r="1435" spans="1:15" x14ac:dyDescent="0.25">
      <c r="A1435" s="114" t="s">
        <v>1638</v>
      </c>
      <c r="B1435" s="63" t="s">
        <v>51</v>
      </c>
      <c r="C1435" s="63" t="s">
        <v>59</v>
      </c>
      <c r="D1435" s="63">
        <v>60</v>
      </c>
      <c r="E1435" s="63">
        <v>220.01</v>
      </c>
      <c r="F1435" s="63">
        <v>100</v>
      </c>
      <c r="G1435" s="63" t="s">
        <v>13</v>
      </c>
      <c r="H1435" s="63" t="s">
        <v>12</v>
      </c>
      <c r="I1435" s="63">
        <v>1</v>
      </c>
      <c r="J1435" s="63">
        <v>5</v>
      </c>
      <c r="K1435" s="63" t="s">
        <v>10</v>
      </c>
      <c r="L1435" s="63">
        <v>57864</v>
      </c>
      <c r="M1435" s="63">
        <v>2.9205000000000001</v>
      </c>
      <c r="N1435" s="63">
        <v>57864</v>
      </c>
      <c r="O1435" s="64">
        <v>2.9201000000000001</v>
      </c>
    </row>
    <row r="1436" spans="1:15" x14ac:dyDescent="0.25">
      <c r="A1436" s="114" t="s">
        <v>1639</v>
      </c>
      <c r="B1436" s="63" t="s">
        <v>51</v>
      </c>
      <c r="C1436" s="63" t="s">
        <v>59</v>
      </c>
      <c r="D1436" s="63">
        <v>60</v>
      </c>
      <c r="E1436" s="63">
        <v>220.01</v>
      </c>
      <c r="F1436" s="63">
        <v>100</v>
      </c>
      <c r="G1436" s="63" t="s">
        <v>13</v>
      </c>
      <c r="H1436" s="63" t="s">
        <v>12</v>
      </c>
      <c r="I1436" s="63">
        <v>5</v>
      </c>
      <c r="J1436" s="63">
        <v>5.01</v>
      </c>
      <c r="K1436" s="63" t="s">
        <v>10</v>
      </c>
      <c r="L1436" s="63">
        <v>57864</v>
      </c>
      <c r="M1436" s="63">
        <v>2.9205000000000001</v>
      </c>
      <c r="N1436" s="63">
        <v>57864</v>
      </c>
      <c r="O1436" s="64">
        <v>2.9201000000000001</v>
      </c>
    </row>
    <row r="1437" spans="1:15" x14ac:dyDescent="0.25">
      <c r="A1437" s="114" t="s">
        <v>1658</v>
      </c>
      <c r="B1437" s="63" t="s">
        <v>51</v>
      </c>
      <c r="C1437" s="63" t="s">
        <v>59</v>
      </c>
      <c r="D1437" s="63">
        <v>220</v>
      </c>
      <c r="E1437" s="63">
        <v>410.01</v>
      </c>
      <c r="F1437" s="63">
        <v>100</v>
      </c>
      <c r="G1437" s="63" t="s">
        <v>13</v>
      </c>
      <c r="H1437" s="63" t="s">
        <v>12</v>
      </c>
      <c r="I1437" s="63">
        <v>4.4999999999999998E-2</v>
      </c>
      <c r="J1437" s="63">
        <v>0.10001</v>
      </c>
      <c r="K1437" s="63" t="s">
        <v>10</v>
      </c>
      <c r="L1437" s="63">
        <v>57996</v>
      </c>
      <c r="M1437" s="63">
        <v>3.551E-2</v>
      </c>
      <c r="N1437" s="63">
        <v>57996</v>
      </c>
      <c r="O1437" s="64">
        <v>3.4907000000000001E-2</v>
      </c>
    </row>
    <row r="1438" spans="1:15" x14ac:dyDescent="0.25">
      <c r="A1438" s="114" t="s">
        <v>1657</v>
      </c>
      <c r="B1438" s="63" t="s">
        <v>51</v>
      </c>
      <c r="C1438" s="63" t="s">
        <v>59</v>
      </c>
      <c r="D1438" s="63">
        <v>220</v>
      </c>
      <c r="E1438" s="63">
        <v>410.01</v>
      </c>
      <c r="F1438" s="63">
        <v>100</v>
      </c>
      <c r="G1438" s="63" t="s">
        <v>13</v>
      </c>
      <c r="H1438" s="63" t="s">
        <v>12</v>
      </c>
      <c r="I1438" s="63">
        <v>0.1</v>
      </c>
      <c r="J1438" s="63">
        <v>1.0000100000000001</v>
      </c>
      <c r="K1438" s="63" t="s">
        <v>10</v>
      </c>
      <c r="L1438" s="63">
        <v>57995</v>
      </c>
      <c r="M1438" s="63">
        <v>4.2063000000000003E-2</v>
      </c>
      <c r="N1438" s="63">
        <v>57995</v>
      </c>
      <c r="O1438" s="64">
        <v>4.1459999999999997E-2</v>
      </c>
    </row>
    <row r="1439" spans="1:15" x14ac:dyDescent="0.25">
      <c r="A1439" s="114" t="s">
        <v>2482</v>
      </c>
      <c r="B1439" s="63" t="s">
        <v>51</v>
      </c>
      <c r="C1439" s="63" t="s">
        <v>59</v>
      </c>
      <c r="D1439" s="63">
        <v>220</v>
      </c>
      <c r="E1439" s="63">
        <v>410.01</v>
      </c>
      <c r="F1439" s="63">
        <v>100</v>
      </c>
      <c r="G1439" s="63" t="s">
        <v>13</v>
      </c>
      <c r="H1439" s="63" t="s">
        <v>12</v>
      </c>
      <c r="I1439" s="63">
        <v>1</v>
      </c>
      <c r="J1439" s="63">
        <v>5</v>
      </c>
      <c r="K1439" s="63" t="s">
        <v>10</v>
      </c>
      <c r="L1439" s="63">
        <v>57090</v>
      </c>
      <c r="M1439" s="63">
        <v>6.4831000000000003</v>
      </c>
      <c r="N1439" s="63">
        <v>57090</v>
      </c>
      <c r="O1439" s="64">
        <v>6.4816000000000003</v>
      </c>
    </row>
    <row r="1440" spans="1:15" x14ac:dyDescent="0.25">
      <c r="A1440" s="114" t="s">
        <v>2483</v>
      </c>
      <c r="B1440" s="63" t="s">
        <v>51</v>
      </c>
      <c r="C1440" s="63" t="s">
        <v>59</v>
      </c>
      <c r="D1440" s="63">
        <v>220</v>
      </c>
      <c r="E1440" s="63">
        <v>410.01</v>
      </c>
      <c r="F1440" s="63">
        <v>100</v>
      </c>
      <c r="G1440" s="63" t="s">
        <v>13</v>
      </c>
      <c r="H1440" s="63" t="s">
        <v>12</v>
      </c>
      <c r="I1440" s="63">
        <v>5</v>
      </c>
      <c r="J1440" s="63">
        <v>5.01</v>
      </c>
      <c r="K1440" s="63" t="s">
        <v>10</v>
      </c>
      <c r="L1440" s="63">
        <v>57090</v>
      </c>
      <c r="M1440" s="63">
        <v>6.4831000000000003</v>
      </c>
      <c r="N1440" s="63">
        <v>57090</v>
      </c>
      <c r="O1440" s="64">
        <v>6.4816000000000003</v>
      </c>
    </row>
    <row r="1441" spans="1:15" x14ac:dyDescent="0.25">
      <c r="A1441" s="114" t="s">
        <v>1559</v>
      </c>
      <c r="B1441" s="63" t="s">
        <v>51</v>
      </c>
      <c r="C1441" s="63" t="s">
        <v>60</v>
      </c>
      <c r="D1441" s="63">
        <v>55</v>
      </c>
      <c r="E1441" s="63">
        <v>150.01</v>
      </c>
      <c r="F1441" s="63">
        <v>1E-3</v>
      </c>
      <c r="G1441" s="63" t="s">
        <v>13</v>
      </c>
      <c r="H1441" s="63" t="s">
        <v>12</v>
      </c>
      <c r="I1441" s="63">
        <v>0.01</v>
      </c>
      <c r="J1441" s="63">
        <v>4.4999999999999998E-2</v>
      </c>
      <c r="K1441" s="63" t="s">
        <v>10</v>
      </c>
      <c r="L1441" s="63">
        <v>22</v>
      </c>
      <c r="M1441" s="63">
        <v>2.8</v>
      </c>
      <c r="N1441" s="63">
        <v>4.2301000000000002</v>
      </c>
      <c r="O1441" s="64">
        <v>2.8841000000000001</v>
      </c>
    </row>
    <row r="1442" spans="1:15" x14ac:dyDescent="0.25">
      <c r="A1442" s="114" t="s">
        <v>1561</v>
      </c>
      <c r="B1442" s="63" t="s">
        <v>51</v>
      </c>
      <c r="C1442" s="63" t="s">
        <v>60</v>
      </c>
      <c r="D1442" s="63">
        <v>55</v>
      </c>
      <c r="E1442" s="63">
        <v>150.01</v>
      </c>
      <c r="F1442" s="63">
        <v>1E-3</v>
      </c>
      <c r="G1442" s="63" t="s">
        <v>13</v>
      </c>
      <c r="H1442" s="63" t="s">
        <v>12</v>
      </c>
      <c r="I1442" s="63">
        <v>4.4999999999999998E-2</v>
      </c>
      <c r="J1442" s="63">
        <v>0.1</v>
      </c>
      <c r="K1442" s="63" t="s">
        <v>10</v>
      </c>
      <c r="L1442" s="63">
        <v>49</v>
      </c>
      <c r="M1442" s="63">
        <v>2.6</v>
      </c>
      <c r="N1442" s="63">
        <v>2.0611000000000002</v>
      </c>
      <c r="O1442" s="64">
        <v>2.1158000000000001</v>
      </c>
    </row>
    <row r="1443" spans="1:15" x14ac:dyDescent="0.25">
      <c r="A1443" s="114" t="s">
        <v>1564</v>
      </c>
      <c r="B1443" s="63" t="s">
        <v>51</v>
      </c>
      <c r="C1443" s="63" t="s">
        <v>60</v>
      </c>
      <c r="D1443" s="63">
        <v>55</v>
      </c>
      <c r="E1443" s="63">
        <v>150.01</v>
      </c>
      <c r="F1443" s="63">
        <v>1E-3</v>
      </c>
      <c r="G1443" s="63" t="s">
        <v>13</v>
      </c>
      <c r="H1443" s="63" t="s">
        <v>12</v>
      </c>
      <c r="I1443" s="63">
        <v>0.1</v>
      </c>
      <c r="J1443" s="63">
        <v>1</v>
      </c>
      <c r="K1443" s="63" t="s">
        <v>10</v>
      </c>
      <c r="L1443" s="63">
        <v>49</v>
      </c>
      <c r="M1443" s="63">
        <v>2.6</v>
      </c>
      <c r="N1443" s="63">
        <v>2.0611000000000002</v>
      </c>
      <c r="O1443" s="64">
        <v>2.1158000000000001</v>
      </c>
    </row>
    <row r="1444" spans="1:15" x14ac:dyDescent="0.25">
      <c r="A1444" s="114" t="s">
        <v>1560</v>
      </c>
      <c r="B1444" s="63" t="s">
        <v>51</v>
      </c>
      <c r="C1444" s="63" t="s">
        <v>60</v>
      </c>
      <c r="D1444" s="63">
        <v>55</v>
      </c>
      <c r="E1444" s="63">
        <v>150.01</v>
      </c>
      <c r="F1444" s="63">
        <v>1E-3</v>
      </c>
      <c r="G1444" s="63" t="s">
        <v>13</v>
      </c>
      <c r="H1444" s="63" t="s">
        <v>12</v>
      </c>
      <c r="I1444" s="63">
        <v>1</v>
      </c>
      <c r="J1444" s="63">
        <v>5.01</v>
      </c>
      <c r="K1444" s="63" t="s">
        <v>10</v>
      </c>
      <c r="L1444" s="63">
        <v>58</v>
      </c>
      <c r="M1444" s="63">
        <v>7.2</v>
      </c>
      <c r="N1444" s="63">
        <v>55.853000000000002</v>
      </c>
      <c r="O1444" s="64">
        <v>7.2092999999999998</v>
      </c>
    </row>
    <row r="1445" spans="1:15" x14ac:dyDescent="0.25">
      <c r="A1445" s="114" t="s">
        <v>1562</v>
      </c>
      <c r="B1445" s="63" t="s">
        <v>51</v>
      </c>
      <c r="C1445" s="63" t="s">
        <v>60</v>
      </c>
      <c r="D1445" s="63">
        <v>55</v>
      </c>
      <c r="E1445" s="63">
        <v>150.01</v>
      </c>
      <c r="F1445" s="63">
        <v>1E-3</v>
      </c>
      <c r="G1445" s="63" t="s">
        <v>13</v>
      </c>
      <c r="H1445" s="63" t="s">
        <v>12</v>
      </c>
      <c r="I1445" s="63">
        <v>5</v>
      </c>
      <c r="J1445" s="63">
        <v>10</v>
      </c>
      <c r="K1445" s="63" t="s">
        <v>10</v>
      </c>
      <c r="L1445" s="63">
        <v>290</v>
      </c>
      <c r="M1445" s="63">
        <v>29</v>
      </c>
      <c r="N1445" s="63">
        <v>288.13</v>
      </c>
      <c r="O1445" s="64">
        <v>28.936</v>
      </c>
    </row>
    <row r="1446" spans="1:15" x14ac:dyDescent="0.25">
      <c r="A1446" s="114" t="s">
        <v>1563</v>
      </c>
      <c r="B1446" s="63" t="s">
        <v>51</v>
      </c>
      <c r="C1446" s="63" t="s">
        <v>60</v>
      </c>
      <c r="D1446" s="63">
        <v>55</v>
      </c>
      <c r="E1446" s="63">
        <v>150.01</v>
      </c>
      <c r="F1446" s="63">
        <v>1E-3</v>
      </c>
      <c r="G1446" s="63" t="s">
        <v>13</v>
      </c>
      <c r="H1446" s="63" t="s">
        <v>12</v>
      </c>
      <c r="I1446" s="63">
        <v>10</v>
      </c>
      <c r="J1446" s="63">
        <v>10.01</v>
      </c>
      <c r="K1446" s="63" t="s">
        <v>10</v>
      </c>
      <c r="L1446" s="63">
        <v>290</v>
      </c>
      <c r="M1446" s="63">
        <v>29</v>
      </c>
      <c r="N1446" s="63">
        <v>288.13</v>
      </c>
      <c r="O1446" s="64">
        <v>28.936</v>
      </c>
    </row>
    <row r="1447" spans="1:15" x14ac:dyDescent="0.25">
      <c r="A1447" s="114" t="s">
        <v>1565</v>
      </c>
      <c r="B1447" s="63" t="s">
        <v>51</v>
      </c>
      <c r="C1447" s="63" t="s">
        <v>60</v>
      </c>
      <c r="D1447" s="63">
        <v>55</v>
      </c>
      <c r="E1447" s="63">
        <v>150.01</v>
      </c>
      <c r="F1447" s="63">
        <v>0.01</v>
      </c>
      <c r="G1447" s="63" t="s">
        <v>13</v>
      </c>
      <c r="H1447" s="63" t="s">
        <v>12</v>
      </c>
      <c r="I1447" s="63">
        <v>0.01</v>
      </c>
      <c r="J1447" s="63">
        <v>4.4999999999999998E-2</v>
      </c>
      <c r="K1447" s="63" t="s">
        <v>10</v>
      </c>
      <c r="L1447" s="63">
        <v>22</v>
      </c>
      <c r="M1447" s="63">
        <v>2.7673000000000001</v>
      </c>
      <c r="N1447" s="63">
        <v>4.3733000000000004</v>
      </c>
      <c r="O1447" s="64">
        <v>2.8834</v>
      </c>
    </row>
    <row r="1448" spans="1:15" x14ac:dyDescent="0.25">
      <c r="A1448" s="114" t="s">
        <v>1570</v>
      </c>
      <c r="B1448" s="63" t="s">
        <v>51</v>
      </c>
      <c r="C1448" s="63" t="s">
        <v>60</v>
      </c>
      <c r="D1448" s="63">
        <v>55</v>
      </c>
      <c r="E1448" s="63">
        <v>150.01</v>
      </c>
      <c r="F1448" s="63">
        <v>0.01</v>
      </c>
      <c r="G1448" s="63" t="s">
        <v>13</v>
      </c>
      <c r="H1448" s="63" t="s">
        <v>12</v>
      </c>
      <c r="I1448" s="63">
        <v>4.4999999999999998E-2</v>
      </c>
      <c r="J1448" s="63">
        <v>0.1</v>
      </c>
      <c r="K1448" s="63" t="s">
        <v>10</v>
      </c>
      <c r="L1448" s="63">
        <v>49</v>
      </c>
      <c r="M1448" s="63">
        <v>2.6</v>
      </c>
      <c r="N1448" s="63">
        <v>2.2593000000000001</v>
      </c>
      <c r="O1448" s="64">
        <v>2.1147999999999998</v>
      </c>
    </row>
    <row r="1449" spans="1:15" x14ac:dyDescent="0.25">
      <c r="A1449" s="114" t="s">
        <v>1566</v>
      </c>
      <c r="B1449" s="63" t="s">
        <v>51</v>
      </c>
      <c r="C1449" s="63" t="s">
        <v>60</v>
      </c>
      <c r="D1449" s="63">
        <v>55</v>
      </c>
      <c r="E1449" s="63">
        <v>150.01</v>
      </c>
      <c r="F1449" s="63">
        <v>0.01</v>
      </c>
      <c r="G1449" s="63" t="s">
        <v>13</v>
      </c>
      <c r="H1449" s="63" t="s">
        <v>12</v>
      </c>
      <c r="I1449" s="63">
        <v>0.1</v>
      </c>
      <c r="J1449" s="63">
        <v>1</v>
      </c>
      <c r="K1449" s="63" t="s">
        <v>10</v>
      </c>
      <c r="L1449" s="63">
        <v>49</v>
      </c>
      <c r="M1449" s="63">
        <v>2.6</v>
      </c>
      <c r="N1449" s="63">
        <v>2.2593000000000001</v>
      </c>
      <c r="O1449" s="64">
        <v>2.1147999999999998</v>
      </c>
    </row>
    <row r="1450" spans="1:15" x14ac:dyDescent="0.25">
      <c r="A1450" s="114" t="s">
        <v>1568</v>
      </c>
      <c r="B1450" s="63" t="s">
        <v>51</v>
      </c>
      <c r="C1450" s="63" t="s">
        <v>60</v>
      </c>
      <c r="D1450" s="63">
        <v>55</v>
      </c>
      <c r="E1450" s="63">
        <v>150.01</v>
      </c>
      <c r="F1450" s="63">
        <v>0.01</v>
      </c>
      <c r="G1450" s="63" t="s">
        <v>13</v>
      </c>
      <c r="H1450" s="63" t="s">
        <v>12</v>
      </c>
      <c r="I1450" s="63">
        <v>1</v>
      </c>
      <c r="J1450" s="63">
        <v>5.01</v>
      </c>
      <c r="K1450" s="63" t="s">
        <v>10</v>
      </c>
      <c r="L1450" s="63">
        <v>58</v>
      </c>
      <c r="M1450" s="63">
        <v>7.2089999999999996</v>
      </c>
      <c r="N1450" s="63">
        <v>55.901000000000003</v>
      </c>
      <c r="O1450" s="64">
        <v>7.2091000000000003</v>
      </c>
    </row>
    <row r="1451" spans="1:15" x14ac:dyDescent="0.25">
      <c r="A1451" s="114" t="s">
        <v>1569</v>
      </c>
      <c r="B1451" s="63" t="s">
        <v>51</v>
      </c>
      <c r="C1451" s="63" t="s">
        <v>60</v>
      </c>
      <c r="D1451" s="63">
        <v>55</v>
      </c>
      <c r="E1451" s="63">
        <v>150.01</v>
      </c>
      <c r="F1451" s="63">
        <v>0.01</v>
      </c>
      <c r="G1451" s="63" t="s">
        <v>13</v>
      </c>
      <c r="H1451" s="63" t="s">
        <v>12</v>
      </c>
      <c r="I1451" s="63">
        <v>5</v>
      </c>
      <c r="J1451" s="63">
        <v>10</v>
      </c>
      <c r="K1451" s="63" t="s">
        <v>10</v>
      </c>
      <c r="L1451" s="63">
        <v>290</v>
      </c>
      <c r="M1451" s="63">
        <v>28.936</v>
      </c>
      <c r="N1451" s="63">
        <v>288.14</v>
      </c>
      <c r="O1451" s="64">
        <v>28.936</v>
      </c>
    </row>
    <row r="1452" spans="1:15" x14ac:dyDescent="0.25">
      <c r="A1452" s="114" t="s">
        <v>1567</v>
      </c>
      <c r="B1452" s="63" t="s">
        <v>51</v>
      </c>
      <c r="C1452" s="63" t="s">
        <v>60</v>
      </c>
      <c r="D1452" s="63">
        <v>55</v>
      </c>
      <c r="E1452" s="63">
        <v>150.01</v>
      </c>
      <c r="F1452" s="63">
        <v>0.01</v>
      </c>
      <c r="G1452" s="63" t="s">
        <v>13</v>
      </c>
      <c r="H1452" s="63" t="s">
        <v>12</v>
      </c>
      <c r="I1452" s="63">
        <v>10</v>
      </c>
      <c r="J1452" s="63">
        <v>10.01</v>
      </c>
      <c r="K1452" s="63" t="s">
        <v>10</v>
      </c>
      <c r="L1452" s="63">
        <v>290</v>
      </c>
      <c r="M1452" s="63">
        <v>28.936</v>
      </c>
      <c r="N1452" s="63">
        <v>288.14</v>
      </c>
      <c r="O1452" s="64">
        <v>28.936</v>
      </c>
    </row>
    <row r="1453" spans="1:15" x14ac:dyDescent="0.25">
      <c r="A1453" s="114" t="s">
        <v>1588</v>
      </c>
      <c r="B1453" s="63" t="s">
        <v>51</v>
      </c>
      <c r="C1453" s="63" t="s">
        <v>60</v>
      </c>
      <c r="D1453" s="63">
        <v>150</v>
      </c>
      <c r="E1453" s="63">
        <v>550.01</v>
      </c>
      <c r="F1453" s="63">
        <v>0.01</v>
      </c>
      <c r="G1453" s="63" t="s">
        <v>13</v>
      </c>
      <c r="H1453" s="63" t="s">
        <v>12</v>
      </c>
      <c r="I1453" s="63">
        <v>4.4999999999999998E-2</v>
      </c>
      <c r="J1453" s="63">
        <v>0.10001</v>
      </c>
      <c r="K1453" s="63" t="s">
        <v>10</v>
      </c>
      <c r="L1453" s="63">
        <v>59</v>
      </c>
      <c r="M1453" s="63">
        <v>2.1</v>
      </c>
      <c r="N1453" s="63">
        <v>58.542000000000002</v>
      </c>
      <c r="O1453" s="64">
        <v>2.0878999999999999</v>
      </c>
    </row>
    <row r="1454" spans="1:15" x14ac:dyDescent="0.25">
      <c r="A1454" s="114" t="s">
        <v>1591</v>
      </c>
      <c r="B1454" s="63" t="s">
        <v>51</v>
      </c>
      <c r="C1454" s="63" t="s">
        <v>60</v>
      </c>
      <c r="D1454" s="63">
        <v>150</v>
      </c>
      <c r="E1454" s="63">
        <v>550.01</v>
      </c>
      <c r="F1454" s="63">
        <v>0.01</v>
      </c>
      <c r="G1454" s="63" t="s">
        <v>13</v>
      </c>
      <c r="H1454" s="63" t="s">
        <v>12</v>
      </c>
      <c r="I1454" s="63">
        <v>0.1</v>
      </c>
      <c r="J1454" s="63">
        <v>1.0000100000000001</v>
      </c>
      <c r="K1454" s="63" t="s">
        <v>10</v>
      </c>
      <c r="L1454" s="63">
        <v>74</v>
      </c>
      <c r="M1454" s="63">
        <v>2.2999999999999998</v>
      </c>
      <c r="N1454" s="63">
        <v>73.171000000000006</v>
      </c>
      <c r="O1454" s="64">
        <v>2.2881999999999998</v>
      </c>
    </row>
    <row r="1455" spans="1:15" x14ac:dyDescent="0.25">
      <c r="A1455" s="114" t="s">
        <v>1589</v>
      </c>
      <c r="B1455" s="63" t="s">
        <v>51</v>
      </c>
      <c r="C1455" s="63" t="s">
        <v>60</v>
      </c>
      <c r="D1455" s="63">
        <v>150</v>
      </c>
      <c r="E1455" s="63">
        <v>550.01</v>
      </c>
      <c r="F1455" s="63">
        <v>0.01</v>
      </c>
      <c r="G1455" s="63" t="s">
        <v>13</v>
      </c>
      <c r="H1455" s="63" t="s">
        <v>12</v>
      </c>
      <c r="I1455" s="63">
        <v>1</v>
      </c>
      <c r="J1455" s="63">
        <v>5</v>
      </c>
      <c r="K1455" s="63" t="s">
        <v>10</v>
      </c>
      <c r="L1455" s="63">
        <v>120</v>
      </c>
      <c r="M1455" s="63">
        <v>35</v>
      </c>
      <c r="N1455" s="63">
        <v>115.24</v>
      </c>
      <c r="O1455" s="64">
        <v>34.698999999999998</v>
      </c>
    </row>
    <row r="1456" spans="1:15" x14ac:dyDescent="0.25">
      <c r="A1456" s="114" t="s">
        <v>1590</v>
      </c>
      <c r="B1456" s="63" t="s">
        <v>51</v>
      </c>
      <c r="C1456" s="63" t="s">
        <v>60</v>
      </c>
      <c r="D1456" s="63">
        <v>150</v>
      </c>
      <c r="E1456" s="63">
        <v>550.01</v>
      </c>
      <c r="F1456" s="63">
        <v>0.01</v>
      </c>
      <c r="G1456" s="63" t="s">
        <v>13</v>
      </c>
      <c r="H1456" s="63" t="s">
        <v>12</v>
      </c>
      <c r="I1456" s="63">
        <v>5</v>
      </c>
      <c r="J1456" s="63">
        <v>5.01</v>
      </c>
      <c r="K1456" s="63" t="s">
        <v>10</v>
      </c>
      <c r="L1456" s="63">
        <v>120</v>
      </c>
      <c r="M1456" s="63">
        <v>35</v>
      </c>
      <c r="N1456" s="63">
        <v>115.24</v>
      </c>
      <c r="O1456" s="64">
        <v>34.698999999999998</v>
      </c>
    </row>
    <row r="1457" spans="1:15" x14ac:dyDescent="0.25">
      <c r="A1457" s="114" t="s">
        <v>2484</v>
      </c>
      <c r="B1457" s="63" t="s">
        <v>51</v>
      </c>
      <c r="C1457" s="63" t="s">
        <v>60</v>
      </c>
      <c r="D1457" s="63">
        <v>550</v>
      </c>
      <c r="E1457" s="63">
        <v>1025.01</v>
      </c>
      <c r="F1457" s="63">
        <v>0.01</v>
      </c>
      <c r="G1457" s="63" t="s">
        <v>13</v>
      </c>
      <c r="H1457" s="63" t="s">
        <v>12</v>
      </c>
      <c r="I1457" s="63">
        <v>4.4999999999999998E-2</v>
      </c>
      <c r="J1457" s="63">
        <v>0.10001</v>
      </c>
      <c r="K1457" s="63" t="s">
        <v>10</v>
      </c>
      <c r="L1457" s="63">
        <v>210</v>
      </c>
      <c r="M1457" s="63">
        <v>2.4</v>
      </c>
      <c r="N1457" s="63">
        <v>192.41</v>
      </c>
      <c r="O1457" s="64">
        <v>2.4161000000000001</v>
      </c>
    </row>
    <row r="1458" spans="1:15" x14ac:dyDescent="0.25">
      <c r="A1458" s="114" t="s">
        <v>1603</v>
      </c>
      <c r="B1458" s="63" t="s">
        <v>51</v>
      </c>
      <c r="C1458" s="63" t="s">
        <v>60</v>
      </c>
      <c r="D1458" s="63">
        <v>550</v>
      </c>
      <c r="E1458" s="63">
        <v>1025.01</v>
      </c>
      <c r="F1458" s="63">
        <v>0.01</v>
      </c>
      <c r="G1458" s="63" t="s">
        <v>13</v>
      </c>
      <c r="H1458" s="63" t="s">
        <v>12</v>
      </c>
      <c r="I1458" s="63">
        <v>0.1</v>
      </c>
      <c r="J1458" s="63">
        <v>1</v>
      </c>
      <c r="K1458" s="63" t="s">
        <v>10</v>
      </c>
      <c r="L1458" s="63">
        <v>250</v>
      </c>
      <c r="M1458" s="63">
        <v>2.6</v>
      </c>
      <c r="N1458" s="63">
        <v>210.67</v>
      </c>
      <c r="O1458" s="64">
        <v>2.6326000000000001</v>
      </c>
    </row>
    <row r="1459" spans="1:15" x14ac:dyDescent="0.25">
      <c r="A1459" s="114" t="s">
        <v>1931</v>
      </c>
      <c r="B1459" s="63" t="s">
        <v>51</v>
      </c>
      <c r="C1459" s="63" t="s">
        <v>60</v>
      </c>
      <c r="D1459" s="63">
        <v>550</v>
      </c>
      <c r="E1459" s="63">
        <v>1025.01</v>
      </c>
      <c r="F1459" s="63">
        <v>0.01</v>
      </c>
      <c r="G1459" s="63" t="s">
        <v>13</v>
      </c>
      <c r="H1459" s="63" t="s">
        <v>12</v>
      </c>
      <c r="I1459" s="63">
        <v>1</v>
      </c>
      <c r="J1459" s="63">
        <v>1.0000100000000001</v>
      </c>
      <c r="K1459" s="63" t="s">
        <v>10</v>
      </c>
      <c r="L1459" s="63">
        <v>250</v>
      </c>
      <c r="M1459" s="63">
        <v>2.6</v>
      </c>
      <c r="N1459" s="63">
        <v>210.67</v>
      </c>
      <c r="O1459" s="64">
        <v>2.6326000000000001</v>
      </c>
    </row>
    <row r="1460" spans="1:15" x14ac:dyDescent="0.25">
      <c r="A1460" s="114" t="s">
        <v>2485</v>
      </c>
      <c r="B1460" s="63" t="s">
        <v>51</v>
      </c>
      <c r="C1460" s="63" t="s">
        <v>60</v>
      </c>
      <c r="D1460" s="63">
        <v>55</v>
      </c>
      <c r="E1460" s="63">
        <v>150.01</v>
      </c>
      <c r="F1460" s="63">
        <v>0.1</v>
      </c>
      <c r="G1460" s="63" t="s">
        <v>13</v>
      </c>
      <c r="H1460" s="63" t="s">
        <v>12</v>
      </c>
      <c r="I1460" s="63">
        <v>0.01</v>
      </c>
      <c r="J1460" s="63">
        <v>4.4999999999999998E-2</v>
      </c>
      <c r="K1460" s="63" t="s">
        <v>10</v>
      </c>
      <c r="L1460" s="63">
        <v>22</v>
      </c>
      <c r="M1460" s="63">
        <v>2.8075999999999999</v>
      </c>
      <c r="N1460" s="63">
        <v>17.829000000000001</v>
      </c>
      <c r="O1460" s="64">
        <v>2.819</v>
      </c>
    </row>
    <row r="1461" spans="1:15" x14ac:dyDescent="0.25">
      <c r="A1461" s="114" t="s">
        <v>1574</v>
      </c>
      <c r="B1461" s="63" t="s">
        <v>51</v>
      </c>
      <c r="C1461" s="63" t="s">
        <v>60</v>
      </c>
      <c r="D1461" s="63">
        <v>55</v>
      </c>
      <c r="E1461" s="63">
        <v>150.01</v>
      </c>
      <c r="F1461" s="63">
        <v>0.1</v>
      </c>
      <c r="G1461" s="63" t="s">
        <v>13</v>
      </c>
      <c r="H1461" s="63" t="s">
        <v>12</v>
      </c>
      <c r="I1461" s="63">
        <v>4.4999999999999998E-2</v>
      </c>
      <c r="J1461" s="63">
        <v>0.1</v>
      </c>
      <c r="K1461" s="63" t="s">
        <v>10</v>
      </c>
      <c r="L1461" s="63">
        <v>49</v>
      </c>
      <c r="M1461" s="63">
        <v>2.6</v>
      </c>
      <c r="N1461" s="63">
        <v>20.257000000000001</v>
      </c>
      <c r="O1461" s="64">
        <v>2.0293000000000001</v>
      </c>
    </row>
    <row r="1462" spans="1:15" x14ac:dyDescent="0.25">
      <c r="A1462" s="114" t="s">
        <v>1571</v>
      </c>
      <c r="B1462" s="63" t="s">
        <v>51</v>
      </c>
      <c r="C1462" s="63" t="s">
        <v>60</v>
      </c>
      <c r="D1462" s="63">
        <v>55</v>
      </c>
      <c r="E1462" s="63">
        <v>150.01</v>
      </c>
      <c r="F1462" s="63">
        <v>0.1</v>
      </c>
      <c r="G1462" s="63" t="s">
        <v>13</v>
      </c>
      <c r="H1462" s="63" t="s">
        <v>12</v>
      </c>
      <c r="I1462" s="63">
        <v>0.1</v>
      </c>
      <c r="J1462" s="63">
        <v>1</v>
      </c>
      <c r="K1462" s="63" t="s">
        <v>10</v>
      </c>
      <c r="L1462" s="63">
        <v>49</v>
      </c>
      <c r="M1462" s="63">
        <v>2.6</v>
      </c>
      <c r="N1462" s="63">
        <v>20.257000000000001</v>
      </c>
      <c r="O1462" s="64">
        <v>2.0293000000000001</v>
      </c>
    </row>
    <row r="1463" spans="1:15" x14ac:dyDescent="0.25">
      <c r="A1463" s="114" t="s">
        <v>2486</v>
      </c>
      <c r="B1463" s="63" t="s">
        <v>51</v>
      </c>
      <c r="C1463" s="63" t="s">
        <v>60</v>
      </c>
      <c r="D1463" s="63">
        <v>55</v>
      </c>
      <c r="E1463" s="63">
        <v>150.01</v>
      </c>
      <c r="F1463" s="63">
        <v>0.1</v>
      </c>
      <c r="G1463" s="63" t="s">
        <v>13</v>
      </c>
      <c r="H1463" s="63" t="s">
        <v>12</v>
      </c>
      <c r="I1463" s="63">
        <v>1</v>
      </c>
      <c r="J1463" s="63">
        <v>5.01</v>
      </c>
      <c r="K1463" s="63" t="s">
        <v>10</v>
      </c>
      <c r="L1463" s="63">
        <v>60.896000000000001</v>
      </c>
      <c r="M1463" s="63">
        <v>7.1858000000000004</v>
      </c>
      <c r="N1463" s="63">
        <v>60.843000000000004</v>
      </c>
      <c r="O1463" s="64">
        <v>7.1859000000000002</v>
      </c>
    </row>
    <row r="1464" spans="1:15" x14ac:dyDescent="0.25">
      <c r="A1464" s="114" t="s">
        <v>1573</v>
      </c>
      <c r="B1464" s="63" t="s">
        <v>51</v>
      </c>
      <c r="C1464" s="63" t="s">
        <v>60</v>
      </c>
      <c r="D1464" s="63">
        <v>55</v>
      </c>
      <c r="E1464" s="63">
        <v>150.01</v>
      </c>
      <c r="F1464" s="63">
        <v>0.1</v>
      </c>
      <c r="G1464" s="63" t="s">
        <v>13</v>
      </c>
      <c r="H1464" s="63" t="s">
        <v>12</v>
      </c>
      <c r="I1464" s="63">
        <v>5</v>
      </c>
      <c r="J1464" s="63">
        <v>10</v>
      </c>
      <c r="K1464" s="63" t="s">
        <v>10</v>
      </c>
      <c r="L1464" s="63">
        <v>290</v>
      </c>
      <c r="M1464" s="63">
        <v>28.931000000000001</v>
      </c>
      <c r="N1464" s="63">
        <v>289.39999999999998</v>
      </c>
      <c r="O1464" s="64">
        <v>28.93</v>
      </c>
    </row>
    <row r="1465" spans="1:15" x14ac:dyDescent="0.25">
      <c r="A1465" s="114" t="s">
        <v>1572</v>
      </c>
      <c r="B1465" s="63" t="s">
        <v>51</v>
      </c>
      <c r="C1465" s="63" t="s">
        <v>60</v>
      </c>
      <c r="D1465" s="63">
        <v>55</v>
      </c>
      <c r="E1465" s="63">
        <v>150.01</v>
      </c>
      <c r="F1465" s="63">
        <v>0.1</v>
      </c>
      <c r="G1465" s="63" t="s">
        <v>13</v>
      </c>
      <c r="H1465" s="63" t="s">
        <v>12</v>
      </c>
      <c r="I1465" s="63">
        <v>10</v>
      </c>
      <c r="J1465" s="63">
        <v>10.01</v>
      </c>
      <c r="K1465" s="63" t="s">
        <v>10</v>
      </c>
      <c r="L1465" s="63">
        <v>290</v>
      </c>
      <c r="M1465" s="63">
        <v>28.931000000000001</v>
      </c>
      <c r="N1465" s="63">
        <v>289.39999999999998</v>
      </c>
      <c r="O1465" s="64">
        <v>28.93</v>
      </c>
    </row>
    <row r="1466" spans="1:15" x14ac:dyDescent="0.25">
      <c r="A1466" s="114" t="s">
        <v>2487</v>
      </c>
      <c r="B1466" s="63" t="s">
        <v>51</v>
      </c>
      <c r="C1466" s="63" t="s">
        <v>60</v>
      </c>
      <c r="D1466" s="63">
        <v>150</v>
      </c>
      <c r="E1466" s="63">
        <v>550.01</v>
      </c>
      <c r="F1466" s="63">
        <v>0.1</v>
      </c>
      <c r="G1466" s="63" t="s">
        <v>13</v>
      </c>
      <c r="H1466" s="63" t="s">
        <v>12</v>
      </c>
      <c r="I1466" s="63">
        <v>4.4999999999999998E-2</v>
      </c>
      <c r="J1466" s="63">
        <v>0.10001</v>
      </c>
      <c r="K1466" s="63" t="s">
        <v>10</v>
      </c>
      <c r="L1466" s="63">
        <v>62.204999999999998</v>
      </c>
      <c r="M1466" s="63">
        <v>2.0941999999999998</v>
      </c>
      <c r="N1466" s="63">
        <v>64.156000000000006</v>
      </c>
      <c r="O1466" s="64">
        <v>2.0802</v>
      </c>
    </row>
    <row r="1467" spans="1:15" x14ac:dyDescent="0.25">
      <c r="A1467" s="114" t="s">
        <v>1594</v>
      </c>
      <c r="B1467" s="63" t="s">
        <v>51</v>
      </c>
      <c r="C1467" s="63" t="s">
        <v>60</v>
      </c>
      <c r="D1467" s="63">
        <v>150</v>
      </c>
      <c r="E1467" s="63">
        <v>550.01</v>
      </c>
      <c r="F1467" s="63">
        <v>0.1</v>
      </c>
      <c r="G1467" s="63" t="s">
        <v>13</v>
      </c>
      <c r="H1467" s="63" t="s">
        <v>12</v>
      </c>
      <c r="I1467" s="63">
        <v>0.1</v>
      </c>
      <c r="J1467" s="63">
        <v>1.0000100000000001</v>
      </c>
      <c r="K1467" s="63" t="s">
        <v>10</v>
      </c>
      <c r="L1467" s="63">
        <v>76.075999999999993</v>
      </c>
      <c r="M1467" s="63">
        <v>2.2961999999999998</v>
      </c>
      <c r="N1467" s="63">
        <v>78.162000000000006</v>
      </c>
      <c r="O1467" s="64">
        <v>2.2814000000000001</v>
      </c>
    </row>
    <row r="1468" spans="1:15" x14ac:dyDescent="0.25">
      <c r="A1468" s="114" t="s">
        <v>1593</v>
      </c>
      <c r="B1468" s="63" t="s">
        <v>51</v>
      </c>
      <c r="C1468" s="63" t="s">
        <v>60</v>
      </c>
      <c r="D1468" s="63">
        <v>150</v>
      </c>
      <c r="E1468" s="63">
        <v>550.01</v>
      </c>
      <c r="F1468" s="63">
        <v>0.1</v>
      </c>
      <c r="G1468" s="63" t="s">
        <v>13</v>
      </c>
      <c r="H1468" s="63" t="s">
        <v>12</v>
      </c>
      <c r="I1468" s="63">
        <v>1</v>
      </c>
      <c r="J1468" s="63">
        <v>5</v>
      </c>
      <c r="K1468" s="63" t="s">
        <v>10</v>
      </c>
      <c r="L1468" s="63">
        <v>120</v>
      </c>
      <c r="M1468" s="63">
        <v>35</v>
      </c>
      <c r="N1468" s="63">
        <v>115.76</v>
      </c>
      <c r="O1468" s="64">
        <v>34.698</v>
      </c>
    </row>
    <row r="1469" spans="1:15" x14ac:dyDescent="0.25">
      <c r="A1469" s="114" t="s">
        <v>1592</v>
      </c>
      <c r="B1469" s="63" t="s">
        <v>51</v>
      </c>
      <c r="C1469" s="63" t="s">
        <v>60</v>
      </c>
      <c r="D1469" s="63">
        <v>150</v>
      </c>
      <c r="E1469" s="63">
        <v>550.01</v>
      </c>
      <c r="F1469" s="63">
        <v>0.1</v>
      </c>
      <c r="G1469" s="63" t="s">
        <v>13</v>
      </c>
      <c r="H1469" s="63" t="s">
        <v>12</v>
      </c>
      <c r="I1469" s="63">
        <v>5</v>
      </c>
      <c r="J1469" s="63">
        <v>5.01</v>
      </c>
      <c r="K1469" s="63" t="s">
        <v>10</v>
      </c>
      <c r="L1469" s="63">
        <v>120</v>
      </c>
      <c r="M1469" s="63">
        <v>35</v>
      </c>
      <c r="N1469" s="63">
        <v>115.76</v>
      </c>
      <c r="O1469" s="64">
        <v>34.698</v>
      </c>
    </row>
    <row r="1470" spans="1:15" x14ac:dyDescent="0.25">
      <c r="A1470" s="114" t="s">
        <v>1604</v>
      </c>
      <c r="B1470" s="63" t="s">
        <v>51</v>
      </c>
      <c r="C1470" s="63" t="s">
        <v>60</v>
      </c>
      <c r="D1470" s="63">
        <v>550</v>
      </c>
      <c r="E1470" s="63">
        <v>1025.01</v>
      </c>
      <c r="F1470" s="63">
        <v>0.1</v>
      </c>
      <c r="G1470" s="63" t="s">
        <v>13</v>
      </c>
      <c r="H1470" s="63" t="s">
        <v>12</v>
      </c>
      <c r="I1470" s="63">
        <v>4.4999999999999998E-2</v>
      </c>
      <c r="J1470" s="63">
        <v>0.10001</v>
      </c>
      <c r="K1470" s="63" t="s">
        <v>10</v>
      </c>
      <c r="L1470" s="63">
        <v>210</v>
      </c>
      <c r="M1470" s="63">
        <v>2.4</v>
      </c>
      <c r="N1470" s="63">
        <v>193.98</v>
      </c>
      <c r="O1470" s="64">
        <v>2.4152</v>
      </c>
    </row>
    <row r="1471" spans="1:15" x14ac:dyDescent="0.25">
      <c r="A1471" s="114" t="s">
        <v>1605</v>
      </c>
      <c r="B1471" s="63" t="s">
        <v>51</v>
      </c>
      <c r="C1471" s="63" t="s">
        <v>60</v>
      </c>
      <c r="D1471" s="63">
        <v>550</v>
      </c>
      <c r="E1471" s="63">
        <v>1025.01</v>
      </c>
      <c r="F1471" s="63">
        <v>0.1</v>
      </c>
      <c r="G1471" s="63" t="s">
        <v>13</v>
      </c>
      <c r="H1471" s="63" t="s">
        <v>12</v>
      </c>
      <c r="I1471" s="63">
        <v>0.1</v>
      </c>
      <c r="J1471" s="63">
        <v>1</v>
      </c>
      <c r="K1471" s="63" t="s">
        <v>10</v>
      </c>
      <c r="L1471" s="63">
        <v>250</v>
      </c>
      <c r="M1471" s="63">
        <v>2.6</v>
      </c>
      <c r="N1471" s="63">
        <v>212.17</v>
      </c>
      <c r="O1471" s="64">
        <v>2.6316999999999999</v>
      </c>
    </row>
    <row r="1472" spans="1:15" x14ac:dyDescent="0.25">
      <c r="A1472" s="114" t="s">
        <v>1932</v>
      </c>
      <c r="B1472" s="63" t="s">
        <v>51</v>
      </c>
      <c r="C1472" s="63" t="s">
        <v>60</v>
      </c>
      <c r="D1472" s="63">
        <v>550</v>
      </c>
      <c r="E1472" s="63">
        <v>1025.01</v>
      </c>
      <c r="F1472" s="63">
        <v>0.1</v>
      </c>
      <c r="G1472" s="63" t="s">
        <v>13</v>
      </c>
      <c r="H1472" s="63" t="s">
        <v>12</v>
      </c>
      <c r="I1472" s="63">
        <v>1</v>
      </c>
      <c r="J1472" s="63">
        <v>1.0000100000000001</v>
      </c>
      <c r="K1472" s="63" t="s">
        <v>10</v>
      </c>
      <c r="L1472" s="63">
        <v>250</v>
      </c>
      <c r="M1472" s="63">
        <v>2.6</v>
      </c>
      <c r="N1472" s="63">
        <v>212.17</v>
      </c>
      <c r="O1472" s="64">
        <v>2.6316999999999999</v>
      </c>
    </row>
    <row r="1473" spans="1:15" x14ac:dyDescent="0.25">
      <c r="A1473" s="114" t="s">
        <v>1577</v>
      </c>
      <c r="B1473" s="63" t="s">
        <v>51</v>
      </c>
      <c r="C1473" s="63" t="s">
        <v>60</v>
      </c>
      <c r="D1473" s="63">
        <v>55</v>
      </c>
      <c r="E1473" s="63">
        <v>150.01</v>
      </c>
      <c r="F1473" s="63">
        <v>1</v>
      </c>
      <c r="G1473" s="63" t="s">
        <v>13</v>
      </c>
      <c r="H1473" s="63" t="s">
        <v>12</v>
      </c>
      <c r="I1473" s="63">
        <v>0.01</v>
      </c>
      <c r="J1473" s="63">
        <v>4.4999999999999998E-2</v>
      </c>
      <c r="K1473" s="63" t="s">
        <v>10</v>
      </c>
      <c r="L1473" s="63">
        <v>530.85</v>
      </c>
      <c r="M1473" s="63">
        <v>1.3025</v>
      </c>
      <c r="N1473" s="63">
        <v>530.83000000000004</v>
      </c>
      <c r="O1473" s="64">
        <v>1.3019000000000001</v>
      </c>
    </row>
    <row r="1474" spans="1:15" x14ac:dyDescent="0.25">
      <c r="A1474" s="114" t="s">
        <v>1575</v>
      </c>
      <c r="B1474" s="63" t="s">
        <v>51</v>
      </c>
      <c r="C1474" s="63" t="s">
        <v>60</v>
      </c>
      <c r="D1474" s="63">
        <v>55</v>
      </c>
      <c r="E1474" s="63">
        <v>150.01</v>
      </c>
      <c r="F1474" s="63">
        <v>1</v>
      </c>
      <c r="G1474" s="63" t="s">
        <v>13</v>
      </c>
      <c r="H1474" s="63" t="s">
        <v>12</v>
      </c>
      <c r="I1474" s="63">
        <v>4.4999999999999998E-2</v>
      </c>
      <c r="J1474" s="63">
        <v>0.1</v>
      </c>
      <c r="K1474" s="63" t="s">
        <v>10</v>
      </c>
      <c r="L1474" s="63">
        <v>551.36</v>
      </c>
      <c r="M1474" s="63">
        <v>0.73945000000000005</v>
      </c>
      <c r="N1474" s="63">
        <v>551.34</v>
      </c>
      <c r="O1474" s="64">
        <v>0.73870000000000002</v>
      </c>
    </row>
    <row r="1475" spans="1:15" x14ac:dyDescent="0.25">
      <c r="A1475" s="114" t="s">
        <v>2488</v>
      </c>
      <c r="B1475" s="63" t="s">
        <v>51</v>
      </c>
      <c r="C1475" s="63" t="s">
        <v>60</v>
      </c>
      <c r="D1475" s="63">
        <v>55</v>
      </c>
      <c r="E1475" s="63">
        <v>150.01</v>
      </c>
      <c r="F1475" s="63">
        <v>1</v>
      </c>
      <c r="G1475" s="63" t="s">
        <v>13</v>
      </c>
      <c r="H1475" s="63" t="s">
        <v>12</v>
      </c>
      <c r="I1475" s="63">
        <v>0.1</v>
      </c>
      <c r="J1475" s="63">
        <v>1</v>
      </c>
      <c r="K1475" s="63" t="s">
        <v>10</v>
      </c>
      <c r="L1475" s="63">
        <v>551.36</v>
      </c>
      <c r="M1475" s="63">
        <v>0.73945000000000005</v>
      </c>
      <c r="N1475" s="63">
        <v>551.34</v>
      </c>
      <c r="O1475" s="64">
        <v>0.73870000000000002</v>
      </c>
    </row>
    <row r="1476" spans="1:15" x14ac:dyDescent="0.25">
      <c r="A1476" s="114" t="s">
        <v>1576</v>
      </c>
      <c r="B1476" s="63" t="s">
        <v>51</v>
      </c>
      <c r="C1476" s="63" t="s">
        <v>60</v>
      </c>
      <c r="D1476" s="63">
        <v>55</v>
      </c>
      <c r="E1476" s="63">
        <v>150.01</v>
      </c>
      <c r="F1476" s="63">
        <v>1</v>
      </c>
      <c r="G1476" s="63" t="s">
        <v>13</v>
      </c>
      <c r="H1476" s="63" t="s">
        <v>12</v>
      </c>
      <c r="I1476" s="63">
        <v>1</v>
      </c>
      <c r="J1476" s="63">
        <v>5.01</v>
      </c>
      <c r="K1476" s="63" t="s">
        <v>10</v>
      </c>
      <c r="L1476" s="63">
        <v>422.41</v>
      </c>
      <c r="M1476" s="63">
        <v>5.6955999999999998</v>
      </c>
      <c r="N1476" s="63">
        <v>422.3</v>
      </c>
      <c r="O1476" s="64">
        <v>5.6954000000000002</v>
      </c>
    </row>
    <row r="1477" spans="1:15" x14ac:dyDescent="0.25">
      <c r="A1477" s="114" t="s">
        <v>2489</v>
      </c>
      <c r="B1477" s="63" t="s">
        <v>51</v>
      </c>
      <c r="C1477" s="63" t="s">
        <v>60</v>
      </c>
      <c r="D1477" s="63">
        <v>55</v>
      </c>
      <c r="E1477" s="63">
        <v>150.01</v>
      </c>
      <c r="F1477" s="63">
        <v>1</v>
      </c>
      <c r="G1477" s="63" t="s">
        <v>13</v>
      </c>
      <c r="H1477" s="63" t="s">
        <v>12</v>
      </c>
      <c r="I1477" s="63">
        <v>5</v>
      </c>
      <c r="J1477" s="63">
        <v>10</v>
      </c>
      <c r="K1477" s="63" t="s">
        <v>10</v>
      </c>
      <c r="L1477" s="63">
        <v>405.34</v>
      </c>
      <c r="M1477" s="63">
        <v>28.398</v>
      </c>
      <c r="N1477" s="63">
        <v>405.23</v>
      </c>
      <c r="O1477" s="64">
        <v>28.396999999999998</v>
      </c>
    </row>
    <row r="1478" spans="1:15" x14ac:dyDescent="0.25">
      <c r="A1478" s="114" t="s">
        <v>1578</v>
      </c>
      <c r="B1478" s="63" t="s">
        <v>51</v>
      </c>
      <c r="C1478" s="63" t="s">
        <v>60</v>
      </c>
      <c r="D1478" s="63">
        <v>55</v>
      </c>
      <c r="E1478" s="63">
        <v>150.01</v>
      </c>
      <c r="F1478" s="63">
        <v>1</v>
      </c>
      <c r="G1478" s="63" t="s">
        <v>13</v>
      </c>
      <c r="H1478" s="63" t="s">
        <v>12</v>
      </c>
      <c r="I1478" s="63">
        <v>10</v>
      </c>
      <c r="J1478" s="63">
        <v>10.01</v>
      </c>
      <c r="K1478" s="63" t="s">
        <v>10</v>
      </c>
      <c r="L1478" s="63">
        <v>405.34</v>
      </c>
      <c r="M1478" s="63">
        <v>28.398</v>
      </c>
      <c r="N1478" s="63">
        <v>405.23</v>
      </c>
      <c r="O1478" s="64">
        <v>28.396999999999998</v>
      </c>
    </row>
    <row r="1479" spans="1:15" x14ac:dyDescent="0.25">
      <c r="A1479" s="114" t="s">
        <v>1596</v>
      </c>
      <c r="B1479" s="63" t="s">
        <v>51</v>
      </c>
      <c r="C1479" s="63" t="s">
        <v>60</v>
      </c>
      <c r="D1479" s="63">
        <v>150</v>
      </c>
      <c r="E1479" s="63">
        <v>550.01</v>
      </c>
      <c r="F1479" s="63">
        <v>1</v>
      </c>
      <c r="G1479" s="63" t="s">
        <v>13</v>
      </c>
      <c r="H1479" s="63" t="s">
        <v>12</v>
      </c>
      <c r="I1479" s="63">
        <v>4.4999999999999998E-2</v>
      </c>
      <c r="J1479" s="63">
        <v>0.10001</v>
      </c>
      <c r="K1479" s="63" t="s">
        <v>10</v>
      </c>
      <c r="L1479" s="63">
        <v>445.36</v>
      </c>
      <c r="M1479" s="63">
        <v>1.6256999999999999</v>
      </c>
      <c r="N1479" s="63">
        <v>445.1</v>
      </c>
      <c r="O1479" s="64">
        <v>1.6253</v>
      </c>
    </row>
    <row r="1480" spans="1:15" x14ac:dyDescent="0.25">
      <c r="A1480" s="114" t="s">
        <v>2490</v>
      </c>
      <c r="B1480" s="63" t="s">
        <v>51</v>
      </c>
      <c r="C1480" s="63" t="s">
        <v>60</v>
      </c>
      <c r="D1480" s="63">
        <v>150</v>
      </c>
      <c r="E1480" s="63">
        <v>550.01</v>
      </c>
      <c r="F1480" s="63">
        <v>1</v>
      </c>
      <c r="G1480" s="63" t="s">
        <v>13</v>
      </c>
      <c r="H1480" s="63" t="s">
        <v>12</v>
      </c>
      <c r="I1480" s="63">
        <v>0.1</v>
      </c>
      <c r="J1480" s="63">
        <v>1.0000100000000001</v>
      </c>
      <c r="K1480" s="63" t="s">
        <v>10</v>
      </c>
      <c r="L1480" s="63">
        <v>437.31</v>
      </c>
      <c r="M1480" s="63">
        <v>1.8466</v>
      </c>
      <c r="N1480" s="63">
        <v>437.03</v>
      </c>
      <c r="O1480" s="64">
        <v>1.8463000000000001</v>
      </c>
    </row>
    <row r="1481" spans="1:15" x14ac:dyDescent="0.25">
      <c r="A1481" s="114" t="s">
        <v>1595</v>
      </c>
      <c r="B1481" s="63" t="s">
        <v>51</v>
      </c>
      <c r="C1481" s="63" t="s">
        <v>60</v>
      </c>
      <c r="D1481" s="63">
        <v>150</v>
      </c>
      <c r="E1481" s="63">
        <v>550.01</v>
      </c>
      <c r="F1481" s="63">
        <v>1</v>
      </c>
      <c r="G1481" s="63" t="s">
        <v>13</v>
      </c>
      <c r="H1481" s="63" t="s">
        <v>12</v>
      </c>
      <c r="I1481" s="63">
        <v>1</v>
      </c>
      <c r="J1481" s="63">
        <v>5</v>
      </c>
      <c r="K1481" s="63" t="s">
        <v>10</v>
      </c>
      <c r="L1481" s="63">
        <v>120</v>
      </c>
      <c r="M1481" s="63">
        <v>35</v>
      </c>
      <c r="N1481" s="63">
        <v>155.32</v>
      </c>
      <c r="O1481" s="64">
        <v>34.642000000000003</v>
      </c>
    </row>
    <row r="1482" spans="1:15" x14ac:dyDescent="0.25">
      <c r="A1482" s="114" t="s">
        <v>2491</v>
      </c>
      <c r="B1482" s="63" t="s">
        <v>51</v>
      </c>
      <c r="C1482" s="63" t="s">
        <v>60</v>
      </c>
      <c r="D1482" s="63">
        <v>150</v>
      </c>
      <c r="E1482" s="63">
        <v>550.01</v>
      </c>
      <c r="F1482" s="63">
        <v>1</v>
      </c>
      <c r="G1482" s="63" t="s">
        <v>13</v>
      </c>
      <c r="H1482" s="63" t="s">
        <v>12</v>
      </c>
      <c r="I1482" s="63">
        <v>5</v>
      </c>
      <c r="J1482" s="63">
        <v>5.01</v>
      </c>
      <c r="K1482" s="63" t="s">
        <v>10</v>
      </c>
      <c r="L1482" s="63">
        <v>120</v>
      </c>
      <c r="M1482" s="63">
        <v>35</v>
      </c>
      <c r="N1482" s="63">
        <v>155.32</v>
      </c>
      <c r="O1482" s="64">
        <v>34.642000000000003</v>
      </c>
    </row>
    <row r="1483" spans="1:15" x14ac:dyDescent="0.25">
      <c r="A1483" s="114" t="s">
        <v>1607</v>
      </c>
      <c r="B1483" s="63" t="s">
        <v>51</v>
      </c>
      <c r="C1483" s="63" t="s">
        <v>60</v>
      </c>
      <c r="D1483" s="63">
        <v>550</v>
      </c>
      <c r="E1483" s="63">
        <v>1025.01</v>
      </c>
      <c r="F1483" s="63">
        <v>1</v>
      </c>
      <c r="G1483" s="63" t="s">
        <v>13</v>
      </c>
      <c r="H1483" s="63" t="s">
        <v>12</v>
      </c>
      <c r="I1483" s="63">
        <v>4.4999999999999998E-2</v>
      </c>
      <c r="J1483" s="63">
        <v>0.10001</v>
      </c>
      <c r="K1483" s="63" t="s">
        <v>10</v>
      </c>
      <c r="L1483" s="63">
        <v>350.89</v>
      </c>
      <c r="M1483" s="63">
        <v>2.3235999999999999</v>
      </c>
      <c r="N1483" s="63">
        <v>350.74</v>
      </c>
      <c r="O1483" s="64">
        <v>2.3224</v>
      </c>
    </row>
    <row r="1484" spans="1:15" x14ac:dyDescent="0.25">
      <c r="A1484" s="114" t="s">
        <v>1606</v>
      </c>
      <c r="B1484" s="63" t="s">
        <v>51</v>
      </c>
      <c r="C1484" s="63" t="s">
        <v>60</v>
      </c>
      <c r="D1484" s="63">
        <v>550</v>
      </c>
      <c r="E1484" s="63">
        <v>1025.01</v>
      </c>
      <c r="F1484" s="63">
        <v>1</v>
      </c>
      <c r="G1484" s="63" t="s">
        <v>13</v>
      </c>
      <c r="H1484" s="63" t="s">
        <v>12</v>
      </c>
      <c r="I1484" s="63">
        <v>0.1</v>
      </c>
      <c r="J1484" s="63">
        <v>1</v>
      </c>
      <c r="K1484" s="63" t="s">
        <v>10</v>
      </c>
      <c r="L1484" s="63">
        <v>357.02</v>
      </c>
      <c r="M1484" s="63">
        <v>2.5468999999999999</v>
      </c>
      <c r="N1484" s="63">
        <v>356.89</v>
      </c>
      <c r="O1484" s="64">
        <v>2.5457999999999998</v>
      </c>
    </row>
    <row r="1485" spans="1:15" x14ac:dyDescent="0.25">
      <c r="A1485" s="114" t="s">
        <v>1933</v>
      </c>
      <c r="B1485" s="63" t="s">
        <v>51</v>
      </c>
      <c r="C1485" s="63" t="s">
        <v>60</v>
      </c>
      <c r="D1485" s="63">
        <v>550</v>
      </c>
      <c r="E1485" s="63">
        <v>1025.01</v>
      </c>
      <c r="F1485" s="63">
        <v>1</v>
      </c>
      <c r="G1485" s="63" t="s">
        <v>13</v>
      </c>
      <c r="H1485" s="63" t="s">
        <v>12</v>
      </c>
      <c r="I1485" s="63">
        <v>1</v>
      </c>
      <c r="J1485" s="63">
        <v>1.0000100000000001</v>
      </c>
      <c r="K1485" s="63" t="s">
        <v>10</v>
      </c>
      <c r="L1485" s="63">
        <v>357.02</v>
      </c>
      <c r="M1485" s="63">
        <v>2.5468999999999999</v>
      </c>
      <c r="N1485" s="63">
        <v>356.89</v>
      </c>
      <c r="O1485" s="64">
        <v>2.5457999999999998</v>
      </c>
    </row>
    <row r="1486" spans="1:15" x14ac:dyDescent="0.25">
      <c r="A1486" s="114" t="s">
        <v>1581</v>
      </c>
      <c r="B1486" s="63" t="s">
        <v>51</v>
      </c>
      <c r="C1486" s="63" t="s">
        <v>60</v>
      </c>
      <c r="D1486" s="63">
        <v>55</v>
      </c>
      <c r="E1486" s="63">
        <v>150.01</v>
      </c>
      <c r="F1486" s="63">
        <v>10</v>
      </c>
      <c r="G1486" s="63" t="s">
        <v>13</v>
      </c>
      <c r="H1486" s="63" t="s">
        <v>12</v>
      </c>
      <c r="I1486" s="63">
        <v>0.01</v>
      </c>
      <c r="J1486" s="63">
        <v>4.4999999999999998E-2</v>
      </c>
      <c r="K1486" s="63" t="s">
        <v>10</v>
      </c>
      <c r="L1486" s="63">
        <v>5794.1</v>
      </c>
      <c r="M1486" s="63">
        <v>0.14924000000000001</v>
      </c>
      <c r="N1486" s="63">
        <v>5794.1</v>
      </c>
      <c r="O1486" s="64">
        <v>0.14885999999999999</v>
      </c>
    </row>
    <row r="1487" spans="1:15" x14ac:dyDescent="0.25">
      <c r="A1487" s="114" t="s">
        <v>1579</v>
      </c>
      <c r="B1487" s="63" t="s">
        <v>51</v>
      </c>
      <c r="C1487" s="63" t="s">
        <v>60</v>
      </c>
      <c r="D1487" s="63">
        <v>55</v>
      </c>
      <c r="E1487" s="63">
        <v>150.01</v>
      </c>
      <c r="F1487" s="63">
        <v>10</v>
      </c>
      <c r="G1487" s="63" t="s">
        <v>13</v>
      </c>
      <c r="H1487" s="63" t="s">
        <v>12</v>
      </c>
      <c r="I1487" s="63">
        <v>4.4999999999999998E-2</v>
      </c>
      <c r="J1487" s="63">
        <v>0.1</v>
      </c>
      <c r="K1487" s="63" t="s">
        <v>10</v>
      </c>
      <c r="L1487" s="63">
        <v>5796.8</v>
      </c>
      <c r="M1487" s="63">
        <v>8.0168000000000003E-2</v>
      </c>
      <c r="N1487" s="63">
        <v>5796.8</v>
      </c>
      <c r="O1487" s="64">
        <v>7.9794000000000004E-2</v>
      </c>
    </row>
    <row r="1488" spans="1:15" x14ac:dyDescent="0.25">
      <c r="A1488" s="114" t="s">
        <v>1580</v>
      </c>
      <c r="B1488" s="63" t="s">
        <v>51</v>
      </c>
      <c r="C1488" s="63" t="s">
        <v>60</v>
      </c>
      <c r="D1488" s="63">
        <v>55</v>
      </c>
      <c r="E1488" s="63">
        <v>150.01</v>
      </c>
      <c r="F1488" s="63">
        <v>10</v>
      </c>
      <c r="G1488" s="63" t="s">
        <v>13</v>
      </c>
      <c r="H1488" s="63" t="s">
        <v>12</v>
      </c>
      <c r="I1488" s="63">
        <v>0.1</v>
      </c>
      <c r="J1488" s="63">
        <v>1</v>
      </c>
      <c r="K1488" s="63" t="s">
        <v>10</v>
      </c>
      <c r="L1488" s="63">
        <v>5796.8</v>
      </c>
      <c r="M1488" s="63">
        <v>8.0168000000000003E-2</v>
      </c>
      <c r="N1488" s="63">
        <v>5796.8</v>
      </c>
      <c r="O1488" s="64">
        <v>7.9794000000000004E-2</v>
      </c>
    </row>
    <row r="1489" spans="1:15" x14ac:dyDescent="0.25">
      <c r="A1489" s="114" t="s">
        <v>2492</v>
      </c>
      <c r="B1489" s="63" t="s">
        <v>51</v>
      </c>
      <c r="C1489" s="63" t="s">
        <v>60</v>
      </c>
      <c r="D1489" s="63">
        <v>55</v>
      </c>
      <c r="E1489" s="63">
        <v>150.01</v>
      </c>
      <c r="F1489" s="63">
        <v>10</v>
      </c>
      <c r="G1489" s="63" t="s">
        <v>13</v>
      </c>
      <c r="H1489" s="63" t="s">
        <v>12</v>
      </c>
      <c r="I1489" s="63">
        <v>1</v>
      </c>
      <c r="J1489" s="63">
        <v>5.01</v>
      </c>
      <c r="K1489" s="63" t="s">
        <v>10</v>
      </c>
      <c r="L1489" s="63">
        <v>5763.9</v>
      </c>
      <c r="M1489" s="63">
        <v>0.97779000000000005</v>
      </c>
      <c r="N1489" s="63">
        <v>5763.9</v>
      </c>
      <c r="O1489" s="64">
        <v>0.97714999999999996</v>
      </c>
    </row>
    <row r="1490" spans="1:15" x14ac:dyDescent="0.25">
      <c r="A1490" s="114" t="s">
        <v>2493</v>
      </c>
      <c r="B1490" s="63" t="s">
        <v>51</v>
      </c>
      <c r="C1490" s="63" t="s">
        <v>60</v>
      </c>
      <c r="D1490" s="63">
        <v>55</v>
      </c>
      <c r="E1490" s="63">
        <v>150.01</v>
      </c>
      <c r="F1490" s="63">
        <v>10</v>
      </c>
      <c r="G1490" s="63" t="s">
        <v>13</v>
      </c>
      <c r="H1490" s="63" t="s">
        <v>12</v>
      </c>
      <c r="I1490" s="63">
        <v>5</v>
      </c>
      <c r="J1490" s="63">
        <v>10</v>
      </c>
      <c r="K1490" s="63" t="s">
        <v>10</v>
      </c>
      <c r="L1490" s="63">
        <v>5330.6</v>
      </c>
      <c r="M1490" s="63">
        <v>13.938000000000001</v>
      </c>
      <c r="N1490" s="63">
        <v>5330.7</v>
      </c>
      <c r="O1490" s="64">
        <v>13.932</v>
      </c>
    </row>
    <row r="1491" spans="1:15" x14ac:dyDescent="0.25">
      <c r="A1491" s="114" t="s">
        <v>1582</v>
      </c>
      <c r="B1491" s="63" t="s">
        <v>51</v>
      </c>
      <c r="C1491" s="63" t="s">
        <v>60</v>
      </c>
      <c r="D1491" s="63">
        <v>55</v>
      </c>
      <c r="E1491" s="63">
        <v>150.01</v>
      </c>
      <c r="F1491" s="63">
        <v>10</v>
      </c>
      <c r="G1491" s="63" t="s">
        <v>13</v>
      </c>
      <c r="H1491" s="63" t="s">
        <v>12</v>
      </c>
      <c r="I1491" s="63">
        <v>10</v>
      </c>
      <c r="J1491" s="63">
        <v>10.01</v>
      </c>
      <c r="K1491" s="63" t="s">
        <v>10</v>
      </c>
      <c r="L1491" s="63">
        <v>5330.6</v>
      </c>
      <c r="M1491" s="63">
        <v>13.938000000000001</v>
      </c>
      <c r="N1491" s="63">
        <v>5330.7</v>
      </c>
      <c r="O1491" s="64">
        <v>13.932</v>
      </c>
    </row>
    <row r="1492" spans="1:15" x14ac:dyDescent="0.25">
      <c r="A1492" s="114" t="s">
        <v>2494</v>
      </c>
      <c r="B1492" s="63" t="s">
        <v>51</v>
      </c>
      <c r="C1492" s="63" t="s">
        <v>60</v>
      </c>
      <c r="D1492" s="63">
        <v>150</v>
      </c>
      <c r="E1492" s="63">
        <v>550.01</v>
      </c>
      <c r="F1492" s="63">
        <v>10</v>
      </c>
      <c r="G1492" s="63" t="s">
        <v>13</v>
      </c>
      <c r="H1492" s="63" t="s">
        <v>12</v>
      </c>
      <c r="I1492" s="63">
        <v>4.4999999999999998E-2</v>
      </c>
      <c r="J1492" s="63">
        <v>0.10001</v>
      </c>
      <c r="K1492" s="63" t="s">
        <v>10</v>
      </c>
      <c r="L1492" s="63">
        <v>5769.8</v>
      </c>
      <c r="M1492" s="63">
        <v>0.28151999999999999</v>
      </c>
      <c r="N1492" s="63">
        <v>5769.8</v>
      </c>
      <c r="O1492" s="64">
        <v>0.28083999999999998</v>
      </c>
    </row>
    <row r="1493" spans="1:15" x14ac:dyDescent="0.25">
      <c r="A1493" s="114" t="s">
        <v>1597</v>
      </c>
      <c r="B1493" s="63" t="s">
        <v>51</v>
      </c>
      <c r="C1493" s="63" t="s">
        <v>60</v>
      </c>
      <c r="D1493" s="63">
        <v>150</v>
      </c>
      <c r="E1493" s="63">
        <v>550.01</v>
      </c>
      <c r="F1493" s="63">
        <v>10</v>
      </c>
      <c r="G1493" s="63" t="s">
        <v>13</v>
      </c>
      <c r="H1493" s="63" t="s">
        <v>12</v>
      </c>
      <c r="I1493" s="63">
        <v>0.1</v>
      </c>
      <c r="J1493" s="63">
        <v>1.0000100000000001</v>
      </c>
      <c r="K1493" s="63" t="s">
        <v>10</v>
      </c>
      <c r="L1493" s="63">
        <v>5764</v>
      </c>
      <c r="M1493" s="63">
        <v>0.34064</v>
      </c>
      <c r="N1493" s="63">
        <v>5763.9</v>
      </c>
      <c r="O1493" s="64">
        <v>0.33996999999999999</v>
      </c>
    </row>
    <row r="1494" spans="1:15" x14ac:dyDescent="0.25">
      <c r="A1494" s="114" t="s">
        <v>1599</v>
      </c>
      <c r="B1494" s="63" t="s">
        <v>51</v>
      </c>
      <c r="C1494" s="63" t="s">
        <v>60</v>
      </c>
      <c r="D1494" s="63">
        <v>150</v>
      </c>
      <c r="E1494" s="63">
        <v>550.01</v>
      </c>
      <c r="F1494" s="63">
        <v>10</v>
      </c>
      <c r="G1494" s="63" t="s">
        <v>13</v>
      </c>
      <c r="H1494" s="63" t="s">
        <v>12</v>
      </c>
      <c r="I1494" s="63">
        <v>1</v>
      </c>
      <c r="J1494" s="63">
        <v>5</v>
      </c>
      <c r="K1494" s="63" t="s">
        <v>10</v>
      </c>
      <c r="L1494" s="63">
        <v>3301.1</v>
      </c>
      <c r="M1494" s="63">
        <v>30.465</v>
      </c>
      <c r="N1494" s="63">
        <v>3300.8</v>
      </c>
      <c r="O1494" s="64">
        <v>30.465</v>
      </c>
    </row>
    <row r="1495" spans="1:15" x14ac:dyDescent="0.25">
      <c r="A1495" s="114" t="s">
        <v>1598</v>
      </c>
      <c r="B1495" s="63" t="s">
        <v>51</v>
      </c>
      <c r="C1495" s="63" t="s">
        <v>60</v>
      </c>
      <c r="D1495" s="63">
        <v>150</v>
      </c>
      <c r="E1495" s="63">
        <v>550.01</v>
      </c>
      <c r="F1495" s="63">
        <v>10</v>
      </c>
      <c r="G1495" s="63" t="s">
        <v>13</v>
      </c>
      <c r="H1495" s="63" t="s">
        <v>12</v>
      </c>
      <c r="I1495" s="63">
        <v>5</v>
      </c>
      <c r="J1495" s="63">
        <v>5.01</v>
      </c>
      <c r="K1495" s="63" t="s">
        <v>10</v>
      </c>
      <c r="L1495" s="63">
        <v>3301.1</v>
      </c>
      <c r="M1495" s="63">
        <v>30.465</v>
      </c>
      <c r="N1495" s="63">
        <v>3300.8</v>
      </c>
      <c r="O1495" s="64">
        <v>30.465</v>
      </c>
    </row>
    <row r="1496" spans="1:15" x14ac:dyDescent="0.25">
      <c r="A1496" s="114" t="s">
        <v>1608</v>
      </c>
      <c r="B1496" s="63" t="s">
        <v>51</v>
      </c>
      <c r="C1496" s="63" t="s">
        <v>60</v>
      </c>
      <c r="D1496" s="63">
        <v>550</v>
      </c>
      <c r="E1496" s="63">
        <v>1025.01</v>
      </c>
      <c r="F1496" s="63">
        <v>10</v>
      </c>
      <c r="G1496" s="63" t="s">
        <v>13</v>
      </c>
      <c r="H1496" s="63" t="s">
        <v>12</v>
      </c>
      <c r="I1496" s="63">
        <v>4.4999999999999998E-2</v>
      </c>
      <c r="J1496" s="63">
        <v>0.10001</v>
      </c>
      <c r="K1496" s="63" t="s">
        <v>10</v>
      </c>
      <c r="L1496" s="63">
        <v>5545.6</v>
      </c>
      <c r="M1496" s="63">
        <v>0.82077999999999995</v>
      </c>
      <c r="N1496" s="63">
        <v>5546.4</v>
      </c>
      <c r="O1496" s="64">
        <v>0.81772</v>
      </c>
    </row>
    <row r="1497" spans="1:15" x14ac:dyDescent="0.25">
      <c r="A1497" s="114" t="s">
        <v>1930</v>
      </c>
      <c r="B1497" s="63" t="s">
        <v>51</v>
      </c>
      <c r="C1497" s="63" t="s">
        <v>60</v>
      </c>
      <c r="D1497" s="63">
        <v>550</v>
      </c>
      <c r="E1497" s="63">
        <v>1025.01</v>
      </c>
      <c r="F1497" s="63">
        <v>10</v>
      </c>
      <c r="G1497" s="63" t="s">
        <v>13</v>
      </c>
      <c r="H1497" s="63" t="s">
        <v>12</v>
      </c>
      <c r="I1497" s="63">
        <v>0.1</v>
      </c>
      <c r="J1497" s="63">
        <v>1</v>
      </c>
      <c r="K1497" s="63" t="s">
        <v>10</v>
      </c>
      <c r="L1497" s="63">
        <v>5503.5</v>
      </c>
      <c r="M1497" s="63">
        <v>0.96336999999999995</v>
      </c>
      <c r="N1497" s="63">
        <v>5504.3</v>
      </c>
      <c r="O1497" s="64">
        <v>0.96038000000000001</v>
      </c>
    </row>
    <row r="1498" spans="1:15" x14ac:dyDescent="0.25">
      <c r="A1498" s="114" t="s">
        <v>1934</v>
      </c>
      <c r="B1498" s="63" t="s">
        <v>51</v>
      </c>
      <c r="C1498" s="63" t="s">
        <v>60</v>
      </c>
      <c r="D1498" s="63">
        <v>550</v>
      </c>
      <c r="E1498" s="63">
        <v>1025.01</v>
      </c>
      <c r="F1498" s="63">
        <v>10</v>
      </c>
      <c r="G1498" s="63" t="s">
        <v>13</v>
      </c>
      <c r="H1498" s="63" t="s">
        <v>12</v>
      </c>
      <c r="I1498" s="63">
        <v>1</v>
      </c>
      <c r="J1498" s="63">
        <v>1.0000100000000001</v>
      </c>
      <c r="K1498" s="63" t="s">
        <v>10</v>
      </c>
      <c r="L1498" s="63">
        <v>5503.5</v>
      </c>
      <c r="M1498" s="63">
        <v>0.96336999999999995</v>
      </c>
      <c r="N1498" s="63">
        <v>5504.3</v>
      </c>
      <c r="O1498" s="64">
        <v>0.96038000000000001</v>
      </c>
    </row>
    <row r="1499" spans="1:15" x14ac:dyDescent="0.25">
      <c r="A1499" s="114" t="s">
        <v>1583</v>
      </c>
      <c r="B1499" s="63" t="s">
        <v>51</v>
      </c>
      <c r="C1499" s="63" t="s">
        <v>60</v>
      </c>
      <c r="D1499" s="63">
        <v>55</v>
      </c>
      <c r="E1499" s="63">
        <v>150.01</v>
      </c>
      <c r="F1499" s="63">
        <v>100</v>
      </c>
      <c r="G1499" s="63" t="s">
        <v>13</v>
      </c>
      <c r="H1499" s="63" t="s">
        <v>12</v>
      </c>
      <c r="I1499" s="63">
        <v>0.01</v>
      </c>
      <c r="J1499" s="63">
        <v>4.4999999999999998E-2</v>
      </c>
      <c r="K1499" s="63" t="s">
        <v>10</v>
      </c>
      <c r="L1499" s="63">
        <v>58000</v>
      </c>
      <c r="M1499" s="63">
        <v>1.506E-2</v>
      </c>
      <c r="N1499" s="63">
        <v>57992</v>
      </c>
      <c r="O1499" s="64">
        <v>1.491E-2</v>
      </c>
    </row>
    <row r="1500" spans="1:15" x14ac:dyDescent="0.25">
      <c r="A1500" s="114" t="s">
        <v>1585</v>
      </c>
      <c r="B1500" s="63" t="s">
        <v>51</v>
      </c>
      <c r="C1500" s="63" t="s">
        <v>60</v>
      </c>
      <c r="D1500" s="63">
        <v>55</v>
      </c>
      <c r="E1500" s="63">
        <v>150.01</v>
      </c>
      <c r="F1500" s="63">
        <v>100</v>
      </c>
      <c r="G1500" s="63" t="s">
        <v>13</v>
      </c>
      <c r="H1500" s="63" t="s">
        <v>12</v>
      </c>
      <c r="I1500" s="63">
        <v>4.4999999999999998E-2</v>
      </c>
      <c r="J1500" s="63">
        <v>0.1</v>
      </c>
      <c r="K1500" s="63" t="s">
        <v>10</v>
      </c>
      <c r="L1500" s="63">
        <v>58000</v>
      </c>
      <c r="M1500" s="63">
        <v>8.1364000000000002E-3</v>
      </c>
      <c r="N1500" s="63">
        <v>57996</v>
      </c>
      <c r="O1500" s="64">
        <v>7.9862000000000006E-3</v>
      </c>
    </row>
    <row r="1501" spans="1:15" x14ac:dyDescent="0.25">
      <c r="A1501" s="114" t="s">
        <v>2495</v>
      </c>
      <c r="B1501" s="63" t="s">
        <v>51</v>
      </c>
      <c r="C1501" s="63" t="s">
        <v>60</v>
      </c>
      <c r="D1501" s="63">
        <v>55</v>
      </c>
      <c r="E1501" s="63">
        <v>150.01</v>
      </c>
      <c r="F1501" s="63">
        <v>100</v>
      </c>
      <c r="G1501" s="63" t="s">
        <v>13</v>
      </c>
      <c r="H1501" s="63" t="s">
        <v>12</v>
      </c>
      <c r="I1501" s="63">
        <v>0.1</v>
      </c>
      <c r="J1501" s="63">
        <v>1</v>
      </c>
      <c r="K1501" s="63" t="s">
        <v>10</v>
      </c>
      <c r="L1501" s="63">
        <v>58000</v>
      </c>
      <c r="M1501" s="63">
        <v>8.1364000000000002E-3</v>
      </c>
      <c r="N1501" s="63">
        <v>57996</v>
      </c>
      <c r="O1501" s="64">
        <v>7.9862000000000006E-3</v>
      </c>
    </row>
    <row r="1502" spans="1:15" x14ac:dyDescent="0.25">
      <c r="A1502" s="114" t="s">
        <v>1587</v>
      </c>
      <c r="B1502" s="63" t="s">
        <v>51</v>
      </c>
      <c r="C1502" s="63" t="s">
        <v>60</v>
      </c>
      <c r="D1502" s="63">
        <v>55</v>
      </c>
      <c r="E1502" s="63">
        <v>150.01</v>
      </c>
      <c r="F1502" s="63">
        <v>100</v>
      </c>
      <c r="G1502" s="63" t="s">
        <v>13</v>
      </c>
      <c r="H1502" s="63" t="s">
        <v>12</v>
      </c>
      <c r="I1502" s="63">
        <v>1</v>
      </c>
      <c r="J1502" s="63">
        <v>5.01</v>
      </c>
      <c r="K1502" s="63" t="s">
        <v>10</v>
      </c>
      <c r="L1502" s="63">
        <v>57996</v>
      </c>
      <c r="M1502" s="63">
        <v>9.9046999999999996E-2</v>
      </c>
      <c r="N1502" s="63">
        <v>57948</v>
      </c>
      <c r="O1502" s="64">
        <v>9.8782999999999996E-2</v>
      </c>
    </row>
    <row r="1503" spans="1:15" x14ac:dyDescent="0.25">
      <c r="A1503" s="114" t="s">
        <v>1584</v>
      </c>
      <c r="B1503" s="63" t="s">
        <v>51</v>
      </c>
      <c r="C1503" s="63" t="s">
        <v>60</v>
      </c>
      <c r="D1503" s="63">
        <v>55</v>
      </c>
      <c r="E1503" s="63">
        <v>150.01</v>
      </c>
      <c r="F1503" s="63">
        <v>100</v>
      </c>
      <c r="G1503" s="63" t="s">
        <v>13</v>
      </c>
      <c r="H1503" s="63" t="s">
        <v>12</v>
      </c>
      <c r="I1503" s="63">
        <v>5</v>
      </c>
      <c r="J1503" s="63">
        <v>10</v>
      </c>
      <c r="K1503" s="63" t="s">
        <v>10</v>
      </c>
      <c r="L1503" s="63">
        <v>57941</v>
      </c>
      <c r="M1503" s="63">
        <v>1.6236999999999999</v>
      </c>
      <c r="N1503" s="63">
        <v>57264</v>
      </c>
      <c r="O1503" s="64">
        <v>1.6205000000000001</v>
      </c>
    </row>
    <row r="1504" spans="1:15" x14ac:dyDescent="0.25">
      <c r="A1504" s="114" t="s">
        <v>1586</v>
      </c>
      <c r="B1504" s="63" t="s">
        <v>51</v>
      </c>
      <c r="C1504" s="63" t="s">
        <v>60</v>
      </c>
      <c r="D1504" s="63">
        <v>55</v>
      </c>
      <c r="E1504" s="63">
        <v>150.01</v>
      </c>
      <c r="F1504" s="63">
        <v>100</v>
      </c>
      <c r="G1504" s="63" t="s">
        <v>13</v>
      </c>
      <c r="H1504" s="63" t="s">
        <v>12</v>
      </c>
      <c r="I1504" s="63">
        <v>10</v>
      </c>
      <c r="J1504" s="63">
        <v>10.01</v>
      </c>
      <c r="K1504" s="63" t="s">
        <v>10</v>
      </c>
      <c r="L1504" s="63">
        <v>57941</v>
      </c>
      <c r="M1504" s="63">
        <v>1.6236999999999999</v>
      </c>
      <c r="N1504" s="63">
        <v>57264</v>
      </c>
      <c r="O1504" s="64">
        <v>1.6205000000000001</v>
      </c>
    </row>
    <row r="1505" spans="1:15" x14ac:dyDescent="0.25">
      <c r="A1505" s="114" t="s">
        <v>2496</v>
      </c>
      <c r="B1505" s="63" t="s">
        <v>51</v>
      </c>
      <c r="C1505" s="63" t="s">
        <v>60</v>
      </c>
      <c r="D1505" s="63">
        <v>150</v>
      </c>
      <c r="E1505" s="63">
        <v>550.01</v>
      </c>
      <c r="F1505" s="63">
        <v>100</v>
      </c>
      <c r="G1505" s="63" t="s">
        <v>13</v>
      </c>
      <c r="H1505" s="63" t="s">
        <v>12</v>
      </c>
      <c r="I1505" s="63">
        <v>4.4999999999999998E-2</v>
      </c>
      <c r="J1505" s="63">
        <v>0.10001</v>
      </c>
      <c r="K1505" s="63" t="s">
        <v>10</v>
      </c>
      <c r="L1505" s="63">
        <v>57997</v>
      </c>
      <c r="M1505" s="63">
        <v>2.869E-2</v>
      </c>
      <c r="N1505" s="63">
        <v>57997</v>
      </c>
      <c r="O1505" s="64">
        <v>2.8410999999999999E-2</v>
      </c>
    </row>
    <row r="1506" spans="1:15" x14ac:dyDescent="0.25">
      <c r="A1506" s="114" t="s">
        <v>1601</v>
      </c>
      <c r="B1506" s="63" t="s">
        <v>51</v>
      </c>
      <c r="C1506" s="63" t="s">
        <v>60</v>
      </c>
      <c r="D1506" s="63">
        <v>150</v>
      </c>
      <c r="E1506" s="63">
        <v>550.01</v>
      </c>
      <c r="F1506" s="63">
        <v>100</v>
      </c>
      <c r="G1506" s="63" t="s">
        <v>13</v>
      </c>
      <c r="H1506" s="63" t="s">
        <v>12</v>
      </c>
      <c r="I1506" s="63">
        <v>0.1</v>
      </c>
      <c r="J1506" s="63">
        <v>1.0000100000000001</v>
      </c>
      <c r="K1506" s="63" t="s">
        <v>10</v>
      </c>
      <c r="L1506" s="63">
        <v>57996</v>
      </c>
      <c r="M1506" s="63">
        <v>3.4757999999999997E-2</v>
      </c>
      <c r="N1506" s="63">
        <v>57996</v>
      </c>
      <c r="O1506" s="64">
        <v>3.4478000000000002E-2</v>
      </c>
    </row>
    <row r="1507" spans="1:15" x14ac:dyDescent="0.25">
      <c r="A1507" s="114" t="s">
        <v>1600</v>
      </c>
      <c r="B1507" s="63" t="s">
        <v>51</v>
      </c>
      <c r="C1507" s="63" t="s">
        <v>60</v>
      </c>
      <c r="D1507" s="63">
        <v>150</v>
      </c>
      <c r="E1507" s="63">
        <v>550.01</v>
      </c>
      <c r="F1507" s="63">
        <v>100</v>
      </c>
      <c r="G1507" s="63" t="s">
        <v>13</v>
      </c>
      <c r="H1507" s="63" t="s">
        <v>12</v>
      </c>
      <c r="I1507" s="63">
        <v>1</v>
      </c>
      <c r="J1507" s="63">
        <v>5</v>
      </c>
      <c r="K1507" s="63" t="s">
        <v>10</v>
      </c>
      <c r="L1507" s="63">
        <v>57174</v>
      </c>
      <c r="M1507" s="63">
        <v>7.1298000000000004</v>
      </c>
      <c r="N1507" s="63">
        <v>57174</v>
      </c>
      <c r="O1507" s="64">
        <v>7.1292999999999997</v>
      </c>
    </row>
    <row r="1508" spans="1:15" x14ac:dyDescent="0.25">
      <c r="A1508" s="114" t="s">
        <v>1602</v>
      </c>
      <c r="B1508" s="63" t="s">
        <v>51</v>
      </c>
      <c r="C1508" s="63" t="s">
        <v>60</v>
      </c>
      <c r="D1508" s="63">
        <v>150</v>
      </c>
      <c r="E1508" s="63">
        <v>550.01</v>
      </c>
      <c r="F1508" s="63">
        <v>100</v>
      </c>
      <c r="G1508" s="63" t="s">
        <v>13</v>
      </c>
      <c r="H1508" s="63" t="s">
        <v>12</v>
      </c>
      <c r="I1508" s="63">
        <v>5</v>
      </c>
      <c r="J1508" s="63">
        <v>5.01</v>
      </c>
      <c r="K1508" s="63" t="s">
        <v>10</v>
      </c>
      <c r="L1508" s="63">
        <v>57174</v>
      </c>
      <c r="M1508" s="63">
        <v>7.1298000000000004</v>
      </c>
      <c r="N1508" s="63">
        <v>57174</v>
      </c>
      <c r="O1508" s="64">
        <v>7.1292999999999997</v>
      </c>
    </row>
    <row r="1509" spans="1:15" x14ac:dyDescent="0.25">
      <c r="A1509" s="114" t="s">
        <v>1609</v>
      </c>
      <c r="B1509" s="63" t="s">
        <v>51</v>
      </c>
      <c r="C1509" s="63" t="s">
        <v>60</v>
      </c>
      <c r="D1509" s="63">
        <v>550</v>
      </c>
      <c r="E1509" s="63">
        <v>1025.01</v>
      </c>
      <c r="F1509" s="63">
        <v>100</v>
      </c>
      <c r="G1509" s="63" t="s">
        <v>13</v>
      </c>
      <c r="H1509" s="63" t="s">
        <v>12</v>
      </c>
      <c r="I1509" s="63">
        <v>4.4999999999999998E-2</v>
      </c>
      <c r="J1509" s="63">
        <v>0.10001</v>
      </c>
      <c r="K1509" s="63" t="s">
        <v>10</v>
      </c>
      <c r="L1509" s="63">
        <v>57972</v>
      </c>
      <c r="M1509" s="63">
        <v>8.8607000000000005E-2</v>
      </c>
      <c r="N1509" s="63">
        <v>57972</v>
      </c>
      <c r="O1509" s="64">
        <v>8.7215000000000001E-2</v>
      </c>
    </row>
    <row r="1510" spans="1:15" x14ac:dyDescent="0.25">
      <c r="A1510" s="114" t="s">
        <v>1394</v>
      </c>
      <c r="B1510" s="63" t="s">
        <v>51</v>
      </c>
      <c r="C1510" s="63" t="s">
        <v>8</v>
      </c>
      <c r="D1510" s="63">
        <v>0</v>
      </c>
      <c r="E1510" s="63">
        <v>3.3009999999999998E-2</v>
      </c>
      <c r="F1510" s="63">
        <v>9.9999999999999995E-7</v>
      </c>
      <c r="G1510" s="63" t="s">
        <v>6</v>
      </c>
      <c r="H1510" s="63" t="s">
        <v>5</v>
      </c>
      <c r="I1510" s="63">
        <v>0.01</v>
      </c>
      <c r="J1510" s="63">
        <v>4.5010000000000001E-2</v>
      </c>
      <c r="K1510" s="63" t="s">
        <v>10</v>
      </c>
      <c r="L1510" s="63">
        <v>25</v>
      </c>
      <c r="M1510" s="63">
        <v>1700</v>
      </c>
      <c r="N1510" s="63">
        <v>23.181000000000001</v>
      </c>
      <c r="O1510" s="64">
        <v>1732</v>
      </c>
    </row>
    <row r="1511" spans="1:15" x14ac:dyDescent="0.25">
      <c r="A1511" s="114" t="s">
        <v>1397</v>
      </c>
      <c r="B1511" s="63" t="s">
        <v>51</v>
      </c>
      <c r="C1511" s="63" t="s">
        <v>8</v>
      </c>
      <c r="D1511" s="63">
        <v>0</v>
      </c>
      <c r="E1511" s="63">
        <v>3.3009999999999998E-2</v>
      </c>
      <c r="F1511" s="63">
        <v>9.9999999999999995E-7</v>
      </c>
      <c r="G1511" s="63" t="s">
        <v>6</v>
      </c>
      <c r="H1511" s="63" t="s">
        <v>5</v>
      </c>
      <c r="I1511" s="63">
        <v>4.4999999999999998E-2</v>
      </c>
      <c r="J1511" s="63">
        <v>10.00001</v>
      </c>
      <c r="K1511" s="63" t="s">
        <v>10</v>
      </c>
      <c r="L1511" s="63">
        <v>24</v>
      </c>
      <c r="M1511" s="63">
        <v>1200</v>
      </c>
      <c r="N1511" s="63">
        <v>23.184999999999999</v>
      </c>
      <c r="O1511" s="64">
        <v>1155.4000000000001</v>
      </c>
    </row>
    <row r="1512" spans="1:15" x14ac:dyDescent="0.25">
      <c r="A1512" s="114" t="s">
        <v>2497</v>
      </c>
      <c r="B1512" s="63" t="s">
        <v>51</v>
      </c>
      <c r="C1512" s="63" t="s">
        <v>8</v>
      </c>
      <c r="D1512" s="63">
        <v>0</v>
      </c>
      <c r="E1512" s="63">
        <v>3.3009999999999998E-2</v>
      </c>
      <c r="F1512" s="63">
        <v>9.9999999999999995E-7</v>
      </c>
      <c r="G1512" s="63" t="s">
        <v>6</v>
      </c>
      <c r="H1512" s="63" t="s">
        <v>5</v>
      </c>
      <c r="I1512" s="63">
        <v>10</v>
      </c>
      <c r="J1512" s="63">
        <v>20.010000000000002</v>
      </c>
      <c r="K1512" s="63" t="s">
        <v>10</v>
      </c>
      <c r="L1512" s="63">
        <v>25</v>
      </c>
      <c r="M1512" s="63">
        <v>1700</v>
      </c>
      <c r="N1512" s="63">
        <v>23.181000000000001</v>
      </c>
      <c r="O1512" s="64">
        <v>1732</v>
      </c>
    </row>
    <row r="1513" spans="1:15" x14ac:dyDescent="0.25">
      <c r="A1513" s="114" t="s">
        <v>1396</v>
      </c>
      <c r="B1513" s="63" t="s">
        <v>51</v>
      </c>
      <c r="C1513" s="63" t="s">
        <v>8</v>
      </c>
      <c r="D1513" s="63">
        <v>0</v>
      </c>
      <c r="E1513" s="63">
        <v>3.3009999999999998E-2</v>
      </c>
      <c r="F1513" s="63">
        <v>9.9999999999999995E-7</v>
      </c>
      <c r="G1513" s="63" t="s">
        <v>6</v>
      </c>
      <c r="H1513" s="63" t="s">
        <v>5</v>
      </c>
      <c r="I1513" s="63">
        <v>20</v>
      </c>
      <c r="J1513" s="63">
        <v>50.01</v>
      </c>
      <c r="K1513" s="63" t="s">
        <v>10</v>
      </c>
      <c r="L1513" s="63">
        <v>24</v>
      </c>
      <c r="M1513" s="63">
        <v>2300</v>
      </c>
      <c r="N1513" s="63">
        <v>23.565000000000001</v>
      </c>
      <c r="O1513" s="64">
        <v>2300.9</v>
      </c>
    </row>
    <row r="1514" spans="1:15" x14ac:dyDescent="0.25">
      <c r="A1514" s="114" t="s">
        <v>2498</v>
      </c>
      <c r="B1514" s="63" t="s">
        <v>51</v>
      </c>
      <c r="C1514" s="63" t="s">
        <v>8</v>
      </c>
      <c r="D1514" s="63">
        <v>0</v>
      </c>
      <c r="E1514" s="63">
        <v>3.3009999999999998E-2</v>
      </c>
      <c r="F1514" s="63">
        <v>9.9999999999999995E-7</v>
      </c>
      <c r="G1514" s="63" t="s">
        <v>6</v>
      </c>
      <c r="H1514" s="63" t="s">
        <v>5</v>
      </c>
      <c r="I1514" s="63">
        <v>50</v>
      </c>
      <c r="J1514" s="63">
        <v>100</v>
      </c>
      <c r="K1514" s="63" t="s">
        <v>10</v>
      </c>
      <c r="L1514" s="63">
        <v>40</v>
      </c>
      <c r="M1514" s="63">
        <v>4000</v>
      </c>
      <c r="N1514" s="63">
        <v>38.936999999999998</v>
      </c>
      <c r="O1514" s="64">
        <v>4027</v>
      </c>
    </row>
    <row r="1515" spans="1:15" x14ac:dyDescent="0.25">
      <c r="A1515" s="114" t="s">
        <v>1395</v>
      </c>
      <c r="B1515" s="63" t="s">
        <v>51</v>
      </c>
      <c r="C1515" s="63" t="s">
        <v>8</v>
      </c>
      <c r="D1515" s="63">
        <v>0</v>
      </c>
      <c r="E1515" s="63">
        <v>3.3009999999999998E-2</v>
      </c>
      <c r="F1515" s="63">
        <v>9.9999999999999995E-7</v>
      </c>
      <c r="G1515" s="63" t="s">
        <v>6</v>
      </c>
      <c r="H1515" s="63" t="s">
        <v>5</v>
      </c>
      <c r="I1515" s="63">
        <v>100</v>
      </c>
      <c r="J1515" s="63">
        <v>500</v>
      </c>
      <c r="K1515" s="63" t="s">
        <v>10</v>
      </c>
      <c r="L1515" s="63">
        <v>89</v>
      </c>
      <c r="M1515" s="63">
        <v>11000</v>
      </c>
      <c r="N1515" s="63">
        <v>72.86</v>
      </c>
      <c r="O1515" s="64">
        <v>11473</v>
      </c>
    </row>
    <row r="1516" spans="1:15" x14ac:dyDescent="0.25">
      <c r="A1516" s="114" t="s">
        <v>2499</v>
      </c>
      <c r="B1516" s="63" t="s">
        <v>51</v>
      </c>
      <c r="C1516" s="63" t="s">
        <v>8</v>
      </c>
      <c r="D1516" s="63">
        <v>0</v>
      </c>
      <c r="E1516" s="63">
        <v>3.3009999999999998E-2</v>
      </c>
      <c r="F1516" s="63">
        <v>9.9999999999999995E-7</v>
      </c>
      <c r="G1516" s="63" t="s">
        <v>6</v>
      </c>
      <c r="H1516" s="63" t="s">
        <v>5</v>
      </c>
      <c r="I1516" s="63">
        <v>500</v>
      </c>
      <c r="J1516" s="63">
        <v>501</v>
      </c>
      <c r="K1516" s="63" t="s">
        <v>10</v>
      </c>
      <c r="L1516" s="63">
        <v>89</v>
      </c>
      <c r="M1516" s="63">
        <v>11000</v>
      </c>
      <c r="N1516" s="63">
        <v>72.86</v>
      </c>
      <c r="O1516" s="64">
        <v>11473</v>
      </c>
    </row>
    <row r="1517" spans="1:15" x14ac:dyDescent="0.25">
      <c r="A1517" s="114" t="s">
        <v>1441</v>
      </c>
      <c r="B1517" s="63" t="s">
        <v>51</v>
      </c>
      <c r="C1517" s="63" t="s">
        <v>8</v>
      </c>
      <c r="D1517" s="63">
        <v>3.3000000000000002E-2</v>
      </c>
      <c r="E1517" s="63">
        <v>0.33001000000000003</v>
      </c>
      <c r="F1517" s="63">
        <v>9.9999999999999995E-7</v>
      </c>
      <c r="G1517" s="63" t="s">
        <v>6</v>
      </c>
      <c r="H1517" s="63" t="s">
        <v>5</v>
      </c>
      <c r="I1517" s="63">
        <v>0.01</v>
      </c>
      <c r="J1517" s="63">
        <v>4.5010000000000001E-2</v>
      </c>
      <c r="K1517" s="63" t="s">
        <v>10</v>
      </c>
      <c r="L1517" s="63">
        <v>33</v>
      </c>
      <c r="M1517" s="63">
        <v>550</v>
      </c>
      <c r="N1517" s="63">
        <v>23.236000000000001</v>
      </c>
      <c r="O1517" s="64">
        <v>577.95000000000005</v>
      </c>
    </row>
    <row r="1518" spans="1:15" x14ac:dyDescent="0.25">
      <c r="A1518" s="114" t="s">
        <v>1442</v>
      </c>
      <c r="B1518" s="63" t="s">
        <v>51</v>
      </c>
      <c r="C1518" s="63" t="s">
        <v>8</v>
      </c>
      <c r="D1518" s="63">
        <v>3.3000000000000002E-2</v>
      </c>
      <c r="E1518" s="63">
        <v>0.33001000000000003</v>
      </c>
      <c r="F1518" s="63">
        <v>9.9999999999999995E-7</v>
      </c>
      <c r="G1518" s="63" t="s">
        <v>6</v>
      </c>
      <c r="H1518" s="63" t="s">
        <v>5</v>
      </c>
      <c r="I1518" s="63">
        <v>4.4999999999999998E-2</v>
      </c>
      <c r="J1518" s="63">
        <v>10.00001</v>
      </c>
      <c r="K1518" s="63" t="s">
        <v>10</v>
      </c>
      <c r="L1518" s="63">
        <v>24</v>
      </c>
      <c r="M1518" s="63">
        <v>350</v>
      </c>
      <c r="N1518" s="63">
        <v>23.254000000000001</v>
      </c>
      <c r="O1518" s="64">
        <v>347.52</v>
      </c>
    </row>
    <row r="1519" spans="1:15" x14ac:dyDescent="0.25">
      <c r="A1519" s="114" t="s">
        <v>1443</v>
      </c>
      <c r="B1519" s="63" t="s">
        <v>51</v>
      </c>
      <c r="C1519" s="63" t="s">
        <v>8</v>
      </c>
      <c r="D1519" s="63">
        <v>3.3000000000000002E-2</v>
      </c>
      <c r="E1519" s="63">
        <v>0.33001000000000003</v>
      </c>
      <c r="F1519" s="63">
        <v>9.9999999999999995E-7</v>
      </c>
      <c r="G1519" s="63" t="s">
        <v>6</v>
      </c>
      <c r="H1519" s="63" t="s">
        <v>5</v>
      </c>
      <c r="I1519" s="63">
        <v>10</v>
      </c>
      <c r="J1519" s="63">
        <v>20.010000000000002</v>
      </c>
      <c r="K1519" s="63" t="s">
        <v>10</v>
      </c>
      <c r="L1519" s="63">
        <v>24</v>
      </c>
      <c r="M1519" s="63">
        <v>810</v>
      </c>
      <c r="N1519" s="63">
        <v>23.218</v>
      </c>
      <c r="O1519" s="64">
        <v>808.67</v>
      </c>
    </row>
    <row r="1520" spans="1:15" x14ac:dyDescent="0.25">
      <c r="A1520" s="114" t="s">
        <v>1445</v>
      </c>
      <c r="B1520" s="63" t="s">
        <v>51</v>
      </c>
      <c r="C1520" s="63" t="s">
        <v>8</v>
      </c>
      <c r="D1520" s="63">
        <v>3.3000000000000002E-2</v>
      </c>
      <c r="E1520" s="63">
        <v>0.33001000000000003</v>
      </c>
      <c r="F1520" s="63">
        <v>9.9999999999999995E-7</v>
      </c>
      <c r="G1520" s="63" t="s">
        <v>6</v>
      </c>
      <c r="H1520" s="63" t="s">
        <v>5</v>
      </c>
      <c r="I1520" s="63">
        <v>20</v>
      </c>
      <c r="J1520" s="63">
        <v>50.01</v>
      </c>
      <c r="K1520" s="63" t="s">
        <v>10</v>
      </c>
      <c r="L1520" s="63">
        <v>47</v>
      </c>
      <c r="M1520" s="63">
        <v>1200</v>
      </c>
      <c r="N1520" s="63">
        <v>46.389000000000003</v>
      </c>
      <c r="O1520" s="64">
        <v>1155.4000000000001</v>
      </c>
    </row>
    <row r="1521" spans="1:15" x14ac:dyDescent="0.25">
      <c r="A1521" s="114" t="s">
        <v>1444</v>
      </c>
      <c r="B1521" s="63" t="s">
        <v>51</v>
      </c>
      <c r="C1521" s="63" t="s">
        <v>8</v>
      </c>
      <c r="D1521" s="63">
        <v>3.3000000000000002E-2</v>
      </c>
      <c r="E1521" s="63">
        <v>0.33001000000000003</v>
      </c>
      <c r="F1521" s="63">
        <v>9.9999999999999995E-7</v>
      </c>
      <c r="G1521" s="63" t="s">
        <v>6</v>
      </c>
      <c r="H1521" s="63" t="s">
        <v>5</v>
      </c>
      <c r="I1521" s="63">
        <v>50</v>
      </c>
      <c r="J1521" s="63">
        <v>100.01</v>
      </c>
      <c r="K1521" s="63" t="s">
        <v>10</v>
      </c>
      <c r="L1521" s="63">
        <v>200</v>
      </c>
      <c r="M1521" s="63">
        <v>2700</v>
      </c>
      <c r="N1521" s="63">
        <v>196.5</v>
      </c>
      <c r="O1521" s="64">
        <v>2656.4</v>
      </c>
    </row>
    <row r="1522" spans="1:15" x14ac:dyDescent="0.25">
      <c r="A1522" s="114" t="s">
        <v>1446</v>
      </c>
      <c r="B1522" s="63" t="s">
        <v>51</v>
      </c>
      <c r="C1522" s="63" t="s">
        <v>8</v>
      </c>
      <c r="D1522" s="63">
        <v>3.3000000000000002E-2</v>
      </c>
      <c r="E1522" s="63">
        <v>0.33001000000000003</v>
      </c>
      <c r="F1522" s="63">
        <v>9.9999999999999995E-7</v>
      </c>
      <c r="G1522" s="63" t="s">
        <v>6</v>
      </c>
      <c r="H1522" s="63" t="s">
        <v>5</v>
      </c>
      <c r="I1522" s="63">
        <v>100</v>
      </c>
      <c r="J1522" s="63">
        <v>500</v>
      </c>
      <c r="K1522" s="63" t="s">
        <v>10</v>
      </c>
      <c r="L1522" s="63">
        <v>390</v>
      </c>
      <c r="M1522" s="63">
        <v>5800</v>
      </c>
      <c r="N1522" s="63">
        <v>381.75</v>
      </c>
      <c r="O1522" s="64">
        <v>5779.4</v>
      </c>
    </row>
    <row r="1523" spans="1:15" x14ac:dyDescent="0.25">
      <c r="A1523" s="114" t="s">
        <v>1447</v>
      </c>
      <c r="B1523" s="63" t="s">
        <v>51</v>
      </c>
      <c r="C1523" s="63" t="s">
        <v>8</v>
      </c>
      <c r="D1523" s="63">
        <v>3.3000000000000002E-2</v>
      </c>
      <c r="E1523" s="63">
        <v>0.33001000000000003</v>
      </c>
      <c r="F1523" s="63">
        <v>9.9999999999999995E-7</v>
      </c>
      <c r="G1523" s="63" t="s">
        <v>6</v>
      </c>
      <c r="H1523" s="63" t="s">
        <v>5</v>
      </c>
      <c r="I1523" s="63">
        <v>500</v>
      </c>
      <c r="J1523" s="63">
        <v>501</v>
      </c>
      <c r="K1523" s="63" t="s">
        <v>10</v>
      </c>
      <c r="L1523" s="63">
        <v>390</v>
      </c>
      <c r="M1523" s="63">
        <v>5800</v>
      </c>
      <c r="N1523" s="63">
        <v>381.75</v>
      </c>
      <c r="O1523" s="64">
        <v>5779.4</v>
      </c>
    </row>
    <row r="1524" spans="1:15" x14ac:dyDescent="0.25">
      <c r="A1524" s="114" t="s">
        <v>1402</v>
      </c>
      <c r="B1524" s="63" t="s">
        <v>51</v>
      </c>
      <c r="C1524" s="63" t="s">
        <v>8</v>
      </c>
      <c r="D1524" s="63">
        <v>0</v>
      </c>
      <c r="E1524" s="63">
        <v>3.3009999999999998E-2</v>
      </c>
      <c r="F1524" s="63">
        <v>1.0000000000000001E-5</v>
      </c>
      <c r="G1524" s="63" t="s">
        <v>6</v>
      </c>
      <c r="H1524" s="63" t="s">
        <v>5</v>
      </c>
      <c r="I1524" s="63">
        <v>0.01</v>
      </c>
      <c r="J1524" s="63">
        <v>4.5010000000000001E-2</v>
      </c>
      <c r="K1524" s="63" t="s">
        <v>10</v>
      </c>
      <c r="L1524" s="63">
        <v>25</v>
      </c>
      <c r="M1524" s="63">
        <v>1718.2</v>
      </c>
      <c r="N1524" s="63">
        <v>23.853999999999999</v>
      </c>
      <c r="O1524" s="64">
        <v>1717.9</v>
      </c>
    </row>
    <row r="1525" spans="1:15" x14ac:dyDescent="0.25">
      <c r="A1525" s="114" t="s">
        <v>2500</v>
      </c>
      <c r="B1525" s="63" t="s">
        <v>51</v>
      </c>
      <c r="C1525" s="63" t="s">
        <v>8</v>
      </c>
      <c r="D1525" s="63">
        <v>0</v>
      </c>
      <c r="E1525" s="63">
        <v>3.3009999999999998E-2</v>
      </c>
      <c r="F1525" s="63">
        <v>1.0000000000000001E-5</v>
      </c>
      <c r="G1525" s="63" t="s">
        <v>6</v>
      </c>
      <c r="H1525" s="63" t="s">
        <v>5</v>
      </c>
      <c r="I1525" s="63">
        <v>4.4999999999999998E-2</v>
      </c>
      <c r="J1525" s="63">
        <v>10.00001</v>
      </c>
      <c r="K1525" s="63" t="s">
        <v>10</v>
      </c>
      <c r="L1525" s="63">
        <v>24</v>
      </c>
      <c r="M1525" s="63">
        <v>1143.4000000000001</v>
      </c>
      <c r="N1525" s="63">
        <v>23.87</v>
      </c>
      <c r="O1525" s="64">
        <v>1142.8</v>
      </c>
    </row>
    <row r="1526" spans="1:15" x14ac:dyDescent="0.25">
      <c r="A1526" s="114" t="s">
        <v>1399</v>
      </c>
      <c r="B1526" s="63" t="s">
        <v>51</v>
      </c>
      <c r="C1526" s="63" t="s">
        <v>8</v>
      </c>
      <c r="D1526" s="63">
        <v>0</v>
      </c>
      <c r="E1526" s="63">
        <v>3.3009999999999998E-2</v>
      </c>
      <c r="F1526" s="63">
        <v>1.0000000000000001E-5</v>
      </c>
      <c r="G1526" s="63" t="s">
        <v>6</v>
      </c>
      <c r="H1526" s="63" t="s">
        <v>5</v>
      </c>
      <c r="I1526" s="63">
        <v>10</v>
      </c>
      <c r="J1526" s="63">
        <v>20.010000000000002</v>
      </c>
      <c r="K1526" s="63" t="s">
        <v>10</v>
      </c>
      <c r="L1526" s="63">
        <v>25</v>
      </c>
      <c r="M1526" s="63">
        <v>1718.2</v>
      </c>
      <c r="N1526" s="63">
        <v>23.853999999999999</v>
      </c>
      <c r="O1526" s="64">
        <v>1717.9</v>
      </c>
    </row>
    <row r="1527" spans="1:15" x14ac:dyDescent="0.25">
      <c r="A1527" s="114" t="s">
        <v>1401</v>
      </c>
      <c r="B1527" s="63" t="s">
        <v>51</v>
      </c>
      <c r="C1527" s="63" t="s">
        <v>8</v>
      </c>
      <c r="D1527" s="63">
        <v>0</v>
      </c>
      <c r="E1527" s="63">
        <v>3.3009999999999998E-2</v>
      </c>
      <c r="F1527" s="63">
        <v>1.0000000000000001E-5</v>
      </c>
      <c r="G1527" s="63" t="s">
        <v>6</v>
      </c>
      <c r="H1527" s="63" t="s">
        <v>5</v>
      </c>
      <c r="I1527" s="63">
        <v>20</v>
      </c>
      <c r="J1527" s="63">
        <v>50.01</v>
      </c>
      <c r="K1527" s="63" t="s">
        <v>10</v>
      </c>
      <c r="L1527" s="63">
        <v>24.224</v>
      </c>
      <c r="M1527" s="63">
        <v>2286.5</v>
      </c>
      <c r="N1527" s="63">
        <v>24.216000000000001</v>
      </c>
      <c r="O1527" s="64">
        <v>2286.3000000000002</v>
      </c>
    </row>
    <row r="1528" spans="1:15" x14ac:dyDescent="0.25">
      <c r="A1528" s="114" t="s">
        <v>1398</v>
      </c>
      <c r="B1528" s="63" t="s">
        <v>51</v>
      </c>
      <c r="C1528" s="63" t="s">
        <v>8</v>
      </c>
      <c r="D1528" s="63">
        <v>0</v>
      </c>
      <c r="E1528" s="63">
        <v>3.3009999999999998E-2</v>
      </c>
      <c r="F1528" s="63">
        <v>1.0000000000000001E-5</v>
      </c>
      <c r="G1528" s="63" t="s">
        <v>6</v>
      </c>
      <c r="H1528" s="63" t="s">
        <v>5</v>
      </c>
      <c r="I1528" s="63">
        <v>50</v>
      </c>
      <c r="J1528" s="63">
        <v>100.01</v>
      </c>
      <c r="K1528" s="63" t="s">
        <v>10</v>
      </c>
      <c r="L1528" s="63">
        <v>40</v>
      </c>
      <c r="M1528" s="63">
        <v>4017.5</v>
      </c>
      <c r="N1528" s="63">
        <v>39.332000000000001</v>
      </c>
      <c r="O1528" s="64">
        <v>4018</v>
      </c>
    </row>
    <row r="1529" spans="1:15" x14ac:dyDescent="0.25">
      <c r="A1529" s="114" t="s">
        <v>1403</v>
      </c>
      <c r="B1529" s="63" t="s">
        <v>51</v>
      </c>
      <c r="C1529" s="63" t="s">
        <v>8</v>
      </c>
      <c r="D1529" s="63">
        <v>0</v>
      </c>
      <c r="E1529" s="63">
        <v>3.3009999999999998E-2</v>
      </c>
      <c r="F1529" s="63">
        <v>1.0000000000000001E-5</v>
      </c>
      <c r="G1529" s="63" t="s">
        <v>6</v>
      </c>
      <c r="H1529" s="63" t="s">
        <v>5</v>
      </c>
      <c r="I1529" s="63">
        <v>100</v>
      </c>
      <c r="J1529" s="63">
        <v>500</v>
      </c>
      <c r="K1529" s="63" t="s">
        <v>10</v>
      </c>
      <c r="L1529" s="63">
        <v>89</v>
      </c>
      <c r="M1529" s="63">
        <v>11468</v>
      </c>
      <c r="N1529" s="63">
        <v>73.063000000000002</v>
      </c>
      <c r="O1529" s="64">
        <v>11468</v>
      </c>
    </row>
    <row r="1530" spans="1:15" x14ac:dyDescent="0.25">
      <c r="A1530" s="114" t="s">
        <v>1400</v>
      </c>
      <c r="B1530" s="63" t="s">
        <v>51</v>
      </c>
      <c r="C1530" s="63" t="s">
        <v>8</v>
      </c>
      <c r="D1530" s="63">
        <v>0</v>
      </c>
      <c r="E1530" s="63">
        <v>3.3009999999999998E-2</v>
      </c>
      <c r="F1530" s="63">
        <v>1.0000000000000001E-5</v>
      </c>
      <c r="G1530" s="63" t="s">
        <v>6</v>
      </c>
      <c r="H1530" s="63" t="s">
        <v>5</v>
      </c>
      <c r="I1530" s="63">
        <v>500</v>
      </c>
      <c r="J1530" s="63">
        <v>501</v>
      </c>
      <c r="K1530" s="63" t="s">
        <v>10</v>
      </c>
      <c r="L1530" s="63">
        <v>89</v>
      </c>
      <c r="M1530" s="63">
        <v>11468</v>
      </c>
      <c r="N1530" s="63">
        <v>73.063000000000002</v>
      </c>
      <c r="O1530" s="64">
        <v>11468</v>
      </c>
    </row>
    <row r="1531" spans="1:15" x14ac:dyDescent="0.25">
      <c r="A1531" s="114" t="s">
        <v>1450</v>
      </c>
      <c r="B1531" s="63" t="s">
        <v>51</v>
      </c>
      <c r="C1531" s="63" t="s">
        <v>8</v>
      </c>
      <c r="D1531" s="63">
        <v>3.3000000000000002E-2</v>
      </c>
      <c r="E1531" s="63">
        <v>0.33001000000000003</v>
      </c>
      <c r="F1531" s="63">
        <v>1.0000000000000001E-5</v>
      </c>
      <c r="G1531" s="63" t="s">
        <v>6</v>
      </c>
      <c r="H1531" s="63" t="s">
        <v>5</v>
      </c>
      <c r="I1531" s="63">
        <v>0.01</v>
      </c>
      <c r="J1531" s="63">
        <v>4.5010000000000001E-2</v>
      </c>
      <c r="K1531" s="63" t="s">
        <v>10</v>
      </c>
      <c r="L1531" s="63">
        <v>33</v>
      </c>
      <c r="M1531" s="63">
        <v>550.17999999999995</v>
      </c>
      <c r="N1531" s="63">
        <v>23.663</v>
      </c>
      <c r="O1531" s="64">
        <v>576.89</v>
      </c>
    </row>
    <row r="1532" spans="1:15" x14ac:dyDescent="0.25">
      <c r="A1532" s="114" t="s">
        <v>2501</v>
      </c>
      <c r="B1532" s="63" t="s">
        <v>51</v>
      </c>
      <c r="C1532" s="63" t="s">
        <v>8</v>
      </c>
      <c r="D1532" s="63">
        <v>3.3000000000000002E-2</v>
      </c>
      <c r="E1532" s="63">
        <v>0.33001000000000003</v>
      </c>
      <c r="F1532" s="63">
        <v>1.0000000000000001E-5</v>
      </c>
      <c r="G1532" s="63" t="s">
        <v>6</v>
      </c>
      <c r="H1532" s="63" t="s">
        <v>5</v>
      </c>
      <c r="I1532" s="63">
        <v>4.4999999999999998E-2</v>
      </c>
      <c r="J1532" s="63">
        <v>10.00001</v>
      </c>
      <c r="K1532" s="63" t="s">
        <v>10</v>
      </c>
      <c r="L1532" s="63">
        <v>24</v>
      </c>
      <c r="M1532" s="63">
        <v>346.2</v>
      </c>
      <c r="N1532" s="63">
        <v>23.771000000000001</v>
      </c>
      <c r="O1532" s="64">
        <v>346.32</v>
      </c>
    </row>
    <row r="1533" spans="1:15" x14ac:dyDescent="0.25">
      <c r="A1533" s="114" t="s">
        <v>1453</v>
      </c>
      <c r="B1533" s="63" t="s">
        <v>51</v>
      </c>
      <c r="C1533" s="63" t="s">
        <v>8</v>
      </c>
      <c r="D1533" s="63">
        <v>3.3000000000000002E-2</v>
      </c>
      <c r="E1533" s="63">
        <v>0.33001000000000003</v>
      </c>
      <c r="F1533" s="63">
        <v>1.0000000000000001E-5</v>
      </c>
      <c r="G1533" s="63" t="s">
        <v>6</v>
      </c>
      <c r="H1533" s="63" t="s">
        <v>5</v>
      </c>
      <c r="I1533" s="63">
        <v>10</v>
      </c>
      <c r="J1533" s="63">
        <v>20.010000000000002</v>
      </c>
      <c r="K1533" s="63" t="s">
        <v>10</v>
      </c>
      <c r="L1533" s="63">
        <v>24</v>
      </c>
      <c r="M1533" s="63">
        <v>807.65</v>
      </c>
      <c r="N1533" s="63">
        <v>23.582999999999998</v>
      </c>
      <c r="O1533" s="64">
        <v>807.74</v>
      </c>
    </row>
    <row r="1534" spans="1:15" x14ac:dyDescent="0.25">
      <c r="A1534" s="114" t="s">
        <v>1452</v>
      </c>
      <c r="B1534" s="63" t="s">
        <v>51</v>
      </c>
      <c r="C1534" s="63" t="s">
        <v>8</v>
      </c>
      <c r="D1534" s="63">
        <v>3.3000000000000002E-2</v>
      </c>
      <c r="E1534" s="63">
        <v>0.33001000000000003</v>
      </c>
      <c r="F1534" s="63">
        <v>1.0000000000000001E-5</v>
      </c>
      <c r="G1534" s="63" t="s">
        <v>6</v>
      </c>
      <c r="H1534" s="63" t="s">
        <v>5</v>
      </c>
      <c r="I1534" s="63">
        <v>20</v>
      </c>
      <c r="J1534" s="63">
        <v>50.01</v>
      </c>
      <c r="K1534" s="63" t="s">
        <v>10</v>
      </c>
      <c r="L1534" s="63">
        <v>47</v>
      </c>
      <c r="M1534" s="63">
        <v>1154.8</v>
      </c>
      <c r="N1534" s="63">
        <v>46.618000000000002</v>
      </c>
      <c r="O1534" s="64">
        <v>1154.8</v>
      </c>
    </row>
    <row r="1535" spans="1:15" x14ac:dyDescent="0.25">
      <c r="A1535" s="114" t="s">
        <v>1451</v>
      </c>
      <c r="B1535" s="63" t="s">
        <v>51</v>
      </c>
      <c r="C1535" s="63" t="s">
        <v>8</v>
      </c>
      <c r="D1535" s="63">
        <v>3.3000000000000002E-2</v>
      </c>
      <c r="E1535" s="63">
        <v>0.33001000000000003</v>
      </c>
      <c r="F1535" s="63">
        <v>1.0000000000000001E-5</v>
      </c>
      <c r="G1535" s="63" t="s">
        <v>6</v>
      </c>
      <c r="H1535" s="63" t="s">
        <v>5</v>
      </c>
      <c r="I1535" s="63">
        <v>50</v>
      </c>
      <c r="J1535" s="63">
        <v>100.01</v>
      </c>
      <c r="K1535" s="63" t="s">
        <v>10</v>
      </c>
      <c r="L1535" s="63">
        <v>200</v>
      </c>
      <c r="M1535" s="63">
        <v>2656.2</v>
      </c>
      <c r="N1535" s="63">
        <v>196.56</v>
      </c>
      <c r="O1535" s="64">
        <v>2656.3</v>
      </c>
    </row>
    <row r="1536" spans="1:15" x14ac:dyDescent="0.25">
      <c r="A1536" s="114" t="s">
        <v>1449</v>
      </c>
      <c r="B1536" s="63" t="s">
        <v>51</v>
      </c>
      <c r="C1536" s="63" t="s">
        <v>8</v>
      </c>
      <c r="D1536" s="63">
        <v>3.3000000000000002E-2</v>
      </c>
      <c r="E1536" s="63">
        <v>0.33001000000000003</v>
      </c>
      <c r="F1536" s="63">
        <v>1.0000000000000001E-5</v>
      </c>
      <c r="G1536" s="63" t="s">
        <v>6</v>
      </c>
      <c r="H1536" s="63" t="s">
        <v>5</v>
      </c>
      <c r="I1536" s="63">
        <v>100</v>
      </c>
      <c r="J1536" s="63">
        <v>500</v>
      </c>
      <c r="K1536" s="63" t="s">
        <v>10</v>
      </c>
      <c r="L1536" s="63">
        <v>390</v>
      </c>
      <c r="M1536" s="63">
        <v>5779.3</v>
      </c>
      <c r="N1536" s="63">
        <v>381.8</v>
      </c>
      <c r="O1536" s="64">
        <v>5779.3</v>
      </c>
    </row>
    <row r="1537" spans="1:15" x14ac:dyDescent="0.25">
      <c r="A1537" s="114" t="s">
        <v>1448</v>
      </c>
      <c r="B1537" s="63" t="s">
        <v>51</v>
      </c>
      <c r="C1537" s="63" t="s">
        <v>8</v>
      </c>
      <c r="D1537" s="63">
        <v>3.3000000000000002E-2</v>
      </c>
      <c r="E1537" s="63">
        <v>0.33001000000000003</v>
      </c>
      <c r="F1537" s="63">
        <v>1.0000000000000001E-5</v>
      </c>
      <c r="G1537" s="63" t="s">
        <v>6</v>
      </c>
      <c r="H1537" s="63" t="s">
        <v>5</v>
      </c>
      <c r="I1537" s="63">
        <v>500</v>
      </c>
      <c r="J1537" s="63">
        <v>501</v>
      </c>
      <c r="K1537" s="63" t="s">
        <v>10</v>
      </c>
      <c r="L1537" s="63">
        <v>390</v>
      </c>
      <c r="M1537" s="63">
        <v>5779.3</v>
      </c>
      <c r="N1537" s="63">
        <v>381.8</v>
      </c>
      <c r="O1537" s="64">
        <v>5779.3</v>
      </c>
    </row>
    <row r="1538" spans="1:15" x14ac:dyDescent="0.25">
      <c r="A1538" s="114" t="s">
        <v>1472</v>
      </c>
      <c r="B1538" s="63" t="s">
        <v>51</v>
      </c>
      <c r="C1538" s="63" t="s">
        <v>8</v>
      </c>
      <c r="D1538" s="63">
        <v>0.33</v>
      </c>
      <c r="E1538" s="63">
        <v>3.3001</v>
      </c>
      <c r="F1538" s="63">
        <v>1.0000000000000001E-5</v>
      </c>
      <c r="G1538" s="63" t="s">
        <v>6</v>
      </c>
      <c r="H1538" s="63" t="s">
        <v>4</v>
      </c>
      <c r="I1538" s="63">
        <v>0.01</v>
      </c>
      <c r="J1538" s="63">
        <v>4.5010000000000001E-2</v>
      </c>
      <c r="K1538" s="63" t="s">
        <v>10</v>
      </c>
      <c r="L1538" s="63">
        <v>0.11</v>
      </c>
      <c r="M1538" s="63">
        <v>0.56000000000000005</v>
      </c>
      <c r="N1538" s="63">
        <v>0.10391</v>
      </c>
      <c r="O1538" s="64">
        <v>0.56220999999999999</v>
      </c>
    </row>
    <row r="1539" spans="1:15" x14ac:dyDescent="0.25">
      <c r="A1539" s="114" t="s">
        <v>1470</v>
      </c>
      <c r="B1539" s="63" t="s">
        <v>51</v>
      </c>
      <c r="C1539" s="63" t="s">
        <v>8</v>
      </c>
      <c r="D1539" s="63">
        <v>0.33</v>
      </c>
      <c r="E1539" s="63">
        <v>3.3001</v>
      </c>
      <c r="F1539" s="63">
        <v>1.0000000000000001E-5</v>
      </c>
      <c r="G1539" s="63" t="s">
        <v>6</v>
      </c>
      <c r="H1539" s="63" t="s">
        <v>4</v>
      </c>
      <c r="I1539" s="63">
        <v>4.4999999999999998E-2</v>
      </c>
      <c r="J1539" s="63">
        <v>10.00001</v>
      </c>
      <c r="K1539" s="63" t="s">
        <v>10</v>
      </c>
      <c r="L1539" s="63">
        <v>7.0000000000000007E-2</v>
      </c>
      <c r="M1539" s="63">
        <v>0.35</v>
      </c>
      <c r="N1539" s="63">
        <v>6.9476999999999997E-2</v>
      </c>
      <c r="O1539" s="64">
        <v>0.34755999999999998</v>
      </c>
    </row>
    <row r="1540" spans="1:15" x14ac:dyDescent="0.25">
      <c r="A1540" s="114" t="s">
        <v>1471</v>
      </c>
      <c r="B1540" s="63" t="s">
        <v>51</v>
      </c>
      <c r="C1540" s="63" t="s">
        <v>8</v>
      </c>
      <c r="D1540" s="63">
        <v>0.33</v>
      </c>
      <c r="E1540" s="63">
        <v>3.3001</v>
      </c>
      <c r="F1540" s="63">
        <v>1.0000000000000001E-5</v>
      </c>
      <c r="G1540" s="63" t="s">
        <v>6</v>
      </c>
      <c r="H1540" s="63" t="s">
        <v>4</v>
      </c>
      <c r="I1540" s="63">
        <v>10</v>
      </c>
      <c r="J1540" s="63">
        <v>20.010000000000002</v>
      </c>
      <c r="K1540" s="63" t="s">
        <v>10</v>
      </c>
      <c r="L1540" s="63">
        <v>7.0000000000000007E-2</v>
      </c>
      <c r="M1540" s="63">
        <v>0.81</v>
      </c>
      <c r="N1540" s="63">
        <v>6.9434999999999997E-2</v>
      </c>
      <c r="O1540" s="64">
        <v>0.80878000000000005</v>
      </c>
    </row>
    <row r="1541" spans="1:15" x14ac:dyDescent="0.25">
      <c r="A1541" s="114" t="s">
        <v>2502</v>
      </c>
      <c r="B1541" s="63" t="s">
        <v>51</v>
      </c>
      <c r="C1541" s="63" t="s">
        <v>8</v>
      </c>
      <c r="D1541" s="63">
        <v>0.33</v>
      </c>
      <c r="E1541" s="63">
        <v>3.3001</v>
      </c>
      <c r="F1541" s="63">
        <v>1.0000000000000001E-5</v>
      </c>
      <c r="G1541" s="63" t="s">
        <v>6</v>
      </c>
      <c r="H1541" s="63" t="s">
        <v>4</v>
      </c>
      <c r="I1541" s="63">
        <v>20</v>
      </c>
      <c r="J1541" s="63">
        <v>50.01</v>
      </c>
      <c r="K1541" s="63" t="s">
        <v>10</v>
      </c>
      <c r="L1541" s="63">
        <v>7.0000000000000007E-2</v>
      </c>
      <c r="M1541" s="63">
        <v>1.2</v>
      </c>
      <c r="N1541" s="63">
        <v>6.9505999999999998E-2</v>
      </c>
      <c r="O1541" s="64">
        <v>1.1558999999999999</v>
      </c>
    </row>
    <row r="1542" spans="1:15" x14ac:dyDescent="0.25">
      <c r="A1542" s="114" t="s">
        <v>2503</v>
      </c>
      <c r="B1542" s="63" t="s">
        <v>51</v>
      </c>
      <c r="C1542" s="63" t="s">
        <v>8</v>
      </c>
      <c r="D1542" s="63">
        <v>0.33</v>
      </c>
      <c r="E1542" s="63">
        <v>3.3001</v>
      </c>
      <c r="F1542" s="63">
        <v>1.0000000000000001E-5</v>
      </c>
      <c r="G1542" s="63" t="s">
        <v>6</v>
      </c>
      <c r="H1542" s="63" t="s">
        <v>4</v>
      </c>
      <c r="I1542" s="63">
        <v>50</v>
      </c>
      <c r="J1542" s="63">
        <v>100.01</v>
      </c>
      <c r="K1542" s="63" t="s">
        <v>10</v>
      </c>
      <c r="L1542" s="63">
        <v>0.24</v>
      </c>
      <c r="M1542" s="63">
        <v>2.7</v>
      </c>
      <c r="N1542" s="63">
        <v>0.23108000000000001</v>
      </c>
      <c r="O1542" s="64">
        <v>2.6570999999999998</v>
      </c>
    </row>
    <row r="1543" spans="1:15" x14ac:dyDescent="0.25">
      <c r="A1543" s="114" t="s">
        <v>1474</v>
      </c>
      <c r="B1543" s="63" t="s">
        <v>51</v>
      </c>
      <c r="C1543" s="63" t="s">
        <v>8</v>
      </c>
      <c r="D1543" s="63">
        <v>0.33</v>
      </c>
      <c r="E1543" s="63">
        <v>3.3001</v>
      </c>
      <c r="F1543" s="63">
        <v>1.0000000000000001E-5</v>
      </c>
      <c r="G1543" s="63" t="s">
        <v>6</v>
      </c>
      <c r="H1543" s="63" t="s">
        <v>4</v>
      </c>
      <c r="I1543" s="63">
        <v>100</v>
      </c>
      <c r="J1543" s="63">
        <v>500</v>
      </c>
      <c r="K1543" s="63" t="s">
        <v>10</v>
      </c>
      <c r="L1543" s="63">
        <v>1.1000000000000001</v>
      </c>
      <c r="M1543" s="63">
        <v>5.8</v>
      </c>
      <c r="N1543" s="63">
        <v>1.0377000000000001</v>
      </c>
      <c r="O1543" s="64">
        <v>5.7942</v>
      </c>
    </row>
    <row r="1544" spans="1:15" x14ac:dyDescent="0.25">
      <c r="A1544" s="114" t="s">
        <v>1473</v>
      </c>
      <c r="B1544" s="63" t="s">
        <v>51</v>
      </c>
      <c r="C1544" s="63" t="s">
        <v>8</v>
      </c>
      <c r="D1544" s="63">
        <v>0.33</v>
      </c>
      <c r="E1544" s="63">
        <v>3.3001</v>
      </c>
      <c r="F1544" s="63">
        <v>1.0000000000000001E-5</v>
      </c>
      <c r="G1544" s="63" t="s">
        <v>6</v>
      </c>
      <c r="H1544" s="63" t="s">
        <v>4</v>
      </c>
      <c r="I1544" s="63">
        <v>500</v>
      </c>
      <c r="J1544" s="63">
        <v>501</v>
      </c>
      <c r="K1544" s="63" t="s">
        <v>10</v>
      </c>
      <c r="L1544" s="63">
        <v>1.1000000000000001</v>
      </c>
      <c r="M1544" s="63">
        <v>5.8</v>
      </c>
      <c r="N1544" s="63">
        <v>1.0377000000000001</v>
      </c>
      <c r="O1544" s="64">
        <v>5.7942</v>
      </c>
    </row>
    <row r="1545" spans="1:15" x14ac:dyDescent="0.25">
      <c r="A1545" s="114" t="s">
        <v>1406</v>
      </c>
      <c r="B1545" s="63" t="s">
        <v>51</v>
      </c>
      <c r="C1545" s="63" t="s">
        <v>8</v>
      </c>
      <c r="D1545" s="63">
        <v>0</v>
      </c>
      <c r="E1545" s="63">
        <v>3.3009999999999998E-2</v>
      </c>
      <c r="F1545" s="63">
        <v>1E-4</v>
      </c>
      <c r="G1545" s="63" t="s">
        <v>6</v>
      </c>
      <c r="H1545" s="63" t="s">
        <v>5</v>
      </c>
      <c r="I1545" s="63">
        <v>0.01</v>
      </c>
      <c r="J1545" s="63">
        <v>4.5010000000000001E-2</v>
      </c>
      <c r="K1545" s="63" t="s">
        <v>10</v>
      </c>
      <c r="L1545" s="63">
        <v>62.01</v>
      </c>
      <c r="M1545" s="63">
        <v>1125.5</v>
      </c>
      <c r="N1545" s="63">
        <v>61.999000000000002</v>
      </c>
      <c r="O1545" s="64">
        <v>1123.8</v>
      </c>
    </row>
    <row r="1546" spans="1:15" x14ac:dyDescent="0.25">
      <c r="A1546" s="114" t="s">
        <v>1405</v>
      </c>
      <c r="B1546" s="63" t="s">
        <v>51</v>
      </c>
      <c r="C1546" s="63" t="s">
        <v>8</v>
      </c>
      <c r="D1546" s="63">
        <v>0</v>
      </c>
      <c r="E1546" s="63">
        <v>3.3009999999999998E-2</v>
      </c>
      <c r="F1546" s="63">
        <v>1E-4</v>
      </c>
      <c r="G1546" s="63" t="s">
        <v>6</v>
      </c>
      <c r="H1546" s="63" t="s">
        <v>5</v>
      </c>
      <c r="I1546" s="63">
        <v>4.4999999999999998E-2</v>
      </c>
      <c r="J1546" s="63">
        <v>10.00001</v>
      </c>
      <c r="K1546" s="63" t="s">
        <v>10</v>
      </c>
      <c r="L1546" s="63">
        <v>62.237000000000002</v>
      </c>
      <c r="M1546" s="63">
        <v>673.84</v>
      </c>
      <c r="N1546" s="63">
        <v>62.225000000000001</v>
      </c>
      <c r="O1546" s="64">
        <v>671.86</v>
      </c>
    </row>
    <row r="1547" spans="1:15" x14ac:dyDescent="0.25">
      <c r="A1547" s="114" t="s">
        <v>1408</v>
      </c>
      <c r="B1547" s="63" t="s">
        <v>51</v>
      </c>
      <c r="C1547" s="63" t="s">
        <v>8</v>
      </c>
      <c r="D1547" s="63">
        <v>0</v>
      </c>
      <c r="E1547" s="63">
        <v>3.3009999999999998E-2</v>
      </c>
      <c r="F1547" s="63">
        <v>1E-4</v>
      </c>
      <c r="G1547" s="63" t="s">
        <v>6</v>
      </c>
      <c r="H1547" s="63" t="s">
        <v>5</v>
      </c>
      <c r="I1547" s="63">
        <v>10</v>
      </c>
      <c r="J1547" s="63">
        <v>20.010000000000002</v>
      </c>
      <c r="K1547" s="63" t="s">
        <v>10</v>
      </c>
      <c r="L1547" s="63">
        <v>62.01</v>
      </c>
      <c r="M1547" s="63">
        <v>1125.5</v>
      </c>
      <c r="N1547" s="63">
        <v>61.999000000000002</v>
      </c>
      <c r="O1547" s="64">
        <v>1123.8</v>
      </c>
    </row>
    <row r="1548" spans="1:15" x14ac:dyDescent="0.25">
      <c r="A1548" s="114" t="s">
        <v>1409</v>
      </c>
      <c r="B1548" s="63" t="s">
        <v>51</v>
      </c>
      <c r="C1548" s="63" t="s">
        <v>8</v>
      </c>
      <c r="D1548" s="63">
        <v>0</v>
      </c>
      <c r="E1548" s="63">
        <v>3.3009999999999998E-2</v>
      </c>
      <c r="F1548" s="63">
        <v>1E-4</v>
      </c>
      <c r="G1548" s="63" t="s">
        <v>6</v>
      </c>
      <c r="H1548" s="63" t="s">
        <v>5</v>
      </c>
      <c r="I1548" s="63">
        <v>20</v>
      </c>
      <c r="J1548" s="63">
        <v>50.01</v>
      </c>
      <c r="K1548" s="63" t="s">
        <v>10</v>
      </c>
      <c r="L1548" s="63">
        <v>61.904000000000003</v>
      </c>
      <c r="M1548" s="63">
        <v>1615.7</v>
      </c>
      <c r="N1548" s="63">
        <v>61.89</v>
      </c>
      <c r="O1548" s="64">
        <v>1614.4</v>
      </c>
    </row>
    <row r="1549" spans="1:15" x14ac:dyDescent="0.25">
      <c r="A1549" s="114" t="s">
        <v>1404</v>
      </c>
      <c r="B1549" s="63" t="s">
        <v>51</v>
      </c>
      <c r="C1549" s="63" t="s">
        <v>8</v>
      </c>
      <c r="D1549" s="63">
        <v>0</v>
      </c>
      <c r="E1549" s="63">
        <v>3.3009999999999998E-2</v>
      </c>
      <c r="F1549" s="63">
        <v>1E-4</v>
      </c>
      <c r="G1549" s="63" t="s">
        <v>6</v>
      </c>
      <c r="H1549" s="63" t="s">
        <v>5</v>
      </c>
      <c r="I1549" s="63">
        <v>50</v>
      </c>
      <c r="J1549" s="63">
        <v>100.01</v>
      </c>
      <c r="K1549" s="63" t="s">
        <v>10</v>
      </c>
      <c r="L1549" s="63">
        <v>68.858000000000004</v>
      </c>
      <c r="M1549" s="63">
        <v>3411.4</v>
      </c>
      <c r="N1549" s="63">
        <v>68.766000000000005</v>
      </c>
      <c r="O1549" s="64">
        <v>3411.7</v>
      </c>
    </row>
    <row r="1550" spans="1:15" x14ac:dyDescent="0.25">
      <c r="A1550" s="114" t="s">
        <v>1407</v>
      </c>
      <c r="B1550" s="63" t="s">
        <v>51</v>
      </c>
      <c r="C1550" s="63" t="s">
        <v>8</v>
      </c>
      <c r="D1550" s="63">
        <v>0</v>
      </c>
      <c r="E1550" s="63">
        <v>3.3009999999999998E-2</v>
      </c>
      <c r="F1550" s="63">
        <v>1E-4</v>
      </c>
      <c r="G1550" s="63" t="s">
        <v>6</v>
      </c>
      <c r="H1550" s="63" t="s">
        <v>5</v>
      </c>
      <c r="I1550" s="63">
        <v>100</v>
      </c>
      <c r="J1550" s="63">
        <v>500</v>
      </c>
      <c r="K1550" s="63" t="s">
        <v>10</v>
      </c>
      <c r="L1550" s="63">
        <v>91.463999999999999</v>
      </c>
      <c r="M1550" s="63">
        <v>11024</v>
      </c>
      <c r="N1550" s="63">
        <v>91.322000000000003</v>
      </c>
      <c r="O1550" s="64">
        <v>11026</v>
      </c>
    </row>
    <row r="1551" spans="1:15" x14ac:dyDescent="0.25">
      <c r="A1551" s="114" t="s">
        <v>1410</v>
      </c>
      <c r="B1551" s="63" t="s">
        <v>51</v>
      </c>
      <c r="C1551" s="63" t="s">
        <v>8</v>
      </c>
      <c r="D1551" s="63">
        <v>0</v>
      </c>
      <c r="E1551" s="63">
        <v>3.3009999999999998E-2</v>
      </c>
      <c r="F1551" s="63">
        <v>1E-4</v>
      </c>
      <c r="G1551" s="63" t="s">
        <v>6</v>
      </c>
      <c r="H1551" s="63" t="s">
        <v>5</v>
      </c>
      <c r="I1551" s="63">
        <v>500</v>
      </c>
      <c r="J1551" s="63">
        <v>501</v>
      </c>
      <c r="K1551" s="63" t="s">
        <v>10</v>
      </c>
      <c r="L1551" s="63">
        <v>91.463999999999999</v>
      </c>
      <c r="M1551" s="63">
        <v>11024</v>
      </c>
      <c r="N1551" s="63">
        <v>91.322000000000003</v>
      </c>
      <c r="O1551" s="64">
        <v>11026</v>
      </c>
    </row>
    <row r="1552" spans="1:15" x14ac:dyDescent="0.25">
      <c r="A1552" s="114" t="s">
        <v>1454</v>
      </c>
      <c r="B1552" s="63" t="s">
        <v>51</v>
      </c>
      <c r="C1552" s="63" t="s">
        <v>8</v>
      </c>
      <c r="D1552" s="63">
        <v>3.3000000000000002E-2</v>
      </c>
      <c r="E1552" s="63">
        <v>0.33001000000000003</v>
      </c>
      <c r="F1552" s="63">
        <v>1E-4</v>
      </c>
      <c r="G1552" s="63" t="s">
        <v>6</v>
      </c>
      <c r="H1552" s="63" t="s">
        <v>5</v>
      </c>
      <c r="I1552" s="63">
        <v>0.01</v>
      </c>
      <c r="J1552" s="63">
        <v>4.5010000000000001E-2</v>
      </c>
      <c r="K1552" s="63" t="s">
        <v>10</v>
      </c>
      <c r="L1552" s="63">
        <v>55.234000000000002</v>
      </c>
      <c r="M1552" s="63">
        <v>504.47</v>
      </c>
      <c r="N1552" s="63">
        <v>55.134999999999998</v>
      </c>
      <c r="O1552" s="64">
        <v>504.68</v>
      </c>
    </row>
    <row r="1553" spans="1:15" x14ac:dyDescent="0.25">
      <c r="A1553" s="114" t="s">
        <v>1456</v>
      </c>
      <c r="B1553" s="63" t="s">
        <v>51</v>
      </c>
      <c r="C1553" s="63" t="s">
        <v>8</v>
      </c>
      <c r="D1553" s="63">
        <v>3.3000000000000002E-2</v>
      </c>
      <c r="E1553" s="63">
        <v>0.33001000000000003</v>
      </c>
      <c r="F1553" s="63">
        <v>1E-4</v>
      </c>
      <c r="G1553" s="63" t="s">
        <v>6</v>
      </c>
      <c r="H1553" s="63" t="s">
        <v>5</v>
      </c>
      <c r="I1553" s="63">
        <v>4.4999999999999998E-2</v>
      </c>
      <c r="J1553" s="63">
        <v>10.00001</v>
      </c>
      <c r="K1553" s="63" t="s">
        <v>10</v>
      </c>
      <c r="L1553" s="63">
        <v>58.585999999999999</v>
      </c>
      <c r="M1553" s="63">
        <v>276.02999999999997</v>
      </c>
      <c r="N1553" s="63">
        <v>58.482999999999997</v>
      </c>
      <c r="O1553" s="64">
        <v>276.20999999999998</v>
      </c>
    </row>
    <row r="1554" spans="1:15" x14ac:dyDescent="0.25">
      <c r="A1554" s="114" t="s">
        <v>2504</v>
      </c>
      <c r="B1554" s="63" t="s">
        <v>51</v>
      </c>
      <c r="C1554" s="63" t="s">
        <v>8</v>
      </c>
      <c r="D1554" s="63">
        <v>3.3000000000000002E-2</v>
      </c>
      <c r="E1554" s="63">
        <v>0.33001000000000003</v>
      </c>
      <c r="F1554" s="63">
        <v>1E-4</v>
      </c>
      <c r="G1554" s="63" t="s">
        <v>6</v>
      </c>
      <c r="H1554" s="63" t="s">
        <v>5</v>
      </c>
      <c r="I1554" s="63">
        <v>10</v>
      </c>
      <c r="J1554" s="63">
        <v>20.010000000000002</v>
      </c>
      <c r="K1554" s="63" t="s">
        <v>10</v>
      </c>
      <c r="L1554" s="63">
        <v>52.238</v>
      </c>
      <c r="M1554" s="63">
        <v>738.2</v>
      </c>
      <c r="N1554" s="63">
        <v>52.145000000000003</v>
      </c>
      <c r="O1554" s="64">
        <v>738.41</v>
      </c>
    </row>
    <row r="1555" spans="1:15" x14ac:dyDescent="0.25">
      <c r="A1555" s="114" t="s">
        <v>1458</v>
      </c>
      <c r="B1555" s="63" t="s">
        <v>51</v>
      </c>
      <c r="C1555" s="63" t="s">
        <v>8</v>
      </c>
      <c r="D1555" s="63">
        <v>3.3000000000000002E-2</v>
      </c>
      <c r="E1555" s="63">
        <v>0.33001000000000003</v>
      </c>
      <c r="F1555" s="63">
        <v>1E-4</v>
      </c>
      <c r="G1555" s="63" t="s">
        <v>6</v>
      </c>
      <c r="H1555" s="63" t="s">
        <v>5</v>
      </c>
      <c r="I1555" s="63">
        <v>20</v>
      </c>
      <c r="J1555" s="63">
        <v>50.01</v>
      </c>
      <c r="K1555" s="63" t="s">
        <v>10</v>
      </c>
      <c r="L1555" s="63">
        <v>66.007000000000005</v>
      </c>
      <c r="M1555" s="63">
        <v>1107.9000000000001</v>
      </c>
      <c r="N1555" s="63">
        <v>65.938999999999993</v>
      </c>
      <c r="O1555" s="64">
        <v>1108</v>
      </c>
    </row>
    <row r="1556" spans="1:15" x14ac:dyDescent="0.25">
      <c r="A1556" s="114" t="s">
        <v>2505</v>
      </c>
      <c r="B1556" s="63" t="s">
        <v>51</v>
      </c>
      <c r="C1556" s="63" t="s">
        <v>8</v>
      </c>
      <c r="D1556" s="63">
        <v>3.3000000000000002E-2</v>
      </c>
      <c r="E1556" s="63">
        <v>0.33001000000000003</v>
      </c>
      <c r="F1556" s="63">
        <v>1E-4</v>
      </c>
      <c r="G1556" s="63" t="s">
        <v>6</v>
      </c>
      <c r="H1556" s="63" t="s">
        <v>5</v>
      </c>
      <c r="I1556" s="63">
        <v>50</v>
      </c>
      <c r="J1556" s="63">
        <v>100.01</v>
      </c>
      <c r="K1556" s="63" t="s">
        <v>10</v>
      </c>
      <c r="L1556" s="63">
        <v>202.89</v>
      </c>
      <c r="M1556" s="63">
        <v>2641.9</v>
      </c>
      <c r="N1556" s="63">
        <v>202.83</v>
      </c>
      <c r="O1556" s="64">
        <v>2642</v>
      </c>
    </row>
    <row r="1557" spans="1:15" x14ac:dyDescent="0.25">
      <c r="A1557" s="114" t="s">
        <v>1457</v>
      </c>
      <c r="B1557" s="63" t="s">
        <v>51</v>
      </c>
      <c r="C1557" s="63" t="s">
        <v>8</v>
      </c>
      <c r="D1557" s="63">
        <v>3.3000000000000002E-2</v>
      </c>
      <c r="E1557" s="63">
        <v>0.33001000000000003</v>
      </c>
      <c r="F1557" s="63">
        <v>1E-4</v>
      </c>
      <c r="G1557" s="63" t="s">
        <v>6</v>
      </c>
      <c r="H1557" s="63" t="s">
        <v>5</v>
      </c>
      <c r="I1557" s="63">
        <v>100</v>
      </c>
      <c r="J1557" s="63">
        <v>500</v>
      </c>
      <c r="K1557" s="63" t="s">
        <v>10</v>
      </c>
      <c r="L1557" s="63">
        <v>390</v>
      </c>
      <c r="M1557" s="63">
        <v>5771.9</v>
      </c>
      <c r="N1557" s="63">
        <v>384.93</v>
      </c>
      <c r="O1557" s="64">
        <v>5772</v>
      </c>
    </row>
    <row r="1558" spans="1:15" x14ac:dyDescent="0.25">
      <c r="A1558" s="114" t="s">
        <v>1455</v>
      </c>
      <c r="B1558" s="63" t="s">
        <v>51</v>
      </c>
      <c r="C1558" s="63" t="s">
        <v>8</v>
      </c>
      <c r="D1558" s="63">
        <v>3.3000000000000002E-2</v>
      </c>
      <c r="E1558" s="63">
        <v>0.33001000000000003</v>
      </c>
      <c r="F1558" s="63">
        <v>1E-4</v>
      </c>
      <c r="G1558" s="63" t="s">
        <v>6</v>
      </c>
      <c r="H1558" s="63" t="s">
        <v>5</v>
      </c>
      <c r="I1558" s="63">
        <v>500</v>
      </c>
      <c r="J1558" s="63">
        <v>501</v>
      </c>
      <c r="K1558" s="63" t="s">
        <v>10</v>
      </c>
      <c r="L1558" s="63">
        <v>390</v>
      </c>
      <c r="M1558" s="63">
        <v>5771.9</v>
      </c>
      <c r="N1558" s="63">
        <v>384.93</v>
      </c>
      <c r="O1558" s="64">
        <v>5772</v>
      </c>
    </row>
    <row r="1559" spans="1:15" x14ac:dyDescent="0.25">
      <c r="A1559" s="114" t="s">
        <v>1477</v>
      </c>
      <c r="B1559" s="63" t="s">
        <v>51</v>
      </c>
      <c r="C1559" s="63" t="s">
        <v>8</v>
      </c>
      <c r="D1559" s="63">
        <v>0.33</v>
      </c>
      <c r="E1559" s="63">
        <v>3.3001</v>
      </c>
      <c r="F1559" s="63">
        <v>1E-4</v>
      </c>
      <c r="G1559" s="63" t="s">
        <v>6</v>
      </c>
      <c r="H1559" s="63" t="s">
        <v>4</v>
      </c>
      <c r="I1559" s="63">
        <v>0.01</v>
      </c>
      <c r="J1559" s="63">
        <v>4.5010000000000001E-2</v>
      </c>
      <c r="K1559" s="63" t="s">
        <v>10</v>
      </c>
      <c r="L1559" s="63">
        <v>0.11</v>
      </c>
      <c r="M1559" s="63">
        <v>0.56032999999999999</v>
      </c>
      <c r="N1559" s="63">
        <v>0.10921</v>
      </c>
      <c r="O1559" s="64">
        <v>0.56037000000000003</v>
      </c>
    </row>
    <row r="1560" spans="1:15" x14ac:dyDescent="0.25">
      <c r="A1560" s="114" t="s">
        <v>2506</v>
      </c>
      <c r="B1560" s="63" t="s">
        <v>51</v>
      </c>
      <c r="C1560" s="63" t="s">
        <v>8</v>
      </c>
      <c r="D1560" s="63">
        <v>0.33</v>
      </c>
      <c r="E1560" s="63">
        <v>3.3001</v>
      </c>
      <c r="F1560" s="63">
        <v>1E-4</v>
      </c>
      <c r="G1560" s="63" t="s">
        <v>6</v>
      </c>
      <c r="H1560" s="63" t="s">
        <v>4</v>
      </c>
      <c r="I1560" s="63">
        <v>4.4999999999999998E-2</v>
      </c>
      <c r="J1560" s="63">
        <v>10.00001</v>
      </c>
      <c r="K1560" s="63" t="s">
        <v>10</v>
      </c>
      <c r="L1560" s="63">
        <v>7.9443E-2</v>
      </c>
      <c r="M1560" s="63">
        <v>0.34499000000000002</v>
      </c>
      <c r="N1560" s="63">
        <v>7.9135999999999998E-2</v>
      </c>
      <c r="O1560" s="64">
        <v>0.34505000000000002</v>
      </c>
    </row>
    <row r="1561" spans="1:15" x14ac:dyDescent="0.25">
      <c r="A1561" s="114" t="s">
        <v>1476</v>
      </c>
      <c r="B1561" s="63" t="s">
        <v>51</v>
      </c>
      <c r="C1561" s="63" t="s">
        <v>8</v>
      </c>
      <c r="D1561" s="63">
        <v>0.33</v>
      </c>
      <c r="E1561" s="63">
        <v>3.3001</v>
      </c>
      <c r="F1561" s="63">
        <v>1E-4</v>
      </c>
      <c r="G1561" s="63" t="s">
        <v>6</v>
      </c>
      <c r="H1561" s="63" t="s">
        <v>4</v>
      </c>
      <c r="I1561" s="63">
        <v>10</v>
      </c>
      <c r="J1561" s="63">
        <v>20.010000000000002</v>
      </c>
      <c r="K1561" s="63" t="s">
        <v>10</v>
      </c>
      <c r="L1561" s="63">
        <v>7.5008000000000005E-2</v>
      </c>
      <c r="M1561" s="63">
        <v>0.80728999999999995</v>
      </c>
      <c r="N1561" s="63">
        <v>7.4829000000000007E-2</v>
      </c>
      <c r="O1561" s="64">
        <v>0.80732999999999999</v>
      </c>
    </row>
    <row r="1562" spans="1:15" x14ac:dyDescent="0.25">
      <c r="A1562" s="114" t="s">
        <v>1475</v>
      </c>
      <c r="B1562" s="63" t="s">
        <v>51</v>
      </c>
      <c r="C1562" s="63" t="s">
        <v>8</v>
      </c>
      <c r="D1562" s="63">
        <v>0.33</v>
      </c>
      <c r="E1562" s="63">
        <v>3.3001</v>
      </c>
      <c r="F1562" s="63">
        <v>1E-4</v>
      </c>
      <c r="G1562" s="63" t="s">
        <v>6</v>
      </c>
      <c r="H1562" s="63" t="s">
        <v>4</v>
      </c>
      <c r="I1562" s="63">
        <v>20</v>
      </c>
      <c r="J1562" s="63">
        <v>50.01</v>
      </c>
      <c r="K1562" s="63" t="s">
        <v>10</v>
      </c>
      <c r="L1562" s="63">
        <v>7.3710999999999999E-2</v>
      </c>
      <c r="M1562" s="63">
        <v>1.1548</v>
      </c>
      <c r="N1562" s="63">
        <v>7.3371000000000006E-2</v>
      </c>
      <c r="O1562" s="64">
        <v>1.1549</v>
      </c>
    </row>
    <row r="1563" spans="1:15" x14ac:dyDescent="0.25">
      <c r="A1563" s="114" t="s">
        <v>1478</v>
      </c>
      <c r="B1563" s="63" t="s">
        <v>51</v>
      </c>
      <c r="C1563" s="63" t="s">
        <v>8</v>
      </c>
      <c r="D1563" s="63">
        <v>0.33</v>
      </c>
      <c r="E1563" s="63">
        <v>3.3001</v>
      </c>
      <c r="F1563" s="63">
        <v>1E-4</v>
      </c>
      <c r="G1563" s="63" t="s">
        <v>6</v>
      </c>
      <c r="H1563" s="63" t="s">
        <v>4</v>
      </c>
      <c r="I1563" s="63">
        <v>50</v>
      </c>
      <c r="J1563" s="63">
        <v>100.01</v>
      </c>
      <c r="K1563" s="63" t="s">
        <v>10</v>
      </c>
      <c r="L1563" s="63">
        <v>0.24</v>
      </c>
      <c r="M1563" s="63">
        <v>2.6566000000000001</v>
      </c>
      <c r="N1563" s="63">
        <v>0.23255999999999999</v>
      </c>
      <c r="O1563" s="64">
        <v>2.6566999999999998</v>
      </c>
    </row>
    <row r="1564" spans="1:15" x14ac:dyDescent="0.25">
      <c r="A1564" s="114" t="s">
        <v>2507</v>
      </c>
      <c r="B1564" s="63" t="s">
        <v>51</v>
      </c>
      <c r="C1564" s="63" t="s">
        <v>8</v>
      </c>
      <c r="D1564" s="63">
        <v>0.33</v>
      </c>
      <c r="E1564" s="63">
        <v>3.3001</v>
      </c>
      <c r="F1564" s="63">
        <v>1E-4</v>
      </c>
      <c r="G1564" s="63" t="s">
        <v>6</v>
      </c>
      <c r="H1564" s="63" t="s">
        <v>4</v>
      </c>
      <c r="I1564" s="63">
        <v>100</v>
      </c>
      <c r="J1564" s="63">
        <v>500</v>
      </c>
      <c r="K1564" s="63" t="s">
        <v>10</v>
      </c>
      <c r="L1564" s="63">
        <v>1.1000000000000001</v>
      </c>
      <c r="M1564" s="63">
        <v>5.7939999999999996</v>
      </c>
      <c r="N1564" s="63">
        <v>1.038</v>
      </c>
      <c r="O1564" s="64">
        <v>5.7941000000000003</v>
      </c>
    </row>
    <row r="1565" spans="1:15" x14ac:dyDescent="0.25">
      <c r="A1565" s="114" t="s">
        <v>2508</v>
      </c>
      <c r="B1565" s="63" t="s">
        <v>51</v>
      </c>
      <c r="C1565" s="63" t="s">
        <v>8</v>
      </c>
      <c r="D1565" s="63">
        <v>0.33</v>
      </c>
      <c r="E1565" s="63">
        <v>3.3001</v>
      </c>
      <c r="F1565" s="63">
        <v>1E-4</v>
      </c>
      <c r="G1565" s="63" t="s">
        <v>6</v>
      </c>
      <c r="H1565" s="63" t="s">
        <v>4</v>
      </c>
      <c r="I1565" s="63">
        <v>500</v>
      </c>
      <c r="J1565" s="63">
        <v>501</v>
      </c>
      <c r="K1565" s="63" t="s">
        <v>10</v>
      </c>
      <c r="L1565" s="63">
        <v>1.1000000000000001</v>
      </c>
      <c r="M1565" s="63">
        <v>5.7939999999999996</v>
      </c>
      <c r="N1565" s="63">
        <v>1.038</v>
      </c>
      <c r="O1565" s="64">
        <v>5.7941000000000003</v>
      </c>
    </row>
    <row r="1566" spans="1:15" x14ac:dyDescent="0.25">
      <c r="A1566" s="114" t="s">
        <v>2509</v>
      </c>
      <c r="B1566" s="63" t="s">
        <v>51</v>
      </c>
      <c r="C1566" s="63" t="s">
        <v>8</v>
      </c>
      <c r="D1566" s="63">
        <v>3.3</v>
      </c>
      <c r="E1566" s="63">
        <v>33.000999999999998</v>
      </c>
      <c r="F1566" s="63">
        <v>1E-4</v>
      </c>
      <c r="G1566" s="63" t="s">
        <v>6</v>
      </c>
      <c r="H1566" s="63" t="s">
        <v>4</v>
      </c>
      <c r="I1566" s="63">
        <v>0.01</v>
      </c>
      <c r="J1566" s="63">
        <v>4.5010000000000001E-2</v>
      </c>
      <c r="K1566" s="63" t="s">
        <v>10</v>
      </c>
      <c r="L1566" s="63">
        <v>0.93</v>
      </c>
      <c r="M1566" s="63">
        <v>0.57999999999999996</v>
      </c>
      <c r="N1566" s="63">
        <v>0.92291999999999996</v>
      </c>
      <c r="O1566" s="64">
        <v>0.57830000000000004</v>
      </c>
    </row>
    <row r="1567" spans="1:15" x14ac:dyDescent="0.25">
      <c r="A1567" s="114" t="s">
        <v>1498</v>
      </c>
      <c r="B1567" s="63" t="s">
        <v>51</v>
      </c>
      <c r="C1567" s="63" t="s">
        <v>8</v>
      </c>
      <c r="D1567" s="63">
        <v>3.3</v>
      </c>
      <c r="E1567" s="63">
        <v>33.000999999999998</v>
      </c>
      <c r="F1567" s="63">
        <v>1E-4</v>
      </c>
      <c r="G1567" s="63" t="s">
        <v>6</v>
      </c>
      <c r="H1567" s="63" t="s">
        <v>4</v>
      </c>
      <c r="I1567" s="63">
        <v>4.4999999999999998E-2</v>
      </c>
      <c r="J1567" s="63">
        <v>10.00001</v>
      </c>
      <c r="K1567" s="63" t="s">
        <v>10</v>
      </c>
      <c r="L1567" s="63">
        <v>0.7</v>
      </c>
      <c r="M1567" s="63">
        <v>0.35</v>
      </c>
      <c r="N1567" s="63">
        <v>0.69218000000000002</v>
      </c>
      <c r="O1567" s="64">
        <v>0.34794999999999998</v>
      </c>
    </row>
    <row r="1568" spans="1:15" x14ac:dyDescent="0.25">
      <c r="A1568" s="114" t="s">
        <v>2510</v>
      </c>
      <c r="B1568" s="63" t="s">
        <v>51</v>
      </c>
      <c r="C1568" s="63" t="s">
        <v>8</v>
      </c>
      <c r="D1568" s="63">
        <v>3.3</v>
      </c>
      <c r="E1568" s="63">
        <v>33.000999999999998</v>
      </c>
      <c r="F1568" s="63">
        <v>1E-4</v>
      </c>
      <c r="G1568" s="63" t="s">
        <v>6</v>
      </c>
      <c r="H1568" s="63" t="s">
        <v>4</v>
      </c>
      <c r="I1568" s="63">
        <v>10</v>
      </c>
      <c r="J1568" s="63">
        <v>20.010000000000002</v>
      </c>
      <c r="K1568" s="63" t="s">
        <v>10</v>
      </c>
      <c r="L1568" s="63">
        <v>0.7</v>
      </c>
      <c r="M1568" s="63">
        <v>0.81</v>
      </c>
      <c r="N1568" s="63">
        <v>0.69303999999999999</v>
      </c>
      <c r="O1568" s="64">
        <v>0.80896000000000001</v>
      </c>
    </row>
    <row r="1569" spans="1:15" x14ac:dyDescent="0.25">
      <c r="A1569" s="114" t="s">
        <v>1496</v>
      </c>
      <c r="B1569" s="63" t="s">
        <v>51</v>
      </c>
      <c r="C1569" s="63" t="s">
        <v>8</v>
      </c>
      <c r="D1569" s="63">
        <v>3.3</v>
      </c>
      <c r="E1569" s="63">
        <v>33.000999999999998</v>
      </c>
      <c r="F1569" s="63">
        <v>1E-4</v>
      </c>
      <c r="G1569" s="63" t="s">
        <v>6</v>
      </c>
      <c r="H1569" s="63" t="s">
        <v>4</v>
      </c>
      <c r="I1569" s="63">
        <v>20</v>
      </c>
      <c r="J1569" s="63">
        <v>50.01</v>
      </c>
      <c r="K1569" s="63" t="s">
        <v>10</v>
      </c>
      <c r="L1569" s="63">
        <v>0.7</v>
      </c>
      <c r="M1569" s="63">
        <v>1.2</v>
      </c>
      <c r="N1569" s="63">
        <v>0.69121999999999995</v>
      </c>
      <c r="O1569" s="64">
        <v>1.1565000000000001</v>
      </c>
    </row>
    <row r="1570" spans="1:15" x14ac:dyDescent="0.25">
      <c r="A1570" s="114" t="s">
        <v>1495</v>
      </c>
      <c r="B1570" s="63" t="s">
        <v>51</v>
      </c>
      <c r="C1570" s="63" t="s">
        <v>8</v>
      </c>
      <c r="D1570" s="63">
        <v>3.3</v>
      </c>
      <c r="E1570" s="63">
        <v>33.000999999999998</v>
      </c>
      <c r="F1570" s="63">
        <v>1E-4</v>
      </c>
      <c r="G1570" s="63" t="s">
        <v>6</v>
      </c>
      <c r="H1570" s="63" t="s">
        <v>4</v>
      </c>
      <c r="I1570" s="63">
        <v>50</v>
      </c>
      <c r="J1570" s="63">
        <v>100.01</v>
      </c>
      <c r="K1570" s="63" t="s">
        <v>10</v>
      </c>
      <c r="L1570" s="63">
        <v>2.2999999999999998</v>
      </c>
      <c r="M1570" s="63">
        <v>2.7</v>
      </c>
      <c r="N1570" s="63">
        <v>2.3079000000000001</v>
      </c>
      <c r="O1570" s="64">
        <v>2.6577000000000002</v>
      </c>
    </row>
    <row r="1571" spans="1:15" x14ac:dyDescent="0.25">
      <c r="A1571" s="114" t="s">
        <v>1497</v>
      </c>
      <c r="B1571" s="63" t="s">
        <v>51</v>
      </c>
      <c r="C1571" s="63" t="s">
        <v>8</v>
      </c>
      <c r="D1571" s="63">
        <v>3.3</v>
      </c>
      <c r="E1571" s="63">
        <v>33.000999999999998</v>
      </c>
      <c r="F1571" s="63">
        <v>1E-4</v>
      </c>
      <c r="G1571" s="63" t="s">
        <v>6</v>
      </c>
      <c r="H1571" s="63" t="s">
        <v>4</v>
      </c>
      <c r="I1571" s="63">
        <v>100</v>
      </c>
      <c r="J1571" s="63">
        <v>500</v>
      </c>
      <c r="K1571" s="63" t="s">
        <v>10</v>
      </c>
      <c r="L1571" s="63">
        <v>13</v>
      </c>
      <c r="M1571" s="63">
        <v>4.5999999999999996</v>
      </c>
      <c r="N1571" s="63">
        <v>2.3363999999999998</v>
      </c>
      <c r="O1571" s="64">
        <v>2.6995</v>
      </c>
    </row>
    <row r="1572" spans="1:15" x14ac:dyDescent="0.25">
      <c r="A1572" s="114" t="s">
        <v>2511</v>
      </c>
      <c r="B1572" s="63" t="s">
        <v>51</v>
      </c>
      <c r="C1572" s="63" t="s">
        <v>8</v>
      </c>
      <c r="D1572" s="63">
        <v>3.3</v>
      </c>
      <c r="E1572" s="63">
        <v>33.000999999999998</v>
      </c>
      <c r="F1572" s="63">
        <v>1E-4</v>
      </c>
      <c r="G1572" s="63" t="s">
        <v>6</v>
      </c>
      <c r="H1572" s="63" t="s">
        <v>4</v>
      </c>
      <c r="I1572" s="63">
        <v>500</v>
      </c>
      <c r="J1572" s="63">
        <v>501</v>
      </c>
      <c r="K1572" s="63" t="s">
        <v>10</v>
      </c>
      <c r="L1572" s="63">
        <v>13</v>
      </c>
      <c r="M1572" s="63">
        <v>4.5999999999999996</v>
      </c>
      <c r="N1572" s="63">
        <v>2.3363999999999998</v>
      </c>
      <c r="O1572" s="64">
        <v>2.6995</v>
      </c>
    </row>
    <row r="1573" spans="1:15" x14ac:dyDescent="0.25">
      <c r="A1573" s="114" t="s">
        <v>1417</v>
      </c>
      <c r="B1573" s="63" t="s">
        <v>51</v>
      </c>
      <c r="C1573" s="63" t="s">
        <v>8</v>
      </c>
      <c r="D1573" s="63">
        <v>0</v>
      </c>
      <c r="E1573" s="63">
        <v>3.3009999999999998E-2</v>
      </c>
      <c r="F1573" s="63">
        <v>1E-3</v>
      </c>
      <c r="G1573" s="63" t="s">
        <v>6</v>
      </c>
      <c r="H1573" s="63" t="s">
        <v>5</v>
      </c>
      <c r="I1573" s="63">
        <v>0.01</v>
      </c>
      <c r="J1573" s="63">
        <v>4.5010000000000001E-2</v>
      </c>
      <c r="K1573" s="63" t="s">
        <v>10</v>
      </c>
      <c r="L1573" s="63">
        <v>580.38</v>
      </c>
      <c r="M1573" s="63">
        <v>157.54</v>
      </c>
      <c r="N1573" s="63">
        <v>580.38</v>
      </c>
      <c r="O1573" s="64">
        <v>156.33000000000001</v>
      </c>
    </row>
    <row r="1574" spans="1:15" x14ac:dyDescent="0.25">
      <c r="A1574" s="114" t="s">
        <v>1411</v>
      </c>
      <c r="B1574" s="63" t="s">
        <v>51</v>
      </c>
      <c r="C1574" s="63" t="s">
        <v>8</v>
      </c>
      <c r="D1574" s="63">
        <v>0</v>
      </c>
      <c r="E1574" s="63">
        <v>3.3009999999999998E-2</v>
      </c>
      <c r="F1574" s="63">
        <v>1E-3</v>
      </c>
      <c r="G1574" s="63" t="s">
        <v>6</v>
      </c>
      <c r="H1574" s="63" t="s">
        <v>5</v>
      </c>
      <c r="I1574" s="63">
        <v>4.4999999999999998E-2</v>
      </c>
      <c r="J1574" s="63">
        <v>10.00001</v>
      </c>
      <c r="K1574" s="63" t="s">
        <v>10</v>
      </c>
      <c r="L1574" s="63">
        <v>580.42999999999995</v>
      </c>
      <c r="M1574" s="63">
        <v>86.247</v>
      </c>
      <c r="N1574" s="63">
        <v>580.42999999999995</v>
      </c>
      <c r="O1574" s="64">
        <v>85.036000000000001</v>
      </c>
    </row>
    <row r="1575" spans="1:15" x14ac:dyDescent="0.25">
      <c r="A1575" s="114" t="s">
        <v>1416</v>
      </c>
      <c r="B1575" s="63" t="s">
        <v>51</v>
      </c>
      <c r="C1575" s="63" t="s">
        <v>8</v>
      </c>
      <c r="D1575" s="63">
        <v>0</v>
      </c>
      <c r="E1575" s="63">
        <v>3.3009999999999998E-2</v>
      </c>
      <c r="F1575" s="63">
        <v>1E-3</v>
      </c>
      <c r="G1575" s="63" t="s">
        <v>6</v>
      </c>
      <c r="H1575" s="63" t="s">
        <v>5</v>
      </c>
      <c r="I1575" s="63">
        <v>10</v>
      </c>
      <c r="J1575" s="63">
        <v>20.010000000000002</v>
      </c>
      <c r="K1575" s="63" t="s">
        <v>10</v>
      </c>
      <c r="L1575" s="63">
        <v>580.38</v>
      </c>
      <c r="M1575" s="63">
        <v>157.54</v>
      </c>
      <c r="N1575" s="63">
        <v>580.38</v>
      </c>
      <c r="O1575" s="64">
        <v>156.33000000000001</v>
      </c>
    </row>
    <row r="1576" spans="1:15" x14ac:dyDescent="0.25">
      <c r="A1576" s="114" t="s">
        <v>1412</v>
      </c>
      <c r="B1576" s="63" t="s">
        <v>51</v>
      </c>
      <c r="C1576" s="63" t="s">
        <v>8</v>
      </c>
      <c r="D1576" s="63">
        <v>0</v>
      </c>
      <c r="E1576" s="63">
        <v>3.3009999999999998E-2</v>
      </c>
      <c r="F1576" s="63">
        <v>1E-3</v>
      </c>
      <c r="G1576" s="63" t="s">
        <v>6</v>
      </c>
      <c r="H1576" s="63" t="s">
        <v>5</v>
      </c>
      <c r="I1576" s="63">
        <v>20</v>
      </c>
      <c r="J1576" s="63">
        <v>50.01</v>
      </c>
      <c r="K1576" s="63" t="s">
        <v>10</v>
      </c>
      <c r="L1576" s="63">
        <v>580.34</v>
      </c>
      <c r="M1576" s="63">
        <v>247.93</v>
      </c>
      <c r="N1576" s="63">
        <v>580.33000000000004</v>
      </c>
      <c r="O1576" s="64">
        <v>246.73</v>
      </c>
    </row>
    <row r="1577" spans="1:15" x14ac:dyDescent="0.25">
      <c r="A1577" s="114" t="s">
        <v>1413</v>
      </c>
      <c r="B1577" s="63" t="s">
        <v>51</v>
      </c>
      <c r="C1577" s="63" t="s">
        <v>8</v>
      </c>
      <c r="D1577" s="63">
        <v>0</v>
      </c>
      <c r="E1577" s="63">
        <v>3.3009999999999998E-2</v>
      </c>
      <c r="F1577" s="63">
        <v>1E-3</v>
      </c>
      <c r="G1577" s="63" t="s">
        <v>6</v>
      </c>
      <c r="H1577" s="63" t="s">
        <v>5</v>
      </c>
      <c r="I1577" s="63">
        <v>50</v>
      </c>
      <c r="J1577" s="63">
        <v>100.01</v>
      </c>
      <c r="K1577" s="63" t="s">
        <v>10</v>
      </c>
      <c r="L1577" s="63">
        <v>580.9</v>
      </c>
      <c r="M1577" s="63">
        <v>730.69</v>
      </c>
      <c r="N1577" s="63">
        <v>580.86</v>
      </c>
      <c r="O1577" s="64">
        <v>729</v>
      </c>
    </row>
    <row r="1578" spans="1:15" x14ac:dyDescent="0.25">
      <c r="A1578" s="114" t="s">
        <v>1414</v>
      </c>
      <c r="B1578" s="63" t="s">
        <v>51</v>
      </c>
      <c r="C1578" s="63" t="s">
        <v>8</v>
      </c>
      <c r="D1578" s="63">
        <v>0</v>
      </c>
      <c r="E1578" s="63">
        <v>3.3009999999999998E-2</v>
      </c>
      <c r="F1578" s="63">
        <v>1E-3</v>
      </c>
      <c r="G1578" s="63" t="s">
        <v>6</v>
      </c>
      <c r="H1578" s="63" t="s">
        <v>5</v>
      </c>
      <c r="I1578" s="63">
        <v>100</v>
      </c>
      <c r="J1578" s="63">
        <v>500</v>
      </c>
      <c r="K1578" s="63" t="s">
        <v>10</v>
      </c>
      <c r="L1578" s="63">
        <v>581.54</v>
      </c>
      <c r="M1578" s="63">
        <v>4655.8999999999996</v>
      </c>
      <c r="N1578" s="63">
        <v>581.45000000000005</v>
      </c>
      <c r="O1578" s="64">
        <v>4653.2</v>
      </c>
    </row>
    <row r="1579" spans="1:15" x14ac:dyDescent="0.25">
      <c r="A1579" s="114" t="s">
        <v>1415</v>
      </c>
      <c r="B1579" s="63" t="s">
        <v>51</v>
      </c>
      <c r="C1579" s="63" t="s">
        <v>8</v>
      </c>
      <c r="D1579" s="63">
        <v>0</v>
      </c>
      <c r="E1579" s="63">
        <v>3.3009999999999998E-2</v>
      </c>
      <c r="F1579" s="63">
        <v>1E-3</v>
      </c>
      <c r="G1579" s="63" t="s">
        <v>6</v>
      </c>
      <c r="H1579" s="63" t="s">
        <v>5</v>
      </c>
      <c r="I1579" s="63">
        <v>500</v>
      </c>
      <c r="J1579" s="63">
        <v>501</v>
      </c>
      <c r="K1579" s="63" t="s">
        <v>10</v>
      </c>
      <c r="L1579" s="63">
        <v>581.54</v>
      </c>
      <c r="M1579" s="63">
        <v>4655.8999999999996</v>
      </c>
      <c r="N1579" s="63">
        <v>581.45000000000005</v>
      </c>
      <c r="O1579" s="64">
        <v>4653.2</v>
      </c>
    </row>
    <row r="1580" spans="1:15" x14ac:dyDescent="0.25">
      <c r="A1580" s="114" t="s">
        <v>1459</v>
      </c>
      <c r="B1580" s="63" t="s">
        <v>51</v>
      </c>
      <c r="C1580" s="63" t="s">
        <v>8</v>
      </c>
      <c r="D1580" s="63">
        <v>3.3000000000000002E-2</v>
      </c>
      <c r="E1580" s="63">
        <v>0.33001000000000003</v>
      </c>
      <c r="F1580" s="63">
        <v>1E-3</v>
      </c>
      <c r="G1580" s="63" t="s">
        <v>6</v>
      </c>
      <c r="H1580" s="63" t="s">
        <v>5</v>
      </c>
      <c r="I1580" s="63">
        <v>0.01</v>
      </c>
      <c r="J1580" s="63">
        <v>4.5010000000000001E-2</v>
      </c>
      <c r="K1580" s="63" t="s">
        <v>10</v>
      </c>
      <c r="L1580" s="63">
        <v>577.51</v>
      </c>
      <c r="M1580" s="63">
        <v>123.44</v>
      </c>
      <c r="N1580" s="63">
        <v>577.47</v>
      </c>
      <c r="O1580" s="64">
        <v>123.45</v>
      </c>
    </row>
    <row r="1581" spans="1:15" x14ac:dyDescent="0.25">
      <c r="A1581" s="114" t="s">
        <v>1461</v>
      </c>
      <c r="B1581" s="63" t="s">
        <v>51</v>
      </c>
      <c r="C1581" s="63" t="s">
        <v>8</v>
      </c>
      <c r="D1581" s="63">
        <v>3.3000000000000002E-2</v>
      </c>
      <c r="E1581" s="63">
        <v>0.33001000000000003</v>
      </c>
      <c r="F1581" s="63">
        <v>1E-3</v>
      </c>
      <c r="G1581" s="63" t="s">
        <v>6</v>
      </c>
      <c r="H1581" s="63" t="s">
        <v>5</v>
      </c>
      <c r="I1581" s="63">
        <v>4.4999999999999998E-2</v>
      </c>
      <c r="J1581" s="63">
        <v>10.00001</v>
      </c>
      <c r="K1581" s="63" t="s">
        <v>10</v>
      </c>
      <c r="L1581" s="63">
        <v>579.4</v>
      </c>
      <c r="M1581" s="63">
        <v>50.965000000000003</v>
      </c>
      <c r="N1581" s="63">
        <v>579.36</v>
      </c>
      <c r="O1581" s="64">
        <v>50.969000000000001</v>
      </c>
    </row>
    <row r="1582" spans="1:15" x14ac:dyDescent="0.25">
      <c r="A1582" s="114" t="s">
        <v>2512</v>
      </c>
      <c r="B1582" s="63" t="s">
        <v>51</v>
      </c>
      <c r="C1582" s="63" t="s">
        <v>8</v>
      </c>
      <c r="D1582" s="63">
        <v>3.3000000000000002E-2</v>
      </c>
      <c r="E1582" s="63">
        <v>0.33001000000000003</v>
      </c>
      <c r="F1582" s="63">
        <v>1E-3</v>
      </c>
      <c r="G1582" s="63" t="s">
        <v>6</v>
      </c>
      <c r="H1582" s="63" t="s">
        <v>5</v>
      </c>
      <c r="I1582" s="63">
        <v>10</v>
      </c>
      <c r="J1582" s="63">
        <v>20.010000000000002</v>
      </c>
      <c r="K1582" s="63" t="s">
        <v>10</v>
      </c>
      <c r="L1582" s="63">
        <v>574.82000000000005</v>
      </c>
      <c r="M1582" s="63">
        <v>223.39</v>
      </c>
      <c r="N1582" s="63">
        <v>574.77</v>
      </c>
      <c r="O1582" s="64">
        <v>223.41</v>
      </c>
    </row>
    <row r="1583" spans="1:15" x14ac:dyDescent="0.25">
      <c r="A1583" s="114" t="s">
        <v>1464</v>
      </c>
      <c r="B1583" s="63" t="s">
        <v>51</v>
      </c>
      <c r="C1583" s="63" t="s">
        <v>8</v>
      </c>
      <c r="D1583" s="63">
        <v>3.3000000000000002E-2</v>
      </c>
      <c r="E1583" s="63">
        <v>0.33001000000000003</v>
      </c>
      <c r="F1583" s="63">
        <v>1E-3</v>
      </c>
      <c r="G1583" s="63" t="s">
        <v>6</v>
      </c>
      <c r="H1583" s="63" t="s">
        <v>5</v>
      </c>
      <c r="I1583" s="63">
        <v>20</v>
      </c>
      <c r="J1583" s="63">
        <v>50.01</v>
      </c>
      <c r="K1583" s="63" t="s">
        <v>10</v>
      </c>
      <c r="L1583" s="63">
        <v>571.22</v>
      </c>
      <c r="M1583" s="63">
        <v>452.98</v>
      </c>
      <c r="N1583" s="63">
        <v>571.17999999999995</v>
      </c>
      <c r="O1583" s="64">
        <v>452.85</v>
      </c>
    </row>
    <row r="1584" spans="1:15" x14ac:dyDescent="0.25">
      <c r="A1584" s="114" t="s">
        <v>1462</v>
      </c>
      <c r="B1584" s="63" t="s">
        <v>51</v>
      </c>
      <c r="C1584" s="63" t="s">
        <v>8</v>
      </c>
      <c r="D1584" s="63">
        <v>3.3000000000000002E-2</v>
      </c>
      <c r="E1584" s="63">
        <v>0.33001000000000003</v>
      </c>
      <c r="F1584" s="63">
        <v>1E-3</v>
      </c>
      <c r="G1584" s="63" t="s">
        <v>6</v>
      </c>
      <c r="H1584" s="63" t="s">
        <v>5</v>
      </c>
      <c r="I1584" s="63">
        <v>50</v>
      </c>
      <c r="J1584" s="63">
        <v>100.01</v>
      </c>
      <c r="K1584" s="63" t="s">
        <v>10</v>
      </c>
      <c r="L1584" s="63">
        <v>582.19000000000005</v>
      </c>
      <c r="M1584" s="63">
        <v>1932.6</v>
      </c>
      <c r="N1584" s="63">
        <v>582.1</v>
      </c>
      <c r="O1584" s="64">
        <v>1932.5</v>
      </c>
    </row>
    <row r="1585" spans="1:15" x14ac:dyDescent="0.25">
      <c r="A1585" s="114" t="s">
        <v>1463</v>
      </c>
      <c r="B1585" s="63" t="s">
        <v>51</v>
      </c>
      <c r="C1585" s="63" t="s">
        <v>8</v>
      </c>
      <c r="D1585" s="63">
        <v>3.3000000000000002E-2</v>
      </c>
      <c r="E1585" s="63">
        <v>0.33001000000000003</v>
      </c>
      <c r="F1585" s="63">
        <v>1E-3</v>
      </c>
      <c r="G1585" s="63" t="s">
        <v>6</v>
      </c>
      <c r="H1585" s="63" t="s">
        <v>5</v>
      </c>
      <c r="I1585" s="63">
        <v>100</v>
      </c>
      <c r="J1585" s="63">
        <v>500</v>
      </c>
      <c r="K1585" s="63" t="s">
        <v>10</v>
      </c>
      <c r="L1585" s="63">
        <v>643.30999999999995</v>
      </c>
      <c r="M1585" s="63">
        <v>5206.3999999999996</v>
      </c>
      <c r="N1585" s="63">
        <v>643.12</v>
      </c>
      <c r="O1585" s="64">
        <v>5206.6000000000004</v>
      </c>
    </row>
    <row r="1586" spans="1:15" x14ac:dyDescent="0.25">
      <c r="A1586" s="114" t="s">
        <v>1460</v>
      </c>
      <c r="B1586" s="63" t="s">
        <v>51</v>
      </c>
      <c r="C1586" s="63" t="s">
        <v>8</v>
      </c>
      <c r="D1586" s="63">
        <v>3.3000000000000002E-2</v>
      </c>
      <c r="E1586" s="63">
        <v>0.33001000000000003</v>
      </c>
      <c r="F1586" s="63">
        <v>1E-3</v>
      </c>
      <c r="G1586" s="63" t="s">
        <v>6</v>
      </c>
      <c r="H1586" s="63" t="s">
        <v>5</v>
      </c>
      <c r="I1586" s="63">
        <v>500</v>
      </c>
      <c r="J1586" s="63">
        <v>501</v>
      </c>
      <c r="K1586" s="63" t="s">
        <v>10</v>
      </c>
      <c r="L1586" s="63">
        <v>643.30999999999995</v>
      </c>
      <c r="M1586" s="63">
        <v>5206.3999999999996</v>
      </c>
      <c r="N1586" s="63">
        <v>643.12</v>
      </c>
      <c r="O1586" s="64">
        <v>5206.6000000000004</v>
      </c>
    </row>
    <row r="1587" spans="1:15" x14ac:dyDescent="0.25">
      <c r="A1587" s="114" t="s">
        <v>1481</v>
      </c>
      <c r="B1587" s="63" t="s">
        <v>51</v>
      </c>
      <c r="C1587" s="63" t="s">
        <v>8</v>
      </c>
      <c r="D1587" s="63">
        <v>0.33</v>
      </c>
      <c r="E1587" s="63">
        <v>3.3001</v>
      </c>
      <c r="F1587" s="63">
        <v>1E-3</v>
      </c>
      <c r="G1587" s="63" t="s">
        <v>6</v>
      </c>
      <c r="H1587" s="63" t="s">
        <v>4</v>
      </c>
      <c r="I1587" s="63">
        <v>0.01</v>
      </c>
      <c r="J1587" s="63">
        <v>4.5010000000000001E-2</v>
      </c>
      <c r="K1587" s="63" t="s">
        <v>10</v>
      </c>
      <c r="L1587" s="63">
        <v>0.48274</v>
      </c>
      <c r="M1587" s="63">
        <v>0.46448</v>
      </c>
      <c r="N1587" s="63">
        <v>0.4824</v>
      </c>
      <c r="O1587" s="64">
        <v>0.46450000000000002</v>
      </c>
    </row>
    <row r="1588" spans="1:15" x14ac:dyDescent="0.25">
      <c r="A1588" s="114" t="s">
        <v>1480</v>
      </c>
      <c r="B1588" s="63" t="s">
        <v>51</v>
      </c>
      <c r="C1588" s="63" t="s">
        <v>8</v>
      </c>
      <c r="D1588" s="63">
        <v>0.33</v>
      </c>
      <c r="E1588" s="63">
        <v>3.3001</v>
      </c>
      <c r="F1588" s="63">
        <v>1E-3</v>
      </c>
      <c r="G1588" s="63" t="s">
        <v>6</v>
      </c>
      <c r="H1588" s="63" t="s">
        <v>4</v>
      </c>
      <c r="I1588" s="63">
        <v>4.4999999999999998E-2</v>
      </c>
      <c r="J1588" s="63">
        <v>10.00001</v>
      </c>
      <c r="K1588" s="63" t="s">
        <v>10</v>
      </c>
      <c r="L1588" s="63">
        <v>0.52675000000000005</v>
      </c>
      <c r="M1588" s="63">
        <v>0.24887000000000001</v>
      </c>
      <c r="N1588" s="63">
        <v>0.52639999999999998</v>
      </c>
      <c r="O1588" s="64">
        <v>0.24884999999999999</v>
      </c>
    </row>
    <row r="1589" spans="1:15" x14ac:dyDescent="0.25">
      <c r="A1589" s="114" t="s">
        <v>1484</v>
      </c>
      <c r="B1589" s="63" t="s">
        <v>51</v>
      </c>
      <c r="C1589" s="63" t="s">
        <v>8</v>
      </c>
      <c r="D1589" s="63">
        <v>0.33</v>
      </c>
      <c r="E1589" s="63">
        <v>3.3001</v>
      </c>
      <c r="F1589" s="63">
        <v>1E-3</v>
      </c>
      <c r="G1589" s="63" t="s">
        <v>6</v>
      </c>
      <c r="H1589" s="63" t="s">
        <v>4</v>
      </c>
      <c r="I1589" s="63">
        <v>10</v>
      </c>
      <c r="J1589" s="63">
        <v>20.010000000000002</v>
      </c>
      <c r="K1589" s="63" t="s">
        <v>10</v>
      </c>
      <c r="L1589" s="63">
        <v>0.43426999999999999</v>
      </c>
      <c r="M1589" s="63">
        <v>0.71669000000000005</v>
      </c>
      <c r="N1589" s="63">
        <v>0.43391000000000002</v>
      </c>
      <c r="O1589" s="64">
        <v>0.71674000000000004</v>
      </c>
    </row>
    <row r="1590" spans="1:15" x14ac:dyDescent="0.25">
      <c r="A1590" s="114" t="s">
        <v>1479</v>
      </c>
      <c r="B1590" s="63" t="s">
        <v>51</v>
      </c>
      <c r="C1590" s="63" t="s">
        <v>8</v>
      </c>
      <c r="D1590" s="63">
        <v>0.33</v>
      </c>
      <c r="E1590" s="63">
        <v>3.3001</v>
      </c>
      <c r="F1590" s="63">
        <v>1E-3</v>
      </c>
      <c r="G1590" s="63" t="s">
        <v>6</v>
      </c>
      <c r="H1590" s="63" t="s">
        <v>4</v>
      </c>
      <c r="I1590" s="63">
        <v>20</v>
      </c>
      <c r="J1590" s="63">
        <v>50.01</v>
      </c>
      <c r="K1590" s="63" t="s">
        <v>10</v>
      </c>
      <c r="L1590" s="63">
        <v>0.38064999999999999</v>
      </c>
      <c r="M1590" s="63">
        <v>1.0748</v>
      </c>
      <c r="N1590" s="63">
        <v>0.37986999999999999</v>
      </c>
      <c r="O1590" s="64">
        <v>1.0749</v>
      </c>
    </row>
    <row r="1591" spans="1:15" x14ac:dyDescent="0.25">
      <c r="A1591" s="114" t="s">
        <v>1482</v>
      </c>
      <c r="B1591" s="63" t="s">
        <v>51</v>
      </c>
      <c r="C1591" s="63" t="s">
        <v>8</v>
      </c>
      <c r="D1591" s="63">
        <v>0.33</v>
      </c>
      <c r="E1591" s="63">
        <v>3.3001</v>
      </c>
      <c r="F1591" s="63">
        <v>1E-3</v>
      </c>
      <c r="G1591" s="63" t="s">
        <v>6</v>
      </c>
      <c r="H1591" s="63" t="s">
        <v>4</v>
      </c>
      <c r="I1591" s="63">
        <v>50</v>
      </c>
      <c r="J1591" s="63">
        <v>100.01</v>
      </c>
      <c r="K1591" s="63" t="s">
        <v>10</v>
      </c>
      <c r="L1591" s="63">
        <v>0.38846000000000003</v>
      </c>
      <c r="M1591" s="63">
        <v>2.6152000000000002</v>
      </c>
      <c r="N1591" s="63">
        <v>0.38733000000000001</v>
      </c>
      <c r="O1591" s="64">
        <v>2.6154000000000002</v>
      </c>
    </row>
    <row r="1592" spans="1:15" x14ac:dyDescent="0.25">
      <c r="A1592" s="114" t="s">
        <v>1483</v>
      </c>
      <c r="B1592" s="63" t="s">
        <v>51</v>
      </c>
      <c r="C1592" s="63" t="s">
        <v>8</v>
      </c>
      <c r="D1592" s="63">
        <v>0.33</v>
      </c>
      <c r="E1592" s="63">
        <v>3.3001</v>
      </c>
      <c r="F1592" s="63">
        <v>1E-3</v>
      </c>
      <c r="G1592" s="63" t="s">
        <v>6</v>
      </c>
      <c r="H1592" s="63" t="s">
        <v>4</v>
      </c>
      <c r="I1592" s="63">
        <v>100</v>
      </c>
      <c r="J1592" s="63">
        <v>500</v>
      </c>
      <c r="K1592" s="63" t="s">
        <v>10</v>
      </c>
      <c r="L1592" s="63">
        <v>1.1000000000000001</v>
      </c>
      <c r="M1592" s="63">
        <v>5.7778</v>
      </c>
      <c r="N1592" s="63">
        <v>1.0964</v>
      </c>
      <c r="O1592" s="64">
        <v>5.7779999999999996</v>
      </c>
    </row>
    <row r="1593" spans="1:15" x14ac:dyDescent="0.25">
      <c r="A1593" s="114" t="s">
        <v>2513</v>
      </c>
      <c r="B1593" s="63" t="s">
        <v>51</v>
      </c>
      <c r="C1593" s="63" t="s">
        <v>8</v>
      </c>
      <c r="D1593" s="63">
        <v>0.33</v>
      </c>
      <c r="E1593" s="63">
        <v>3.3001</v>
      </c>
      <c r="F1593" s="63">
        <v>1E-3</v>
      </c>
      <c r="G1593" s="63" t="s">
        <v>6</v>
      </c>
      <c r="H1593" s="63" t="s">
        <v>4</v>
      </c>
      <c r="I1593" s="63">
        <v>500</v>
      </c>
      <c r="J1593" s="63">
        <v>501</v>
      </c>
      <c r="K1593" s="63" t="s">
        <v>10</v>
      </c>
      <c r="L1593" s="63">
        <v>1.1000000000000001</v>
      </c>
      <c r="M1593" s="63">
        <v>5.7778</v>
      </c>
      <c r="N1593" s="63">
        <v>1.0964</v>
      </c>
      <c r="O1593" s="64">
        <v>5.7779999999999996</v>
      </c>
    </row>
    <row r="1594" spans="1:15" x14ac:dyDescent="0.25">
      <c r="A1594" s="114" t="s">
        <v>1504</v>
      </c>
      <c r="B1594" s="63" t="s">
        <v>51</v>
      </c>
      <c r="C1594" s="63" t="s">
        <v>8</v>
      </c>
      <c r="D1594" s="63">
        <v>3.3</v>
      </c>
      <c r="E1594" s="63">
        <v>33.000999999999998</v>
      </c>
      <c r="F1594" s="63">
        <v>1E-3</v>
      </c>
      <c r="G1594" s="63" t="s">
        <v>6</v>
      </c>
      <c r="H1594" s="63" t="s">
        <v>4</v>
      </c>
      <c r="I1594" s="63">
        <v>0.01</v>
      </c>
      <c r="J1594" s="63">
        <v>4.5010000000000001E-2</v>
      </c>
      <c r="K1594" s="63" t="s">
        <v>10</v>
      </c>
      <c r="L1594" s="63">
        <v>0.98726000000000003</v>
      </c>
      <c r="M1594" s="63">
        <v>0.57660999999999996</v>
      </c>
      <c r="N1594" s="63">
        <v>0.98668</v>
      </c>
      <c r="O1594" s="64">
        <v>0.57662000000000002</v>
      </c>
    </row>
    <row r="1595" spans="1:15" x14ac:dyDescent="0.25">
      <c r="A1595" s="114" t="s">
        <v>1502</v>
      </c>
      <c r="B1595" s="63" t="s">
        <v>51</v>
      </c>
      <c r="C1595" s="63" t="s">
        <v>8</v>
      </c>
      <c r="D1595" s="63">
        <v>3.3</v>
      </c>
      <c r="E1595" s="63">
        <v>33.000999999999998</v>
      </c>
      <c r="F1595" s="63">
        <v>1E-3</v>
      </c>
      <c r="G1595" s="63" t="s">
        <v>6</v>
      </c>
      <c r="H1595" s="63" t="s">
        <v>4</v>
      </c>
      <c r="I1595" s="63">
        <v>4.4999999999999998E-2</v>
      </c>
      <c r="J1595" s="63">
        <v>10.00001</v>
      </c>
      <c r="K1595" s="63" t="s">
        <v>10</v>
      </c>
      <c r="L1595" s="63">
        <v>0.78956999999999999</v>
      </c>
      <c r="M1595" s="63">
        <v>0.34543000000000001</v>
      </c>
      <c r="N1595" s="63">
        <v>0.78891</v>
      </c>
      <c r="O1595" s="64">
        <v>0.34543000000000001</v>
      </c>
    </row>
    <row r="1596" spans="1:15" x14ac:dyDescent="0.25">
      <c r="A1596" s="114" t="s">
        <v>2514</v>
      </c>
      <c r="B1596" s="63" t="s">
        <v>51</v>
      </c>
      <c r="C1596" s="63" t="s">
        <v>8</v>
      </c>
      <c r="D1596" s="63">
        <v>3.3</v>
      </c>
      <c r="E1596" s="63">
        <v>33.000999999999998</v>
      </c>
      <c r="F1596" s="63">
        <v>1E-3</v>
      </c>
      <c r="G1596" s="63" t="s">
        <v>6</v>
      </c>
      <c r="H1596" s="63" t="s">
        <v>4</v>
      </c>
      <c r="I1596" s="63">
        <v>10</v>
      </c>
      <c r="J1596" s="63">
        <v>20.010000000000002</v>
      </c>
      <c r="K1596" s="63" t="s">
        <v>10</v>
      </c>
      <c r="L1596" s="63">
        <v>0.74743999999999999</v>
      </c>
      <c r="M1596" s="63">
        <v>0.8075</v>
      </c>
      <c r="N1596" s="63">
        <v>0.74699000000000004</v>
      </c>
      <c r="O1596" s="64">
        <v>0.80750999999999995</v>
      </c>
    </row>
    <row r="1597" spans="1:15" x14ac:dyDescent="0.25">
      <c r="A1597" s="114" t="s">
        <v>1501</v>
      </c>
      <c r="B1597" s="63" t="s">
        <v>51</v>
      </c>
      <c r="C1597" s="63" t="s">
        <v>8</v>
      </c>
      <c r="D1597" s="63">
        <v>3.3</v>
      </c>
      <c r="E1597" s="63">
        <v>33.000999999999998</v>
      </c>
      <c r="F1597" s="63">
        <v>1E-3</v>
      </c>
      <c r="G1597" s="63" t="s">
        <v>6</v>
      </c>
      <c r="H1597" s="63" t="s">
        <v>4</v>
      </c>
      <c r="I1597" s="63">
        <v>20</v>
      </c>
      <c r="J1597" s="63">
        <v>50.01</v>
      </c>
      <c r="K1597" s="63" t="s">
        <v>10</v>
      </c>
      <c r="L1597" s="63">
        <v>0.73465999999999998</v>
      </c>
      <c r="M1597" s="63">
        <v>1.1553</v>
      </c>
      <c r="N1597" s="63">
        <v>0.73165000000000002</v>
      </c>
      <c r="O1597" s="64">
        <v>1.1554</v>
      </c>
    </row>
    <row r="1598" spans="1:15" x14ac:dyDescent="0.25">
      <c r="A1598" s="114" t="s">
        <v>1503</v>
      </c>
      <c r="B1598" s="63" t="s">
        <v>51</v>
      </c>
      <c r="C1598" s="63" t="s">
        <v>8</v>
      </c>
      <c r="D1598" s="63">
        <v>3.3</v>
      </c>
      <c r="E1598" s="63">
        <v>33.000999999999998</v>
      </c>
      <c r="F1598" s="63">
        <v>1E-3</v>
      </c>
      <c r="G1598" s="63" t="s">
        <v>6</v>
      </c>
      <c r="H1598" s="63" t="s">
        <v>4</v>
      </c>
      <c r="I1598" s="63">
        <v>50</v>
      </c>
      <c r="J1598" s="63">
        <v>100.01</v>
      </c>
      <c r="K1598" s="63" t="s">
        <v>10</v>
      </c>
      <c r="L1598" s="63">
        <v>2.3264999999999998</v>
      </c>
      <c r="M1598" s="63">
        <v>2.6572</v>
      </c>
      <c r="N1598" s="63">
        <v>2.3233999999999999</v>
      </c>
      <c r="O1598" s="64">
        <v>2.6573000000000002</v>
      </c>
    </row>
    <row r="1599" spans="1:15" x14ac:dyDescent="0.25">
      <c r="A1599" s="114" t="s">
        <v>1499</v>
      </c>
      <c r="B1599" s="63" t="s">
        <v>51</v>
      </c>
      <c r="C1599" s="63" t="s">
        <v>8</v>
      </c>
      <c r="D1599" s="63">
        <v>3.3</v>
      </c>
      <c r="E1599" s="63">
        <v>33.000999999999998</v>
      </c>
      <c r="F1599" s="63">
        <v>1E-3</v>
      </c>
      <c r="G1599" s="63" t="s">
        <v>6</v>
      </c>
      <c r="H1599" s="63" t="s">
        <v>4</v>
      </c>
      <c r="I1599" s="63">
        <v>100</v>
      </c>
      <c r="J1599" s="63">
        <v>500</v>
      </c>
      <c r="K1599" s="63" t="s">
        <v>10</v>
      </c>
      <c r="L1599" s="63">
        <v>13</v>
      </c>
      <c r="M1599" s="63">
        <v>4.5999999999999996</v>
      </c>
      <c r="N1599" s="63">
        <v>2.3500999999999999</v>
      </c>
      <c r="O1599" s="64">
        <v>2.6989999999999998</v>
      </c>
    </row>
    <row r="1600" spans="1:15" x14ac:dyDescent="0.25">
      <c r="A1600" s="114" t="s">
        <v>1500</v>
      </c>
      <c r="B1600" s="63" t="s">
        <v>51</v>
      </c>
      <c r="C1600" s="63" t="s">
        <v>8</v>
      </c>
      <c r="D1600" s="63">
        <v>3.3</v>
      </c>
      <c r="E1600" s="63">
        <v>33.000999999999998</v>
      </c>
      <c r="F1600" s="63">
        <v>1E-3</v>
      </c>
      <c r="G1600" s="63" t="s">
        <v>6</v>
      </c>
      <c r="H1600" s="63" t="s">
        <v>4</v>
      </c>
      <c r="I1600" s="63">
        <v>500</v>
      </c>
      <c r="J1600" s="63">
        <v>501</v>
      </c>
      <c r="K1600" s="63" t="s">
        <v>10</v>
      </c>
      <c r="L1600" s="63">
        <v>13</v>
      </c>
      <c r="M1600" s="63">
        <v>4.5999999999999996</v>
      </c>
      <c r="N1600" s="63">
        <v>2.3500999999999999</v>
      </c>
      <c r="O1600" s="64">
        <v>2.6989999999999998</v>
      </c>
    </row>
    <row r="1601" spans="1:15" x14ac:dyDescent="0.25">
      <c r="A1601" s="114" t="s">
        <v>1523</v>
      </c>
      <c r="B1601" s="63" t="s">
        <v>51</v>
      </c>
      <c r="C1601" s="63" t="s">
        <v>8</v>
      </c>
      <c r="D1601" s="63">
        <v>33</v>
      </c>
      <c r="E1601" s="63">
        <v>330.01</v>
      </c>
      <c r="F1601" s="63">
        <v>1E-3</v>
      </c>
      <c r="G1601" s="63" t="s">
        <v>6</v>
      </c>
      <c r="H1601" s="63" t="s">
        <v>4</v>
      </c>
      <c r="I1601" s="63">
        <v>0.01</v>
      </c>
      <c r="J1601" s="63">
        <v>4.5010000000000001E-2</v>
      </c>
      <c r="K1601" s="63" t="s">
        <v>10</v>
      </c>
      <c r="L1601" s="63">
        <v>3.5</v>
      </c>
      <c r="M1601" s="63">
        <v>0.57999999999999996</v>
      </c>
      <c r="N1601" s="63">
        <v>3.4704999999999999</v>
      </c>
      <c r="O1601" s="64">
        <v>0.57867999999999997</v>
      </c>
    </row>
    <row r="1602" spans="1:15" x14ac:dyDescent="0.25">
      <c r="A1602" s="114" t="s">
        <v>1520</v>
      </c>
      <c r="B1602" s="63" t="s">
        <v>51</v>
      </c>
      <c r="C1602" s="63" t="s">
        <v>8</v>
      </c>
      <c r="D1602" s="63">
        <v>33</v>
      </c>
      <c r="E1602" s="63">
        <v>330.01</v>
      </c>
      <c r="F1602" s="63">
        <v>1E-3</v>
      </c>
      <c r="G1602" s="63" t="s">
        <v>6</v>
      </c>
      <c r="H1602" s="63" t="s">
        <v>4</v>
      </c>
      <c r="I1602" s="63">
        <v>4.4999999999999998E-2</v>
      </c>
      <c r="J1602" s="63">
        <v>10.00001</v>
      </c>
      <c r="K1602" s="63" t="s">
        <v>10</v>
      </c>
      <c r="L1602" s="63">
        <v>12</v>
      </c>
      <c r="M1602" s="63">
        <v>0.92</v>
      </c>
      <c r="N1602" s="63">
        <v>10.393000000000001</v>
      </c>
      <c r="O1602" s="64">
        <v>0.92459000000000002</v>
      </c>
    </row>
    <row r="1603" spans="1:15" x14ac:dyDescent="0.25">
      <c r="A1603" s="114" t="s">
        <v>1522</v>
      </c>
      <c r="B1603" s="63" t="s">
        <v>51</v>
      </c>
      <c r="C1603" s="63" t="s">
        <v>8</v>
      </c>
      <c r="D1603" s="63">
        <v>33</v>
      </c>
      <c r="E1603" s="63">
        <v>330.01</v>
      </c>
      <c r="F1603" s="63">
        <v>1E-3</v>
      </c>
      <c r="G1603" s="63" t="s">
        <v>6</v>
      </c>
      <c r="H1603" s="63" t="s">
        <v>4</v>
      </c>
      <c r="I1603" s="63">
        <v>10</v>
      </c>
      <c r="J1603" s="63">
        <v>20.010000000000002</v>
      </c>
      <c r="K1603" s="63" t="s">
        <v>10</v>
      </c>
      <c r="L1603" s="63">
        <v>24</v>
      </c>
      <c r="M1603" s="63">
        <v>1</v>
      </c>
      <c r="N1603" s="63">
        <v>10.388</v>
      </c>
      <c r="O1603" s="64">
        <v>1.04</v>
      </c>
    </row>
    <row r="1604" spans="1:15" x14ac:dyDescent="0.25">
      <c r="A1604" s="114" t="s">
        <v>1525</v>
      </c>
      <c r="B1604" s="63" t="s">
        <v>51</v>
      </c>
      <c r="C1604" s="63" t="s">
        <v>8</v>
      </c>
      <c r="D1604" s="63">
        <v>33</v>
      </c>
      <c r="E1604" s="63">
        <v>330.01</v>
      </c>
      <c r="F1604" s="63">
        <v>1E-3</v>
      </c>
      <c r="G1604" s="63" t="s">
        <v>6</v>
      </c>
      <c r="H1604" s="63" t="s">
        <v>4</v>
      </c>
      <c r="I1604" s="63">
        <v>20</v>
      </c>
      <c r="J1604" s="63">
        <v>50.01</v>
      </c>
      <c r="K1604" s="63" t="s">
        <v>10</v>
      </c>
      <c r="L1604" s="63">
        <v>22</v>
      </c>
      <c r="M1604" s="63">
        <v>1.4</v>
      </c>
      <c r="N1604" s="63">
        <v>10.266</v>
      </c>
      <c r="O1604" s="64">
        <v>1.3912</v>
      </c>
    </row>
    <row r="1605" spans="1:15" x14ac:dyDescent="0.25">
      <c r="A1605" s="114" t="s">
        <v>1524</v>
      </c>
      <c r="B1605" s="63" t="s">
        <v>51</v>
      </c>
      <c r="C1605" s="63" t="s">
        <v>8</v>
      </c>
      <c r="D1605" s="63">
        <v>33</v>
      </c>
      <c r="E1605" s="63">
        <v>330.01</v>
      </c>
      <c r="F1605" s="63">
        <v>1E-3</v>
      </c>
      <c r="G1605" s="63" t="s">
        <v>6</v>
      </c>
      <c r="H1605" s="63" t="s">
        <v>4</v>
      </c>
      <c r="I1605" s="63">
        <v>50</v>
      </c>
      <c r="J1605" s="63">
        <v>100</v>
      </c>
      <c r="K1605" s="63" t="s">
        <v>10</v>
      </c>
      <c r="L1605" s="63">
        <v>92</v>
      </c>
      <c r="M1605" s="63">
        <v>2.8</v>
      </c>
      <c r="N1605" s="63">
        <v>91.936999999999998</v>
      </c>
      <c r="O1605" s="64">
        <v>2.7856000000000001</v>
      </c>
    </row>
    <row r="1606" spans="1:15" x14ac:dyDescent="0.25">
      <c r="A1606" s="114" t="s">
        <v>1521</v>
      </c>
      <c r="B1606" s="63" t="s">
        <v>51</v>
      </c>
      <c r="C1606" s="63" t="s">
        <v>8</v>
      </c>
      <c r="D1606" s="63">
        <v>33</v>
      </c>
      <c r="E1606" s="63">
        <v>330.01</v>
      </c>
      <c r="F1606" s="63">
        <v>1E-3</v>
      </c>
      <c r="G1606" s="63" t="s">
        <v>6</v>
      </c>
      <c r="H1606" s="63" t="s">
        <v>4</v>
      </c>
      <c r="I1606" s="63">
        <v>100</v>
      </c>
      <c r="J1606" s="63">
        <v>100.1</v>
      </c>
      <c r="K1606" s="63" t="s">
        <v>10</v>
      </c>
      <c r="L1606" s="63">
        <v>92</v>
      </c>
      <c r="M1606" s="63">
        <v>2.8</v>
      </c>
      <c r="N1606" s="63">
        <v>91.936999999999998</v>
      </c>
      <c r="O1606" s="64">
        <v>2.7856000000000001</v>
      </c>
    </row>
    <row r="1607" spans="1:15" x14ac:dyDescent="0.25">
      <c r="A1607" s="114" t="s">
        <v>2515</v>
      </c>
      <c r="B1607" s="63" t="s">
        <v>51</v>
      </c>
      <c r="C1607" s="63" t="s">
        <v>8</v>
      </c>
      <c r="D1607" s="63">
        <v>330</v>
      </c>
      <c r="E1607" s="63">
        <v>1020.01</v>
      </c>
      <c r="F1607" s="63">
        <v>1E-3</v>
      </c>
      <c r="G1607" s="63" t="s">
        <v>6</v>
      </c>
      <c r="H1607" s="63" t="s">
        <v>4</v>
      </c>
      <c r="I1607" s="63">
        <v>4.4999999999999998E-2</v>
      </c>
      <c r="J1607" s="63">
        <v>1.0000100000000001</v>
      </c>
      <c r="K1607" s="63" t="s">
        <v>10</v>
      </c>
      <c r="L1607" s="63">
        <v>24</v>
      </c>
      <c r="M1607" s="63">
        <v>0.57999999999999996</v>
      </c>
      <c r="N1607" s="63">
        <v>23.335000000000001</v>
      </c>
      <c r="O1607" s="64">
        <v>0.57833999999999997</v>
      </c>
    </row>
    <row r="1608" spans="1:15" x14ac:dyDescent="0.25">
      <c r="A1608" s="114" t="s">
        <v>1545</v>
      </c>
      <c r="B1608" s="63" t="s">
        <v>51</v>
      </c>
      <c r="C1608" s="63" t="s">
        <v>8</v>
      </c>
      <c r="D1608" s="63">
        <v>330</v>
      </c>
      <c r="E1608" s="63">
        <v>1020.01</v>
      </c>
      <c r="F1608" s="63">
        <v>1E-3</v>
      </c>
      <c r="G1608" s="63" t="s">
        <v>6</v>
      </c>
      <c r="H1608" s="63" t="s">
        <v>4</v>
      </c>
      <c r="I1608" s="63">
        <v>1</v>
      </c>
      <c r="J1608" s="63">
        <v>5.01</v>
      </c>
      <c r="K1608" s="63" t="s">
        <v>10</v>
      </c>
      <c r="L1608" s="63">
        <v>28</v>
      </c>
      <c r="M1608" s="63">
        <v>0.92</v>
      </c>
      <c r="N1608" s="63">
        <v>23.262</v>
      </c>
      <c r="O1608" s="64">
        <v>0.92437000000000002</v>
      </c>
    </row>
    <row r="1609" spans="1:15" x14ac:dyDescent="0.25">
      <c r="A1609" s="114" t="s">
        <v>1544</v>
      </c>
      <c r="B1609" s="63" t="s">
        <v>51</v>
      </c>
      <c r="C1609" s="63" t="s">
        <v>8</v>
      </c>
      <c r="D1609" s="63">
        <v>330</v>
      </c>
      <c r="E1609" s="63">
        <v>1020.01</v>
      </c>
      <c r="F1609" s="63">
        <v>1E-3</v>
      </c>
      <c r="G1609" s="63" t="s">
        <v>6</v>
      </c>
      <c r="H1609" s="63" t="s">
        <v>4</v>
      </c>
      <c r="I1609" s="63">
        <v>5</v>
      </c>
      <c r="J1609" s="63">
        <v>10.01</v>
      </c>
      <c r="K1609" s="63" t="s">
        <v>10</v>
      </c>
      <c r="L1609" s="63">
        <v>64</v>
      </c>
      <c r="M1609" s="63">
        <v>1</v>
      </c>
      <c r="N1609" s="63">
        <v>23.23</v>
      </c>
      <c r="O1609" s="64">
        <v>1.0398000000000001</v>
      </c>
    </row>
    <row r="1610" spans="1:15" x14ac:dyDescent="0.25">
      <c r="A1610" s="114" t="s">
        <v>1546</v>
      </c>
      <c r="B1610" s="63" t="s">
        <v>51</v>
      </c>
      <c r="C1610" s="63" t="s">
        <v>8</v>
      </c>
      <c r="D1610" s="63">
        <v>330</v>
      </c>
      <c r="E1610" s="63">
        <v>1020.01</v>
      </c>
      <c r="F1610" s="63">
        <v>1E-3</v>
      </c>
      <c r="G1610" s="63" t="s">
        <v>6</v>
      </c>
      <c r="H1610" s="63" t="s">
        <v>4</v>
      </c>
      <c r="I1610" s="63">
        <v>10</v>
      </c>
      <c r="J1610" s="63">
        <v>10.01</v>
      </c>
      <c r="K1610" s="63" t="s">
        <v>10</v>
      </c>
      <c r="L1610" s="63">
        <v>64</v>
      </c>
      <c r="M1610" s="63">
        <v>1</v>
      </c>
      <c r="N1610" s="63">
        <v>23.23</v>
      </c>
      <c r="O1610" s="64">
        <v>1.0398000000000001</v>
      </c>
    </row>
    <row r="1611" spans="1:15" x14ac:dyDescent="0.25">
      <c r="A1611" s="114" t="s">
        <v>1422</v>
      </c>
      <c r="B1611" s="63" t="s">
        <v>51</v>
      </c>
      <c r="C1611" s="63" t="s">
        <v>8</v>
      </c>
      <c r="D1611" s="63">
        <v>0</v>
      </c>
      <c r="E1611" s="63">
        <v>3.3009999999999998E-2</v>
      </c>
      <c r="F1611" s="63">
        <v>0.01</v>
      </c>
      <c r="G1611" s="63" t="s">
        <v>6</v>
      </c>
      <c r="H1611" s="63" t="s">
        <v>5</v>
      </c>
      <c r="I1611" s="63">
        <v>0.01</v>
      </c>
      <c r="J1611" s="63">
        <v>4.5010000000000001E-2</v>
      </c>
      <c r="K1611" s="63" t="s">
        <v>10</v>
      </c>
      <c r="L1611" s="63">
        <v>5800</v>
      </c>
      <c r="M1611" s="63">
        <v>16.202000000000002</v>
      </c>
      <c r="N1611" s="63">
        <v>5800</v>
      </c>
      <c r="O1611" s="64">
        <v>15.714</v>
      </c>
    </row>
    <row r="1612" spans="1:15" x14ac:dyDescent="0.25">
      <c r="A1612" s="114" t="s">
        <v>2516</v>
      </c>
      <c r="B1612" s="63" t="s">
        <v>51</v>
      </c>
      <c r="C1612" s="63" t="s">
        <v>8</v>
      </c>
      <c r="D1612" s="63">
        <v>0</v>
      </c>
      <c r="E1612" s="63">
        <v>3.3009999999999998E-2</v>
      </c>
      <c r="F1612" s="63">
        <v>0.01</v>
      </c>
      <c r="G1612" s="63" t="s">
        <v>6</v>
      </c>
      <c r="H1612" s="63" t="s">
        <v>5</v>
      </c>
      <c r="I1612" s="63">
        <v>4.4999999999999998E-2</v>
      </c>
      <c r="J1612" s="63">
        <v>10.00001</v>
      </c>
      <c r="K1612" s="63" t="s">
        <v>10</v>
      </c>
      <c r="L1612" s="63">
        <v>5800.1</v>
      </c>
      <c r="M1612" s="63">
        <v>9.0181000000000004</v>
      </c>
      <c r="N1612" s="63">
        <v>5800.1</v>
      </c>
      <c r="O1612" s="64">
        <v>8.5306999999999995</v>
      </c>
    </row>
    <row r="1613" spans="1:15" x14ac:dyDescent="0.25">
      <c r="A1613" s="114" t="s">
        <v>1419</v>
      </c>
      <c r="B1613" s="63" t="s">
        <v>51</v>
      </c>
      <c r="C1613" s="63" t="s">
        <v>8</v>
      </c>
      <c r="D1613" s="63">
        <v>0</v>
      </c>
      <c r="E1613" s="63">
        <v>3.3009999999999998E-2</v>
      </c>
      <c r="F1613" s="63">
        <v>0.01</v>
      </c>
      <c r="G1613" s="63" t="s">
        <v>6</v>
      </c>
      <c r="H1613" s="63" t="s">
        <v>5</v>
      </c>
      <c r="I1613" s="63">
        <v>10</v>
      </c>
      <c r="J1613" s="63">
        <v>20.010000000000002</v>
      </c>
      <c r="K1613" s="63" t="s">
        <v>10</v>
      </c>
      <c r="L1613" s="63">
        <v>5800</v>
      </c>
      <c r="M1613" s="63">
        <v>16.202000000000002</v>
      </c>
      <c r="N1613" s="63">
        <v>5800</v>
      </c>
      <c r="O1613" s="64">
        <v>15.714</v>
      </c>
    </row>
    <row r="1614" spans="1:15" x14ac:dyDescent="0.25">
      <c r="A1614" s="114" t="s">
        <v>1420</v>
      </c>
      <c r="B1614" s="63" t="s">
        <v>51</v>
      </c>
      <c r="C1614" s="63" t="s">
        <v>8</v>
      </c>
      <c r="D1614" s="63">
        <v>0</v>
      </c>
      <c r="E1614" s="63">
        <v>3.3009999999999998E-2</v>
      </c>
      <c r="F1614" s="63">
        <v>0.01</v>
      </c>
      <c r="G1614" s="63" t="s">
        <v>6</v>
      </c>
      <c r="H1614" s="63" t="s">
        <v>5</v>
      </c>
      <c r="I1614" s="63">
        <v>20</v>
      </c>
      <c r="J1614" s="63">
        <v>50.01</v>
      </c>
      <c r="K1614" s="63" t="s">
        <v>10</v>
      </c>
      <c r="L1614" s="63">
        <v>5800</v>
      </c>
      <c r="M1614" s="63">
        <v>25.350999999999999</v>
      </c>
      <c r="N1614" s="63">
        <v>5800</v>
      </c>
      <c r="O1614" s="64">
        <v>24.864000000000001</v>
      </c>
    </row>
    <row r="1615" spans="1:15" x14ac:dyDescent="0.25">
      <c r="A1615" s="114" t="s">
        <v>1421</v>
      </c>
      <c r="B1615" s="63" t="s">
        <v>51</v>
      </c>
      <c r="C1615" s="63" t="s">
        <v>8</v>
      </c>
      <c r="D1615" s="63">
        <v>0</v>
      </c>
      <c r="E1615" s="63">
        <v>3.3009999999999998E-2</v>
      </c>
      <c r="F1615" s="63">
        <v>0.01</v>
      </c>
      <c r="G1615" s="63" t="s">
        <v>6</v>
      </c>
      <c r="H1615" s="63" t="s">
        <v>5</v>
      </c>
      <c r="I1615" s="63">
        <v>50</v>
      </c>
      <c r="J1615" s="63">
        <v>100.01</v>
      </c>
      <c r="K1615" s="63" t="s">
        <v>10</v>
      </c>
      <c r="L1615" s="63">
        <v>5800.1</v>
      </c>
      <c r="M1615" s="63">
        <v>75.275000000000006</v>
      </c>
      <c r="N1615" s="63">
        <v>5800.1</v>
      </c>
      <c r="O1615" s="64">
        <v>74.549000000000007</v>
      </c>
    </row>
    <row r="1616" spans="1:15" x14ac:dyDescent="0.25">
      <c r="A1616" s="114" t="s">
        <v>2517</v>
      </c>
      <c r="B1616" s="63" t="s">
        <v>51</v>
      </c>
      <c r="C1616" s="63" t="s">
        <v>8</v>
      </c>
      <c r="D1616" s="63">
        <v>0</v>
      </c>
      <c r="E1616" s="63">
        <v>3.3009999999999998E-2</v>
      </c>
      <c r="F1616" s="63">
        <v>0.01</v>
      </c>
      <c r="G1616" s="63" t="s">
        <v>6</v>
      </c>
      <c r="H1616" s="63" t="s">
        <v>5</v>
      </c>
      <c r="I1616" s="63">
        <v>100</v>
      </c>
      <c r="J1616" s="63">
        <v>500</v>
      </c>
      <c r="K1616" s="63" t="s">
        <v>10</v>
      </c>
      <c r="L1616" s="63">
        <v>5800.1</v>
      </c>
      <c r="M1616" s="63">
        <v>530.77</v>
      </c>
      <c r="N1616" s="63">
        <v>5800.1</v>
      </c>
      <c r="O1616" s="64">
        <v>529.12</v>
      </c>
    </row>
    <row r="1617" spans="1:15" x14ac:dyDescent="0.25">
      <c r="A1617" s="114" t="s">
        <v>1418</v>
      </c>
      <c r="B1617" s="63" t="s">
        <v>51</v>
      </c>
      <c r="C1617" s="63" t="s">
        <v>8</v>
      </c>
      <c r="D1617" s="63">
        <v>0</v>
      </c>
      <c r="E1617" s="63">
        <v>3.3009999999999998E-2</v>
      </c>
      <c r="F1617" s="63">
        <v>0.01</v>
      </c>
      <c r="G1617" s="63" t="s">
        <v>6</v>
      </c>
      <c r="H1617" s="63" t="s">
        <v>5</v>
      </c>
      <c r="I1617" s="63">
        <v>500</v>
      </c>
      <c r="J1617" s="63">
        <v>501</v>
      </c>
      <c r="K1617" s="63" t="s">
        <v>10</v>
      </c>
      <c r="L1617" s="63">
        <v>5800.1</v>
      </c>
      <c r="M1617" s="63">
        <v>530.77</v>
      </c>
      <c r="N1617" s="63">
        <v>5800.1</v>
      </c>
      <c r="O1617" s="64">
        <v>529.12</v>
      </c>
    </row>
    <row r="1618" spans="1:15" x14ac:dyDescent="0.25">
      <c r="A1618" s="114" t="s">
        <v>1465</v>
      </c>
      <c r="B1618" s="63" t="s">
        <v>51</v>
      </c>
      <c r="C1618" s="63" t="s">
        <v>8</v>
      </c>
      <c r="D1618" s="63">
        <v>3.3000000000000002E-2</v>
      </c>
      <c r="E1618" s="63">
        <v>0.33001000000000003</v>
      </c>
      <c r="F1618" s="63">
        <v>0.01</v>
      </c>
      <c r="G1618" s="63" t="s">
        <v>6</v>
      </c>
      <c r="H1618" s="63" t="s">
        <v>5</v>
      </c>
      <c r="I1618" s="63">
        <v>0.01</v>
      </c>
      <c r="J1618" s="63">
        <v>4.5010000000000001E-2</v>
      </c>
      <c r="K1618" s="63" t="s">
        <v>10</v>
      </c>
      <c r="L1618" s="63">
        <v>5799.8</v>
      </c>
      <c r="M1618" s="63">
        <v>12.763</v>
      </c>
      <c r="N1618" s="63">
        <v>577.47</v>
      </c>
      <c r="O1618" s="64">
        <v>12.763</v>
      </c>
    </row>
    <row r="1619" spans="1:15" x14ac:dyDescent="0.25">
      <c r="A1619" s="114" t="s">
        <v>1469</v>
      </c>
      <c r="B1619" s="63" t="s">
        <v>51</v>
      </c>
      <c r="C1619" s="63" t="s">
        <v>8</v>
      </c>
      <c r="D1619" s="63">
        <v>3.3000000000000002E-2</v>
      </c>
      <c r="E1619" s="63">
        <v>0.33001000000000003</v>
      </c>
      <c r="F1619" s="63">
        <v>0.01</v>
      </c>
      <c r="G1619" s="63" t="s">
        <v>6</v>
      </c>
      <c r="H1619" s="63" t="s">
        <v>5</v>
      </c>
      <c r="I1619" s="63">
        <v>4.4999999999999998E-2</v>
      </c>
      <c r="J1619" s="63">
        <v>10.00001</v>
      </c>
      <c r="K1619" s="63" t="s">
        <v>10</v>
      </c>
      <c r="L1619" s="63">
        <v>5800</v>
      </c>
      <c r="M1619" s="63">
        <v>5.1718000000000002</v>
      </c>
      <c r="N1619" s="63">
        <v>5799.9</v>
      </c>
      <c r="O1619" s="64">
        <v>5.1718000000000002</v>
      </c>
    </row>
    <row r="1620" spans="1:15" x14ac:dyDescent="0.25">
      <c r="A1620" s="114" t="s">
        <v>2518</v>
      </c>
      <c r="B1620" s="63" t="s">
        <v>51</v>
      </c>
      <c r="C1620" s="63" t="s">
        <v>8</v>
      </c>
      <c r="D1620" s="63">
        <v>3.3000000000000002E-2</v>
      </c>
      <c r="E1620" s="63">
        <v>0.33001000000000003</v>
      </c>
      <c r="F1620" s="63">
        <v>0.01</v>
      </c>
      <c r="G1620" s="63" t="s">
        <v>6</v>
      </c>
      <c r="H1620" s="63" t="s">
        <v>5</v>
      </c>
      <c r="I1620" s="63">
        <v>10</v>
      </c>
      <c r="J1620" s="63">
        <v>20.010000000000002</v>
      </c>
      <c r="K1620" s="63" t="s">
        <v>10</v>
      </c>
      <c r="L1620" s="63">
        <v>5799.5</v>
      </c>
      <c r="M1620" s="63">
        <v>23.686</v>
      </c>
      <c r="N1620" s="63">
        <v>5799.4</v>
      </c>
      <c r="O1620" s="64">
        <v>23.686</v>
      </c>
    </row>
    <row r="1621" spans="1:15" x14ac:dyDescent="0.25">
      <c r="A1621" s="114" t="s">
        <v>1467</v>
      </c>
      <c r="B1621" s="63" t="s">
        <v>51</v>
      </c>
      <c r="C1621" s="63" t="s">
        <v>8</v>
      </c>
      <c r="D1621" s="63">
        <v>3.3000000000000002E-2</v>
      </c>
      <c r="E1621" s="63">
        <v>0.33001000000000003</v>
      </c>
      <c r="F1621" s="63">
        <v>0.01</v>
      </c>
      <c r="G1621" s="63" t="s">
        <v>6</v>
      </c>
      <c r="H1621" s="63" t="s">
        <v>5</v>
      </c>
      <c r="I1621" s="63">
        <v>20</v>
      </c>
      <c r="J1621" s="63">
        <v>50.01</v>
      </c>
      <c r="K1621" s="63" t="s">
        <v>10</v>
      </c>
      <c r="L1621" s="63">
        <v>5799</v>
      </c>
      <c r="M1621" s="63">
        <v>51.02</v>
      </c>
      <c r="N1621" s="63">
        <v>5798.9</v>
      </c>
      <c r="O1621" s="64">
        <v>50.942</v>
      </c>
    </row>
    <row r="1622" spans="1:15" x14ac:dyDescent="0.25">
      <c r="A1622" s="114" t="s">
        <v>1468</v>
      </c>
      <c r="B1622" s="63" t="s">
        <v>51</v>
      </c>
      <c r="C1622" s="63" t="s">
        <v>8</v>
      </c>
      <c r="D1622" s="63">
        <v>3.3000000000000002E-2</v>
      </c>
      <c r="E1622" s="63">
        <v>0.33001000000000003</v>
      </c>
      <c r="F1622" s="63">
        <v>0.01</v>
      </c>
      <c r="G1622" s="63" t="s">
        <v>6</v>
      </c>
      <c r="H1622" s="63" t="s">
        <v>5</v>
      </c>
      <c r="I1622" s="63">
        <v>50</v>
      </c>
      <c r="J1622" s="63">
        <v>100.01</v>
      </c>
      <c r="K1622" s="63" t="s">
        <v>10</v>
      </c>
      <c r="L1622" s="63">
        <v>5796.8</v>
      </c>
      <c r="M1622" s="63">
        <v>308.19</v>
      </c>
      <c r="N1622" s="63">
        <v>5796.8</v>
      </c>
      <c r="O1622" s="64">
        <v>308.02</v>
      </c>
    </row>
    <row r="1623" spans="1:15" x14ac:dyDescent="0.25">
      <c r="A1623" s="114" t="s">
        <v>1466</v>
      </c>
      <c r="B1623" s="63" t="s">
        <v>51</v>
      </c>
      <c r="C1623" s="63" t="s">
        <v>8</v>
      </c>
      <c r="D1623" s="63">
        <v>3.3000000000000002E-2</v>
      </c>
      <c r="E1623" s="63">
        <v>0.33001000000000003</v>
      </c>
      <c r="F1623" s="63">
        <v>0.01</v>
      </c>
      <c r="G1623" s="63" t="s">
        <v>6</v>
      </c>
      <c r="H1623" s="63" t="s">
        <v>5</v>
      </c>
      <c r="I1623" s="63">
        <v>100</v>
      </c>
      <c r="J1623" s="63">
        <v>500</v>
      </c>
      <c r="K1623" s="63" t="s">
        <v>10</v>
      </c>
      <c r="L1623" s="63">
        <v>5783</v>
      </c>
      <c r="M1623" s="63">
        <v>1371.2</v>
      </c>
      <c r="N1623" s="63">
        <v>5783</v>
      </c>
      <c r="O1623" s="64">
        <v>1370.9</v>
      </c>
    </row>
    <row r="1624" spans="1:15" x14ac:dyDescent="0.25">
      <c r="A1624" s="114" t="s">
        <v>2519</v>
      </c>
      <c r="B1624" s="63" t="s">
        <v>51</v>
      </c>
      <c r="C1624" s="63" t="s">
        <v>8</v>
      </c>
      <c r="D1624" s="63">
        <v>3.3000000000000002E-2</v>
      </c>
      <c r="E1624" s="63">
        <v>0.33001000000000003</v>
      </c>
      <c r="F1624" s="63">
        <v>0.01</v>
      </c>
      <c r="G1624" s="63" t="s">
        <v>6</v>
      </c>
      <c r="H1624" s="63" t="s">
        <v>5</v>
      </c>
      <c r="I1624" s="63">
        <v>500</v>
      </c>
      <c r="J1624" s="63">
        <v>501</v>
      </c>
      <c r="K1624" s="63" t="s">
        <v>10</v>
      </c>
      <c r="L1624" s="63">
        <v>5783</v>
      </c>
      <c r="M1624" s="63">
        <v>1371.2</v>
      </c>
      <c r="N1624" s="63">
        <v>5783</v>
      </c>
      <c r="O1624" s="64">
        <v>1370.9</v>
      </c>
    </row>
    <row r="1625" spans="1:15" x14ac:dyDescent="0.25">
      <c r="A1625" s="114" t="s">
        <v>1487</v>
      </c>
      <c r="B1625" s="63" t="s">
        <v>51</v>
      </c>
      <c r="C1625" s="63" t="s">
        <v>8</v>
      </c>
      <c r="D1625" s="63">
        <v>0.33</v>
      </c>
      <c r="E1625" s="63">
        <v>3.3001</v>
      </c>
      <c r="F1625" s="63">
        <v>0.01</v>
      </c>
      <c r="G1625" s="63" t="s">
        <v>6</v>
      </c>
      <c r="H1625" s="63" t="s">
        <v>4</v>
      </c>
      <c r="I1625" s="63">
        <v>0.01</v>
      </c>
      <c r="J1625" s="63">
        <v>4.5010000000000001E-2</v>
      </c>
      <c r="K1625" s="63" t="s">
        <v>10</v>
      </c>
      <c r="L1625" s="63">
        <v>5.7718999999999996</v>
      </c>
      <c r="M1625" s="63">
        <v>0.10338</v>
      </c>
      <c r="N1625" s="63">
        <v>5.7717000000000001</v>
      </c>
      <c r="O1625" s="64">
        <v>0.10332</v>
      </c>
    </row>
    <row r="1626" spans="1:15" x14ac:dyDescent="0.25">
      <c r="A1626" s="114" t="s">
        <v>1488</v>
      </c>
      <c r="B1626" s="63" t="s">
        <v>51</v>
      </c>
      <c r="C1626" s="63" t="s">
        <v>8</v>
      </c>
      <c r="D1626" s="63">
        <v>0.33</v>
      </c>
      <c r="E1626" s="63">
        <v>3.3001</v>
      </c>
      <c r="F1626" s="63">
        <v>0.01</v>
      </c>
      <c r="G1626" s="63" t="s">
        <v>6</v>
      </c>
      <c r="H1626" s="63" t="s">
        <v>4</v>
      </c>
      <c r="I1626" s="63">
        <v>4.4999999999999998E-2</v>
      </c>
      <c r="J1626" s="63">
        <v>10.00001</v>
      </c>
      <c r="K1626" s="63" t="s">
        <v>10</v>
      </c>
      <c r="L1626" s="63">
        <v>5.7893999999999997</v>
      </c>
      <c r="M1626" s="63">
        <v>4.1576000000000002E-2</v>
      </c>
      <c r="N1626" s="63">
        <v>5.7892000000000001</v>
      </c>
      <c r="O1626" s="64">
        <v>4.1502999999999998E-2</v>
      </c>
    </row>
    <row r="1627" spans="1:15" x14ac:dyDescent="0.25">
      <c r="A1627" s="114" t="s">
        <v>1489</v>
      </c>
      <c r="B1627" s="63" t="s">
        <v>51</v>
      </c>
      <c r="C1627" s="63" t="s">
        <v>8</v>
      </c>
      <c r="D1627" s="63">
        <v>0.33</v>
      </c>
      <c r="E1627" s="63">
        <v>3.3001</v>
      </c>
      <c r="F1627" s="63">
        <v>0.01</v>
      </c>
      <c r="G1627" s="63" t="s">
        <v>6</v>
      </c>
      <c r="H1627" s="63" t="s">
        <v>4</v>
      </c>
      <c r="I1627" s="63">
        <v>10</v>
      </c>
      <c r="J1627" s="63">
        <v>20.010000000000002</v>
      </c>
      <c r="K1627" s="63" t="s">
        <v>10</v>
      </c>
      <c r="L1627" s="63">
        <v>5.7427999999999999</v>
      </c>
      <c r="M1627" s="63">
        <v>0.20349999999999999</v>
      </c>
      <c r="N1627" s="63">
        <v>5.7426000000000004</v>
      </c>
      <c r="O1627" s="64">
        <v>0.20344000000000001</v>
      </c>
    </row>
    <row r="1628" spans="1:15" x14ac:dyDescent="0.25">
      <c r="A1628" s="114" t="s">
        <v>1485</v>
      </c>
      <c r="B1628" s="63" t="s">
        <v>51</v>
      </c>
      <c r="C1628" s="63" t="s">
        <v>8</v>
      </c>
      <c r="D1628" s="63">
        <v>0.33</v>
      </c>
      <c r="E1628" s="63">
        <v>3.3001</v>
      </c>
      <c r="F1628" s="63">
        <v>0.01</v>
      </c>
      <c r="G1628" s="63" t="s">
        <v>6</v>
      </c>
      <c r="H1628" s="63" t="s">
        <v>4</v>
      </c>
      <c r="I1628" s="63">
        <v>20</v>
      </c>
      <c r="J1628" s="63">
        <v>50.01</v>
      </c>
      <c r="K1628" s="63" t="s">
        <v>10</v>
      </c>
      <c r="L1628" s="63">
        <v>5.6886000000000001</v>
      </c>
      <c r="M1628" s="63">
        <v>0.39166000000000001</v>
      </c>
      <c r="N1628" s="63">
        <v>5.6882999999999999</v>
      </c>
      <c r="O1628" s="64">
        <v>0.39154</v>
      </c>
    </row>
    <row r="1629" spans="1:15" x14ac:dyDescent="0.25">
      <c r="A1629" s="114" t="s">
        <v>2520</v>
      </c>
      <c r="B1629" s="63" t="s">
        <v>51</v>
      </c>
      <c r="C1629" s="63" t="s">
        <v>8</v>
      </c>
      <c r="D1629" s="63">
        <v>0.33</v>
      </c>
      <c r="E1629" s="63">
        <v>3.3001</v>
      </c>
      <c r="F1629" s="63">
        <v>0.01</v>
      </c>
      <c r="G1629" s="63" t="s">
        <v>6</v>
      </c>
      <c r="H1629" s="63" t="s">
        <v>4</v>
      </c>
      <c r="I1629" s="63">
        <v>50</v>
      </c>
      <c r="J1629" s="63">
        <v>100.01</v>
      </c>
      <c r="K1629" s="63" t="s">
        <v>10</v>
      </c>
      <c r="L1629" s="63">
        <v>5.3723000000000001</v>
      </c>
      <c r="M1629" s="63">
        <v>1.6168</v>
      </c>
      <c r="N1629" s="63">
        <v>5.3715000000000002</v>
      </c>
      <c r="O1629" s="64">
        <v>1.6167</v>
      </c>
    </row>
    <row r="1630" spans="1:15" x14ac:dyDescent="0.25">
      <c r="A1630" s="114" t="s">
        <v>1486</v>
      </c>
      <c r="B1630" s="63" t="s">
        <v>51</v>
      </c>
      <c r="C1630" s="63" t="s">
        <v>8</v>
      </c>
      <c r="D1630" s="63">
        <v>0.33</v>
      </c>
      <c r="E1630" s="63">
        <v>3.3001</v>
      </c>
      <c r="F1630" s="63">
        <v>0.01</v>
      </c>
      <c r="G1630" s="63" t="s">
        <v>6</v>
      </c>
      <c r="H1630" s="63" t="s">
        <v>4</v>
      </c>
      <c r="I1630" s="63">
        <v>100</v>
      </c>
      <c r="J1630" s="63">
        <v>500</v>
      </c>
      <c r="K1630" s="63" t="s">
        <v>10</v>
      </c>
      <c r="L1630" s="63">
        <v>4.9001000000000001</v>
      </c>
      <c r="M1630" s="63">
        <v>4.8711000000000002</v>
      </c>
      <c r="N1630" s="63">
        <v>4.8981000000000003</v>
      </c>
      <c r="O1630" s="64">
        <v>4.8712999999999997</v>
      </c>
    </row>
    <row r="1631" spans="1:15" x14ac:dyDescent="0.25">
      <c r="A1631" s="114" t="s">
        <v>2521</v>
      </c>
      <c r="B1631" s="63" t="s">
        <v>51</v>
      </c>
      <c r="C1631" s="63" t="s">
        <v>8</v>
      </c>
      <c r="D1631" s="63">
        <v>0.33</v>
      </c>
      <c r="E1631" s="63">
        <v>3.3001</v>
      </c>
      <c r="F1631" s="63">
        <v>0.01</v>
      </c>
      <c r="G1631" s="63" t="s">
        <v>6</v>
      </c>
      <c r="H1631" s="63" t="s">
        <v>4</v>
      </c>
      <c r="I1631" s="63">
        <v>500</v>
      </c>
      <c r="J1631" s="63">
        <v>501</v>
      </c>
      <c r="K1631" s="63" t="s">
        <v>10</v>
      </c>
      <c r="L1631" s="63">
        <v>4.9001000000000001</v>
      </c>
      <c r="M1631" s="63">
        <v>4.8711000000000002</v>
      </c>
      <c r="N1631" s="63">
        <v>4.8981000000000003</v>
      </c>
      <c r="O1631" s="64">
        <v>4.8712999999999997</v>
      </c>
    </row>
    <row r="1632" spans="1:15" x14ac:dyDescent="0.25">
      <c r="A1632" s="114" t="s">
        <v>1509</v>
      </c>
      <c r="B1632" s="63" t="s">
        <v>51</v>
      </c>
      <c r="C1632" s="63" t="s">
        <v>8</v>
      </c>
      <c r="D1632" s="63">
        <v>3.3</v>
      </c>
      <c r="E1632" s="63">
        <v>33.000999999999998</v>
      </c>
      <c r="F1632" s="63">
        <v>0.01</v>
      </c>
      <c r="G1632" s="63" t="s">
        <v>6</v>
      </c>
      <c r="H1632" s="63" t="s">
        <v>4</v>
      </c>
      <c r="I1632" s="63">
        <v>0.01</v>
      </c>
      <c r="J1632" s="63">
        <v>4.5010000000000001E-2</v>
      </c>
      <c r="K1632" s="63" t="s">
        <v>10</v>
      </c>
      <c r="L1632" s="63">
        <v>4.8574000000000002</v>
      </c>
      <c r="M1632" s="63">
        <v>0.48407</v>
      </c>
      <c r="N1632" s="63">
        <v>4.8564999999999996</v>
      </c>
      <c r="O1632" s="64">
        <v>0.48405999999999999</v>
      </c>
    </row>
    <row r="1633" spans="1:15" x14ac:dyDescent="0.25">
      <c r="A1633" s="114" t="s">
        <v>1506</v>
      </c>
      <c r="B1633" s="63" t="s">
        <v>51</v>
      </c>
      <c r="C1633" s="63" t="s">
        <v>8</v>
      </c>
      <c r="D1633" s="63">
        <v>3.3</v>
      </c>
      <c r="E1633" s="63">
        <v>33.000999999999998</v>
      </c>
      <c r="F1633" s="63">
        <v>0.01</v>
      </c>
      <c r="G1633" s="63" t="s">
        <v>6</v>
      </c>
      <c r="H1633" s="63" t="s">
        <v>4</v>
      </c>
      <c r="I1633" s="63">
        <v>4.4999999999999998E-2</v>
      </c>
      <c r="J1633" s="63">
        <v>10.00001</v>
      </c>
      <c r="K1633" s="63" t="s">
        <v>10</v>
      </c>
      <c r="L1633" s="63">
        <v>5.2633000000000001</v>
      </c>
      <c r="M1633" s="63">
        <v>0.24920999999999999</v>
      </c>
      <c r="N1633" s="63">
        <v>5.2624000000000004</v>
      </c>
      <c r="O1633" s="64">
        <v>0.24918000000000001</v>
      </c>
    </row>
    <row r="1634" spans="1:15" x14ac:dyDescent="0.25">
      <c r="A1634" s="114" t="s">
        <v>2522</v>
      </c>
      <c r="B1634" s="63" t="s">
        <v>51</v>
      </c>
      <c r="C1634" s="63" t="s">
        <v>8</v>
      </c>
      <c r="D1634" s="63">
        <v>3.3</v>
      </c>
      <c r="E1634" s="63">
        <v>33.000999999999998</v>
      </c>
      <c r="F1634" s="63">
        <v>0.01</v>
      </c>
      <c r="G1634" s="63" t="s">
        <v>6</v>
      </c>
      <c r="H1634" s="63" t="s">
        <v>4</v>
      </c>
      <c r="I1634" s="63">
        <v>10</v>
      </c>
      <c r="J1634" s="63">
        <v>20.010000000000002</v>
      </c>
      <c r="K1634" s="63" t="s">
        <v>10</v>
      </c>
      <c r="L1634" s="63">
        <v>4.3391999999999999</v>
      </c>
      <c r="M1634" s="63">
        <v>0.71689999999999998</v>
      </c>
      <c r="N1634" s="63">
        <v>4.3383000000000003</v>
      </c>
      <c r="O1634" s="64">
        <v>0.71689999999999998</v>
      </c>
    </row>
    <row r="1635" spans="1:15" x14ac:dyDescent="0.25">
      <c r="A1635" s="114" t="s">
        <v>2523</v>
      </c>
      <c r="B1635" s="63" t="s">
        <v>51</v>
      </c>
      <c r="C1635" s="63" t="s">
        <v>8</v>
      </c>
      <c r="D1635" s="63">
        <v>3.3</v>
      </c>
      <c r="E1635" s="63">
        <v>33.000999999999998</v>
      </c>
      <c r="F1635" s="63">
        <v>0.01</v>
      </c>
      <c r="G1635" s="63" t="s">
        <v>6</v>
      </c>
      <c r="H1635" s="63" t="s">
        <v>4</v>
      </c>
      <c r="I1635" s="63">
        <v>20</v>
      </c>
      <c r="J1635" s="63">
        <v>50.01</v>
      </c>
      <c r="K1635" s="63" t="s">
        <v>10</v>
      </c>
      <c r="L1635" s="63">
        <v>3.8001999999999998</v>
      </c>
      <c r="M1635" s="63">
        <v>1.0753999999999999</v>
      </c>
      <c r="N1635" s="63">
        <v>3.7970999999999999</v>
      </c>
      <c r="O1635" s="64">
        <v>1.0753999999999999</v>
      </c>
    </row>
    <row r="1636" spans="1:15" x14ac:dyDescent="0.25">
      <c r="A1636" s="114" t="s">
        <v>1507</v>
      </c>
      <c r="B1636" s="63" t="s">
        <v>51</v>
      </c>
      <c r="C1636" s="63" t="s">
        <v>8</v>
      </c>
      <c r="D1636" s="63">
        <v>3.3</v>
      </c>
      <c r="E1636" s="63">
        <v>33.000999999999998</v>
      </c>
      <c r="F1636" s="63">
        <v>0.01</v>
      </c>
      <c r="G1636" s="63" t="s">
        <v>6</v>
      </c>
      <c r="H1636" s="63" t="s">
        <v>4</v>
      </c>
      <c r="I1636" s="63">
        <v>50</v>
      </c>
      <c r="J1636" s="63">
        <v>100.01</v>
      </c>
      <c r="K1636" s="63" t="s">
        <v>10</v>
      </c>
      <c r="L1636" s="63">
        <v>3.8797000000000001</v>
      </c>
      <c r="M1636" s="63">
        <v>2.6158000000000001</v>
      </c>
      <c r="N1636" s="63">
        <v>3.8711000000000002</v>
      </c>
      <c r="O1636" s="64">
        <v>2.6160000000000001</v>
      </c>
    </row>
    <row r="1637" spans="1:15" x14ac:dyDescent="0.25">
      <c r="A1637" s="114" t="s">
        <v>1508</v>
      </c>
      <c r="B1637" s="63" t="s">
        <v>51</v>
      </c>
      <c r="C1637" s="63" t="s">
        <v>8</v>
      </c>
      <c r="D1637" s="63">
        <v>3.3</v>
      </c>
      <c r="E1637" s="63">
        <v>33.000999999999998</v>
      </c>
      <c r="F1637" s="63">
        <v>0.01</v>
      </c>
      <c r="G1637" s="63" t="s">
        <v>6</v>
      </c>
      <c r="H1637" s="63" t="s">
        <v>4</v>
      </c>
      <c r="I1637" s="63">
        <v>100</v>
      </c>
      <c r="J1637" s="63">
        <v>500</v>
      </c>
      <c r="K1637" s="63" t="s">
        <v>10</v>
      </c>
      <c r="L1637" s="63">
        <v>13</v>
      </c>
      <c r="M1637" s="63">
        <v>4.5999999999999996</v>
      </c>
      <c r="N1637" s="63">
        <v>3.831</v>
      </c>
      <c r="O1637" s="64">
        <v>2.6581000000000001</v>
      </c>
    </row>
    <row r="1638" spans="1:15" x14ac:dyDescent="0.25">
      <c r="A1638" s="114" t="s">
        <v>1505</v>
      </c>
      <c r="B1638" s="63" t="s">
        <v>51</v>
      </c>
      <c r="C1638" s="63" t="s">
        <v>8</v>
      </c>
      <c r="D1638" s="63">
        <v>3.3</v>
      </c>
      <c r="E1638" s="63">
        <v>33.000999999999998</v>
      </c>
      <c r="F1638" s="63">
        <v>0.01</v>
      </c>
      <c r="G1638" s="63" t="s">
        <v>6</v>
      </c>
      <c r="H1638" s="63" t="s">
        <v>4</v>
      </c>
      <c r="I1638" s="63">
        <v>500</v>
      </c>
      <c r="J1638" s="63">
        <v>501</v>
      </c>
      <c r="K1638" s="63" t="s">
        <v>10</v>
      </c>
      <c r="L1638" s="63">
        <v>13</v>
      </c>
      <c r="M1638" s="63">
        <v>4.5999999999999996</v>
      </c>
      <c r="N1638" s="63">
        <v>3.831</v>
      </c>
      <c r="O1638" s="64">
        <v>2.6581000000000001</v>
      </c>
    </row>
    <row r="1639" spans="1:15" x14ac:dyDescent="0.25">
      <c r="A1639" s="114" t="s">
        <v>1528</v>
      </c>
      <c r="B1639" s="63" t="s">
        <v>51</v>
      </c>
      <c r="C1639" s="63" t="s">
        <v>8</v>
      </c>
      <c r="D1639" s="63">
        <v>33</v>
      </c>
      <c r="E1639" s="63">
        <v>330.01</v>
      </c>
      <c r="F1639" s="63">
        <v>0.01</v>
      </c>
      <c r="G1639" s="63" t="s">
        <v>6</v>
      </c>
      <c r="H1639" s="63" t="s">
        <v>4</v>
      </c>
      <c r="I1639" s="63">
        <v>0.01</v>
      </c>
      <c r="J1639" s="63">
        <v>4.5010000000000001E-2</v>
      </c>
      <c r="K1639" s="63" t="s">
        <v>10</v>
      </c>
      <c r="L1639" s="63">
        <v>4.2872000000000003</v>
      </c>
      <c r="M1639" s="63">
        <v>0.57647000000000004</v>
      </c>
      <c r="N1639" s="63">
        <v>4.2606000000000002</v>
      </c>
      <c r="O1639" s="64">
        <v>0.57652000000000003</v>
      </c>
    </row>
    <row r="1640" spans="1:15" x14ac:dyDescent="0.25">
      <c r="A1640" s="114" t="s">
        <v>1527</v>
      </c>
      <c r="B1640" s="63" t="s">
        <v>51</v>
      </c>
      <c r="C1640" s="63" t="s">
        <v>8</v>
      </c>
      <c r="D1640" s="63">
        <v>33</v>
      </c>
      <c r="E1640" s="63">
        <v>330.01</v>
      </c>
      <c r="F1640" s="63">
        <v>0.01</v>
      </c>
      <c r="G1640" s="63" t="s">
        <v>6</v>
      </c>
      <c r="H1640" s="63" t="s">
        <v>4</v>
      </c>
      <c r="I1640" s="63">
        <v>4.4999999999999998E-2</v>
      </c>
      <c r="J1640" s="63">
        <v>10.00001</v>
      </c>
      <c r="K1640" s="63" t="s">
        <v>10</v>
      </c>
      <c r="L1640" s="63">
        <v>12</v>
      </c>
      <c r="M1640" s="63">
        <v>0.92330999999999996</v>
      </c>
      <c r="N1640" s="63">
        <v>10.834</v>
      </c>
      <c r="O1640" s="64">
        <v>0.9234</v>
      </c>
    </row>
    <row r="1641" spans="1:15" x14ac:dyDescent="0.25">
      <c r="A1641" s="114" t="s">
        <v>1529</v>
      </c>
      <c r="B1641" s="63" t="s">
        <v>51</v>
      </c>
      <c r="C1641" s="63" t="s">
        <v>8</v>
      </c>
      <c r="D1641" s="63">
        <v>33</v>
      </c>
      <c r="E1641" s="63">
        <v>330.01</v>
      </c>
      <c r="F1641" s="63">
        <v>0.01</v>
      </c>
      <c r="G1641" s="63" t="s">
        <v>6</v>
      </c>
      <c r="H1641" s="63" t="s">
        <v>4</v>
      </c>
      <c r="I1641" s="63">
        <v>10</v>
      </c>
      <c r="J1641" s="63">
        <v>20.010000000000002</v>
      </c>
      <c r="K1641" s="63" t="s">
        <v>10</v>
      </c>
      <c r="L1641" s="63">
        <v>24</v>
      </c>
      <c r="M1641" s="63">
        <v>1.0331999999999999</v>
      </c>
      <c r="N1641" s="63">
        <v>10.795999999999999</v>
      </c>
      <c r="O1641" s="64">
        <v>1.0388999999999999</v>
      </c>
    </row>
    <row r="1642" spans="1:15" x14ac:dyDescent="0.25">
      <c r="A1642" s="114" t="s">
        <v>2524</v>
      </c>
      <c r="B1642" s="63" t="s">
        <v>51</v>
      </c>
      <c r="C1642" s="63" t="s">
        <v>8</v>
      </c>
      <c r="D1642" s="63">
        <v>33</v>
      </c>
      <c r="E1642" s="63">
        <v>330.01</v>
      </c>
      <c r="F1642" s="63">
        <v>0.01</v>
      </c>
      <c r="G1642" s="63" t="s">
        <v>6</v>
      </c>
      <c r="H1642" s="63" t="s">
        <v>4</v>
      </c>
      <c r="I1642" s="63">
        <v>20</v>
      </c>
      <c r="J1642" s="63">
        <v>50.01</v>
      </c>
      <c r="K1642" s="63" t="s">
        <v>10</v>
      </c>
      <c r="L1642" s="63">
        <v>22</v>
      </c>
      <c r="M1642" s="63">
        <v>1.4</v>
      </c>
      <c r="N1642" s="63">
        <v>10.577</v>
      </c>
      <c r="O1642" s="64">
        <v>1.3904000000000001</v>
      </c>
    </row>
    <row r="1643" spans="1:15" x14ac:dyDescent="0.25">
      <c r="A1643" s="114" t="s">
        <v>1530</v>
      </c>
      <c r="B1643" s="63" t="s">
        <v>51</v>
      </c>
      <c r="C1643" s="63" t="s">
        <v>8</v>
      </c>
      <c r="D1643" s="63">
        <v>33</v>
      </c>
      <c r="E1643" s="63">
        <v>330.01</v>
      </c>
      <c r="F1643" s="63">
        <v>0.01</v>
      </c>
      <c r="G1643" s="63" t="s">
        <v>6</v>
      </c>
      <c r="H1643" s="63" t="s">
        <v>4</v>
      </c>
      <c r="I1643" s="63">
        <v>50</v>
      </c>
      <c r="J1643" s="63">
        <v>100</v>
      </c>
      <c r="K1643" s="63" t="s">
        <v>10</v>
      </c>
      <c r="L1643" s="63">
        <v>92.063000000000002</v>
      </c>
      <c r="M1643" s="63">
        <v>2.7852999999999999</v>
      </c>
      <c r="N1643" s="63">
        <v>92.033000000000001</v>
      </c>
      <c r="O1643" s="64">
        <v>2.7854000000000001</v>
      </c>
    </row>
    <row r="1644" spans="1:15" x14ac:dyDescent="0.25">
      <c r="A1644" s="114" t="s">
        <v>1526</v>
      </c>
      <c r="B1644" s="63" t="s">
        <v>51</v>
      </c>
      <c r="C1644" s="63" t="s">
        <v>8</v>
      </c>
      <c r="D1644" s="63">
        <v>33</v>
      </c>
      <c r="E1644" s="63">
        <v>330.01</v>
      </c>
      <c r="F1644" s="63">
        <v>0.01</v>
      </c>
      <c r="G1644" s="63" t="s">
        <v>6</v>
      </c>
      <c r="H1644" s="63" t="s">
        <v>4</v>
      </c>
      <c r="I1644" s="63">
        <v>100</v>
      </c>
      <c r="J1644" s="63">
        <v>100.1</v>
      </c>
      <c r="K1644" s="63" t="s">
        <v>10</v>
      </c>
      <c r="L1644" s="63">
        <v>92.063000000000002</v>
      </c>
      <c r="M1644" s="63">
        <v>2.7852999999999999</v>
      </c>
      <c r="N1644" s="63">
        <v>92.033000000000001</v>
      </c>
      <c r="O1644" s="64">
        <v>2.7854000000000001</v>
      </c>
    </row>
    <row r="1645" spans="1:15" x14ac:dyDescent="0.25">
      <c r="A1645" s="114" t="s">
        <v>1548</v>
      </c>
      <c r="B1645" s="63" t="s">
        <v>51</v>
      </c>
      <c r="C1645" s="63" t="s">
        <v>8</v>
      </c>
      <c r="D1645" s="63">
        <v>330</v>
      </c>
      <c r="E1645" s="63">
        <v>1020.01</v>
      </c>
      <c r="F1645" s="63">
        <v>0.01</v>
      </c>
      <c r="G1645" s="63" t="s">
        <v>6</v>
      </c>
      <c r="H1645" s="63" t="s">
        <v>4</v>
      </c>
      <c r="I1645" s="63">
        <v>4.4999999999999998E-2</v>
      </c>
      <c r="J1645" s="63">
        <v>1.0000100000000001</v>
      </c>
      <c r="K1645" s="63" t="s">
        <v>10</v>
      </c>
      <c r="L1645" s="63">
        <v>33.353999999999999</v>
      </c>
      <c r="M1645" s="63">
        <v>0.57133999999999996</v>
      </c>
      <c r="N1645" s="63">
        <v>33.320999999999998</v>
      </c>
      <c r="O1645" s="64">
        <v>0.57118999999999998</v>
      </c>
    </row>
    <row r="1646" spans="1:15" x14ac:dyDescent="0.25">
      <c r="A1646" s="114" t="s">
        <v>2525</v>
      </c>
      <c r="B1646" s="63" t="s">
        <v>51</v>
      </c>
      <c r="C1646" s="63" t="s">
        <v>8</v>
      </c>
      <c r="D1646" s="63">
        <v>330</v>
      </c>
      <c r="E1646" s="63">
        <v>1020.01</v>
      </c>
      <c r="F1646" s="63">
        <v>0.01</v>
      </c>
      <c r="G1646" s="63" t="s">
        <v>6</v>
      </c>
      <c r="H1646" s="63" t="s">
        <v>4</v>
      </c>
      <c r="I1646" s="63">
        <v>1</v>
      </c>
      <c r="J1646" s="63">
        <v>5.01</v>
      </c>
      <c r="K1646" s="63" t="s">
        <v>10</v>
      </c>
      <c r="L1646" s="63">
        <v>29.895</v>
      </c>
      <c r="M1646" s="63">
        <v>0.91966999999999999</v>
      </c>
      <c r="N1646" s="63">
        <v>29.873000000000001</v>
      </c>
      <c r="O1646" s="64">
        <v>0.91957</v>
      </c>
    </row>
    <row r="1647" spans="1:15" x14ac:dyDescent="0.25">
      <c r="A1647" s="114" t="s">
        <v>1549</v>
      </c>
      <c r="B1647" s="63" t="s">
        <v>51</v>
      </c>
      <c r="C1647" s="63" t="s">
        <v>8</v>
      </c>
      <c r="D1647" s="63">
        <v>330</v>
      </c>
      <c r="E1647" s="63">
        <v>1020.01</v>
      </c>
      <c r="F1647" s="63">
        <v>0.01</v>
      </c>
      <c r="G1647" s="63" t="s">
        <v>6</v>
      </c>
      <c r="H1647" s="63" t="s">
        <v>4</v>
      </c>
      <c r="I1647" s="63">
        <v>5</v>
      </c>
      <c r="J1647" s="63">
        <v>10.01</v>
      </c>
      <c r="K1647" s="63" t="s">
        <v>10</v>
      </c>
      <c r="L1647" s="63">
        <v>64</v>
      </c>
      <c r="M1647" s="63">
        <v>1.0355000000000001</v>
      </c>
      <c r="N1647" s="63">
        <v>29.164999999999999</v>
      </c>
      <c r="O1647" s="64">
        <v>1.0355000000000001</v>
      </c>
    </row>
    <row r="1648" spans="1:15" x14ac:dyDescent="0.25">
      <c r="A1648" s="114" t="s">
        <v>1547</v>
      </c>
      <c r="B1648" s="63" t="s">
        <v>51</v>
      </c>
      <c r="C1648" s="63" t="s">
        <v>8</v>
      </c>
      <c r="D1648" s="63">
        <v>330</v>
      </c>
      <c r="E1648" s="63">
        <v>1020.01</v>
      </c>
      <c r="F1648" s="63">
        <v>0.01</v>
      </c>
      <c r="G1648" s="63" t="s">
        <v>6</v>
      </c>
      <c r="H1648" s="63" t="s">
        <v>4</v>
      </c>
      <c r="I1648" s="63">
        <v>10</v>
      </c>
      <c r="J1648" s="63">
        <v>10.01</v>
      </c>
      <c r="K1648" s="63" t="s">
        <v>10</v>
      </c>
      <c r="L1648" s="63">
        <v>64</v>
      </c>
      <c r="M1648" s="63">
        <v>1.0355000000000001</v>
      </c>
      <c r="N1648" s="63">
        <v>29.164999999999999</v>
      </c>
      <c r="O1648" s="64">
        <v>1.0355000000000001</v>
      </c>
    </row>
    <row r="1649" spans="1:15" x14ac:dyDescent="0.25">
      <c r="A1649" s="114" t="s">
        <v>1423</v>
      </c>
      <c r="B1649" s="63" t="s">
        <v>51</v>
      </c>
      <c r="C1649" s="63" t="s">
        <v>8</v>
      </c>
      <c r="D1649" s="63">
        <v>0</v>
      </c>
      <c r="E1649" s="63">
        <v>3.3009999999999998E-2</v>
      </c>
      <c r="F1649" s="63">
        <v>0.1</v>
      </c>
      <c r="G1649" s="63" t="s">
        <v>6</v>
      </c>
      <c r="H1649" s="63" t="s">
        <v>5</v>
      </c>
      <c r="I1649" s="63">
        <v>0.01</v>
      </c>
      <c r="J1649" s="63">
        <v>4.5010000000000001E-2</v>
      </c>
      <c r="K1649" s="63" t="s">
        <v>10</v>
      </c>
      <c r="L1649" s="63">
        <v>58000</v>
      </c>
      <c r="M1649" s="63">
        <v>1.7665</v>
      </c>
      <c r="N1649" s="63">
        <v>58000</v>
      </c>
      <c r="O1649" s="64">
        <v>1.5714999999999999</v>
      </c>
    </row>
    <row r="1650" spans="1:15" x14ac:dyDescent="0.25">
      <c r="A1650" s="114" t="s">
        <v>1424</v>
      </c>
      <c r="B1650" s="63" t="s">
        <v>51</v>
      </c>
      <c r="C1650" s="63" t="s">
        <v>8</v>
      </c>
      <c r="D1650" s="63">
        <v>0</v>
      </c>
      <c r="E1650" s="63">
        <v>3.3009999999999998E-2</v>
      </c>
      <c r="F1650" s="63">
        <v>0.1</v>
      </c>
      <c r="G1650" s="63" t="s">
        <v>6</v>
      </c>
      <c r="H1650" s="63" t="s">
        <v>5</v>
      </c>
      <c r="I1650" s="63">
        <v>4.4999999999999998E-2</v>
      </c>
      <c r="J1650" s="63">
        <v>10.00001</v>
      </c>
      <c r="K1650" s="63" t="s">
        <v>10</v>
      </c>
      <c r="L1650" s="63">
        <v>58000</v>
      </c>
      <c r="M1650" s="63">
        <v>1.0481</v>
      </c>
      <c r="N1650" s="63">
        <v>58000</v>
      </c>
      <c r="O1650" s="64">
        <v>0.85309999999999997</v>
      </c>
    </row>
    <row r="1651" spans="1:15" x14ac:dyDescent="0.25">
      <c r="A1651" s="114" t="s">
        <v>1425</v>
      </c>
      <c r="B1651" s="63" t="s">
        <v>51</v>
      </c>
      <c r="C1651" s="63" t="s">
        <v>8</v>
      </c>
      <c r="D1651" s="63">
        <v>0</v>
      </c>
      <c r="E1651" s="63">
        <v>3.3009999999999998E-2</v>
      </c>
      <c r="F1651" s="63">
        <v>0.1</v>
      </c>
      <c r="G1651" s="63" t="s">
        <v>6</v>
      </c>
      <c r="H1651" s="63" t="s">
        <v>5</v>
      </c>
      <c r="I1651" s="63">
        <v>10</v>
      </c>
      <c r="J1651" s="63">
        <v>20.010000000000002</v>
      </c>
      <c r="K1651" s="63" t="s">
        <v>10</v>
      </c>
      <c r="L1651" s="63">
        <v>58000</v>
      </c>
      <c r="M1651" s="63">
        <v>1.7665</v>
      </c>
      <c r="N1651" s="63">
        <v>58000</v>
      </c>
      <c r="O1651" s="64">
        <v>1.5714999999999999</v>
      </c>
    </row>
    <row r="1652" spans="1:15" x14ac:dyDescent="0.25">
      <c r="A1652" s="114" t="s">
        <v>1429</v>
      </c>
      <c r="B1652" s="63" t="s">
        <v>51</v>
      </c>
      <c r="C1652" s="63" t="s">
        <v>8</v>
      </c>
      <c r="D1652" s="63">
        <v>0</v>
      </c>
      <c r="E1652" s="63">
        <v>3.3009999999999998E-2</v>
      </c>
      <c r="F1652" s="63">
        <v>0.1</v>
      </c>
      <c r="G1652" s="63" t="s">
        <v>6</v>
      </c>
      <c r="H1652" s="63" t="s">
        <v>5</v>
      </c>
      <c r="I1652" s="63">
        <v>20</v>
      </c>
      <c r="J1652" s="63">
        <v>50.01</v>
      </c>
      <c r="K1652" s="63" t="s">
        <v>10</v>
      </c>
      <c r="L1652" s="63">
        <v>58000</v>
      </c>
      <c r="M1652" s="63">
        <v>2.6816</v>
      </c>
      <c r="N1652" s="63">
        <v>58000</v>
      </c>
      <c r="O1652" s="64">
        <v>2.4866000000000001</v>
      </c>
    </row>
    <row r="1653" spans="1:15" x14ac:dyDescent="0.25">
      <c r="A1653" s="114" t="s">
        <v>1426</v>
      </c>
      <c r="B1653" s="63" t="s">
        <v>51</v>
      </c>
      <c r="C1653" s="63" t="s">
        <v>8</v>
      </c>
      <c r="D1653" s="63">
        <v>0</v>
      </c>
      <c r="E1653" s="63">
        <v>3.3009999999999998E-2</v>
      </c>
      <c r="F1653" s="63">
        <v>0.1</v>
      </c>
      <c r="G1653" s="63" t="s">
        <v>6</v>
      </c>
      <c r="H1653" s="63" t="s">
        <v>5</v>
      </c>
      <c r="I1653" s="63">
        <v>50</v>
      </c>
      <c r="J1653" s="63">
        <v>100.01</v>
      </c>
      <c r="K1653" s="63" t="s">
        <v>10</v>
      </c>
      <c r="L1653" s="63">
        <v>58000</v>
      </c>
      <c r="M1653" s="63">
        <v>7.7473999999999998</v>
      </c>
      <c r="N1653" s="63">
        <v>58000</v>
      </c>
      <c r="O1653" s="64">
        <v>7.4565999999999999</v>
      </c>
    </row>
    <row r="1654" spans="1:15" x14ac:dyDescent="0.25">
      <c r="A1654" s="114" t="s">
        <v>1427</v>
      </c>
      <c r="B1654" s="63" t="s">
        <v>51</v>
      </c>
      <c r="C1654" s="63" t="s">
        <v>8</v>
      </c>
      <c r="D1654" s="63">
        <v>0</v>
      </c>
      <c r="E1654" s="63">
        <v>3.3009999999999998E-2</v>
      </c>
      <c r="F1654" s="63">
        <v>0.1</v>
      </c>
      <c r="G1654" s="63" t="s">
        <v>6</v>
      </c>
      <c r="H1654" s="63" t="s">
        <v>5</v>
      </c>
      <c r="I1654" s="63">
        <v>100</v>
      </c>
      <c r="J1654" s="63">
        <v>500</v>
      </c>
      <c r="K1654" s="63" t="s">
        <v>10</v>
      </c>
      <c r="L1654" s="63">
        <v>58000</v>
      </c>
      <c r="M1654" s="63">
        <v>53.658999999999999</v>
      </c>
      <c r="N1654" s="63">
        <v>58000</v>
      </c>
      <c r="O1654" s="64">
        <v>52.994</v>
      </c>
    </row>
    <row r="1655" spans="1:15" x14ac:dyDescent="0.25">
      <c r="A1655" s="114" t="s">
        <v>1428</v>
      </c>
      <c r="B1655" s="63" t="s">
        <v>51</v>
      </c>
      <c r="C1655" s="63" t="s">
        <v>8</v>
      </c>
      <c r="D1655" s="63">
        <v>0</v>
      </c>
      <c r="E1655" s="63">
        <v>3.3009999999999998E-2</v>
      </c>
      <c r="F1655" s="63">
        <v>0.1</v>
      </c>
      <c r="G1655" s="63" t="s">
        <v>6</v>
      </c>
      <c r="H1655" s="63" t="s">
        <v>5</v>
      </c>
      <c r="I1655" s="63">
        <v>500</v>
      </c>
      <c r="J1655" s="63">
        <v>501</v>
      </c>
      <c r="K1655" s="63" t="s">
        <v>10</v>
      </c>
      <c r="L1655" s="63">
        <v>58000</v>
      </c>
      <c r="M1655" s="63">
        <v>53.658999999999999</v>
      </c>
      <c r="N1655" s="63">
        <v>58000</v>
      </c>
      <c r="O1655" s="64">
        <v>52.994</v>
      </c>
    </row>
    <row r="1656" spans="1:15" x14ac:dyDescent="0.25">
      <c r="A1656" s="114" t="s">
        <v>1491</v>
      </c>
      <c r="B1656" s="63" t="s">
        <v>51</v>
      </c>
      <c r="C1656" s="63" t="s">
        <v>8</v>
      </c>
      <c r="D1656" s="63">
        <v>0.33</v>
      </c>
      <c r="E1656" s="63">
        <v>3.3001</v>
      </c>
      <c r="F1656" s="63">
        <v>0.1</v>
      </c>
      <c r="G1656" s="63" t="s">
        <v>6</v>
      </c>
      <c r="H1656" s="63" t="s">
        <v>4</v>
      </c>
      <c r="I1656" s="63">
        <v>0.01</v>
      </c>
      <c r="J1656" s="63">
        <v>4.5010000000000001E-2</v>
      </c>
      <c r="K1656" s="63" t="s">
        <v>10</v>
      </c>
      <c r="L1656" s="63">
        <v>57.997</v>
      </c>
      <c r="M1656" s="63">
        <v>1.0643E-2</v>
      </c>
      <c r="N1656" s="63">
        <v>57.997</v>
      </c>
      <c r="O1656" s="64">
        <v>1.0612E-2</v>
      </c>
    </row>
    <row r="1657" spans="1:15" x14ac:dyDescent="0.25">
      <c r="A1657" s="114" t="s">
        <v>2526</v>
      </c>
      <c r="B1657" s="63" t="s">
        <v>51</v>
      </c>
      <c r="C1657" s="63" t="s">
        <v>8</v>
      </c>
      <c r="D1657" s="63">
        <v>0.33</v>
      </c>
      <c r="E1657" s="63">
        <v>3.3001</v>
      </c>
      <c r="F1657" s="63">
        <v>0.1</v>
      </c>
      <c r="G1657" s="63" t="s">
        <v>6</v>
      </c>
      <c r="H1657" s="63" t="s">
        <v>4</v>
      </c>
      <c r="I1657" s="63">
        <v>4.4999999999999998E-2</v>
      </c>
      <c r="J1657" s="63">
        <v>10.00001</v>
      </c>
      <c r="K1657" s="63" t="s">
        <v>10</v>
      </c>
      <c r="L1657" s="63">
        <v>57.999000000000002</v>
      </c>
      <c r="M1657" s="63">
        <v>4.2262999999999997E-3</v>
      </c>
      <c r="N1657" s="63">
        <v>57.999000000000002</v>
      </c>
      <c r="O1657" s="64">
        <v>4.1960000000000001E-3</v>
      </c>
    </row>
    <row r="1658" spans="1:15" x14ac:dyDescent="0.25">
      <c r="A1658" s="114" t="s">
        <v>1494</v>
      </c>
      <c r="B1658" s="63" t="s">
        <v>51</v>
      </c>
      <c r="C1658" s="63" t="s">
        <v>8</v>
      </c>
      <c r="D1658" s="63">
        <v>0.33</v>
      </c>
      <c r="E1658" s="63">
        <v>3.3001</v>
      </c>
      <c r="F1658" s="63">
        <v>0.1</v>
      </c>
      <c r="G1658" s="63" t="s">
        <v>6</v>
      </c>
      <c r="H1658" s="63" t="s">
        <v>4</v>
      </c>
      <c r="I1658" s="63">
        <v>10</v>
      </c>
      <c r="J1658" s="63">
        <v>20.010000000000002</v>
      </c>
      <c r="K1658" s="63" t="s">
        <v>10</v>
      </c>
      <c r="L1658" s="63">
        <v>57.994</v>
      </c>
      <c r="M1658" s="63">
        <v>2.1455999999999999E-2</v>
      </c>
      <c r="N1658" s="63">
        <v>57.994</v>
      </c>
      <c r="O1658" s="64">
        <v>2.1426000000000001E-2</v>
      </c>
    </row>
    <row r="1659" spans="1:15" x14ac:dyDescent="0.25">
      <c r="A1659" s="114" t="s">
        <v>2527</v>
      </c>
      <c r="B1659" s="63" t="s">
        <v>51</v>
      </c>
      <c r="C1659" s="63" t="s">
        <v>8</v>
      </c>
      <c r="D1659" s="63">
        <v>0.33</v>
      </c>
      <c r="E1659" s="63">
        <v>3.3001</v>
      </c>
      <c r="F1659" s="63">
        <v>0.1</v>
      </c>
      <c r="G1659" s="63" t="s">
        <v>6</v>
      </c>
      <c r="H1659" s="63" t="s">
        <v>4</v>
      </c>
      <c r="I1659" s="63">
        <v>20</v>
      </c>
      <c r="J1659" s="63">
        <v>50.01</v>
      </c>
      <c r="K1659" s="63" t="s">
        <v>10</v>
      </c>
      <c r="L1659" s="63">
        <v>57.988</v>
      </c>
      <c r="M1659" s="63">
        <v>4.3219E-2</v>
      </c>
      <c r="N1659" s="63">
        <v>57.988</v>
      </c>
      <c r="O1659" s="64">
        <v>4.3147999999999999E-2</v>
      </c>
    </row>
    <row r="1660" spans="1:15" x14ac:dyDescent="0.25">
      <c r="A1660" s="114" t="s">
        <v>1492</v>
      </c>
      <c r="B1660" s="63" t="s">
        <v>51</v>
      </c>
      <c r="C1660" s="63" t="s">
        <v>8</v>
      </c>
      <c r="D1660" s="63">
        <v>0.33</v>
      </c>
      <c r="E1660" s="63">
        <v>3.3001</v>
      </c>
      <c r="F1660" s="63">
        <v>0.1</v>
      </c>
      <c r="G1660" s="63" t="s">
        <v>6</v>
      </c>
      <c r="H1660" s="63" t="s">
        <v>4</v>
      </c>
      <c r="I1660" s="63">
        <v>50</v>
      </c>
      <c r="J1660" s="63">
        <v>100.01</v>
      </c>
      <c r="K1660" s="63" t="s">
        <v>10</v>
      </c>
      <c r="L1660" s="63">
        <v>57.935000000000002</v>
      </c>
      <c r="M1660" s="63">
        <v>0.23028999999999999</v>
      </c>
      <c r="N1660" s="63">
        <v>57.935000000000002</v>
      </c>
      <c r="O1660" s="64">
        <v>0.23011999999999999</v>
      </c>
    </row>
    <row r="1661" spans="1:15" x14ac:dyDescent="0.25">
      <c r="A1661" s="114" t="s">
        <v>1493</v>
      </c>
      <c r="B1661" s="63" t="s">
        <v>51</v>
      </c>
      <c r="C1661" s="63" t="s">
        <v>8</v>
      </c>
      <c r="D1661" s="63">
        <v>0.33</v>
      </c>
      <c r="E1661" s="63">
        <v>3.3001</v>
      </c>
      <c r="F1661" s="63">
        <v>0.1</v>
      </c>
      <c r="G1661" s="63" t="s">
        <v>6</v>
      </c>
      <c r="H1661" s="63" t="s">
        <v>4</v>
      </c>
      <c r="I1661" s="63">
        <v>100</v>
      </c>
      <c r="J1661" s="63">
        <v>500</v>
      </c>
      <c r="K1661" s="63" t="s">
        <v>10</v>
      </c>
      <c r="L1661" s="63">
        <v>57.706000000000003</v>
      </c>
      <c r="M1661" s="63">
        <v>1.1207</v>
      </c>
      <c r="N1661" s="63">
        <v>57.704999999999998</v>
      </c>
      <c r="O1661" s="64">
        <v>1.1204000000000001</v>
      </c>
    </row>
    <row r="1662" spans="1:15" x14ac:dyDescent="0.25">
      <c r="A1662" s="114" t="s">
        <v>1490</v>
      </c>
      <c r="B1662" s="63" t="s">
        <v>51</v>
      </c>
      <c r="C1662" s="63" t="s">
        <v>8</v>
      </c>
      <c r="D1662" s="63">
        <v>0.33</v>
      </c>
      <c r="E1662" s="63">
        <v>3.3001</v>
      </c>
      <c r="F1662" s="63">
        <v>0.1</v>
      </c>
      <c r="G1662" s="63" t="s">
        <v>6</v>
      </c>
      <c r="H1662" s="63" t="s">
        <v>4</v>
      </c>
      <c r="I1662" s="63">
        <v>500</v>
      </c>
      <c r="J1662" s="63">
        <v>501</v>
      </c>
      <c r="K1662" s="63" t="s">
        <v>10</v>
      </c>
      <c r="L1662" s="63">
        <v>57.706000000000003</v>
      </c>
      <c r="M1662" s="63">
        <v>1.1207</v>
      </c>
      <c r="N1662" s="63">
        <v>57.704999999999998</v>
      </c>
      <c r="O1662" s="64">
        <v>1.1204000000000001</v>
      </c>
    </row>
    <row r="1663" spans="1:15" x14ac:dyDescent="0.25">
      <c r="A1663" s="114" t="s">
        <v>1511</v>
      </c>
      <c r="B1663" s="63" t="s">
        <v>51</v>
      </c>
      <c r="C1663" s="63" t="s">
        <v>8</v>
      </c>
      <c r="D1663" s="63">
        <v>3.3</v>
      </c>
      <c r="E1663" s="63">
        <v>33.000999999999998</v>
      </c>
      <c r="F1663" s="63">
        <v>0.1</v>
      </c>
      <c r="G1663" s="63" t="s">
        <v>6</v>
      </c>
      <c r="H1663" s="63" t="s">
        <v>4</v>
      </c>
      <c r="I1663" s="63">
        <v>0.01</v>
      </c>
      <c r="J1663" s="63">
        <v>4.5010000000000001E-2</v>
      </c>
      <c r="K1663" s="63" t="s">
        <v>10</v>
      </c>
      <c r="L1663" s="63">
        <v>57.704000000000001</v>
      </c>
      <c r="M1663" s="63">
        <v>0.11064</v>
      </c>
      <c r="N1663" s="63">
        <v>57.704000000000001</v>
      </c>
      <c r="O1663" s="64">
        <v>0.11058999999999999</v>
      </c>
    </row>
    <row r="1664" spans="1:15" x14ac:dyDescent="0.25">
      <c r="A1664" s="114" t="s">
        <v>1514</v>
      </c>
      <c r="B1664" s="63" t="s">
        <v>51</v>
      </c>
      <c r="C1664" s="63" t="s">
        <v>8</v>
      </c>
      <c r="D1664" s="63">
        <v>3.3</v>
      </c>
      <c r="E1664" s="63">
        <v>33.000999999999998</v>
      </c>
      <c r="F1664" s="63">
        <v>0.1</v>
      </c>
      <c r="G1664" s="63" t="s">
        <v>6</v>
      </c>
      <c r="H1664" s="63" t="s">
        <v>4</v>
      </c>
      <c r="I1664" s="63">
        <v>4.4999999999999998E-2</v>
      </c>
      <c r="J1664" s="63">
        <v>10.00001</v>
      </c>
      <c r="K1664" s="63" t="s">
        <v>10</v>
      </c>
      <c r="L1664" s="63">
        <v>57.892000000000003</v>
      </c>
      <c r="M1664" s="63">
        <v>4.1619999999999997E-2</v>
      </c>
      <c r="N1664" s="63">
        <v>57.892000000000003</v>
      </c>
      <c r="O1664" s="64">
        <v>4.1575000000000001E-2</v>
      </c>
    </row>
    <row r="1665" spans="1:15" x14ac:dyDescent="0.25">
      <c r="A1665" s="114" t="s">
        <v>2528</v>
      </c>
      <c r="B1665" s="63" t="s">
        <v>51</v>
      </c>
      <c r="C1665" s="63" t="s">
        <v>8</v>
      </c>
      <c r="D1665" s="63">
        <v>3.3</v>
      </c>
      <c r="E1665" s="63">
        <v>33.000999999999998</v>
      </c>
      <c r="F1665" s="63">
        <v>0.1</v>
      </c>
      <c r="G1665" s="63" t="s">
        <v>6</v>
      </c>
      <c r="H1665" s="63" t="s">
        <v>4</v>
      </c>
      <c r="I1665" s="63">
        <v>10</v>
      </c>
      <c r="J1665" s="63">
        <v>20.010000000000002</v>
      </c>
      <c r="K1665" s="63" t="s">
        <v>10</v>
      </c>
      <c r="L1665" s="63">
        <v>57.426000000000002</v>
      </c>
      <c r="M1665" s="63">
        <v>0.20355000000000001</v>
      </c>
      <c r="N1665" s="63">
        <v>57.426000000000002</v>
      </c>
      <c r="O1665" s="64">
        <v>0.20351</v>
      </c>
    </row>
    <row r="1666" spans="1:15" x14ac:dyDescent="0.25">
      <c r="A1666" s="114" t="s">
        <v>1512</v>
      </c>
      <c r="B1666" s="63" t="s">
        <v>51</v>
      </c>
      <c r="C1666" s="63" t="s">
        <v>8</v>
      </c>
      <c r="D1666" s="63">
        <v>3.3</v>
      </c>
      <c r="E1666" s="63">
        <v>33.000999999999998</v>
      </c>
      <c r="F1666" s="63">
        <v>0.1</v>
      </c>
      <c r="G1666" s="63" t="s">
        <v>6</v>
      </c>
      <c r="H1666" s="63" t="s">
        <v>4</v>
      </c>
      <c r="I1666" s="63">
        <v>20</v>
      </c>
      <c r="J1666" s="63">
        <v>50.01</v>
      </c>
      <c r="K1666" s="63" t="s">
        <v>10</v>
      </c>
      <c r="L1666" s="63">
        <v>56.883000000000003</v>
      </c>
      <c r="M1666" s="63">
        <v>0.39190000000000003</v>
      </c>
      <c r="N1666" s="63">
        <v>56.881999999999998</v>
      </c>
      <c r="O1666" s="64">
        <v>0.39182</v>
      </c>
    </row>
    <row r="1667" spans="1:15" x14ac:dyDescent="0.25">
      <c r="A1667" s="114" t="s">
        <v>1510</v>
      </c>
      <c r="B1667" s="63" t="s">
        <v>51</v>
      </c>
      <c r="C1667" s="63" t="s">
        <v>8</v>
      </c>
      <c r="D1667" s="63">
        <v>3.3</v>
      </c>
      <c r="E1667" s="63">
        <v>33.000999999999998</v>
      </c>
      <c r="F1667" s="63">
        <v>0.1</v>
      </c>
      <c r="G1667" s="63" t="s">
        <v>6</v>
      </c>
      <c r="H1667" s="63" t="s">
        <v>4</v>
      </c>
      <c r="I1667" s="63">
        <v>50</v>
      </c>
      <c r="J1667" s="63">
        <v>100.01</v>
      </c>
      <c r="K1667" s="63" t="s">
        <v>10</v>
      </c>
      <c r="L1667" s="63">
        <v>53.719000000000001</v>
      </c>
      <c r="M1667" s="63">
        <v>1.6172</v>
      </c>
      <c r="N1667" s="63">
        <v>53.713000000000001</v>
      </c>
      <c r="O1667" s="64">
        <v>1.6172</v>
      </c>
    </row>
    <row r="1668" spans="1:15" x14ac:dyDescent="0.25">
      <c r="A1668" s="114" t="s">
        <v>1513</v>
      </c>
      <c r="B1668" s="63" t="s">
        <v>51</v>
      </c>
      <c r="C1668" s="63" t="s">
        <v>8</v>
      </c>
      <c r="D1668" s="63">
        <v>3.3</v>
      </c>
      <c r="E1668" s="63">
        <v>33.000999999999998</v>
      </c>
      <c r="F1668" s="63">
        <v>0.1</v>
      </c>
      <c r="G1668" s="63" t="s">
        <v>6</v>
      </c>
      <c r="H1668" s="63" t="s">
        <v>4</v>
      </c>
      <c r="I1668" s="63">
        <v>100</v>
      </c>
      <c r="J1668" s="63">
        <v>500</v>
      </c>
      <c r="K1668" s="63" t="s">
        <v>10</v>
      </c>
      <c r="L1668" s="63">
        <v>47.329000000000001</v>
      </c>
      <c r="M1668" s="63">
        <v>3.5596999999999999</v>
      </c>
      <c r="N1668" s="63">
        <v>53.607999999999997</v>
      </c>
      <c r="O1668" s="64">
        <v>1.6549</v>
      </c>
    </row>
    <row r="1669" spans="1:15" x14ac:dyDescent="0.25">
      <c r="A1669" s="114" t="s">
        <v>2529</v>
      </c>
      <c r="B1669" s="63" t="s">
        <v>51</v>
      </c>
      <c r="C1669" s="63" t="s">
        <v>8</v>
      </c>
      <c r="D1669" s="63">
        <v>3.3</v>
      </c>
      <c r="E1669" s="63">
        <v>33.000999999999998</v>
      </c>
      <c r="F1669" s="63">
        <v>0.1</v>
      </c>
      <c r="G1669" s="63" t="s">
        <v>6</v>
      </c>
      <c r="H1669" s="63" t="s">
        <v>4</v>
      </c>
      <c r="I1669" s="63">
        <v>500</v>
      </c>
      <c r="J1669" s="63">
        <v>501</v>
      </c>
      <c r="K1669" s="63" t="s">
        <v>10</v>
      </c>
      <c r="L1669" s="63">
        <v>47.329000000000001</v>
      </c>
      <c r="M1669" s="63">
        <v>3.5596999999999999</v>
      </c>
      <c r="N1669" s="63">
        <v>53.607999999999997</v>
      </c>
      <c r="O1669" s="64">
        <v>1.6549</v>
      </c>
    </row>
    <row r="1670" spans="1:15" x14ac:dyDescent="0.25">
      <c r="A1670" s="114" t="s">
        <v>1532</v>
      </c>
      <c r="B1670" s="63" t="s">
        <v>51</v>
      </c>
      <c r="C1670" s="63" t="s">
        <v>8</v>
      </c>
      <c r="D1670" s="63">
        <v>33</v>
      </c>
      <c r="E1670" s="63">
        <v>330.01</v>
      </c>
      <c r="F1670" s="63">
        <v>0.1</v>
      </c>
      <c r="G1670" s="63" t="s">
        <v>6</v>
      </c>
      <c r="H1670" s="63" t="s">
        <v>4</v>
      </c>
      <c r="I1670" s="63">
        <v>0.01</v>
      </c>
      <c r="J1670" s="63">
        <v>4.5010000000000001E-2</v>
      </c>
      <c r="K1670" s="63" t="s">
        <v>10</v>
      </c>
      <c r="L1670" s="63">
        <v>46.640999999999998</v>
      </c>
      <c r="M1670" s="63">
        <v>0.47359000000000001</v>
      </c>
      <c r="N1670" s="63">
        <v>46.601999999999997</v>
      </c>
      <c r="O1670" s="64">
        <v>0.47360999999999998</v>
      </c>
    </row>
    <row r="1671" spans="1:15" x14ac:dyDescent="0.25">
      <c r="A1671" s="114" t="s">
        <v>2530</v>
      </c>
      <c r="B1671" s="63" t="s">
        <v>51</v>
      </c>
      <c r="C1671" s="63" t="s">
        <v>8</v>
      </c>
      <c r="D1671" s="63">
        <v>33</v>
      </c>
      <c r="E1671" s="63">
        <v>330.01</v>
      </c>
      <c r="F1671" s="63">
        <v>0.1</v>
      </c>
      <c r="G1671" s="63" t="s">
        <v>6</v>
      </c>
      <c r="H1671" s="63" t="s">
        <v>4</v>
      </c>
      <c r="I1671" s="63">
        <v>4.4999999999999998E-2</v>
      </c>
      <c r="J1671" s="63">
        <v>10.00001</v>
      </c>
      <c r="K1671" s="63" t="s">
        <v>10</v>
      </c>
      <c r="L1671" s="63">
        <v>43.308999999999997</v>
      </c>
      <c r="M1671" s="63">
        <v>0.84099999999999997</v>
      </c>
      <c r="N1671" s="63">
        <v>43.21</v>
      </c>
      <c r="O1671" s="64">
        <v>0.84114999999999995</v>
      </c>
    </row>
    <row r="1672" spans="1:15" x14ac:dyDescent="0.25">
      <c r="A1672" s="114" t="s">
        <v>1531</v>
      </c>
      <c r="B1672" s="63" t="s">
        <v>51</v>
      </c>
      <c r="C1672" s="63" t="s">
        <v>8</v>
      </c>
      <c r="D1672" s="63">
        <v>33</v>
      </c>
      <c r="E1672" s="63">
        <v>330.01</v>
      </c>
      <c r="F1672" s="63">
        <v>0.1</v>
      </c>
      <c r="G1672" s="63" t="s">
        <v>6</v>
      </c>
      <c r="H1672" s="63" t="s">
        <v>4</v>
      </c>
      <c r="I1672" s="63">
        <v>10</v>
      </c>
      <c r="J1672" s="63">
        <v>20.010000000000002</v>
      </c>
      <c r="K1672" s="63" t="s">
        <v>10</v>
      </c>
      <c r="L1672" s="63">
        <v>41.651000000000003</v>
      </c>
      <c r="M1672" s="63">
        <v>0.95969000000000004</v>
      </c>
      <c r="N1672" s="63">
        <v>41.554000000000002</v>
      </c>
      <c r="O1672" s="64">
        <v>0.95984999999999998</v>
      </c>
    </row>
    <row r="1673" spans="1:15" x14ac:dyDescent="0.25">
      <c r="A1673" s="114" t="s">
        <v>2531</v>
      </c>
      <c r="B1673" s="63" t="s">
        <v>51</v>
      </c>
      <c r="C1673" s="63" t="s">
        <v>8</v>
      </c>
      <c r="D1673" s="63">
        <v>33</v>
      </c>
      <c r="E1673" s="63">
        <v>330.01</v>
      </c>
      <c r="F1673" s="63">
        <v>0.1</v>
      </c>
      <c r="G1673" s="63" t="s">
        <v>6</v>
      </c>
      <c r="H1673" s="63" t="s">
        <v>4</v>
      </c>
      <c r="I1673" s="63">
        <v>20</v>
      </c>
      <c r="J1673" s="63">
        <v>50.01</v>
      </c>
      <c r="K1673" s="63" t="s">
        <v>10</v>
      </c>
      <c r="L1673" s="63">
        <v>36.020000000000003</v>
      </c>
      <c r="M1673" s="63">
        <v>1.3574999999999999</v>
      </c>
      <c r="N1673" s="63">
        <v>37.167000000000002</v>
      </c>
      <c r="O1673" s="64">
        <v>1.3205</v>
      </c>
    </row>
    <row r="1674" spans="1:15" x14ac:dyDescent="0.25">
      <c r="A1674" s="114" t="s">
        <v>2532</v>
      </c>
      <c r="B1674" s="63" t="s">
        <v>51</v>
      </c>
      <c r="C1674" s="63" t="s">
        <v>8</v>
      </c>
      <c r="D1674" s="63">
        <v>33</v>
      </c>
      <c r="E1674" s="63">
        <v>330.01</v>
      </c>
      <c r="F1674" s="63">
        <v>0.1</v>
      </c>
      <c r="G1674" s="63" t="s">
        <v>6</v>
      </c>
      <c r="H1674" s="63" t="s">
        <v>4</v>
      </c>
      <c r="I1674" s="63">
        <v>50</v>
      </c>
      <c r="J1674" s="63">
        <v>100</v>
      </c>
      <c r="K1674" s="63" t="s">
        <v>10</v>
      </c>
      <c r="L1674" s="63">
        <v>101.77</v>
      </c>
      <c r="M1674" s="63">
        <v>2.7610000000000001</v>
      </c>
      <c r="N1674" s="63">
        <v>101.69</v>
      </c>
      <c r="O1674" s="64">
        <v>2.7610999999999999</v>
      </c>
    </row>
    <row r="1675" spans="1:15" x14ac:dyDescent="0.25">
      <c r="A1675" s="114" t="s">
        <v>2533</v>
      </c>
      <c r="B1675" s="63" t="s">
        <v>51</v>
      </c>
      <c r="C1675" s="63" t="s">
        <v>8</v>
      </c>
      <c r="D1675" s="63">
        <v>33</v>
      </c>
      <c r="E1675" s="63">
        <v>330.01</v>
      </c>
      <c r="F1675" s="63">
        <v>0.1</v>
      </c>
      <c r="G1675" s="63" t="s">
        <v>6</v>
      </c>
      <c r="H1675" s="63" t="s">
        <v>4</v>
      </c>
      <c r="I1675" s="63">
        <v>100</v>
      </c>
      <c r="J1675" s="63">
        <v>100.1</v>
      </c>
      <c r="K1675" s="63" t="s">
        <v>10</v>
      </c>
      <c r="L1675" s="63">
        <v>101.77</v>
      </c>
      <c r="M1675" s="63">
        <v>2.7610000000000001</v>
      </c>
      <c r="N1675" s="63">
        <v>101.69</v>
      </c>
      <c r="O1675" s="64">
        <v>2.7610999999999999</v>
      </c>
    </row>
    <row r="1676" spans="1:15" x14ac:dyDescent="0.25">
      <c r="A1676" s="114" t="s">
        <v>2534</v>
      </c>
      <c r="B1676" s="63" t="s">
        <v>51</v>
      </c>
      <c r="C1676" s="63" t="s">
        <v>8</v>
      </c>
      <c r="D1676" s="63">
        <v>330</v>
      </c>
      <c r="E1676" s="63">
        <v>1020.01</v>
      </c>
      <c r="F1676" s="63">
        <v>0.1</v>
      </c>
      <c r="G1676" s="63" t="s">
        <v>6</v>
      </c>
      <c r="H1676" s="63" t="s">
        <v>4</v>
      </c>
      <c r="I1676" s="63">
        <v>4.4999999999999998E-2</v>
      </c>
      <c r="J1676" s="63">
        <v>1.0000100000000001</v>
      </c>
      <c r="K1676" s="63" t="s">
        <v>10</v>
      </c>
      <c r="L1676" s="63">
        <v>510.18</v>
      </c>
      <c r="M1676" s="63">
        <v>0.32784999999999997</v>
      </c>
      <c r="N1676" s="63">
        <v>510.26</v>
      </c>
      <c r="O1676" s="64">
        <v>0.32723999999999998</v>
      </c>
    </row>
    <row r="1677" spans="1:15" x14ac:dyDescent="0.25">
      <c r="A1677" s="114" t="s">
        <v>1551</v>
      </c>
      <c r="B1677" s="63" t="s">
        <v>51</v>
      </c>
      <c r="C1677" s="63" t="s">
        <v>8</v>
      </c>
      <c r="D1677" s="63">
        <v>330</v>
      </c>
      <c r="E1677" s="63">
        <v>1020.01</v>
      </c>
      <c r="F1677" s="63">
        <v>0.1</v>
      </c>
      <c r="G1677" s="63" t="s">
        <v>6</v>
      </c>
      <c r="H1677" s="63" t="s">
        <v>4</v>
      </c>
      <c r="I1677" s="63">
        <v>1</v>
      </c>
      <c r="J1677" s="63">
        <v>5.01</v>
      </c>
      <c r="K1677" s="63" t="s">
        <v>10</v>
      </c>
      <c r="L1677" s="63">
        <v>446.23</v>
      </c>
      <c r="M1677" s="63">
        <v>0.66766000000000003</v>
      </c>
      <c r="N1677" s="63">
        <v>446.26</v>
      </c>
      <c r="O1677" s="64">
        <v>0.66722999999999999</v>
      </c>
    </row>
    <row r="1678" spans="1:15" x14ac:dyDescent="0.25">
      <c r="A1678" s="114" t="s">
        <v>2535</v>
      </c>
      <c r="B1678" s="63" t="s">
        <v>51</v>
      </c>
      <c r="C1678" s="63" t="s">
        <v>8</v>
      </c>
      <c r="D1678" s="63">
        <v>330</v>
      </c>
      <c r="E1678" s="63">
        <v>1020.01</v>
      </c>
      <c r="F1678" s="63">
        <v>0.1</v>
      </c>
      <c r="G1678" s="63" t="s">
        <v>6</v>
      </c>
      <c r="H1678" s="63" t="s">
        <v>4</v>
      </c>
      <c r="I1678" s="63">
        <v>5</v>
      </c>
      <c r="J1678" s="63">
        <v>10.01</v>
      </c>
      <c r="K1678" s="63" t="s">
        <v>10</v>
      </c>
      <c r="L1678" s="63">
        <v>426.17</v>
      </c>
      <c r="M1678" s="63">
        <v>0.78768000000000005</v>
      </c>
      <c r="N1678" s="63">
        <v>426.19</v>
      </c>
      <c r="O1678" s="64">
        <v>0.7873</v>
      </c>
    </row>
    <row r="1679" spans="1:15" x14ac:dyDescent="0.25">
      <c r="A1679" s="114" t="s">
        <v>1550</v>
      </c>
      <c r="B1679" s="63" t="s">
        <v>51</v>
      </c>
      <c r="C1679" s="63" t="s">
        <v>8</v>
      </c>
      <c r="D1679" s="63">
        <v>330</v>
      </c>
      <c r="E1679" s="63">
        <v>1020.01</v>
      </c>
      <c r="F1679" s="63">
        <v>0.1</v>
      </c>
      <c r="G1679" s="63" t="s">
        <v>6</v>
      </c>
      <c r="H1679" s="63" t="s">
        <v>4</v>
      </c>
      <c r="I1679" s="63">
        <v>10</v>
      </c>
      <c r="J1679" s="63">
        <v>10.01</v>
      </c>
      <c r="K1679" s="63" t="s">
        <v>10</v>
      </c>
      <c r="L1679" s="63">
        <v>426.17</v>
      </c>
      <c r="M1679" s="63">
        <v>0.78768000000000005</v>
      </c>
      <c r="N1679" s="63">
        <v>426.19</v>
      </c>
      <c r="O1679" s="64">
        <v>0.7873</v>
      </c>
    </row>
    <row r="1680" spans="1:15" x14ac:dyDescent="0.25">
      <c r="A1680" s="114" t="s">
        <v>1434</v>
      </c>
      <c r="B1680" s="63" t="s">
        <v>51</v>
      </c>
      <c r="C1680" s="63" t="s">
        <v>8</v>
      </c>
      <c r="D1680" s="63">
        <v>0</v>
      </c>
      <c r="E1680" s="63">
        <v>3.3009999999999998E-2</v>
      </c>
      <c r="F1680" s="63">
        <v>1</v>
      </c>
      <c r="G1680" s="63" t="s">
        <v>6</v>
      </c>
      <c r="H1680" s="63" t="s">
        <v>5</v>
      </c>
      <c r="I1680" s="63">
        <v>0.01</v>
      </c>
      <c r="J1680" s="63">
        <v>4.5010000000000001E-2</v>
      </c>
      <c r="K1680" s="63" t="s">
        <v>10</v>
      </c>
      <c r="L1680" s="63">
        <v>580000</v>
      </c>
      <c r="M1680" s="63">
        <v>0.23513999999999999</v>
      </c>
      <c r="N1680" s="63">
        <v>580000</v>
      </c>
      <c r="O1680" s="64">
        <v>0.15715000000000001</v>
      </c>
    </row>
    <row r="1681" spans="1:15" x14ac:dyDescent="0.25">
      <c r="A1681" s="114" t="s">
        <v>1430</v>
      </c>
      <c r="B1681" s="63" t="s">
        <v>51</v>
      </c>
      <c r="C1681" s="63" t="s">
        <v>8</v>
      </c>
      <c r="D1681" s="63">
        <v>0</v>
      </c>
      <c r="E1681" s="63">
        <v>3.3009999999999998E-2</v>
      </c>
      <c r="F1681" s="63">
        <v>1</v>
      </c>
      <c r="G1681" s="63" t="s">
        <v>6</v>
      </c>
      <c r="H1681" s="63" t="s">
        <v>5</v>
      </c>
      <c r="I1681" s="63">
        <v>4.4999999999999998E-2</v>
      </c>
      <c r="J1681" s="63">
        <v>10.00001</v>
      </c>
      <c r="K1681" s="63" t="s">
        <v>10</v>
      </c>
      <c r="L1681" s="63">
        <v>580000</v>
      </c>
      <c r="M1681" s="63">
        <v>0.1633</v>
      </c>
      <c r="N1681" s="63">
        <v>580000</v>
      </c>
      <c r="O1681" s="64">
        <v>8.5309999999999997E-2</v>
      </c>
    </row>
    <row r="1682" spans="1:15" x14ac:dyDescent="0.25">
      <c r="A1682" s="114" t="s">
        <v>1433</v>
      </c>
      <c r="B1682" s="63" t="s">
        <v>51</v>
      </c>
      <c r="C1682" s="63" t="s">
        <v>8</v>
      </c>
      <c r="D1682" s="63">
        <v>0</v>
      </c>
      <c r="E1682" s="63">
        <v>3.3009999999999998E-2</v>
      </c>
      <c r="F1682" s="63">
        <v>1</v>
      </c>
      <c r="G1682" s="63" t="s">
        <v>6</v>
      </c>
      <c r="H1682" s="63" t="s">
        <v>5</v>
      </c>
      <c r="I1682" s="63">
        <v>10</v>
      </c>
      <c r="J1682" s="63">
        <v>20.010000000000002</v>
      </c>
      <c r="K1682" s="63" t="s">
        <v>10</v>
      </c>
      <c r="L1682" s="63">
        <v>580000</v>
      </c>
      <c r="M1682" s="63">
        <v>0.23513999999999999</v>
      </c>
      <c r="N1682" s="63">
        <v>580000</v>
      </c>
      <c r="O1682" s="64">
        <v>0.15715000000000001</v>
      </c>
    </row>
    <row r="1683" spans="1:15" x14ac:dyDescent="0.25">
      <c r="A1683" s="114" t="s">
        <v>1432</v>
      </c>
      <c r="B1683" s="63" t="s">
        <v>51</v>
      </c>
      <c r="C1683" s="63" t="s">
        <v>8</v>
      </c>
      <c r="D1683" s="63">
        <v>0</v>
      </c>
      <c r="E1683" s="63">
        <v>3.3009999999999998E-2</v>
      </c>
      <c r="F1683" s="63">
        <v>1</v>
      </c>
      <c r="G1683" s="63" t="s">
        <v>6</v>
      </c>
      <c r="H1683" s="63" t="s">
        <v>5</v>
      </c>
      <c r="I1683" s="63">
        <v>20</v>
      </c>
      <c r="J1683" s="63">
        <v>50.01</v>
      </c>
      <c r="K1683" s="63" t="s">
        <v>10</v>
      </c>
      <c r="L1683" s="63">
        <v>580000</v>
      </c>
      <c r="M1683" s="63">
        <v>0.32665</v>
      </c>
      <c r="N1683" s="63">
        <v>580000</v>
      </c>
      <c r="O1683" s="64">
        <v>0.24865999999999999</v>
      </c>
    </row>
    <row r="1684" spans="1:15" x14ac:dyDescent="0.25">
      <c r="A1684" s="114" t="s">
        <v>2536</v>
      </c>
      <c r="B1684" s="63" t="s">
        <v>51</v>
      </c>
      <c r="C1684" s="63" t="s">
        <v>8</v>
      </c>
      <c r="D1684" s="63">
        <v>0</v>
      </c>
      <c r="E1684" s="63">
        <v>3.3009999999999998E-2</v>
      </c>
      <c r="F1684" s="63">
        <v>1</v>
      </c>
      <c r="G1684" s="63" t="s">
        <v>6</v>
      </c>
      <c r="H1684" s="63" t="s">
        <v>5</v>
      </c>
      <c r="I1684" s="63">
        <v>50</v>
      </c>
      <c r="J1684" s="63">
        <v>100.01</v>
      </c>
      <c r="K1684" s="63" t="s">
        <v>10</v>
      </c>
      <c r="L1684" s="63">
        <v>580000</v>
      </c>
      <c r="M1684" s="63">
        <v>0.86197000000000001</v>
      </c>
      <c r="N1684" s="63">
        <v>580000</v>
      </c>
      <c r="O1684" s="64">
        <v>0.74565999999999999</v>
      </c>
    </row>
    <row r="1685" spans="1:15" x14ac:dyDescent="0.25">
      <c r="A1685" s="114" t="s">
        <v>1431</v>
      </c>
      <c r="B1685" s="63" t="s">
        <v>51</v>
      </c>
      <c r="C1685" s="63" t="s">
        <v>8</v>
      </c>
      <c r="D1685" s="63">
        <v>0</v>
      </c>
      <c r="E1685" s="63">
        <v>3.3009999999999998E-2</v>
      </c>
      <c r="F1685" s="63">
        <v>1</v>
      </c>
      <c r="G1685" s="63" t="s">
        <v>6</v>
      </c>
      <c r="H1685" s="63" t="s">
        <v>5</v>
      </c>
      <c r="I1685" s="63">
        <v>100</v>
      </c>
      <c r="J1685" s="63">
        <v>500</v>
      </c>
      <c r="K1685" s="63" t="s">
        <v>10</v>
      </c>
      <c r="L1685" s="63">
        <v>580000</v>
      </c>
      <c r="M1685" s="63">
        <v>5.5656999999999996</v>
      </c>
      <c r="N1685" s="63">
        <v>580000</v>
      </c>
      <c r="O1685" s="64">
        <v>5.2995000000000001</v>
      </c>
    </row>
    <row r="1686" spans="1:15" x14ac:dyDescent="0.25">
      <c r="A1686" s="114" t="s">
        <v>2537</v>
      </c>
      <c r="B1686" s="63" t="s">
        <v>51</v>
      </c>
      <c r="C1686" s="63" t="s">
        <v>8</v>
      </c>
      <c r="D1686" s="63">
        <v>0</v>
      </c>
      <c r="E1686" s="63">
        <v>3.3009999999999998E-2</v>
      </c>
      <c r="F1686" s="63">
        <v>1</v>
      </c>
      <c r="G1686" s="63" t="s">
        <v>6</v>
      </c>
      <c r="H1686" s="63" t="s">
        <v>5</v>
      </c>
      <c r="I1686" s="63">
        <v>500</v>
      </c>
      <c r="J1686" s="63">
        <v>501</v>
      </c>
      <c r="K1686" s="63" t="s">
        <v>10</v>
      </c>
      <c r="L1686" s="63">
        <v>580000</v>
      </c>
      <c r="M1686" s="63">
        <v>5.5656999999999996</v>
      </c>
      <c r="N1686" s="63">
        <v>580000</v>
      </c>
      <c r="O1686" s="64">
        <v>5.2995000000000001</v>
      </c>
    </row>
    <row r="1687" spans="1:15" x14ac:dyDescent="0.25">
      <c r="A1687" s="114" t="s">
        <v>2538</v>
      </c>
      <c r="B1687" s="63" t="s">
        <v>51</v>
      </c>
      <c r="C1687" s="63" t="s">
        <v>8</v>
      </c>
      <c r="D1687" s="63">
        <v>3.3</v>
      </c>
      <c r="E1687" s="63">
        <v>33.000999999999998</v>
      </c>
      <c r="F1687" s="63">
        <v>1</v>
      </c>
      <c r="G1687" s="63" t="s">
        <v>6</v>
      </c>
      <c r="H1687" s="63" t="s">
        <v>4</v>
      </c>
      <c r="I1687" s="63">
        <v>0.01</v>
      </c>
      <c r="J1687" s="63">
        <v>4.5010000000000001E-2</v>
      </c>
      <c r="K1687" s="63" t="s">
        <v>10</v>
      </c>
      <c r="L1687" s="63">
        <v>579.97</v>
      </c>
      <c r="M1687" s="63">
        <v>1.1401E-2</v>
      </c>
      <c r="N1687" s="63">
        <v>579.97</v>
      </c>
      <c r="O1687" s="64">
        <v>1.1382E-2</v>
      </c>
    </row>
    <row r="1688" spans="1:15" x14ac:dyDescent="0.25">
      <c r="A1688" s="114" t="s">
        <v>1515</v>
      </c>
      <c r="B1688" s="63" t="s">
        <v>51</v>
      </c>
      <c r="C1688" s="63" t="s">
        <v>8</v>
      </c>
      <c r="D1688" s="63">
        <v>3.3</v>
      </c>
      <c r="E1688" s="63">
        <v>33.000999999999998</v>
      </c>
      <c r="F1688" s="63">
        <v>1</v>
      </c>
      <c r="G1688" s="63" t="s">
        <v>6</v>
      </c>
      <c r="H1688" s="63" t="s">
        <v>4</v>
      </c>
      <c r="I1688" s="63">
        <v>4.4999999999999998E-2</v>
      </c>
      <c r="J1688" s="63">
        <v>10.00001</v>
      </c>
      <c r="K1688" s="63" t="s">
        <v>10</v>
      </c>
      <c r="L1688" s="63">
        <v>579.99</v>
      </c>
      <c r="M1688" s="63">
        <v>4.2218999999999998E-3</v>
      </c>
      <c r="N1688" s="63">
        <v>579.99</v>
      </c>
      <c r="O1688" s="64">
        <v>4.2034000000000004E-3</v>
      </c>
    </row>
    <row r="1689" spans="1:15" x14ac:dyDescent="0.25">
      <c r="A1689" s="114" t="s">
        <v>1518</v>
      </c>
      <c r="B1689" s="63" t="s">
        <v>51</v>
      </c>
      <c r="C1689" s="63" t="s">
        <v>8</v>
      </c>
      <c r="D1689" s="63">
        <v>3.3</v>
      </c>
      <c r="E1689" s="63">
        <v>33.000999999999998</v>
      </c>
      <c r="F1689" s="63">
        <v>1</v>
      </c>
      <c r="G1689" s="63" t="s">
        <v>6</v>
      </c>
      <c r="H1689" s="63" t="s">
        <v>4</v>
      </c>
      <c r="I1689" s="63">
        <v>10</v>
      </c>
      <c r="J1689" s="63">
        <v>20.010000000000002</v>
      </c>
      <c r="K1689" s="63" t="s">
        <v>10</v>
      </c>
      <c r="L1689" s="63">
        <v>579.94000000000005</v>
      </c>
      <c r="M1689" s="63">
        <v>2.1451999999999999E-2</v>
      </c>
      <c r="N1689" s="63">
        <v>579.94000000000005</v>
      </c>
      <c r="O1689" s="64">
        <v>2.1433000000000001E-2</v>
      </c>
    </row>
    <row r="1690" spans="1:15" x14ac:dyDescent="0.25">
      <c r="A1690" s="114" t="s">
        <v>1519</v>
      </c>
      <c r="B1690" s="63" t="s">
        <v>51</v>
      </c>
      <c r="C1690" s="63" t="s">
        <v>8</v>
      </c>
      <c r="D1690" s="63">
        <v>3.3</v>
      </c>
      <c r="E1690" s="63">
        <v>33.000999999999998</v>
      </c>
      <c r="F1690" s="63">
        <v>1</v>
      </c>
      <c r="G1690" s="63" t="s">
        <v>6</v>
      </c>
      <c r="H1690" s="63" t="s">
        <v>4</v>
      </c>
      <c r="I1690" s="63">
        <v>20</v>
      </c>
      <c r="J1690" s="63">
        <v>50.01</v>
      </c>
      <c r="K1690" s="63" t="s">
        <v>10</v>
      </c>
      <c r="L1690" s="63">
        <v>579.88</v>
      </c>
      <c r="M1690" s="63">
        <v>4.3222999999999998E-2</v>
      </c>
      <c r="N1690" s="63">
        <v>579.88</v>
      </c>
      <c r="O1690" s="64">
        <v>4.3181999999999998E-2</v>
      </c>
    </row>
    <row r="1691" spans="1:15" x14ac:dyDescent="0.25">
      <c r="A1691" s="114" t="s">
        <v>2539</v>
      </c>
      <c r="B1691" s="63" t="s">
        <v>51</v>
      </c>
      <c r="C1691" s="63" t="s">
        <v>8</v>
      </c>
      <c r="D1691" s="63">
        <v>3.3</v>
      </c>
      <c r="E1691" s="63">
        <v>33.000999999999998</v>
      </c>
      <c r="F1691" s="63">
        <v>1</v>
      </c>
      <c r="G1691" s="63" t="s">
        <v>6</v>
      </c>
      <c r="H1691" s="63" t="s">
        <v>4</v>
      </c>
      <c r="I1691" s="63">
        <v>50</v>
      </c>
      <c r="J1691" s="63">
        <v>100.01</v>
      </c>
      <c r="K1691" s="63" t="s">
        <v>10</v>
      </c>
      <c r="L1691" s="63">
        <v>579.35</v>
      </c>
      <c r="M1691" s="63">
        <v>0.23028000000000001</v>
      </c>
      <c r="N1691" s="63">
        <v>579.35</v>
      </c>
      <c r="O1691" s="64">
        <v>0.23021</v>
      </c>
    </row>
    <row r="1692" spans="1:15" x14ac:dyDescent="0.25">
      <c r="A1692" s="114" t="s">
        <v>1516</v>
      </c>
      <c r="B1692" s="63" t="s">
        <v>51</v>
      </c>
      <c r="C1692" s="63" t="s">
        <v>8</v>
      </c>
      <c r="D1692" s="63">
        <v>3.3</v>
      </c>
      <c r="E1692" s="63">
        <v>33.000999999999998</v>
      </c>
      <c r="F1692" s="63">
        <v>1</v>
      </c>
      <c r="G1692" s="63" t="s">
        <v>6</v>
      </c>
      <c r="H1692" s="63" t="s">
        <v>4</v>
      </c>
      <c r="I1692" s="63">
        <v>100</v>
      </c>
      <c r="J1692" s="63">
        <v>500</v>
      </c>
      <c r="K1692" s="63" t="s">
        <v>10</v>
      </c>
      <c r="L1692" s="63">
        <v>579.33000000000004</v>
      </c>
      <c r="M1692" s="63">
        <v>0.23723</v>
      </c>
      <c r="N1692" s="63">
        <v>579.33000000000004</v>
      </c>
      <c r="O1692" s="64">
        <v>0.23716999999999999</v>
      </c>
    </row>
    <row r="1693" spans="1:15" x14ac:dyDescent="0.25">
      <c r="A1693" s="114" t="s">
        <v>1517</v>
      </c>
      <c r="B1693" s="63" t="s">
        <v>51</v>
      </c>
      <c r="C1693" s="63" t="s">
        <v>8</v>
      </c>
      <c r="D1693" s="63">
        <v>3.3</v>
      </c>
      <c r="E1693" s="63">
        <v>33.000999999999998</v>
      </c>
      <c r="F1693" s="63">
        <v>1</v>
      </c>
      <c r="G1693" s="63" t="s">
        <v>6</v>
      </c>
      <c r="H1693" s="63" t="s">
        <v>4</v>
      </c>
      <c r="I1693" s="63">
        <v>500</v>
      </c>
      <c r="J1693" s="63">
        <v>501</v>
      </c>
      <c r="K1693" s="63" t="s">
        <v>10</v>
      </c>
      <c r="L1693" s="63">
        <v>579.33000000000004</v>
      </c>
      <c r="M1693" s="63">
        <v>0.23723</v>
      </c>
      <c r="N1693" s="63">
        <v>579.33000000000004</v>
      </c>
      <c r="O1693" s="64">
        <v>0.23716999999999999</v>
      </c>
    </row>
    <row r="1694" spans="1:15" x14ac:dyDescent="0.25">
      <c r="A1694" s="114" t="s">
        <v>1536</v>
      </c>
      <c r="B1694" s="63" t="s">
        <v>51</v>
      </c>
      <c r="C1694" s="63" t="s">
        <v>8</v>
      </c>
      <c r="D1694" s="63">
        <v>33</v>
      </c>
      <c r="E1694" s="63">
        <v>330.01</v>
      </c>
      <c r="F1694" s="63">
        <v>1</v>
      </c>
      <c r="G1694" s="63" t="s">
        <v>6</v>
      </c>
      <c r="H1694" s="63" t="s">
        <v>4</v>
      </c>
      <c r="I1694" s="63">
        <v>0.01</v>
      </c>
      <c r="J1694" s="63">
        <v>4.5010000000000001E-2</v>
      </c>
      <c r="K1694" s="63" t="s">
        <v>10</v>
      </c>
      <c r="L1694" s="63">
        <v>576.98</v>
      </c>
      <c r="M1694" s="63">
        <v>0.10542</v>
      </c>
      <c r="N1694" s="63">
        <v>576.96</v>
      </c>
      <c r="O1694" s="64">
        <v>0.10532999999999999</v>
      </c>
    </row>
    <row r="1695" spans="1:15" x14ac:dyDescent="0.25">
      <c r="A1695" s="114" t="s">
        <v>1533</v>
      </c>
      <c r="B1695" s="63" t="s">
        <v>51</v>
      </c>
      <c r="C1695" s="63" t="s">
        <v>8</v>
      </c>
      <c r="D1695" s="63">
        <v>33</v>
      </c>
      <c r="E1695" s="63">
        <v>330.01</v>
      </c>
      <c r="F1695" s="63">
        <v>1</v>
      </c>
      <c r="G1695" s="63" t="s">
        <v>6</v>
      </c>
      <c r="H1695" s="63" t="s">
        <v>4</v>
      </c>
      <c r="I1695" s="63">
        <v>4.4999999999999998E-2</v>
      </c>
      <c r="J1695" s="63">
        <v>10.00001</v>
      </c>
      <c r="K1695" s="63" t="s">
        <v>10</v>
      </c>
      <c r="L1695" s="63">
        <v>572.72</v>
      </c>
      <c r="M1695" s="63">
        <v>0.26556000000000002</v>
      </c>
      <c r="N1695" s="63">
        <v>572.67999999999995</v>
      </c>
      <c r="O1695" s="64">
        <v>0.26538</v>
      </c>
    </row>
    <row r="1696" spans="1:15" x14ac:dyDescent="0.25">
      <c r="A1696" s="114" t="s">
        <v>1535</v>
      </c>
      <c r="B1696" s="63" t="s">
        <v>51</v>
      </c>
      <c r="C1696" s="63" t="s">
        <v>8</v>
      </c>
      <c r="D1696" s="63">
        <v>33</v>
      </c>
      <c r="E1696" s="63">
        <v>330.01</v>
      </c>
      <c r="F1696" s="63">
        <v>1</v>
      </c>
      <c r="G1696" s="63" t="s">
        <v>6</v>
      </c>
      <c r="H1696" s="63" t="s">
        <v>4</v>
      </c>
      <c r="I1696" s="63">
        <v>10</v>
      </c>
      <c r="J1696" s="63">
        <v>20.010000000000002</v>
      </c>
      <c r="K1696" s="63" t="s">
        <v>10</v>
      </c>
      <c r="L1696" s="63">
        <v>570.91999999999996</v>
      </c>
      <c r="M1696" s="63">
        <v>0.32863999999999999</v>
      </c>
      <c r="N1696" s="63">
        <v>570.88</v>
      </c>
      <c r="O1696" s="64">
        <v>0.32847999999999999</v>
      </c>
    </row>
    <row r="1697" spans="1:15" x14ac:dyDescent="0.25">
      <c r="A1697" s="114" t="s">
        <v>1537</v>
      </c>
      <c r="B1697" s="63" t="s">
        <v>51</v>
      </c>
      <c r="C1697" s="63" t="s">
        <v>8</v>
      </c>
      <c r="D1697" s="63">
        <v>33</v>
      </c>
      <c r="E1697" s="63">
        <v>330.01</v>
      </c>
      <c r="F1697" s="63">
        <v>1</v>
      </c>
      <c r="G1697" s="63" t="s">
        <v>6</v>
      </c>
      <c r="H1697" s="63" t="s">
        <v>4</v>
      </c>
      <c r="I1697" s="63">
        <v>20</v>
      </c>
      <c r="J1697" s="63">
        <v>50.01</v>
      </c>
      <c r="K1697" s="63" t="s">
        <v>10</v>
      </c>
      <c r="L1697" s="63">
        <v>564.6</v>
      </c>
      <c r="M1697" s="63">
        <v>0.55034000000000005</v>
      </c>
      <c r="N1697" s="63">
        <v>564.55999999999995</v>
      </c>
      <c r="O1697" s="64">
        <v>0.55020999999999998</v>
      </c>
    </row>
    <row r="1698" spans="1:15" x14ac:dyDescent="0.25">
      <c r="A1698" s="114" t="s">
        <v>1534</v>
      </c>
      <c r="B1698" s="63" t="s">
        <v>51</v>
      </c>
      <c r="C1698" s="63" t="s">
        <v>8</v>
      </c>
      <c r="D1698" s="63">
        <v>33</v>
      </c>
      <c r="E1698" s="63">
        <v>330.01</v>
      </c>
      <c r="F1698" s="63">
        <v>1</v>
      </c>
      <c r="G1698" s="63" t="s">
        <v>6</v>
      </c>
      <c r="H1698" s="63" t="s">
        <v>4</v>
      </c>
      <c r="I1698" s="63">
        <v>50</v>
      </c>
      <c r="J1698" s="63">
        <v>100</v>
      </c>
      <c r="K1698" s="63" t="s">
        <v>10</v>
      </c>
      <c r="L1698" s="63">
        <v>546.63</v>
      </c>
      <c r="M1698" s="63">
        <v>1.8765000000000001</v>
      </c>
      <c r="N1698" s="63">
        <v>546.54</v>
      </c>
      <c r="O1698" s="64">
        <v>1.8763000000000001</v>
      </c>
    </row>
    <row r="1699" spans="1:15" x14ac:dyDescent="0.25">
      <c r="A1699" s="114" t="s">
        <v>1538</v>
      </c>
      <c r="B1699" s="63" t="s">
        <v>51</v>
      </c>
      <c r="C1699" s="63" t="s">
        <v>8</v>
      </c>
      <c r="D1699" s="63">
        <v>33</v>
      </c>
      <c r="E1699" s="63">
        <v>330.01</v>
      </c>
      <c r="F1699" s="63">
        <v>1</v>
      </c>
      <c r="G1699" s="63" t="s">
        <v>6</v>
      </c>
      <c r="H1699" s="63" t="s">
        <v>4</v>
      </c>
      <c r="I1699" s="63">
        <v>100</v>
      </c>
      <c r="J1699" s="63">
        <v>100.1</v>
      </c>
      <c r="K1699" s="63" t="s">
        <v>10</v>
      </c>
      <c r="L1699" s="63">
        <v>546.63</v>
      </c>
      <c r="M1699" s="63">
        <v>1.8765000000000001</v>
      </c>
      <c r="N1699" s="63">
        <v>546.54</v>
      </c>
      <c r="O1699" s="64">
        <v>1.8763000000000001</v>
      </c>
    </row>
    <row r="1700" spans="1:15" x14ac:dyDescent="0.25">
      <c r="A1700" s="114" t="s">
        <v>1555</v>
      </c>
      <c r="B1700" s="63" t="s">
        <v>51</v>
      </c>
      <c r="C1700" s="63" t="s">
        <v>8</v>
      </c>
      <c r="D1700" s="63">
        <v>330</v>
      </c>
      <c r="E1700" s="63">
        <v>1020.01</v>
      </c>
      <c r="F1700" s="63">
        <v>1</v>
      </c>
      <c r="G1700" s="63" t="s">
        <v>6</v>
      </c>
      <c r="H1700" s="63" t="s">
        <v>4</v>
      </c>
      <c r="I1700" s="63">
        <v>4.4999999999999998E-2</v>
      </c>
      <c r="J1700" s="63">
        <v>1.0000100000000001</v>
      </c>
      <c r="K1700" s="63" t="s">
        <v>10</v>
      </c>
      <c r="L1700" s="63">
        <v>5790.3</v>
      </c>
      <c r="M1700" s="63">
        <v>4.1506000000000001E-2</v>
      </c>
      <c r="N1700" s="63">
        <v>5790.4</v>
      </c>
      <c r="O1700" s="64">
        <v>4.1123E-2</v>
      </c>
    </row>
    <row r="1701" spans="1:15" x14ac:dyDescent="0.25">
      <c r="A1701" s="114" t="s">
        <v>1554</v>
      </c>
      <c r="B1701" s="63" t="s">
        <v>51</v>
      </c>
      <c r="C1701" s="63" t="s">
        <v>8</v>
      </c>
      <c r="D1701" s="63">
        <v>330</v>
      </c>
      <c r="E1701" s="63">
        <v>1020.01</v>
      </c>
      <c r="F1701" s="63">
        <v>1</v>
      </c>
      <c r="G1701" s="63" t="s">
        <v>6</v>
      </c>
      <c r="H1701" s="63" t="s">
        <v>4</v>
      </c>
      <c r="I1701" s="63">
        <v>1</v>
      </c>
      <c r="J1701" s="63">
        <v>5.01</v>
      </c>
      <c r="K1701" s="63" t="s">
        <v>10</v>
      </c>
      <c r="L1701" s="63">
        <v>5775.4</v>
      </c>
      <c r="M1701" s="63">
        <v>0.10274</v>
      </c>
      <c r="N1701" s="63">
        <v>5775.5</v>
      </c>
      <c r="O1701" s="64">
        <v>0.10236000000000001</v>
      </c>
    </row>
    <row r="1702" spans="1:15" x14ac:dyDescent="0.25">
      <c r="A1702" s="114" t="s">
        <v>1553</v>
      </c>
      <c r="B1702" s="63" t="s">
        <v>51</v>
      </c>
      <c r="C1702" s="63" t="s">
        <v>8</v>
      </c>
      <c r="D1702" s="63">
        <v>330</v>
      </c>
      <c r="E1702" s="63">
        <v>1020.01</v>
      </c>
      <c r="F1702" s="63">
        <v>1</v>
      </c>
      <c r="G1702" s="63" t="s">
        <v>6</v>
      </c>
      <c r="H1702" s="63" t="s">
        <v>4</v>
      </c>
      <c r="I1702" s="63">
        <v>5</v>
      </c>
      <c r="J1702" s="63">
        <v>10.01</v>
      </c>
      <c r="K1702" s="63" t="s">
        <v>10</v>
      </c>
      <c r="L1702" s="63">
        <v>5769</v>
      </c>
      <c r="M1702" s="63">
        <v>0.12912000000000001</v>
      </c>
      <c r="N1702" s="63">
        <v>5769.1</v>
      </c>
      <c r="O1702" s="64">
        <v>0.12875</v>
      </c>
    </row>
    <row r="1703" spans="1:15" x14ac:dyDescent="0.25">
      <c r="A1703" s="114" t="s">
        <v>1552</v>
      </c>
      <c r="B1703" s="63" t="s">
        <v>51</v>
      </c>
      <c r="C1703" s="63" t="s">
        <v>8</v>
      </c>
      <c r="D1703" s="63">
        <v>330</v>
      </c>
      <c r="E1703" s="63">
        <v>1020.01</v>
      </c>
      <c r="F1703" s="63">
        <v>1</v>
      </c>
      <c r="G1703" s="63" t="s">
        <v>6</v>
      </c>
      <c r="H1703" s="63" t="s">
        <v>4</v>
      </c>
      <c r="I1703" s="63">
        <v>10</v>
      </c>
      <c r="J1703" s="63">
        <v>10.01</v>
      </c>
      <c r="K1703" s="63" t="s">
        <v>10</v>
      </c>
      <c r="L1703" s="63">
        <v>5769</v>
      </c>
      <c r="M1703" s="63">
        <v>0.12912000000000001</v>
      </c>
      <c r="N1703" s="63">
        <v>5769.1</v>
      </c>
      <c r="O1703" s="64">
        <v>0.12875</v>
      </c>
    </row>
    <row r="1704" spans="1:15" x14ac:dyDescent="0.25">
      <c r="A1704" s="114" t="s">
        <v>1439</v>
      </c>
      <c r="B1704" s="63" t="s">
        <v>51</v>
      </c>
      <c r="C1704" s="63" t="s">
        <v>8</v>
      </c>
      <c r="D1704" s="63">
        <v>0</v>
      </c>
      <c r="E1704" s="63">
        <v>3.3009999999999998E-2</v>
      </c>
      <c r="F1704" s="63">
        <v>10</v>
      </c>
      <c r="G1704" s="63" t="s">
        <v>6</v>
      </c>
      <c r="H1704" s="63" t="s">
        <v>5</v>
      </c>
      <c r="I1704" s="63">
        <v>0.01</v>
      </c>
      <c r="J1704" s="63">
        <v>4.5010000000000001E-2</v>
      </c>
      <c r="K1704" s="63" t="s">
        <v>10</v>
      </c>
      <c r="L1704" s="63">
        <v>5800000</v>
      </c>
      <c r="M1704" s="63">
        <v>4.6912000000000002E-2</v>
      </c>
      <c r="N1704" s="63">
        <v>5800000</v>
      </c>
      <c r="O1704" s="64">
        <v>1.5715E-2</v>
      </c>
    </row>
    <row r="1705" spans="1:15" x14ac:dyDescent="0.25">
      <c r="A1705" s="114" t="s">
        <v>1436</v>
      </c>
      <c r="B1705" s="63" t="s">
        <v>51</v>
      </c>
      <c r="C1705" s="63" t="s">
        <v>8</v>
      </c>
      <c r="D1705" s="63">
        <v>0</v>
      </c>
      <c r="E1705" s="63">
        <v>3.3009999999999998E-2</v>
      </c>
      <c r="F1705" s="63">
        <v>10</v>
      </c>
      <c r="G1705" s="63" t="s">
        <v>6</v>
      </c>
      <c r="H1705" s="63" t="s">
        <v>5</v>
      </c>
      <c r="I1705" s="63">
        <v>4.4999999999999998E-2</v>
      </c>
      <c r="J1705" s="63">
        <v>10.00001</v>
      </c>
      <c r="K1705" s="63" t="s">
        <v>10</v>
      </c>
      <c r="L1705" s="63">
        <v>5800000</v>
      </c>
      <c r="M1705" s="63">
        <v>3.9727999999999999E-2</v>
      </c>
      <c r="N1705" s="63">
        <v>5800000</v>
      </c>
      <c r="O1705" s="64">
        <v>8.5310000000000004E-3</v>
      </c>
    </row>
    <row r="1706" spans="1:15" x14ac:dyDescent="0.25">
      <c r="A1706" s="114" t="s">
        <v>1435</v>
      </c>
      <c r="B1706" s="63" t="s">
        <v>51</v>
      </c>
      <c r="C1706" s="63" t="s">
        <v>8</v>
      </c>
      <c r="D1706" s="63">
        <v>0</v>
      </c>
      <c r="E1706" s="63">
        <v>3.3009999999999998E-2</v>
      </c>
      <c r="F1706" s="63">
        <v>10</v>
      </c>
      <c r="G1706" s="63" t="s">
        <v>6</v>
      </c>
      <c r="H1706" s="63" t="s">
        <v>5</v>
      </c>
      <c r="I1706" s="63">
        <v>10</v>
      </c>
      <c r="J1706" s="63">
        <v>20.010000000000002</v>
      </c>
      <c r="K1706" s="63" t="s">
        <v>10</v>
      </c>
      <c r="L1706" s="63">
        <v>5800000</v>
      </c>
      <c r="M1706" s="63">
        <v>4.6912000000000002E-2</v>
      </c>
      <c r="N1706" s="63">
        <v>5800000</v>
      </c>
      <c r="O1706" s="64">
        <v>1.5715E-2</v>
      </c>
    </row>
    <row r="1707" spans="1:15" x14ac:dyDescent="0.25">
      <c r="A1707" s="114" t="s">
        <v>1438</v>
      </c>
      <c r="B1707" s="63" t="s">
        <v>51</v>
      </c>
      <c r="C1707" s="63" t="s">
        <v>8</v>
      </c>
      <c r="D1707" s="63">
        <v>0</v>
      </c>
      <c r="E1707" s="63">
        <v>3.3009999999999998E-2</v>
      </c>
      <c r="F1707" s="63">
        <v>10</v>
      </c>
      <c r="G1707" s="63" t="s">
        <v>6</v>
      </c>
      <c r="H1707" s="63" t="s">
        <v>5</v>
      </c>
      <c r="I1707" s="63">
        <v>20</v>
      </c>
      <c r="J1707" s="63">
        <v>50.01</v>
      </c>
      <c r="K1707" s="63" t="s">
        <v>10</v>
      </c>
      <c r="L1707" s="63">
        <v>5800000</v>
      </c>
      <c r="M1707" s="63">
        <v>5.6063000000000002E-2</v>
      </c>
      <c r="N1707" s="63">
        <v>5800000</v>
      </c>
      <c r="O1707" s="64">
        <v>2.4865999999999999E-2</v>
      </c>
    </row>
    <row r="1708" spans="1:15" x14ac:dyDescent="0.25">
      <c r="A1708" s="114" t="s">
        <v>1437</v>
      </c>
      <c r="B1708" s="63" t="s">
        <v>51</v>
      </c>
      <c r="C1708" s="63" t="s">
        <v>8</v>
      </c>
      <c r="D1708" s="63">
        <v>0</v>
      </c>
      <c r="E1708" s="63">
        <v>3.3009999999999998E-2</v>
      </c>
      <c r="F1708" s="63">
        <v>10</v>
      </c>
      <c r="G1708" s="63" t="s">
        <v>6</v>
      </c>
      <c r="H1708" s="63" t="s">
        <v>5</v>
      </c>
      <c r="I1708" s="63">
        <v>50</v>
      </c>
      <c r="J1708" s="63">
        <v>100.01</v>
      </c>
      <c r="K1708" s="63" t="s">
        <v>10</v>
      </c>
      <c r="L1708" s="63">
        <v>5800000</v>
      </c>
      <c r="M1708" s="63">
        <v>0.12109</v>
      </c>
      <c r="N1708" s="63">
        <v>5800000</v>
      </c>
      <c r="O1708" s="64">
        <v>7.4565999999999993E-2</v>
      </c>
    </row>
    <row r="1709" spans="1:15" x14ac:dyDescent="0.25">
      <c r="A1709" s="114" t="s">
        <v>1440</v>
      </c>
      <c r="B1709" s="63" t="s">
        <v>51</v>
      </c>
      <c r="C1709" s="63" t="s">
        <v>8</v>
      </c>
      <c r="D1709" s="63">
        <v>0</v>
      </c>
      <c r="E1709" s="63">
        <v>3.3009999999999998E-2</v>
      </c>
      <c r="F1709" s="63">
        <v>10</v>
      </c>
      <c r="G1709" s="63" t="s">
        <v>6</v>
      </c>
      <c r="H1709" s="63" t="s">
        <v>5</v>
      </c>
      <c r="I1709" s="63">
        <v>100</v>
      </c>
      <c r="J1709" s="63">
        <v>500.01</v>
      </c>
      <c r="K1709" s="63" t="s">
        <v>10</v>
      </c>
      <c r="L1709" s="63">
        <v>5800000</v>
      </c>
      <c r="M1709" s="63">
        <v>0.63641999999999999</v>
      </c>
      <c r="N1709" s="63">
        <v>5800000</v>
      </c>
      <c r="O1709" s="64">
        <v>0.52995000000000003</v>
      </c>
    </row>
    <row r="1710" spans="1:15" x14ac:dyDescent="0.25">
      <c r="A1710" s="114" t="s">
        <v>1541</v>
      </c>
      <c r="B1710" s="63" t="s">
        <v>51</v>
      </c>
      <c r="C1710" s="63" t="s">
        <v>8</v>
      </c>
      <c r="D1710" s="63">
        <v>33</v>
      </c>
      <c r="E1710" s="63">
        <v>330.01</v>
      </c>
      <c r="F1710" s="63">
        <v>10</v>
      </c>
      <c r="G1710" s="63" t="s">
        <v>6</v>
      </c>
      <c r="H1710" s="63" t="s">
        <v>4</v>
      </c>
      <c r="I1710" s="63">
        <v>0.01</v>
      </c>
      <c r="J1710" s="63">
        <v>4.5010000000000001E-2</v>
      </c>
      <c r="K1710" s="63" t="s">
        <v>10</v>
      </c>
      <c r="L1710" s="63">
        <v>5799.7</v>
      </c>
      <c r="M1710" s="63">
        <v>1.0862E-2</v>
      </c>
      <c r="N1710" s="63">
        <v>5799.7</v>
      </c>
      <c r="O1710" s="64">
        <v>1.0822E-2</v>
      </c>
    </row>
    <row r="1711" spans="1:15" x14ac:dyDescent="0.25">
      <c r="A1711" s="114" t="s">
        <v>2540</v>
      </c>
      <c r="B1711" s="63" t="s">
        <v>51</v>
      </c>
      <c r="C1711" s="63" t="s">
        <v>8</v>
      </c>
      <c r="D1711" s="63">
        <v>33</v>
      </c>
      <c r="E1711" s="63">
        <v>330.01</v>
      </c>
      <c r="F1711" s="63">
        <v>10</v>
      </c>
      <c r="G1711" s="63" t="s">
        <v>6</v>
      </c>
      <c r="H1711" s="63" t="s">
        <v>4</v>
      </c>
      <c r="I1711" s="63">
        <v>4.4999999999999998E-2</v>
      </c>
      <c r="J1711" s="63">
        <v>10.00001</v>
      </c>
      <c r="K1711" s="63" t="s">
        <v>10</v>
      </c>
      <c r="L1711" s="63">
        <v>5799.2</v>
      </c>
      <c r="M1711" s="63">
        <v>2.8473999999999999E-2</v>
      </c>
      <c r="N1711" s="63">
        <v>5799.2</v>
      </c>
      <c r="O1711" s="64">
        <v>2.8386000000000002E-2</v>
      </c>
    </row>
    <row r="1712" spans="1:15" x14ac:dyDescent="0.25">
      <c r="A1712" s="114" t="s">
        <v>1543</v>
      </c>
      <c r="B1712" s="63" t="s">
        <v>51</v>
      </c>
      <c r="C1712" s="63" t="s">
        <v>8</v>
      </c>
      <c r="D1712" s="63">
        <v>33</v>
      </c>
      <c r="E1712" s="63">
        <v>330.01</v>
      </c>
      <c r="F1712" s="63">
        <v>10</v>
      </c>
      <c r="G1712" s="63" t="s">
        <v>6</v>
      </c>
      <c r="H1712" s="63" t="s">
        <v>4</v>
      </c>
      <c r="I1712" s="63">
        <v>10</v>
      </c>
      <c r="J1712" s="63">
        <v>20.010000000000002</v>
      </c>
      <c r="K1712" s="63" t="s">
        <v>10</v>
      </c>
      <c r="L1712" s="63">
        <v>5799</v>
      </c>
      <c r="M1712" s="63">
        <v>3.5762000000000002E-2</v>
      </c>
      <c r="N1712" s="63">
        <v>5799</v>
      </c>
      <c r="O1712" s="64">
        <v>3.5673999999999997E-2</v>
      </c>
    </row>
    <row r="1713" spans="1:15" x14ac:dyDescent="0.25">
      <c r="A1713" s="114" t="s">
        <v>1540</v>
      </c>
      <c r="B1713" s="63" t="s">
        <v>51</v>
      </c>
      <c r="C1713" s="63" t="s">
        <v>8</v>
      </c>
      <c r="D1713" s="63">
        <v>33</v>
      </c>
      <c r="E1713" s="63">
        <v>330.01</v>
      </c>
      <c r="F1713" s="63">
        <v>10</v>
      </c>
      <c r="G1713" s="63" t="s">
        <v>6</v>
      </c>
      <c r="H1713" s="63" t="s">
        <v>4</v>
      </c>
      <c r="I1713" s="63">
        <v>20</v>
      </c>
      <c r="J1713" s="63">
        <v>50.01</v>
      </c>
      <c r="K1713" s="63" t="s">
        <v>10</v>
      </c>
      <c r="L1713" s="63">
        <v>5798.2</v>
      </c>
      <c r="M1713" s="63">
        <v>6.3011999999999999E-2</v>
      </c>
      <c r="N1713" s="63">
        <v>5798.2</v>
      </c>
      <c r="O1713" s="64">
        <v>6.2924999999999995E-2</v>
      </c>
    </row>
    <row r="1714" spans="1:15" x14ac:dyDescent="0.25">
      <c r="A1714" s="114" t="s">
        <v>1542</v>
      </c>
      <c r="B1714" s="63" t="s">
        <v>51</v>
      </c>
      <c r="C1714" s="63" t="s">
        <v>8</v>
      </c>
      <c r="D1714" s="63">
        <v>33</v>
      </c>
      <c r="E1714" s="63">
        <v>330.01</v>
      </c>
      <c r="F1714" s="63">
        <v>10</v>
      </c>
      <c r="G1714" s="63" t="s">
        <v>6</v>
      </c>
      <c r="H1714" s="63" t="s">
        <v>4</v>
      </c>
      <c r="I1714" s="63">
        <v>50</v>
      </c>
      <c r="J1714" s="63">
        <v>100</v>
      </c>
      <c r="K1714" s="63" t="s">
        <v>10</v>
      </c>
      <c r="L1714" s="63">
        <v>5793.6</v>
      </c>
      <c r="M1714" s="63">
        <v>0.28499000000000002</v>
      </c>
      <c r="N1714" s="63">
        <v>5793.5</v>
      </c>
      <c r="O1714" s="64">
        <v>0.28476000000000001</v>
      </c>
    </row>
    <row r="1715" spans="1:15" x14ac:dyDescent="0.25">
      <c r="A1715" s="114" t="s">
        <v>1539</v>
      </c>
      <c r="B1715" s="63" t="s">
        <v>51</v>
      </c>
      <c r="C1715" s="63" t="s">
        <v>8</v>
      </c>
      <c r="D1715" s="63">
        <v>33</v>
      </c>
      <c r="E1715" s="63">
        <v>330.01</v>
      </c>
      <c r="F1715" s="63">
        <v>10</v>
      </c>
      <c r="G1715" s="63" t="s">
        <v>6</v>
      </c>
      <c r="H1715" s="63" t="s">
        <v>4</v>
      </c>
      <c r="I1715" s="63">
        <v>100</v>
      </c>
      <c r="J1715" s="63">
        <v>100.1</v>
      </c>
      <c r="K1715" s="63" t="s">
        <v>10</v>
      </c>
      <c r="L1715" s="63">
        <v>5793.6</v>
      </c>
      <c r="M1715" s="63">
        <v>0.28499000000000002</v>
      </c>
      <c r="N1715" s="63">
        <v>5793.5</v>
      </c>
      <c r="O1715" s="64">
        <v>0.28476000000000001</v>
      </c>
    </row>
    <row r="1716" spans="1:15" x14ac:dyDescent="0.25">
      <c r="A1716" s="114" t="s">
        <v>2541</v>
      </c>
      <c r="B1716" s="63" t="s">
        <v>51</v>
      </c>
      <c r="C1716" s="63" t="s">
        <v>8</v>
      </c>
      <c r="D1716" s="63">
        <v>330</v>
      </c>
      <c r="E1716" s="63">
        <v>1020.01</v>
      </c>
      <c r="F1716" s="63">
        <v>10</v>
      </c>
      <c r="G1716" s="63" t="s">
        <v>6</v>
      </c>
      <c r="H1716" s="63" t="s">
        <v>4</v>
      </c>
      <c r="I1716" s="63">
        <v>4.4999999999999998E-2</v>
      </c>
      <c r="J1716" s="63">
        <v>1.0000100000000001</v>
      </c>
      <c r="K1716" s="63" t="s">
        <v>10</v>
      </c>
      <c r="L1716" s="63">
        <v>57999</v>
      </c>
      <c r="M1716" s="63">
        <v>4.2792999999999998E-3</v>
      </c>
      <c r="N1716" s="63">
        <v>57999</v>
      </c>
      <c r="O1716" s="64">
        <v>4.1250000000000002E-3</v>
      </c>
    </row>
    <row r="1717" spans="1:15" x14ac:dyDescent="0.25">
      <c r="A1717" s="114" t="s">
        <v>1558</v>
      </c>
      <c r="B1717" s="63" t="s">
        <v>51</v>
      </c>
      <c r="C1717" s="63" t="s">
        <v>8</v>
      </c>
      <c r="D1717" s="63">
        <v>330</v>
      </c>
      <c r="E1717" s="63">
        <v>1020.01</v>
      </c>
      <c r="F1717" s="63">
        <v>10</v>
      </c>
      <c r="G1717" s="63" t="s">
        <v>6</v>
      </c>
      <c r="H1717" s="63" t="s">
        <v>4</v>
      </c>
      <c r="I1717" s="63">
        <v>1</v>
      </c>
      <c r="J1717" s="63">
        <v>5.01</v>
      </c>
      <c r="K1717" s="63" t="s">
        <v>10</v>
      </c>
      <c r="L1717" s="63">
        <v>57998</v>
      </c>
      <c r="M1717" s="63">
        <v>1.0468E-2</v>
      </c>
      <c r="N1717" s="63">
        <v>57998</v>
      </c>
      <c r="O1717" s="64">
        <v>1.0314E-2</v>
      </c>
    </row>
    <row r="1718" spans="1:15" x14ac:dyDescent="0.25">
      <c r="A1718" s="114" t="s">
        <v>1556</v>
      </c>
      <c r="B1718" s="63" t="s">
        <v>51</v>
      </c>
      <c r="C1718" s="63" t="s">
        <v>8</v>
      </c>
      <c r="D1718" s="63">
        <v>330</v>
      </c>
      <c r="E1718" s="63">
        <v>1020.01</v>
      </c>
      <c r="F1718" s="63">
        <v>10</v>
      </c>
      <c r="G1718" s="63" t="s">
        <v>6</v>
      </c>
      <c r="H1718" s="63" t="s">
        <v>4</v>
      </c>
      <c r="I1718" s="63">
        <v>5</v>
      </c>
      <c r="J1718" s="63">
        <v>10.01</v>
      </c>
      <c r="K1718" s="63" t="s">
        <v>10</v>
      </c>
      <c r="L1718" s="63">
        <v>57997</v>
      </c>
      <c r="M1718" s="63">
        <v>1.3152E-2</v>
      </c>
      <c r="N1718" s="63">
        <v>57997</v>
      </c>
      <c r="O1718" s="64">
        <v>1.2997999999999999E-2</v>
      </c>
    </row>
    <row r="1719" spans="1:15" x14ac:dyDescent="0.25">
      <c r="A1719" s="114" t="s">
        <v>1557</v>
      </c>
      <c r="B1719" s="63" t="s">
        <v>51</v>
      </c>
      <c r="C1719" s="63" t="s">
        <v>8</v>
      </c>
      <c r="D1719" s="63">
        <v>330</v>
      </c>
      <c r="E1719" s="63">
        <v>1020.01</v>
      </c>
      <c r="F1719" s="63">
        <v>10</v>
      </c>
      <c r="G1719" s="63" t="s">
        <v>6</v>
      </c>
      <c r="H1719" s="63" t="s">
        <v>4</v>
      </c>
      <c r="I1719" s="63">
        <v>10</v>
      </c>
      <c r="J1719" s="63">
        <v>10.01</v>
      </c>
      <c r="K1719" s="63" t="s">
        <v>10</v>
      </c>
      <c r="L1719" s="63">
        <v>57997</v>
      </c>
      <c r="M1719" s="63">
        <v>1.3152E-2</v>
      </c>
      <c r="N1719" s="63">
        <v>57997</v>
      </c>
      <c r="O1719" s="64">
        <v>1.2997999999999999E-2</v>
      </c>
    </row>
    <row r="1720" spans="1:15" x14ac:dyDescent="0.25">
      <c r="A1720" s="114" t="s">
        <v>770</v>
      </c>
      <c r="B1720" s="63" t="s">
        <v>51</v>
      </c>
      <c r="C1720" s="63" t="s">
        <v>96</v>
      </c>
      <c r="D1720" s="63">
        <v>0</v>
      </c>
      <c r="E1720" s="63">
        <v>1.0900099999999999E-5</v>
      </c>
      <c r="F1720" s="63">
        <v>1E-10</v>
      </c>
      <c r="G1720" s="63" t="s">
        <v>97</v>
      </c>
      <c r="H1720" s="63" t="s">
        <v>97</v>
      </c>
      <c r="I1720" s="63">
        <v>0</v>
      </c>
      <c r="J1720" s="63">
        <v>0</v>
      </c>
      <c r="L1720" s="63">
        <v>0</v>
      </c>
      <c r="M1720" s="63">
        <v>2.5000000000000001E-2</v>
      </c>
      <c r="N1720" s="63">
        <v>0</v>
      </c>
      <c r="O1720" s="64">
        <v>0</v>
      </c>
    </row>
    <row r="1721" spans="1:15" x14ac:dyDescent="0.25">
      <c r="A1721" s="114" t="s">
        <v>771</v>
      </c>
      <c r="B1721" s="63" t="s">
        <v>51</v>
      </c>
      <c r="C1721" s="63" t="s">
        <v>96</v>
      </c>
      <c r="D1721" s="63">
        <v>0</v>
      </c>
      <c r="E1721" s="63">
        <v>1.0900099999999999E-5</v>
      </c>
      <c r="F1721" s="63">
        <v>1.0000000000000001E-9</v>
      </c>
      <c r="G1721" s="63" t="s">
        <v>97</v>
      </c>
      <c r="H1721" s="63" t="s">
        <v>97</v>
      </c>
      <c r="I1721" s="63">
        <v>0</v>
      </c>
      <c r="J1721" s="63">
        <v>0</v>
      </c>
      <c r="L1721" s="63">
        <v>0</v>
      </c>
      <c r="M1721" s="63">
        <v>2.5177999999999999E-2</v>
      </c>
      <c r="N1721" s="63">
        <v>0</v>
      </c>
      <c r="O1721" s="64">
        <v>0</v>
      </c>
    </row>
    <row r="1722" spans="1:15" x14ac:dyDescent="0.25">
      <c r="A1722" s="114" t="s">
        <v>2542</v>
      </c>
      <c r="B1722" s="63" t="s">
        <v>51</v>
      </c>
      <c r="C1722" s="63" t="s">
        <v>96</v>
      </c>
      <c r="D1722" s="63">
        <v>1.0900000000000001E-5</v>
      </c>
      <c r="E1722" s="63">
        <v>1.090001E-4</v>
      </c>
      <c r="F1722" s="63">
        <v>1.0000000000000001E-9</v>
      </c>
      <c r="G1722" s="63" t="s">
        <v>97</v>
      </c>
      <c r="H1722" s="63" t="s">
        <v>97</v>
      </c>
      <c r="I1722" s="63">
        <v>0</v>
      </c>
      <c r="J1722" s="63">
        <v>0</v>
      </c>
      <c r="L1722" s="63">
        <v>0</v>
      </c>
      <c r="M1722" s="63">
        <v>2.5999999999999999E-3</v>
      </c>
      <c r="N1722" s="63">
        <v>0</v>
      </c>
      <c r="O1722" s="64">
        <v>0</v>
      </c>
    </row>
    <row r="1723" spans="1:15" x14ac:dyDescent="0.25">
      <c r="A1723" s="114" t="s">
        <v>772</v>
      </c>
      <c r="B1723" s="63" t="s">
        <v>51</v>
      </c>
      <c r="C1723" s="63" t="s">
        <v>96</v>
      </c>
      <c r="D1723" s="63">
        <v>0</v>
      </c>
      <c r="E1723" s="63">
        <v>1.0900099999999999E-5</v>
      </c>
      <c r="F1723" s="63">
        <v>1E-8</v>
      </c>
      <c r="G1723" s="63" t="s">
        <v>97</v>
      </c>
      <c r="H1723" s="63" t="s">
        <v>97</v>
      </c>
      <c r="I1723" s="63">
        <v>0</v>
      </c>
      <c r="J1723" s="63">
        <v>0</v>
      </c>
      <c r="L1723" s="63">
        <v>0</v>
      </c>
      <c r="M1723" s="63">
        <v>6.2989000000000003E-2</v>
      </c>
      <c r="N1723" s="63">
        <v>0</v>
      </c>
      <c r="O1723" s="64">
        <v>0</v>
      </c>
    </row>
    <row r="1724" spans="1:15" x14ac:dyDescent="0.25">
      <c r="A1724" s="114" t="s">
        <v>2543</v>
      </c>
      <c r="B1724" s="63" t="s">
        <v>51</v>
      </c>
      <c r="C1724" s="63" t="s">
        <v>96</v>
      </c>
      <c r="D1724" s="63">
        <v>1.0900000000000001E-5</v>
      </c>
      <c r="E1724" s="63">
        <v>1.090001E-4</v>
      </c>
      <c r="F1724" s="63">
        <v>1E-8</v>
      </c>
      <c r="G1724" s="63" t="s">
        <v>97</v>
      </c>
      <c r="H1724" s="63" t="s">
        <v>97</v>
      </c>
      <c r="I1724" s="63">
        <v>0</v>
      </c>
      <c r="J1724" s="63">
        <v>0</v>
      </c>
      <c r="L1724" s="63">
        <v>0</v>
      </c>
      <c r="M1724" s="63">
        <v>2.5999999999999999E-3</v>
      </c>
      <c r="N1724" s="63">
        <v>0</v>
      </c>
      <c r="O1724" s="64">
        <v>0</v>
      </c>
    </row>
    <row r="1725" spans="1:15" x14ac:dyDescent="0.25">
      <c r="A1725" s="114" t="s">
        <v>774</v>
      </c>
      <c r="B1725" s="63" t="s">
        <v>51</v>
      </c>
      <c r="C1725" s="63" t="s">
        <v>96</v>
      </c>
      <c r="D1725" s="63">
        <v>1.0900000000000001E-4</v>
      </c>
      <c r="E1725" s="63">
        <v>1.0901000000000001E-3</v>
      </c>
      <c r="F1725" s="63">
        <v>1E-8</v>
      </c>
      <c r="G1725" s="63" t="s">
        <v>97</v>
      </c>
      <c r="H1725" s="63" t="s">
        <v>97</v>
      </c>
      <c r="I1725" s="63">
        <v>0</v>
      </c>
      <c r="J1725" s="63">
        <v>0</v>
      </c>
      <c r="L1725" s="63">
        <v>0</v>
      </c>
      <c r="M1725" s="63">
        <v>1.6999999999999999E-3</v>
      </c>
      <c r="N1725" s="63">
        <v>0</v>
      </c>
      <c r="O1725" s="64">
        <v>0</v>
      </c>
    </row>
    <row r="1726" spans="1:15" x14ac:dyDescent="0.25">
      <c r="A1726" s="114" t="s">
        <v>773</v>
      </c>
      <c r="B1726" s="63" t="s">
        <v>51</v>
      </c>
      <c r="C1726" s="63" t="s">
        <v>96</v>
      </c>
      <c r="D1726" s="63">
        <v>0</v>
      </c>
      <c r="E1726" s="63">
        <v>1.0900099999999999E-5</v>
      </c>
      <c r="F1726" s="63">
        <v>9.9999999999999995E-8</v>
      </c>
      <c r="G1726" s="63" t="s">
        <v>97</v>
      </c>
      <c r="H1726" s="63" t="s">
        <v>97</v>
      </c>
      <c r="I1726" s="63">
        <v>0</v>
      </c>
      <c r="J1726" s="63">
        <v>0</v>
      </c>
      <c r="L1726" s="63">
        <v>0</v>
      </c>
      <c r="M1726" s="63">
        <v>0.58052999999999999</v>
      </c>
      <c r="N1726" s="63">
        <v>0</v>
      </c>
      <c r="O1726" s="64">
        <v>0</v>
      </c>
    </row>
    <row r="1727" spans="1:15" x14ac:dyDescent="0.25">
      <c r="A1727" s="114" t="s">
        <v>1965</v>
      </c>
      <c r="B1727" s="63" t="s">
        <v>51</v>
      </c>
      <c r="C1727" s="63" t="s">
        <v>96</v>
      </c>
      <c r="D1727" s="63">
        <v>1.0900000000000001E-5</v>
      </c>
      <c r="E1727" s="63">
        <v>1.090001E-4</v>
      </c>
      <c r="F1727" s="63">
        <v>9.9999999999999995E-8</v>
      </c>
      <c r="G1727" s="63" t="s">
        <v>97</v>
      </c>
      <c r="H1727" s="63" t="s">
        <v>97</v>
      </c>
      <c r="I1727" s="63">
        <v>0</v>
      </c>
      <c r="J1727" s="63">
        <v>0</v>
      </c>
      <c r="L1727" s="63">
        <v>0</v>
      </c>
      <c r="M1727" s="63">
        <v>5.8884000000000002E-3</v>
      </c>
      <c r="N1727" s="63">
        <v>0</v>
      </c>
      <c r="O1727" s="64">
        <v>0</v>
      </c>
    </row>
    <row r="1728" spans="1:15" x14ac:dyDescent="0.25">
      <c r="A1728" s="114" t="s">
        <v>775</v>
      </c>
      <c r="B1728" s="63" t="s">
        <v>51</v>
      </c>
      <c r="C1728" s="63" t="s">
        <v>96</v>
      </c>
      <c r="D1728" s="63">
        <v>1.0900000000000001E-4</v>
      </c>
      <c r="E1728" s="63">
        <v>1.0901000000000001E-3</v>
      </c>
      <c r="F1728" s="63">
        <v>9.9999999999999995E-8</v>
      </c>
      <c r="G1728" s="63" t="s">
        <v>97</v>
      </c>
      <c r="H1728" s="63" t="s">
        <v>97</v>
      </c>
      <c r="I1728" s="63">
        <v>0</v>
      </c>
      <c r="J1728" s="63">
        <v>0</v>
      </c>
      <c r="L1728" s="63">
        <v>0</v>
      </c>
      <c r="M1728" s="63">
        <v>1.6999999999999999E-3</v>
      </c>
      <c r="N1728" s="63">
        <v>0</v>
      </c>
      <c r="O1728" s="64">
        <v>0</v>
      </c>
    </row>
    <row r="1729" spans="1:15" x14ac:dyDescent="0.25">
      <c r="A1729" s="114" t="s">
        <v>778</v>
      </c>
      <c r="B1729" s="63" t="s">
        <v>51</v>
      </c>
      <c r="C1729" s="63" t="s">
        <v>96</v>
      </c>
      <c r="D1729" s="63">
        <v>1.09E-3</v>
      </c>
      <c r="E1729" s="63">
        <v>1.0900099999999999E-2</v>
      </c>
      <c r="F1729" s="63">
        <v>9.9999999999999995E-8</v>
      </c>
      <c r="G1729" s="63" t="s">
        <v>97</v>
      </c>
      <c r="H1729" s="63" t="s">
        <v>97</v>
      </c>
      <c r="I1729" s="63">
        <v>0</v>
      </c>
      <c r="J1729" s="63">
        <v>0</v>
      </c>
      <c r="L1729" s="63">
        <v>0</v>
      </c>
      <c r="M1729" s="63">
        <v>1.2999999999999999E-3</v>
      </c>
      <c r="N1729" s="63">
        <v>0</v>
      </c>
      <c r="O1729" s="64">
        <v>0</v>
      </c>
    </row>
    <row r="1730" spans="1:15" x14ac:dyDescent="0.25">
      <c r="A1730" s="114" t="s">
        <v>2544</v>
      </c>
      <c r="B1730" s="63" t="s">
        <v>51</v>
      </c>
      <c r="C1730" s="63" t="s">
        <v>96</v>
      </c>
      <c r="D1730" s="63">
        <v>0</v>
      </c>
      <c r="E1730" s="63">
        <v>1.0900099999999999E-5</v>
      </c>
      <c r="F1730" s="63">
        <v>9.9999999999999995E-7</v>
      </c>
      <c r="G1730" s="63" t="s">
        <v>97</v>
      </c>
      <c r="H1730" s="63" t="s">
        <v>97</v>
      </c>
      <c r="I1730" s="63">
        <v>0</v>
      </c>
      <c r="J1730" s="63">
        <v>0</v>
      </c>
      <c r="L1730" s="63">
        <v>0</v>
      </c>
      <c r="M1730" s="63">
        <v>5.8000999999999996</v>
      </c>
      <c r="N1730" s="63">
        <v>0</v>
      </c>
      <c r="O1730" s="64">
        <v>0</v>
      </c>
    </row>
    <row r="1731" spans="1:15" x14ac:dyDescent="0.25">
      <c r="A1731" s="114" t="s">
        <v>2545</v>
      </c>
      <c r="B1731" s="63" t="s">
        <v>51</v>
      </c>
      <c r="C1731" s="63" t="s">
        <v>96</v>
      </c>
      <c r="D1731" s="63">
        <v>1.0900000000000001E-5</v>
      </c>
      <c r="E1731" s="63">
        <v>1.090001E-4</v>
      </c>
      <c r="F1731" s="63">
        <v>9.9999999999999995E-7</v>
      </c>
      <c r="G1731" s="63" t="s">
        <v>97</v>
      </c>
      <c r="H1731" s="63" t="s">
        <v>97</v>
      </c>
      <c r="I1731" s="63">
        <v>0</v>
      </c>
      <c r="J1731" s="63">
        <v>0</v>
      </c>
      <c r="L1731" s="63">
        <v>0</v>
      </c>
      <c r="M1731" s="63">
        <v>5.3319999999999999E-2</v>
      </c>
      <c r="N1731" s="63">
        <v>0</v>
      </c>
      <c r="O1731" s="64">
        <v>0</v>
      </c>
    </row>
    <row r="1732" spans="1:15" x14ac:dyDescent="0.25">
      <c r="A1732" s="114" t="s">
        <v>776</v>
      </c>
      <c r="B1732" s="63" t="s">
        <v>51</v>
      </c>
      <c r="C1732" s="63" t="s">
        <v>96</v>
      </c>
      <c r="D1732" s="63">
        <v>1.0900000000000001E-4</v>
      </c>
      <c r="E1732" s="63">
        <v>1.0901000000000001E-3</v>
      </c>
      <c r="F1732" s="63">
        <v>9.9999999999999995E-7</v>
      </c>
      <c r="G1732" s="63" t="s">
        <v>97</v>
      </c>
      <c r="H1732" s="63" t="s">
        <v>97</v>
      </c>
      <c r="I1732" s="63">
        <v>0</v>
      </c>
      <c r="J1732" s="63">
        <v>0</v>
      </c>
      <c r="L1732" s="63">
        <v>0</v>
      </c>
      <c r="M1732" s="63">
        <v>5.5645E-3</v>
      </c>
      <c r="N1732" s="63">
        <v>0</v>
      </c>
      <c r="O1732" s="64">
        <v>0</v>
      </c>
    </row>
    <row r="1733" spans="1:15" x14ac:dyDescent="0.25">
      <c r="A1733" s="114" t="s">
        <v>2546</v>
      </c>
      <c r="B1733" s="63" t="s">
        <v>51</v>
      </c>
      <c r="C1733" s="63" t="s">
        <v>96</v>
      </c>
      <c r="D1733" s="63">
        <v>1.09E-3</v>
      </c>
      <c r="E1733" s="63">
        <v>1.0900099999999999E-2</v>
      </c>
      <c r="F1733" s="63">
        <v>9.9999999999999995E-7</v>
      </c>
      <c r="G1733" s="63" t="s">
        <v>97</v>
      </c>
      <c r="H1733" s="63" t="s">
        <v>97</v>
      </c>
      <c r="I1733" s="63">
        <v>0</v>
      </c>
      <c r="J1733" s="63">
        <v>0</v>
      </c>
      <c r="L1733" s="63">
        <v>0</v>
      </c>
      <c r="M1733" s="63">
        <v>1.3483E-3</v>
      </c>
      <c r="N1733" s="63">
        <v>0</v>
      </c>
      <c r="O1733" s="64">
        <v>0</v>
      </c>
    </row>
    <row r="1734" spans="1:15" x14ac:dyDescent="0.25">
      <c r="A1734" s="114" t="s">
        <v>782</v>
      </c>
      <c r="B1734" s="63" t="s">
        <v>51</v>
      </c>
      <c r="C1734" s="63" t="s">
        <v>96</v>
      </c>
      <c r="D1734" s="63">
        <v>1.09E-2</v>
      </c>
      <c r="E1734" s="63">
        <v>0.1090001</v>
      </c>
      <c r="F1734" s="63">
        <v>9.9999999999999995E-7</v>
      </c>
      <c r="G1734" s="63" t="s">
        <v>97</v>
      </c>
      <c r="H1734" s="63" t="s">
        <v>97</v>
      </c>
      <c r="I1734" s="63">
        <v>0</v>
      </c>
      <c r="J1734" s="63">
        <v>0</v>
      </c>
      <c r="L1734" s="63">
        <v>0</v>
      </c>
      <c r="M1734" s="63">
        <v>7.7999999999999999E-4</v>
      </c>
      <c r="N1734" s="63">
        <v>0</v>
      </c>
      <c r="O1734" s="64">
        <v>0</v>
      </c>
    </row>
    <row r="1735" spans="1:15" x14ac:dyDescent="0.25">
      <c r="A1735" s="114" t="s">
        <v>1966</v>
      </c>
      <c r="B1735" s="63" t="s">
        <v>51</v>
      </c>
      <c r="C1735" s="63" t="s">
        <v>96</v>
      </c>
      <c r="D1735" s="63">
        <v>1.0900000000000001E-5</v>
      </c>
      <c r="E1735" s="63">
        <v>1.090001E-4</v>
      </c>
      <c r="F1735" s="63">
        <v>1.0000000000000001E-5</v>
      </c>
      <c r="G1735" s="63" t="s">
        <v>97</v>
      </c>
      <c r="H1735" s="63" t="s">
        <v>97</v>
      </c>
      <c r="I1735" s="63">
        <v>0</v>
      </c>
      <c r="J1735" s="63">
        <v>0</v>
      </c>
      <c r="L1735" s="63">
        <v>0</v>
      </c>
      <c r="M1735" s="63">
        <v>0.53261000000000003</v>
      </c>
      <c r="N1735" s="63">
        <v>0</v>
      </c>
      <c r="O1735" s="64">
        <v>0</v>
      </c>
    </row>
    <row r="1736" spans="1:15" x14ac:dyDescent="0.25">
      <c r="A1736" s="114" t="s">
        <v>777</v>
      </c>
      <c r="B1736" s="63" t="s">
        <v>51</v>
      </c>
      <c r="C1736" s="63" t="s">
        <v>96</v>
      </c>
      <c r="D1736" s="63">
        <v>1.0900000000000001E-4</v>
      </c>
      <c r="E1736" s="63">
        <v>1.0901000000000001E-3</v>
      </c>
      <c r="F1736" s="63">
        <v>1.0000000000000001E-5</v>
      </c>
      <c r="G1736" s="63" t="s">
        <v>97</v>
      </c>
      <c r="H1736" s="63" t="s">
        <v>97</v>
      </c>
      <c r="I1736" s="63">
        <v>0</v>
      </c>
      <c r="J1736" s="63">
        <v>0</v>
      </c>
      <c r="L1736" s="63">
        <v>0</v>
      </c>
      <c r="M1736" s="63">
        <v>5.3284999999999999E-2</v>
      </c>
      <c r="N1736" s="63">
        <v>0</v>
      </c>
      <c r="O1736" s="64">
        <v>0</v>
      </c>
    </row>
    <row r="1737" spans="1:15" x14ac:dyDescent="0.25">
      <c r="A1737" s="114" t="s">
        <v>779</v>
      </c>
      <c r="B1737" s="63" t="s">
        <v>51</v>
      </c>
      <c r="C1737" s="63" t="s">
        <v>96</v>
      </c>
      <c r="D1737" s="63">
        <v>1.09E-3</v>
      </c>
      <c r="E1737" s="63">
        <v>1.0900099999999999E-2</v>
      </c>
      <c r="F1737" s="63">
        <v>1.0000000000000001E-5</v>
      </c>
      <c r="G1737" s="63" t="s">
        <v>97</v>
      </c>
      <c r="H1737" s="63" t="s">
        <v>97</v>
      </c>
      <c r="I1737" s="63">
        <v>0</v>
      </c>
      <c r="J1737" s="63">
        <v>0</v>
      </c>
      <c r="L1737" s="63">
        <v>0</v>
      </c>
      <c r="M1737" s="63">
        <v>5.4701999999999997E-3</v>
      </c>
      <c r="N1737" s="63">
        <v>0</v>
      </c>
      <c r="O1737" s="64">
        <v>0</v>
      </c>
    </row>
    <row r="1738" spans="1:15" x14ac:dyDescent="0.25">
      <c r="A1738" s="114" t="s">
        <v>783</v>
      </c>
      <c r="B1738" s="63" t="s">
        <v>51</v>
      </c>
      <c r="C1738" s="63" t="s">
        <v>96</v>
      </c>
      <c r="D1738" s="63">
        <v>1.09E-2</v>
      </c>
      <c r="E1738" s="63">
        <v>0.1090001</v>
      </c>
      <c r="F1738" s="63">
        <v>1.0000000000000001E-5</v>
      </c>
      <c r="G1738" s="63" t="s">
        <v>97</v>
      </c>
      <c r="H1738" s="63" t="s">
        <v>97</v>
      </c>
      <c r="I1738" s="63">
        <v>0</v>
      </c>
      <c r="J1738" s="63">
        <v>0</v>
      </c>
      <c r="L1738" s="63">
        <v>0</v>
      </c>
      <c r="M1738" s="63">
        <v>9.4315999999999996E-4</v>
      </c>
      <c r="N1738" s="63">
        <v>0</v>
      </c>
      <c r="O1738" s="64">
        <v>0</v>
      </c>
    </row>
    <row r="1739" spans="1:15" x14ac:dyDescent="0.25">
      <c r="A1739" s="114" t="s">
        <v>785</v>
      </c>
      <c r="B1739" s="63" t="s">
        <v>51</v>
      </c>
      <c r="C1739" s="63" t="s">
        <v>96</v>
      </c>
      <c r="D1739" s="63">
        <v>0.109</v>
      </c>
      <c r="E1739" s="63">
        <v>1.0901000000000001</v>
      </c>
      <c r="F1739" s="63">
        <v>1.0000000000000001E-5</v>
      </c>
      <c r="G1739" s="63" t="s">
        <v>97</v>
      </c>
      <c r="H1739" s="63" t="s">
        <v>97</v>
      </c>
      <c r="I1739" s="63">
        <v>0</v>
      </c>
      <c r="J1739" s="63">
        <v>0</v>
      </c>
      <c r="L1739" s="63">
        <v>0</v>
      </c>
      <c r="M1739" s="63">
        <v>7.7999999999999999E-4</v>
      </c>
      <c r="N1739" s="63">
        <v>0</v>
      </c>
      <c r="O1739" s="64">
        <v>0</v>
      </c>
    </row>
    <row r="1740" spans="1:15" x14ac:dyDescent="0.25">
      <c r="A1740" s="114" t="s">
        <v>2547</v>
      </c>
      <c r="B1740" s="63" t="s">
        <v>51</v>
      </c>
      <c r="C1740" s="63" t="s">
        <v>96</v>
      </c>
      <c r="D1740" s="63">
        <v>1.0900000000000001E-4</v>
      </c>
      <c r="E1740" s="63">
        <v>1.0901000000000001E-3</v>
      </c>
      <c r="F1740" s="63">
        <v>1E-4</v>
      </c>
      <c r="G1740" s="63" t="s">
        <v>97</v>
      </c>
      <c r="H1740" s="63" t="s">
        <v>97</v>
      </c>
      <c r="I1740" s="63">
        <v>0</v>
      </c>
      <c r="J1740" s="63">
        <v>0</v>
      </c>
      <c r="L1740" s="63">
        <v>0</v>
      </c>
      <c r="M1740" s="63">
        <v>0.53259999999999996</v>
      </c>
      <c r="N1740" s="63">
        <v>0</v>
      </c>
      <c r="O1740" s="64">
        <v>0</v>
      </c>
    </row>
    <row r="1741" spans="1:15" x14ac:dyDescent="0.25">
      <c r="A1741" s="114" t="s">
        <v>780</v>
      </c>
      <c r="B1741" s="63" t="s">
        <v>51</v>
      </c>
      <c r="C1741" s="63" t="s">
        <v>96</v>
      </c>
      <c r="D1741" s="63">
        <v>1.09E-3</v>
      </c>
      <c r="E1741" s="63">
        <v>1.0900099999999999E-2</v>
      </c>
      <c r="F1741" s="63">
        <v>1E-4</v>
      </c>
      <c r="G1741" s="63" t="s">
        <v>97</v>
      </c>
      <c r="H1741" s="63" t="s">
        <v>97</v>
      </c>
      <c r="I1741" s="63">
        <v>0</v>
      </c>
      <c r="J1741" s="63">
        <v>0</v>
      </c>
      <c r="L1741" s="63">
        <v>0</v>
      </c>
      <c r="M1741" s="63">
        <v>5.3275000000000003E-2</v>
      </c>
      <c r="N1741" s="63">
        <v>0</v>
      </c>
      <c r="O1741" s="64">
        <v>0</v>
      </c>
    </row>
    <row r="1742" spans="1:15" x14ac:dyDescent="0.25">
      <c r="A1742" s="114" t="s">
        <v>2548</v>
      </c>
      <c r="B1742" s="63" t="s">
        <v>51</v>
      </c>
      <c r="C1742" s="63" t="s">
        <v>96</v>
      </c>
      <c r="D1742" s="63">
        <v>1.09E-2</v>
      </c>
      <c r="E1742" s="63">
        <v>0.1090001</v>
      </c>
      <c r="F1742" s="63">
        <v>1E-4</v>
      </c>
      <c r="G1742" s="63" t="s">
        <v>97</v>
      </c>
      <c r="H1742" s="63" t="s">
        <v>97</v>
      </c>
      <c r="I1742" s="63">
        <v>0</v>
      </c>
      <c r="J1742" s="63">
        <v>0</v>
      </c>
      <c r="L1742" s="63">
        <v>0</v>
      </c>
      <c r="M1742" s="63">
        <v>5.3847000000000001E-3</v>
      </c>
      <c r="N1742" s="63">
        <v>0</v>
      </c>
      <c r="O1742" s="64">
        <v>0</v>
      </c>
    </row>
    <row r="1743" spans="1:15" x14ac:dyDescent="0.25">
      <c r="A1743" s="114" t="s">
        <v>786</v>
      </c>
      <c r="B1743" s="63" t="s">
        <v>51</v>
      </c>
      <c r="C1743" s="63" t="s">
        <v>96</v>
      </c>
      <c r="D1743" s="63">
        <v>0.109</v>
      </c>
      <c r="E1743" s="63">
        <v>1.0901000000000001</v>
      </c>
      <c r="F1743" s="63">
        <v>1E-4</v>
      </c>
      <c r="G1743" s="63" t="s">
        <v>97</v>
      </c>
      <c r="H1743" s="63" t="s">
        <v>97</v>
      </c>
      <c r="I1743" s="63">
        <v>0</v>
      </c>
      <c r="J1743" s="63">
        <v>0</v>
      </c>
      <c r="L1743" s="63">
        <v>0</v>
      </c>
      <c r="M1743" s="63">
        <v>9.4282999999999997E-4</v>
      </c>
      <c r="N1743" s="63">
        <v>0</v>
      </c>
      <c r="O1743" s="64">
        <v>0</v>
      </c>
    </row>
    <row r="1744" spans="1:15" x14ac:dyDescent="0.25">
      <c r="A1744" s="114" t="s">
        <v>2549</v>
      </c>
      <c r="B1744" s="63" t="s">
        <v>51</v>
      </c>
      <c r="C1744" s="63" t="s">
        <v>96</v>
      </c>
      <c r="D1744" s="63">
        <v>1.0900000000000001</v>
      </c>
      <c r="E1744" s="63">
        <v>10.9001</v>
      </c>
      <c r="F1744" s="63">
        <v>1E-4</v>
      </c>
      <c r="G1744" s="63" t="s">
        <v>97</v>
      </c>
      <c r="H1744" s="63" t="s">
        <v>97</v>
      </c>
      <c r="I1744" s="63">
        <v>0</v>
      </c>
      <c r="J1744" s="63">
        <v>0</v>
      </c>
      <c r="L1744" s="63">
        <v>0</v>
      </c>
      <c r="M1744" s="63">
        <v>1.2999999999999999E-3</v>
      </c>
      <c r="N1744" s="63">
        <v>0</v>
      </c>
      <c r="O1744" s="64">
        <v>0</v>
      </c>
    </row>
    <row r="1745" spans="1:15" x14ac:dyDescent="0.25">
      <c r="A1745" s="114" t="s">
        <v>781</v>
      </c>
      <c r="B1745" s="63" t="s">
        <v>51</v>
      </c>
      <c r="C1745" s="63" t="s">
        <v>96</v>
      </c>
      <c r="D1745" s="63">
        <v>1.09E-3</v>
      </c>
      <c r="E1745" s="63">
        <v>1.0900099999999999E-2</v>
      </c>
      <c r="F1745" s="63">
        <v>1E-3</v>
      </c>
      <c r="G1745" s="63" t="s">
        <v>97</v>
      </c>
      <c r="H1745" s="63" t="s">
        <v>97</v>
      </c>
      <c r="I1745" s="63">
        <v>0</v>
      </c>
      <c r="J1745" s="63">
        <v>0</v>
      </c>
      <c r="L1745" s="63">
        <v>0</v>
      </c>
      <c r="M1745" s="63">
        <v>0.53259999999999996</v>
      </c>
      <c r="N1745" s="63">
        <v>0</v>
      </c>
      <c r="O1745" s="64">
        <v>0</v>
      </c>
    </row>
    <row r="1746" spans="1:15" x14ac:dyDescent="0.25">
      <c r="A1746" s="114" t="s">
        <v>784</v>
      </c>
      <c r="B1746" s="63" t="s">
        <v>51</v>
      </c>
      <c r="C1746" s="63" t="s">
        <v>96</v>
      </c>
      <c r="D1746" s="63">
        <v>1.09E-2</v>
      </c>
      <c r="E1746" s="63">
        <v>0.1090001</v>
      </c>
      <c r="F1746" s="63">
        <v>1E-3</v>
      </c>
      <c r="G1746" s="63" t="s">
        <v>97</v>
      </c>
      <c r="H1746" s="63" t="s">
        <v>97</v>
      </c>
      <c r="I1746" s="63">
        <v>0</v>
      </c>
      <c r="J1746" s="63">
        <v>0</v>
      </c>
      <c r="L1746" s="63">
        <v>0</v>
      </c>
      <c r="M1746" s="63">
        <v>5.3267000000000002E-2</v>
      </c>
      <c r="N1746" s="63">
        <v>0</v>
      </c>
      <c r="O1746" s="64">
        <v>0</v>
      </c>
    </row>
    <row r="1747" spans="1:15" x14ac:dyDescent="0.25">
      <c r="A1747" s="114" t="s">
        <v>787</v>
      </c>
      <c r="B1747" s="63" t="s">
        <v>51</v>
      </c>
      <c r="C1747" s="63" t="s">
        <v>96</v>
      </c>
      <c r="D1747" s="63">
        <v>0.109</v>
      </c>
      <c r="E1747" s="63">
        <v>1.0901000000000001</v>
      </c>
      <c r="F1747" s="63">
        <v>1E-3</v>
      </c>
      <c r="G1747" s="63" t="s">
        <v>97</v>
      </c>
      <c r="H1747" s="63" t="s">
        <v>97</v>
      </c>
      <c r="I1747" s="63">
        <v>0</v>
      </c>
      <c r="J1747" s="63">
        <v>0</v>
      </c>
      <c r="L1747" s="63">
        <v>0</v>
      </c>
      <c r="M1747" s="63">
        <v>5.3845999999999998E-3</v>
      </c>
      <c r="N1747" s="63">
        <v>0</v>
      </c>
      <c r="O1747" s="64">
        <v>0</v>
      </c>
    </row>
    <row r="1748" spans="1:15" x14ac:dyDescent="0.25">
      <c r="A1748" s="114" t="s">
        <v>789</v>
      </c>
      <c r="B1748" s="63" t="s">
        <v>51</v>
      </c>
      <c r="C1748" s="63" t="s">
        <v>96</v>
      </c>
      <c r="D1748" s="63">
        <v>1.0900000000000001</v>
      </c>
      <c r="E1748" s="63">
        <v>10.9001</v>
      </c>
      <c r="F1748" s="63">
        <v>1E-3</v>
      </c>
      <c r="G1748" s="63" t="s">
        <v>97</v>
      </c>
      <c r="H1748" s="63" t="s">
        <v>97</v>
      </c>
      <c r="I1748" s="63">
        <v>0</v>
      </c>
      <c r="J1748" s="63">
        <v>0</v>
      </c>
      <c r="L1748" s="63">
        <v>0</v>
      </c>
      <c r="M1748" s="63">
        <v>1.3347000000000001E-3</v>
      </c>
      <c r="N1748" s="63">
        <v>0</v>
      </c>
      <c r="O1748" s="64">
        <v>0</v>
      </c>
    </row>
    <row r="1749" spans="1:15" x14ac:dyDescent="0.25">
      <c r="A1749" s="114" t="s">
        <v>792</v>
      </c>
      <c r="B1749" s="63" t="s">
        <v>51</v>
      </c>
      <c r="C1749" s="63" t="s">
        <v>96</v>
      </c>
      <c r="D1749" s="63">
        <v>10.9</v>
      </c>
      <c r="E1749" s="63">
        <v>109.0001</v>
      </c>
      <c r="F1749" s="63">
        <v>1E-3</v>
      </c>
      <c r="G1749" s="63" t="s">
        <v>97</v>
      </c>
      <c r="H1749" s="63" t="s">
        <v>97</v>
      </c>
      <c r="I1749" s="63">
        <v>0</v>
      </c>
      <c r="J1749" s="63">
        <v>0</v>
      </c>
      <c r="L1749" s="63">
        <v>0</v>
      </c>
      <c r="M1749" s="63">
        <v>8.8000000000000003E-4</v>
      </c>
      <c r="N1749" s="63">
        <v>0</v>
      </c>
      <c r="O1749" s="64">
        <v>0</v>
      </c>
    </row>
    <row r="1750" spans="1:15" x14ac:dyDescent="0.25">
      <c r="A1750" s="114" t="s">
        <v>2550</v>
      </c>
      <c r="B1750" s="63" t="s">
        <v>51</v>
      </c>
      <c r="C1750" s="63" t="s">
        <v>96</v>
      </c>
      <c r="D1750" s="63">
        <v>1.09E-2</v>
      </c>
      <c r="E1750" s="63">
        <v>0.1090001</v>
      </c>
      <c r="F1750" s="63">
        <v>0.01</v>
      </c>
      <c r="G1750" s="63" t="s">
        <v>97</v>
      </c>
      <c r="H1750" s="63" t="s">
        <v>97</v>
      </c>
      <c r="I1750" s="63">
        <v>0</v>
      </c>
      <c r="J1750" s="63">
        <v>0</v>
      </c>
      <c r="L1750" s="63">
        <v>0</v>
      </c>
      <c r="M1750" s="63">
        <v>0.53259999999999996</v>
      </c>
      <c r="N1750" s="63">
        <v>0</v>
      </c>
      <c r="O1750" s="64">
        <v>0</v>
      </c>
    </row>
    <row r="1751" spans="1:15" x14ac:dyDescent="0.25">
      <c r="A1751" s="114" t="s">
        <v>2551</v>
      </c>
      <c r="B1751" s="63" t="s">
        <v>51</v>
      </c>
      <c r="C1751" s="63" t="s">
        <v>96</v>
      </c>
      <c r="D1751" s="63">
        <v>0.109</v>
      </c>
      <c r="E1751" s="63">
        <v>1.0901000000000001</v>
      </c>
      <c r="F1751" s="63">
        <v>0.01</v>
      </c>
      <c r="G1751" s="63" t="s">
        <v>97</v>
      </c>
      <c r="H1751" s="63" t="s">
        <v>97</v>
      </c>
      <c r="I1751" s="63">
        <v>0</v>
      </c>
      <c r="J1751" s="63">
        <v>0</v>
      </c>
      <c r="L1751" s="63">
        <v>0</v>
      </c>
      <c r="M1751" s="63">
        <v>5.3267000000000002E-2</v>
      </c>
      <c r="N1751" s="63">
        <v>0</v>
      </c>
      <c r="O1751" s="64">
        <v>0</v>
      </c>
    </row>
    <row r="1752" spans="1:15" x14ac:dyDescent="0.25">
      <c r="A1752" s="114" t="s">
        <v>2552</v>
      </c>
      <c r="B1752" s="63" t="s">
        <v>51</v>
      </c>
      <c r="C1752" s="63" t="s">
        <v>96</v>
      </c>
      <c r="D1752" s="63">
        <v>1.0900000000000001</v>
      </c>
      <c r="E1752" s="63">
        <v>10.9001</v>
      </c>
      <c r="F1752" s="63">
        <v>0.01</v>
      </c>
      <c r="G1752" s="63" t="s">
        <v>97</v>
      </c>
      <c r="H1752" s="63" t="s">
        <v>97</v>
      </c>
      <c r="I1752" s="63">
        <v>0</v>
      </c>
      <c r="J1752" s="63">
        <v>0</v>
      </c>
      <c r="L1752" s="63">
        <v>0</v>
      </c>
      <c r="M1752" s="63">
        <v>5.4669000000000002E-3</v>
      </c>
      <c r="N1752" s="63">
        <v>0</v>
      </c>
      <c r="O1752" s="64">
        <v>0</v>
      </c>
    </row>
    <row r="1753" spans="1:15" x14ac:dyDescent="0.25">
      <c r="A1753" s="114" t="s">
        <v>793</v>
      </c>
      <c r="B1753" s="63" t="s">
        <v>51</v>
      </c>
      <c r="C1753" s="63" t="s">
        <v>96</v>
      </c>
      <c r="D1753" s="63">
        <v>10.9</v>
      </c>
      <c r="E1753" s="63">
        <v>109.0001</v>
      </c>
      <c r="F1753" s="63">
        <v>0.01</v>
      </c>
      <c r="G1753" s="63" t="s">
        <v>97</v>
      </c>
      <c r="H1753" s="63" t="s">
        <v>97</v>
      </c>
      <c r="I1753" s="63">
        <v>0</v>
      </c>
      <c r="J1753" s="63">
        <v>0</v>
      </c>
      <c r="L1753" s="63">
        <v>0</v>
      </c>
      <c r="M1753" s="63">
        <v>1.0256E-3</v>
      </c>
      <c r="N1753" s="63">
        <v>0</v>
      </c>
      <c r="O1753" s="64">
        <v>0</v>
      </c>
    </row>
    <row r="1754" spans="1:15" x14ac:dyDescent="0.25">
      <c r="A1754" s="114" t="s">
        <v>797</v>
      </c>
      <c r="B1754" s="63" t="s">
        <v>51</v>
      </c>
      <c r="C1754" s="63" t="s">
        <v>96</v>
      </c>
      <c r="D1754" s="63">
        <v>109</v>
      </c>
      <c r="E1754" s="63">
        <v>363.00009999999997</v>
      </c>
      <c r="F1754" s="63">
        <v>0.01</v>
      </c>
      <c r="G1754" s="63" t="s">
        <v>97</v>
      </c>
      <c r="H1754" s="63" t="s">
        <v>97</v>
      </c>
      <c r="I1754" s="63">
        <v>0</v>
      </c>
      <c r="J1754" s="63">
        <v>0</v>
      </c>
      <c r="L1754" s="63">
        <v>0</v>
      </c>
      <c r="M1754" s="63">
        <v>1.1999999999999999E-3</v>
      </c>
      <c r="N1754" s="63">
        <v>0</v>
      </c>
      <c r="O1754" s="64">
        <v>0</v>
      </c>
    </row>
    <row r="1755" spans="1:15" x14ac:dyDescent="0.25">
      <c r="A1755" s="114" t="s">
        <v>801</v>
      </c>
      <c r="B1755" s="63" t="s">
        <v>51</v>
      </c>
      <c r="C1755" s="63" t="s">
        <v>96</v>
      </c>
      <c r="D1755" s="63">
        <v>363</v>
      </c>
      <c r="E1755" s="63">
        <v>990.00009999999997</v>
      </c>
      <c r="F1755" s="63">
        <v>0.01</v>
      </c>
      <c r="G1755" s="63" t="s">
        <v>97</v>
      </c>
      <c r="H1755" s="63" t="s">
        <v>97</v>
      </c>
      <c r="I1755" s="63">
        <v>0</v>
      </c>
      <c r="J1755" s="63">
        <v>0</v>
      </c>
      <c r="L1755" s="63">
        <v>0</v>
      </c>
      <c r="M1755" s="63">
        <v>1E-3</v>
      </c>
      <c r="N1755" s="63">
        <v>0</v>
      </c>
      <c r="O1755" s="64">
        <v>0</v>
      </c>
    </row>
    <row r="1756" spans="1:15" x14ac:dyDescent="0.25">
      <c r="A1756" s="114" t="s">
        <v>788</v>
      </c>
      <c r="B1756" s="63" t="s">
        <v>51</v>
      </c>
      <c r="C1756" s="63" t="s">
        <v>96</v>
      </c>
      <c r="D1756" s="63">
        <v>0.109</v>
      </c>
      <c r="E1756" s="63">
        <v>1.0901000000000001</v>
      </c>
      <c r="F1756" s="63">
        <v>0.1</v>
      </c>
      <c r="G1756" s="63" t="s">
        <v>97</v>
      </c>
      <c r="H1756" s="63" t="s">
        <v>97</v>
      </c>
      <c r="I1756" s="63">
        <v>0</v>
      </c>
      <c r="J1756" s="63">
        <v>0</v>
      </c>
      <c r="L1756" s="63">
        <v>0</v>
      </c>
      <c r="M1756" s="63">
        <v>0.53259999999999996</v>
      </c>
      <c r="N1756" s="63">
        <v>0</v>
      </c>
      <c r="O1756" s="64">
        <v>0</v>
      </c>
    </row>
    <row r="1757" spans="1:15" x14ac:dyDescent="0.25">
      <c r="A1757" s="114" t="s">
        <v>790</v>
      </c>
      <c r="B1757" s="63" t="s">
        <v>51</v>
      </c>
      <c r="C1757" s="63" t="s">
        <v>96</v>
      </c>
      <c r="D1757" s="63">
        <v>1.0900000000000001</v>
      </c>
      <c r="E1757" s="63">
        <v>10.9001</v>
      </c>
      <c r="F1757" s="63">
        <v>0.1</v>
      </c>
      <c r="G1757" s="63" t="s">
        <v>97</v>
      </c>
      <c r="H1757" s="63" t="s">
        <v>97</v>
      </c>
      <c r="I1757" s="63">
        <v>0</v>
      </c>
      <c r="J1757" s="63">
        <v>0</v>
      </c>
      <c r="L1757" s="63">
        <v>0</v>
      </c>
      <c r="M1757" s="63">
        <v>5.3275000000000003E-2</v>
      </c>
      <c r="N1757" s="63">
        <v>0</v>
      </c>
      <c r="O1757" s="64">
        <v>0</v>
      </c>
    </row>
    <row r="1758" spans="1:15" x14ac:dyDescent="0.25">
      <c r="A1758" s="114" t="s">
        <v>794</v>
      </c>
      <c r="B1758" s="63" t="s">
        <v>51</v>
      </c>
      <c r="C1758" s="63" t="s">
        <v>96</v>
      </c>
      <c r="D1758" s="63">
        <v>10.9</v>
      </c>
      <c r="E1758" s="63">
        <v>109.0001</v>
      </c>
      <c r="F1758" s="63">
        <v>0.1</v>
      </c>
      <c r="G1758" s="63" t="s">
        <v>97</v>
      </c>
      <c r="H1758" s="63" t="s">
        <v>97</v>
      </c>
      <c r="I1758" s="63">
        <v>0</v>
      </c>
      <c r="J1758" s="63">
        <v>0</v>
      </c>
      <c r="L1758" s="63">
        <v>0</v>
      </c>
      <c r="M1758" s="63">
        <v>5.3997000000000003E-3</v>
      </c>
      <c r="N1758" s="63">
        <v>0</v>
      </c>
      <c r="O1758" s="64">
        <v>0</v>
      </c>
    </row>
    <row r="1759" spans="1:15" x14ac:dyDescent="0.25">
      <c r="A1759" s="114" t="s">
        <v>798</v>
      </c>
      <c r="B1759" s="63" t="s">
        <v>51</v>
      </c>
      <c r="C1759" s="63" t="s">
        <v>96</v>
      </c>
      <c r="D1759" s="63">
        <v>109</v>
      </c>
      <c r="E1759" s="63">
        <v>363.00009999999997</v>
      </c>
      <c r="F1759" s="63">
        <v>0.1</v>
      </c>
      <c r="G1759" s="63" t="s">
        <v>97</v>
      </c>
      <c r="H1759" s="63" t="s">
        <v>97</v>
      </c>
      <c r="I1759" s="63">
        <v>0</v>
      </c>
      <c r="J1759" s="63">
        <v>0</v>
      </c>
      <c r="L1759" s="63">
        <v>0</v>
      </c>
      <c r="M1759" s="63">
        <v>1.2283999999999999E-3</v>
      </c>
      <c r="N1759" s="63">
        <v>0</v>
      </c>
      <c r="O1759" s="64">
        <v>0</v>
      </c>
    </row>
    <row r="1760" spans="1:15" x14ac:dyDescent="0.25">
      <c r="A1760" s="114" t="s">
        <v>802</v>
      </c>
      <c r="B1760" s="63" t="s">
        <v>51</v>
      </c>
      <c r="C1760" s="63" t="s">
        <v>96</v>
      </c>
      <c r="D1760" s="63">
        <v>363</v>
      </c>
      <c r="E1760" s="63">
        <v>990.00009999999997</v>
      </c>
      <c r="F1760" s="63">
        <v>0.1</v>
      </c>
      <c r="G1760" s="63" t="s">
        <v>97</v>
      </c>
      <c r="H1760" s="63" t="s">
        <v>97</v>
      </c>
      <c r="I1760" s="63">
        <v>0</v>
      </c>
      <c r="J1760" s="63">
        <v>0</v>
      </c>
      <c r="L1760" s="63">
        <v>0</v>
      </c>
      <c r="M1760" s="63">
        <v>1.0070000000000001E-3</v>
      </c>
      <c r="N1760" s="63">
        <v>0</v>
      </c>
      <c r="O1760" s="64">
        <v>0</v>
      </c>
    </row>
    <row r="1761" spans="1:15" x14ac:dyDescent="0.25">
      <c r="A1761" s="114" t="s">
        <v>2553</v>
      </c>
      <c r="B1761" s="63" t="s">
        <v>51</v>
      </c>
      <c r="C1761" s="63" t="s">
        <v>96</v>
      </c>
      <c r="D1761" s="63">
        <v>990</v>
      </c>
      <c r="E1761" s="63">
        <v>3630.1</v>
      </c>
      <c r="F1761" s="63">
        <v>0.1</v>
      </c>
      <c r="G1761" s="63" t="s">
        <v>97</v>
      </c>
      <c r="H1761" s="63" t="s">
        <v>97</v>
      </c>
      <c r="I1761" s="63">
        <v>0</v>
      </c>
      <c r="J1761" s="63">
        <v>0</v>
      </c>
      <c r="L1761" s="63">
        <v>0</v>
      </c>
      <c r="M1761" s="63">
        <v>2.0999999999999999E-3</v>
      </c>
      <c r="N1761" s="63">
        <v>0</v>
      </c>
      <c r="O1761" s="64">
        <v>0</v>
      </c>
    </row>
    <row r="1762" spans="1:15" x14ac:dyDescent="0.25">
      <c r="A1762" s="114" t="s">
        <v>2554</v>
      </c>
      <c r="B1762" s="63" t="s">
        <v>51</v>
      </c>
      <c r="C1762" s="63" t="s">
        <v>96</v>
      </c>
      <c r="D1762" s="63">
        <v>3630</v>
      </c>
      <c r="E1762" s="63">
        <v>11200.1</v>
      </c>
      <c r="F1762" s="63">
        <v>0.1</v>
      </c>
      <c r="G1762" s="63" t="s">
        <v>97</v>
      </c>
      <c r="H1762" s="63" t="s">
        <v>97</v>
      </c>
      <c r="I1762" s="63">
        <v>0</v>
      </c>
      <c r="J1762" s="63">
        <v>0</v>
      </c>
      <c r="L1762" s="63">
        <v>0</v>
      </c>
      <c r="M1762" s="63">
        <v>1.6000000000000001E-3</v>
      </c>
      <c r="N1762" s="63">
        <v>0</v>
      </c>
      <c r="O1762" s="64">
        <v>0</v>
      </c>
    </row>
    <row r="1763" spans="1:15" x14ac:dyDescent="0.25">
      <c r="A1763" s="114" t="s">
        <v>811</v>
      </c>
      <c r="B1763" s="63" t="s">
        <v>51</v>
      </c>
      <c r="C1763" s="63" t="s">
        <v>96</v>
      </c>
      <c r="D1763" s="63">
        <v>11200</v>
      </c>
      <c r="E1763" s="63">
        <v>20900</v>
      </c>
      <c r="F1763" s="63">
        <v>0.1</v>
      </c>
      <c r="G1763" s="63" t="s">
        <v>97</v>
      </c>
      <c r="H1763" s="63" t="s">
        <v>97</v>
      </c>
      <c r="I1763" s="63">
        <v>0</v>
      </c>
      <c r="J1763" s="63">
        <v>0</v>
      </c>
      <c r="L1763" s="63">
        <v>0</v>
      </c>
      <c r="M1763" s="63">
        <v>0.15978999999999999</v>
      </c>
      <c r="N1763" s="63">
        <v>0</v>
      </c>
      <c r="O1763" s="64">
        <v>0</v>
      </c>
    </row>
    <row r="1764" spans="1:15" x14ac:dyDescent="0.25">
      <c r="A1764" s="114" t="s">
        <v>815</v>
      </c>
      <c r="B1764" s="63" t="s">
        <v>51</v>
      </c>
      <c r="C1764" s="63" t="s">
        <v>96</v>
      </c>
      <c r="D1764" s="63">
        <v>20900</v>
      </c>
      <c r="E1764" s="63">
        <v>20901</v>
      </c>
      <c r="F1764" s="63">
        <v>0.1</v>
      </c>
      <c r="G1764" s="63" t="s">
        <v>97</v>
      </c>
      <c r="H1764" s="63" t="s">
        <v>97</v>
      </c>
      <c r="I1764" s="63">
        <v>0</v>
      </c>
      <c r="J1764" s="63">
        <v>0</v>
      </c>
      <c r="L1764" s="63">
        <v>0</v>
      </c>
      <c r="M1764" s="63">
        <v>0.15978999999999999</v>
      </c>
      <c r="N1764" s="63">
        <v>0</v>
      </c>
      <c r="O1764" s="64">
        <v>0</v>
      </c>
    </row>
    <row r="1765" spans="1:15" x14ac:dyDescent="0.25">
      <c r="A1765" s="114" t="s">
        <v>791</v>
      </c>
      <c r="B1765" s="63" t="s">
        <v>51</v>
      </c>
      <c r="C1765" s="63" t="s">
        <v>96</v>
      </c>
      <c r="D1765" s="63">
        <v>1.0900000000000001</v>
      </c>
      <c r="E1765" s="63">
        <v>10.9001</v>
      </c>
      <c r="F1765" s="63">
        <v>1</v>
      </c>
      <c r="G1765" s="63" t="s">
        <v>97</v>
      </c>
      <c r="H1765" s="63" t="s">
        <v>97</v>
      </c>
      <c r="I1765" s="63">
        <v>0</v>
      </c>
      <c r="J1765" s="63">
        <v>0</v>
      </c>
      <c r="L1765" s="63">
        <v>0</v>
      </c>
      <c r="M1765" s="63">
        <v>0.53259999999999996</v>
      </c>
      <c r="N1765" s="63">
        <v>0</v>
      </c>
      <c r="O1765" s="64">
        <v>0</v>
      </c>
    </row>
    <row r="1766" spans="1:15" x14ac:dyDescent="0.25">
      <c r="A1766" s="114" t="s">
        <v>795</v>
      </c>
      <c r="B1766" s="63" t="s">
        <v>51</v>
      </c>
      <c r="C1766" s="63" t="s">
        <v>96</v>
      </c>
      <c r="D1766" s="63">
        <v>10.9</v>
      </c>
      <c r="E1766" s="63">
        <v>109.0001</v>
      </c>
      <c r="F1766" s="63">
        <v>1</v>
      </c>
      <c r="G1766" s="63" t="s">
        <v>97</v>
      </c>
      <c r="H1766" s="63" t="s">
        <v>97</v>
      </c>
      <c r="I1766" s="63">
        <v>0</v>
      </c>
      <c r="J1766" s="63">
        <v>0</v>
      </c>
      <c r="L1766" s="63">
        <v>0</v>
      </c>
      <c r="M1766" s="63">
        <v>5.3268000000000003E-2</v>
      </c>
      <c r="N1766" s="63">
        <v>0</v>
      </c>
      <c r="O1766" s="64">
        <v>0</v>
      </c>
    </row>
    <row r="1767" spans="1:15" x14ac:dyDescent="0.25">
      <c r="A1767" s="114" t="s">
        <v>799</v>
      </c>
      <c r="B1767" s="63" t="s">
        <v>51</v>
      </c>
      <c r="C1767" s="63" t="s">
        <v>96</v>
      </c>
      <c r="D1767" s="63">
        <v>109</v>
      </c>
      <c r="E1767" s="63">
        <v>363.00009999999997</v>
      </c>
      <c r="F1767" s="63">
        <v>1</v>
      </c>
      <c r="G1767" s="63" t="s">
        <v>97</v>
      </c>
      <c r="H1767" s="63" t="s">
        <v>97</v>
      </c>
      <c r="I1767" s="63">
        <v>0</v>
      </c>
      <c r="J1767" s="63">
        <v>0</v>
      </c>
      <c r="L1767" s="63">
        <v>0</v>
      </c>
      <c r="M1767" s="63">
        <v>5.4419000000000004E-3</v>
      </c>
      <c r="N1767" s="63">
        <v>0</v>
      </c>
      <c r="O1767" s="64">
        <v>0</v>
      </c>
    </row>
    <row r="1768" spans="1:15" x14ac:dyDescent="0.25">
      <c r="A1768" s="114" t="s">
        <v>803</v>
      </c>
      <c r="B1768" s="63" t="s">
        <v>51</v>
      </c>
      <c r="C1768" s="63" t="s">
        <v>96</v>
      </c>
      <c r="D1768" s="63">
        <v>363</v>
      </c>
      <c r="E1768" s="63">
        <v>990.00009999999997</v>
      </c>
      <c r="F1768" s="63">
        <v>1</v>
      </c>
      <c r="G1768" s="63" t="s">
        <v>97</v>
      </c>
      <c r="H1768" s="63" t="s">
        <v>97</v>
      </c>
      <c r="I1768" s="63">
        <v>0</v>
      </c>
      <c r="J1768" s="63">
        <v>0</v>
      </c>
      <c r="L1768" s="63">
        <v>0</v>
      </c>
      <c r="M1768" s="63">
        <v>1.8832E-3</v>
      </c>
      <c r="N1768" s="63">
        <v>0</v>
      </c>
      <c r="O1768" s="64">
        <v>0</v>
      </c>
    </row>
    <row r="1769" spans="1:15" x14ac:dyDescent="0.25">
      <c r="A1769" s="114" t="s">
        <v>805</v>
      </c>
      <c r="B1769" s="63" t="s">
        <v>51</v>
      </c>
      <c r="C1769" s="63" t="s">
        <v>96</v>
      </c>
      <c r="D1769" s="63">
        <v>990</v>
      </c>
      <c r="E1769" s="63">
        <v>3630.1</v>
      </c>
      <c r="F1769" s="63">
        <v>1</v>
      </c>
      <c r="G1769" s="63" t="s">
        <v>97</v>
      </c>
      <c r="H1769" s="63" t="s">
        <v>97</v>
      </c>
      <c r="I1769" s="63">
        <v>0</v>
      </c>
      <c r="J1769" s="63">
        <v>0</v>
      </c>
      <c r="L1769" s="63">
        <v>0</v>
      </c>
      <c r="M1769" s="63">
        <v>2.0999999999999999E-3</v>
      </c>
      <c r="N1769" s="63">
        <v>0</v>
      </c>
      <c r="O1769" s="64">
        <v>0</v>
      </c>
    </row>
    <row r="1770" spans="1:15" x14ac:dyDescent="0.25">
      <c r="A1770" s="114" t="s">
        <v>808</v>
      </c>
      <c r="B1770" s="63" t="s">
        <v>51</v>
      </c>
      <c r="C1770" s="63" t="s">
        <v>96</v>
      </c>
      <c r="D1770" s="63">
        <v>3630</v>
      </c>
      <c r="E1770" s="63">
        <v>11200.1</v>
      </c>
      <c r="F1770" s="63">
        <v>1</v>
      </c>
      <c r="G1770" s="63" t="s">
        <v>97</v>
      </c>
      <c r="H1770" s="63" t="s">
        <v>97</v>
      </c>
      <c r="I1770" s="63">
        <v>0</v>
      </c>
      <c r="J1770" s="63">
        <v>0</v>
      </c>
      <c r="L1770" s="63">
        <v>0</v>
      </c>
      <c r="M1770" s="63">
        <v>1.6000000000000001E-3</v>
      </c>
      <c r="N1770" s="63">
        <v>0</v>
      </c>
      <c r="O1770" s="64">
        <v>0</v>
      </c>
    </row>
    <row r="1771" spans="1:15" x14ac:dyDescent="0.25">
      <c r="A1771" s="114" t="s">
        <v>2555</v>
      </c>
      <c r="B1771" s="63" t="s">
        <v>51</v>
      </c>
      <c r="C1771" s="63" t="s">
        <v>96</v>
      </c>
      <c r="D1771" s="63">
        <v>11200</v>
      </c>
      <c r="E1771" s="63">
        <v>20900</v>
      </c>
      <c r="F1771" s="63">
        <v>1</v>
      </c>
      <c r="G1771" s="63" t="s">
        <v>97</v>
      </c>
      <c r="H1771" s="63" t="s">
        <v>97</v>
      </c>
      <c r="I1771" s="63">
        <v>0</v>
      </c>
      <c r="J1771" s="63">
        <v>0</v>
      </c>
      <c r="L1771" s="63">
        <v>0</v>
      </c>
      <c r="M1771" s="63">
        <v>2.0999999999999999E-3</v>
      </c>
      <c r="N1771" s="63">
        <v>0</v>
      </c>
      <c r="O1771" s="64">
        <v>0</v>
      </c>
    </row>
    <row r="1772" spans="1:15" x14ac:dyDescent="0.25">
      <c r="A1772" s="114" t="s">
        <v>816</v>
      </c>
      <c r="B1772" s="63" t="s">
        <v>51</v>
      </c>
      <c r="C1772" s="63" t="s">
        <v>96</v>
      </c>
      <c r="D1772" s="63">
        <v>20900</v>
      </c>
      <c r="E1772" s="63">
        <v>20901</v>
      </c>
      <c r="F1772" s="63">
        <v>1</v>
      </c>
      <c r="G1772" s="63" t="s">
        <v>97</v>
      </c>
      <c r="H1772" s="63" t="s">
        <v>97</v>
      </c>
      <c r="I1772" s="63">
        <v>0</v>
      </c>
      <c r="J1772" s="63">
        <v>0</v>
      </c>
      <c r="L1772" s="63">
        <v>0</v>
      </c>
      <c r="M1772" s="63">
        <v>2.0999999999999999E-3</v>
      </c>
      <c r="N1772" s="63">
        <v>0</v>
      </c>
      <c r="O1772" s="64">
        <v>0</v>
      </c>
    </row>
    <row r="1773" spans="1:15" x14ac:dyDescent="0.25">
      <c r="A1773" s="114" t="s">
        <v>796</v>
      </c>
      <c r="B1773" s="63" t="s">
        <v>51</v>
      </c>
      <c r="C1773" s="63" t="s">
        <v>96</v>
      </c>
      <c r="D1773" s="63">
        <v>10.9</v>
      </c>
      <c r="E1773" s="63">
        <v>109.0001</v>
      </c>
      <c r="F1773" s="63">
        <v>10</v>
      </c>
      <c r="G1773" s="63" t="s">
        <v>97</v>
      </c>
      <c r="H1773" s="63" t="s">
        <v>97</v>
      </c>
      <c r="I1773" s="63">
        <v>0</v>
      </c>
      <c r="J1773" s="63">
        <v>0</v>
      </c>
      <c r="L1773" s="63">
        <v>0</v>
      </c>
      <c r="M1773" s="63">
        <v>0.53259999999999996</v>
      </c>
      <c r="N1773" s="63">
        <v>0</v>
      </c>
      <c r="O1773" s="64">
        <v>0</v>
      </c>
    </row>
    <row r="1774" spans="1:15" x14ac:dyDescent="0.25">
      <c r="A1774" s="114" t="s">
        <v>800</v>
      </c>
      <c r="B1774" s="63" t="s">
        <v>51</v>
      </c>
      <c r="C1774" s="63" t="s">
        <v>96</v>
      </c>
      <c r="D1774" s="63">
        <v>109</v>
      </c>
      <c r="E1774" s="63">
        <v>363.00009999999997</v>
      </c>
      <c r="F1774" s="63">
        <v>10</v>
      </c>
      <c r="G1774" s="63" t="s">
        <v>97</v>
      </c>
      <c r="H1774" s="63" t="s">
        <v>97</v>
      </c>
      <c r="I1774" s="63">
        <v>0</v>
      </c>
      <c r="J1774" s="63">
        <v>0</v>
      </c>
      <c r="L1774" s="63">
        <v>0</v>
      </c>
      <c r="M1774" s="63">
        <v>5.3273000000000001E-2</v>
      </c>
      <c r="N1774" s="63">
        <v>0</v>
      </c>
      <c r="O1774" s="64">
        <v>0</v>
      </c>
    </row>
    <row r="1775" spans="1:15" x14ac:dyDescent="0.25">
      <c r="A1775" s="114" t="s">
        <v>804</v>
      </c>
      <c r="B1775" s="63" t="s">
        <v>51</v>
      </c>
      <c r="C1775" s="63" t="s">
        <v>96</v>
      </c>
      <c r="D1775" s="63">
        <v>363</v>
      </c>
      <c r="E1775" s="63">
        <v>990.00009999999997</v>
      </c>
      <c r="F1775" s="63">
        <v>10</v>
      </c>
      <c r="G1775" s="63" t="s">
        <v>97</v>
      </c>
      <c r="H1775" s="63" t="s">
        <v>97</v>
      </c>
      <c r="I1775" s="63">
        <v>0</v>
      </c>
      <c r="J1775" s="63">
        <v>0</v>
      </c>
      <c r="L1775" s="63">
        <v>0</v>
      </c>
      <c r="M1775" s="63">
        <v>1.601E-2</v>
      </c>
      <c r="N1775" s="63">
        <v>0</v>
      </c>
      <c r="O1775" s="64">
        <v>0</v>
      </c>
    </row>
    <row r="1776" spans="1:15" x14ac:dyDescent="0.25">
      <c r="A1776" s="114" t="s">
        <v>806</v>
      </c>
      <c r="B1776" s="63" t="s">
        <v>51</v>
      </c>
      <c r="C1776" s="63" t="s">
        <v>96</v>
      </c>
      <c r="D1776" s="63">
        <v>990</v>
      </c>
      <c r="E1776" s="63">
        <v>3630.1</v>
      </c>
      <c r="F1776" s="63">
        <v>10</v>
      </c>
      <c r="G1776" s="63" t="s">
        <v>97</v>
      </c>
      <c r="H1776" s="63" t="s">
        <v>97</v>
      </c>
      <c r="I1776" s="63">
        <v>0</v>
      </c>
      <c r="J1776" s="63">
        <v>0</v>
      </c>
      <c r="L1776" s="63">
        <v>0</v>
      </c>
      <c r="M1776" s="63">
        <v>6.1979000000000001E-3</v>
      </c>
      <c r="N1776" s="63">
        <v>0</v>
      </c>
      <c r="O1776" s="64">
        <v>0</v>
      </c>
    </row>
    <row r="1777" spans="1:15" x14ac:dyDescent="0.25">
      <c r="A1777" s="114" t="s">
        <v>809</v>
      </c>
      <c r="B1777" s="63" t="s">
        <v>51</v>
      </c>
      <c r="C1777" s="63" t="s">
        <v>96</v>
      </c>
      <c r="D1777" s="63">
        <v>3630</v>
      </c>
      <c r="E1777" s="63">
        <v>11200.1</v>
      </c>
      <c r="F1777" s="63">
        <v>10</v>
      </c>
      <c r="G1777" s="63" t="s">
        <v>97</v>
      </c>
      <c r="H1777" s="63" t="s">
        <v>97</v>
      </c>
      <c r="I1777" s="63">
        <v>0</v>
      </c>
      <c r="J1777" s="63">
        <v>0</v>
      </c>
      <c r="L1777" s="63">
        <v>0</v>
      </c>
      <c r="M1777" s="63">
        <v>2.2011999999999999E-3</v>
      </c>
      <c r="N1777" s="63">
        <v>0</v>
      </c>
      <c r="O1777" s="64">
        <v>0</v>
      </c>
    </row>
    <row r="1778" spans="1:15" x14ac:dyDescent="0.25">
      <c r="A1778" s="114" t="s">
        <v>812</v>
      </c>
      <c r="B1778" s="63" t="s">
        <v>51</v>
      </c>
      <c r="C1778" s="63" t="s">
        <v>96</v>
      </c>
      <c r="D1778" s="63">
        <v>11200</v>
      </c>
      <c r="E1778" s="63">
        <v>20900</v>
      </c>
      <c r="F1778" s="63">
        <v>10</v>
      </c>
      <c r="G1778" s="63" t="s">
        <v>97</v>
      </c>
      <c r="H1778" s="63" t="s">
        <v>97</v>
      </c>
      <c r="I1778" s="63">
        <v>0</v>
      </c>
      <c r="J1778" s="63">
        <v>0</v>
      </c>
      <c r="L1778" s="63">
        <v>0</v>
      </c>
      <c r="M1778" s="63">
        <v>2.0999999999999999E-3</v>
      </c>
      <c r="N1778" s="63">
        <v>0</v>
      </c>
      <c r="O1778" s="64">
        <v>0</v>
      </c>
    </row>
    <row r="1779" spans="1:15" x14ac:dyDescent="0.25">
      <c r="A1779" s="114" t="s">
        <v>2556</v>
      </c>
      <c r="B1779" s="63" t="s">
        <v>51</v>
      </c>
      <c r="C1779" s="63" t="s">
        <v>96</v>
      </c>
      <c r="D1779" s="63">
        <v>20900</v>
      </c>
      <c r="E1779" s="63">
        <v>20901</v>
      </c>
      <c r="F1779" s="63">
        <v>10</v>
      </c>
      <c r="G1779" s="63" t="s">
        <v>97</v>
      </c>
      <c r="H1779" s="63" t="s">
        <v>97</v>
      </c>
      <c r="I1779" s="63">
        <v>0</v>
      </c>
      <c r="J1779" s="63">
        <v>0</v>
      </c>
      <c r="L1779" s="63">
        <v>0</v>
      </c>
      <c r="M1779" s="63">
        <v>2.0999999999999999E-3</v>
      </c>
      <c r="N1779" s="63">
        <v>0</v>
      </c>
      <c r="O1779" s="64">
        <v>0</v>
      </c>
    </row>
    <row r="1780" spans="1:15" x14ac:dyDescent="0.25">
      <c r="A1780" s="114" t="s">
        <v>2557</v>
      </c>
      <c r="B1780" s="63" t="s">
        <v>51</v>
      </c>
      <c r="C1780" s="63" t="s">
        <v>96</v>
      </c>
      <c r="D1780" s="63">
        <v>363</v>
      </c>
      <c r="E1780" s="63">
        <v>990.00009999999997</v>
      </c>
      <c r="F1780" s="63">
        <v>100</v>
      </c>
      <c r="G1780" s="63" t="s">
        <v>97</v>
      </c>
      <c r="H1780" s="63" t="s">
        <v>97</v>
      </c>
      <c r="I1780" s="63">
        <v>0</v>
      </c>
      <c r="J1780" s="63">
        <v>0</v>
      </c>
      <c r="L1780" s="63">
        <v>0</v>
      </c>
      <c r="M1780" s="63">
        <v>0.15978999999999999</v>
      </c>
      <c r="N1780" s="63">
        <v>0</v>
      </c>
      <c r="O1780" s="64">
        <v>0</v>
      </c>
    </row>
    <row r="1781" spans="1:15" x14ac:dyDescent="0.25">
      <c r="A1781" s="114" t="s">
        <v>2558</v>
      </c>
      <c r="B1781" s="63" t="s">
        <v>51</v>
      </c>
      <c r="C1781" s="63" t="s">
        <v>96</v>
      </c>
      <c r="D1781" s="63">
        <v>990</v>
      </c>
      <c r="E1781" s="63">
        <v>3630.1</v>
      </c>
      <c r="F1781" s="63">
        <v>100</v>
      </c>
      <c r="G1781" s="63" t="s">
        <v>97</v>
      </c>
      <c r="H1781" s="63" t="s">
        <v>97</v>
      </c>
      <c r="I1781" s="63">
        <v>0</v>
      </c>
      <c r="J1781" s="63">
        <v>0</v>
      </c>
      <c r="L1781" s="63">
        <v>0</v>
      </c>
      <c r="M1781" s="63">
        <v>5.8622E-2</v>
      </c>
      <c r="N1781" s="63">
        <v>0</v>
      </c>
      <c r="O1781" s="64">
        <v>0</v>
      </c>
    </row>
    <row r="1782" spans="1:15" x14ac:dyDescent="0.25">
      <c r="A1782" s="114" t="s">
        <v>2559</v>
      </c>
      <c r="B1782" s="63" t="s">
        <v>51</v>
      </c>
      <c r="C1782" s="63" t="s">
        <v>96</v>
      </c>
      <c r="D1782" s="63">
        <v>3630</v>
      </c>
      <c r="E1782" s="63">
        <v>11200.1</v>
      </c>
      <c r="F1782" s="63">
        <v>100</v>
      </c>
      <c r="G1782" s="63" t="s">
        <v>97</v>
      </c>
      <c r="H1782" s="63" t="s">
        <v>97</v>
      </c>
      <c r="I1782" s="63">
        <v>0</v>
      </c>
      <c r="J1782" s="63">
        <v>0</v>
      </c>
      <c r="L1782" s="63">
        <v>0</v>
      </c>
      <c r="M1782" s="63">
        <v>1.6050999999999999E-2</v>
      </c>
      <c r="N1782" s="63">
        <v>0</v>
      </c>
      <c r="O1782" s="64">
        <v>0</v>
      </c>
    </row>
    <row r="1783" spans="1:15" x14ac:dyDescent="0.25">
      <c r="A1783" s="114" t="s">
        <v>813</v>
      </c>
      <c r="B1783" s="63" t="s">
        <v>51</v>
      </c>
      <c r="C1783" s="63" t="s">
        <v>96</v>
      </c>
      <c r="D1783" s="63">
        <v>11200</v>
      </c>
      <c r="E1783" s="63">
        <v>20900</v>
      </c>
      <c r="F1783" s="63">
        <v>100</v>
      </c>
      <c r="G1783" s="63" t="s">
        <v>97</v>
      </c>
      <c r="H1783" s="63" t="s">
        <v>97</v>
      </c>
      <c r="I1783" s="63">
        <v>0</v>
      </c>
      <c r="J1783" s="63">
        <v>0</v>
      </c>
      <c r="L1783" s="63">
        <v>0</v>
      </c>
      <c r="M1783" s="63">
        <v>5.5465999999999996E-3</v>
      </c>
      <c r="N1783" s="63">
        <v>0</v>
      </c>
      <c r="O1783" s="64">
        <v>0</v>
      </c>
    </row>
    <row r="1784" spans="1:15" x14ac:dyDescent="0.25">
      <c r="A1784" s="114" t="s">
        <v>817</v>
      </c>
      <c r="B1784" s="63" t="s">
        <v>51</v>
      </c>
      <c r="C1784" s="63" t="s">
        <v>96</v>
      </c>
      <c r="D1784" s="63">
        <v>20900</v>
      </c>
      <c r="E1784" s="63">
        <v>20901</v>
      </c>
      <c r="F1784" s="63">
        <v>100</v>
      </c>
      <c r="G1784" s="63" t="s">
        <v>97</v>
      </c>
      <c r="H1784" s="63" t="s">
        <v>97</v>
      </c>
      <c r="I1784" s="63">
        <v>0</v>
      </c>
      <c r="J1784" s="63">
        <v>0</v>
      </c>
      <c r="L1784" s="63">
        <v>0</v>
      </c>
      <c r="M1784" s="63">
        <v>5.5465999999999996E-3</v>
      </c>
      <c r="N1784" s="63">
        <v>0</v>
      </c>
      <c r="O1784" s="64">
        <v>0</v>
      </c>
    </row>
    <row r="1785" spans="1:15" x14ac:dyDescent="0.25">
      <c r="A1785" s="114" t="s">
        <v>807</v>
      </c>
      <c r="B1785" s="63" t="s">
        <v>51</v>
      </c>
      <c r="C1785" s="63" t="s">
        <v>96</v>
      </c>
      <c r="D1785" s="63">
        <v>990</v>
      </c>
      <c r="E1785" s="63">
        <v>3630.1</v>
      </c>
      <c r="F1785" s="63">
        <v>1000</v>
      </c>
      <c r="G1785" s="63" t="s">
        <v>97</v>
      </c>
      <c r="H1785" s="63" t="s">
        <v>97</v>
      </c>
      <c r="I1785" s="63">
        <v>0</v>
      </c>
      <c r="J1785" s="63">
        <v>0</v>
      </c>
      <c r="L1785" s="63">
        <v>0</v>
      </c>
      <c r="M1785" s="63">
        <v>0.58586000000000005</v>
      </c>
      <c r="N1785" s="63">
        <v>0</v>
      </c>
      <c r="O1785" s="64">
        <v>0</v>
      </c>
    </row>
    <row r="1786" spans="1:15" x14ac:dyDescent="0.25">
      <c r="A1786" s="114" t="s">
        <v>810</v>
      </c>
      <c r="B1786" s="63" t="s">
        <v>51</v>
      </c>
      <c r="C1786" s="63" t="s">
        <v>96</v>
      </c>
      <c r="D1786" s="63">
        <v>3630</v>
      </c>
      <c r="E1786" s="63">
        <v>11200.1</v>
      </c>
      <c r="F1786" s="63">
        <v>1000</v>
      </c>
      <c r="G1786" s="63" t="s">
        <v>97</v>
      </c>
      <c r="H1786" s="63" t="s">
        <v>97</v>
      </c>
      <c r="I1786" s="63">
        <v>0</v>
      </c>
      <c r="J1786" s="63">
        <v>0</v>
      </c>
      <c r="L1786" s="63">
        <v>0</v>
      </c>
      <c r="M1786" s="63">
        <v>0.15978999999999999</v>
      </c>
      <c r="N1786" s="63">
        <v>0</v>
      </c>
      <c r="O1786" s="64">
        <v>0</v>
      </c>
    </row>
    <row r="1787" spans="1:15" x14ac:dyDescent="0.25">
      <c r="A1787" s="114" t="s">
        <v>814</v>
      </c>
      <c r="B1787" s="63" t="s">
        <v>51</v>
      </c>
      <c r="C1787" s="63" t="s">
        <v>96</v>
      </c>
      <c r="D1787" s="63">
        <v>11200</v>
      </c>
      <c r="E1787" s="63">
        <v>20900</v>
      </c>
      <c r="F1787" s="63">
        <v>1000</v>
      </c>
      <c r="G1787" s="63" t="s">
        <v>97</v>
      </c>
      <c r="H1787" s="63" t="s">
        <v>97</v>
      </c>
      <c r="I1787" s="63">
        <v>0</v>
      </c>
      <c r="J1787" s="63">
        <v>0</v>
      </c>
      <c r="L1787" s="63">
        <v>0</v>
      </c>
      <c r="M1787" s="63">
        <v>5.1733000000000001E-2</v>
      </c>
      <c r="N1787" s="63">
        <v>0</v>
      </c>
      <c r="O1787" s="64">
        <v>0</v>
      </c>
    </row>
    <row r="1788" spans="1:15" x14ac:dyDescent="0.25">
      <c r="A1788" s="114" t="s">
        <v>818</v>
      </c>
      <c r="B1788" s="63" t="s">
        <v>51</v>
      </c>
      <c r="C1788" s="63" t="s">
        <v>96</v>
      </c>
      <c r="D1788" s="63">
        <v>20900</v>
      </c>
      <c r="E1788" s="63">
        <v>20901</v>
      </c>
      <c r="F1788" s="63">
        <v>1000</v>
      </c>
      <c r="G1788" s="63" t="s">
        <v>97</v>
      </c>
      <c r="H1788" s="63" t="s">
        <v>97</v>
      </c>
      <c r="I1788" s="63">
        <v>0</v>
      </c>
      <c r="J1788" s="63">
        <v>0</v>
      </c>
      <c r="L1788" s="63">
        <v>0</v>
      </c>
      <c r="M1788" s="63">
        <v>5.1733000000000001E-2</v>
      </c>
      <c r="N1788" s="63">
        <v>0</v>
      </c>
      <c r="O1788" s="64">
        <v>0</v>
      </c>
    </row>
    <row r="1789" spans="1:15" x14ac:dyDescent="0.25">
      <c r="A1789" s="114" t="s">
        <v>1935</v>
      </c>
      <c r="B1789" s="63" t="s">
        <v>51</v>
      </c>
      <c r="C1789" s="63" t="s">
        <v>14</v>
      </c>
      <c r="D1789" s="63">
        <v>2.1999999999999999E-10</v>
      </c>
      <c r="E1789" s="63">
        <v>3.3000000000000002E-9</v>
      </c>
      <c r="F1789" s="63">
        <v>1E-13</v>
      </c>
      <c r="G1789" s="63" t="s">
        <v>106</v>
      </c>
      <c r="H1789" s="63" t="s">
        <v>15</v>
      </c>
      <c r="I1789" s="63">
        <v>0</v>
      </c>
      <c r="J1789" s="63">
        <v>0</v>
      </c>
      <c r="L1789" s="63">
        <v>1.2E-2</v>
      </c>
      <c r="M1789" s="63">
        <v>5800000</v>
      </c>
      <c r="N1789" s="63">
        <v>1.155E-2</v>
      </c>
      <c r="O1789" s="64">
        <v>5775200</v>
      </c>
    </row>
    <row r="1790" spans="1:15" x14ac:dyDescent="0.25">
      <c r="A1790" s="114" t="s">
        <v>1936</v>
      </c>
      <c r="B1790" s="63" t="s">
        <v>51</v>
      </c>
      <c r="C1790" s="63" t="s">
        <v>14</v>
      </c>
      <c r="D1790" s="63">
        <v>2.1999999999999999E-10</v>
      </c>
      <c r="E1790" s="63">
        <v>3.3000000000000002E-9</v>
      </c>
      <c r="F1790" s="63">
        <v>9.9999999999999998E-13</v>
      </c>
      <c r="G1790" s="63" t="s">
        <v>106</v>
      </c>
      <c r="H1790" s="63" t="s">
        <v>15</v>
      </c>
      <c r="I1790" s="63">
        <v>0</v>
      </c>
      <c r="J1790" s="63">
        <v>0</v>
      </c>
      <c r="L1790" s="63">
        <v>1.2E-2</v>
      </c>
      <c r="M1790" s="63">
        <v>5800000</v>
      </c>
      <c r="N1790" s="63">
        <v>1.1563E-2</v>
      </c>
      <c r="O1790" s="64">
        <v>5772800</v>
      </c>
    </row>
    <row r="1791" spans="1:15" x14ac:dyDescent="0.25">
      <c r="A1791" s="114" t="s">
        <v>2560</v>
      </c>
      <c r="B1791" s="63" t="s">
        <v>51</v>
      </c>
      <c r="C1791" s="63" t="s">
        <v>14</v>
      </c>
      <c r="D1791" s="63">
        <v>3.3000000000000002E-9</v>
      </c>
      <c r="E1791" s="63">
        <v>1.1001E-8</v>
      </c>
      <c r="F1791" s="63">
        <v>9.9999999999999998E-13</v>
      </c>
      <c r="G1791" s="63" t="s">
        <v>106</v>
      </c>
      <c r="H1791" s="63" t="s">
        <v>15</v>
      </c>
      <c r="I1791" s="63">
        <v>0</v>
      </c>
      <c r="J1791" s="63">
        <v>0</v>
      </c>
      <c r="L1791" s="63">
        <v>1.2E-2</v>
      </c>
      <c r="M1791" s="63">
        <v>2900000</v>
      </c>
      <c r="N1791" s="63">
        <v>1.1575999999999999E-2</v>
      </c>
      <c r="O1791" s="64">
        <v>2885200</v>
      </c>
    </row>
    <row r="1792" spans="1:15" x14ac:dyDescent="0.25">
      <c r="A1792" s="114" t="s">
        <v>1941</v>
      </c>
      <c r="B1792" s="63" t="s">
        <v>51</v>
      </c>
      <c r="C1792" s="63" t="s">
        <v>14</v>
      </c>
      <c r="D1792" s="63">
        <v>1.0999999999999999E-8</v>
      </c>
      <c r="E1792" s="63">
        <v>3.3000999999999999E-8</v>
      </c>
      <c r="F1792" s="63">
        <v>9.9999999999999998E-13</v>
      </c>
      <c r="G1792" s="63" t="s">
        <v>106</v>
      </c>
      <c r="H1792" s="63" t="s">
        <v>15</v>
      </c>
      <c r="I1792" s="63">
        <v>0</v>
      </c>
      <c r="J1792" s="63">
        <v>0</v>
      </c>
      <c r="L1792" s="63">
        <v>0.12</v>
      </c>
      <c r="M1792" s="63">
        <v>2900000</v>
      </c>
      <c r="N1792" s="63">
        <v>0.11547</v>
      </c>
      <c r="O1792" s="64">
        <v>2886700</v>
      </c>
    </row>
    <row r="1793" spans="1:15" x14ac:dyDescent="0.25">
      <c r="A1793" s="114" t="s">
        <v>2561</v>
      </c>
      <c r="B1793" s="63" t="s">
        <v>51</v>
      </c>
      <c r="C1793" s="63" t="s">
        <v>14</v>
      </c>
      <c r="D1793" s="63">
        <v>2.1999999999999999E-10</v>
      </c>
      <c r="E1793" s="63">
        <v>3.3000000000000002E-9</v>
      </c>
      <c r="F1793" s="63">
        <v>9.9999999999999994E-12</v>
      </c>
      <c r="G1793" s="63" t="s">
        <v>106</v>
      </c>
      <c r="H1793" s="63" t="s">
        <v>15</v>
      </c>
      <c r="I1793" s="63">
        <v>0</v>
      </c>
      <c r="J1793" s="63">
        <v>0</v>
      </c>
      <c r="L1793" s="63">
        <v>1.2845000000000001E-2</v>
      </c>
      <c r="M1793" s="63">
        <v>5547800</v>
      </c>
      <c r="N1793" s="63">
        <v>1.2838E-2</v>
      </c>
      <c r="O1793" s="64">
        <v>5547800</v>
      </c>
    </row>
    <row r="1794" spans="1:15" x14ac:dyDescent="0.25">
      <c r="A1794" s="114" t="s">
        <v>2562</v>
      </c>
      <c r="B1794" s="63" t="s">
        <v>51</v>
      </c>
      <c r="C1794" s="63" t="s">
        <v>14</v>
      </c>
      <c r="D1794" s="63">
        <v>3.3000000000000002E-9</v>
      </c>
      <c r="E1794" s="63">
        <v>1.1001E-8</v>
      </c>
      <c r="F1794" s="63">
        <v>9.9999999999999994E-12</v>
      </c>
      <c r="G1794" s="63" t="s">
        <v>106</v>
      </c>
      <c r="H1794" s="63" t="s">
        <v>15</v>
      </c>
      <c r="I1794" s="63">
        <v>0</v>
      </c>
      <c r="J1794" s="63">
        <v>0</v>
      </c>
      <c r="L1794" s="63">
        <v>1.2482E-2</v>
      </c>
      <c r="M1794" s="63">
        <v>2856200</v>
      </c>
      <c r="N1794" s="63">
        <v>1.2511E-2</v>
      </c>
      <c r="O1794" s="64">
        <v>2834700</v>
      </c>
    </row>
    <row r="1795" spans="1:15" x14ac:dyDescent="0.25">
      <c r="A1795" s="114" t="s">
        <v>1942</v>
      </c>
      <c r="B1795" s="63" t="s">
        <v>51</v>
      </c>
      <c r="C1795" s="63" t="s">
        <v>14</v>
      </c>
      <c r="D1795" s="63">
        <v>1.0999999999999999E-8</v>
      </c>
      <c r="E1795" s="63">
        <v>3.3000999999999999E-8</v>
      </c>
      <c r="F1795" s="63">
        <v>9.9999999999999994E-12</v>
      </c>
      <c r="G1795" s="63" t="s">
        <v>106</v>
      </c>
      <c r="H1795" s="63" t="s">
        <v>15</v>
      </c>
      <c r="I1795" s="63">
        <v>0</v>
      </c>
      <c r="J1795" s="63">
        <v>0</v>
      </c>
      <c r="L1795" s="63">
        <v>0.12</v>
      </c>
      <c r="M1795" s="63">
        <v>2900000</v>
      </c>
      <c r="N1795" s="63">
        <v>0.11561</v>
      </c>
      <c r="O1795" s="64">
        <v>2885200</v>
      </c>
    </row>
    <row r="1796" spans="1:15" x14ac:dyDescent="0.25">
      <c r="A1796" s="114" t="s">
        <v>1946</v>
      </c>
      <c r="B1796" s="63" t="s">
        <v>51</v>
      </c>
      <c r="C1796" s="63" t="s">
        <v>14</v>
      </c>
      <c r="D1796" s="63">
        <v>3.2999999999999998E-8</v>
      </c>
      <c r="E1796" s="63">
        <v>1.1001E-7</v>
      </c>
      <c r="F1796" s="63">
        <v>9.9999999999999994E-12</v>
      </c>
      <c r="G1796" s="63" t="s">
        <v>106</v>
      </c>
      <c r="H1796" s="63" t="s">
        <v>15</v>
      </c>
      <c r="I1796" s="63">
        <v>0</v>
      </c>
      <c r="J1796" s="63">
        <v>0</v>
      </c>
      <c r="L1796" s="63">
        <v>0.12</v>
      </c>
      <c r="M1796" s="63">
        <v>2900000</v>
      </c>
      <c r="N1796" s="63">
        <v>0.11565</v>
      </c>
      <c r="O1796" s="64">
        <v>2886200</v>
      </c>
    </row>
    <row r="1797" spans="1:15" x14ac:dyDescent="0.25">
      <c r="A1797" s="114" t="s">
        <v>1949</v>
      </c>
      <c r="B1797" s="63" t="s">
        <v>51</v>
      </c>
      <c r="C1797" s="63" t="s">
        <v>14</v>
      </c>
      <c r="D1797" s="63">
        <v>1.1000000000000001E-7</v>
      </c>
      <c r="E1797" s="63">
        <v>3.3000999999999998E-7</v>
      </c>
      <c r="F1797" s="63">
        <v>9.9999999999999994E-12</v>
      </c>
      <c r="G1797" s="63" t="s">
        <v>106</v>
      </c>
      <c r="H1797" s="63" t="s">
        <v>15</v>
      </c>
      <c r="I1797" s="63">
        <v>0</v>
      </c>
      <c r="J1797" s="63">
        <v>0</v>
      </c>
      <c r="L1797" s="63">
        <v>0.35</v>
      </c>
      <c r="M1797" s="63">
        <v>2900000</v>
      </c>
      <c r="N1797" s="63">
        <v>0.34649000000000002</v>
      </c>
      <c r="O1797" s="64">
        <v>2886700</v>
      </c>
    </row>
    <row r="1798" spans="1:15" x14ac:dyDescent="0.25">
      <c r="A1798" s="114" t="s">
        <v>1937</v>
      </c>
      <c r="B1798" s="63" t="s">
        <v>51</v>
      </c>
      <c r="C1798" s="63" t="s">
        <v>14</v>
      </c>
      <c r="D1798" s="63">
        <v>2.1999999999999999E-10</v>
      </c>
      <c r="E1798" s="63">
        <v>3.3000000000000002E-9</v>
      </c>
      <c r="F1798" s="63">
        <v>1E-10</v>
      </c>
      <c r="G1798" s="63" t="s">
        <v>106</v>
      </c>
      <c r="H1798" s="63" t="s">
        <v>15</v>
      </c>
      <c r="I1798" s="63">
        <v>0</v>
      </c>
      <c r="J1798" s="63">
        <v>0</v>
      </c>
      <c r="L1798" s="63">
        <v>5.8705E-2</v>
      </c>
      <c r="M1798" s="63">
        <v>2016900</v>
      </c>
      <c r="N1798" s="63">
        <v>5.8698E-2</v>
      </c>
      <c r="O1798" s="64">
        <v>2014500</v>
      </c>
    </row>
    <row r="1799" spans="1:15" x14ac:dyDescent="0.25">
      <c r="A1799" s="114" t="s">
        <v>1939</v>
      </c>
      <c r="B1799" s="63" t="s">
        <v>51</v>
      </c>
      <c r="C1799" s="63" t="s">
        <v>14</v>
      </c>
      <c r="D1799" s="63">
        <v>3.3000000000000002E-9</v>
      </c>
      <c r="E1799" s="63">
        <v>1.1001E-8</v>
      </c>
      <c r="F1799" s="63">
        <v>1E-10</v>
      </c>
      <c r="G1799" s="63" t="s">
        <v>106</v>
      </c>
      <c r="H1799" s="63" t="s">
        <v>15</v>
      </c>
      <c r="I1799" s="63">
        <v>0</v>
      </c>
      <c r="J1799" s="63">
        <v>0</v>
      </c>
      <c r="L1799" s="63">
        <v>5.6911000000000003E-2</v>
      </c>
      <c r="M1799" s="63">
        <v>1398700</v>
      </c>
      <c r="N1799" s="63">
        <v>5.6877999999999998E-2</v>
      </c>
      <c r="O1799" s="64">
        <v>1390600</v>
      </c>
    </row>
    <row r="1800" spans="1:15" x14ac:dyDescent="0.25">
      <c r="A1800" s="114" t="s">
        <v>1943</v>
      </c>
      <c r="B1800" s="63" t="s">
        <v>51</v>
      </c>
      <c r="C1800" s="63" t="s">
        <v>14</v>
      </c>
      <c r="D1800" s="63">
        <v>1.0999999999999999E-8</v>
      </c>
      <c r="E1800" s="63">
        <v>3.3000999999999999E-8</v>
      </c>
      <c r="F1800" s="63">
        <v>1E-10</v>
      </c>
      <c r="G1800" s="63" t="s">
        <v>106</v>
      </c>
      <c r="H1800" s="63" t="s">
        <v>15</v>
      </c>
      <c r="I1800" s="63">
        <v>0</v>
      </c>
      <c r="J1800" s="63">
        <v>0</v>
      </c>
      <c r="L1800" s="63">
        <v>0.12801000000000001</v>
      </c>
      <c r="M1800" s="63">
        <v>2745100</v>
      </c>
      <c r="N1800" s="63">
        <v>0.12797</v>
      </c>
      <c r="O1800" s="64">
        <v>2743500</v>
      </c>
    </row>
    <row r="1801" spans="1:15" x14ac:dyDescent="0.25">
      <c r="A1801" s="114" t="s">
        <v>1947</v>
      </c>
      <c r="B1801" s="63" t="s">
        <v>51</v>
      </c>
      <c r="C1801" s="63" t="s">
        <v>14</v>
      </c>
      <c r="D1801" s="63">
        <v>3.2999999999999998E-8</v>
      </c>
      <c r="E1801" s="63">
        <v>1.1001E-7</v>
      </c>
      <c r="F1801" s="63">
        <v>1E-10</v>
      </c>
      <c r="G1801" s="63" t="s">
        <v>106</v>
      </c>
      <c r="H1801" s="63" t="s">
        <v>15</v>
      </c>
      <c r="I1801" s="63">
        <v>0</v>
      </c>
      <c r="J1801" s="63">
        <v>0</v>
      </c>
      <c r="L1801" s="63">
        <v>0.12459000000000001</v>
      </c>
      <c r="M1801" s="63">
        <v>2858300</v>
      </c>
      <c r="N1801" s="63">
        <v>0.125</v>
      </c>
      <c r="O1801" s="64">
        <v>2835700</v>
      </c>
    </row>
    <row r="1802" spans="1:15" x14ac:dyDescent="0.25">
      <c r="A1802" s="114" t="s">
        <v>1950</v>
      </c>
      <c r="B1802" s="63" t="s">
        <v>51</v>
      </c>
      <c r="C1802" s="63" t="s">
        <v>14</v>
      </c>
      <c r="D1802" s="63">
        <v>1.1000000000000001E-7</v>
      </c>
      <c r="E1802" s="63">
        <v>3.3000999999999998E-7</v>
      </c>
      <c r="F1802" s="63">
        <v>1E-10</v>
      </c>
      <c r="G1802" s="63" t="s">
        <v>106</v>
      </c>
      <c r="H1802" s="63" t="s">
        <v>15</v>
      </c>
      <c r="I1802" s="63">
        <v>0</v>
      </c>
      <c r="J1802" s="63">
        <v>0</v>
      </c>
      <c r="L1802" s="63">
        <v>0.35</v>
      </c>
      <c r="M1802" s="63">
        <v>2900000</v>
      </c>
      <c r="N1802" s="63">
        <v>0.34958</v>
      </c>
      <c r="O1802" s="64">
        <v>2881200</v>
      </c>
    </row>
    <row r="1803" spans="1:15" x14ac:dyDescent="0.25">
      <c r="A1803" s="114" t="s">
        <v>1953</v>
      </c>
      <c r="B1803" s="63" t="s">
        <v>51</v>
      </c>
      <c r="C1803" s="63" t="s">
        <v>14</v>
      </c>
      <c r="D1803" s="63">
        <v>3.3000000000000002E-7</v>
      </c>
      <c r="E1803" s="63">
        <v>1.1001000000000001E-6</v>
      </c>
      <c r="F1803" s="63">
        <v>1E-10</v>
      </c>
      <c r="G1803" s="63" t="s">
        <v>106</v>
      </c>
      <c r="H1803" s="63" t="s">
        <v>15</v>
      </c>
      <c r="I1803" s="63">
        <v>0</v>
      </c>
      <c r="J1803" s="63">
        <v>0</v>
      </c>
      <c r="L1803" s="63">
        <v>1.2</v>
      </c>
      <c r="M1803" s="63">
        <v>2900000</v>
      </c>
      <c r="N1803" s="63">
        <v>1.1566000000000001</v>
      </c>
      <c r="O1803" s="64">
        <v>2886200</v>
      </c>
    </row>
    <row r="1804" spans="1:15" x14ac:dyDescent="0.25">
      <c r="A1804" s="114" t="s">
        <v>2563</v>
      </c>
      <c r="B1804" s="63" t="s">
        <v>51</v>
      </c>
      <c r="C1804" s="63" t="s">
        <v>14</v>
      </c>
      <c r="D1804" s="63">
        <v>1.1000000000000001E-6</v>
      </c>
      <c r="E1804" s="63">
        <v>3.3001E-6</v>
      </c>
      <c r="F1804" s="63">
        <v>1E-10</v>
      </c>
      <c r="G1804" s="63" t="s">
        <v>106</v>
      </c>
      <c r="H1804" s="63" t="s">
        <v>15</v>
      </c>
      <c r="I1804" s="63">
        <v>0</v>
      </c>
      <c r="J1804" s="63">
        <v>0</v>
      </c>
      <c r="L1804" s="63">
        <v>3.5</v>
      </c>
      <c r="M1804" s="63">
        <v>2900000</v>
      </c>
      <c r="N1804" s="63">
        <v>3.4649000000000001</v>
      </c>
      <c r="O1804" s="64">
        <v>2886700</v>
      </c>
    </row>
    <row r="1805" spans="1:15" x14ac:dyDescent="0.25">
      <c r="A1805" s="114" t="s">
        <v>1938</v>
      </c>
      <c r="B1805" s="63" t="s">
        <v>51</v>
      </c>
      <c r="C1805" s="63" t="s">
        <v>14</v>
      </c>
      <c r="D1805" s="63">
        <v>2.1999999999999999E-10</v>
      </c>
      <c r="E1805" s="63">
        <v>3.3000000000000002E-9</v>
      </c>
      <c r="F1805" s="63">
        <v>1.0000000000000001E-9</v>
      </c>
      <c r="G1805" s="63" t="s">
        <v>106</v>
      </c>
      <c r="H1805" s="63" t="s">
        <v>15</v>
      </c>
      <c r="I1805" s="63">
        <v>0</v>
      </c>
      <c r="J1805" s="63">
        <v>0</v>
      </c>
      <c r="L1805" s="63">
        <v>0.57745000000000002</v>
      </c>
      <c r="M1805" s="63">
        <v>218190</v>
      </c>
      <c r="N1805" s="63">
        <v>0.57745000000000002</v>
      </c>
      <c r="O1805" s="64">
        <v>217000</v>
      </c>
    </row>
    <row r="1806" spans="1:15" x14ac:dyDescent="0.25">
      <c r="A1806" s="114" t="s">
        <v>1940</v>
      </c>
      <c r="B1806" s="63" t="s">
        <v>51</v>
      </c>
      <c r="C1806" s="63" t="s">
        <v>14</v>
      </c>
      <c r="D1806" s="63">
        <v>3.3000000000000002E-9</v>
      </c>
      <c r="E1806" s="63">
        <v>1.1001E-8</v>
      </c>
      <c r="F1806" s="63">
        <v>1.0000000000000001E-9</v>
      </c>
      <c r="G1806" s="63" t="s">
        <v>106</v>
      </c>
      <c r="H1806" s="63" t="s">
        <v>15</v>
      </c>
      <c r="I1806" s="63">
        <v>0</v>
      </c>
      <c r="J1806" s="63">
        <v>0</v>
      </c>
      <c r="L1806" s="63">
        <v>0.57721999999999996</v>
      </c>
      <c r="M1806" s="63">
        <v>165280</v>
      </c>
      <c r="N1806" s="63">
        <v>0.57721</v>
      </c>
      <c r="O1806" s="64">
        <v>160660</v>
      </c>
    </row>
    <row r="1807" spans="1:15" x14ac:dyDescent="0.25">
      <c r="A1807" s="114" t="s">
        <v>1944</v>
      </c>
      <c r="B1807" s="63" t="s">
        <v>51</v>
      </c>
      <c r="C1807" s="63" t="s">
        <v>14</v>
      </c>
      <c r="D1807" s="63">
        <v>1.0999999999999999E-8</v>
      </c>
      <c r="E1807" s="63">
        <v>3.3000999999999999E-8</v>
      </c>
      <c r="F1807" s="63">
        <v>1.0000000000000001E-9</v>
      </c>
      <c r="G1807" s="63" t="s">
        <v>106</v>
      </c>
      <c r="H1807" s="63" t="s">
        <v>15</v>
      </c>
      <c r="I1807" s="63">
        <v>0</v>
      </c>
      <c r="J1807" s="63">
        <v>0</v>
      </c>
      <c r="L1807" s="63">
        <v>0.58647000000000005</v>
      </c>
      <c r="M1807" s="63">
        <v>856770</v>
      </c>
      <c r="N1807" s="63">
        <v>0.58643999999999996</v>
      </c>
      <c r="O1807" s="64">
        <v>853690</v>
      </c>
    </row>
    <row r="1808" spans="1:15" x14ac:dyDescent="0.25">
      <c r="A1808" s="114" t="s">
        <v>1948</v>
      </c>
      <c r="B1808" s="63" t="s">
        <v>51</v>
      </c>
      <c r="C1808" s="63" t="s">
        <v>14</v>
      </c>
      <c r="D1808" s="63">
        <v>3.2999999999999998E-8</v>
      </c>
      <c r="E1808" s="63">
        <v>1.1001E-7</v>
      </c>
      <c r="F1808" s="63">
        <v>1.0000000000000001E-9</v>
      </c>
      <c r="G1808" s="63" t="s">
        <v>106</v>
      </c>
      <c r="H1808" s="63" t="s">
        <v>15</v>
      </c>
      <c r="I1808" s="63">
        <v>0</v>
      </c>
      <c r="J1808" s="63">
        <v>0</v>
      </c>
      <c r="L1808" s="63">
        <v>0.56898000000000004</v>
      </c>
      <c r="M1808" s="63">
        <v>1398000</v>
      </c>
      <c r="N1808" s="63">
        <v>0.56874000000000002</v>
      </c>
      <c r="O1808" s="64">
        <v>1390900</v>
      </c>
    </row>
    <row r="1809" spans="1:15" x14ac:dyDescent="0.25">
      <c r="A1809" s="114" t="s">
        <v>1951</v>
      </c>
      <c r="B1809" s="63" t="s">
        <v>51</v>
      </c>
      <c r="C1809" s="63" t="s">
        <v>14</v>
      </c>
      <c r="D1809" s="63">
        <v>1.1000000000000001E-7</v>
      </c>
      <c r="E1809" s="63">
        <v>3.3000999999999998E-7</v>
      </c>
      <c r="F1809" s="63">
        <v>1.0000000000000001E-9</v>
      </c>
      <c r="G1809" s="63" t="s">
        <v>106</v>
      </c>
      <c r="H1809" s="63" t="s">
        <v>15</v>
      </c>
      <c r="I1809" s="63">
        <v>0</v>
      </c>
      <c r="J1809" s="63">
        <v>0</v>
      </c>
      <c r="L1809" s="63">
        <v>0.60931000000000002</v>
      </c>
      <c r="M1809" s="63">
        <v>2463100</v>
      </c>
      <c r="N1809" s="63">
        <v>0.60906000000000005</v>
      </c>
      <c r="O1809" s="64">
        <v>2462300</v>
      </c>
    </row>
    <row r="1810" spans="1:15" x14ac:dyDescent="0.25">
      <c r="A1810" s="114" t="s">
        <v>2564</v>
      </c>
      <c r="B1810" s="63" t="s">
        <v>51</v>
      </c>
      <c r="C1810" s="63" t="s">
        <v>14</v>
      </c>
      <c r="D1810" s="63">
        <v>3.3000000000000002E-7</v>
      </c>
      <c r="E1810" s="63">
        <v>1.1001000000000001E-6</v>
      </c>
      <c r="F1810" s="63">
        <v>1.0000000000000001E-9</v>
      </c>
      <c r="G1810" s="63" t="s">
        <v>106</v>
      </c>
      <c r="H1810" s="63" t="s">
        <v>15</v>
      </c>
      <c r="I1810" s="63">
        <v>0</v>
      </c>
      <c r="J1810" s="63">
        <v>0</v>
      </c>
      <c r="L1810" s="63">
        <v>1.2438</v>
      </c>
      <c r="M1810" s="63">
        <v>2860200</v>
      </c>
      <c r="N1810" s="63">
        <v>1.2501</v>
      </c>
      <c r="O1810" s="64">
        <v>2835600</v>
      </c>
    </row>
    <row r="1811" spans="1:15" x14ac:dyDescent="0.25">
      <c r="A1811" s="114" t="s">
        <v>2565</v>
      </c>
      <c r="B1811" s="63" t="s">
        <v>51</v>
      </c>
      <c r="C1811" s="63" t="s">
        <v>14</v>
      </c>
      <c r="D1811" s="63">
        <v>1.1000000000000001E-6</v>
      </c>
      <c r="E1811" s="63">
        <v>3.3001E-6</v>
      </c>
      <c r="F1811" s="63">
        <v>1.0000000000000001E-9</v>
      </c>
      <c r="G1811" s="63" t="s">
        <v>106</v>
      </c>
      <c r="H1811" s="63" t="s">
        <v>15</v>
      </c>
      <c r="I1811" s="63">
        <v>0</v>
      </c>
      <c r="J1811" s="63">
        <v>0</v>
      </c>
      <c r="L1811" s="63">
        <v>3.5</v>
      </c>
      <c r="M1811" s="63">
        <v>2900000</v>
      </c>
      <c r="N1811" s="63">
        <v>3.4958</v>
      </c>
      <c r="O1811" s="64">
        <v>2881200</v>
      </c>
    </row>
    <row r="1812" spans="1:15" x14ac:dyDescent="0.25">
      <c r="A1812" s="114" t="s">
        <v>2566</v>
      </c>
      <c r="B1812" s="63" t="s">
        <v>51</v>
      </c>
      <c r="C1812" s="63" t="s">
        <v>14</v>
      </c>
      <c r="D1812" s="63">
        <v>3.3000000000000002E-6</v>
      </c>
      <c r="E1812" s="63">
        <v>1.1001E-5</v>
      </c>
      <c r="F1812" s="63">
        <v>1.0000000000000001E-9</v>
      </c>
      <c r="G1812" s="63" t="s">
        <v>106</v>
      </c>
      <c r="H1812" s="63" t="s">
        <v>15</v>
      </c>
      <c r="I1812" s="63">
        <v>0</v>
      </c>
      <c r="J1812" s="63">
        <v>0</v>
      </c>
      <c r="L1812" s="63">
        <v>12</v>
      </c>
      <c r="M1812" s="63">
        <v>2900000</v>
      </c>
      <c r="N1812" s="63">
        <v>11.566000000000001</v>
      </c>
      <c r="O1812" s="64">
        <v>2886200</v>
      </c>
    </row>
    <row r="1813" spans="1:15" x14ac:dyDescent="0.25">
      <c r="A1813" s="114" t="s">
        <v>743</v>
      </c>
      <c r="B1813" s="63" t="s">
        <v>51</v>
      </c>
      <c r="C1813" s="63" t="s">
        <v>14</v>
      </c>
      <c r="D1813" s="63">
        <v>1.1E-5</v>
      </c>
      <c r="E1813" s="63">
        <v>3.3000999999999998E-5</v>
      </c>
      <c r="F1813" s="63">
        <v>1.0000000000000001E-9</v>
      </c>
      <c r="G1813" s="63" t="s">
        <v>106</v>
      </c>
      <c r="H1813" s="63" t="s">
        <v>15</v>
      </c>
      <c r="I1813" s="63">
        <v>0</v>
      </c>
      <c r="J1813" s="63">
        <v>0</v>
      </c>
      <c r="L1813" s="63">
        <v>36</v>
      </c>
      <c r="M1813" s="63">
        <v>4600000</v>
      </c>
      <c r="N1813" s="63">
        <v>34.648000000000003</v>
      </c>
      <c r="O1813" s="64">
        <v>4618700</v>
      </c>
    </row>
    <row r="1814" spans="1:15" x14ac:dyDescent="0.25">
      <c r="A1814" s="114" t="s">
        <v>1945</v>
      </c>
      <c r="B1814" s="63" t="s">
        <v>51</v>
      </c>
      <c r="C1814" s="63" t="s">
        <v>14</v>
      </c>
      <c r="D1814" s="63">
        <v>1.0999999999999999E-8</v>
      </c>
      <c r="E1814" s="63">
        <v>3.3000999999999999E-8</v>
      </c>
      <c r="F1814" s="63">
        <v>1E-8</v>
      </c>
      <c r="G1814" s="63" t="s">
        <v>106</v>
      </c>
      <c r="H1814" s="63" t="s">
        <v>15</v>
      </c>
      <c r="I1814" s="63">
        <v>0</v>
      </c>
      <c r="J1814" s="63">
        <v>0</v>
      </c>
      <c r="L1814" s="63">
        <v>5.7744999999999997</v>
      </c>
      <c r="M1814" s="63">
        <v>853270</v>
      </c>
      <c r="N1814" s="63">
        <v>5.7744</v>
      </c>
      <c r="O1814" s="64">
        <v>89445</v>
      </c>
    </row>
    <row r="1815" spans="1:15" x14ac:dyDescent="0.25">
      <c r="A1815" s="114" t="s">
        <v>2567</v>
      </c>
      <c r="B1815" s="63" t="s">
        <v>51</v>
      </c>
      <c r="C1815" s="63" t="s">
        <v>14</v>
      </c>
      <c r="D1815" s="63">
        <v>3.2999999999999998E-8</v>
      </c>
      <c r="E1815" s="63">
        <v>1.1001E-7</v>
      </c>
      <c r="F1815" s="63">
        <v>1E-8</v>
      </c>
      <c r="G1815" s="63" t="s">
        <v>106</v>
      </c>
      <c r="H1815" s="63" t="s">
        <v>15</v>
      </c>
      <c r="I1815" s="63">
        <v>0</v>
      </c>
      <c r="J1815" s="63">
        <v>0</v>
      </c>
      <c r="L1815" s="63">
        <v>5.7721999999999998</v>
      </c>
      <c r="M1815" s="63">
        <v>164700</v>
      </c>
      <c r="N1815" s="63">
        <v>5.7721</v>
      </c>
      <c r="O1815" s="64">
        <v>160690</v>
      </c>
    </row>
    <row r="1816" spans="1:15" x14ac:dyDescent="0.25">
      <c r="A1816" s="114" t="s">
        <v>1952</v>
      </c>
      <c r="B1816" s="63" t="s">
        <v>51</v>
      </c>
      <c r="C1816" s="63" t="s">
        <v>14</v>
      </c>
      <c r="D1816" s="63">
        <v>1.1000000000000001E-7</v>
      </c>
      <c r="E1816" s="63">
        <v>3.3000999999999998E-7</v>
      </c>
      <c r="F1816" s="63">
        <v>1E-8</v>
      </c>
      <c r="G1816" s="63" t="s">
        <v>106</v>
      </c>
      <c r="H1816" s="63" t="s">
        <v>15</v>
      </c>
      <c r="I1816" s="63">
        <v>0</v>
      </c>
      <c r="J1816" s="63">
        <v>0</v>
      </c>
      <c r="L1816" s="63">
        <v>5.7584999999999997</v>
      </c>
      <c r="M1816" s="63">
        <v>484500</v>
      </c>
      <c r="N1816" s="63">
        <v>5.7584999999999997</v>
      </c>
      <c r="O1816" s="64">
        <v>483140</v>
      </c>
    </row>
    <row r="1817" spans="1:15" x14ac:dyDescent="0.25">
      <c r="A1817" s="114" t="s">
        <v>1954</v>
      </c>
      <c r="B1817" s="63" t="s">
        <v>51</v>
      </c>
      <c r="C1817" s="63" t="s">
        <v>14</v>
      </c>
      <c r="D1817" s="63">
        <v>3.3000000000000002E-7</v>
      </c>
      <c r="E1817" s="63">
        <v>1.1001000000000001E-6</v>
      </c>
      <c r="F1817" s="63">
        <v>1E-8</v>
      </c>
      <c r="G1817" s="63" t="s">
        <v>106</v>
      </c>
      <c r="H1817" s="63" t="s">
        <v>15</v>
      </c>
      <c r="I1817" s="63">
        <v>0</v>
      </c>
      <c r="J1817" s="63">
        <v>0</v>
      </c>
      <c r="L1817" s="63">
        <v>5.6890999999999998</v>
      </c>
      <c r="M1817" s="63">
        <v>1394000</v>
      </c>
      <c r="N1817" s="63">
        <v>5.6874000000000002</v>
      </c>
      <c r="O1817" s="64">
        <v>1390900</v>
      </c>
    </row>
    <row r="1818" spans="1:15" x14ac:dyDescent="0.25">
      <c r="A1818" s="114" t="s">
        <v>739</v>
      </c>
      <c r="B1818" s="63" t="s">
        <v>51</v>
      </c>
      <c r="C1818" s="63" t="s">
        <v>14</v>
      </c>
      <c r="D1818" s="63">
        <v>1.1000000000000001E-6</v>
      </c>
      <c r="E1818" s="63">
        <v>3.3001E-6</v>
      </c>
      <c r="F1818" s="63">
        <v>1E-8</v>
      </c>
      <c r="G1818" s="63" t="s">
        <v>106</v>
      </c>
      <c r="H1818" s="63" t="s">
        <v>15</v>
      </c>
      <c r="I1818" s="63">
        <v>0</v>
      </c>
      <c r="J1818" s="63">
        <v>0</v>
      </c>
      <c r="L1818" s="63">
        <v>6.0937000000000001</v>
      </c>
      <c r="M1818" s="63">
        <v>2463200</v>
      </c>
      <c r="N1818" s="63">
        <v>6.0906000000000002</v>
      </c>
      <c r="O1818" s="64">
        <v>2462300</v>
      </c>
    </row>
    <row r="1819" spans="1:15" x14ac:dyDescent="0.25">
      <c r="A1819" s="114" t="s">
        <v>741</v>
      </c>
      <c r="B1819" s="63" t="s">
        <v>51</v>
      </c>
      <c r="C1819" s="63" t="s">
        <v>14</v>
      </c>
      <c r="D1819" s="63">
        <v>3.3000000000000002E-6</v>
      </c>
      <c r="E1819" s="63">
        <v>1.1001E-5</v>
      </c>
      <c r="F1819" s="63">
        <v>1E-8</v>
      </c>
      <c r="G1819" s="63" t="s">
        <v>106</v>
      </c>
      <c r="H1819" s="63" t="s">
        <v>15</v>
      </c>
      <c r="I1819" s="63">
        <v>0</v>
      </c>
      <c r="J1819" s="63">
        <v>0</v>
      </c>
      <c r="L1819" s="63">
        <v>12.429</v>
      </c>
      <c r="M1819" s="63">
        <v>2861100</v>
      </c>
      <c r="N1819" s="63">
        <v>12.500999999999999</v>
      </c>
      <c r="O1819" s="64">
        <v>2835600</v>
      </c>
    </row>
    <row r="1820" spans="1:15" x14ac:dyDescent="0.25">
      <c r="A1820" s="114" t="s">
        <v>744</v>
      </c>
      <c r="B1820" s="63" t="s">
        <v>51</v>
      </c>
      <c r="C1820" s="63" t="s">
        <v>14</v>
      </c>
      <c r="D1820" s="63">
        <v>1.1E-5</v>
      </c>
      <c r="E1820" s="63">
        <v>3.3000999999999998E-5</v>
      </c>
      <c r="F1820" s="63">
        <v>1E-8</v>
      </c>
      <c r="G1820" s="63" t="s">
        <v>106</v>
      </c>
      <c r="H1820" s="63" t="s">
        <v>15</v>
      </c>
      <c r="I1820" s="63">
        <v>0</v>
      </c>
      <c r="J1820" s="63">
        <v>0</v>
      </c>
      <c r="L1820" s="63">
        <v>36</v>
      </c>
      <c r="M1820" s="63">
        <v>4600000</v>
      </c>
      <c r="N1820" s="63">
        <v>34.893999999999998</v>
      </c>
      <c r="O1820" s="64">
        <v>4613900</v>
      </c>
    </row>
    <row r="1821" spans="1:15" x14ac:dyDescent="0.25">
      <c r="A1821" s="114" t="s">
        <v>746</v>
      </c>
      <c r="B1821" s="63" t="s">
        <v>51</v>
      </c>
      <c r="C1821" s="63" t="s">
        <v>14</v>
      </c>
      <c r="D1821" s="63">
        <v>3.3000000000000003E-5</v>
      </c>
      <c r="E1821" s="63">
        <v>1.1001E-4</v>
      </c>
      <c r="F1821" s="63">
        <v>1E-8</v>
      </c>
      <c r="G1821" s="63" t="s">
        <v>106</v>
      </c>
      <c r="H1821" s="63" t="s">
        <v>15</v>
      </c>
      <c r="I1821" s="63">
        <v>0</v>
      </c>
      <c r="J1821" s="63">
        <v>0</v>
      </c>
      <c r="L1821" s="63">
        <v>120</v>
      </c>
      <c r="M1821" s="63">
        <v>5200000</v>
      </c>
      <c r="N1821" s="63">
        <v>115.61</v>
      </c>
      <c r="O1821" s="64">
        <v>5195600</v>
      </c>
    </row>
    <row r="1822" spans="1:15" x14ac:dyDescent="0.25">
      <c r="A1822" s="114" t="s">
        <v>750</v>
      </c>
      <c r="B1822" s="63" t="s">
        <v>51</v>
      </c>
      <c r="C1822" s="63" t="s">
        <v>14</v>
      </c>
      <c r="D1822" s="63">
        <v>1.1E-4</v>
      </c>
      <c r="E1822" s="63">
        <v>3.3000999999999999E-4</v>
      </c>
      <c r="F1822" s="63">
        <v>1E-8</v>
      </c>
      <c r="G1822" s="63" t="s">
        <v>106</v>
      </c>
      <c r="H1822" s="63" t="s">
        <v>16</v>
      </c>
      <c r="I1822" s="63">
        <v>0</v>
      </c>
      <c r="J1822" s="63">
        <v>0</v>
      </c>
      <c r="L1822" s="63">
        <v>0.35</v>
      </c>
      <c r="M1822" s="63">
        <v>5200</v>
      </c>
      <c r="N1822" s="63">
        <v>0.34612999999999999</v>
      </c>
      <c r="O1822" s="64">
        <v>5199.8</v>
      </c>
    </row>
    <row r="1823" spans="1:15" x14ac:dyDescent="0.25">
      <c r="A1823" s="114" t="s">
        <v>738</v>
      </c>
      <c r="B1823" s="63" t="s">
        <v>51</v>
      </c>
      <c r="C1823" s="63" t="s">
        <v>14</v>
      </c>
      <c r="D1823" s="63">
        <v>3.3000000000000002E-7</v>
      </c>
      <c r="E1823" s="63">
        <v>1.1001000000000001E-6</v>
      </c>
      <c r="F1823" s="63">
        <v>9.9999999999999995E-8</v>
      </c>
      <c r="G1823" s="63" t="s">
        <v>106</v>
      </c>
      <c r="H1823" s="63" t="s">
        <v>15</v>
      </c>
      <c r="I1823" s="63">
        <v>0</v>
      </c>
      <c r="J1823" s="63">
        <v>0</v>
      </c>
      <c r="L1823" s="63">
        <v>57.722000000000001</v>
      </c>
      <c r="M1823" s="63">
        <v>162480</v>
      </c>
      <c r="N1823" s="63">
        <v>57.720999999999997</v>
      </c>
      <c r="O1823" s="64">
        <v>160690</v>
      </c>
    </row>
    <row r="1824" spans="1:15" x14ac:dyDescent="0.25">
      <c r="A1824" s="114" t="s">
        <v>740</v>
      </c>
      <c r="B1824" s="63" t="s">
        <v>51</v>
      </c>
      <c r="C1824" s="63" t="s">
        <v>14</v>
      </c>
      <c r="D1824" s="63">
        <v>1.1000000000000001E-6</v>
      </c>
      <c r="E1824" s="63">
        <v>3.3001E-6</v>
      </c>
      <c r="F1824" s="63">
        <v>9.9999999999999995E-8</v>
      </c>
      <c r="G1824" s="63" t="s">
        <v>106</v>
      </c>
      <c r="H1824" s="63" t="s">
        <v>15</v>
      </c>
      <c r="I1824" s="63">
        <v>0</v>
      </c>
      <c r="J1824" s="63">
        <v>0</v>
      </c>
      <c r="L1824" s="63">
        <v>57.585000000000001</v>
      </c>
      <c r="M1824" s="63">
        <v>484680</v>
      </c>
      <c r="N1824" s="63">
        <v>57.585000000000001</v>
      </c>
      <c r="O1824" s="64">
        <v>483140</v>
      </c>
    </row>
    <row r="1825" spans="1:15" x14ac:dyDescent="0.25">
      <c r="A1825" s="114" t="s">
        <v>2568</v>
      </c>
      <c r="B1825" s="63" t="s">
        <v>51</v>
      </c>
      <c r="C1825" s="63" t="s">
        <v>14</v>
      </c>
      <c r="D1825" s="63">
        <v>3.3000000000000002E-6</v>
      </c>
      <c r="E1825" s="63">
        <v>1.1001E-5</v>
      </c>
      <c r="F1825" s="63">
        <v>9.9999999999999995E-8</v>
      </c>
      <c r="G1825" s="63" t="s">
        <v>106</v>
      </c>
      <c r="H1825" s="63" t="s">
        <v>15</v>
      </c>
      <c r="I1825" s="63">
        <v>0</v>
      </c>
      <c r="J1825" s="63">
        <v>0</v>
      </c>
      <c r="L1825" s="63">
        <v>56.88</v>
      </c>
      <c r="M1825" s="63">
        <v>1394300</v>
      </c>
      <c r="N1825" s="63">
        <v>56.874000000000002</v>
      </c>
      <c r="O1825" s="64">
        <v>1390900</v>
      </c>
    </row>
    <row r="1826" spans="1:15" x14ac:dyDescent="0.25">
      <c r="A1826" s="114" t="s">
        <v>2569</v>
      </c>
      <c r="B1826" s="63" t="s">
        <v>51</v>
      </c>
      <c r="C1826" s="63" t="s">
        <v>14</v>
      </c>
      <c r="D1826" s="63">
        <v>1.1E-5</v>
      </c>
      <c r="E1826" s="63">
        <v>3.3000999999999998E-5</v>
      </c>
      <c r="F1826" s="63">
        <v>9.9999999999999995E-8</v>
      </c>
      <c r="G1826" s="63" t="s">
        <v>106</v>
      </c>
      <c r="H1826" s="63" t="s">
        <v>15</v>
      </c>
      <c r="I1826" s="63">
        <v>0</v>
      </c>
      <c r="J1826" s="63">
        <v>0</v>
      </c>
      <c r="L1826" s="63">
        <v>56.814</v>
      </c>
      <c r="M1826" s="63">
        <v>4211300</v>
      </c>
      <c r="N1826" s="63">
        <v>56.808</v>
      </c>
      <c r="O1826" s="64">
        <v>4211000</v>
      </c>
    </row>
    <row r="1827" spans="1:15" x14ac:dyDescent="0.25">
      <c r="A1827" s="114" t="s">
        <v>747</v>
      </c>
      <c r="B1827" s="63" t="s">
        <v>51</v>
      </c>
      <c r="C1827" s="63" t="s">
        <v>14</v>
      </c>
      <c r="D1827" s="63">
        <v>3.3000000000000003E-5</v>
      </c>
      <c r="E1827" s="63">
        <v>1.1001E-4</v>
      </c>
      <c r="F1827" s="63">
        <v>9.9999999999999995E-8</v>
      </c>
      <c r="G1827" s="63" t="s">
        <v>106</v>
      </c>
      <c r="H1827" s="63" t="s">
        <v>15</v>
      </c>
      <c r="I1827" s="63">
        <v>0</v>
      </c>
      <c r="J1827" s="63">
        <v>0</v>
      </c>
      <c r="L1827" s="63">
        <v>121.85</v>
      </c>
      <c r="M1827" s="63">
        <v>5183200</v>
      </c>
      <c r="N1827" s="63">
        <v>122.72</v>
      </c>
      <c r="O1827" s="64">
        <v>5152800</v>
      </c>
    </row>
    <row r="1828" spans="1:15" x14ac:dyDescent="0.25">
      <c r="A1828" s="114" t="s">
        <v>2570</v>
      </c>
      <c r="B1828" s="63" t="s">
        <v>51</v>
      </c>
      <c r="C1828" s="63" t="s">
        <v>14</v>
      </c>
      <c r="D1828" s="63">
        <v>1.1E-4</v>
      </c>
      <c r="E1828" s="63">
        <v>3.3000999999999999E-4</v>
      </c>
      <c r="F1828" s="63">
        <v>9.9999999999999995E-8</v>
      </c>
      <c r="G1828" s="63" t="s">
        <v>106</v>
      </c>
      <c r="H1828" s="63" t="s">
        <v>16</v>
      </c>
      <c r="I1828" s="63">
        <v>0</v>
      </c>
      <c r="J1828" s="63">
        <v>0</v>
      </c>
      <c r="L1828" s="63">
        <v>0.35</v>
      </c>
      <c r="M1828" s="63">
        <v>5200</v>
      </c>
      <c r="N1828" s="63">
        <v>0.34836</v>
      </c>
      <c r="O1828" s="64">
        <v>5195.3</v>
      </c>
    </row>
    <row r="1829" spans="1:15" x14ac:dyDescent="0.25">
      <c r="A1829" s="114" t="s">
        <v>752</v>
      </c>
      <c r="B1829" s="63" t="s">
        <v>51</v>
      </c>
      <c r="C1829" s="63" t="s">
        <v>14</v>
      </c>
      <c r="D1829" s="63">
        <v>3.3E-4</v>
      </c>
      <c r="E1829" s="63">
        <v>1.1000999999999999E-3</v>
      </c>
      <c r="F1829" s="63">
        <v>9.9999999999999995E-8</v>
      </c>
      <c r="G1829" s="63" t="s">
        <v>106</v>
      </c>
      <c r="H1829" s="63" t="s">
        <v>16</v>
      </c>
      <c r="I1829" s="63">
        <v>0</v>
      </c>
      <c r="J1829" s="63">
        <v>0</v>
      </c>
      <c r="L1829" s="63">
        <v>1.2</v>
      </c>
      <c r="M1829" s="63">
        <v>5200</v>
      </c>
      <c r="N1829" s="63">
        <v>1.1557999999999999</v>
      </c>
      <c r="O1829" s="64">
        <v>5198.3</v>
      </c>
    </row>
    <row r="1830" spans="1:15" x14ac:dyDescent="0.25">
      <c r="A1830" s="114" t="s">
        <v>755</v>
      </c>
      <c r="B1830" s="63" t="s">
        <v>51</v>
      </c>
      <c r="C1830" s="63" t="s">
        <v>14</v>
      </c>
      <c r="D1830" s="63">
        <v>1.1000000000000001E-3</v>
      </c>
      <c r="E1830" s="63">
        <v>3.3000999999999998E-3</v>
      </c>
      <c r="F1830" s="63">
        <v>9.9999999999999995E-8</v>
      </c>
      <c r="G1830" s="63" t="s">
        <v>106</v>
      </c>
      <c r="H1830" s="63" t="s">
        <v>16</v>
      </c>
      <c r="I1830" s="63">
        <v>0</v>
      </c>
      <c r="J1830" s="63">
        <v>0</v>
      </c>
      <c r="L1830" s="63">
        <v>3.5</v>
      </c>
      <c r="M1830" s="63">
        <v>5200</v>
      </c>
      <c r="N1830" s="63">
        <v>3.4636</v>
      </c>
      <c r="O1830" s="64">
        <v>5198.8999999999996</v>
      </c>
    </row>
    <row r="1831" spans="1:15" x14ac:dyDescent="0.25">
      <c r="A1831" s="114" t="s">
        <v>742</v>
      </c>
      <c r="B1831" s="63" t="s">
        <v>51</v>
      </c>
      <c r="C1831" s="63" t="s">
        <v>14</v>
      </c>
      <c r="D1831" s="63">
        <v>3.3000000000000002E-6</v>
      </c>
      <c r="E1831" s="63">
        <v>1.1001E-5</v>
      </c>
      <c r="F1831" s="63">
        <v>9.9999999999999995E-7</v>
      </c>
      <c r="G1831" s="63" t="s">
        <v>106</v>
      </c>
      <c r="H1831" s="63" t="s">
        <v>15</v>
      </c>
      <c r="I1831" s="63">
        <v>0</v>
      </c>
      <c r="J1831" s="63">
        <v>0</v>
      </c>
      <c r="L1831" s="63">
        <v>577.21</v>
      </c>
      <c r="M1831" s="63">
        <v>162540</v>
      </c>
      <c r="N1831" s="63">
        <v>577.21</v>
      </c>
      <c r="O1831" s="64">
        <v>160690</v>
      </c>
    </row>
    <row r="1832" spans="1:15" x14ac:dyDescent="0.25">
      <c r="A1832" s="114" t="s">
        <v>745</v>
      </c>
      <c r="B1832" s="63" t="s">
        <v>51</v>
      </c>
      <c r="C1832" s="63" t="s">
        <v>14</v>
      </c>
      <c r="D1832" s="63">
        <v>1.1E-5</v>
      </c>
      <c r="E1832" s="63">
        <v>3.3000999999999998E-5</v>
      </c>
      <c r="F1832" s="63">
        <v>9.9999999999999995E-7</v>
      </c>
      <c r="G1832" s="63" t="s">
        <v>106</v>
      </c>
      <c r="H1832" s="63" t="s">
        <v>15</v>
      </c>
      <c r="I1832" s="63">
        <v>0</v>
      </c>
      <c r="J1832" s="63">
        <v>0</v>
      </c>
      <c r="L1832" s="63">
        <v>572.02</v>
      </c>
      <c r="M1832" s="63">
        <v>1057800</v>
      </c>
      <c r="N1832" s="63">
        <v>572.02</v>
      </c>
      <c r="O1832" s="64">
        <v>1057200</v>
      </c>
    </row>
    <row r="1833" spans="1:15" x14ac:dyDescent="0.25">
      <c r="A1833" s="114" t="s">
        <v>748</v>
      </c>
      <c r="B1833" s="63" t="s">
        <v>51</v>
      </c>
      <c r="C1833" s="63" t="s">
        <v>14</v>
      </c>
      <c r="D1833" s="63">
        <v>3.3000000000000003E-5</v>
      </c>
      <c r="E1833" s="63">
        <v>1.1001E-4</v>
      </c>
      <c r="F1833" s="63">
        <v>9.9999999999999995E-7</v>
      </c>
      <c r="G1833" s="63" t="s">
        <v>106</v>
      </c>
      <c r="H1833" s="63" t="s">
        <v>15</v>
      </c>
      <c r="I1833" s="63">
        <v>0</v>
      </c>
      <c r="J1833" s="63">
        <v>0</v>
      </c>
      <c r="L1833" s="63">
        <v>536.63</v>
      </c>
      <c r="M1833" s="63">
        <v>3284200</v>
      </c>
      <c r="N1833" s="63">
        <v>536.45000000000005</v>
      </c>
      <c r="O1833" s="64">
        <v>3282000</v>
      </c>
    </row>
    <row r="1834" spans="1:15" x14ac:dyDescent="0.25">
      <c r="A1834" s="114" t="s">
        <v>2571</v>
      </c>
      <c r="B1834" s="63" t="s">
        <v>51</v>
      </c>
      <c r="C1834" s="63" t="s">
        <v>14</v>
      </c>
      <c r="D1834" s="63">
        <v>1.1E-4</v>
      </c>
      <c r="E1834" s="63">
        <v>3.3000999999999999E-4</v>
      </c>
      <c r="F1834" s="63">
        <v>9.9999999999999995E-7</v>
      </c>
      <c r="G1834" s="63" t="s">
        <v>106</v>
      </c>
      <c r="H1834" s="63" t="s">
        <v>16</v>
      </c>
      <c r="I1834" s="63">
        <v>0</v>
      </c>
      <c r="J1834" s="63">
        <v>0</v>
      </c>
      <c r="L1834" s="63">
        <v>0.55623</v>
      </c>
      <c r="M1834" s="63">
        <v>4803.8</v>
      </c>
      <c r="N1834" s="63">
        <v>0.55608000000000002</v>
      </c>
      <c r="O1834" s="64">
        <v>4803.7</v>
      </c>
    </row>
    <row r="1835" spans="1:15" x14ac:dyDescent="0.25">
      <c r="A1835" s="114" t="s">
        <v>753</v>
      </c>
      <c r="B1835" s="63" t="s">
        <v>51</v>
      </c>
      <c r="C1835" s="63" t="s">
        <v>14</v>
      </c>
      <c r="D1835" s="63">
        <v>3.3E-4</v>
      </c>
      <c r="E1835" s="63">
        <v>1.1000999999999999E-3</v>
      </c>
      <c r="F1835" s="63">
        <v>9.9999999999999995E-7</v>
      </c>
      <c r="G1835" s="63" t="s">
        <v>106</v>
      </c>
      <c r="H1835" s="63" t="s">
        <v>16</v>
      </c>
      <c r="I1835" s="63">
        <v>0</v>
      </c>
      <c r="J1835" s="63">
        <v>0</v>
      </c>
      <c r="L1835" s="63">
        <v>1.2193000000000001</v>
      </c>
      <c r="M1835" s="63">
        <v>5182.5</v>
      </c>
      <c r="N1835" s="63">
        <v>1.2267999999999999</v>
      </c>
      <c r="O1835" s="64">
        <v>5155.5</v>
      </c>
    </row>
    <row r="1836" spans="1:15" x14ac:dyDescent="0.25">
      <c r="A1836" s="114" t="s">
        <v>756</v>
      </c>
      <c r="B1836" s="63" t="s">
        <v>51</v>
      </c>
      <c r="C1836" s="63" t="s">
        <v>14</v>
      </c>
      <c r="D1836" s="63">
        <v>1.1000000000000001E-3</v>
      </c>
      <c r="E1836" s="63">
        <v>3.3000999999999998E-3</v>
      </c>
      <c r="F1836" s="63">
        <v>9.9999999999999995E-7</v>
      </c>
      <c r="G1836" s="63" t="s">
        <v>106</v>
      </c>
      <c r="H1836" s="63" t="s">
        <v>16</v>
      </c>
      <c r="I1836" s="63">
        <v>0</v>
      </c>
      <c r="J1836" s="63">
        <v>0</v>
      </c>
      <c r="L1836" s="63">
        <v>3.5</v>
      </c>
      <c r="M1836" s="63">
        <v>5200</v>
      </c>
      <c r="N1836" s="63">
        <v>3.4866000000000001</v>
      </c>
      <c r="O1836" s="64">
        <v>5194.3999999999996</v>
      </c>
    </row>
    <row r="1837" spans="1:15" x14ac:dyDescent="0.25">
      <c r="A1837" s="114" t="s">
        <v>758</v>
      </c>
      <c r="B1837" s="63" t="s">
        <v>51</v>
      </c>
      <c r="C1837" s="63" t="s">
        <v>14</v>
      </c>
      <c r="D1837" s="63">
        <v>3.3E-3</v>
      </c>
      <c r="E1837" s="63">
        <v>1.1001E-2</v>
      </c>
      <c r="F1837" s="63">
        <v>9.9999999999999995E-7</v>
      </c>
      <c r="G1837" s="63" t="s">
        <v>106</v>
      </c>
      <c r="H1837" s="63" t="s">
        <v>16</v>
      </c>
      <c r="I1837" s="63">
        <v>0</v>
      </c>
      <c r="J1837" s="63">
        <v>0</v>
      </c>
      <c r="L1837" s="63">
        <v>13</v>
      </c>
      <c r="M1837" s="63">
        <v>5200</v>
      </c>
      <c r="N1837" s="63">
        <v>12.076000000000001</v>
      </c>
      <c r="O1837" s="64">
        <v>5198.3</v>
      </c>
    </row>
    <row r="1838" spans="1:15" x14ac:dyDescent="0.25">
      <c r="A1838" s="114" t="s">
        <v>762</v>
      </c>
      <c r="B1838" s="63" t="s">
        <v>51</v>
      </c>
      <c r="C1838" s="63" t="s">
        <v>14</v>
      </c>
      <c r="D1838" s="63">
        <v>1.0999999999999999E-2</v>
      </c>
      <c r="E1838" s="63">
        <v>3.3001000000000003E-2</v>
      </c>
      <c r="F1838" s="63">
        <v>9.9999999999999995E-7</v>
      </c>
      <c r="G1838" s="63" t="s">
        <v>106</v>
      </c>
      <c r="H1838" s="63" t="s">
        <v>16</v>
      </c>
      <c r="I1838" s="63">
        <v>0</v>
      </c>
      <c r="J1838" s="63">
        <v>0</v>
      </c>
      <c r="L1838" s="63">
        <v>35</v>
      </c>
      <c r="M1838" s="63">
        <v>8700</v>
      </c>
      <c r="N1838" s="63">
        <v>34.642000000000003</v>
      </c>
      <c r="O1838" s="64">
        <v>8661.9</v>
      </c>
    </row>
    <row r="1839" spans="1:15" x14ac:dyDescent="0.25">
      <c r="A1839" s="114" t="s">
        <v>749</v>
      </c>
      <c r="B1839" s="63" t="s">
        <v>51</v>
      </c>
      <c r="C1839" s="63" t="s">
        <v>14</v>
      </c>
      <c r="D1839" s="63">
        <v>3.3000000000000003E-5</v>
      </c>
      <c r="E1839" s="63">
        <v>1.1001E-4</v>
      </c>
      <c r="F1839" s="63">
        <v>1.0000000000000001E-5</v>
      </c>
      <c r="G1839" s="63" t="s">
        <v>106</v>
      </c>
      <c r="H1839" s="63" t="s">
        <v>15</v>
      </c>
      <c r="I1839" s="63">
        <v>0</v>
      </c>
      <c r="J1839" s="63">
        <v>0</v>
      </c>
      <c r="L1839" s="63">
        <v>5766.3</v>
      </c>
      <c r="M1839" s="63">
        <v>438500</v>
      </c>
      <c r="N1839" s="63">
        <v>5766.3</v>
      </c>
      <c r="O1839" s="64">
        <v>436530</v>
      </c>
    </row>
    <row r="1840" spans="1:15" x14ac:dyDescent="0.25">
      <c r="A1840" s="114" t="s">
        <v>751</v>
      </c>
      <c r="B1840" s="63" t="s">
        <v>51</v>
      </c>
      <c r="C1840" s="63" t="s">
        <v>14</v>
      </c>
      <c r="D1840" s="63">
        <v>1.1E-4</v>
      </c>
      <c r="E1840" s="63">
        <v>3.3000999999999999E-4</v>
      </c>
      <c r="F1840" s="63">
        <v>1.0000000000000001E-5</v>
      </c>
      <c r="G1840" s="63" t="s">
        <v>106</v>
      </c>
      <c r="H1840" s="63" t="s">
        <v>16</v>
      </c>
      <c r="I1840" s="63">
        <v>0</v>
      </c>
      <c r="J1840" s="63">
        <v>0</v>
      </c>
      <c r="L1840" s="63">
        <v>5.7038000000000002</v>
      </c>
      <c r="M1840" s="63">
        <v>1294.4000000000001</v>
      </c>
      <c r="N1840" s="63">
        <v>5.7038000000000002</v>
      </c>
      <c r="O1840" s="64">
        <v>1293.8</v>
      </c>
    </row>
    <row r="1841" spans="1:15" x14ac:dyDescent="0.25">
      <c r="A1841" s="114" t="s">
        <v>754</v>
      </c>
      <c r="B1841" s="63" t="s">
        <v>51</v>
      </c>
      <c r="C1841" s="63" t="s">
        <v>14</v>
      </c>
      <c r="D1841" s="63">
        <v>3.3E-4</v>
      </c>
      <c r="E1841" s="63">
        <v>1.1000999999999999E-3</v>
      </c>
      <c r="F1841" s="63">
        <v>1.0000000000000001E-5</v>
      </c>
      <c r="G1841" s="63" t="s">
        <v>106</v>
      </c>
      <c r="H1841" s="63" t="s">
        <v>16</v>
      </c>
      <c r="I1841" s="63">
        <v>0</v>
      </c>
      <c r="J1841" s="63">
        <v>0</v>
      </c>
      <c r="L1841" s="63">
        <v>5.3658000000000001</v>
      </c>
      <c r="M1841" s="63">
        <v>3286.5</v>
      </c>
      <c r="N1841" s="63">
        <v>5.3640999999999996</v>
      </c>
      <c r="O1841" s="64">
        <v>3284.2</v>
      </c>
    </row>
    <row r="1842" spans="1:15" x14ac:dyDescent="0.25">
      <c r="A1842" s="114" t="s">
        <v>2572</v>
      </c>
      <c r="B1842" s="63" t="s">
        <v>51</v>
      </c>
      <c r="C1842" s="63" t="s">
        <v>14</v>
      </c>
      <c r="D1842" s="63">
        <v>1.1000000000000001E-3</v>
      </c>
      <c r="E1842" s="63">
        <v>3.3000999999999998E-3</v>
      </c>
      <c r="F1842" s="63">
        <v>1.0000000000000001E-5</v>
      </c>
      <c r="G1842" s="63" t="s">
        <v>106</v>
      </c>
      <c r="H1842" s="63" t="s">
        <v>16</v>
      </c>
      <c r="I1842" s="63">
        <v>0</v>
      </c>
      <c r="J1842" s="63">
        <v>0</v>
      </c>
      <c r="L1842" s="63">
        <v>5.5761000000000003</v>
      </c>
      <c r="M1842" s="63">
        <v>4803.8999999999996</v>
      </c>
      <c r="N1842" s="63">
        <v>5.5633999999999997</v>
      </c>
      <c r="O1842" s="64">
        <v>4802.8999999999996</v>
      </c>
    </row>
    <row r="1843" spans="1:15" x14ac:dyDescent="0.25">
      <c r="A1843" s="114" t="s">
        <v>759</v>
      </c>
      <c r="B1843" s="63" t="s">
        <v>51</v>
      </c>
      <c r="C1843" s="63" t="s">
        <v>14</v>
      </c>
      <c r="D1843" s="63">
        <v>3.3E-3</v>
      </c>
      <c r="E1843" s="63">
        <v>1.1001E-2</v>
      </c>
      <c r="F1843" s="63">
        <v>1.0000000000000001E-5</v>
      </c>
      <c r="G1843" s="63" t="s">
        <v>106</v>
      </c>
      <c r="H1843" s="63" t="s">
        <v>16</v>
      </c>
      <c r="I1843" s="63">
        <v>0</v>
      </c>
      <c r="J1843" s="63">
        <v>0</v>
      </c>
      <c r="L1843" s="63">
        <v>13</v>
      </c>
      <c r="M1843" s="63">
        <v>5200</v>
      </c>
      <c r="N1843" s="63">
        <v>12.712999999999999</v>
      </c>
      <c r="O1843" s="64">
        <v>5155.6000000000004</v>
      </c>
    </row>
    <row r="1844" spans="1:15" x14ac:dyDescent="0.25">
      <c r="A1844" s="114" t="s">
        <v>763</v>
      </c>
      <c r="B1844" s="63" t="s">
        <v>51</v>
      </c>
      <c r="C1844" s="63" t="s">
        <v>14</v>
      </c>
      <c r="D1844" s="63">
        <v>1.0999999999999999E-2</v>
      </c>
      <c r="E1844" s="63">
        <v>3.3001000000000003E-2</v>
      </c>
      <c r="F1844" s="63">
        <v>1.0000000000000001E-5</v>
      </c>
      <c r="G1844" s="63" t="s">
        <v>106</v>
      </c>
      <c r="H1844" s="63" t="s">
        <v>16</v>
      </c>
      <c r="I1844" s="63">
        <v>0</v>
      </c>
      <c r="J1844" s="63">
        <v>0</v>
      </c>
      <c r="L1844" s="63">
        <v>35</v>
      </c>
      <c r="M1844" s="63">
        <v>8700</v>
      </c>
      <c r="N1844" s="63">
        <v>34.805999999999997</v>
      </c>
      <c r="O1844" s="64">
        <v>8658.5</v>
      </c>
    </row>
    <row r="1845" spans="1:15" x14ac:dyDescent="0.25">
      <c r="A1845" s="114" t="s">
        <v>2573</v>
      </c>
      <c r="B1845" s="63" t="s">
        <v>51</v>
      </c>
      <c r="C1845" s="63" t="s">
        <v>14</v>
      </c>
      <c r="D1845" s="63">
        <v>3.3000000000000002E-2</v>
      </c>
      <c r="E1845" s="63">
        <v>0.11001</v>
      </c>
      <c r="F1845" s="63">
        <v>1.0000000000000001E-5</v>
      </c>
      <c r="G1845" s="63" t="s">
        <v>106</v>
      </c>
      <c r="H1845" s="63" t="s">
        <v>61</v>
      </c>
      <c r="I1845" s="63">
        <v>0</v>
      </c>
      <c r="J1845" s="63">
        <v>0</v>
      </c>
      <c r="L1845" s="63">
        <v>120</v>
      </c>
      <c r="M1845" s="63">
        <v>13000</v>
      </c>
      <c r="N1845" s="63">
        <v>115.63</v>
      </c>
      <c r="O1845" s="64">
        <v>12701</v>
      </c>
    </row>
    <row r="1846" spans="1:15" x14ac:dyDescent="0.25">
      <c r="A1846" s="114" t="s">
        <v>768</v>
      </c>
      <c r="B1846" s="63" t="s">
        <v>51</v>
      </c>
      <c r="C1846" s="63" t="s">
        <v>14</v>
      </c>
      <c r="D1846" s="63">
        <v>0.11</v>
      </c>
      <c r="E1846" s="63">
        <v>0.1101</v>
      </c>
      <c r="F1846" s="63">
        <v>1.0000000000000001E-5</v>
      </c>
      <c r="G1846" s="63" t="s">
        <v>106</v>
      </c>
      <c r="H1846" s="63" t="s">
        <v>16</v>
      </c>
      <c r="I1846" s="63">
        <v>0</v>
      </c>
      <c r="J1846" s="63">
        <v>0</v>
      </c>
      <c r="L1846" s="63">
        <v>120</v>
      </c>
      <c r="M1846" s="63">
        <v>13000</v>
      </c>
      <c r="N1846" s="63">
        <v>115.63</v>
      </c>
      <c r="O1846" s="64">
        <v>12701</v>
      </c>
    </row>
    <row r="1847" spans="1:15" x14ac:dyDescent="0.25">
      <c r="A1847" s="114" t="s">
        <v>2574</v>
      </c>
      <c r="B1847" s="63" t="s">
        <v>51</v>
      </c>
      <c r="C1847" s="63" t="s">
        <v>14</v>
      </c>
      <c r="D1847" s="63">
        <v>3.3E-4</v>
      </c>
      <c r="E1847" s="63">
        <v>1.1000999999999999E-3</v>
      </c>
      <c r="F1847" s="63">
        <v>1E-4</v>
      </c>
      <c r="G1847" s="63" t="s">
        <v>106</v>
      </c>
      <c r="H1847" s="63" t="s">
        <v>16</v>
      </c>
      <c r="I1847" s="63">
        <v>0</v>
      </c>
      <c r="J1847" s="63">
        <v>0</v>
      </c>
      <c r="L1847" s="63">
        <v>57.662999999999997</v>
      </c>
      <c r="M1847" s="63">
        <v>438.86</v>
      </c>
      <c r="N1847" s="63">
        <v>57.662999999999997</v>
      </c>
      <c r="O1847" s="64">
        <v>436.89</v>
      </c>
    </row>
    <row r="1848" spans="1:15" x14ac:dyDescent="0.25">
      <c r="A1848" s="114" t="s">
        <v>757</v>
      </c>
      <c r="B1848" s="63" t="s">
        <v>51</v>
      </c>
      <c r="C1848" s="63" t="s">
        <v>14</v>
      </c>
      <c r="D1848" s="63">
        <v>1.1000000000000001E-3</v>
      </c>
      <c r="E1848" s="63">
        <v>3.3000999999999998E-3</v>
      </c>
      <c r="F1848" s="63">
        <v>1E-4</v>
      </c>
      <c r="G1848" s="63" t="s">
        <v>106</v>
      </c>
      <c r="H1848" s="63" t="s">
        <v>16</v>
      </c>
      <c r="I1848" s="63">
        <v>0</v>
      </c>
      <c r="J1848" s="63">
        <v>0</v>
      </c>
      <c r="L1848" s="63">
        <v>57.042999999999999</v>
      </c>
      <c r="M1848" s="63">
        <v>1299.0999999999999</v>
      </c>
      <c r="N1848" s="63">
        <v>57.037999999999997</v>
      </c>
      <c r="O1848" s="64">
        <v>1293.7</v>
      </c>
    </row>
    <row r="1849" spans="1:15" x14ac:dyDescent="0.25">
      <c r="A1849" s="114" t="s">
        <v>760</v>
      </c>
      <c r="B1849" s="63" t="s">
        <v>51</v>
      </c>
      <c r="C1849" s="63" t="s">
        <v>14</v>
      </c>
      <c r="D1849" s="63">
        <v>3.3E-3</v>
      </c>
      <c r="E1849" s="63">
        <v>1.1001E-2</v>
      </c>
      <c r="F1849" s="63">
        <v>1E-4</v>
      </c>
      <c r="G1849" s="63" t="s">
        <v>106</v>
      </c>
      <c r="H1849" s="63" t="s">
        <v>16</v>
      </c>
      <c r="I1849" s="63">
        <v>0</v>
      </c>
      <c r="J1849" s="63">
        <v>0</v>
      </c>
      <c r="L1849" s="63">
        <v>53.665999999999997</v>
      </c>
      <c r="M1849" s="63">
        <v>3287.9</v>
      </c>
      <c r="N1849" s="63">
        <v>53.64</v>
      </c>
      <c r="O1849" s="64">
        <v>3284.3</v>
      </c>
    </row>
    <row r="1850" spans="1:15" x14ac:dyDescent="0.25">
      <c r="A1850" s="114" t="s">
        <v>764</v>
      </c>
      <c r="B1850" s="63" t="s">
        <v>51</v>
      </c>
      <c r="C1850" s="63" t="s">
        <v>14</v>
      </c>
      <c r="D1850" s="63">
        <v>1.0999999999999999E-2</v>
      </c>
      <c r="E1850" s="63">
        <v>3.3001000000000003E-2</v>
      </c>
      <c r="F1850" s="63">
        <v>1E-4</v>
      </c>
      <c r="G1850" s="63" t="s">
        <v>106</v>
      </c>
      <c r="H1850" s="63" t="s">
        <v>16</v>
      </c>
      <c r="I1850" s="63">
        <v>0</v>
      </c>
      <c r="J1850" s="63">
        <v>0</v>
      </c>
      <c r="L1850" s="63">
        <v>50.508000000000003</v>
      </c>
      <c r="M1850" s="63">
        <v>8339.7000000000007</v>
      </c>
      <c r="N1850" s="63">
        <v>50.436999999999998</v>
      </c>
      <c r="O1850" s="64">
        <v>8339.6</v>
      </c>
    </row>
    <row r="1851" spans="1:15" x14ac:dyDescent="0.25">
      <c r="A1851" s="114" t="s">
        <v>765</v>
      </c>
      <c r="B1851" s="63" t="s">
        <v>51</v>
      </c>
      <c r="C1851" s="63" t="s">
        <v>14</v>
      </c>
      <c r="D1851" s="63">
        <v>3.3000000000000002E-2</v>
      </c>
      <c r="E1851" s="63">
        <v>0.11001</v>
      </c>
      <c r="F1851" s="63">
        <v>1E-4</v>
      </c>
      <c r="G1851" s="63" t="s">
        <v>106</v>
      </c>
      <c r="H1851" s="63" t="s">
        <v>61</v>
      </c>
      <c r="I1851" s="63">
        <v>0</v>
      </c>
      <c r="J1851" s="63">
        <v>0</v>
      </c>
      <c r="L1851" s="63">
        <v>120</v>
      </c>
      <c r="M1851" s="63">
        <v>13000</v>
      </c>
      <c r="N1851" s="63">
        <v>119.5</v>
      </c>
      <c r="O1851" s="64">
        <v>12676</v>
      </c>
    </row>
    <row r="1852" spans="1:15" x14ac:dyDescent="0.25">
      <c r="A1852" s="114" t="s">
        <v>2575</v>
      </c>
      <c r="B1852" s="63" t="s">
        <v>51</v>
      </c>
      <c r="C1852" s="63" t="s">
        <v>14</v>
      </c>
      <c r="D1852" s="63">
        <v>0.11</v>
      </c>
      <c r="E1852" s="63">
        <v>0.1101</v>
      </c>
      <c r="F1852" s="63">
        <v>1E-4</v>
      </c>
      <c r="G1852" s="63" t="s">
        <v>106</v>
      </c>
      <c r="H1852" s="63" t="s">
        <v>16</v>
      </c>
      <c r="I1852" s="63">
        <v>0</v>
      </c>
      <c r="J1852" s="63">
        <v>0</v>
      </c>
      <c r="L1852" s="63">
        <v>120</v>
      </c>
      <c r="M1852" s="63">
        <v>13000</v>
      </c>
      <c r="N1852" s="63">
        <v>119.5</v>
      </c>
      <c r="O1852" s="64">
        <v>12676</v>
      </c>
    </row>
    <row r="1853" spans="1:15" x14ac:dyDescent="0.25">
      <c r="A1853" s="114" t="s">
        <v>761</v>
      </c>
      <c r="B1853" s="63" t="s">
        <v>51</v>
      </c>
      <c r="C1853" s="63" t="s">
        <v>14</v>
      </c>
      <c r="D1853" s="63">
        <v>3.3E-3</v>
      </c>
      <c r="E1853" s="63">
        <v>1.1001E-2</v>
      </c>
      <c r="F1853" s="63">
        <v>1E-3</v>
      </c>
      <c r="G1853" s="63" t="s">
        <v>106</v>
      </c>
      <c r="H1853" s="63" t="s">
        <v>16</v>
      </c>
      <c r="I1853" s="63">
        <v>0</v>
      </c>
      <c r="J1853" s="63">
        <v>0</v>
      </c>
      <c r="L1853" s="63">
        <v>576.63</v>
      </c>
      <c r="M1853" s="63">
        <v>439.99</v>
      </c>
      <c r="N1853" s="63">
        <v>576.63</v>
      </c>
      <c r="O1853" s="64">
        <v>436.9</v>
      </c>
    </row>
    <row r="1854" spans="1:15" x14ac:dyDescent="0.25">
      <c r="A1854" s="114" t="s">
        <v>2576</v>
      </c>
      <c r="B1854" s="63" t="s">
        <v>51</v>
      </c>
      <c r="C1854" s="63" t="s">
        <v>14</v>
      </c>
      <c r="D1854" s="63">
        <v>1.0999999999999999E-2</v>
      </c>
      <c r="E1854" s="63">
        <v>3.3001000000000003E-2</v>
      </c>
      <c r="F1854" s="63">
        <v>1E-3</v>
      </c>
      <c r="G1854" s="63" t="s">
        <v>106</v>
      </c>
      <c r="H1854" s="63" t="s">
        <v>16</v>
      </c>
      <c r="I1854" s="63">
        <v>0</v>
      </c>
      <c r="J1854" s="63">
        <v>0</v>
      </c>
      <c r="L1854" s="63">
        <v>557.54999999999995</v>
      </c>
      <c r="M1854" s="63">
        <v>3119.3</v>
      </c>
      <c r="N1854" s="63">
        <v>557.52</v>
      </c>
      <c r="O1854" s="64">
        <v>3115.8</v>
      </c>
    </row>
    <row r="1855" spans="1:15" x14ac:dyDescent="0.25">
      <c r="A1855" s="114" t="s">
        <v>766</v>
      </c>
      <c r="B1855" s="63" t="s">
        <v>51</v>
      </c>
      <c r="C1855" s="63" t="s">
        <v>14</v>
      </c>
      <c r="D1855" s="63">
        <v>3.3000000000000002E-2</v>
      </c>
      <c r="E1855" s="63">
        <v>0.11001</v>
      </c>
      <c r="F1855" s="63">
        <v>1E-3</v>
      </c>
      <c r="G1855" s="63" t="s">
        <v>106</v>
      </c>
      <c r="H1855" s="63" t="s">
        <v>61</v>
      </c>
      <c r="I1855" s="63">
        <v>0</v>
      </c>
      <c r="J1855" s="63">
        <v>0</v>
      </c>
      <c r="L1855" s="63">
        <v>430.99</v>
      </c>
      <c r="M1855" s="63">
        <v>10809</v>
      </c>
      <c r="N1855" s="63">
        <v>430.28</v>
      </c>
      <c r="O1855" s="64">
        <v>10808</v>
      </c>
    </row>
    <row r="1856" spans="1:15" x14ac:dyDescent="0.25">
      <c r="A1856" s="114" t="s">
        <v>769</v>
      </c>
      <c r="B1856" s="63" t="s">
        <v>51</v>
      </c>
      <c r="C1856" s="63" t="s">
        <v>14</v>
      </c>
      <c r="D1856" s="63">
        <v>0.11</v>
      </c>
      <c r="E1856" s="63">
        <v>0.1101</v>
      </c>
      <c r="F1856" s="63">
        <v>1E-3</v>
      </c>
      <c r="G1856" s="63" t="s">
        <v>106</v>
      </c>
      <c r="H1856" s="63" t="s">
        <v>16</v>
      </c>
      <c r="I1856" s="63">
        <v>0</v>
      </c>
      <c r="J1856" s="63">
        <v>0</v>
      </c>
      <c r="L1856" s="63">
        <v>430.99</v>
      </c>
      <c r="M1856" s="63">
        <v>10809</v>
      </c>
      <c r="N1856" s="63">
        <v>430.28</v>
      </c>
      <c r="O1856" s="64">
        <v>10808</v>
      </c>
    </row>
    <row r="1857" spans="1:15" x14ac:dyDescent="0.25">
      <c r="A1857" s="114" t="s">
        <v>767</v>
      </c>
      <c r="B1857" s="63" t="s">
        <v>51</v>
      </c>
      <c r="C1857" s="63" t="s">
        <v>14</v>
      </c>
      <c r="D1857" s="63">
        <v>3.3000000000000002E-2</v>
      </c>
      <c r="E1857" s="63">
        <v>0.11001</v>
      </c>
      <c r="F1857" s="63">
        <v>0.01</v>
      </c>
      <c r="G1857" s="63" t="s">
        <v>106</v>
      </c>
      <c r="H1857" s="63" t="s">
        <v>61</v>
      </c>
      <c r="I1857" s="63">
        <v>0</v>
      </c>
      <c r="J1857" s="63">
        <v>0</v>
      </c>
      <c r="L1857" s="63">
        <v>5725.6</v>
      </c>
      <c r="M1857" s="63">
        <v>2215.6</v>
      </c>
      <c r="N1857" s="63">
        <v>5725.3</v>
      </c>
      <c r="O1857" s="64">
        <v>2210.1</v>
      </c>
    </row>
    <row r="1858" spans="1:15" x14ac:dyDescent="0.25">
      <c r="A1858" s="114" t="s">
        <v>2577</v>
      </c>
      <c r="B1858" s="63" t="s">
        <v>51</v>
      </c>
      <c r="C1858" s="63" t="s">
        <v>14</v>
      </c>
      <c r="D1858" s="63">
        <v>0.11</v>
      </c>
      <c r="E1858" s="63">
        <v>0.1101</v>
      </c>
      <c r="F1858" s="63">
        <v>0.01</v>
      </c>
      <c r="G1858" s="63" t="s">
        <v>106</v>
      </c>
      <c r="H1858" s="63" t="s">
        <v>16</v>
      </c>
      <c r="I1858" s="63">
        <v>0</v>
      </c>
      <c r="J1858" s="63">
        <v>0</v>
      </c>
      <c r="L1858" s="63">
        <v>5725.6</v>
      </c>
      <c r="M1858" s="63">
        <v>2215.6</v>
      </c>
      <c r="N1858" s="63">
        <v>5725.3</v>
      </c>
      <c r="O1858" s="64">
        <v>2210.1</v>
      </c>
    </row>
    <row r="1859" spans="1:15" x14ac:dyDescent="0.25">
      <c r="A1859" s="114" t="s">
        <v>2578</v>
      </c>
      <c r="B1859" s="63" t="s">
        <v>51</v>
      </c>
      <c r="C1859" s="63" t="s">
        <v>88</v>
      </c>
      <c r="D1859" s="63">
        <v>-250</v>
      </c>
      <c r="E1859" s="63">
        <v>-99.9</v>
      </c>
      <c r="F1859" s="63">
        <v>0.1</v>
      </c>
      <c r="G1859" s="63" t="s">
        <v>23</v>
      </c>
      <c r="H1859" s="63" t="s">
        <v>23</v>
      </c>
      <c r="I1859" s="63">
        <v>0</v>
      </c>
      <c r="J1859" s="63">
        <v>0</v>
      </c>
      <c r="L1859" s="63">
        <v>0.58422842381499995</v>
      </c>
      <c r="M1859" s="63">
        <v>0</v>
      </c>
      <c r="N1859" s="63">
        <v>0.58257756275499994</v>
      </c>
      <c r="O1859" s="64">
        <v>0</v>
      </c>
    </row>
    <row r="1860" spans="1:15" x14ac:dyDescent="0.25">
      <c r="A1860" s="114" t="s">
        <v>2579</v>
      </c>
      <c r="B1860" s="63" t="s">
        <v>51</v>
      </c>
      <c r="C1860" s="63" t="s">
        <v>88</v>
      </c>
      <c r="D1860" s="63">
        <v>-100</v>
      </c>
      <c r="E1860" s="63">
        <v>-24.9</v>
      </c>
      <c r="F1860" s="63">
        <v>0.1</v>
      </c>
      <c r="G1860" s="63" t="s">
        <v>23</v>
      </c>
      <c r="H1860" s="63" t="s">
        <v>23</v>
      </c>
      <c r="I1860" s="63">
        <v>0</v>
      </c>
      <c r="J1860" s="63">
        <v>0</v>
      </c>
      <c r="L1860" s="63">
        <v>0.19859292765700001</v>
      </c>
      <c r="M1860" s="63">
        <v>0</v>
      </c>
      <c r="N1860" s="63">
        <v>0.197647679736</v>
      </c>
      <c r="O1860" s="64">
        <v>0</v>
      </c>
    </row>
    <row r="1861" spans="1:15" x14ac:dyDescent="0.25">
      <c r="A1861" s="114" t="s">
        <v>2580</v>
      </c>
      <c r="B1861" s="63" t="s">
        <v>51</v>
      </c>
      <c r="C1861" s="63" t="s">
        <v>88</v>
      </c>
      <c r="D1861" s="63">
        <v>-25</v>
      </c>
      <c r="E1861" s="63">
        <v>350.1</v>
      </c>
      <c r="F1861" s="63">
        <v>0.1</v>
      </c>
      <c r="G1861" s="63" t="s">
        <v>23</v>
      </c>
      <c r="H1861" s="63" t="s">
        <v>23</v>
      </c>
      <c r="I1861" s="63">
        <v>0</v>
      </c>
      <c r="J1861" s="63">
        <v>0</v>
      </c>
      <c r="L1861" s="63">
        <v>0.17588372079100001</v>
      </c>
      <c r="M1861" s="63">
        <v>0</v>
      </c>
      <c r="N1861" s="63">
        <v>0.17481572477499999</v>
      </c>
      <c r="O1861" s="64">
        <v>0</v>
      </c>
    </row>
    <row r="1862" spans="1:15" x14ac:dyDescent="0.25">
      <c r="A1862" s="114" t="s">
        <v>734</v>
      </c>
      <c r="B1862" s="63" t="s">
        <v>51</v>
      </c>
      <c r="C1862" s="63" t="s">
        <v>88</v>
      </c>
      <c r="D1862" s="63">
        <v>350</v>
      </c>
      <c r="E1862" s="63">
        <v>650.1</v>
      </c>
      <c r="F1862" s="63">
        <v>0.1</v>
      </c>
      <c r="G1862" s="63" t="s">
        <v>23</v>
      </c>
      <c r="H1862" s="63" t="s">
        <v>23</v>
      </c>
      <c r="I1862" s="63">
        <v>0</v>
      </c>
      <c r="J1862" s="63">
        <v>0</v>
      </c>
      <c r="L1862" s="63">
        <v>0.196829083756</v>
      </c>
      <c r="M1862" s="63">
        <v>0</v>
      </c>
      <c r="N1862" s="63">
        <v>0.19628464572900001</v>
      </c>
      <c r="O1862" s="64">
        <v>0</v>
      </c>
    </row>
    <row r="1863" spans="1:15" x14ac:dyDescent="0.25">
      <c r="A1863" s="114" t="s">
        <v>2581</v>
      </c>
      <c r="B1863" s="63" t="s">
        <v>51</v>
      </c>
      <c r="C1863" s="63" t="s">
        <v>88</v>
      </c>
      <c r="D1863" s="63">
        <v>650</v>
      </c>
      <c r="E1863" s="63">
        <v>1000</v>
      </c>
      <c r="F1863" s="63">
        <v>0.1</v>
      </c>
      <c r="G1863" s="63" t="s">
        <v>23</v>
      </c>
      <c r="H1863" s="63" t="s">
        <v>23</v>
      </c>
      <c r="I1863" s="63">
        <v>0</v>
      </c>
      <c r="J1863" s="63">
        <v>0</v>
      </c>
      <c r="L1863" s="63">
        <v>0.25181161507799998</v>
      </c>
      <c r="M1863" s="63">
        <v>0</v>
      </c>
      <c r="N1863" s="63">
        <v>0.251386283288</v>
      </c>
      <c r="O1863" s="64">
        <v>0</v>
      </c>
    </row>
    <row r="1864" spans="1:15" x14ac:dyDescent="0.25">
      <c r="A1864" s="114" t="s">
        <v>737</v>
      </c>
      <c r="B1864" s="63" t="s">
        <v>51</v>
      </c>
      <c r="C1864" s="63" t="s">
        <v>88</v>
      </c>
      <c r="D1864" s="63">
        <v>1000</v>
      </c>
      <c r="E1864" s="63">
        <v>1000.1</v>
      </c>
      <c r="F1864" s="63">
        <v>0.1</v>
      </c>
      <c r="G1864" s="63" t="s">
        <v>23</v>
      </c>
      <c r="H1864" s="63" t="s">
        <v>23</v>
      </c>
      <c r="I1864" s="63">
        <v>0</v>
      </c>
      <c r="J1864" s="63">
        <v>0</v>
      </c>
      <c r="L1864" s="63">
        <v>0.25181161507799998</v>
      </c>
      <c r="M1864" s="63">
        <v>0</v>
      </c>
      <c r="N1864" s="63">
        <v>0.251386283288</v>
      </c>
      <c r="O1864" s="64">
        <v>0</v>
      </c>
    </row>
    <row r="1865" spans="1:15" x14ac:dyDescent="0.25">
      <c r="A1865" s="114" t="s">
        <v>2582</v>
      </c>
      <c r="B1865" s="63" t="s">
        <v>51</v>
      </c>
      <c r="C1865" s="63" t="s">
        <v>88</v>
      </c>
      <c r="D1865" s="63">
        <v>-250</v>
      </c>
      <c r="E1865" s="63">
        <v>-99.9</v>
      </c>
      <c r="F1865" s="63">
        <v>1</v>
      </c>
      <c r="G1865" s="63" t="s">
        <v>23</v>
      </c>
      <c r="H1865" s="63" t="s">
        <v>23</v>
      </c>
      <c r="I1865" s="63">
        <v>0</v>
      </c>
      <c r="J1865" s="63">
        <v>0</v>
      </c>
      <c r="L1865" s="63">
        <v>0.82286180789800001</v>
      </c>
      <c r="M1865" s="63">
        <v>0</v>
      </c>
      <c r="N1865" s="63">
        <v>0.81816661910999999</v>
      </c>
      <c r="O1865" s="64">
        <v>0</v>
      </c>
    </row>
    <row r="1866" spans="1:15" x14ac:dyDescent="0.25">
      <c r="A1866" s="114" t="s">
        <v>732</v>
      </c>
      <c r="B1866" s="63" t="s">
        <v>51</v>
      </c>
      <c r="C1866" s="63" t="s">
        <v>88</v>
      </c>
      <c r="D1866" s="63">
        <v>-100</v>
      </c>
      <c r="E1866" s="63">
        <v>-24.9</v>
      </c>
      <c r="F1866" s="63">
        <v>1</v>
      </c>
      <c r="G1866" s="63" t="s">
        <v>23</v>
      </c>
      <c r="H1866" s="63" t="s">
        <v>23</v>
      </c>
      <c r="I1866" s="63">
        <v>0</v>
      </c>
      <c r="J1866" s="63">
        <v>0</v>
      </c>
      <c r="L1866" s="63">
        <v>0.60873868592900005</v>
      </c>
      <c r="M1866" s="63">
        <v>0</v>
      </c>
      <c r="N1866" s="63">
        <v>0.60750687675500004</v>
      </c>
      <c r="O1866" s="64">
        <v>0</v>
      </c>
    </row>
    <row r="1867" spans="1:15" x14ac:dyDescent="0.25">
      <c r="A1867" s="114" t="s">
        <v>733</v>
      </c>
      <c r="B1867" s="63" t="s">
        <v>51</v>
      </c>
      <c r="C1867" s="63" t="s">
        <v>88</v>
      </c>
      <c r="D1867" s="63">
        <v>-25</v>
      </c>
      <c r="E1867" s="63">
        <v>350.1</v>
      </c>
      <c r="F1867" s="63">
        <v>1</v>
      </c>
      <c r="G1867" s="63" t="s">
        <v>23</v>
      </c>
      <c r="H1867" s="63" t="s">
        <v>23</v>
      </c>
      <c r="I1867" s="63">
        <v>0</v>
      </c>
      <c r="J1867" s="63">
        <v>0</v>
      </c>
      <c r="L1867" s="63">
        <v>0.60171315431100003</v>
      </c>
      <c r="M1867" s="63">
        <v>0</v>
      </c>
      <c r="N1867" s="63">
        <v>0.60046693300200005</v>
      </c>
      <c r="O1867" s="64">
        <v>0</v>
      </c>
    </row>
    <row r="1868" spans="1:15" x14ac:dyDescent="0.25">
      <c r="A1868" s="114" t="s">
        <v>735</v>
      </c>
      <c r="B1868" s="63" t="s">
        <v>51</v>
      </c>
      <c r="C1868" s="63" t="s">
        <v>88</v>
      </c>
      <c r="D1868" s="63">
        <v>350</v>
      </c>
      <c r="E1868" s="63">
        <v>650.1</v>
      </c>
      <c r="F1868" s="63">
        <v>1</v>
      </c>
      <c r="G1868" s="63" t="s">
        <v>23</v>
      </c>
      <c r="H1868" s="63" t="s">
        <v>23</v>
      </c>
      <c r="I1868" s="63">
        <v>0</v>
      </c>
      <c r="J1868" s="63">
        <v>0</v>
      </c>
      <c r="L1868" s="63">
        <v>0.60776950104600003</v>
      </c>
      <c r="M1868" s="63">
        <v>0</v>
      </c>
      <c r="N1868" s="63">
        <v>0.60706479238099997</v>
      </c>
      <c r="O1868" s="64">
        <v>0</v>
      </c>
    </row>
    <row r="1869" spans="1:15" x14ac:dyDescent="0.25">
      <c r="A1869" s="114" t="s">
        <v>736</v>
      </c>
      <c r="B1869" s="63" t="s">
        <v>51</v>
      </c>
      <c r="C1869" s="63" t="s">
        <v>88</v>
      </c>
      <c r="D1869" s="63">
        <v>650</v>
      </c>
      <c r="E1869" s="63">
        <v>1000</v>
      </c>
      <c r="F1869" s="63">
        <v>1</v>
      </c>
      <c r="G1869" s="63" t="s">
        <v>23</v>
      </c>
      <c r="H1869" s="63" t="s">
        <v>23</v>
      </c>
      <c r="I1869" s="63">
        <v>0</v>
      </c>
      <c r="J1869" s="63">
        <v>0</v>
      </c>
      <c r="L1869" s="63">
        <v>0.62773495018000003</v>
      </c>
      <c r="M1869" s="63">
        <v>0</v>
      </c>
      <c r="N1869" s="63">
        <v>0.62705267994400005</v>
      </c>
      <c r="O1869" s="64">
        <v>0</v>
      </c>
    </row>
    <row r="1870" spans="1:15" x14ac:dyDescent="0.25">
      <c r="A1870" s="114" t="s">
        <v>2583</v>
      </c>
      <c r="B1870" s="63" t="s">
        <v>51</v>
      </c>
      <c r="C1870" s="63" t="s">
        <v>88</v>
      </c>
      <c r="D1870" s="63">
        <v>1000</v>
      </c>
      <c r="E1870" s="63">
        <v>1000.1</v>
      </c>
      <c r="F1870" s="63">
        <v>1</v>
      </c>
      <c r="G1870" s="63" t="s">
        <v>23</v>
      </c>
      <c r="H1870" s="63" t="s">
        <v>23</v>
      </c>
      <c r="I1870" s="63">
        <v>0</v>
      </c>
      <c r="J1870" s="63">
        <v>0</v>
      </c>
      <c r="L1870" s="63">
        <v>0.62773495018000003</v>
      </c>
      <c r="M1870" s="63">
        <v>0</v>
      </c>
      <c r="N1870" s="63">
        <v>0.62705267994400005</v>
      </c>
      <c r="O1870" s="64">
        <v>0</v>
      </c>
    </row>
    <row r="1871" spans="1:15" x14ac:dyDescent="0.25">
      <c r="A1871" s="114" t="s">
        <v>725</v>
      </c>
      <c r="B1871" s="63" t="s">
        <v>51</v>
      </c>
      <c r="C1871" s="63" t="s">
        <v>87</v>
      </c>
      <c r="D1871" s="63">
        <v>-210</v>
      </c>
      <c r="E1871" s="63">
        <v>-99.9</v>
      </c>
      <c r="F1871" s="63">
        <v>0.1</v>
      </c>
      <c r="G1871" s="63" t="s">
        <v>23</v>
      </c>
      <c r="H1871" s="63" t="s">
        <v>23</v>
      </c>
      <c r="I1871" s="63">
        <v>0</v>
      </c>
      <c r="J1871" s="63">
        <v>0</v>
      </c>
      <c r="L1871" s="63">
        <v>0.32482492761100001</v>
      </c>
      <c r="M1871" s="63">
        <v>0</v>
      </c>
      <c r="N1871" s="63">
        <v>0.319510276185</v>
      </c>
      <c r="O1871" s="64">
        <v>0</v>
      </c>
    </row>
    <row r="1872" spans="1:15" x14ac:dyDescent="0.25">
      <c r="A1872" s="114" t="s">
        <v>2584</v>
      </c>
      <c r="B1872" s="63" t="s">
        <v>51</v>
      </c>
      <c r="C1872" s="63" t="s">
        <v>87</v>
      </c>
      <c r="D1872" s="63">
        <v>-100</v>
      </c>
      <c r="E1872" s="63">
        <v>-29.9</v>
      </c>
      <c r="F1872" s="63">
        <v>0.1</v>
      </c>
      <c r="G1872" s="63" t="s">
        <v>23</v>
      </c>
      <c r="H1872" s="63" t="s">
        <v>23</v>
      </c>
      <c r="I1872" s="63">
        <v>0</v>
      </c>
      <c r="J1872" s="63">
        <v>0</v>
      </c>
      <c r="L1872" s="63">
        <v>0.202657094786</v>
      </c>
      <c r="M1872" s="63">
        <v>0</v>
      </c>
      <c r="N1872" s="63">
        <v>0.19649070802900001</v>
      </c>
      <c r="O1872" s="64">
        <v>0</v>
      </c>
    </row>
    <row r="1873" spans="1:15" x14ac:dyDescent="0.25">
      <c r="A1873" s="114" t="s">
        <v>2585</v>
      </c>
      <c r="B1873" s="63" t="s">
        <v>51</v>
      </c>
      <c r="C1873" s="63" t="s">
        <v>87</v>
      </c>
      <c r="D1873" s="63">
        <v>-30</v>
      </c>
      <c r="E1873" s="63">
        <v>150.1</v>
      </c>
      <c r="F1873" s="63">
        <v>0.1</v>
      </c>
      <c r="G1873" s="63" t="s">
        <v>23</v>
      </c>
      <c r="H1873" s="63" t="s">
        <v>23</v>
      </c>
      <c r="I1873" s="63">
        <v>0</v>
      </c>
      <c r="J1873" s="63">
        <v>0</v>
      </c>
      <c r="L1873" s="63">
        <v>0.181774605609</v>
      </c>
      <c r="M1873" s="63">
        <v>0</v>
      </c>
      <c r="N1873" s="63">
        <v>0.174873404264</v>
      </c>
      <c r="O1873" s="64">
        <v>0</v>
      </c>
    </row>
    <row r="1874" spans="1:15" x14ac:dyDescent="0.25">
      <c r="A1874" s="114" t="s">
        <v>727</v>
      </c>
      <c r="B1874" s="63" t="s">
        <v>51</v>
      </c>
      <c r="C1874" s="63" t="s">
        <v>87</v>
      </c>
      <c r="D1874" s="63">
        <v>150</v>
      </c>
      <c r="E1874" s="63">
        <v>760.1</v>
      </c>
      <c r="F1874" s="63">
        <v>0.1</v>
      </c>
      <c r="G1874" s="63" t="s">
        <v>23</v>
      </c>
      <c r="H1874" s="63" t="s">
        <v>23</v>
      </c>
      <c r="I1874" s="63">
        <v>0</v>
      </c>
      <c r="J1874" s="63">
        <v>0</v>
      </c>
      <c r="L1874" s="63">
        <v>0.208895571817</v>
      </c>
      <c r="M1874" s="63">
        <v>0</v>
      </c>
      <c r="N1874" s="63">
        <v>0.20722397356399999</v>
      </c>
      <c r="O1874" s="64">
        <v>0</v>
      </c>
    </row>
    <row r="1875" spans="1:15" x14ac:dyDescent="0.25">
      <c r="A1875" s="114" t="s">
        <v>729</v>
      </c>
      <c r="B1875" s="63" t="s">
        <v>51</v>
      </c>
      <c r="C1875" s="63" t="s">
        <v>87</v>
      </c>
      <c r="D1875" s="63">
        <v>760</v>
      </c>
      <c r="E1875" s="63">
        <v>1200</v>
      </c>
      <c r="F1875" s="63">
        <v>0.1</v>
      </c>
      <c r="G1875" s="63" t="s">
        <v>23</v>
      </c>
      <c r="H1875" s="63" t="s">
        <v>23</v>
      </c>
      <c r="I1875" s="63">
        <v>0</v>
      </c>
      <c r="J1875" s="63">
        <v>0</v>
      </c>
      <c r="L1875" s="63">
        <v>0.27502981280599997</v>
      </c>
      <c r="M1875" s="63">
        <v>0</v>
      </c>
      <c r="N1875" s="63">
        <v>0.27376232981800003</v>
      </c>
      <c r="O1875" s="64">
        <v>0</v>
      </c>
    </row>
    <row r="1876" spans="1:15" x14ac:dyDescent="0.25">
      <c r="A1876" s="114" t="s">
        <v>730</v>
      </c>
      <c r="B1876" s="63" t="s">
        <v>51</v>
      </c>
      <c r="C1876" s="63" t="s">
        <v>87</v>
      </c>
      <c r="D1876" s="63">
        <v>1200</v>
      </c>
      <c r="E1876" s="63">
        <v>1200.0999999999999</v>
      </c>
      <c r="F1876" s="63">
        <v>0.1</v>
      </c>
      <c r="G1876" s="63" t="s">
        <v>23</v>
      </c>
      <c r="H1876" s="63" t="s">
        <v>23</v>
      </c>
      <c r="I1876" s="63">
        <v>0</v>
      </c>
      <c r="J1876" s="63">
        <v>0</v>
      </c>
      <c r="L1876" s="63">
        <v>0.27502981280599997</v>
      </c>
      <c r="M1876" s="63">
        <v>0</v>
      </c>
      <c r="N1876" s="63">
        <v>0.27376232981800003</v>
      </c>
      <c r="O1876" s="64">
        <v>0</v>
      </c>
    </row>
    <row r="1877" spans="1:15" x14ac:dyDescent="0.25">
      <c r="A1877" s="114" t="s">
        <v>2586</v>
      </c>
      <c r="B1877" s="63" t="s">
        <v>51</v>
      </c>
      <c r="C1877" s="63" t="s">
        <v>87</v>
      </c>
      <c r="D1877" s="63">
        <v>-210</v>
      </c>
      <c r="E1877" s="63">
        <v>-99.9</v>
      </c>
      <c r="F1877" s="63">
        <v>1</v>
      </c>
      <c r="G1877" s="63" t="s">
        <v>23</v>
      </c>
      <c r="H1877" s="63" t="s">
        <v>23</v>
      </c>
      <c r="I1877" s="63">
        <v>0</v>
      </c>
      <c r="J1877" s="63">
        <v>0</v>
      </c>
      <c r="L1877" s="63">
        <v>0.66767094037899999</v>
      </c>
      <c r="M1877" s="63">
        <v>0</v>
      </c>
      <c r="N1877" s="63">
        <v>0.65733310930400002</v>
      </c>
      <c r="O1877" s="64">
        <v>0</v>
      </c>
    </row>
    <row r="1878" spans="1:15" x14ac:dyDescent="0.25">
      <c r="A1878" s="114" t="s">
        <v>2587</v>
      </c>
      <c r="B1878" s="63" t="s">
        <v>51</v>
      </c>
      <c r="C1878" s="63" t="s">
        <v>87</v>
      </c>
      <c r="D1878" s="63">
        <v>-100</v>
      </c>
      <c r="E1878" s="63">
        <v>-29.9</v>
      </c>
      <c r="F1878" s="63">
        <v>1</v>
      </c>
      <c r="G1878" s="63" t="s">
        <v>23</v>
      </c>
      <c r="H1878" s="63" t="s">
        <v>23</v>
      </c>
      <c r="I1878" s="63">
        <v>0</v>
      </c>
      <c r="J1878" s="63">
        <v>0</v>
      </c>
      <c r="L1878" s="63">
        <v>0.61518598589700002</v>
      </c>
      <c r="M1878" s="63">
        <v>0</v>
      </c>
      <c r="N1878" s="63">
        <v>0.607131450628</v>
      </c>
      <c r="O1878" s="64">
        <v>0</v>
      </c>
    </row>
    <row r="1879" spans="1:15" x14ac:dyDescent="0.25">
      <c r="A1879" s="114" t="s">
        <v>726</v>
      </c>
      <c r="B1879" s="63" t="s">
        <v>51</v>
      </c>
      <c r="C1879" s="63" t="s">
        <v>87</v>
      </c>
      <c r="D1879" s="63">
        <v>-30</v>
      </c>
      <c r="E1879" s="63">
        <v>150.1</v>
      </c>
      <c r="F1879" s="63">
        <v>1</v>
      </c>
      <c r="G1879" s="63" t="s">
        <v>23</v>
      </c>
      <c r="H1879" s="63" t="s">
        <v>23</v>
      </c>
      <c r="I1879" s="63">
        <v>0</v>
      </c>
      <c r="J1879" s="63">
        <v>0</v>
      </c>
      <c r="L1879" s="63">
        <v>0.60862624526200004</v>
      </c>
      <c r="M1879" s="63">
        <v>0</v>
      </c>
      <c r="N1879" s="63">
        <v>0.60048372793799998</v>
      </c>
      <c r="O1879" s="64">
        <v>0</v>
      </c>
    </row>
    <row r="1880" spans="1:15" x14ac:dyDescent="0.25">
      <c r="A1880" s="114" t="s">
        <v>728</v>
      </c>
      <c r="B1880" s="63" t="s">
        <v>51</v>
      </c>
      <c r="C1880" s="63" t="s">
        <v>87</v>
      </c>
      <c r="D1880" s="63">
        <v>150</v>
      </c>
      <c r="E1880" s="63">
        <v>760.1</v>
      </c>
      <c r="F1880" s="63">
        <v>1</v>
      </c>
      <c r="G1880" s="63" t="s">
        <v>23</v>
      </c>
      <c r="H1880" s="63" t="s">
        <v>23</v>
      </c>
      <c r="I1880" s="63">
        <v>0</v>
      </c>
      <c r="J1880" s="63">
        <v>0</v>
      </c>
      <c r="L1880" s="63">
        <v>0.61296338719400001</v>
      </c>
      <c r="M1880" s="63">
        <v>0</v>
      </c>
      <c r="N1880" s="63">
        <v>0.61068958990599997</v>
      </c>
      <c r="O1880" s="64">
        <v>0</v>
      </c>
    </row>
    <row r="1881" spans="1:15" x14ac:dyDescent="0.25">
      <c r="A1881" s="114" t="s">
        <v>2588</v>
      </c>
      <c r="B1881" s="63" t="s">
        <v>51</v>
      </c>
      <c r="C1881" s="63" t="s">
        <v>87</v>
      </c>
      <c r="D1881" s="63">
        <v>760</v>
      </c>
      <c r="E1881" s="63">
        <v>1200</v>
      </c>
      <c r="F1881" s="63">
        <v>1</v>
      </c>
      <c r="G1881" s="63" t="s">
        <v>23</v>
      </c>
      <c r="H1881" s="63" t="s">
        <v>23</v>
      </c>
      <c r="I1881" s="63">
        <v>0</v>
      </c>
      <c r="J1881" s="63">
        <v>0</v>
      </c>
      <c r="L1881" s="63">
        <v>0.63853594421000004</v>
      </c>
      <c r="M1881" s="63">
        <v>0</v>
      </c>
      <c r="N1881" s="63">
        <v>0.63635352849399995</v>
      </c>
      <c r="O1881" s="64">
        <v>0</v>
      </c>
    </row>
    <row r="1882" spans="1:15" x14ac:dyDescent="0.25">
      <c r="A1882" s="114" t="s">
        <v>731</v>
      </c>
      <c r="B1882" s="63" t="s">
        <v>51</v>
      </c>
      <c r="C1882" s="63" t="s">
        <v>87</v>
      </c>
      <c r="D1882" s="63">
        <v>1200</v>
      </c>
      <c r="E1882" s="63">
        <v>1200.0999999999999</v>
      </c>
      <c r="F1882" s="63">
        <v>1</v>
      </c>
      <c r="G1882" s="63" t="s">
        <v>23</v>
      </c>
      <c r="H1882" s="63" t="s">
        <v>23</v>
      </c>
      <c r="I1882" s="63">
        <v>0</v>
      </c>
      <c r="J1882" s="63">
        <v>0</v>
      </c>
      <c r="L1882" s="63">
        <v>0.63853594421000004</v>
      </c>
      <c r="M1882" s="63">
        <v>0</v>
      </c>
      <c r="N1882" s="63">
        <v>0.63635352849399995</v>
      </c>
      <c r="O1882" s="64">
        <v>0</v>
      </c>
    </row>
    <row r="1883" spans="1:15" x14ac:dyDescent="0.25">
      <c r="A1883" s="114" t="s">
        <v>714</v>
      </c>
      <c r="B1883" s="63" t="s">
        <v>51</v>
      </c>
      <c r="C1883" s="63" t="s">
        <v>86</v>
      </c>
      <c r="D1883" s="63">
        <v>-200</v>
      </c>
      <c r="E1883" s="63">
        <v>-99.9</v>
      </c>
      <c r="F1883" s="63">
        <v>0.1</v>
      </c>
      <c r="G1883" s="63" t="s">
        <v>23</v>
      </c>
      <c r="H1883" s="63" t="s">
        <v>23</v>
      </c>
      <c r="I1883" s="63">
        <v>0</v>
      </c>
      <c r="J1883" s="63">
        <v>0</v>
      </c>
      <c r="L1883" s="63">
        <v>0.39349449356900001</v>
      </c>
      <c r="M1883" s="63">
        <v>0</v>
      </c>
      <c r="N1883" s="63">
        <v>0.387672365056</v>
      </c>
      <c r="O1883" s="64">
        <v>0</v>
      </c>
    </row>
    <row r="1884" spans="1:15" x14ac:dyDescent="0.25">
      <c r="A1884" s="114" t="s">
        <v>716</v>
      </c>
      <c r="B1884" s="63" t="s">
        <v>51</v>
      </c>
      <c r="C1884" s="63" t="s">
        <v>86</v>
      </c>
      <c r="D1884" s="63">
        <v>-100</v>
      </c>
      <c r="E1884" s="63">
        <v>-24.9</v>
      </c>
      <c r="F1884" s="63">
        <v>0.1</v>
      </c>
      <c r="G1884" s="63" t="s">
        <v>23</v>
      </c>
      <c r="H1884" s="63" t="s">
        <v>23</v>
      </c>
      <c r="I1884" s="63">
        <v>0</v>
      </c>
      <c r="J1884" s="63">
        <v>0</v>
      </c>
      <c r="L1884" s="63">
        <v>0.228694771229</v>
      </c>
      <c r="M1884" s="63">
        <v>0</v>
      </c>
      <c r="N1884" s="63">
        <v>0.21852515769700001</v>
      </c>
      <c r="O1884" s="64">
        <v>0</v>
      </c>
    </row>
    <row r="1885" spans="1:15" x14ac:dyDescent="0.25">
      <c r="A1885" s="114" t="s">
        <v>718</v>
      </c>
      <c r="B1885" s="63" t="s">
        <v>51</v>
      </c>
      <c r="C1885" s="63" t="s">
        <v>86</v>
      </c>
      <c r="D1885" s="63">
        <v>-25</v>
      </c>
      <c r="E1885" s="63">
        <v>120.1</v>
      </c>
      <c r="F1885" s="63">
        <v>0.1</v>
      </c>
      <c r="G1885" s="63" t="s">
        <v>23</v>
      </c>
      <c r="H1885" s="63" t="s">
        <v>23</v>
      </c>
      <c r="I1885" s="63">
        <v>0</v>
      </c>
      <c r="J1885" s="63">
        <v>0</v>
      </c>
      <c r="L1885" s="63">
        <v>0.20427602708199999</v>
      </c>
      <c r="M1885" s="63">
        <v>0</v>
      </c>
      <c r="N1885" s="63">
        <v>0.19653324737899999</v>
      </c>
      <c r="O1885" s="64">
        <v>0</v>
      </c>
    </row>
    <row r="1886" spans="1:15" x14ac:dyDescent="0.25">
      <c r="A1886" s="114" t="s">
        <v>720</v>
      </c>
      <c r="B1886" s="63" t="s">
        <v>51</v>
      </c>
      <c r="C1886" s="63" t="s">
        <v>86</v>
      </c>
      <c r="D1886" s="63">
        <v>120</v>
      </c>
      <c r="E1886" s="63">
        <v>1000.1</v>
      </c>
      <c r="F1886" s="63">
        <v>0.1</v>
      </c>
      <c r="G1886" s="63" t="s">
        <v>23</v>
      </c>
      <c r="H1886" s="63" t="s">
        <v>23</v>
      </c>
      <c r="I1886" s="63">
        <v>0</v>
      </c>
      <c r="J1886" s="63">
        <v>0</v>
      </c>
      <c r="L1886" s="63">
        <v>0.31026319266500002</v>
      </c>
      <c r="M1886" s="63">
        <v>0</v>
      </c>
      <c r="N1886" s="63">
        <v>0.30757852124899998</v>
      </c>
      <c r="O1886" s="64">
        <v>0</v>
      </c>
    </row>
    <row r="1887" spans="1:15" x14ac:dyDescent="0.25">
      <c r="A1887" s="114" t="s">
        <v>721</v>
      </c>
      <c r="B1887" s="63" t="s">
        <v>51</v>
      </c>
      <c r="C1887" s="63" t="s">
        <v>86</v>
      </c>
      <c r="D1887" s="63">
        <v>1000</v>
      </c>
      <c r="E1887" s="63">
        <v>1372</v>
      </c>
      <c r="F1887" s="63">
        <v>0.1</v>
      </c>
      <c r="G1887" s="63" t="s">
        <v>23</v>
      </c>
      <c r="H1887" s="63" t="s">
        <v>23</v>
      </c>
      <c r="I1887" s="63">
        <v>0</v>
      </c>
      <c r="J1887" s="63">
        <v>0</v>
      </c>
      <c r="L1887" s="63">
        <v>0.46917668362699999</v>
      </c>
      <c r="M1887" s="63">
        <v>0</v>
      </c>
      <c r="N1887" s="63">
        <v>0.46671830934800002</v>
      </c>
      <c r="O1887" s="64">
        <v>0</v>
      </c>
    </row>
    <row r="1888" spans="1:15" x14ac:dyDescent="0.25">
      <c r="A1888" s="114" t="s">
        <v>723</v>
      </c>
      <c r="B1888" s="63" t="s">
        <v>51</v>
      </c>
      <c r="C1888" s="63" t="s">
        <v>86</v>
      </c>
      <c r="D1888" s="63">
        <v>1372</v>
      </c>
      <c r="E1888" s="63">
        <v>1372.1</v>
      </c>
      <c r="F1888" s="63">
        <v>0.1</v>
      </c>
      <c r="G1888" s="63" t="s">
        <v>23</v>
      </c>
      <c r="H1888" s="63" t="s">
        <v>23</v>
      </c>
      <c r="I1888" s="63">
        <v>0</v>
      </c>
      <c r="J1888" s="63">
        <v>0</v>
      </c>
      <c r="L1888" s="63">
        <v>0.46917668362699999</v>
      </c>
      <c r="M1888" s="63">
        <v>0</v>
      </c>
      <c r="N1888" s="63">
        <v>0.46671830934800002</v>
      </c>
      <c r="O1888" s="64">
        <v>0</v>
      </c>
    </row>
    <row r="1889" spans="1:15" x14ac:dyDescent="0.25">
      <c r="A1889" s="114" t="s">
        <v>715</v>
      </c>
      <c r="B1889" s="63" t="s">
        <v>51</v>
      </c>
      <c r="C1889" s="63" t="s">
        <v>86</v>
      </c>
      <c r="D1889" s="63">
        <v>-200</v>
      </c>
      <c r="E1889" s="63">
        <v>-99.9</v>
      </c>
      <c r="F1889" s="63">
        <v>1</v>
      </c>
      <c r="G1889" s="63" t="s">
        <v>23</v>
      </c>
      <c r="H1889" s="63" t="s">
        <v>23</v>
      </c>
      <c r="I1889" s="63">
        <v>0</v>
      </c>
      <c r="J1889" s="63">
        <v>0</v>
      </c>
      <c r="L1889" s="63">
        <v>0.70603263238400005</v>
      </c>
      <c r="M1889" s="63">
        <v>0</v>
      </c>
      <c r="N1889" s="63">
        <v>0.69302948178900003</v>
      </c>
      <c r="O1889" s="64">
        <v>0</v>
      </c>
    </row>
    <row r="1890" spans="1:15" x14ac:dyDescent="0.25">
      <c r="A1890" s="114" t="s">
        <v>717</v>
      </c>
      <c r="B1890" s="63" t="s">
        <v>51</v>
      </c>
      <c r="C1890" s="63" t="s">
        <v>86</v>
      </c>
      <c r="D1890" s="63">
        <v>-100</v>
      </c>
      <c r="E1890" s="63">
        <v>-24.9</v>
      </c>
      <c r="F1890" s="63">
        <v>1</v>
      </c>
      <c r="G1890" s="63" t="s">
        <v>23</v>
      </c>
      <c r="H1890" s="63" t="s">
        <v>23</v>
      </c>
      <c r="I1890" s="63">
        <v>0</v>
      </c>
      <c r="J1890" s="63">
        <v>0</v>
      </c>
      <c r="L1890" s="63">
        <v>0.62924197246400004</v>
      </c>
      <c r="M1890" s="63">
        <v>0</v>
      </c>
      <c r="N1890" s="63">
        <v>0.61461633931000004</v>
      </c>
      <c r="O1890" s="64">
        <v>0</v>
      </c>
    </row>
    <row r="1891" spans="1:15" x14ac:dyDescent="0.25">
      <c r="A1891" s="114" t="s">
        <v>719</v>
      </c>
      <c r="B1891" s="63" t="s">
        <v>51</v>
      </c>
      <c r="C1891" s="63" t="s">
        <v>86</v>
      </c>
      <c r="D1891" s="63">
        <v>-25</v>
      </c>
      <c r="E1891" s="63">
        <v>120.1</v>
      </c>
      <c r="F1891" s="63">
        <v>1</v>
      </c>
      <c r="G1891" s="63" t="s">
        <v>23</v>
      </c>
      <c r="H1891" s="63" t="s">
        <v>23</v>
      </c>
      <c r="I1891" s="63">
        <v>0</v>
      </c>
      <c r="J1891" s="63">
        <v>0</v>
      </c>
      <c r="L1891" s="63">
        <v>0.61728342678699999</v>
      </c>
      <c r="M1891" s="63">
        <v>0</v>
      </c>
      <c r="N1891" s="63">
        <v>0.60714521930499998</v>
      </c>
      <c r="O1891" s="64">
        <v>0</v>
      </c>
    </row>
    <row r="1892" spans="1:15" x14ac:dyDescent="0.25">
      <c r="A1892" s="114" t="s">
        <v>2589</v>
      </c>
      <c r="B1892" s="63" t="s">
        <v>51</v>
      </c>
      <c r="C1892" s="63" t="s">
        <v>86</v>
      </c>
      <c r="D1892" s="63">
        <v>120</v>
      </c>
      <c r="E1892" s="63">
        <v>1000.1</v>
      </c>
      <c r="F1892" s="63">
        <v>1</v>
      </c>
      <c r="G1892" s="63" t="s">
        <v>23</v>
      </c>
      <c r="H1892" s="63" t="s">
        <v>23</v>
      </c>
      <c r="I1892" s="63">
        <v>0</v>
      </c>
      <c r="J1892" s="63">
        <v>0</v>
      </c>
      <c r="L1892" s="63">
        <v>0.65668817157799997</v>
      </c>
      <c r="M1892" s="63">
        <v>0</v>
      </c>
      <c r="N1892" s="63">
        <v>0.65161687112400002</v>
      </c>
      <c r="O1892" s="64">
        <v>0</v>
      </c>
    </row>
    <row r="1893" spans="1:15" x14ac:dyDescent="0.25">
      <c r="A1893" s="114" t="s">
        <v>722</v>
      </c>
      <c r="B1893" s="63" t="s">
        <v>51</v>
      </c>
      <c r="C1893" s="63" t="s">
        <v>86</v>
      </c>
      <c r="D1893" s="63">
        <v>1000</v>
      </c>
      <c r="E1893" s="63">
        <v>1372</v>
      </c>
      <c r="F1893" s="63">
        <v>1</v>
      </c>
      <c r="G1893" s="63" t="s">
        <v>23</v>
      </c>
      <c r="H1893" s="63" t="s">
        <v>23</v>
      </c>
      <c r="I1893" s="63">
        <v>0</v>
      </c>
      <c r="J1893" s="63">
        <v>0</v>
      </c>
      <c r="L1893" s="63">
        <v>0.74634382223899998</v>
      </c>
      <c r="M1893" s="63">
        <v>0</v>
      </c>
      <c r="N1893" s="63">
        <v>0.74015267362899995</v>
      </c>
      <c r="O1893" s="64">
        <v>0</v>
      </c>
    </row>
    <row r="1894" spans="1:15" x14ac:dyDescent="0.25">
      <c r="A1894" s="114" t="s">
        <v>724</v>
      </c>
      <c r="B1894" s="63" t="s">
        <v>51</v>
      </c>
      <c r="C1894" s="63" t="s">
        <v>86</v>
      </c>
      <c r="D1894" s="63">
        <v>1372</v>
      </c>
      <c r="E1894" s="63">
        <v>1372.1</v>
      </c>
      <c r="F1894" s="63">
        <v>1</v>
      </c>
      <c r="G1894" s="63" t="s">
        <v>23</v>
      </c>
      <c r="H1894" s="63" t="s">
        <v>23</v>
      </c>
      <c r="I1894" s="63">
        <v>0</v>
      </c>
      <c r="J1894" s="63">
        <v>0</v>
      </c>
      <c r="L1894" s="63">
        <v>0.74634382223899998</v>
      </c>
      <c r="M1894" s="63">
        <v>0</v>
      </c>
      <c r="N1894" s="63">
        <v>0.74015267362899995</v>
      </c>
      <c r="O1894" s="64">
        <v>0</v>
      </c>
    </row>
    <row r="1895" spans="1:15" x14ac:dyDescent="0.25">
      <c r="A1895" s="114" t="s">
        <v>702</v>
      </c>
      <c r="B1895" s="63" t="s">
        <v>51</v>
      </c>
      <c r="C1895" s="63" t="s">
        <v>89</v>
      </c>
      <c r="D1895" s="63">
        <v>-200</v>
      </c>
      <c r="E1895" s="63">
        <v>-99.9</v>
      </c>
      <c r="F1895" s="63">
        <v>0.1</v>
      </c>
      <c r="G1895" s="63" t="s">
        <v>23</v>
      </c>
      <c r="H1895" s="63" t="s">
        <v>23</v>
      </c>
      <c r="I1895" s="63">
        <v>0</v>
      </c>
      <c r="J1895" s="63">
        <v>0</v>
      </c>
      <c r="L1895" s="63">
        <v>0.472008509711</v>
      </c>
      <c r="M1895" s="63">
        <v>0</v>
      </c>
      <c r="N1895" s="63">
        <v>0.46682217203499998</v>
      </c>
      <c r="O1895" s="64">
        <v>0</v>
      </c>
    </row>
    <row r="1896" spans="1:15" x14ac:dyDescent="0.25">
      <c r="A1896" s="114" t="s">
        <v>704</v>
      </c>
      <c r="B1896" s="63" t="s">
        <v>51</v>
      </c>
      <c r="C1896" s="63" t="s">
        <v>89</v>
      </c>
      <c r="D1896" s="63">
        <v>-100</v>
      </c>
      <c r="E1896" s="63">
        <v>-24.9</v>
      </c>
      <c r="F1896" s="63">
        <v>0.1</v>
      </c>
      <c r="G1896" s="63" t="s">
        <v>23</v>
      </c>
      <c r="H1896" s="63" t="s">
        <v>23</v>
      </c>
      <c r="I1896" s="63">
        <v>0</v>
      </c>
      <c r="J1896" s="63">
        <v>0</v>
      </c>
      <c r="L1896" s="63">
        <v>0.26967921131</v>
      </c>
      <c r="M1896" s="63">
        <v>0</v>
      </c>
      <c r="N1896" s="63">
        <v>0.26325360397000003</v>
      </c>
      <c r="O1896" s="64">
        <v>0</v>
      </c>
    </row>
    <row r="1897" spans="1:15" x14ac:dyDescent="0.25">
      <c r="A1897" s="114" t="s">
        <v>706</v>
      </c>
      <c r="B1897" s="63" t="s">
        <v>51</v>
      </c>
      <c r="C1897" s="63" t="s">
        <v>89</v>
      </c>
      <c r="D1897" s="63">
        <v>-25</v>
      </c>
      <c r="E1897" s="63">
        <v>120.1</v>
      </c>
      <c r="F1897" s="63">
        <v>0.1</v>
      </c>
      <c r="G1897" s="63" t="s">
        <v>23</v>
      </c>
      <c r="H1897" s="63" t="s">
        <v>23</v>
      </c>
      <c r="I1897" s="63">
        <v>0</v>
      </c>
      <c r="J1897" s="63">
        <v>0</v>
      </c>
      <c r="L1897" s="63">
        <v>0.23706428989299999</v>
      </c>
      <c r="M1897" s="63">
        <v>0</v>
      </c>
      <c r="N1897" s="63">
        <v>0.22972823190200001</v>
      </c>
      <c r="O1897" s="64">
        <v>0</v>
      </c>
    </row>
    <row r="1898" spans="1:15" x14ac:dyDescent="0.25">
      <c r="A1898" s="114" t="s">
        <v>708</v>
      </c>
      <c r="B1898" s="63" t="s">
        <v>51</v>
      </c>
      <c r="C1898" s="63" t="s">
        <v>89</v>
      </c>
      <c r="D1898" s="63">
        <v>120</v>
      </c>
      <c r="E1898" s="63">
        <v>410.1</v>
      </c>
      <c r="F1898" s="63">
        <v>0.1</v>
      </c>
      <c r="G1898" s="63" t="s">
        <v>23</v>
      </c>
      <c r="H1898" s="63" t="s">
        <v>23</v>
      </c>
      <c r="I1898" s="63">
        <v>0</v>
      </c>
      <c r="J1898" s="63">
        <v>0</v>
      </c>
      <c r="L1898" s="63">
        <v>0.223034144712</v>
      </c>
      <c r="M1898" s="63">
        <v>0</v>
      </c>
      <c r="N1898" s="63">
        <v>0.218550883375</v>
      </c>
      <c r="O1898" s="64">
        <v>0</v>
      </c>
    </row>
    <row r="1899" spans="1:15" x14ac:dyDescent="0.25">
      <c r="A1899" s="114" t="s">
        <v>710</v>
      </c>
      <c r="B1899" s="63" t="s">
        <v>51</v>
      </c>
      <c r="C1899" s="63" t="s">
        <v>89</v>
      </c>
      <c r="D1899" s="63">
        <v>410</v>
      </c>
      <c r="E1899" s="63">
        <v>1300</v>
      </c>
      <c r="F1899" s="63">
        <v>0.1</v>
      </c>
      <c r="G1899" s="63" t="s">
        <v>23</v>
      </c>
      <c r="H1899" s="63" t="s">
        <v>23</v>
      </c>
      <c r="I1899" s="63">
        <v>0</v>
      </c>
      <c r="J1899" s="63">
        <v>0</v>
      </c>
      <c r="L1899" s="63">
        <v>0.32196849222200002</v>
      </c>
      <c r="M1899" s="63">
        <v>0</v>
      </c>
      <c r="N1899" s="63">
        <v>0.31887923874099999</v>
      </c>
      <c r="O1899" s="64">
        <v>0</v>
      </c>
    </row>
    <row r="1900" spans="1:15" x14ac:dyDescent="0.25">
      <c r="A1900" s="114" t="s">
        <v>712</v>
      </c>
      <c r="B1900" s="63" t="s">
        <v>51</v>
      </c>
      <c r="C1900" s="63" t="s">
        <v>89</v>
      </c>
      <c r="D1900" s="63">
        <v>1300</v>
      </c>
      <c r="E1900" s="63">
        <v>1300.0999999999999</v>
      </c>
      <c r="F1900" s="63">
        <v>0.1</v>
      </c>
      <c r="G1900" s="63" t="s">
        <v>23</v>
      </c>
      <c r="H1900" s="63" t="s">
        <v>23</v>
      </c>
      <c r="I1900" s="63">
        <v>0</v>
      </c>
      <c r="J1900" s="63">
        <v>0</v>
      </c>
      <c r="L1900" s="63">
        <v>0.32196849222200002</v>
      </c>
      <c r="M1900" s="63">
        <v>0</v>
      </c>
      <c r="N1900" s="63">
        <v>0.31887923874099999</v>
      </c>
      <c r="O1900" s="64">
        <v>0</v>
      </c>
    </row>
    <row r="1901" spans="1:15" x14ac:dyDescent="0.25">
      <c r="A1901" s="114" t="s">
        <v>703</v>
      </c>
      <c r="B1901" s="63" t="s">
        <v>51</v>
      </c>
      <c r="C1901" s="63" t="s">
        <v>89</v>
      </c>
      <c r="D1901" s="63">
        <v>-200</v>
      </c>
      <c r="E1901" s="63">
        <v>-99.9</v>
      </c>
      <c r="F1901" s="63">
        <v>1</v>
      </c>
      <c r="G1901" s="63" t="s">
        <v>23</v>
      </c>
      <c r="H1901" s="63" t="s">
        <v>23</v>
      </c>
      <c r="I1901" s="63">
        <v>0</v>
      </c>
      <c r="J1901" s="63">
        <v>0</v>
      </c>
      <c r="L1901" s="63">
        <v>0.75325912675899998</v>
      </c>
      <c r="M1901" s="63">
        <v>0</v>
      </c>
      <c r="N1901" s="63">
        <v>0.74021817074700003</v>
      </c>
      <c r="O1901" s="64">
        <v>0</v>
      </c>
    </row>
    <row r="1902" spans="1:15" x14ac:dyDescent="0.25">
      <c r="A1902" s="114" t="s">
        <v>705</v>
      </c>
      <c r="B1902" s="63" t="s">
        <v>51</v>
      </c>
      <c r="C1902" s="63" t="s">
        <v>89</v>
      </c>
      <c r="D1902" s="63">
        <v>-100</v>
      </c>
      <c r="E1902" s="63">
        <v>-24.9</v>
      </c>
      <c r="F1902" s="63">
        <v>1</v>
      </c>
      <c r="G1902" s="63" t="s">
        <v>23</v>
      </c>
      <c r="H1902" s="63" t="s">
        <v>23</v>
      </c>
      <c r="I1902" s="63">
        <v>0</v>
      </c>
      <c r="J1902" s="63">
        <v>0</v>
      </c>
      <c r="L1902" s="63">
        <v>0.64265086014200001</v>
      </c>
      <c r="M1902" s="63">
        <v>0</v>
      </c>
      <c r="N1902" s="63">
        <v>0.63190383762299995</v>
      </c>
      <c r="O1902" s="64">
        <v>0</v>
      </c>
    </row>
    <row r="1903" spans="1:15" x14ac:dyDescent="0.25">
      <c r="A1903" s="114" t="s">
        <v>707</v>
      </c>
      <c r="B1903" s="63" t="s">
        <v>51</v>
      </c>
      <c r="C1903" s="63" t="s">
        <v>89</v>
      </c>
      <c r="D1903" s="63">
        <v>-25</v>
      </c>
      <c r="E1903" s="63">
        <v>120.1</v>
      </c>
      <c r="F1903" s="63">
        <v>1</v>
      </c>
      <c r="G1903" s="63" t="s">
        <v>23</v>
      </c>
      <c r="H1903" s="63" t="s">
        <v>23</v>
      </c>
      <c r="I1903" s="63">
        <v>0</v>
      </c>
      <c r="J1903" s="63">
        <v>0</v>
      </c>
      <c r="L1903" s="63">
        <v>0.62966080437899996</v>
      </c>
      <c r="M1903" s="63">
        <v>0</v>
      </c>
      <c r="N1903" s="63">
        <v>0.61868817714000002</v>
      </c>
      <c r="O1903" s="64">
        <v>0</v>
      </c>
    </row>
    <row r="1904" spans="1:15" x14ac:dyDescent="0.25">
      <c r="A1904" s="114" t="s">
        <v>709</v>
      </c>
      <c r="B1904" s="63" t="s">
        <v>51</v>
      </c>
      <c r="C1904" s="63" t="s">
        <v>89</v>
      </c>
      <c r="D1904" s="63">
        <v>120</v>
      </c>
      <c r="E1904" s="63">
        <v>410.1</v>
      </c>
      <c r="F1904" s="63">
        <v>1</v>
      </c>
      <c r="G1904" s="63" t="s">
        <v>23</v>
      </c>
      <c r="H1904" s="63" t="s">
        <v>23</v>
      </c>
      <c r="I1904" s="63">
        <v>0</v>
      </c>
      <c r="J1904" s="63">
        <v>0</v>
      </c>
      <c r="L1904" s="63">
        <v>0.62103418018500001</v>
      </c>
      <c r="M1904" s="63">
        <v>0</v>
      </c>
      <c r="N1904" s="63">
        <v>0.61462548647399995</v>
      </c>
      <c r="O1904" s="64">
        <v>0</v>
      </c>
    </row>
    <row r="1905" spans="1:15" x14ac:dyDescent="0.25">
      <c r="A1905" s="114" t="s">
        <v>711</v>
      </c>
      <c r="B1905" s="63" t="s">
        <v>51</v>
      </c>
      <c r="C1905" s="63" t="s">
        <v>89</v>
      </c>
      <c r="D1905" s="63">
        <v>410</v>
      </c>
      <c r="E1905" s="63">
        <v>1300</v>
      </c>
      <c r="F1905" s="63">
        <v>1</v>
      </c>
      <c r="G1905" s="63" t="s">
        <v>23</v>
      </c>
      <c r="H1905" s="63" t="s">
        <v>23</v>
      </c>
      <c r="I1905" s="63">
        <v>0</v>
      </c>
      <c r="J1905" s="63">
        <v>0</v>
      </c>
      <c r="L1905" s="63">
        <v>0.66302559018100005</v>
      </c>
      <c r="M1905" s="63">
        <v>0</v>
      </c>
      <c r="N1905" s="63">
        <v>0.65702661201799994</v>
      </c>
      <c r="O1905" s="64">
        <v>0</v>
      </c>
    </row>
    <row r="1906" spans="1:15" x14ac:dyDescent="0.25">
      <c r="A1906" s="114" t="s">
        <v>713</v>
      </c>
      <c r="B1906" s="63" t="s">
        <v>51</v>
      </c>
      <c r="C1906" s="63" t="s">
        <v>89</v>
      </c>
      <c r="D1906" s="63">
        <v>1300</v>
      </c>
      <c r="E1906" s="63">
        <v>1300.0999999999999</v>
      </c>
      <c r="F1906" s="63">
        <v>1</v>
      </c>
      <c r="G1906" s="63" t="s">
        <v>23</v>
      </c>
      <c r="H1906" s="63" t="s">
        <v>23</v>
      </c>
      <c r="I1906" s="63">
        <v>0</v>
      </c>
      <c r="J1906" s="63">
        <v>0</v>
      </c>
      <c r="L1906" s="63">
        <v>0.66302559018100005</v>
      </c>
      <c r="M1906" s="63">
        <v>0</v>
      </c>
      <c r="N1906" s="63">
        <v>0.65702661201799994</v>
      </c>
      <c r="O1906" s="64">
        <v>0</v>
      </c>
    </row>
    <row r="1907" spans="1:15" x14ac:dyDescent="0.25">
      <c r="A1907" s="114" t="s">
        <v>691</v>
      </c>
      <c r="B1907" s="63" t="s">
        <v>51</v>
      </c>
      <c r="C1907" s="63" t="s">
        <v>93</v>
      </c>
      <c r="D1907" s="63">
        <v>-200</v>
      </c>
      <c r="E1907" s="63">
        <v>0.1</v>
      </c>
      <c r="F1907" s="63">
        <v>0.1</v>
      </c>
      <c r="G1907" s="63" t="s">
        <v>23</v>
      </c>
      <c r="H1907" s="63" t="s">
        <v>23</v>
      </c>
      <c r="I1907" s="63">
        <v>0</v>
      </c>
      <c r="J1907" s="63">
        <v>0</v>
      </c>
      <c r="L1907" s="63">
        <v>0.13102279011699999</v>
      </c>
      <c r="M1907" s="63">
        <v>0</v>
      </c>
      <c r="N1907" s="63">
        <v>0.116270806391</v>
      </c>
      <c r="O1907" s="64">
        <v>0</v>
      </c>
    </row>
    <row r="1908" spans="1:15" x14ac:dyDescent="0.25">
      <c r="A1908" s="114" t="s">
        <v>693</v>
      </c>
      <c r="B1908" s="63" t="s">
        <v>51</v>
      </c>
      <c r="C1908" s="63" t="s">
        <v>93</v>
      </c>
      <c r="D1908" s="63">
        <v>0</v>
      </c>
      <c r="E1908" s="63">
        <v>100.1</v>
      </c>
      <c r="F1908" s="63">
        <v>0.1</v>
      </c>
      <c r="G1908" s="63" t="s">
        <v>23</v>
      </c>
      <c r="H1908" s="63" t="s">
        <v>23</v>
      </c>
      <c r="I1908" s="63">
        <v>0</v>
      </c>
      <c r="J1908" s="63">
        <v>0</v>
      </c>
      <c r="L1908" s="63">
        <v>0.16571073656499999</v>
      </c>
      <c r="M1908" s="63">
        <v>0</v>
      </c>
      <c r="N1908" s="63">
        <v>0.154311299333</v>
      </c>
      <c r="O1908" s="64">
        <v>0</v>
      </c>
    </row>
    <row r="1909" spans="1:15" x14ac:dyDescent="0.25">
      <c r="A1909" s="114" t="s">
        <v>695</v>
      </c>
      <c r="B1909" s="63" t="s">
        <v>51</v>
      </c>
      <c r="C1909" s="63" t="s">
        <v>93</v>
      </c>
      <c r="D1909" s="63">
        <v>100</v>
      </c>
      <c r="E1909" s="63">
        <v>300.10000000000002</v>
      </c>
      <c r="F1909" s="63">
        <v>0.1</v>
      </c>
      <c r="G1909" s="63" t="s">
        <v>23</v>
      </c>
      <c r="H1909" s="63" t="s">
        <v>23</v>
      </c>
      <c r="I1909" s="63">
        <v>0</v>
      </c>
      <c r="J1909" s="63">
        <v>0</v>
      </c>
      <c r="L1909" s="63">
        <v>0.16571073656499999</v>
      </c>
      <c r="M1909" s="63">
        <v>0</v>
      </c>
      <c r="N1909" s="63">
        <v>0.154311299333</v>
      </c>
      <c r="O1909" s="64">
        <v>0</v>
      </c>
    </row>
    <row r="1910" spans="1:15" x14ac:dyDescent="0.25">
      <c r="A1910" s="114" t="s">
        <v>2590</v>
      </c>
      <c r="B1910" s="63" t="s">
        <v>51</v>
      </c>
      <c r="C1910" s="63" t="s">
        <v>93</v>
      </c>
      <c r="D1910" s="63">
        <v>300</v>
      </c>
      <c r="E1910" s="63">
        <v>400.1</v>
      </c>
      <c r="F1910" s="63">
        <v>0.1</v>
      </c>
      <c r="G1910" s="63" t="s">
        <v>23</v>
      </c>
      <c r="H1910" s="63" t="s">
        <v>23</v>
      </c>
      <c r="I1910" s="63">
        <v>0</v>
      </c>
      <c r="J1910" s="63">
        <v>0</v>
      </c>
      <c r="L1910" s="63">
        <v>0.22203263630799999</v>
      </c>
      <c r="M1910" s="63">
        <v>0</v>
      </c>
      <c r="N1910" s="63">
        <v>0.21365959017700001</v>
      </c>
      <c r="O1910" s="64">
        <v>0</v>
      </c>
    </row>
    <row r="1911" spans="1:15" x14ac:dyDescent="0.25">
      <c r="A1911" s="114" t="s">
        <v>697</v>
      </c>
      <c r="B1911" s="63" t="s">
        <v>51</v>
      </c>
      <c r="C1911" s="63" t="s">
        <v>93</v>
      </c>
      <c r="D1911" s="63">
        <v>400</v>
      </c>
      <c r="E1911" s="63">
        <v>630.1</v>
      </c>
      <c r="F1911" s="63">
        <v>0.1</v>
      </c>
      <c r="G1911" s="63" t="s">
        <v>23</v>
      </c>
      <c r="H1911" s="63" t="s">
        <v>23</v>
      </c>
      <c r="I1911" s="63">
        <v>0</v>
      </c>
      <c r="J1911" s="63">
        <v>0</v>
      </c>
      <c r="L1911" s="63">
        <v>0.259995114769</v>
      </c>
      <c r="M1911" s="63">
        <v>0</v>
      </c>
      <c r="N1911" s="63">
        <v>0.25288216345300002</v>
      </c>
      <c r="O1911" s="64">
        <v>0</v>
      </c>
    </row>
    <row r="1912" spans="1:15" x14ac:dyDescent="0.25">
      <c r="A1912" s="114" t="s">
        <v>2591</v>
      </c>
      <c r="B1912" s="63" t="s">
        <v>51</v>
      </c>
      <c r="C1912" s="63" t="s">
        <v>93</v>
      </c>
      <c r="D1912" s="63">
        <v>630</v>
      </c>
      <c r="E1912" s="63">
        <v>800</v>
      </c>
      <c r="F1912" s="63">
        <v>0.1</v>
      </c>
      <c r="G1912" s="63" t="s">
        <v>23</v>
      </c>
      <c r="H1912" s="63" t="s">
        <v>23</v>
      </c>
      <c r="I1912" s="63">
        <v>0</v>
      </c>
      <c r="J1912" s="63">
        <v>0</v>
      </c>
      <c r="L1912" s="63">
        <v>0.43496643841799998</v>
      </c>
      <c r="M1912" s="63">
        <v>0</v>
      </c>
      <c r="N1912" s="63">
        <v>0.43075251762299999</v>
      </c>
      <c r="O1912" s="64">
        <v>0</v>
      </c>
    </row>
    <row r="1913" spans="1:15" x14ac:dyDescent="0.25">
      <c r="A1913" s="114" t="s">
        <v>700</v>
      </c>
      <c r="B1913" s="63" t="s">
        <v>51</v>
      </c>
      <c r="C1913" s="63" t="s">
        <v>93</v>
      </c>
      <c r="D1913" s="63">
        <v>800</v>
      </c>
      <c r="E1913" s="63">
        <v>800.1</v>
      </c>
      <c r="F1913" s="63">
        <v>0.1</v>
      </c>
      <c r="G1913" s="63" t="s">
        <v>23</v>
      </c>
      <c r="H1913" s="63" t="s">
        <v>23</v>
      </c>
      <c r="I1913" s="63">
        <v>0</v>
      </c>
      <c r="J1913" s="63">
        <v>0</v>
      </c>
      <c r="L1913" s="63">
        <v>0.43496643841799998</v>
      </c>
      <c r="M1913" s="63">
        <v>0</v>
      </c>
      <c r="N1913" s="63">
        <v>0.43075251762299999</v>
      </c>
      <c r="O1913" s="64">
        <v>0</v>
      </c>
    </row>
    <row r="1914" spans="1:15" x14ac:dyDescent="0.25">
      <c r="A1914" s="114" t="s">
        <v>692</v>
      </c>
      <c r="B1914" s="63" t="s">
        <v>51</v>
      </c>
      <c r="C1914" s="63" t="s">
        <v>93</v>
      </c>
      <c r="D1914" s="63">
        <v>-200</v>
      </c>
      <c r="E1914" s="63">
        <v>0.1</v>
      </c>
      <c r="F1914" s="63">
        <v>1</v>
      </c>
      <c r="G1914" s="63" t="s">
        <v>23</v>
      </c>
      <c r="H1914" s="63" t="s">
        <v>23</v>
      </c>
      <c r="I1914" s="63">
        <v>0</v>
      </c>
      <c r="J1914" s="63">
        <v>0</v>
      </c>
      <c r="L1914" s="63">
        <v>0.60095134778799997</v>
      </c>
      <c r="M1914" s="63">
        <v>0</v>
      </c>
      <c r="N1914" s="63">
        <v>0.58868517729199998</v>
      </c>
      <c r="O1914" s="64">
        <v>0</v>
      </c>
    </row>
    <row r="1915" spans="1:15" x14ac:dyDescent="0.25">
      <c r="A1915" s="114" t="s">
        <v>694</v>
      </c>
      <c r="B1915" s="63" t="s">
        <v>51</v>
      </c>
      <c r="C1915" s="63" t="s">
        <v>93</v>
      </c>
      <c r="D1915" s="63">
        <v>0</v>
      </c>
      <c r="E1915" s="63">
        <v>100.1</v>
      </c>
      <c r="F1915" s="63">
        <v>1</v>
      </c>
      <c r="G1915" s="63" t="s">
        <v>23</v>
      </c>
      <c r="H1915" s="63" t="s">
        <v>23</v>
      </c>
      <c r="I1915" s="63">
        <v>0</v>
      </c>
      <c r="J1915" s="63">
        <v>0</v>
      </c>
      <c r="L1915" s="63">
        <v>0.60945516577600001</v>
      </c>
      <c r="M1915" s="63">
        <v>0</v>
      </c>
      <c r="N1915" s="63">
        <v>0.59736363686399996</v>
      </c>
      <c r="O1915" s="64">
        <v>0</v>
      </c>
    </row>
    <row r="1916" spans="1:15" x14ac:dyDescent="0.25">
      <c r="A1916" s="114" t="s">
        <v>2592</v>
      </c>
      <c r="B1916" s="63" t="s">
        <v>51</v>
      </c>
      <c r="C1916" s="63" t="s">
        <v>93</v>
      </c>
      <c r="D1916" s="63">
        <v>100</v>
      </c>
      <c r="E1916" s="63">
        <v>300.10000000000002</v>
      </c>
      <c r="F1916" s="63">
        <v>1</v>
      </c>
      <c r="G1916" s="63" t="s">
        <v>23</v>
      </c>
      <c r="H1916" s="63" t="s">
        <v>23</v>
      </c>
      <c r="I1916" s="63">
        <v>0</v>
      </c>
      <c r="J1916" s="63">
        <v>0</v>
      </c>
      <c r="L1916" s="63">
        <v>0.60945516577600001</v>
      </c>
      <c r="M1916" s="63">
        <v>0</v>
      </c>
      <c r="N1916" s="63">
        <v>0.59736363686399996</v>
      </c>
      <c r="O1916" s="64">
        <v>0</v>
      </c>
    </row>
    <row r="1917" spans="1:15" x14ac:dyDescent="0.25">
      <c r="A1917" s="114" t="s">
        <v>696</v>
      </c>
      <c r="B1917" s="63" t="s">
        <v>51</v>
      </c>
      <c r="C1917" s="63" t="s">
        <v>93</v>
      </c>
      <c r="D1917" s="63">
        <v>300</v>
      </c>
      <c r="E1917" s="63">
        <v>400.1</v>
      </c>
      <c r="F1917" s="63">
        <v>1</v>
      </c>
      <c r="G1917" s="63" t="s">
        <v>23</v>
      </c>
      <c r="H1917" s="63" t="s">
        <v>23</v>
      </c>
      <c r="I1917" s="63">
        <v>0</v>
      </c>
      <c r="J1917" s="63">
        <v>0</v>
      </c>
      <c r="L1917" s="63">
        <v>0.62711565318100004</v>
      </c>
      <c r="M1917" s="63">
        <v>0</v>
      </c>
      <c r="N1917" s="63">
        <v>0.61537123593800003</v>
      </c>
      <c r="O1917" s="64">
        <v>0</v>
      </c>
    </row>
    <row r="1918" spans="1:15" x14ac:dyDescent="0.25">
      <c r="A1918" s="114" t="s">
        <v>698</v>
      </c>
      <c r="B1918" s="63" t="s">
        <v>51</v>
      </c>
      <c r="C1918" s="63" t="s">
        <v>93</v>
      </c>
      <c r="D1918" s="63">
        <v>400</v>
      </c>
      <c r="E1918" s="63">
        <v>630.1</v>
      </c>
      <c r="F1918" s="63">
        <v>1</v>
      </c>
      <c r="G1918" s="63" t="s">
        <v>23</v>
      </c>
      <c r="H1918" s="63" t="s">
        <v>23</v>
      </c>
      <c r="I1918" s="63">
        <v>0</v>
      </c>
      <c r="J1918" s="63">
        <v>0</v>
      </c>
      <c r="L1918" s="63">
        <v>0.64153956275699997</v>
      </c>
      <c r="M1918" s="63">
        <v>0</v>
      </c>
      <c r="N1918" s="63">
        <v>0.63006406510599999</v>
      </c>
      <c r="O1918" s="64">
        <v>0</v>
      </c>
    </row>
    <row r="1919" spans="1:15" x14ac:dyDescent="0.25">
      <c r="A1919" s="114" t="s">
        <v>699</v>
      </c>
      <c r="B1919" s="63" t="s">
        <v>51</v>
      </c>
      <c r="C1919" s="63" t="s">
        <v>93</v>
      </c>
      <c r="D1919" s="63">
        <v>630</v>
      </c>
      <c r="E1919" s="63">
        <v>800</v>
      </c>
      <c r="F1919" s="63">
        <v>1</v>
      </c>
      <c r="G1919" s="63" t="s">
        <v>23</v>
      </c>
      <c r="H1919" s="63" t="s">
        <v>23</v>
      </c>
      <c r="I1919" s="63">
        <v>0</v>
      </c>
      <c r="J1919" s="63">
        <v>0</v>
      </c>
      <c r="L1919" s="63">
        <v>0.73018583485900002</v>
      </c>
      <c r="M1919" s="63">
        <v>0</v>
      </c>
      <c r="N1919" s="63">
        <v>0.72012434272400005</v>
      </c>
      <c r="O1919" s="64">
        <v>0</v>
      </c>
    </row>
    <row r="1920" spans="1:15" x14ac:dyDescent="0.25">
      <c r="A1920" s="114" t="s">
        <v>701</v>
      </c>
      <c r="B1920" s="63" t="s">
        <v>51</v>
      </c>
      <c r="C1920" s="63" t="s">
        <v>93</v>
      </c>
      <c r="D1920" s="63">
        <v>800</v>
      </c>
      <c r="E1920" s="63">
        <v>800.1</v>
      </c>
      <c r="F1920" s="63">
        <v>1</v>
      </c>
      <c r="G1920" s="63" t="s">
        <v>23</v>
      </c>
      <c r="H1920" s="63" t="s">
        <v>23</v>
      </c>
      <c r="I1920" s="63">
        <v>0</v>
      </c>
      <c r="J1920" s="63">
        <v>0</v>
      </c>
      <c r="L1920" s="63">
        <v>0.73018583485900002</v>
      </c>
      <c r="M1920" s="63">
        <v>0</v>
      </c>
      <c r="N1920" s="63">
        <v>0.72012434272400005</v>
      </c>
      <c r="O1920" s="64">
        <v>0</v>
      </c>
    </row>
    <row r="1921" spans="1:15" x14ac:dyDescent="0.25">
      <c r="A1921" s="114" t="s">
        <v>679</v>
      </c>
      <c r="B1921" s="63" t="s">
        <v>51</v>
      </c>
      <c r="C1921" s="63" t="s">
        <v>94</v>
      </c>
      <c r="D1921" s="63">
        <v>-200</v>
      </c>
      <c r="E1921" s="63">
        <v>0.1</v>
      </c>
      <c r="F1921" s="63">
        <v>0.1</v>
      </c>
      <c r="G1921" s="63" t="s">
        <v>23</v>
      </c>
      <c r="H1921" s="63" t="s">
        <v>23</v>
      </c>
      <c r="I1921" s="63">
        <v>0</v>
      </c>
      <c r="J1921" s="63">
        <v>0</v>
      </c>
      <c r="L1921" s="63">
        <v>0.10309361867400001</v>
      </c>
      <c r="M1921" s="63">
        <v>0</v>
      </c>
      <c r="N1921" s="63">
        <v>8.3547729473000001E-2</v>
      </c>
      <c r="O1921" s="64">
        <v>0</v>
      </c>
    </row>
    <row r="1922" spans="1:15" x14ac:dyDescent="0.25">
      <c r="A1922" s="114" t="s">
        <v>681</v>
      </c>
      <c r="B1922" s="63" t="s">
        <v>51</v>
      </c>
      <c r="C1922" s="63" t="s">
        <v>94</v>
      </c>
      <c r="D1922" s="63">
        <v>0</v>
      </c>
      <c r="E1922" s="63">
        <v>100.1</v>
      </c>
      <c r="F1922" s="63">
        <v>0.1</v>
      </c>
      <c r="G1922" s="63" t="s">
        <v>23</v>
      </c>
      <c r="H1922" s="63" t="s">
        <v>23</v>
      </c>
      <c r="I1922" s="63">
        <v>0</v>
      </c>
      <c r="J1922" s="63">
        <v>0</v>
      </c>
      <c r="L1922" s="63">
        <v>0.117069307668</v>
      </c>
      <c r="M1922" s="63">
        <v>0</v>
      </c>
      <c r="N1922" s="63">
        <v>0.100285351307</v>
      </c>
      <c r="O1922" s="64">
        <v>0</v>
      </c>
    </row>
    <row r="1923" spans="1:15" x14ac:dyDescent="0.25">
      <c r="A1923" s="114" t="s">
        <v>2593</v>
      </c>
      <c r="B1923" s="63" t="s">
        <v>51</v>
      </c>
      <c r="C1923" s="63" t="s">
        <v>94</v>
      </c>
      <c r="D1923" s="63">
        <v>100</v>
      </c>
      <c r="E1923" s="63">
        <v>260.10000000000002</v>
      </c>
      <c r="F1923" s="63">
        <v>0.1</v>
      </c>
      <c r="G1923" s="63" t="s">
        <v>23</v>
      </c>
      <c r="H1923" s="63" t="s">
        <v>23</v>
      </c>
      <c r="I1923" s="63">
        <v>0</v>
      </c>
      <c r="J1923" s="63">
        <v>0</v>
      </c>
      <c r="L1923" s="63">
        <v>0.117069307668</v>
      </c>
      <c r="M1923" s="63">
        <v>0</v>
      </c>
      <c r="N1923" s="63">
        <v>0.100285351307</v>
      </c>
      <c r="O1923" s="64">
        <v>0</v>
      </c>
    </row>
    <row r="1924" spans="1:15" x14ac:dyDescent="0.25">
      <c r="A1924" s="114" t="s">
        <v>684</v>
      </c>
      <c r="B1924" s="63" t="s">
        <v>51</v>
      </c>
      <c r="C1924" s="63" t="s">
        <v>94</v>
      </c>
      <c r="D1924" s="63">
        <v>260</v>
      </c>
      <c r="E1924" s="63">
        <v>300.10000000000002</v>
      </c>
      <c r="F1924" s="63">
        <v>0.1</v>
      </c>
      <c r="G1924" s="63" t="s">
        <v>23</v>
      </c>
      <c r="H1924" s="63" t="s">
        <v>23</v>
      </c>
      <c r="I1924" s="63">
        <v>0</v>
      </c>
      <c r="J1924" s="63">
        <v>0</v>
      </c>
      <c r="L1924" s="63">
        <v>0.153282174534</v>
      </c>
      <c r="M1924" s="63">
        <v>0</v>
      </c>
      <c r="N1924" s="63">
        <v>0.140880637133</v>
      </c>
      <c r="O1924" s="64">
        <v>0</v>
      </c>
    </row>
    <row r="1925" spans="1:15" x14ac:dyDescent="0.25">
      <c r="A1925" s="114" t="s">
        <v>685</v>
      </c>
      <c r="B1925" s="63" t="s">
        <v>51</v>
      </c>
      <c r="C1925" s="63" t="s">
        <v>94</v>
      </c>
      <c r="D1925" s="63">
        <v>300</v>
      </c>
      <c r="E1925" s="63">
        <v>400.1</v>
      </c>
      <c r="F1925" s="63">
        <v>0.1</v>
      </c>
      <c r="G1925" s="63" t="s">
        <v>23</v>
      </c>
      <c r="H1925" s="63" t="s">
        <v>23</v>
      </c>
      <c r="I1925" s="63">
        <v>0</v>
      </c>
      <c r="J1925" s="63">
        <v>0</v>
      </c>
      <c r="L1925" s="63">
        <v>0.16999556343</v>
      </c>
      <c r="M1925" s="63">
        <v>0</v>
      </c>
      <c r="N1925" s="63">
        <v>0.15890380887399999</v>
      </c>
      <c r="O1925" s="64">
        <v>0</v>
      </c>
    </row>
    <row r="1926" spans="1:15" x14ac:dyDescent="0.25">
      <c r="A1926" s="114" t="s">
        <v>686</v>
      </c>
      <c r="B1926" s="63" t="s">
        <v>51</v>
      </c>
      <c r="C1926" s="63" t="s">
        <v>94</v>
      </c>
      <c r="D1926" s="63">
        <v>400</v>
      </c>
      <c r="E1926" s="63">
        <v>600.1</v>
      </c>
      <c r="F1926" s="63">
        <v>0.1</v>
      </c>
      <c r="G1926" s="63" t="s">
        <v>23</v>
      </c>
      <c r="H1926" s="63" t="s">
        <v>23</v>
      </c>
      <c r="I1926" s="63">
        <v>0</v>
      </c>
      <c r="J1926" s="63">
        <v>0</v>
      </c>
      <c r="L1926" s="63">
        <v>0.17203912259699999</v>
      </c>
      <c r="M1926" s="63">
        <v>0</v>
      </c>
      <c r="N1926" s="63">
        <v>0.16108813920599999</v>
      </c>
      <c r="O1926" s="64">
        <v>0</v>
      </c>
    </row>
    <row r="1927" spans="1:15" x14ac:dyDescent="0.25">
      <c r="A1927" s="114" t="s">
        <v>687</v>
      </c>
      <c r="B1927" s="63" t="s">
        <v>51</v>
      </c>
      <c r="C1927" s="63" t="s">
        <v>94</v>
      </c>
      <c r="D1927" s="63">
        <v>600</v>
      </c>
      <c r="E1927" s="63">
        <v>630</v>
      </c>
      <c r="F1927" s="63">
        <v>0.1</v>
      </c>
      <c r="G1927" s="63" t="s">
        <v>23</v>
      </c>
      <c r="H1927" s="63" t="s">
        <v>23</v>
      </c>
      <c r="I1927" s="63">
        <v>0</v>
      </c>
      <c r="J1927" s="63">
        <v>0</v>
      </c>
      <c r="L1927" s="63">
        <v>0.47301427738700003</v>
      </c>
      <c r="M1927" s="63">
        <v>0</v>
      </c>
      <c r="N1927" s="63">
        <v>0.46914223376399999</v>
      </c>
      <c r="O1927" s="64">
        <v>0</v>
      </c>
    </row>
    <row r="1928" spans="1:15" x14ac:dyDescent="0.25">
      <c r="A1928" s="114" t="s">
        <v>689</v>
      </c>
      <c r="B1928" s="63" t="s">
        <v>51</v>
      </c>
      <c r="C1928" s="63" t="s">
        <v>94</v>
      </c>
      <c r="D1928" s="63">
        <v>630</v>
      </c>
      <c r="E1928" s="63">
        <v>630.1</v>
      </c>
      <c r="F1928" s="63">
        <v>0.1</v>
      </c>
      <c r="G1928" s="63" t="s">
        <v>23</v>
      </c>
      <c r="H1928" s="63" t="s">
        <v>23</v>
      </c>
      <c r="I1928" s="63">
        <v>0</v>
      </c>
      <c r="J1928" s="63">
        <v>0</v>
      </c>
      <c r="L1928" s="63">
        <v>0.47301427738700003</v>
      </c>
      <c r="M1928" s="63">
        <v>0</v>
      </c>
      <c r="N1928" s="63">
        <v>0.46914223376399999</v>
      </c>
      <c r="O1928" s="64">
        <v>0</v>
      </c>
    </row>
    <row r="1929" spans="1:15" x14ac:dyDescent="0.25">
      <c r="A1929" s="114" t="s">
        <v>680</v>
      </c>
      <c r="B1929" s="63" t="s">
        <v>51</v>
      </c>
      <c r="C1929" s="63" t="s">
        <v>94</v>
      </c>
      <c r="D1929" s="63">
        <v>-200</v>
      </c>
      <c r="E1929" s="63">
        <v>0.1</v>
      </c>
      <c r="F1929" s="63">
        <v>1</v>
      </c>
      <c r="G1929" s="63" t="s">
        <v>23</v>
      </c>
      <c r="H1929" s="63" t="s">
        <v>23</v>
      </c>
      <c r="I1929" s="63">
        <v>0</v>
      </c>
      <c r="J1929" s="63">
        <v>0</v>
      </c>
      <c r="L1929" s="63">
        <v>0.59548622577699994</v>
      </c>
      <c r="M1929" s="63">
        <v>0</v>
      </c>
      <c r="N1929" s="63">
        <v>0.58310510257199999</v>
      </c>
      <c r="O1929" s="64">
        <v>0</v>
      </c>
    </row>
    <row r="1930" spans="1:15" x14ac:dyDescent="0.25">
      <c r="A1930" s="114" t="s">
        <v>682</v>
      </c>
      <c r="B1930" s="63" t="s">
        <v>51</v>
      </c>
      <c r="C1930" s="63" t="s">
        <v>94</v>
      </c>
      <c r="D1930" s="63">
        <v>0</v>
      </c>
      <c r="E1930" s="63">
        <v>100.1</v>
      </c>
      <c r="F1930" s="63">
        <v>1</v>
      </c>
      <c r="G1930" s="63" t="s">
        <v>23</v>
      </c>
      <c r="H1930" s="63" t="s">
        <v>23</v>
      </c>
      <c r="I1930" s="63">
        <v>0</v>
      </c>
      <c r="J1930" s="63">
        <v>0</v>
      </c>
      <c r="L1930" s="63">
        <v>0.59806418859199995</v>
      </c>
      <c r="M1930" s="63">
        <v>0</v>
      </c>
      <c r="N1930" s="63">
        <v>0.58573756003199995</v>
      </c>
      <c r="O1930" s="64">
        <v>0</v>
      </c>
    </row>
    <row r="1931" spans="1:15" x14ac:dyDescent="0.25">
      <c r="A1931" s="114" t="s">
        <v>683</v>
      </c>
      <c r="B1931" s="63" t="s">
        <v>51</v>
      </c>
      <c r="C1931" s="63" t="s">
        <v>94</v>
      </c>
      <c r="D1931" s="63">
        <v>100</v>
      </c>
      <c r="E1931" s="63">
        <v>260.10000000000002</v>
      </c>
      <c r="F1931" s="63">
        <v>1</v>
      </c>
      <c r="G1931" s="63" t="s">
        <v>23</v>
      </c>
      <c r="H1931" s="63" t="s">
        <v>23</v>
      </c>
      <c r="I1931" s="63">
        <v>0</v>
      </c>
      <c r="J1931" s="63">
        <v>0</v>
      </c>
      <c r="L1931" s="63">
        <v>0.59806418859199995</v>
      </c>
      <c r="M1931" s="63">
        <v>0</v>
      </c>
      <c r="N1931" s="63">
        <v>0.58573756003199995</v>
      </c>
      <c r="O1931" s="64">
        <v>0</v>
      </c>
    </row>
    <row r="1932" spans="1:15" x14ac:dyDescent="0.25">
      <c r="A1932" s="114" t="s">
        <v>2594</v>
      </c>
      <c r="B1932" s="63" t="s">
        <v>51</v>
      </c>
      <c r="C1932" s="63" t="s">
        <v>94</v>
      </c>
      <c r="D1932" s="63">
        <v>260</v>
      </c>
      <c r="E1932" s="63">
        <v>300.10000000000002</v>
      </c>
      <c r="F1932" s="63">
        <v>1</v>
      </c>
      <c r="G1932" s="63" t="s">
        <v>23</v>
      </c>
      <c r="H1932" s="63" t="s">
        <v>23</v>
      </c>
      <c r="I1932" s="63">
        <v>0</v>
      </c>
      <c r="J1932" s="63">
        <v>0</v>
      </c>
      <c r="L1932" s="63">
        <v>0.60619384350899996</v>
      </c>
      <c r="M1932" s="63">
        <v>0</v>
      </c>
      <c r="N1932" s="63">
        <v>0.59403593448900005</v>
      </c>
      <c r="O1932" s="64">
        <v>0</v>
      </c>
    </row>
    <row r="1933" spans="1:15" x14ac:dyDescent="0.25">
      <c r="A1933" s="114" t="s">
        <v>2595</v>
      </c>
      <c r="B1933" s="63" t="s">
        <v>51</v>
      </c>
      <c r="C1933" s="63" t="s">
        <v>94</v>
      </c>
      <c r="D1933" s="63">
        <v>300</v>
      </c>
      <c r="E1933" s="63">
        <v>400.1</v>
      </c>
      <c r="F1933" s="63">
        <v>1</v>
      </c>
      <c r="G1933" s="63" t="s">
        <v>23</v>
      </c>
      <c r="H1933" s="63" t="s">
        <v>23</v>
      </c>
      <c r="I1933" s="63">
        <v>0</v>
      </c>
      <c r="J1933" s="63">
        <v>0</v>
      </c>
      <c r="L1933" s="63">
        <v>0.61063413142699996</v>
      </c>
      <c r="M1933" s="63">
        <v>0</v>
      </c>
      <c r="N1933" s="63">
        <v>0.59856641905399999</v>
      </c>
      <c r="O1933" s="64">
        <v>0</v>
      </c>
    </row>
    <row r="1934" spans="1:15" x14ac:dyDescent="0.25">
      <c r="A1934" s="114" t="s">
        <v>2596</v>
      </c>
      <c r="B1934" s="63" t="s">
        <v>51</v>
      </c>
      <c r="C1934" s="63" t="s">
        <v>94</v>
      </c>
      <c r="D1934" s="63">
        <v>400</v>
      </c>
      <c r="E1934" s="63">
        <v>600.1</v>
      </c>
      <c r="F1934" s="63">
        <v>1</v>
      </c>
      <c r="G1934" s="63" t="s">
        <v>23</v>
      </c>
      <c r="H1934" s="63" t="s">
        <v>23</v>
      </c>
      <c r="I1934" s="63">
        <v>0</v>
      </c>
      <c r="J1934" s="63">
        <v>0</v>
      </c>
      <c r="L1934" s="63">
        <v>0.61120619318000002</v>
      </c>
      <c r="M1934" s="63">
        <v>0</v>
      </c>
      <c r="N1934" s="63">
        <v>0.59915000303599997</v>
      </c>
      <c r="O1934" s="64">
        <v>0</v>
      </c>
    </row>
    <row r="1935" spans="1:15" x14ac:dyDescent="0.25">
      <c r="A1935" s="114" t="s">
        <v>688</v>
      </c>
      <c r="B1935" s="63" t="s">
        <v>51</v>
      </c>
      <c r="C1935" s="63" t="s">
        <v>94</v>
      </c>
      <c r="D1935" s="63">
        <v>600</v>
      </c>
      <c r="E1935" s="63">
        <v>630</v>
      </c>
      <c r="F1935" s="63">
        <v>1</v>
      </c>
      <c r="G1935" s="63" t="s">
        <v>23</v>
      </c>
      <c r="H1935" s="63" t="s">
        <v>23</v>
      </c>
      <c r="I1935" s="63">
        <v>0</v>
      </c>
      <c r="J1935" s="63">
        <v>0</v>
      </c>
      <c r="L1935" s="63">
        <v>0.75347067460600003</v>
      </c>
      <c r="M1935" s="63">
        <v>0</v>
      </c>
      <c r="N1935" s="63">
        <v>0.74372425874500003</v>
      </c>
      <c r="O1935" s="64">
        <v>0</v>
      </c>
    </row>
    <row r="1936" spans="1:15" x14ac:dyDescent="0.25">
      <c r="A1936" s="114" t="s">
        <v>690</v>
      </c>
      <c r="B1936" s="63" t="s">
        <v>51</v>
      </c>
      <c r="C1936" s="63" t="s">
        <v>94</v>
      </c>
      <c r="D1936" s="63">
        <v>630</v>
      </c>
      <c r="E1936" s="63">
        <v>630.1</v>
      </c>
      <c r="F1936" s="63">
        <v>1</v>
      </c>
      <c r="G1936" s="63" t="s">
        <v>23</v>
      </c>
      <c r="H1936" s="63" t="s">
        <v>23</v>
      </c>
      <c r="I1936" s="63">
        <v>0</v>
      </c>
      <c r="J1936" s="63">
        <v>0</v>
      </c>
      <c r="L1936" s="63">
        <v>0.75347067460600003</v>
      </c>
      <c r="M1936" s="63">
        <v>0</v>
      </c>
      <c r="N1936" s="63">
        <v>0.74372425874500003</v>
      </c>
      <c r="O1936" s="64">
        <v>0</v>
      </c>
    </row>
    <row r="1937" spans="1:15" x14ac:dyDescent="0.25">
      <c r="A1937" s="114" t="s">
        <v>671</v>
      </c>
      <c r="B1937" s="63" t="s">
        <v>51</v>
      </c>
      <c r="C1937" s="63" t="s">
        <v>90</v>
      </c>
      <c r="D1937" s="63">
        <v>0</v>
      </c>
      <c r="E1937" s="63">
        <v>250.1</v>
      </c>
      <c r="F1937" s="63">
        <v>0.1</v>
      </c>
      <c r="G1937" s="63" t="s">
        <v>23</v>
      </c>
      <c r="H1937" s="63" t="s">
        <v>23</v>
      </c>
      <c r="I1937" s="63">
        <v>0</v>
      </c>
      <c r="J1937" s="63">
        <v>0</v>
      </c>
      <c r="L1937" s="63">
        <v>0.66952654329799999</v>
      </c>
      <c r="M1937" s="63">
        <v>0</v>
      </c>
      <c r="N1937" s="63">
        <v>0.66592057015899997</v>
      </c>
      <c r="O1937" s="64">
        <v>0</v>
      </c>
    </row>
    <row r="1938" spans="1:15" x14ac:dyDescent="0.25">
      <c r="A1938" s="114" t="s">
        <v>673</v>
      </c>
      <c r="B1938" s="63" t="s">
        <v>51</v>
      </c>
      <c r="C1938" s="63" t="s">
        <v>90</v>
      </c>
      <c r="D1938" s="63">
        <v>250</v>
      </c>
      <c r="E1938" s="63">
        <v>400.1</v>
      </c>
      <c r="F1938" s="63">
        <v>0.1</v>
      </c>
      <c r="G1938" s="63" t="s">
        <v>23</v>
      </c>
      <c r="H1938" s="63" t="s">
        <v>23</v>
      </c>
      <c r="I1938" s="63">
        <v>0</v>
      </c>
      <c r="J1938" s="63">
        <v>0</v>
      </c>
      <c r="L1938" s="63">
        <v>0.41654469294300001</v>
      </c>
      <c r="M1938" s="63">
        <v>0</v>
      </c>
      <c r="N1938" s="63">
        <v>0.41163452967399999</v>
      </c>
      <c r="O1938" s="64">
        <v>0</v>
      </c>
    </row>
    <row r="1939" spans="1:15" x14ac:dyDescent="0.25">
      <c r="A1939" s="114" t="s">
        <v>675</v>
      </c>
      <c r="B1939" s="63" t="s">
        <v>51</v>
      </c>
      <c r="C1939" s="63" t="s">
        <v>90</v>
      </c>
      <c r="D1939" s="63">
        <v>400</v>
      </c>
      <c r="E1939" s="63">
        <v>1000.1</v>
      </c>
      <c r="F1939" s="63">
        <v>0.1</v>
      </c>
      <c r="G1939" s="63" t="s">
        <v>23</v>
      </c>
      <c r="H1939" s="63" t="s">
        <v>23</v>
      </c>
      <c r="I1939" s="63">
        <v>0</v>
      </c>
      <c r="J1939" s="63">
        <v>0</v>
      </c>
      <c r="L1939" s="63">
        <v>0.39416654581499999</v>
      </c>
      <c r="M1939" s="63">
        <v>0</v>
      </c>
      <c r="N1939" s="63">
        <v>0.38897399738400001</v>
      </c>
      <c r="O1939" s="64">
        <v>0</v>
      </c>
    </row>
    <row r="1940" spans="1:15" x14ac:dyDescent="0.25">
      <c r="A1940" s="114" t="s">
        <v>677</v>
      </c>
      <c r="B1940" s="63" t="s">
        <v>51</v>
      </c>
      <c r="C1940" s="63" t="s">
        <v>90</v>
      </c>
      <c r="D1940" s="63">
        <v>1000</v>
      </c>
      <c r="E1940" s="63">
        <v>1767</v>
      </c>
      <c r="F1940" s="63">
        <v>0.1</v>
      </c>
      <c r="G1940" s="63" t="s">
        <v>23</v>
      </c>
      <c r="H1940" s="63" t="s">
        <v>23</v>
      </c>
      <c r="I1940" s="63">
        <v>0</v>
      </c>
      <c r="J1940" s="63">
        <v>0</v>
      </c>
      <c r="L1940" s="63">
        <v>0.53997687564100005</v>
      </c>
      <c r="M1940" s="63">
        <v>0</v>
      </c>
      <c r="N1940" s="63">
        <v>0.53619821990399996</v>
      </c>
      <c r="O1940" s="64">
        <v>0</v>
      </c>
    </row>
    <row r="1941" spans="1:15" x14ac:dyDescent="0.25">
      <c r="A1941" s="114" t="s">
        <v>678</v>
      </c>
      <c r="B1941" s="63" t="s">
        <v>51</v>
      </c>
      <c r="C1941" s="63" t="s">
        <v>90</v>
      </c>
      <c r="D1941" s="63">
        <v>1767</v>
      </c>
      <c r="E1941" s="63">
        <v>1767.1</v>
      </c>
      <c r="F1941" s="63">
        <v>0.1</v>
      </c>
      <c r="G1941" s="63" t="s">
        <v>23</v>
      </c>
      <c r="H1941" s="63" t="s">
        <v>23</v>
      </c>
      <c r="I1941" s="63">
        <v>0</v>
      </c>
      <c r="J1941" s="63">
        <v>0</v>
      </c>
      <c r="L1941" s="63">
        <v>0.53997687564100005</v>
      </c>
      <c r="M1941" s="63">
        <v>0</v>
      </c>
      <c r="N1941" s="63">
        <v>0.53619821990399996</v>
      </c>
      <c r="O1941" s="64">
        <v>0</v>
      </c>
    </row>
    <row r="1942" spans="1:15" x14ac:dyDescent="0.25">
      <c r="A1942" s="114" t="s">
        <v>672</v>
      </c>
      <c r="B1942" s="63" t="s">
        <v>51</v>
      </c>
      <c r="C1942" s="63" t="s">
        <v>90</v>
      </c>
      <c r="D1942" s="63">
        <v>0</v>
      </c>
      <c r="E1942" s="63">
        <v>250.1</v>
      </c>
      <c r="F1942" s="63">
        <v>1</v>
      </c>
      <c r="G1942" s="63" t="s">
        <v>23</v>
      </c>
      <c r="H1942" s="63" t="s">
        <v>23</v>
      </c>
      <c r="I1942" s="63">
        <v>0</v>
      </c>
      <c r="J1942" s="63">
        <v>0</v>
      </c>
      <c r="L1942" s="63">
        <v>0.89034406351700002</v>
      </c>
      <c r="M1942" s="63">
        <v>0</v>
      </c>
      <c r="N1942" s="63">
        <v>0.87946017861000003</v>
      </c>
      <c r="O1942" s="64">
        <v>0</v>
      </c>
    </row>
    <row r="1943" spans="1:15" x14ac:dyDescent="0.25">
      <c r="A1943" s="114" t="s">
        <v>674</v>
      </c>
      <c r="B1943" s="63" t="s">
        <v>51</v>
      </c>
      <c r="C1943" s="63" t="s">
        <v>90</v>
      </c>
      <c r="D1943" s="63">
        <v>250</v>
      </c>
      <c r="E1943" s="63">
        <v>400.1</v>
      </c>
      <c r="F1943" s="63">
        <v>1</v>
      </c>
      <c r="G1943" s="63" t="s">
        <v>23</v>
      </c>
      <c r="H1943" s="63" t="s">
        <v>23</v>
      </c>
      <c r="I1943" s="63">
        <v>0</v>
      </c>
      <c r="J1943" s="63">
        <v>0</v>
      </c>
      <c r="L1943" s="63">
        <v>0.71812879542300001</v>
      </c>
      <c r="M1943" s="63">
        <v>0</v>
      </c>
      <c r="N1943" s="63">
        <v>0.706712803068</v>
      </c>
      <c r="O1943" s="64">
        <v>0</v>
      </c>
    </row>
    <row r="1944" spans="1:15" x14ac:dyDescent="0.25">
      <c r="A1944" s="114" t="s">
        <v>676</v>
      </c>
      <c r="B1944" s="63" t="s">
        <v>51</v>
      </c>
      <c r="C1944" s="63" t="s">
        <v>90</v>
      </c>
      <c r="D1944" s="63">
        <v>400</v>
      </c>
      <c r="E1944" s="63">
        <v>1000.1</v>
      </c>
      <c r="F1944" s="63">
        <v>1</v>
      </c>
      <c r="G1944" s="63" t="s">
        <v>23</v>
      </c>
      <c r="H1944" s="63" t="s">
        <v>23</v>
      </c>
      <c r="I1944" s="63">
        <v>0</v>
      </c>
      <c r="J1944" s="63">
        <v>0</v>
      </c>
      <c r="L1944" s="63">
        <v>0.70538411623499997</v>
      </c>
      <c r="M1944" s="63">
        <v>0</v>
      </c>
      <c r="N1944" s="63">
        <v>0.69375843824799999</v>
      </c>
      <c r="O1944" s="64">
        <v>0</v>
      </c>
    </row>
    <row r="1945" spans="1:15" x14ac:dyDescent="0.25">
      <c r="A1945" s="114" t="s">
        <v>2597</v>
      </c>
      <c r="B1945" s="63" t="s">
        <v>51</v>
      </c>
      <c r="C1945" s="63" t="s">
        <v>90</v>
      </c>
      <c r="D1945" s="63">
        <v>1000</v>
      </c>
      <c r="E1945" s="63">
        <v>1767</v>
      </c>
      <c r="F1945" s="63">
        <v>1</v>
      </c>
      <c r="G1945" s="63" t="s">
        <v>23</v>
      </c>
      <c r="H1945" s="63" t="s">
        <v>23</v>
      </c>
      <c r="I1945" s="63">
        <v>0</v>
      </c>
      <c r="J1945" s="63">
        <v>0</v>
      </c>
      <c r="L1945" s="63">
        <v>0.79609956150200001</v>
      </c>
      <c r="M1945" s="63">
        <v>0</v>
      </c>
      <c r="N1945" s="63">
        <v>0.78581711041900004</v>
      </c>
      <c r="O1945" s="64">
        <v>0</v>
      </c>
    </row>
    <row r="1946" spans="1:15" x14ac:dyDescent="0.25">
      <c r="A1946" s="114" t="s">
        <v>2598</v>
      </c>
      <c r="B1946" s="63" t="s">
        <v>51</v>
      </c>
      <c r="C1946" s="63" t="s">
        <v>90</v>
      </c>
      <c r="D1946" s="63">
        <v>1767</v>
      </c>
      <c r="E1946" s="63">
        <v>1767.1</v>
      </c>
      <c r="F1946" s="63">
        <v>1</v>
      </c>
      <c r="G1946" s="63" t="s">
        <v>23</v>
      </c>
      <c r="H1946" s="63" t="s">
        <v>23</v>
      </c>
      <c r="I1946" s="63">
        <v>0</v>
      </c>
      <c r="J1946" s="63">
        <v>0</v>
      </c>
      <c r="L1946" s="63">
        <v>0.79609956150200001</v>
      </c>
      <c r="M1946" s="63">
        <v>0</v>
      </c>
      <c r="N1946" s="63">
        <v>0.78581711041900004</v>
      </c>
      <c r="O1946" s="64">
        <v>0</v>
      </c>
    </row>
    <row r="1947" spans="1:15" x14ac:dyDescent="0.25">
      <c r="A1947" s="114" t="s">
        <v>663</v>
      </c>
      <c r="B1947" s="63" t="s">
        <v>51</v>
      </c>
      <c r="C1947" s="63" t="s">
        <v>91</v>
      </c>
      <c r="D1947" s="63">
        <v>0</v>
      </c>
      <c r="E1947" s="63">
        <v>250.1</v>
      </c>
      <c r="F1947" s="63">
        <v>0.1</v>
      </c>
      <c r="G1947" s="63" t="s">
        <v>23</v>
      </c>
      <c r="H1947" s="63" t="s">
        <v>23</v>
      </c>
      <c r="I1947" s="63">
        <v>0</v>
      </c>
      <c r="J1947" s="63">
        <v>0</v>
      </c>
      <c r="L1947" s="63">
        <v>0.55632015286400005</v>
      </c>
      <c r="M1947" s="63">
        <v>0</v>
      </c>
      <c r="N1947" s="63">
        <v>0.55207204158000001</v>
      </c>
      <c r="O1947" s="64">
        <v>0</v>
      </c>
    </row>
    <row r="1948" spans="1:15" x14ac:dyDescent="0.25">
      <c r="A1948" s="114" t="s">
        <v>665</v>
      </c>
      <c r="B1948" s="63" t="s">
        <v>51</v>
      </c>
      <c r="C1948" s="63" t="s">
        <v>91</v>
      </c>
      <c r="D1948" s="63">
        <v>250</v>
      </c>
      <c r="E1948" s="63">
        <v>1000.1</v>
      </c>
      <c r="F1948" s="63">
        <v>0.1</v>
      </c>
      <c r="G1948" s="63" t="s">
        <v>23</v>
      </c>
      <c r="H1948" s="63" t="s">
        <v>23</v>
      </c>
      <c r="I1948" s="63">
        <v>0</v>
      </c>
      <c r="J1948" s="63">
        <v>0</v>
      </c>
      <c r="L1948" s="63">
        <v>0.42875922732400001</v>
      </c>
      <c r="M1948" s="63">
        <v>0</v>
      </c>
      <c r="N1948" s="63">
        <v>0.42399054213100001</v>
      </c>
      <c r="O1948" s="64">
        <v>0</v>
      </c>
    </row>
    <row r="1949" spans="1:15" x14ac:dyDescent="0.25">
      <c r="A1949" s="114" t="s">
        <v>667</v>
      </c>
      <c r="B1949" s="63" t="s">
        <v>51</v>
      </c>
      <c r="C1949" s="63" t="s">
        <v>91</v>
      </c>
      <c r="D1949" s="63">
        <v>1000</v>
      </c>
      <c r="E1949" s="63">
        <v>1400.1</v>
      </c>
      <c r="F1949" s="63">
        <v>0.1</v>
      </c>
      <c r="G1949" s="63" t="s">
        <v>23</v>
      </c>
      <c r="H1949" s="63" t="s">
        <v>23</v>
      </c>
      <c r="I1949" s="63">
        <v>0</v>
      </c>
      <c r="J1949" s="63">
        <v>0</v>
      </c>
      <c r="L1949" s="63">
        <v>0.43860007760199998</v>
      </c>
      <c r="M1949" s="63">
        <v>0</v>
      </c>
      <c r="N1949" s="63">
        <v>0.433939549792</v>
      </c>
      <c r="O1949" s="64">
        <v>0</v>
      </c>
    </row>
    <row r="1950" spans="1:15" x14ac:dyDescent="0.25">
      <c r="A1950" s="114" t="s">
        <v>2599</v>
      </c>
      <c r="B1950" s="63" t="s">
        <v>51</v>
      </c>
      <c r="C1950" s="63" t="s">
        <v>91</v>
      </c>
      <c r="D1950" s="63">
        <v>1400</v>
      </c>
      <c r="E1950" s="63">
        <v>1767</v>
      </c>
      <c r="F1950" s="63">
        <v>0.1</v>
      </c>
      <c r="G1950" s="63" t="s">
        <v>23</v>
      </c>
      <c r="H1950" s="63" t="s">
        <v>23</v>
      </c>
      <c r="I1950" s="63">
        <v>0</v>
      </c>
      <c r="J1950" s="63">
        <v>0</v>
      </c>
      <c r="L1950" s="63">
        <v>0.54056503056100003</v>
      </c>
      <c r="M1950" s="63">
        <v>0</v>
      </c>
      <c r="N1950" s="63">
        <v>0.53679051506800002</v>
      </c>
      <c r="O1950" s="64">
        <v>0</v>
      </c>
    </row>
    <row r="1951" spans="1:15" x14ac:dyDescent="0.25">
      <c r="A1951" s="114" t="s">
        <v>669</v>
      </c>
      <c r="B1951" s="63" t="s">
        <v>51</v>
      </c>
      <c r="C1951" s="63" t="s">
        <v>91</v>
      </c>
      <c r="D1951" s="63">
        <v>1767</v>
      </c>
      <c r="E1951" s="63">
        <v>1767.1</v>
      </c>
      <c r="F1951" s="63">
        <v>0.1</v>
      </c>
      <c r="G1951" s="63" t="s">
        <v>23</v>
      </c>
      <c r="H1951" s="63" t="s">
        <v>23</v>
      </c>
      <c r="I1951" s="63">
        <v>0</v>
      </c>
      <c r="J1951" s="63">
        <v>0</v>
      </c>
      <c r="L1951" s="63">
        <v>0.54056503056100003</v>
      </c>
      <c r="M1951" s="63">
        <v>0</v>
      </c>
      <c r="N1951" s="63">
        <v>0.53679051506800002</v>
      </c>
      <c r="O1951" s="64">
        <v>0</v>
      </c>
    </row>
    <row r="1952" spans="1:15" x14ac:dyDescent="0.25">
      <c r="A1952" s="114" t="s">
        <v>664</v>
      </c>
      <c r="B1952" s="63" t="s">
        <v>51</v>
      </c>
      <c r="C1952" s="63" t="s">
        <v>91</v>
      </c>
      <c r="D1952" s="63">
        <v>0</v>
      </c>
      <c r="E1952" s="63">
        <v>250.1</v>
      </c>
      <c r="F1952" s="63">
        <v>1</v>
      </c>
      <c r="G1952" s="63" t="s">
        <v>23</v>
      </c>
      <c r="H1952" s="63" t="s">
        <v>23</v>
      </c>
      <c r="I1952" s="63">
        <v>0</v>
      </c>
      <c r="J1952" s="63">
        <v>0</v>
      </c>
      <c r="L1952" s="63">
        <v>0.80846634602</v>
      </c>
      <c r="M1952" s="63">
        <v>0</v>
      </c>
      <c r="N1952" s="63">
        <v>0.79673304129699996</v>
      </c>
      <c r="O1952" s="64">
        <v>0</v>
      </c>
    </row>
    <row r="1953" spans="1:15" x14ac:dyDescent="0.25">
      <c r="A1953" s="114" t="s">
        <v>666</v>
      </c>
      <c r="B1953" s="63" t="s">
        <v>51</v>
      </c>
      <c r="C1953" s="63" t="s">
        <v>91</v>
      </c>
      <c r="D1953" s="63">
        <v>250</v>
      </c>
      <c r="E1953" s="63">
        <v>1000.1</v>
      </c>
      <c r="F1953" s="63">
        <v>1</v>
      </c>
      <c r="G1953" s="63" t="s">
        <v>23</v>
      </c>
      <c r="H1953" s="63" t="s">
        <v>23</v>
      </c>
      <c r="I1953" s="63">
        <v>0</v>
      </c>
      <c r="J1953" s="63">
        <v>0</v>
      </c>
      <c r="L1953" s="63">
        <v>0.72528198696199997</v>
      </c>
      <c r="M1953" s="63">
        <v>0</v>
      </c>
      <c r="N1953" s="63">
        <v>0.71398037775300005</v>
      </c>
      <c r="O1953" s="64">
        <v>0</v>
      </c>
    </row>
    <row r="1954" spans="1:15" x14ac:dyDescent="0.25">
      <c r="A1954" s="114" t="s">
        <v>2600</v>
      </c>
      <c r="B1954" s="63" t="s">
        <v>51</v>
      </c>
      <c r="C1954" s="63" t="s">
        <v>91</v>
      </c>
      <c r="D1954" s="63">
        <v>1000</v>
      </c>
      <c r="E1954" s="63">
        <v>1400.1</v>
      </c>
      <c r="F1954" s="63">
        <v>1</v>
      </c>
      <c r="G1954" s="63" t="s">
        <v>23</v>
      </c>
      <c r="H1954" s="63" t="s">
        <v>23</v>
      </c>
      <c r="I1954" s="63">
        <v>0</v>
      </c>
      <c r="J1954" s="63">
        <v>0</v>
      </c>
      <c r="L1954" s="63">
        <v>0.73114260829800004</v>
      </c>
      <c r="M1954" s="63">
        <v>0</v>
      </c>
      <c r="N1954" s="63">
        <v>0.71993300582300002</v>
      </c>
      <c r="O1954" s="64">
        <v>0</v>
      </c>
    </row>
    <row r="1955" spans="1:15" x14ac:dyDescent="0.25">
      <c r="A1955" s="114" t="s">
        <v>668</v>
      </c>
      <c r="B1955" s="63" t="s">
        <v>51</v>
      </c>
      <c r="C1955" s="63" t="s">
        <v>91</v>
      </c>
      <c r="D1955" s="63">
        <v>1400</v>
      </c>
      <c r="E1955" s="63">
        <v>1767</v>
      </c>
      <c r="F1955" s="63">
        <v>1</v>
      </c>
      <c r="G1955" s="63" t="s">
        <v>23</v>
      </c>
      <c r="H1955" s="63" t="s">
        <v>23</v>
      </c>
      <c r="I1955" s="63">
        <v>0</v>
      </c>
      <c r="J1955" s="63">
        <v>0</v>
      </c>
      <c r="L1955" s="63">
        <v>0.79649861133699995</v>
      </c>
      <c r="M1955" s="63">
        <v>0</v>
      </c>
      <c r="N1955" s="63">
        <v>0.78622137917199997</v>
      </c>
      <c r="O1955" s="64">
        <v>0</v>
      </c>
    </row>
    <row r="1956" spans="1:15" x14ac:dyDescent="0.25">
      <c r="A1956" s="114" t="s">
        <v>670</v>
      </c>
      <c r="B1956" s="63" t="s">
        <v>51</v>
      </c>
      <c r="C1956" s="63" t="s">
        <v>91</v>
      </c>
      <c r="D1956" s="63">
        <v>1767</v>
      </c>
      <c r="E1956" s="63">
        <v>1767.1</v>
      </c>
      <c r="F1956" s="63">
        <v>1</v>
      </c>
      <c r="G1956" s="63" t="s">
        <v>23</v>
      </c>
      <c r="H1956" s="63" t="s">
        <v>23</v>
      </c>
      <c r="I1956" s="63">
        <v>0</v>
      </c>
      <c r="J1956" s="63">
        <v>0</v>
      </c>
      <c r="L1956" s="63">
        <v>0.79649861133699995</v>
      </c>
      <c r="M1956" s="63">
        <v>0</v>
      </c>
      <c r="N1956" s="63">
        <v>0.78622137917199997</v>
      </c>
      <c r="O1956" s="64">
        <v>0</v>
      </c>
    </row>
    <row r="1957" spans="1:15" x14ac:dyDescent="0.25">
      <c r="A1957" s="114" t="s">
        <v>2601</v>
      </c>
      <c r="B1957" s="63" t="s">
        <v>51</v>
      </c>
      <c r="C1957" s="63" t="s">
        <v>92</v>
      </c>
      <c r="D1957" s="63">
        <v>-250</v>
      </c>
      <c r="E1957" s="63">
        <v>-149.9</v>
      </c>
      <c r="F1957" s="63">
        <v>0.1</v>
      </c>
      <c r="G1957" s="63" t="s">
        <v>23</v>
      </c>
      <c r="H1957" s="63" t="s">
        <v>23</v>
      </c>
      <c r="I1957" s="63">
        <v>0</v>
      </c>
      <c r="J1957" s="63">
        <v>0</v>
      </c>
      <c r="L1957" s="63">
        <v>0.55536480170400004</v>
      </c>
      <c r="M1957" s="63">
        <v>0</v>
      </c>
      <c r="N1957" s="63">
        <v>0.550575079267</v>
      </c>
      <c r="O1957" s="64">
        <v>0</v>
      </c>
    </row>
    <row r="1958" spans="1:15" x14ac:dyDescent="0.25">
      <c r="A1958" s="114" t="s">
        <v>658</v>
      </c>
      <c r="B1958" s="63" t="s">
        <v>51</v>
      </c>
      <c r="C1958" s="63" t="s">
        <v>92</v>
      </c>
      <c r="D1958" s="63">
        <v>-150</v>
      </c>
      <c r="E1958" s="63">
        <v>0.1</v>
      </c>
      <c r="F1958" s="63">
        <v>0.1</v>
      </c>
      <c r="G1958" s="63" t="s">
        <v>23</v>
      </c>
      <c r="H1958" s="63" t="s">
        <v>23</v>
      </c>
      <c r="I1958" s="63">
        <v>0</v>
      </c>
      <c r="J1958" s="63">
        <v>0</v>
      </c>
      <c r="L1958" s="63">
        <v>0.29307530930999998</v>
      </c>
      <c r="M1958" s="63">
        <v>0</v>
      </c>
      <c r="N1958" s="63">
        <v>0.28549186088799999</v>
      </c>
      <c r="O1958" s="64">
        <v>0</v>
      </c>
    </row>
    <row r="1959" spans="1:15" x14ac:dyDescent="0.25">
      <c r="A1959" s="114" t="s">
        <v>2602</v>
      </c>
      <c r="B1959" s="63" t="s">
        <v>51</v>
      </c>
      <c r="C1959" s="63" t="s">
        <v>92</v>
      </c>
      <c r="D1959" s="63">
        <v>0</v>
      </c>
      <c r="E1959" s="63">
        <v>120.1</v>
      </c>
      <c r="F1959" s="63">
        <v>0.1</v>
      </c>
      <c r="G1959" s="63" t="s">
        <v>23</v>
      </c>
      <c r="H1959" s="63" t="s">
        <v>23</v>
      </c>
      <c r="I1959" s="63">
        <v>0</v>
      </c>
      <c r="J1959" s="63">
        <v>0</v>
      </c>
      <c r="L1959" s="63">
        <v>0.20014928119600001</v>
      </c>
      <c r="M1959" s="63">
        <v>0</v>
      </c>
      <c r="N1959" s="63">
        <v>0.19650714703899999</v>
      </c>
      <c r="O1959" s="64">
        <v>0</v>
      </c>
    </row>
    <row r="1960" spans="1:15" x14ac:dyDescent="0.25">
      <c r="A1960" s="114" t="s">
        <v>2603</v>
      </c>
      <c r="B1960" s="63" t="s">
        <v>51</v>
      </c>
      <c r="C1960" s="63" t="s">
        <v>92</v>
      </c>
      <c r="D1960" s="63">
        <v>120</v>
      </c>
      <c r="E1960" s="63">
        <v>400</v>
      </c>
      <c r="F1960" s="63">
        <v>0.1</v>
      </c>
      <c r="G1960" s="63" t="s">
        <v>23</v>
      </c>
      <c r="H1960" s="63" t="s">
        <v>23</v>
      </c>
      <c r="I1960" s="63">
        <v>0</v>
      </c>
      <c r="J1960" s="63">
        <v>0</v>
      </c>
      <c r="L1960" s="63">
        <v>0.178953679645</v>
      </c>
      <c r="M1960" s="63">
        <v>0</v>
      </c>
      <c r="N1960" s="63">
        <v>0.174870648001</v>
      </c>
      <c r="O1960" s="64">
        <v>0</v>
      </c>
    </row>
    <row r="1961" spans="1:15" x14ac:dyDescent="0.25">
      <c r="A1961" s="114" t="s">
        <v>2604</v>
      </c>
      <c r="B1961" s="63" t="s">
        <v>51</v>
      </c>
      <c r="C1961" s="63" t="s">
        <v>92</v>
      </c>
      <c r="D1961" s="63">
        <v>400</v>
      </c>
      <c r="E1961" s="63">
        <v>400.1</v>
      </c>
      <c r="F1961" s="63">
        <v>0.1</v>
      </c>
      <c r="G1961" s="63" t="s">
        <v>23</v>
      </c>
      <c r="H1961" s="63" t="s">
        <v>23</v>
      </c>
      <c r="I1961" s="63">
        <v>0</v>
      </c>
      <c r="J1961" s="63">
        <v>0</v>
      </c>
      <c r="L1961" s="63">
        <v>0.178953679645</v>
      </c>
      <c r="M1961" s="63">
        <v>0</v>
      </c>
      <c r="N1961" s="63">
        <v>0.174870648001</v>
      </c>
      <c r="O1961" s="64">
        <v>0</v>
      </c>
    </row>
    <row r="1962" spans="1:15" x14ac:dyDescent="0.25">
      <c r="A1962" s="114" t="s">
        <v>657</v>
      </c>
      <c r="B1962" s="63" t="s">
        <v>51</v>
      </c>
      <c r="C1962" s="63" t="s">
        <v>92</v>
      </c>
      <c r="D1962" s="63">
        <v>-250</v>
      </c>
      <c r="E1962" s="63">
        <v>-149.9</v>
      </c>
      <c r="F1962" s="63">
        <v>1</v>
      </c>
      <c r="G1962" s="63" t="s">
        <v>23</v>
      </c>
      <c r="H1962" s="63" t="s">
        <v>23</v>
      </c>
      <c r="I1962" s="63">
        <v>0</v>
      </c>
      <c r="J1962" s="63">
        <v>0</v>
      </c>
      <c r="L1962" s="63">
        <v>0.80890141436200003</v>
      </c>
      <c r="M1962" s="63">
        <v>0</v>
      </c>
      <c r="N1962" s="63">
        <v>0.795696498616</v>
      </c>
      <c r="O1962" s="64">
        <v>0</v>
      </c>
    </row>
    <row r="1963" spans="1:15" x14ac:dyDescent="0.25">
      <c r="A1963" s="114" t="s">
        <v>659</v>
      </c>
      <c r="B1963" s="63" t="s">
        <v>51</v>
      </c>
      <c r="C1963" s="63" t="s">
        <v>92</v>
      </c>
      <c r="D1963" s="63">
        <v>-150</v>
      </c>
      <c r="E1963" s="63">
        <v>0.1</v>
      </c>
      <c r="F1963" s="63">
        <v>1</v>
      </c>
      <c r="G1963" s="63" t="s">
        <v>23</v>
      </c>
      <c r="H1963" s="63" t="s">
        <v>23</v>
      </c>
      <c r="I1963" s="63">
        <v>0</v>
      </c>
      <c r="J1963" s="63">
        <v>0</v>
      </c>
      <c r="L1963" s="63">
        <v>0.65502346508200004</v>
      </c>
      <c r="M1963" s="63">
        <v>0</v>
      </c>
      <c r="N1963" s="63">
        <v>0.64148702452499995</v>
      </c>
      <c r="O1963" s="64">
        <v>0</v>
      </c>
    </row>
    <row r="1964" spans="1:15" x14ac:dyDescent="0.25">
      <c r="A1964" s="114" t="s">
        <v>660</v>
      </c>
      <c r="B1964" s="63" t="s">
        <v>51</v>
      </c>
      <c r="C1964" s="63" t="s">
        <v>92</v>
      </c>
      <c r="D1964" s="63">
        <v>0</v>
      </c>
      <c r="E1964" s="63">
        <v>120.1</v>
      </c>
      <c r="F1964" s="63">
        <v>1</v>
      </c>
      <c r="G1964" s="63" t="s">
        <v>23</v>
      </c>
      <c r="H1964" s="63" t="s">
        <v>23</v>
      </c>
      <c r="I1964" s="63">
        <v>0</v>
      </c>
      <c r="J1964" s="63">
        <v>0</v>
      </c>
      <c r="L1964" s="63">
        <v>0.611877244667</v>
      </c>
      <c r="M1964" s="63">
        <v>0</v>
      </c>
      <c r="N1964" s="63">
        <v>0.60713677111300002</v>
      </c>
      <c r="O1964" s="64">
        <v>0</v>
      </c>
    </row>
    <row r="1965" spans="1:15" x14ac:dyDescent="0.25">
      <c r="A1965" s="114" t="s">
        <v>661</v>
      </c>
      <c r="B1965" s="63" t="s">
        <v>51</v>
      </c>
      <c r="C1965" s="63" t="s">
        <v>92</v>
      </c>
      <c r="D1965" s="63">
        <v>120</v>
      </c>
      <c r="E1965" s="63">
        <v>400</v>
      </c>
      <c r="F1965" s="63">
        <v>1</v>
      </c>
      <c r="G1965" s="63" t="s">
        <v>23</v>
      </c>
      <c r="H1965" s="63" t="s">
        <v>23</v>
      </c>
      <c r="I1965" s="63">
        <v>0</v>
      </c>
      <c r="J1965" s="63">
        <v>0</v>
      </c>
      <c r="L1965" s="63">
        <v>0.60527551349499997</v>
      </c>
      <c r="M1965" s="63">
        <v>0</v>
      </c>
      <c r="N1965" s="63">
        <v>0.60048292526299996</v>
      </c>
      <c r="O1965" s="64">
        <v>0</v>
      </c>
    </row>
    <row r="1966" spans="1:15" x14ac:dyDescent="0.25">
      <c r="A1966" s="114" t="s">
        <v>662</v>
      </c>
      <c r="B1966" s="63" t="s">
        <v>51</v>
      </c>
      <c r="C1966" s="63" t="s">
        <v>92</v>
      </c>
      <c r="D1966" s="63">
        <v>400</v>
      </c>
      <c r="E1966" s="63">
        <v>400.1</v>
      </c>
      <c r="F1966" s="63">
        <v>1</v>
      </c>
      <c r="G1966" s="63" t="s">
        <v>23</v>
      </c>
      <c r="H1966" s="63" t="s">
        <v>23</v>
      </c>
      <c r="I1966" s="63">
        <v>0</v>
      </c>
      <c r="J1966" s="63">
        <v>0</v>
      </c>
      <c r="L1966" s="63">
        <v>0.60527551349499997</v>
      </c>
      <c r="M1966" s="63">
        <v>0</v>
      </c>
      <c r="N1966" s="63">
        <v>0.60048292526299996</v>
      </c>
      <c r="O1966" s="64">
        <v>0</v>
      </c>
    </row>
    <row r="1967" spans="1:15" x14ac:dyDescent="0.25">
      <c r="A1967" s="114" t="s">
        <v>627</v>
      </c>
      <c r="B1967" s="63" t="s">
        <v>51</v>
      </c>
      <c r="C1967" s="63" t="s">
        <v>43</v>
      </c>
      <c r="D1967" s="63">
        <v>0</v>
      </c>
      <c r="E1967" s="63">
        <v>3.3000999999999999E-4</v>
      </c>
      <c r="F1967" s="63">
        <v>1.0000000000000001E-9</v>
      </c>
      <c r="G1967" s="63" t="s">
        <v>13</v>
      </c>
      <c r="H1967" s="63" t="s">
        <v>11</v>
      </c>
      <c r="I1967" s="63">
        <v>0</v>
      </c>
      <c r="J1967" s="63">
        <v>0</v>
      </c>
      <c r="L1967" s="63">
        <v>2.4E-2</v>
      </c>
      <c r="M1967" s="63">
        <v>180</v>
      </c>
      <c r="N1967" s="63">
        <v>2.3106999999999999E-2</v>
      </c>
      <c r="O1967" s="64">
        <v>175.06</v>
      </c>
    </row>
    <row r="1968" spans="1:15" x14ac:dyDescent="0.25">
      <c r="A1968" s="114" t="s">
        <v>628</v>
      </c>
      <c r="B1968" s="63" t="s">
        <v>51</v>
      </c>
      <c r="C1968" s="63" t="s">
        <v>43</v>
      </c>
      <c r="D1968" s="63">
        <v>0</v>
      </c>
      <c r="E1968" s="63">
        <v>3.3000999999999999E-4</v>
      </c>
      <c r="F1968" s="63">
        <v>1E-8</v>
      </c>
      <c r="G1968" s="63" t="s">
        <v>13</v>
      </c>
      <c r="H1968" s="63" t="s">
        <v>11</v>
      </c>
      <c r="I1968" s="63">
        <v>0</v>
      </c>
      <c r="J1968" s="63">
        <v>0</v>
      </c>
      <c r="L1968" s="63">
        <v>2.4E-2</v>
      </c>
      <c r="M1968" s="63">
        <v>173.53</v>
      </c>
      <c r="N1968" s="63">
        <v>2.3813999999999998E-2</v>
      </c>
      <c r="O1968" s="64">
        <v>173.54</v>
      </c>
    </row>
    <row r="1969" spans="1:15" x14ac:dyDescent="0.25">
      <c r="A1969" s="114" t="s">
        <v>2605</v>
      </c>
      <c r="B1969" s="63" t="s">
        <v>51</v>
      </c>
      <c r="C1969" s="63" t="s">
        <v>43</v>
      </c>
      <c r="D1969" s="63">
        <v>3.3E-4</v>
      </c>
      <c r="E1969" s="63">
        <v>3.3000999999999998E-3</v>
      </c>
      <c r="F1969" s="63">
        <v>1E-8</v>
      </c>
      <c r="G1969" s="63" t="s">
        <v>13</v>
      </c>
      <c r="H1969" s="63" t="s">
        <v>11</v>
      </c>
      <c r="I1969" s="63">
        <v>0</v>
      </c>
      <c r="J1969" s="63">
        <v>0</v>
      </c>
      <c r="L1969" s="63">
        <v>6.8000000000000005E-2</v>
      </c>
      <c r="M1969" s="63">
        <v>150</v>
      </c>
      <c r="N1969" s="63">
        <v>5.7598000000000003E-2</v>
      </c>
      <c r="O1969" s="64">
        <v>152.88999999999999</v>
      </c>
    </row>
    <row r="1970" spans="1:15" x14ac:dyDescent="0.25">
      <c r="A1970" s="114" t="s">
        <v>2606</v>
      </c>
      <c r="B1970" s="63" t="s">
        <v>51</v>
      </c>
      <c r="C1970" s="63" t="s">
        <v>43</v>
      </c>
      <c r="D1970" s="63">
        <v>0</v>
      </c>
      <c r="E1970" s="63">
        <v>3.3000999999999999E-4</v>
      </c>
      <c r="F1970" s="63">
        <v>9.9999999999999995E-8</v>
      </c>
      <c r="G1970" s="63" t="s">
        <v>13</v>
      </c>
      <c r="H1970" s="63" t="s">
        <v>11</v>
      </c>
      <c r="I1970" s="63">
        <v>0</v>
      </c>
      <c r="J1970" s="63">
        <v>0</v>
      </c>
      <c r="L1970" s="63">
        <v>6.2453000000000002E-2</v>
      </c>
      <c r="M1970" s="63">
        <v>112.75</v>
      </c>
      <c r="N1970" s="63">
        <v>6.2384000000000002E-2</v>
      </c>
      <c r="O1970" s="64">
        <v>112.54</v>
      </c>
    </row>
    <row r="1971" spans="1:15" x14ac:dyDescent="0.25">
      <c r="A1971" s="114" t="s">
        <v>634</v>
      </c>
      <c r="B1971" s="63" t="s">
        <v>51</v>
      </c>
      <c r="C1971" s="63" t="s">
        <v>43</v>
      </c>
      <c r="D1971" s="63">
        <v>3.3E-4</v>
      </c>
      <c r="E1971" s="63">
        <v>3.3000999999999998E-3</v>
      </c>
      <c r="F1971" s="63">
        <v>9.9999999999999995E-8</v>
      </c>
      <c r="G1971" s="63" t="s">
        <v>13</v>
      </c>
      <c r="H1971" s="63" t="s">
        <v>11</v>
      </c>
      <c r="I1971" s="63">
        <v>0</v>
      </c>
      <c r="J1971" s="63">
        <v>0</v>
      </c>
      <c r="L1971" s="63">
        <v>7.6187000000000005E-2</v>
      </c>
      <c r="M1971" s="63">
        <v>148.47</v>
      </c>
      <c r="N1971" s="63">
        <v>7.3319999999999996E-2</v>
      </c>
      <c r="O1971" s="64">
        <v>149.02000000000001</v>
      </c>
    </row>
    <row r="1972" spans="1:15" x14ac:dyDescent="0.25">
      <c r="A1972" s="114" t="s">
        <v>2607</v>
      </c>
      <c r="B1972" s="63" t="s">
        <v>51</v>
      </c>
      <c r="C1972" s="63" t="s">
        <v>43</v>
      </c>
      <c r="D1972" s="63">
        <v>3.3E-3</v>
      </c>
      <c r="E1972" s="63">
        <v>3.3001000000000003E-2</v>
      </c>
      <c r="F1972" s="63">
        <v>9.9999999999999995E-8</v>
      </c>
      <c r="G1972" s="63" t="s">
        <v>13</v>
      </c>
      <c r="H1972" s="63" t="s">
        <v>11</v>
      </c>
      <c r="I1972" s="63">
        <v>0</v>
      </c>
      <c r="J1972" s="63">
        <v>0</v>
      </c>
      <c r="L1972" s="63">
        <v>0.21</v>
      </c>
      <c r="M1972" s="63">
        <v>150</v>
      </c>
      <c r="N1972" s="63">
        <v>0.20100000000000001</v>
      </c>
      <c r="O1972" s="64">
        <v>145.79</v>
      </c>
    </row>
    <row r="1973" spans="1:15" x14ac:dyDescent="0.25">
      <c r="A1973" s="114" t="s">
        <v>629</v>
      </c>
      <c r="B1973" s="63" t="s">
        <v>51</v>
      </c>
      <c r="C1973" s="63" t="s">
        <v>43</v>
      </c>
      <c r="D1973" s="63">
        <v>0</v>
      </c>
      <c r="E1973" s="63">
        <v>3.3000999999999999E-4</v>
      </c>
      <c r="F1973" s="63">
        <v>9.9999999999999995E-7</v>
      </c>
      <c r="G1973" s="63" t="s">
        <v>13</v>
      </c>
      <c r="H1973" s="63" t="s">
        <v>11</v>
      </c>
      <c r="I1973" s="63">
        <v>0</v>
      </c>
      <c r="J1973" s="63">
        <v>0</v>
      </c>
      <c r="L1973" s="63">
        <v>0.58048</v>
      </c>
      <c r="M1973" s="63">
        <v>15.83</v>
      </c>
      <c r="N1973" s="63">
        <v>0.58045000000000002</v>
      </c>
      <c r="O1973" s="64">
        <v>15.637</v>
      </c>
    </row>
    <row r="1974" spans="1:15" x14ac:dyDescent="0.25">
      <c r="A1974" s="114" t="s">
        <v>2608</v>
      </c>
      <c r="B1974" s="63" t="s">
        <v>51</v>
      </c>
      <c r="C1974" s="63" t="s">
        <v>43</v>
      </c>
      <c r="D1974" s="63">
        <v>3.3E-4</v>
      </c>
      <c r="E1974" s="63">
        <v>3.3000999999999998E-3</v>
      </c>
      <c r="F1974" s="63">
        <v>9.9999999999999995E-7</v>
      </c>
      <c r="G1974" s="63" t="s">
        <v>13</v>
      </c>
      <c r="H1974" s="63" t="s">
        <v>11</v>
      </c>
      <c r="I1974" s="63">
        <v>0</v>
      </c>
      <c r="J1974" s="63">
        <v>0</v>
      </c>
      <c r="L1974" s="63">
        <v>0.56791999999999998</v>
      </c>
      <c r="M1974" s="63">
        <v>73.551000000000002</v>
      </c>
      <c r="N1974" s="63">
        <v>0.56576000000000004</v>
      </c>
      <c r="O1974" s="64">
        <v>73.311999999999998</v>
      </c>
    </row>
    <row r="1975" spans="1:15" x14ac:dyDescent="0.25">
      <c r="A1975" s="114" t="s">
        <v>637</v>
      </c>
      <c r="B1975" s="63" t="s">
        <v>51</v>
      </c>
      <c r="C1975" s="63" t="s">
        <v>43</v>
      </c>
      <c r="D1975" s="63">
        <v>3.3E-3</v>
      </c>
      <c r="E1975" s="63">
        <v>3.3001000000000003E-2</v>
      </c>
      <c r="F1975" s="63">
        <v>9.9999999999999995E-7</v>
      </c>
      <c r="G1975" s="63" t="s">
        <v>13</v>
      </c>
      <c r="H1975" s="63" t="s">
        <v>11</v>
      </c>
      <c r="I1975" s="63">
        <v>0</v>
      </c>
      <c r="J1975" s="63">
        <v>0</v>
      </c>
      <c r="L1975" s="63">
        <v>0.44201000000000001</v>
      </c>
      <c r="M1975" s="63">
        <v>139.58000000000001</v>
      </c>
      <c r="N1975" s="63">
        <v>0.43215999999999999</v>
      </c>
      <c r="O1975" s="64">
        <v>139.79</v>
      </c>
    </row>
    <row r="1976" spans="1:15" x14ac:dyDescent="0.25">
      <c r="A1976" s="114" t="s">
        <v>639</v>
      </c>
      <c r="B1976" s="63" t="s">
        <v>51</v>
      </c>
      <c r="C1976" s="63" t="s">
        <v>43</v>
      </c>
      <c r="D1976" s="63">
        <v>3.3000000000000002E-2</v>
      </c>
      <c r="E1976" s="63">
        <v>0.33001000000000003</v>
      </c>
      <c r="F1976" s="63">
        <v>9.9999999999999995E-7</v>
      </c>
      <c r="G1976" s="63" t="s">
        <v>13</v>
      </c>
      <c r="H1976" s="63" t="s">
        <v>11</v>
      </c>
      <c r="I1976" s="63">
        <v>0</v>
      </c>
      <c r="J1976" s="63">
        <v>0</v>
      </c>
      <c r="L1976" s="63">
        <v>3</v>
      </c>
      <c r="M1976" s="63">
        <v>120</v>
      </c>
      <c r="N1976" s="63">
        <v>2.9413999999999998</v>
      </c>
      <c r="O1976" s="64">
        <v>115.33</v>
      </c>
    </row>
    <row r="1977" spans="1:15" x14ac:dyDescent="0.25">
      <c r="A1977" s="114" t="s">
        <v>2609</v>
      </c>
      <c r="B1977" s="63" t="s">
        <v>51</v>
      </c>
      <c r="C1977" s="63" t="s">
        <v>43</v>
      </c>
      <c r="D1977" s="63">
        <v>0</v>
      </c>
      <c r="E1977" s="63">
        <v>3.3000999999999999E-4</v>
      </c>
      <c r="F1977" s="63">
        <v>1.0000000000000001E-5</v>
      </c>
      <c r="G1977" s="63" t="s">
        <v>13</v>
      </c>
      <c r="H1977" s="63" t="s">
        <v>11</v>
      </c>
      <c r="I1977" s="63">
        <v>0</v>
      </c>
      <c r="J1977" s="63">
        <v>0</v>
      </c>
      <c r="L1977" s="63">
        <v>5.8000999999999996</v>
      </c>
      <c r="M1977" s="63">
        <v>1.6500999999999999</v>
      </c>
      <c r="N1977" s="63">
        <v>5.8000999999999996</v>
      </c>
      <c r="O1977" s="64">
        <v>1.5718000000000001</v>
      </c>
    </row>
    <row r="1978" spans="1:15" x14ac:dyDescent="0.25">
      <c r="A1978" s="114" t="s">
        <v>635</v>
      </c>
      <c r="B1978" s="63" t="s">
        <v>51</v>
      </c>
      <c r="C1978" s="63" t="s">
        <v>43</v>
      </c>
      <c r="D1978" s="63">
        <v>3.3E-4</v>
      </c>
      <c r="E1978" s="63">
        <v>3.3000999999999998E-3</v>
      </c>
      <c r="F1978" s="63">
        <v>1.0000000000000001E-5</v>
      </c>
      <c r="G1978" s="63" t="s">
        <v>13</v>
      </c>
      <c r="H1978" s="63" t="s">
        <v>11</v>
      </c>
      <c r="I1978" s="63">
        <v>0</v>
      </c>
      <c r="J1978" s="63">
        <v>0</v>
      </c>
      <c r="L1978" s="63">
        <v>5.7988999999999997</v>
      </c>
      <c r="M1978" s="63">
        <v>9.0556999999999999</v>
      </c>
      <c r="N1978" s="63">
        <v>5.7980999999999998</v>
      </c>
      <c r="O1978" s="64">
        <v>8.8116000000000003</v>
      </c>
    </row>
    <row r="1979" spans="1:15" x14ac:dyDescent="0.25">
      <c r="A1979" s="114" t="s">
        <v>2610</v>
      </c>
      <c r="B1979" s="63" t="s">
        <v>51</v>
      </c>
      <c r="C1979" s="63" t="s">
        <v>43</v>
      </c>
      <c r="D1979" s="63">
        <v>3.3E-3</v>
      </c>
      <c r="E1979" s="63">
        <v>3.3001000000000003E-2</v>
      </c>
      <c r="F1979" s="63">
        <v>1.0000000000000001E-5</v>
      </c>
      <c r="G1979" s="63" t="s">
        <v>13</v>
      </c>
      <c r="H1979" s="63" t="s">
        <v>11</v>
      </c>
      <c r="I1979" s="63">
        <v>0</v>
      </c>
      <c r="J1979" s="63">
        <v>0</v>
      </c>
      <c r="L1979" s="63">
        <v>5.6421999999999999</v>
      </c>
      <c r="M1979" s="63">
        <v>61.543999999999997</v>
      </c>
      <c r="N1979" s="63">
        <v>5.6368999999999998</v>
      </c>
      <c r="O1979" s="64">
        <v>61.47</v>
      </c>
    </row>
    <row r="1980" spans="1:15" x14ac:dyDescent="0.25">
      <c r="A1980" s="114" t="s">
        <v>640</v>
      </c>
      <c r="B1980" s="63" t="s">
        <v>51</v>
      </c>
      <c r="C1980" s="63" t="s">
        <v>43</v>
      </c>
      <c r="D1980" s="63">
        <v>3.3000000000000002E-2</v>
      </c>
      <c r="E1980" s="63">
        <v>0.33001000000000003</v>
      </c>
      <c r="F1980" s="63">
        <v>1.0000000000000001E-5</v>
      </c>
      <c r="G1980" s="63" t="s">
        <v>13</v>
      </c>
      <c r="H1980" s="63" t="s">
        <v>11</v>
      </c>
      <c r="I1980" s="63">
        <v>0</v>
      </c>
      <c r="J1980" s="63">
        <v>0</v>
      </c>
      <c r="L1980" s="63">
        <v>5.2853000000000003</v>
      </c>
      <c r="M1980" s="63">
        <v>109.48</v>
      </c>
      <c r="N1980" s="63">
        <v>5.266</v>
      </c>
      <c r="O1980" s="64">
        <v>109.51</v>
      </c>
    </row>
    <row r="1981" spans="1:15" x14ac:dyDescent="0.25">
      <c r="A1981" s="114" t="s">
        <v>642</v>
      </c>
      <c r="B1981" s="63" t="s">
        <v>51</v>
      </c>
      <c r="C1981" s="63" t="s">
        <v>43</v>
      </c>
      <c r="D1981" s="63">
        <v>0.33</v>
      </c>
      <c r="E1981" s="63">
        <v>3.0001000000000002</v>
      </c>
      <c r="F1981" s="63">
        <v>1.0000000000000001E-5</v>
      </c>
      <c r="G1981" s="63" t="s">
        <v>13</v>
      </c>
      <c r="H1981" s="63" t="s">
        <v>12</v>
      </c>
      <c r="I1981" s="63">
        <v>0</v>
      </c>
      <c r="J1981" s="63">
        <v>0</v>
      </c>
      <c r="L1981" s="63">
        <v>5.1999999999999998E-2</v>
      </c>
      <c r="M1981" s="63">
        <v>0.44</v>
      </c>
      <c r="N1981" s="63">
        <v>5.0999999999999997E-2</v>
      </c>
      <c r="O1981" s="64">
        <v>0.43873000000000001</v>
      </c>
    </row>
    <row r="1982" spans="1:15" x14ac:dyDescent="0.25">
      <c r="A1982" s="114" t="s">
        <v>630</v>
      </c>
      <c r="B1982" s="63" t="s">
        <v>51</v>
      </c>
      <c r="C1982" s="63" t="s">
        <v>43</v>
      </c>
      <c r="D1982" s="63">
        <v>0</v>
      </c>
      <c r="E1982" s="63">
        <v>3.3000999999999999E-4</v>
      </c>
      <c r="F1982" s="63">
        <v>1E-4</v>
      </c>
      <c r="G1982" s="63" t="s">
        <v>13</v>
      </c>
      <c r="H1982" s="63" t="s">
        <v>11</v>
      </c>
      <c r="I1982" s="63">
        <v>0</v>
      </c>
      <c r="J1982" s="63">
        <v>0</v>
      </c>
      <c r="L1982" s="63">
        <v>58</v>
      </c>
      <c r="M1982" s="63">
        <v>0.18851999999999999</v>
      </c>
      <c r="N1982" s="63">
        <v>58</v>
      </c>
      <c r="O1982" s="64">
        <v>0.15719</v>
      </c>
    </row>
    <row r="1983" spans="1:15" x14ac:dyDescent="0.25">
      <c r="A1983" s="114" t="s">
        <v>636</v>
      </c>
      <c r="B1983" s="63" t="s">
        <v>51</v>
      </c>
      <c r="C1983" s="63" t="s">
        <v>43</v>
      </c>
      <c r="D1983" s="63">
        <v>3.3E-4</v>
      </c>
      <c r="E1983" s="63">
        <v>3.3000999999999998E-3</v>
      </c>
      <c r="F1983" s="63">
        <v>1E-4</v>
      </c>
      <c r="G1983" s="63" t="s">
        <v>13</v>
      </c>
      <c r="H1983" s="63" t="s">
        <v>11</v>
      </c>
      <c r="I1983" s="63">
        <v>0</v>
      </c>
      <c r="J1983" s="63">
        <v>0</v>
      </c>
      <c r="L1983" s="63">
        <v>58</v>
      </c>
      <c r="M1983" s="63">
        <v>0.98192000000000002</v>
      </c>
      <c r="N1983" s="63">
        <v>58</v>
      </c>
      <c r="O1983" s="64">
        <v>0.88327999999999995</v>
      </c>
    </row>
    <row r="1984" spans="1:15" x14ac:dyDescent="0.25">
      <c r="A1984" s="114" t="s">
        <v>638</v>
      </c>
      <c r="B1984" s="63" t="s">
        <v>51</v>
      </c>
      <c r="C1984" s="63" t="s">
        <v>43</v>
      </c>
      <c r="D1984" s="63">
        <v>3.3E-3</v>
      </c>
      <c r="E1984" s="63">
        <v>3.3001000000000003E-2</v>
      </c>
      <c r="F1984" s="63">
        <v>1E-4</v>
      </c>
      <c r="G1984" s="63" t="s">
        <v>13</v>
      </c>
      <c r="H1984" s="63" t="s">
        <v>11</v>
      </c>
      <c r="I1984" s="63">
        <v>0</v>
      </c>
      <c r="J1984" s="63">
        <v>0</v>
      </c>
      <c r="L1984" s="63">
        <v>57.982999999999997</v>
      </c>
      <c r="M1984" s="63">
        <v>7.2053000000000003</v>
      </c>
      <c r="N1984" s="63">
        <v>57.981000000000002</v>
      </c>
      <c r="O1984" s="64">
        <v>7.1429999999999998</v>
      </c>
    </row>
    <row r="1985" spans="1:15" x14ac:dyDescent="0.25">
      <c r="A1985" s="114" t="s">
        <v>2611</v>
      </c>
      <c r="B1985" s="63" t="s">
        <v>51</v>
      </c>
      <c r="C1985" s="63" t="s">
        <v>43</v>
      </c>
      <c r="D1985" s="63">
        <v>3.3000000000000002E-2</v>
      </c>
      <c r="E1985" s="63">
        <v>0.33001000000000003</v>
      </c>
      <c r="F1985" s="63">
        <v>1E-4</v>
      </c>
      <c r="G1985" s="63" t="s">
        <v>13</v>
      </c>
      <c r="H1985" s="63" t="s">
        <v>11</v>
      </c>
      <c r="I1985" s="63">
        <v>0</v>
      </c>
      <c r="J1985" s="63">
        <v>0</v>
      </c>
      <c r="L1985" s="63">
        <v>56.994999999999997</v>
      </c>
      <c r="M1985" s="63">
        <v>42.585000000000001</v>
      </c>
      <c r="N1985" s="63">
        <v>56.984000000000002</v>
      </c>
      <c r="O1985" s="64">
        <v>42.551000000000002</v>
      </c>
    </row>
    <row r="1986" spans="1:15" x14ac:dyDescent="0.25">
      <c r="A1986" s="114" t="s">
        <v>643</v>
      </c>
      <c r="B1986" s="63" t="s">
        <v>51</v>
      </c>
      <c r="C1986" s="63" t="s">
        <v>43</v>
      </c>
      <c r="D1986" s="63">
        <v>0.33</v>
      </c>
      <c r="E1986" s="63">
        <v>3.0001000000000002</v>
      </c>
      <c r="F1986" s="63">
        <v>1E-4</v>
      </c>
      <c r="G1986" s="63" t="s">
        <v>13</v>
      </c>
      <c r="H1986" s="63" t="s">
        <v>12</v>
      </c>
      <c r="I1986" s="63">
        <v>0</v>
      </c>
      <c r="J1986" s="63">
        <v>0</v>
      </c>
      <c r="L1986" s="63">
        <v>6.0248999999999997E-2</v>
      </c>
      <c r="M1986" s="63">
        <v>0.43614000000000003</v>
      </c>
      <c r="N1986" s="63">
        <v>6.0204000000000001E-2</v>
      </c>
      <c r="O1986" s="64">
        <v>0.43607000000000001</v>
      </c>
    </row>
    <row r="1987" spans="1:15" x14ac:dyDescent="0.25">
      <c r="A1987" s="114" t="s">
        <v>647</v>
      </c>
      <c r="B1987" s="63" t="s">
        <v>51</v>
      </c>
      <c r="C1987" s="63" t="s">
        <v>43</v>
      </c>
      <c r="D1987" s="63">
        <v>3</v>
      </c>
      <c r="E1987" s="63">
        <v>11.000999999999999</v>
      </c>
      <c r="F1987" s="63">
        <v>1E-4</v>
      </c>
      <c r="G1987" s="63" t="s">
        <v>13</v>
      </c>
      <c r="H1987" s="63" t="s">
        <v>12</v>
      </c>
      <c r="I1987" s="63">
        <v>0</v>
      </c>
      <c r="J1987" s="63">
        <v>0</v>
      </c>
      <c r="L1987" s="63">
        <v>-2.4E-2</v>
      </c>
      <c r="M1987" s="63">
        <v>0.92</v>
      </c>
      <c r="N1987" s="63">
        <v>-2.4618999999999999E-2</v>
      </c>
      <c r="O1987" s="64">
        <v>0.91522999999999999</v>
      </c>
    </row>
    <row r="1988" spans="1:15" x14ac:dyDescent="0.25">
      <c r="A1988" s="114" t="s">
        <v>2612</v>
      </c>
      <c r="B1988" s="63" t="s">
        <v>51</v>
      </c>
      <c r="C1988" s="63" t="s">
        <v>43</v>
      </c>
      <c r="D1988" s="63">
        <v>11</v>
      </c>
      <c r="E1988" s="63">
        <v>20.5</v>
      </c>
      <c r="F1988" s="63">
        <v>1E-4</v>
      </c>
      <c r="G1988" s="63" t="s">
        <v>13</v>
      </c>
      <c r="H1988" s="63" t="s">
        <v>12</v>
      </c>
      <c r="I1988" s="63">
        <v>0</v>
      </c>
      <c r="J1988" s="63">
        <v>0</v>
      </c>
      <c r="L1988" s="63">
        <v>2.7</v>
      </c>
      <c r="M1988" s="63">
        <v>1.1000000000000001</v>
      </c>
      <c r="N1988" s="63">
        <v>2.6473</v>
      </c>
      <c r="O1988" s="64">
        <v>1.1008</v>
      </c>
    </row>
    <row r="1989" spans="1:15" x14ac:dyDescent="0.25">
      <c r="A1989" s="114" t="s">
        <v>654</v>
      </c>
      <c r="B1989" s="63" t="s">
        <v>51</v>
      </c>
      <c r="C1989" s="63" t="s">
        <v>43</v>
      </c>
      <c r="D1989" s="63">
        <v>20.5</v>
      </c>
      <c r="E1989" s="63">
        <v>20.6</v>
      </c>
      <c r="F1989" s="63">
        <v>1E-4</v>
      </c>
      <c r="G1989" s="63" t="s">
        <v>13</v>
      </c>
      <c r="H1989" s="63" t="s">
        <v>12</v>
      </c>
      <c r="I1989" s="63">
        <v>0</v>
      </c>
      <c r="J1989" s="63">
        <v>0</v>
      </c>
      <c r="L1989" s="63">
        <v>2.7</v>
      </c>
      <c r="M1989" s="63">
        <v>1.1000000000000001</v>
      </c>
      <c r="N1989" s="63">
        <v>2.6473</v>
      </c>
      <c r="O1989" s="64">
        <v>1.1008</v>
      </c>
    </row>
    <row r="1990" spans="1:15" x14ac:dyDescent="0.25">
      <c r="A1990" s="114" t="s">
        <v>631</v>
      </c>
      <c r="B1990" s="63" t="s">
        <v>51</v>
      </c>
      <c r="C1990" s="63" t="s">
        <v>43</v>
      </c>
      <c r="D1990" s="63">
        <v>0</v>
      </c>
      <c r="E1990" s="63">
        <v>3.3000999999999999E-4</v>
      </c>
      <c r="F1990" s="63">
        <v>1E-3</v>
      </c>
      <c r="G1990" s="63" t="s">
        <v>13</v>
      </c>
      <c r="H1990" s="63" t="s">
        <v>11</v>
      </c>
      <c r="I1990" s="63">
        <v>0</v>
      </c>
      <c r="J1990" s="63">
        <v>0</v>
      </c>
      <c r="L1990" s="63">
        <v>580</v>
      </c>
      <c r="M1990" s="63">
        <v>2.8251999999999999E-2</v>
      </c>
      <c r="N1990" s="63">
        <v>580</v>
      </c>
      <c r="O1990" s="64">
        <v>1.5719E-2</v>
      </c>
    </row>
    <row r="1991" spans="1:15" x14ac:dyDescent="0.25">
      <c r="A1991" s="114" t="s">
        <v>2613</v>
      </c>
      <c r="B1991" s="63" t="s">
        <v>51</v>
      </c>
      <c r="C1991" s="63" t="s">
        <v>43</v>
      </c>
      <c r="D1991" s="63">
        <v>3.3E-3</v>
      </c>
      <c r="E1991" s="63">
        <v>3.3001000000000003E-2</v>
      </c>
      <c r="F1991" s="63">
        <v>1E-3</v>
      </c>
      <c r="G1991" s="63" t="s">
        <v>13</v>
      </c>
      <c r="H1991" s="63" t="s">
        <v>11</v>
      </c>
      <c r="I1991" s="63">
        <v>0</v>
      </c>
      <c r="J1991" s="63">
        <v>0</v>
      </c>
      <c r="L1991" s="63">
        <v>580</v>
      </c>
      <c r="M1991" s="63">
        <v>0.74075999999999997</v>
      </c>
      <c r="N1991" s="63">
        <v>580</v>
      </c>
      <c r="O1991" s="64">
        <v>0.71564000000000005</v>
      </c>
    </row>
    <row r="1992" spans="1:15" x14ac:dyDescent="0.25">
      <c r="A1992" s="114" t="s">
        <v>2614</v>
      </c>
      <c r="B1992" s="63" t="s">
        <v>51</v>
      </c>
      <c r="C1992" s="63" t="s">
        <v>43</v>
      </c>
      <c r="D1992" s="63">
        <v>3.3000000000000002E-2</v>
      </c>
      <c r="E1992" s="63">
        <v>0.33001000000000003</v>
      </c>
      <c r="F1992" s="63">
        <v>1E-3</v>
      </c>
      <c r="G1992" s="63" t="s">
        <v>13</v>
      </c>
      <c r="H1992" s="63" t="s">
        <v>11</v>
      </c>
      <c r="I1992" s="63">
        <v>0</v>
      </c>
      <c r="J1992" s="63">
        <v>0</v>
      </c>
      <c r="L1992" s="63">
        <v>579.89</v>
      </c>
      <c r="M1992" s="63">
        <v>4.7610000000000001</v>
      </c>
      <c r="N1992" s="63">
        <v>579.88</v>
      </c>
      <c r="O1992" s="64">
        <v>4.7411000000000003</v>
      </c>
    </row>
    <row r="1993" spans="1:15" x14ac:dyDescent="0.25">
      <c r="A1993" s="114" t="s">
        <v>644</v>
      </c>
      <c r="B1993" s="63" t="s">
        <v>51</v>
      </c>
      <c r="C1993" s="63" t="s">
        <v>43</v>
      </c>
      <c r="D1993" s="63">
        <v>0.33</v>
      </c>
      <c r="E1993" s="63">
        <v>3.0001000000000002</v>
      </c>
      <c r="F1993" s="63">
        <v>1E-3</v>
      </c>
      <c r="G1993" s="63" t="s">
        <v>13</v>
      </c>
      <c r="H1993" s="63" t="s">
        <v>12</v>
      </c>
      <c r="I1993" s="63">
        <v>0</v>
      </c>
      <c r="J1993" s="63">
        <v>0</v>
      </c>
      <c r="L1993" s="63">
        <v>0.50421000000000005</v>
      </c>
      <c r="M1993" s="63">
        <v>0.32729000000000003</v>
      </c>
      <c r="N1993" s="63">
        <v>0.50424000000000002</v>
      </c>
      <c r="O1993" s="64">
        <v>0.32695999999999997</v>
      </c>
    </row>
    <row r="1994" spans="1:15" x14ac:dyDescent="0.25">
      <c r="A1994" s="114" t="s">
        <v>648</v>
      </c>
      <c r="B1994" s="63" t="s">
        <v>51</v>
      </c>
      <c r="C1994" s="63" t="s">
        <v>43</v>
      </c>
      <c r="D1994" s="63">
        <v>3</v>
      </c>
      <c r="E1994" s="63">
        <v>11.000999999999999</v>
      </c>
      <c r="F1994" s="63">
        <v>1E-3</v>
      </c>
      <c r="G1994" s="63" t="s">
        <v>13</v>
      </c>
      <c r="H1994" s="63" t="s">
        <v>12</v>
      </c>
      <c r="I1994" s="63">
        <v>0</v>
      </c>
      <c r="J1994" s="63">
        <v>0</v>
      </c>
      <c r="L1994" s="63">
        <v>5.5271000000000001E-2</v>
      </c>
      <c r="M1994" s="63">
        <v>0.90973000000000004</v>
      </c>
      <c r="N1994" s="63">
        <v>5.2344000000000002E-2</v>
      </c>
      <c r="O1994" s="64">
        <v>0.90973999999999999</v>
      </c>
    </row>
    <row r="1995" spans="1:15" x14ac:dyDescent="0.25">
      <c r="A1995" s="114" t="s">
        <v>651</v>
      </c>
      <c r="B1995" s="63" t="s">
        <v>51</v>
      </c>
      <c r="C1995" s="63" t="s">
        <v>43</v>
      </c>
      <c r="D1995" s="63">
        <v>11</v>
      </c>
      <c r="E1995" s="63">
        <v>20.5</v>
      </c>
      <c r="F1995" s="63">
        <v>1E-3</v>
      </c>
      <c r="G1995" s="63" t="s">
        <v>13</v>
      </c>
      <c r="H1995" s="63" t="s">
        <v>12</v>
      </c>
      <c r="I1995" s="63">
        <v>0</v>
      </c>
      <c r="J1995" s="63">
        <v>0</v>
      </c>
      <c r="L1995" s="63">
        <v>2.7</v>
      </c>
      <c r="M1995" s="63">
        <v>1.1006</v>
      </c>
      <c r="N1995" s="63">
        <v>2.6625999999999999</v>
      </c>
      <c r="O1995" s="64">
        <v>1.1004</v>
      </c>
    </row>
    <row r="1996" spans="1:15" x14ac:dyDescent="0.25">
      <c r="A1996" s="114" t="s">
        <v>655</v>
      </c>
      <c r="B1996" s="63" t="s">
        <v>51</v>
      </c>
      <c r="C1996" s="63" t="s">
        <v>43</v>
      </c>
      <c r="D1996" s="63">
        <v>20.5</v>
      </c>
      <c r="E1996" s="63">
        <v>20.6</v>
      </c>
      <c r="F1996" s="63">
        <v>1E-3</v>
      </c>
      <c r="G1996" s="63" t="s">
        <v>13</v>
      </c>
      <c r="H1996" s="63" t="s">
        <v>12</v>
      </c>
      <c r="I1996" s="63">
        <v>0</v>
      </c>
      <c r="J1996" s="63">
        <v>0</v>
      </c>
      <c r="L1996" s="63">
        <v>2.7</v>
      </c>
      <c r="M1996" s="63">
        <v>1.1006</v>
      </c>
      <c r="N1996" s="63">
        <v>2.6625999999999999</v>
      </c>
      <c r="O1996" s="64">
        <v>1.1004</v>
      </c>
    </row>
    <row r="1997" spans="1:15" x14ac:dyDescent="0.25">
      <c r="A1997" s="114" t="s">
        <v>632</v>
      </c>
      <c r="B1997" s="63" t="s">
        <v>51</v>
      </c>
      <c r="C1997" s="63" t="s">
        <v>43</v>
      </c>
      <c r="D1997" s="63">
        <v>0</v>
      </c>
      <c r="E1997" s="63">
        <v>3.3000999999999999E-4</v>
      </c>
      <c r="F1997" s="63">
        <v>0.01</v>
      </c>
      <c r="G1997" s="63" t="s">
        <v>13</v>
      </c>
      <c r="H1997" s="63" t="s">
        <v>12</v>
      </c>
      <c r="I1997" s="63">
        <v>0</v>
      </c>
      <c r="J1997" s="63">
        <v>0</v>
      </c>
      <c r="L1997" s="63">
        <v>5.8</v>
      </c>
      <c r="M1997" s="63">
        <v>6.5850999999999999E-6</v>
      </c>
      <c r="N1997" s="63">
        <v>5.8</v>
      </c>
      <c r="O1997" s="64">
        <v>1.5718999999999999E-6</v>
      </c>
    </row>
    <row r="1998" spans="1:15" x14ac:dyDescent="0.25">
      <c r="A1998" s="114" t="s">
        <v>641</v>
      </c>
      <c r="B1998" s="63" t="s">
        <v>51</v>
      </c>
      <c r="C1998" s="63" t="s">
        <v>43</v>
      </c>
      <c r="D1998" s="63">
        <v>3.3000000000000002E-2</v>
      </c>
      <c r="E1998" s="63">
        <v>0.33001000000000003</v>
      </c>
      <c r="F1998" s="63">
        <v>0.01</v>
      </c>
      <c r="G1998" s="63" t="s">
        <v>13</v>
      </c>
      <c r="H1998" s="63" t="s">
        <v>11</v>
      </c>
      <c r="I1998" s="63">
        <v>0</v>
      </c>
      <c r="J1998" s="63">
        <v>0</v>
      </c>
      <c r="L1998" s="63">
        <v>5800</v>
      </c>
      <c r="M1998" s="63">
        <v>0.48270000000000002</v>
      </c>
      <c r="N1998" s="63">
        <v>5800</v>
      </c>
      <c r="O1998" s="64">
        <v>0.47471000000000002</v>
      </c>
    </row>
    <row r="1999" spans="1:15" x14ac:dyDescent="0.25">
      <c r="A1999" s="114" t="s">
        <v>645</v>
      </c>
      <c r="B1999" s="63" t="s">
        <v>51</v>
      </c>
      <c r="C1999" s="63" t="s">
        <v>43</v>
      </c>
      <c r="D1999" s="63">
        <v>0.33</v>
      </c>
      <c r="E1999" s="63">
        <v>3.0001000000000002</v>
      </c>
      <c r="F1999" s="63">
        <v>0.01</v>
      </c>
      <c r="G1999" s="63" t="s">
        <v>13</v>
      </c>
      <c r="H1999" s="63" t="s">
        <v>12</v>
      </c>
      <c r="I1999" s="63">
        <v>0</v>
      </c>
      <c r="J1999" s="63">
        <v>0</v>
      </c>
      <c r="L1999" s="63">
        <v>5.7839999999999998</v>
      </c>
      <c r="M1999" s="63">
        <v>5.8643000000000001E-2</v>
      </c>
      <c r="N1999" s="63">
        <v>5.7840999999999996</v>
      </c>
      <c r="O1999" s="64">
        <v>5.8298999999999997E-2</v>
      </c>
    </row>
    <row r="2000" spans="1:15" x14ac:dyDescent="0.25">
      <c r="A2000" s="114" t="s">
        <v>649</v>
      </c>
      <c r="B2000" s="63" t="s">
        <v>51</v>
      </c>
      <c r="C2000" s="63" t="s">
        <v>43</v>
      </c>
      <c r="D2000" s="63">
        <v>3</v>
      </c>
      <c r="E2000" s="63">
        <v>11.000999999999999</v>
      </c>
      <c r="F2000" s="63">
        <v>0.01</v>
      </c>
      <c r="G2000" s="63" t="s">
        <v>13</v>
      </c>
      <c r="H2000" s="63" t="s">
        <v>12</v>
      </c>
      <c r="I2000" s="63">
        <v>0</v>
      </c>
      <c r="J2000" s="63">
        <v>0</v>
      </c>
      <c r="L2000" s="63">
        <v>4.4629000000000003</v>
      </c>
      <c r="M2000" s="63">
        <v>0.64946999999999999</v>
      </c>
      <c r="N2000" s="63">
        <v>4.4596999999999998</v>
      </c>
      <c r="O2000" s="64">
        <v>0.64886999999999995</v>
      </c>
    </row>
    <row r="2001" spans="1:15" x14ac:dyDescent="0.25">
      <c r="A2001" s="114" t="s">
        <v>652</v>
      </c>
      <c r="B2001" s="63" t="s">
        <v>51</v>
      </c>
      <c r="C2001" s="63" t="s">
        <v>43</v>
      </c>
      <c r="D2001" s="63">
        <v>11</v>
      </c>
      <c r="E2001" s="63">
        <v>20.5</v>
      </c>
      <c r="F2001" s="63">
        <v>0.01</v>
      </c>
      <c r="G2001" s="63" t="s">
        <v>13</v>
      </c>
      <c r="H2001" s="63" t="s">
        <v>12</v>
      </c>
      <c r="I2001" s="63">
        <v>0</v>
      </c>
      <c r="J2001" s="63">
        <v>0</v>
      </c>
      <c r="L2001" s="63">
        <v>4.2515999999999998</v>
      </c>
      <c r="M2001" s="63">
        <v>1.0555000000000001</v>
      </c>
      <c r="N2001" s="63">
        <v>4.2550999999999997</v>
      </c>
      <c r="O2001" s="64">
        <v>1.0545</v>
      </c>
    </row>
    <row r="2002" spans="1:15" x14ac:dyDescent="0.25">
      <c r="A2002" s="114" t="s">
        <v>2615</v>
      </c>
      <c r="B2002" s="63" t="s">
        <v>51</v>
      </c>
      <c r="C2002" s="63" t="s">
        <v>43</v>
      </c>
      <c r="D2002" s="63">
        <v>20.5</v>
      </c>
      <c r="E2002" s="63">
        <v>20.6</v>
      </c>
      <c r="F2002" s="63">
        <v>0.01</v>
      </c>
      <c r="G2002" s="63" t="s">
        <v>13</v>
      </c>
      <c r="H2002" s="63" t="s">
        <v>12</v>
      </c>
      <c r="I2002" s="63">
        <v>0</v>
      </c>
      <c r="J2002" s="63">
        <v>0</v>
      </c>
      <c r="L2002" s="63">
        <v>4.2515999999999998</v>
      </c>
      <c r="M2002" s="63">
        <v>1.0555000000000001</v>
      </c>
      <c r="N2002" s="63">
        <v>4.2550999999999997</v>
      </c>
      <c r="O2002" s="64">
        <v>1.0545</v>
      </c>
    </row>
    <row r="2003" spans="1:15" x14ac:dyDescent="0.25">
      <c r="A2003" s="114" t="s">
        <v>633</v>
      </c>
      <c r="B2003" s="63" t="s">
        <v>51</v>
      </c>
      <c r="C2003" s="63" t="s">
        <v>43</v>
      </c>
      <c r="D2003" s="63">
        <v>0</v>
      </c>
      <c r="E2003" s="63">
        <v>3.3000999999999999E-4</v>
      </c>
      <c r="F2003" s="63">
        <v>0.1</v>
      </c>
      <c r="G2003" s="63" t="s">
        <v>13</v>
      </c>
      <c r="H2003" s="63" t="s">
        <v>12</v>
      </c>
      <c r="I2003" s="63">
        <v>0</v>
      </c>
      <c r="J2003" s="63">
        <v>0</v>
      </c>
      <c r="L2003" s="63">
        <v>58</v>
      </c>
      <c r="M2003" s="63">
        <v>2.1625E-6</v>
      </c>
      <c r="N2003" s="63">
        <v>58</v>
      </c>
      <c r="O2003" s="64">
        <v>1.572E-7</v>
      </c>
    </row>
    <row r="2004" spans="1:15" x14ac:dyDescent="0.25">
      <c r="A2004" s="114" t="s">
        <v>646</v>
      </c>
      <c r="B2004" s="63" t="s">
        <v>51</v>
      </c>
      <c r="C2004" s="63" t="s">
        <v>43</v>
      </c>
      <c r="D2004" s="63">
        <v>0.33</v>
      </c>
      <c r="E2004" s="63">
        <v>3.0001000000000002</v>
      </c>
      <c r="F2004" s="63">
        <v>0.1</v>
      </c>
      <c r="G2004" s="63" t="s">
        <v>13</v>
      </c>
      <c r="H2004" s="63" t="s">
        <v>12</v>
      </c>
      <c r="I2004" s="63">
        <v>0</v>
      </c>
      <c r="J2004" s="63">
        <v>0</v>
      </c>
      <c r="L2004" s="63">
        <v>57.997999999999998</v>
      </c>
      <c r="M2004" s="63">
        <v>6.0523E-3</v>
      </c>
      <c r="N2004" s="63">
        <v>57.997999999999998</v>
      </c>
      <c r="O2004" s="64">
        <v>5.9106000000000002E-3</v>
      </c>
    </row>
    <row r="2005" spans="1:15" x14ac:dyDescent="0.25">
      <c r="A2005" s="114" t="s">
        <v>650</v>
      </c>
      <c r="B2005" s="63" t="s">
        <v>51</v>
      </c>
      <c r="C2005" s="63" t="s">
        <v>43</v>
      </c>
      <c r="D2005" s="63">
        <v>3</v>
      </c>
      <c r="E2005" s="63">
        <v>11.000999999999999</v>
      </c>
      <c r="F2005" s="63">
        <v>0.1</v>
      </c>
      <c r="G2005" s="63" t="s">
        <v>13</v>
      </c>
      <c r="H2005" s="63" t="s">
        <v>12</v>
      </c>
      <c r="I2005" s="63">
        <v>0</v>
      </c>
      <c r="J2005" s="63">
        <v>0</v>
      </c>
      <c r="L2005" s="63">
        <v>57.764000000000003</v>
      </c>
      <c r="M2005" s="63">
        <v>0.10059999999999999</v>
      </c>
      <c r="N2005" s="63">
        <v>57.764000000000003</v>
      </c>
      <c r="O2005" s="64">
        <v>9.9908999999999998E-2</v>
      </c>
    </row>
    <row r="2006" spans="1:15" x14ac:dyDescent="0.25">
      <c r="A2006" s="114" t="s">
        <v>653</v>
      </c>
      <c r="B2006" s="63" t="s">
        <v>51</v>
      </c>
      <c r="C2006" s="63" t="s">
        <v>43</v>
      </c>
      <c r="D2006" s="63">
        <v>11</v>
      </c>
      <c r="E2006" s="63">
        <v>20.5</v>
      </c>
      <c r="F2006" s="63">
        <v>0.1</v>
      </c>
      <c r="G2006" s="63" t="s">
        <v>13</v>
      </c>
      <c r="H2006" s="63" t="s">
        <v>12</v>
      </c>
      <c r="I2006" s="63">
        <v>0</v>
      </c>
      <c r="J2006" s="63">
        <v>0</v>
      </c>
      <c r="L2006" s="63">
        <v>55.899000000000001</v>
      </c>
      <c r="M2006" s="63">
        <v>0.35962</v>
      </c>
      <c r="N2006" s="63">
        <v>55.915999999999997</v>
      </c>
      <c r="O2006" s="64">
        <v>0.35746</v>
      </c>
    </row>
    <row r="2007" spans="1:15" x14ac:dyDescent="0.25">
      <c r="A2007" s="114" t="s">
        <v>656</v>
      </c>
      <c r="B2007" s="63" t="s">
        <v>51</v>
      </c>
      <c r="C2007" s="63" t="s">
        <v>43</v>
      </c>
      <c r="D2007" s="63">
        <v>20.5</v>
      </c>
      <c r="E2007" s="63">
        <v>20.6</v>
      </c>
      <c r="F2007" s="63">
        <v>0.1</v>
      </c>
      <c r="G2007" s="63" t="s">
        <v>13</v>
      </c>
      <c r="H2007" s="63" t="s">
        <v>12</v>
      </c>
      <c r="I2007" s="63">
        <v>0</v>
      </c>
      <c r="J2007" s="63">
        <v>0</v>
      </c>
      <c r="L2007" s="63">
        <v>55.899000000000001</v>
      </c>
      <c r="M2007" s="63">
        <v>0.35962</v>
      </c>
      <c r="N2007" s="63">
        <v>55.915999999999997</v>
      </c>
      <c r="O2007" s="64">
        <v>0.35746</v>
      </c>
    </row>
    <row r="2008" spans="1:15" x14ac:dyDescent="0.25">
      <c r="A2008" s="114" t="s">
        <v>606</v>
      </c>
      <c r="B2008" s="63" t="s">
        <v>51</v>
      </c>
      <c r="C2008" s="63" t="s">
        <v>55</v>
      </c>
      <c r="D2008" s="63">
        <v>1</v>
      </c>
      <c r="E2008" s="63">
        <v>11.000999999999999</v>
      </c>
      <c r="F2008" s="63">
        <v>1E-4</v>
      </c>
      <c r="G2008" s="63" t="s">
        <v>13</v>
      </c>
      <c r="H2008" s="63" t="s">
        <v>12</v>
      </c>
      <c r="I2008" s="63">
        <v>0</v>
      </c>
      <c r="J2008" s="63">
        <v>0</v>
      </c>
      <c r="L2008" s="63">
        <v>8.2000000000000003E-2</v>
      </c>
      <c r="M2008" s="63">
        <v>2</v>
      </c>
      <c r="N2008" s="63">
        <v>8.0875000000000002E-2</v>
      </c>
      <c r="O2008" s="64">
        <v>1.9946999999999999</v>
      </c>
    </row>
    <row r="2009" spans="1:15" x14ac:dyDescent="0.25">
      <c r="A2009" s="114" t="s">
        <v>607</v>
      </c>
      <c r="B2009" s="63" t="s">
        <v>51</v>
      </c>
      <c r="C2009" s="63" t="s">
        <v>55</v>
      </c>
      <c r="D2009" s="63">
        <v>1</v>
      </c>
      <c r="E2009" s="63">
        <v>11.000999999999999</v>
      </c>
      <c r="F2009" s="63">
        <v>1E-3</v>
      </c>
      <c r="G2009" s="63" t="s">
        <v>13</v>
      </c>
      <c r="H2009" s="63" t="s">
        <v>12</v>
      </c>
      <c r="I2009" s="63">
        <v>0</v>
      </c>
      <c r="J2009" s="63">
        <v>0</v>
      </c>
      <c r="L2009" s="63">
        <v>0.16836000000000001</v>
      </c>
      <c r="M2009" s="63">
        <v>1.9875</v>
      </c>
      <c r="N2009" s="63">
        <v>0.16627</v>
      </c>
      <c r="O2009" s="64">
        <v>1.9876</v>
      </c>
    </row>
    <row r="2010" spans="1:15" x14ac:dyDescent="0.25">
      <c r="A2010" s="114" t="s">
        <v>610</v>
      </c>
      <c r="B2010" s="63" t="s">
        <v>51</v>
      </c>
      <c r="C2010" s="63" t="s">
        <v>55</v>
      </c>
      <c r="D2010" s="63">
        <v>11</v>
      </c>
      <c r="E2010" s="63">
        <v>30.001000000000001</v>
      </c>
      <c r="F2010" s="63">
        <v>1E-3</v>
      </c>
      <c r="G2010" s="63" t="s">
        <v>13</v>
      </c>
      <c r="H2010" s="63" t="s">
        <v>12</v>
      </c>
      <c r="I2010" s="63">
        <v>0</v>
      </c>
      <c r="J2010" s="63">
        <v>0</v>
      </c>
      <c r="L2010" s="63">
        <v>1.6</v>
      </c>
      <c r="M2010" s="63">
        <v>2</v>
      </c>
      <c r="N2010" s="63">
        <v>0.12764</v>
      </c>
      <c r="O2010" s="64">
        <v>2.0470999999999999</v>
      </c>
    </row>
    <row r="2011" spans="1:15" x14ac:dyDescent="0.25">
      <c r="A2011" s="114" t="s">
        <v>2616</v>
      </c>
      <c r="B2011" s="63" t="s">
        <v>51</v>
      </c>
      <c r="C2011" s="63" t="s">
        <v>55</v>
      </c>
      <c r="D2011" s="63">
        <v>1</v>
      </c>
      <c r="E2011" s="63">
        <v>11.000999999999999</v>
      </c>
      <c r="F2011" s="63">
        <v>0.01</v>
      </c>
      <c r="G2011" s="63" t="s">
        <v>13</v>
      </c>
      <c r="H2011" s="63" t="s">
        <v>12</v>
      </c>
      <c r="I2011" s="63">
        <v>0</v>
      </c>
      <c r="J2011" s="63">
        <v>0</v>
      </c>
      <c r="L2011" s="63">
        <v>4.4751000000000003</v>
      </c>
      <c r="M2011" s="63">
        <v>1.6631</v>
      </c>
      <c r="N2011" s="63">
        <v>4.4718</v>
      </c>
      <c r="O2011" s="64">
        <v>1.6632</v>
      </c>
    </row>
    <row r="2012" spans="1:15" x14ac:dyDescent="0.25">
      <c r="A2012" s="114" t="s">
        <v>611</v>
      </c>
      <c r="B2012" s="63" t="s">
        <v>51</v>
      </c>
      <c r="C2012" s="63" t="s">
        <v>55</v>
      </c>
      <c r="D2012" s="63">
        <v>11</v>
      </c>
      <c r="E2012" s="63">
        <v>30.001000000000001</v>
      </c>
      <c r="F2012" s="63">
        <v>0.01</v>
      </c>
      <c r="G2012" s="63" t="s">
        <v>13</v>
      </c>
      <c r="H2012" s="63" t="s">
        <v>12</v>
      </c>
      <c r="I2012" s="63">
        <v>0</v>
      </c>
      <c r="J2012" s="63">
        <v>0</v>
      </c>
      <c r="L2012" s="63">
        <v>1.6</v>
      </c>
      <c r="M2012" s="63">
        <v>2.0127000000000002</v>
      </c>
      <c r="N2012" s="63">
        <v>1.1037999999999999</v>
      </c>
      <c r="O2012" s="64">
        <v>2.0234999999999999</v>
      </c>
    </row>
    <row r="2013" spans="1:15" x14ac:dyDescent="0.25">
      <c r="A2013" s="114" t="s">
        <v>616</v>
      </c>
      <c r="B2013" s="63" t="s">
        <v>51</v>
      </c>
      <c r="C2013" s="63" t="s">
        <v>55</v>
      </c>
      <c r="D2013" s="63">
        <v>30</v>
      </c>
      <c r="E2013" s="63">
        <v>110.01</v>
      </c>
      <c r="F2013" s="63">
        <v>0.01</v>
      </c>
      <c r="G2013" s="63" t="s">
        <v>13</v>
      </c>
      <c r="H2013" s="63" t="s">
        <v>12</v>
      </c>
      <c r="I2013" s="63">
        <v>0</v>
      </c>
      <c r="J2013" s="63">
        <v>0</v>
      </c>
      <c r="L2013" s="63">
        <v>4</v>
      </c>
      <c r="M2013" s="63">
        <v>2.1</v>
      </c>
      <c r="N2013" s="63">
        <v>2.5089999999999999</v>
      </c>
      <c r="O2013" s="64">
        <v>2.1122000000000001</v>
      </c>
    </row>
    <row r="2014" spans="1:15" x14ac:dyDescent="0.25">
      <c r="A2014" s="114" t="s">
        <v>619</v>
      </c>
      <c r="B2014" s="63" t="s">
        <v>51</v>
      </c>
      <c r="C2014" s="63" t="s">
        <v>55</v>
      </c>
      <c r="D2014" s="63">
        <v>110</v>
      </c>
      <c r="E2014" s="63">
        <v>205</v>
      </c>
      <c r="F2014" s="63">
        <v>0.01</v>
      </c>
      <c r="G2014" s="63" t="s">
        <v>13</v>
      </c>
      <c r="H2014" s="63" t="s">
        <v>12</v>
      </c>
      <c r="I2014" s="63">
        <v>0</v>
      </c>
      <c r="J2014" s="63">
        <v>0</v>
      </c>
      <c r="L2014" s="63">
        <v>6.5</v>
      </c>
      <c r="M2014" s="63">
        <v>2.2999999999999998</v>
      </c>
      <c r="N2014" s="63">
        <v>4.5922000000000001</v>
      </c>
      <c r="O2014" s="64">
        <v>2.3086000000000002</v>
      </c>
    </row>
    <row r="2015" spans="1:15" x14ac:dyDescent="0.25">
      <c r="A2015" s="114" t="s">
        <v>623</v>
      </c>
      <c r="B2015" s="63" t="s">
        <v>51</v>
      </c>
      <c r="C2015" s="63" t="s">
        <v>55</v>
      </c>
      <c r="D2015" s="63">
        <v>205</v>
      </c>
      <c r="E2015" s="63">
        <v>206</v>
      </c>
      <c r="F2015" s="63">
        <v>0.01</v>
      </c>
      <c r="G2015" s="63" t="s">
        <v>13</v>
      </c>
      <c r="H2015" s="63" t="s">
        <v>12</v>
      </c>
      <c r="I2015" s="63">
        <v>0</v>
      </c>
      <c r="J2015" s="63">
        <v>0</v>
      </c>
      <c r="L2015" s="63">
        <v>6.5</v>
      </c>
      <c r="M2015" s="63">
        <v>2.2999999999999998</v>
      </c>
      <c r="N2015" s="63">
        <v>4.5922000000000001</v>
      </c>
      <c r="O2015" s="64">
        <v>2.3086000000000002</v>
      </c>
    </row>
    <row r="2016" spans="1:15" x14ac:dyDescent="0.25">
      <c r="A2016" s="114" t="s">
        <v>608</v>
      </c>
      <c r="B2016" s="63" t="s">
        <v>51</v>
      </c>
      <c r="C2016" s="63" t="s">
        <v>55</v>
      </c>
      <c r="D2016" s="63">
        <v>1</v>
      </c>
      <c r="E2016" s="63">
        <v>11.000999999999999</v>
      </c>
      <c r="F2016" s="63">
        <v>0.1</v>
      </c>
      <c r="G2016" s="63" t="s">
        <v>13</v>
      </c>
      <c r="H2016" s="63" t="s">
        <v>12</v>
      </c>
      <c r="I2016" s="63">
        <v>0</v>
      </c>
      <c r="J2016" s="63">
        <v>0</v>
      </c>
      <c r="L2016" s="63">
        <v>57.372</v>
      </c>
      <c r="M2016" s="63">
        <v>0.40227000000000002</v>
      </c>
      <c r="N2016" s="63">
        <v>57.371000000000002</v>
      </c>
      <c r="O2016" s="64">
        <v>0.40201999999999999</v>
      </c>
    </row>
    <row r="2017" spans="1:15" x14ac:dyDescent="0.25">
      <c r="A2017" s="114" t="s">
        <v>612</v>
      </c>
      <c r="B2017" s="63" t="s">
        <v>51</v>
      </c>
      <c r="C2017" s="63" t="s">
        <v>55</v>
      </c>
      <c r="D2017" s="63">
        <v>11</v>
      </c>
      <c r="E2017" s="63">
        <v>30.001000000000001</v>
      </c>
      <c r="F2017" s="63">
        <v>0.1</v>
      </c>
      <c r="G2017" s="63" t="s">
        <v>13</v>
      </c>
      <c r="H2017" s="63" t="s">
        <v>12</v>
      </c>
      <c r="I2017" s="63">
        <v>0</v>
      </c>
      <c r="J2017" s="63">
        <v>0</v>
      </c>
      <c r="L2017" s="63">
        <v>49.094000000000001</v>
      </c>
      <c r="M2017" s="63">
        <v>1.1796</v>
      </c>
      <c r="N2017" s="63">
        <v>49.066000000000003</v>
      </c>
      <c r="O2017" s="64">
        <v>1.1772</v>
      </c>
    </row>
    <row r="2018" spans="1:15" x14ac:dyDescent="0.25">
      <c r="A2018" s="114" t="s">
        <v>617</v>
      </c>
      <c r="B2018" s="63" t="s">
        <v>51</v>
      </c>
      <c r="C2018" s="63" t="s">
        <v>55</v>
      </c>
      <c r="D2018" s="63">
        <v>30</v>
      </c>
      <c r="E2018" s="63">
        <v>110.01</v>
      </c>
      <c r="F2018" s="63">
        <v>0.1</v>
      </c>
      <c r="G2018" s="63" t="s">
        <v>13</v>
      </c>
      <c r="H2018" s="63" t="s">
        <v>12</v>
      </c>
      <c r="I2018" s="63">
        <v>0</v>
      </c>
      <c r="J2018" s="63">
        <v>0</v>
      </c>
      <c r="L2018" s="63">
        <v>29.550999999999998</v>
      </c>
      <c r="M2018" s="63">
        <v>1.93</v>
      </c>
      <c r="N2018" s="63">
        <v>29.510999999999999</v>
      </c>
      <c r="O2018" s="64">
        <v>1.9297</v>
      </c>
    </row>
    <row r="2019" spans="1:15" x14ac:dyDescent="0.25">
      <c r="A2019" s="114" t="s">
        <v>2617</v>
      </c>
      <c r="B2019" s="63" t="s">
        <v>51</v>
      </c>
      <c r="C2019" s="63" t="s">
        <v>55</v>
      </c>
      <c r="D2019" s="63">
        <v>110</v>
      </c>
      <c r="E2019" s="63">
        <v>205</v>
      </c>
      <c r="F2019" s="63">
        <v>0.1</v>
      </c>
      <c r="G2019" s="63" t="s">
        <v>13</v>
      </c>
      <c r="H2019" s="63" t="s">
        <v>12</v>
      </c>
      <c r="I2019" s="63">
        <v>0</v>
      </c>
      <c r="J2019" s="63">
        <v>0</v>
      </c>
      <c r="L2019" s="63">
        <v>14.301</v>
      </c>
      <c r="M2019" s="63">
        <v>2.2787999999999999</v>
      </c>
      <c r="N2019" s="63">
        <v>14.221</v>
      </c>
      <c r="O2019" s="64">
        <v>2.2784</v>
      </c>
    </row>
    <row r="2020" spans="1:15" x14ac:dyDescent="0.25">
      <c r="A2020" s="114" t="s">
        <v>624</v>
      </c>
      <c r="B2020" s="63" t="s">
        <v>51</v>
      </c>
      <c r="C2020" s="63" t="s">
        <v>55</v>
      </c>
      <c r="D2020" s="63">
        <v>205</v>
      </c>
      <c r="E2020" s="63">
        <v>206</v>
      </c>
      <c r="F2020" s="63">
        <v>0.1</v>
      </c>
      <c r="G2020" s="63" t="s">
        <v>13</v>
      </c>
      <c r="H2020" s="63" t="s">
        <v>12</v>
      </c>
      <c r="I2020" s="63">
        <v>0</v>
      </c>
      <c r="J2020" s="63">
        <v>0</v>
      </c>
      <c r="L2020" s="63">
        <v>14.301</v>
      </c>
      <c r="M2020" s="63">
        <v>2.2787999999999999</v>
      </c>
      <c r="N2020" s="63">
        <v>14.221</v>
      </c>
      <c r="O2020" s="64">
        <v>2.2784</v>
      </c>
    </row>
    <row r="2021" spans="1:15" x14ac:dyDescent="0.25">
      <c r="A2021" s="114" t="s">
        <v>609</v>
      </c>
      <c r="B2021" s="63" t="s">
        <v>51</v>
      </c>
      <c r="C2021" s="63" t="s">
        <v>55</v>
      </c>
      <c r="D2021" s="63">
        <v>1</v>
      </c>
      <c r="E2021" s="63">
        <v>11.000999999999999</v>
      </c>
      <c r="F2021" s="63">
        <v>1</v>
      </c>
      <c r="G2021" s="63" t="s">
        <v>13</v>
      </c>
      <c r="H2021" s="63" t="s">
        <v>12</v>
      </c>
      <c r="I2021" s="63">
        <v>0</v>
      </c>
      <c r="J2021" s="63">
        <v>0</v>
      </c>
      <c r="L2021" s="63">
        <v>577.32000000000005</v>
      </c>
      <c r="M2021" s="63">
        <v>4.1721000000000001E-2</v>
      </c>
      <c r="N2021" s="63">
        <v>577.32000000000005</v>
      </c>
      <c r="O2021" s="64">
        <v>4.1612999999999997E-2</v>
      </c>
    </row>
    <row r="2022" spans="1:15" x14ac:dyDescent="0.25">
      <c r="A2022" s="114" t="s">
        <v>613</v>
      </c>
      <c r="B2022" s="63" t="s">
        <v>51</v>
      </c>
      <c r="C2022" s="63" t="s">
        <v>55</v>
      </c>
      <c r="D2022" s="63">
        <v>11</v>
      </c>
      <c r="E2022" s="63">
        <v>30.001000000000001</v>
      </c>
      <c r="F2022" s="63">
        <v>1</v>
      </c>
      <c r="G2022" s="63" t="s">
        <v>13</v>
      </c>
      <c r="H2022" s="63" t="s">
        <v>12</v>
      </c>
      <c r="I2022" s="63">
        <v>0</v>
      </c>
      <c r="J2022" s="63">
        <v>0</v>
      </c>
      <c r="L2022" s="63">
        <v>576.16999999999996</v>
      </c>
      <c r="M2022" s="63">
        <v>0.15057999999999999</v>
      </c>
      <c r="N2022" s="63">
        <v>576.16</v>
      </c>
      <c r="O2022" s="64">
        <v>0.14877000000000001</v>
      </c>
    </row>
    <row r="2023" spans="1:15" x14ac:dyDescent="0.25">
      <c r="A2023" s="114" t="s">
        <v>2618</v>
      </c>
      <c r="B2023" s="63" t="s">
        <v>51</v>
      </c>
      <c r="C2023" s="63" t="s">
        <v>55</v>
      </c>
      <c r="D2023" s="63">
        <v>30</v>
      </c>
      <c r="E2023" s="63">
        <v>110.01</v>
      </c>
      <c r="F2023" s="63">
        <v>1</v>
      </c>
      <c r="G2023" s="63" t="s">
        <v>13</v>
      </c>
      <c r="H2023" s="63" t="s">
        <v>12</v>
      </c>
      <c r="I2023" s="63">
        <v>0</v>
      </c>
      <c r="J2023" s="63">
        <v>0</v>
      </c>
      <c r="L2023" s="63">
        <v>565.25</v>
      </c>
      <c r="M2023" s="63">
        <v>0.52854000000000001</v>
      </c>
      <c r="N2023" s="63">
        <v>565.25</v>
      </c>
      <c r="O2023" s="64">
        <v>0.52742999999999995</v>
      </c>
    </row>
    <row r="2024" spans="1:15" x14ac:dyDescent="0.25">
      <c r="A2024" s="114" t="s">
        <v>620</v>
      </c>
      <c r="B2024" s="63" t="s">
        <v>51</v>
      </c>
      <c r="C2024" s="63" t="s">
        <v>55</v>
      </c>
      <c r="D2024" s="63">
        <v>110</v>
      </c>
      <c r="E2024" s="63">
        <v>205</v>
      </c>
      <c r="F2024" s="63">
        <v>1</v>
      </c>
      <c r="G2024" s="63" t="s">
        <v>13</v>
      </c>
      <c r="H2024" s="63" t="s">
        <v>12</v>
      </c>
      <c r="I2024" s="63">
        <v>0</v>
      </c>
      <c r="J2024" s="63">
        <v>0</v>
      </c>
      <c r="L2024" s="63">
        <v>497.21</v>
      </c>
      <c r="M2024" s="63">
        <v>1.2323999999999999</v>
      </c>
      <c r="N2024" s="63">
        <v>497.26</v>
      </c>
      <c r="O2024" s="64">
        <v>1.2301</v>
      </c>
    </row>
    <row r="2025" spans="1:15" x14ac:dyDescent="0.25">
      <c r="A2025" s="114" t="s">
        <v>625</v>
      </c>
      <c r="B2025" s="63" t="s">
        <v>51</v>
      </c>
      <c r="C2025" s="63" t="s">
        <v>55</v>
      </c>
      <c r="D2025" s="63">
        <v>205</v>
      </c>
      <c r="E2025" s="63">
        <v>206</v>
      </c>
      <c r="F2025" s="63">
        <v>1</v>
      </c>
      <c r="G2025" s="63" t="s">
        <v>13</v>
      </c>
      <c r="H2025" s="63" t="s">
        <v>12</v>
      </c>
      <c r="I2025" s="63">
        <v>0</v>
      </c>
      <c r="J2025" s="63">
        <v>0</v>
      </c>
      <c r="L2025" s="63">
        <v>497.21</v>
      </c>
      <c r="M2025" s="63">
        <v>1.2323999999999999</v>
      </c>
      <c r="N2025" s="63">
        <v>497.26</v>
      </c>
      <c r="O2025" s="64">
        <v>1.2301</v>
      </c>
    </row>
    <row r="2026" spans="1:15" x14ac:dyDescent="0.25">
      <c r="A2026" s="114" t="s">
        <v>614</v>
      </c>
      <c r="B2026" s="63" t="s">
        <v>51</v>
      </c>
      <c r="C2026" s="63" t="s">
        <v>55</v>
      </c>
      <c r="D2026" s="63">
        <v>11</v>
      </c>
      <c r="E2026" s="63">
        <v>30.001000000000001</v>
      </c>
      <c r="F2026" s="63">
        <v>10</v>
      </c>
      <c r="G2026" s="63" t="s">
        <v>13</v>
      </c>
      <c r="H2026" s="63" t="s">
        <v>12</v>
      </c>
      <c r="I2026" s="63">
        <v>0</v>
      </c>
      <c r="J2026" s="63">
        <v>0</v>
      </c>
      <c r="L2026" s="63">
        <v>5773.4</v>
      </c>
      <c r="M2026" s="63">
        <v>1.5656E-2</v>
      </c>
      <c r="N2026" s="63">
        <v>5773.4</v>
      </c>
      <c r="O2026" s="64">
        <v>1.4925000000000001E-2</v>
      </c>
    </row>
    <row r="2027" spans="1:15" x14ac:dyDescent="0.25">
      <c r="A2027" s="114" t="s">
        <v>618</v>
      </c>
      <c r="B2027" s="63" t="s">
        <v>51</v>
      </c>
      <c r="C2027" s="63" t="s">
        <v>55</v>
      </c>
      <c r="D2027" s="63">
        <v>30</v>
      </c>
      <c r="E2027" s="63">
        <v>110.01</v>
      </c>
      <c r="F2027" s="63">
        <v>10</v>
      </c>
      <c r="G2027" s="63" t="s">
        <v>13</v>
      </c>
      <c r="H2027" s="63" t="s">
        <v>12</v>
      </c>
      <c r="I2027" s="63">
        <v>0</v>
      </c>
      <c r="J2027" s="63">
        <v>0</v>
      </c>
      <c r="L2027" s="63">
        <v>5772.3</v>
      </c>
      <c r="M2027" s="63">
        <v>5.5474999999999997E-2</v>
      </c>
      <c r="N2027" s="63">
        <v>5772.3</v>
      </c>
      <c r="O2027" s="64">
        <v>5.4984999999999999E-2</v>
      </c>
    </row>
    <row r="2028" spans="1:15" x14ac:dyDescent="0.25">
      <c r="A2028" s="114" t="s">
        <v>621</v>
      </c>
      <c r="B2028" s="63" t="s">
        <v>51</v>
      </c>
      <c r="C2028" s="63" t="s">
        <v>55</v>
      </c>
      <c r="D2028" s="63">
        <v>110</v>
      </c>
      <c r="E2028" s="63">
        <v>205</v>
      </c>
      <c r="F2028" s="63">
        <v>10</v>
      </c>
      <c r="G2028" s="63" t="s">
        <v>13</v>
      </c>
      <c r="H2028" s="63" t="s">
        <v>12</v>
      </c>
      <c r="I2028" s="63">
        <v>0</v>
      </c>
      <c r="J2028" s="63">
        <v>0</v>
      </c>
      <c r="L2028" s="63">
        <v>5763.1</v>
      </c>
      <c r="M2028" s="63">
        <v>0.14824000000000001</v>
      </c>
      <c r="N2028" s="63">
        <v>5763.2</v>
      </c>
      <c r="O2028" s="64">
        <v>0.1469</v>
      </c>
    </row>
    <row r="2029" spans="1:15" x14ac:dyDescent="0.25">
      <c r="A2029" s="114" t="s">
        <v>2619</v>
      </c>
      <c r="B2029" s="63" t="s">
        <v>51</v>
      </c>
      <c r="C2029" s="63" t="s">
        <v>55</v>
      </c>
      <c r="D2029" s="63">
        <v>205</v>
      </c>
      <c r="E2029" s="63">
        <v>206</v>
      </c>
      <c r="F2029" s="63">
        <v>10</v>
      </c>
      <c r="G2029" s="63" t="s">
        <v>13</v>
      </c>
      <c r="H2029" s="63" t="s">
        <v>12</v>
      </c>
      <c r="I2029" s="63">
        <v>0</v>
      </c>
      <c r="J2029" s="63">
        <v>0</v>
      </c>
      <c r="L2029" s="63">
        <v>5763.1</v>
      </c>
      <c r="M2029" s="63">
        <v>0.14824000000000001</v>
      </c>
      <c r="N2029" s="63">
        <v>5763.2</v>
      </c>
      <c r="O2029" s="64">
        <v>0.1469</v>
      </c>
    </row>
    <row r="2030" spans="1:15" x14ac:dyDescent="0.25">
      <c r="A2030" s="114" t="s">
        <v>615</v>
      </c>
      <c r="B2030" s="63" t="s">
        <v>51</v>
      </c>
      <c r="C2030" s="63" t="s">
        <v>55</v>
      </c>
      <c r="D2030" s="63">
        <v>11</v>
      </c>
      <c r="E2030" s="63">
        <v>30.001000000000001</v>
      </c>
      <c r="F2030" s="63">
        <v>100</v>
      </c>
      <c r="G2030" s="63" t="s">
        <v>13</v>
      </c>
      <c r="H2030" s="63" t="s">
        <v>12</v>
      </c>
      <c r="I2030" s="63">
        <v>0</v>
      </c>
      <c r="J2030" s="63">
        <v>0</v>
      </c>
      <c r="L2030" s="63">
        <v>57736</v>
      </c>
      <c r="M2030" s="63">
        <v>1.7851E-3</v>
      </c>
      <c r="N2030" s="63">
        <v>57735</v>
      </c>
      <c r="O2030" s="64">
        <v>1.4924999999999999E-3</v>
      </c>
    </row>
    <row r="2031" spans="1:15" x14ac:dyDescent="0.25">
      <c r="A2031" s="114" t="s">
        <v>2620</v>
      </c>
      <c r="B2031" s="63" t="s">
        <v>51</v>
      </c>
      <c r="C2031" s="63" t="s">
        <v>55</v>
      </c>
      <c r="D2031" s="63">
        <v>30</v>
      </c>
      <c r="E2031" s="63">
        <v>110.01</v>
      </c>
      <c r="F2031" s="63">
        <v>100</v>
      </c>
      <c r="G2031" s="63" t="s">
        <v>13</v>
      </c>
      <c r="H2031" s="63" t="s">
        <v>12</v>
      </c>
      <c r="I2031" s="63">
        <v>0</v>
      </c>
      <c r="J2031" s="63">
        <v>0</v>
      </c>
      <c r="L2031" s="63">
        <v>57735</v>
      </c>
      <c r="M2031" s="63">
        <v>5.6968000000000001E-3</v>
      </c>
      <c r="N2031" s="63">
        <v>57735</v>
      </c>
      <c r="O2031" s="64">
        <v>5.5009999999999998E-3</v>
      </c>
    </row>
    <row r="2032" spans="1:15" x14ac:dyDescent="0.25">
      <c r="A2032" s="114" t="s">
        <v>622</v>
      </c>
      <c r="B2032" s="63" t="s">
        <v>51</v>
      </c>
      <c r="C2032" s="63" t="s">
        <v>55</v>
      </c>
      <c r="D2032" s="63">
        <v>110</v>
      </c>
      <c r="E2032" s="63">
        <v>205</v>
      </c>
      <c r="F2032" s="63">
        <v>100</v>
      </c>
      <c r="G2032" s="63" t="s">
        <v>13</v>
      </c>
      <c r="H2032" s="63" t="s">
        <v>12</v>
      </c>
      <c r="I2032" s="63">
        <v>0</v>
      </c>
      <c r="J2032" s="63">
        <v>0</v>
      </c>
      <c r="L2032" s="63">
        <v>57734</v>
      </c>
      <c r="M2032" s="63">
        <v>1.5259999999999999E-2</v>
      </c>
      <c r="N2032" s="63">
        <v>57734</v>
      </c>
      <c r="O2032" s="64">
        <v>1.4722000000000001E-2</v>
      </c>
    </row>
    <row r="2033" spans="1:15" x14ac:dyDescent="0.25">
      <c r="A2033" s="114" t="s">
        <v>626</v>
      </c>
      <c r="B2033" s="63" t="s">
        <v>51</v>
      </c>
      <c r="C2033" s="63" t="s">
        <v>55</v>
      </c>
      <c r="D2033" s="63">
        <v>205</v>
      </c>
      <c r="E2033" s="63">
        <v>206</v>
      </c>
      <c r="F2033" s="63">
        <v>100</v>
      </c>
      <c r="G2033" s="63" t="s">
        <v>13</v>
      </c>
      <c r="H2033" s="63" t="s">
        <v>12</v>
      </c>
      <c r="I2033" s="63">
        <v>0</v>
      </c>
      <c r="J2033" s="63">
        <v>0</v>
      </c>
      <c r="L2033" s="63">
        <v>57734</v>
      </c>
      <c r="M2033" s="63">
        <v>1.5259999999999999E-2</v>
      </c>
      <c r="N2033" s="63">
        <v>57734</v>
      </c>
      <c r="O2033" s="64">
        <v>1.4722000000000001E-2</v>
      </c>
    </row>
    <row r="2034" spans="1:15" x14ac:dyDescent="0.25">
      <c r="A2034" s="114" t="s">
        <v>590</v>
      </c>
      <c r="B2034" s="63" t="s">
        <v>51</v>
      </c>
      <c r="C2034" s="63" t="s">
        <v>56</v>
      </c>
      <c r="D2034" s="63">
        <v>20</v>
      </c>
      <c r="E2034" s="63">
        <v>60.01</v>
      </c>
      <c r="F2034" s="63">
        <v>1E-3</v>
      </c>
      <c r="G2034" s="63" t="s">
        <v>13</v>
      </c>
      <c r="H2034" s="63" t="s">
        <v>12</v>
      </c>
      <c r="I2034" s="63">
        <v>0</v>
      </c>
      <c r="J2034" s="63">
        <v>0</v>
      </c>
      <c r="L2034" s="63">
        <v>3.9</v>
      </c>
      <c r="M2034" s="63">
        <v>2.1</v>
      </c>
      <c r="N2034" s="63">
        <v>0.23927999999999999</v>
      </c>
      <c r="O2034" s="64">
        <v>2.0472999999999999</v>
      </c>
    </row>
    <row r="2035" spans="1:15" x14ac:dyDescent="0.25">
      <c r="A2035" s="114" t="s">
        <v>595</v>
      </c>
      <c r="B2035" s="63" t="s">
        <v>51</v>
      </c>
      <c r="C2035" s="63" t="s">
        <v>56</v>
      </c>
      <c r="D2035" s="63">
        <v>60</v>
      </c>
      <c r="E2035" s="63">
        <v>220.01</v>
      </c>
      <c r="F2035" s="63">
        <v>1E-3</v>
      </c>
      <c r="G2035" s="63" t="s">
        <v>13</v>
      </c>
      <c r="H2035" s="63" t="s">
        <v>12</v>
      </c>
      <c r="I2035" s="63">
        <v>0</v>
      </c>
      <c r="J2035" s="63">
        <v>0</v>
      </c>
      <c r="L2035" s="63">
        <v>19</v>
      </c>
      <c r="M2035" s="63">
        <v>2.2000000000000002</v>
      </c>
      <c r="N2035" s="63">
        <v>4.5221</v>
      </c>
      <c r="O2035" s="64">
        <v>2.1139999999999999</v>
      </c>
    </row>
    <row r="2036" spans="1:15" x14ac:dyDescent="0.25">
      <c r="A2036" s="114" t="s">
        <v>591</v>
      </c>
      <c r="B2036" s="63" t="s">
        <v>51</v>
      </c>
      <c r="C2036" s="63" t="s">
        <v>56</v>
      </c>
      <c r="D2036" s="63">
        <v>20</v>
      </c>
      <c r="E2036" s="63">
        <v>60.01</v>
      </c>
      <c r="F2036" s="63">
        <v>0.01</v>
      </c>
      <c r="G2036" s="63" t="s">
        <v>13</v>
      </c>
      <c r="H2036" s="63" t="s">
        <v>12</v>
      </c>
      <c r="I2036" s="63">
        <v>0</v>
      </c>
      <c r="J2036" s="63">
        <v>0</v>
      </c>
      <c r="L2036" s="63">
        <v>3.9</v>
      </c>
      <c r="M2036" s="63">
        <v>2.1</v>
      </c>
      <c r="N2036" s="63">
        <v>0.76998</v>
      </c>
      <c r="O2036" s="64">
        <v>2.0407000000000002</v>
      </c>
    </row>
    <row r="2037" spans="1:15" x14ac:dyDescent="0.25">
      <c r="A2037" s="114" t="s">
        <v>2621</v>
      </c>
      <c r="B2037" s="63" t="s">
        <v>51</v>
      </c>
      <c r="C2037" s="63" t="s">
        <v>56</v>
      </c>
      <c r="D2037" s="63">
        <v>60</v>
      </c>
      <c r="E2037" s="63">
        <v>220.01</v>
      </c>
      <c r="F2037" s="63">
        <v>0.01</v>
      </c>
      <c r="G2037" s="63" t="s">
        <v>13</v>
      </c>
      <c r="H2037" s="63" t="s">
        <v>12</v>
      </c>
      <c r="I2037" s="63">
        <v>0</v>
      </c>
      <c r="J2037" s="63">
        <v>0</v>
      </c>
      <c r="L2037" s="63">
        <v>19</v>
      </c>
      <c r="M2037" s="63">
        <v>2.2000000000000002</v>
      </c>
      <c r="N2037" s="63">
        <v>19.725999999999999</v>
      </c>
      <c r="O2037" s="64">
        <v>2.0608</v>
      </c>
    </row>
    <row r="2038" spans="1:15" x14ac:dyDescent="0.25">
      <c r="A2038" s="114" t="s">
        <v>599</v>
      </c>
      <c r="B2038" s="63" t="s">
        <v>51</v>
      </c>
      <c r="C2038" s="63" t="s">
        <v>56</v>
      </c>
      <c r="D2038" s="63">
        <v>220</v>
      </c>
      <c r="E2038" s="63">
        <v>410</v>
      </c>
      <c r="F2038" s="63">
        <v>0.01</v>
      </c>
      <c r="G2038" s="63" t="s">
        <v>13</v>
      </c>
      <c r="H2038" s="63" t="s">
        <v>12</v>
      </c>
      <c r="I2038" s="63">
        <v>0</v>
      </c>
      <c r="J2038" s="63">
        <v>0</v>
      </c>
      <c r="L2038" s="63">
        <v>13</v>
      </c>
      <c r="M2038" s="63">
        <v>2.2999999999999998</v>
      </c>
      <c r="N2038" s="63">
        <v>9.0436999999999994</v>
      </c>
      <c r="O2038" s="64">
        <v>2.3088000000000002</v>
      </c>
    </row>
    <row r="2039" spans="1:15" x14ac:dyDescent="0.25">
      <c r="A2039" s="114" t="s">
        <v>2622</v>
      </c>
      <c r="B2039" s="63" t="s">
        <v>51</v>
      </c>
      <c r="C2039" s="63" t="s">
        <v>56</v>
      </c>
      <c r="D2039" s="63">
        <v>410</v>
      </c>
      <c r="E2039" s="63">
        <v>411</v>
      </c>
      <c r="F2039" s="63">
        <v>0.01</v>
      </c>
      <c r="G2039" s="63" t="s">
        <v>13</v>
      </c>
      <c r="H2039" s="63" t="s">
        <v>12</v>
      </c>
      <c r="I2039" s="63">
        <v>0</v>
      </c>
      <c r="J2039" s="63">
        <v>0</v>
      </c>
      <c r="L2039" s="63">
        <v>13</v>
      </c>
      <c r="M2039" s="63">
        <v>2.2999999999999998</v>
      </c>
      <c r="N2039" s="63">
        <v>9.0436999999999994</v>
      </c>
      <c r="O2039" s="64">
        <v>2.3088000000000002</v>
      </c>
    </row>
    <row r="2040" spans="1:15" x14ac:dyDescent="0.25">
      <c r="A2040" s="114" t="s">
        <v>592</v>
      </c>
      <c r="B2040" s="63" t="s">
        <v>51</v>
      </c>
      <c r="C2040" s="63" t="s">
        <v>56</v>
      </c>
      <c r="D2040" s="63">
        <v>20</v>
      </c>
      <c r="E2040" s="63">
        <v>60.01</v>
      </c>
      <c r="F2040" s="63">
        <v>0.1</v>
      </c>
      <c r="G2040" s="63" t="s">
        <v>13</v>
      </c>
      <c r="H2040" s="63" t="s">
        <v>12</v>
      </c>
      <c r="I2040" s="63">
        <v>0</v>
      </c>
      <c r="J2040" s="63">
        <v>0</v>
      </c>
      <c r="L2040" s="63">
        <v>38.447000000000003</v>
      </c>
      <c r="M2040" s="63">
        <v>1.6259999999999999</v>
      </c>
      <c r="N2040" s="63">
        <v>38.404000000000003</v>
      </c>
      <c r="O2040" s="64">
        <v>1.6256999999999999</v>
      </c>
    </row>
    <row r="2041" spans="1:15" x14ac:dyDescent="0.25">
      <c r="A2041" s="114" t="s">
        <v>596</v>
      </c>
      <c r="B2041" s="63" t="s">
        <v>51</v>
      </c>
      <c r="C2041" s="63" t="s">
        <v>56</v>
      </c>
      <c r="D2041" s="63">
        <v>60</v>
      </c>
      <c r="E2041" s="63">
        <v>220.01</v>
      </c>
      <c r="F2041" s="63">
        <v>0.1</v>
      </c>
      <c r="G2041" s="63" t="s">
        <v>13</v>
      </c>
      <c r="H2041" s="63" t="s">
        <v>12</v>
      </c>
      <c r="I2041" s="63">
        <v>0</v>
      </c>
      <c r="J2041" s="63">
        <v>0</v>
      </c>
      <c r="L2041" s="63">
        <v>535.04</v>
      </c>
      <c r="M2041" s="63">
        <v>0.95226</v>
      </c>
      <c r="N2041" s="63">
        <v>535.04</v>
      </c>
      <c r="O2041" s="64">
        <v>0.95071000000000006</v>
      </c>
    </row>
    <row r="2042" spans="1:15" x14ac:dyDescent="0.25">
      <c r="A2042" s="114" t="s">
        <v>600</v>
      </c>
      <c r="B2042" s="63" t="s">
        <v>51</v>
      </c>
      <c r="C2042" s="63" t="s">
        <v>56</v>
      </c>
      <c r="D2042" s="63">
        <v>220</v>
      </c>
      <c r="E2042" s="63">
        <v>410</v>
      </c>
      <c r="F2042" s="63">
        <v>0.1</v>
      </c>
      <c r="G2042" s="63" t="s">
        <v>13</v>
      </c>
      <c r="H2042" s="63" t="s">
        <v>12</v>
      </c>
      <c r="I2042" s="63">
        <v>0</v>
      </c>
      <c r="J2042" s="63">
        <v>0</v>
      </c>
      <c r="L2042" s="63">
        <v>13.978</v>
      </c>
      <c r="M2042" s="63">
        <v>2.3014000000000001</v>
      </c>
      <c r="N2042" s="63">
        <v>13.925000000000001</v>
      </c>
      <c r="O2042" s="64">
        <v>2.3010999999999999</v>
      </c>
    </row>
    <row r="2043" spans="1:15" x14ac:dyDescent="0.25">
      <c r="A2043" s="114" t="s">
        <v>2623</v>
      </c>
      <c r="B2043" s="63" t="s">
        <v>51</v>
      </c>
      <c r="C2043" s="63" t="s">
        <v>56</v>
      </c>
      <c r="D2043" s="63">
        <v>410</v>
      </c>
      <c r="E2043" s="63">
        <v>411</v>
      </c>
      <c r="F2043" s="63">
        <v>0.1</v>
      </c>
      <c r="G2043" s="63" t="s">
        <v>13</v>
      </c>
      <c r="H2043" s="63" t="s">
        <v>12</v>
      </c>
      <c r="I2043" s="63">
        <v>0</v>
      </c>
      <c r="J2043" s="63">
        <v>0</v>
      </c>
      <c r="L2043" s="63">
        <v>13.978</v>
      </c>
      <c r="M2043" s="63">
        <v>2.3014000000000001</v>
      </c>
      <c r="N2043" s="63">
        <v>13.925000000000001</v>
      </c>
      <c r="O2043" s="64">
        <v>2.3010999999999999</v>
      </c>
    </row>
    <row r="2044" spans="1:15" x14ac:dyDescent="0.25">
      <c r="A2044" s="114" t="s">
        <v>593</v>
      </c>
      <c r="B2044" s="63" t="s">
        <v>51</v>
      </c>
      <c r="C2044" s="63" t="s">
        <v>56</v>
      </c>
      <c r="D2044" s="63">
        <v>20</v>
      </c>
      <c r="E2044" s="63">
        <v>60.01</v>
      </c>
      <c r="F2044" s="63">
        <v>1</v>
      </c>
      <c r="G2044" s="63" t="s">
        <v>13</v>
      </c>
      <c r="H2044" s="63" t="s">
        <v>12</v>
      </c>
      <c r="I2044" s="63">
        <v>0</v>
      </c>
      <c r="J2044" s="63">
        <v>0</v>
      </c>
      <c r="L2044" s="63">
        <v>573.08000000000004</v>
      </c>
      <c r="M2044" s="63">
        <v>0.28848000000000001</v>
      </c>
      <c r="N2044" s="63">
        <v>573.07000000000005</v>
      </c>
      <c r="O2044" s="64">
        <v>0.28764000000000001</v>
      </c>
    </row>
    <row r="2045" spans="1:15" x14ac:dyDescent="0.25">
      <c r="A2045" s="114" t="s">
        <v>597</v>
      </c>
      <c r="B2045" s="63" t="s">
        <v>51</v>
      </c>
      <c r="C2045" s="63" t="s">
        <v>56</v>
      </c>
      <c r="D2045" s="63">
        <v>60</v>
      </c>
      <c r="E2045" s="63">
        <v>220.01</v>
      </c>
      <c r="F2045" s="63">
        <v>1</v>
      </c>
      <c r="G2045" s="63" t="s">
        <v>13</v>
      </c>
      <c r="H2045" s="63" t="s">
        <v>12</v>
      </c>
      <c r="I2045" s="63">
        <v>0</v>
      </c>
      <c r="J2045" s="63">
        <v>0</v>
      </c>
      <c r="L2045" s="63">
        <v>5768.4</v>
      </c>
      <c r="M2045" s="63">
        <v>0.11068</v>
      </c>
      <c r="N2045" s="63">
        <v>5768.5</v>
      </c>
      <c r="O2045" s="64">
        <v>0.10982</v>
      </c>
    </row>
    <row r="2046" spans="1:15" x14ac:dyDescent="0.25">
      <c r="A2046" s="114" t="s">
        <v>601</v>
      </c>
      <c r="B2046" s="63" t="s">
        <v>51</v>
      </c>
      <c r="C2046" s="63" t="s">
        <v>56</v>
      </c>
      <c r="D2046" s="63">
        <v>220</v>
      </c>
      <c r="E2046" s="63">
        <v>410</v>
      </c>
      <c r="F2046" s="63">
        <v>1</v>
      </c>
      <c r="G2046" s="63" t="s">
        <v>13</v>
      </c>
      <c r="H2046" s="63" t="s">
        <v>12</v>
      </c>
      <c r="I2046" s="63">
        <v>0</v>
      </c>
      <c r="J2046" s="63">
        <v>0</v>
      </c>
      <c r="L2046" s="63">
        <v>379.54</v>
      </c>
      <c r="M2046" s="63">
        <v>1.7988999999999999</v>
      </c>
      <c r="N2046" s="63">
        <v>379.5</v>
      </c>
      <c r="O2046" s="64">
        <v>1.7976000000000001</v>
      </c>
    </row>
    <row r="2047" spans="1:15" x14ac:dyDescent="0.25">
      <c r="A2047" s="114" t="s">
        <v>603</v>
      </c>
      <c r="B2047" s="63" t="s">
        <v>51</v>
      </c>
      <c r="C2047" s="63" t="s">
        <v>56</v>
      </c>
      <c r="D2047" s="63">
        <v>410</v>
      </c>
      <c r="E2047" s="63">
        <v>411</v>
      </c>
      <c r="F2047" s="63">
        <v>1</v>
      </c>
      <c r="G2047" s="63" t="s">
        <v>13</v>
      </c>
      <c r="H2047" s="63" t="s">
        <v>12</v>
      </c>
      <c r="I2047" s="63">
        <v>0</v>
      </c>
      <c r="J2047" s="63">
        <v>0</v>
      </c>
      <c r="L2047" s="63">
        <v>379.54</v>
      </c>
      <c r="M2047" s="63">
        <v>1.7988999999999999</v>
      </c>
      <c r="N2047" s="63">
        <v>379.5</v>
      </c>
      <c r="O2047" s="64">
        <v>1.7976000000000001</v>
      </c>
    </row>
    <row r="2048" spans="1:15" x14ac:dyDescent="0.25">
      <c r="A2048" s="114" t="s">
        <v>2624</v>
      </c>
      <c r="B2048" s="63" t="s">
        <v>51</v>
      </c>
      <c r="C2048" s="63" t="s">
        <v>56</v>
      </c>
      <c r="D2048" s="63">
        <v>20</v>
      </c>
      <c r="E2048" s="63">
        <v>60.01</v>
      </c>
      <c r="F2048" s="63">
        <v>10</v>
      </c>
      <c r="G2048" s="63" t="s">
        <v>13</v>
      </c>
      <c r="H2048" s="63" t="s">
        <v>12</v>
      </c>
      <c r="I2048" s="63">
        <v>0</v>
      </c>
      <c r="J2048" s="63">
        <v>0</v>
      </c>
      <c r="L2048" s="63">
        <v>5773.1</v>
      </c>
      <c r="M2048" s="63">
        <v>2.9468000000000001E-2</v>
      </c>
      <c r="N2048" s="63">
        <v>5773.1</v>
      </c>
      <c r="O2048" s="64">
        <v>2.912E-2</v>
      </c>
    </row>
    <row r="2049" spans="1:15" x14ac:dyDescent="0.25">
      <c r="A2049" s="114" t="s">
        <v>598</v>
      </c>
      <c r="B2049" s="63" t="s">
        <v>51</v>
      </c>
      <c r="C2049" s="63" t="s">
        <v>56</v>
      </c>
      <c r="D2049" s="63">
        <v>60</v>
      </c>
      <c r="E2049" s="63">
        <v>220.01</v>
      </c>
      <c r="F2049" s="63">
        <v>10</v>
      </c>
      <c r="G2049" s="63" t="s">
        <v>13</v>
      </c>
      <c r="H2049" s="63" t="s">
        <v>12</v>
      </c>
      <c r="I2049" s="63">
        <v>0</v>
      </c>
      <c r="J2049" s="63">
        <v>0</v>
      </c>
      <c r="L2049" s="63">
        <v>57735</v>
      </c>
      <c r="M2049" s="63">
        <v>1.1346999999999999E-2</v>
      </c>
      <c r="N2049" s="63">
        <v>57735</v>
      </c>
      <c r="O2049" s="64">
        <v>1.1002E-2</v>
      </c>
    </row>
    <row r="2050" spans="1:15" x14ac:dyDescent="0.25">
      <c r="A2050" s="114" t="s">
        <v>2625</v>
      </c>
      <c r="B2050" s="63" t="s">
        <v>51</v>
      </c>
      <c r="C2050" s="63" t="s">
        <v>56</v>
      </c>
      <c r="D2050" s="63">
        <v>220</v>
      </c>
      <c r="E2050" s="63">
        <v>410</v>
      </c>
      <c r="F2050" s="63">
        <v>10</v>
      </c>
      <c r="G2050" s="63" t="s">
        <v>13</v>
      </c>
      <c r="H2050" s="63" t="s">
        <v>12</v>
      </c>
      <c r="I2050" s="63">
        <v>0</v>
      </c>
      <c r="J2050" s="63">
        <v>0</v>
      </c>
      <c r="L2050" s="63">
        <v>5732.3</v>
      </c>
      <c r="M2050" s="63">
        <v>0.29332000000000003</v>
      </c>
      <c r="N2050" s="63">
        <v>5732.4</v>
      </c>
      <c r="O2050" s="64">
        <v>0.29187999999999997</v>
      </c>
    </row>
    <row r="2051" spans="1:15" x14ac:dyDescent="0.25">
      <c r="A2051" s="114" t="s">
        <v>604</v>
      </c>
      <c r="B2051" s="63" t="s">
        <v>51</v>
      </c>
      <c r="C2051" s="63" t="s">
        <v>56</v>
      </c>
      <c r="D2051" s="63">
        <v>410</v>
      </c>
      <c r="E2051" s="63">
        <v>411</v>
      </c>
      <c r="F2051" s="63">
        <v>10</v>
      </c>
      <c r="G2051" s="63" t="s">
        <v>13</v>
      </c>
      <c r="H2051" s="63" t="s">
        <v>12</v>
      </c>
      <c r="I2051" s="63">
        <v>0</v>
      </c>
      <c r="J2051" s="63">
        <v>0</v>
      </c>
      <c r="L2051" s="63">
        <v>5732.3</v>
      </c>
      <c r="M2051" s="63">
        <v>0.29332000000000003</v>
      </c>
      <c r="N2051" s="63">
        <v>5732.4</v>
      </c>
      <c r="O2051" s="64">
        <v>0.29187999999999997</v>
      </c>
    </row>
    <row r="2052" spans="1:15" x14ac:dyDescent="0.25">
      <c r="A2052" s="114" t="s">
        <v>594</v>
      </c>
      <c r="B2052" s="63" t="s">
        <v>51</v>
      </c>
      <c r="C2052" s="63" t="s">
        <v>56</v>
      </c>
      <c r="D2052" s="63">
        <v>20</v>
      </c>
      <c r="E2052" s="63">
        <v>60.01</v>
      </c>
      <c r="F2052" s="63">
        <v>100</v>
      </c>
      <c r="G2052" s="63" t="s">
        <v>13</v>
      </c>
      <c r="H2052" s="63" t="s">
        <v>12</v>
      </c>
      <c r="I2052" s="63">
        <v>0</v>
      </c>
      <c r="J2052" s="63">
        <v>0</v>
      </c>
      <c r="L2052" s="63">
        <v>57735</v>
      </c>
      <c r="M2052" s="63">
        <v>3.0514000000000001E-3</v>
      </c>
      <c r="N2052" s="63">
        <v>57735</v>
      </c>
      <c r="O2052" s="64">
        <v>2.9123999999999999E-3</v>
      </c>
    </row>
    <row r="2053" spans="1:15" x14ac:dyDescent="0.25">
      <c r="A2053" s="114" t="s">
        <v>2626</v>
      </c>
      <c r="B2053" s="63" t="s">
        <v>51</v>
      </c>
      <c r="C2053" s="63" t="s">
        <v>56</v>
      </c>
      <c r="D2053" s="63">
        <v>60</v>
      </c>
      <c r="E2053" s="63">
        <v>220.01</v>
      </c>
      <c r="F2053" s="63">
        <v>100</v>
      </c>
      <c r="G2053" s="63" t="s">
        <v>13</v>
      </c>
      <c r="H2053" s="63" t="s">
        <v>12</v>
      </c>
      <c r="I2053" s="63">
        <v>0</v>
      </c>
      <c r="J2053" s="63">
        <v>0</v>
      </c>
      <c r="L2053" s="63">
        <v>577360</v>
      </c>
      <c r="M2053" s="63">
        <v>1.2382000000000001E-3</v>
      </c>
      <c r="N2053" s="63">
        <v>577350</v>
      </c>
      <c r="O2053" s="64">
        <v>1.1002E-3</v>
      </c>
    </row>
    <row r="2054" spans="1:15" x14ac:dyDescent="0.25">
      <c r="A2054" s="114" t="s">
        <v>602</v>
      </c>
      <c r="B2054" s="63" t="s">
        <v>51</v>
      </c>
      <c r="C2054" s="63" t="s">
        <v>56</v>
      </c>
      <c r="D2054" s="63">
        <v>220</v>
      </c>
      <c r="E2054" s="63">
        <v>410</v>
      </c>
      <c r="F2054" s="63">
        <v>100</v>
      </c>
      <c r="G2054" s="63" t="s">
        <v>13</v>
      </c>
      <c r="H2054" s="63" t="s">
        <v>12</v>
      </c>
      <c r="I2054" s="63">
        <v>0</v>
      </c>
      <c r="J2054" s="63">
        <v>0</v>
      </c>
      <c r="L2054" s="63">
        <v>57731</v>
      </c>
      <c r="M2054" s="63">
        <v>3.0030000000000001E-2</v>
      </c>
      <c r="N2054" s="63">
        <v>57731</v>
      </c>
      <c r="O2054" s="64">
        <v>2.9441999999999999E-2</v>
      </c>
    </row>
    <row r="2055" spans="1:15" x14ac:dyDescent="0.25">
      <c r="A2055" s="114" t="s">
        <v>605</v>
      </c>
      <c r="B2055" s="63" t="s">
        <v>51</v>
      </c>
      <c r="C2055" s="63" t="s">
        <v>56</v>
      </c>
      <c r="D2055" s="63">
        <v>410</v>
      </c>
      <c r="E2055" s="63">
        <v>411</v>
      </c>
      <c r="F2055" s="63">
        <v>100</v>
      </c>
      <c r="G2055" s="63" t="s">
        <v>13</v>
      </c>
      <c r="H2055" s="63" t="s">
        <v>12</v>
      </c>
      <c r="I2055" s="63">
        <v>0</v>
      </c>
      <c r="J2055" s="63">
        <v>0</v>
      </c>
      <c r="L2055" s="63">
        <v>57731</v>
      </c>
      <c r="M2055" s="63">
        <v>3.0030000000000001E-2</v>
      </c>
      <c r="N2055" s="63">
        <v>57731</v>
      </c>
      <c r="O2055" s="64">
        <v>2.9441999999999999E-2</v>
      </c>
    </row>
    <row r="2056" spans="1:15" x14ac:dyDescent="0.25">
      <c r="A2056" s="114" t="s">
        <v>573</v>
      </c>
      <c r="B2056" s="63" t="s">
        <v>51</v>
      </c>
      <c r="C2056" s="63" t="s">
        <v>57</v>
      </c>
      <c r="D2056" s="63">
        <v>55</v>
      </c>
      <c r="E2056" s="63">
        <v>150.01</v>
      </c>
      <c r="F2056" s="63">
        <v>1E-3</v>
      </c>
      <c r="G2056" s="63" t="s">
        <v>13</v>
      </c>
      <c r="H2056" s="63" t="s">
        <v>12</v>
      </c>
      <c r="I2056" s="63">
        <v>0</v>
      </c>
      <c r="J2056" s="63">
        <v>0</v>
      </c>
      <c r="L2056" s="63">
        <v>7.7</v>
      </c>
      <c r="M2056" s="63">
        <v>2</v>
      </c>
      <c r="N2056" s="63">
        <v>0.58265</v>
      </c>
      <c r="O2056" s="64">
        <v>2.0474000000000001</v>
      </c>
    </row>
    <row r="2057" spans="1:15" x14ac:dyDescent="0.25">
      <c r="A2057" s="114" t="s">
        <v>574</v>
      </c>
      <c r="B2057" s="63" t="s">
        <v>51</v>
      </c>
      <c r="C2057" s="63" t="s">
        <v>57</v>
      </c>
      <c r="D2057" s="63">
        <v>55</v>
      </c>
      <c r="E2057" s="63">
        <v>150.01</v>
      </c>
      <c r="F2057" s="63">
        <v>0.01</v>
      </c>
      <c r="G2057" s="63" t="s">
        <v>13</v>
      </c>
      <c r="H2057" s="63" t="s">
        <v>12</v>
      </c>
      <c r="I2057" s="63">
        <v>0</v>
      </c>
      <c r="J2057" s="63">
        <v>0</v>
      </c>
      <c r="L2057" s="63">
        <v>7.7</v>
      </c>
      <c r="M2057" s="63">
        <v>2.0005999999999999</v>
      </c>
      <c r="N2057" s="63">
        <v>0.78383999999999998</v>
      </c>
      <c r="O2057" s="64">
        <v>2.0464000000000002</v>
      </c>
    </row>
    <row r="2058" spans="1:15" x14ac:dyDescent="0.25">
      <c r="A2058" s="114" t="s">
        <v>577</v>
      </c>
      <c r="B2058" s="63" t="s">
        <v>51</v>
      </c>
      <c r="C2058" s="63" t="s">
        <v>57</v>
      </c>
      <c r="D2058" s="63">
        <v>150</v>
      </c>
      <c r="E2058" s="63">
        <v>550.01</v>
      </c>
      <c r="F2058" s="63">
        <v>0.01</v>
      </c>
      <c r="G2058" s="63" t="s">
        <v>13</v>
      </c>
      <c r="H2058" s="63" t="s">
        <v>12</v>
      </c>
      <c r="I2058" s="63">
        <v>0</v>
      </c>
      <c r="J2058" s="63">
        <v>0</v>
      </c>
      <c r="L2058" s="63">
        <v>19</v>
      </c>
      <c r="M2058" s="63">
        <v>2.2000000000000002</v>
      </c>
      <c r="N2058" s="63">
        <v>-17.053000000000001</v>
      </c>
      <c r="O2058" s="64">
        <v>2.1654</v>
      </c>
    </row>
    <row r="2059" spans="1:15" x14ac:dyDescent="0.25">
      <c r="A2059" s="114" t="s">
        <v>581</v>
      </c>
      <c r="B2059" s="63" t="s">
        <v>51</v>
      </c>
      <c r="C2059" s="63" t="s">
        <v>57</v>
      </c>
      <c r="D2059" s="63">
        <v>550</v>
      </c>
      <c r="E2059" s="63">
        <v>1025</v>
      </c>
      <c r="F2059" s="63">
        <v>0.01</v>
      </c>
      <c r="G2059" s="63" t="s">
        <v>13</v>
      </c>
      <c r="H2059" s="63" t="s">
        <v>12</v>
      </c>
      <c r="I2059" s="63">
        <v>0</v>
      </c>
      <c r="J2059" s="63">
        <v>0</v>
      </c>
      <c r="L2059" s="63">
        <v>32</v>
      </c>
      <c r="M2059" s="63">
        <v>2.2999999999999998</v>
      </c>
      <c r="N2059" s="63">
        <v>22.486999999999998</v>
      </c>
      <c r="O2059" s="64">
        <v>2.3089</v>
      </c>
    </row>
    <row r="2060" spans="1:15" x14ac:dyDescent="0.25">
      <c r="A2060" s="114" t="s">
        <v>586</v>
      </c>
      <c r="B2060" s="63" t="s">
        <v>51</v>
      </c>
      <c r="C2060" s="63" t="s">
        <v>57</v>
      </c>
      <c r="D2060" s="63">
        <v>1025</v>
      </c>
      <c r="E2060" s="63">
        <v>1026</v>
      </c>
      <c r="F2060" s="63">
        <v>0.01</v>
      </c>
      <c r="G2060" s="63" t="s">
        <v>13</v>
      </c>
      <c r="H2060" s="63" t="s">
        <v>12</v>
      </c>
      <c r="I2060" s="63">
        <v>0</v>
      </c>
      <c r="J2060" s="63">
        <v>0</v>
      </c>
      <c r="L2060" s="63">
        <v>32</v>
      </c>
      <c r="M2060" s="63">
        <v>2.2999999999999998</v>
      </c>
      <c r="N2060" s="63">
        <v>22.486999999999998</v>
      </c>
      <c r="O2060" s="64">
        <v>2.3089</v>
      </c>
    </row>
    <row r="2061" spans="1:15" x14ac:dyDescent="0.25">
      <c r="A2061" s="114" t="s">
        <v>575</v>
      </c>
      <c r="B2061" s="63" t="s">
        <v>51</v>
      </c>
      <c r="C2061" s="63" t="s">
        <v>57</v>
      </c>
      <c r="D2061" s="63">
        <v>55</v>
      </c>
      <c r="E2061" s="63">
        <v>150.01</v>
      </c>
      <c r="F2061" s="63">
        <v>0.1</v>
      </c>
      <c r="G2061" s="63" t="s">
        <v>13</v>
      </c>
      <c r="H2061" s="63" t="s">
        <v>12</v>
      </c>
      <c r="I2061" s="63">
        <v>0</v>
      </c>
      <c r="J2061" s="63">
        <v>0</v>
      </c>
      <c r="L2061" s="63">
        <v>19.451000000000001</v>
      </c>
      <c r="M2061" s="63">
        <v>1.9578</v>
      </c>
      <c r="N2061" s="63">
        <v>19.379000000000001</v>
      </c>
      <c r="O2061" s="64">
        <v>1.9579</v>
      </c>
    </row>
    <row r="2062" spans="1:15" x14ac:dyDescent="0.25">
      <c r="A2062" s="114" t="s">
        <v>578</v>
      </c>
      <c r="B2062" s="63" t="s">
        <v>51</v>
      </c>
      <c r="C2062" s="63" t="s">
        <v>57</v>
      </c>
      <c r="D2062" s="63">
        <v>150</v>
      </c>
      <c r="E2062" s="63">
        <v>550.01</v>
      </c>
      <c r="F2062" s="63">
        <v>0.1</v>
      </c>
      <c r="G2062" s="63" t="s">
        <v>13</v>
      </c>
      <c r="H2062" s="63" t="s">
        <v>12</v>
      </c>
      <c r="I2062" s="63">
        <v>0</v>
      </c>
      <c r="J2062" s="63">
        <v>0</v>
      </c>
      <c r="L2062" s="63">
        <v>19</v>
      </c>
      <c r="M2062" s="63">
        <v>2.2000000000000002</v>
      </c>
      <c r="N2062" s="63">
        <v>-10.260999999999999</v>
      </c>
      <c r="O2062" s="64">
        <v>2.1556000000000002</v>
      </c>
    </row>
    <row r="2063" spans="1:15" x14ac:dyDescent="0.25">
      <c r="A2063" s="114" t="s">
        <v>582</v>
      </c>
      <c r="B2063" s="63" t="s">
        <v>51</v>
      </c>
      <c r="C2063" s="63" t="s">
        <v>57</v>
      </c>
      <c r="D2063" s="63">
        <v>550</v>
      </c>
      <c r="E2063" s="63">
        <v>1025</v>
      </c>
      <c r="F2063" s="63">
        <v>0.1</v>
      </c>
      <c r="G2063" s="63" t="s">
        <v>13</v>
      </c>
      <c r="H2063" s="63" t="s">
        <v>12</v>
      </c>
      <c r="I2063" s="63">
        <v>0</v>
      </c>
      <c r="J2063" s="63">
        <v>0</v>
      </c>
      <c r="L2063" s="63">
        <v>32</v>
      </c>
      <c r="M2063" s="63">
        <v>2.3014000000000001</v>
      </c>
      <c r="N2063" s="63">
        <v>24.491</v>
      </c>
      <c r="O2063" s="64">
        <v>2.3075999999999999</v>
      </c>
    </row>
    <row r="2064" spans="1:15" x14ac:dyDescent="0.25">
      <c r="A2064" s="114" t="s">
        <v>587</v>
      </c>
      <c r="B2064" s="63" t="s">
        <v>51</v>
      </c>
      <c r="C2064" s="63" t="s">
        <v>57</v>
      </c>
      <c r="D2064" s="63">
        <v>1025</v>
      </c>
      <c r="E2064" s="63">
        <v>1026</v>
      </c>
      <c r="F2064" s="63">
        <v>0.1</v>
      </c>
      <c r="G2064" s="63" t="s">
        <v>13</v>
      </c>
      <c r="H2064" s="63" t="s">
        <v>12</v>
      </c>
      <c r="I2064" s="63">
        <v>0</v>
      </c>
      <c r="J2064" s="63">
        <v>0</v>
      </c>
      <c r="L2064" s="63">
        <v>32</v>
      </c>
      <c r="M2064" s="63">
        <v>2.3014000000000001</v>
      </c>
      <c r="N2064" s="63">
        <v>24.491</v>
      </c>
      <c r="O2064" s="64">
        <v>2.3075999999999999</v>
      </c>
    </row>
    <row r="2065" spans="1:15" x14ac:dyDescent="0.25">
      <c r="A2065" s="114" t="s">
        <v>2627</v>
      </c>
      <c r="B2065" s="63" t="s">
        <v>51</v>
      </c>
      <c r="C2065" s="63" t="s">
        <v>57</v>
      </c>
      <c r="D2065" s="63">
        <v>55</v>
      </c>
      <c r="E2065" s="63">
        <v>150.01</v>
      </c>
      <c r="F2065" s="63">
        <v>1</v>
      </c>
      <c r="G2065" s="63" t="s">
        <v>13</v>
      </c>
      <c r="H2065" s="63" t="s">
        <v>12</v>
      </c>
      <c r="I2065" s="63">
        <v>0</v>
      </c>
      <c r="J2065" s="63">
        <v>0</v>
      </c>
      <c r="L2065" s="63">
        <v>550.23</v>
      </c>
      <c r="M2065" s="63">
        <v>0.69408000000000003</v>
      </c>
      <c r="N2065" s="63">
        <v>550.20000000000005</v>
      </c>
      <c r="O2065" s="64">
        <v>0.69349000000000005</v>
      </c>
    </row>
    <row r="2066" spans="1:15" x14ac:dyDescent="0.25">
      <c r="A2066" s="114" t="s">
        <v>579</v>
      </c>
      <c r="B2066" s="63" t="s">
        <v>51</v>
      </c>
      <c r="C2066" s="63" t="s">
        <v>57</v>
      </c>
      <c r="D2066" s="63">
        <v>150</v>
      </c>
      <c r="E2066" s="63">
        <v>550.01</v>
      </c>
      <c r="F2066" s="63">
        <v>1</v>
      </c>
      <c r="G2066" s="63" t="s">
        <v>13</v>
      </c>
      <c r="H2066" s="63" t="s">
        <v>12</v>
      </c>
      <c r="I2066" s="63">
        <v>0</v>
      </c>
      <c r="J2066" s="63">
        <v>0</v>
      </c>
      <c r="L2066" s="63">
        <v>409.49</v>
      </c>
      <c r="M2066" s="63">
        <v>1.6356999999999999</v>
      </c>
      <c r="N2066" s="63">
        <v>409.01</v>
      </c>
      <c r="O2066" s="64">
        <v>1.6349</v>
      </c>
    </row>
    <row r="2067" spans="1:15" x14ac:dyDescent="0.25">
      <c r="A2067" s="114" t="s">
        <v>583</v>
      </c>
      <c r="B2067" s="63" t="s">
        <v>51</v>
      </c>
      <c r="C2067" s="63" t="s">
        <v>57</v>
      </c>
      <c r="D2067" s="63">
        <v>550</v>
      </c>
      <c r="E2067" s="63">
        <v>1025</v>
      </c>
      <c r="F2067" s="63">
        <v>1</v>
      </c>
      <c r="G2067" s="63" t="s">
        <v>13</v>
      </c>
      <c r="H2067" s="63" t="s">
        <v>12</v>
      </c>
      <c r="I2067" s="63">
        <v>0</v>
      </c>
      <c r="J2067" s="63">
        <v>0</v>
      </c>
      <c r="L2067" s="63">
        <v>209.6</v>
      </c>
      <c r="M2067" s="63">
        <v>2.1949000000000001</v>
      </c>
      <c r="N2067" s="63">
        <v>208.5</v>
      </c>
      <c r="O2067" s="64">
        <v>2.1945000000000001</v>
      </c>
    </row>
    <row r="2068" spans="1:15" x14ac:dyDescent="0.25">
      <c r="A2068" s="114" t="s">
        <v>588</v>
      </c>
      <c r="B2068" s="63" t="s">
        <v>51</v>
      </c>
      <c r="C2068" s="63" t="s">
        <v>57</v>
      </c>
      <c r="D2068" s="63">
        <v>1025</v>
      </c>
      <c r="E2068" s="63">
        <v>1026</v>
      </c>
      <c r="F2068" s="63">
        <v>1</v>
      </c>
      <c r="G2068" s="63" t="s">
        <v>13</v>
      </c>
      <c r="H2068" s="63" t="s">
        <v>12</v>
      </c>
      <c r="I2068" s="63">
        <v>0</v>
      </c>
      <c r="J2068" s="63">
        <v>0</v>
      </c>
      <c r="L2068" s="63">
        <v>209.6</v>
      </c>
      <c r="M2068" s="63">
        <v>2.1949000000000001</v>
      </c>
      <c r="N2068" s="63">
        <v>208.5</v>
      </c>
      <c r="O2068" s="64">
        <v>2.1945000000000001</v>
      </c>
    </row>
    <row r="2069" spans="1:15" x14ac:dyDescent="0.25">
      <c r="A2069" s="114" t="s">
        <v>2628</v>
      </c>
      <c r="B2069" s="63" t="s">
        <v>51</v>
      </c>
      <c r="C2069" s="63" t="s">
        <v>57</v>
      </c>
      <c r="D2069" s="63">
        <v>55</v>
      </c>
      <c r="E2069" s="63">
        <v>150.01</v>
      </c>
      <c r="F2069" s="63">
        <v>10</v>
      </c>
      <c r="G2069" s="63" t="s">
        <v>13</v>
      </c>
      <c r="H2069" s="63" t="s">
        <v>12</v>
      </c>
      <c r="I2069" s="63">
        <v>0</v>
      </c>
      <c r="J2069" s="63">
        <v>0</v>
      </c>
      <c r="L2069" s="63">
        <v>5770.6</v>
      </c>
      <c r="M2069" s="63">
        <v>7.4861999999999998E-2</v>
      </c>
      <c r="N2069" s="63">
        <v>5770.6</v>
      </c>
      <c r="O2069" s="64">
        <v>7.4565000000000006E-2</v>
      </c>
    </row>
    <row r="2070" spans="1:15" x14ac:dyDescent="0.25">
      <c r="A2070" s="114" t="s">
        <v>2629</v>
      </c>
      <c r="B2070" s="63" t="s">
        <v>51</v>
      </c>
      <c r="C2070" s="63" t="s">
        <v>57</v>
      </c>
      <c r="D2070" s="63">
        <v>150</v>
      </c>
      <c r="E2070" s="63">
        <v>550.01</v>
      </c>
      <c r="F2070" s="63">
        <v>10</v>
      </c>
      <c r="G2070" s="63" t="s">
        <v>13</v>
      </c>
      <c r="H2070" s="63" t="s">
        <v>12</v>
      </c>
      <c r="I2070" s="63">
        <v>0</v>
      </c>
      <c r="J2070" s="63">
        <v>0</v>
      </c>
      <c r="L2070" s="63">
        <v>5740.6</v>
      </c>
      <c r="M2070" s="63">
        <v>0.27617999999999998</v>
      </c>
      <c r="N2070" s="63">
        <v>5740.5</v>
      </c>
      <c r="O2070" s="64">
        <v>0.27484999999999998</v>
      </c>
    </row>
    <row r="2071" spans="1:15" x14ac:dyDescent="0.25">
      <c r="A2071" s="114" t="s">
        <v>584</v>
      </c>
      <c r="B2071" s="63" t="s">
        <v>51</v>
      </c>
      <c r="C2071" s="63" t="s">
        <v>57</v>
      </c>
      <c r="D2071" s="63">
        <v>550</v>
      </c>
      <c r="E2071" s="63">
        <v>1025</v>
      </c>
      <c r="F2071" s="63">
        <v>10</v>
      </c>
      <c r="G2071" s="63" t="s">
        <v>13</v>
      </c>
      <c r="H2071" s="63" t="s">
        <v>12</v>
      </c>
      <c r="I2071" s="63">
        <v>0</v>
      </c>
      <c r="J2071" s="63">
        <v>0</v>
      </c>
      <c r="L2071" s="63">
        <v>5532.1</v>
      </c>
      <c r="M2071" s="63">
        <v>0.70111000000000001</v>
      </c>
      <c r="N2071" s="63">
        <v>5532.1</v>
      </c>
      <c r="O2071" s="64">
        <v>0.69874999999999998</v>
      </c>
    </row>
    <row r="2072" spans="1:15" x14ac:dyDescent="0.25">
      <c r="A2072" s="114" t="s">
        <v>589</v>
      </c>
      <c r="B2072" s="63" t="s">
        <v>51</v>
      </c>
      <c r="C2072" s="63" t="s">
        <v>57</v>
      </c>
      <c r="D2072" s="63">
        <v>1025</v>
      </c>
      <c r="E2072" s="63">
        <v>1026</v>
      </c>
      <c r="F2072" s="63">
        <v>10</v>
      </c>
      <c r="G2072" s="63" t="s">
        <v>13</v>
      </c>
      <c r="H2072" s="63" t="s">
        <v>12</v>
      </c>
      <c r="I2072" s="63">
        <v>0</v>
      </c>
      <c r="J2072" s="63">
        <v>0</v>
      </c>
      <c r="L2072" s="63">
        <v>5532.1</v>
      </c>
      <c r="M2072" s="63">
        <v>0.70111000000000001</v>
      </c>
      <c r="N2072" s="63">
        <v>5532.1</v>
      </c>
      <c r="O2072" s="64">
        <v>0.69874999999999998</v>
      </c>
    </row>
    <row r="2073" spans="1:15" x14ac:dyDescent="0.25">
      <c r="A2073" s="114" t="s">
        <v>576</v>
      </c>
      <c r="B2073" s="63" t="s">
        <v>51</v>
      </c>
      <c r="C2073" s="63" t="s">
        <v>57</v>
      </c>
      <c r="D2073" s="63">
        <v>55</v>
      </c>
      <c r="E2073" s="63">
        <v>150.01</v>
      </c>
      <c r="F2073" s="63">
        <v>100</v>
      </c>
      <c r="G2073" s="63" t="s">
        <v>13</v>
      </c>
      <c r="H2073" s="63" t="s">
        <v>12</v>
      </c>
      <c r="I2073" s="63">
        <v>0</v>
      </c>
      <c r="J2073" s="63">
        <v>0</v>
      </c>
      <c r="L2073" s="63">
        <v>57735</v>
      </c>
      <c r="M2073" s="63">
        <v>7.5814999999999997E-3</v>
      </c>
      <c r="N2073" s="63">
        <v>57732</v>
      </c>
      <c r="O2073" s="64">
        <v>7.4625000000000004E-3</v>
      </c>
    </row>
    <row r="2074" spans="1:15" x14ac:dyDescent="0.25">
      <c r="A2074" s="114" t="s">
        <v>580</v>
      </c>
      <c r="B2074" s="63" t="s">
        <v>51</v>
      </c>
      <c r="C2074" s="63" t="s">
        <v>57</v>
      </c>
      <c r="D2074" s="63">
        <v>150</v>
      </c>
      <c r="E2074" s="63">
        <v>550.01</v>
      </c>
      <c r="F2074" s="63">
        <v>100</v>
      </c>
      <c r="G2074" s="63" t="s">
        <v>13</v>
      </c>
      <c r="H2074" s="63" t="s">
        <v>12</v>
      </c>
      <c r="I2074" s="63">
        <v>0</v>
      </c>
      <c r="J2074" s="63">
        <v>0</v>
      </c>
      <c r="L2074" s="63">
        <v>57732</v>
      </c>
      <c r="M2074" s="63">
        <v>2.8329E-2</v>
      </c>
      <c r="N2074" s="63">
        <v>57732</v>
      </c>
      <c r="O2074" s="64">
        <v>2.7782999999999999E-2</v>
      </c>
    </row>
    <row r="2075" spans="1:15" x14ac:dyDescent="0.25">
      <c r="A2075" s="114" t="s">
        <v>585</v>
      </c>
      <c r="B2075" s="63" t="s">
        <v>51</v>
      </c>
      <c r="C2075" s="63" t="s">
        <v>57</v>
      </c>
      <c r="D2075" s="63">
        <v>550</v>
      </c>
      <c r="E2075" s="63">
        <v>1025</v>
      </c>
      <c r="F2075" s="63">
        <v>100</v>
      </c>
      <c r="G2075" s="63" t="s">
        <v>13</v>
      </c>
      <c r="H2075" s="63" t="s">
        <v>12</v>
      </c>
      <c r="I2075" s="63">
        <v>0</v>
      </c>
      <c r="J2075" s="63">
        <v>0</v>
      </c>
      <c r="L2075" s="63">
        <v>57709</v>
      </c>
      <c r="M2075" s="63">
        <v>7.4653999999999998E-2</v>
      </c>
      <c r="N2075" s="63">
        <v>57710</v>
      </c>
      <c r="O2075" s="64">
        <v>7.3570999999999998E-2</v>
      </c>
    </row>
    <row r="2076" spans="1:15" x14ac:dyDescent="0.25">
      <c r="A2076" s="114" t="s">
        <v>2630</v>
      </c>
      <c r="B2076" s="63" t="s">
        <v>51</v>
      </c>
      <c r="C2076" s="63" t="s">
        <v>57</v>
      </c>
      <c r="D2076" s="63">
        <v>1025</v>
      </c>
      <c r="E2076" s="63">
        <v>1026</v>
      </c>
      <c r="F2076" s="63">
        <v>100</v>
      </c>
      <c r="G2076" s="63" t="s">
        <v>13</v>
      </c>
      <c r="H2076" s="63" t="s">
        <v>12</v>
      </c>
      <c r="I2076" s="63">
        <v>0</v>
      </c>
      <c r="J2076" s="63">
        <v>0</v>
      </c>
      <c r="L2076" s="63">
        <v>57709</v>
      </c>
      <c r="M2076" s="63">
        <v>7.4653999999999998E-2</v>
      </c>
      <c r="N2076" s="63">
        <v>57710</v>
      </c>
      <c r="O2076" s="64">
        <v>7.3570999999999998E-2</v>
      </c>
    </row>
    <row r="2077" spans="1:15" x14ac:dyDescent="0.25">
      <c r="A2077" s="114" t="s">
        <v>544</v>
      </c>
      <c r="B2077" s="63" t="s">
        <v>51</v>
      </c>
      <c r="C2077" s="63" t="s">
        <v>3</v>
      </c>
      <c r="D2077" s="63">
        <v>0</v>
      </c>
      <c r="E2077" s="63">
        <v>0.33000099999999999</v>
      </c>
      <c r="F2077" s="63">
        <v>9.9999999999999995E-8</v>
      </c>
      <c r="G2077" s="63" t="s">
        <v>6</v>
      </c>
      <c r="H2077" s="63" t="s">
        <v>5</v>
      </c>
      <c r="I2077" s="63">
        <v>0</v>
      </c>
      <c r="J2077" s="63">
        <v>0</v>
      </c>
      <c r="L2077" s="63">
        <v>3.6</v>
      </c>
      <c r="M2077" s="63">
        <v>69</v>
      </c>
      <c r="N2077" s="63">
        <v>3.4727000000000001</v>
      </c>
      <c r="O2077" s="64">
        <v>69.313999999999993</v>
      </c>
    </row>
    <row r="2078" spans="1:15" x14ac:dyDescent="0.25">
      <c r="A2078" s="114" t="s">
        <v>2631</v>
      </c>
      <c r="B2078" s="63" t="s">
        <v>51</v>
      </c>
      <c r="C2078" s="63" t="s">
        <v>3</v>
      </c>
      <c r="D2078" s="63">
        <v>0</v>
      </c>
      <c r="E2078" s="63">
        <v>0.33000099999999999</v>
      </c>
      <c r="F2078" s="63">
        <v>9.9999999999999995E-7</v>
      </c>
      <c r="G2078" s="63" t="s">
        <v>6</v>
      </c>
      <c r="H2078" s="63" t="s">
        <v>5</v>
      </c>
      <c r="I2078" s="63">
        <v>0</v>
      </c>
      <c r="J2078" s="63">
        <v>0</v>
      </c>
      <c r="L2078" s="63">
        <v>3.6</v>
      </c>
      <c r="M2078" s="63">
        <v>69.150999999999996</v>
      </c>
      <c r="N2078" s="63">
        <v>3.5196000000000001</v>
      </c>
      <c r="O2078" s="64">
        <v>69.191000000000003</v>
      </c>
    </row>
    <row r="2079" spans="1:15" x14ac:dyDescent="0.25">
      <c r="A2079" s="114" t="s">
        <v>551</v>
      </c>
      <c r="B2079" s="63" t="s">
        <v>51</v>
      </c>
      <c r="C2079" s="63" t="s">
        <v>3</v>
      </c>
      <c r="D2079" s="63">
        <v>0.33</v>
      </c>
      <c r="E2079" s="63">
        <v>3.3000099999999999</v>
      </c>
      <c r="F2079" s="63">
        <v>9.9999999999999995E-7</v>
      </c>
      <c r="G2079" s="63" t="s">
        <v>6</v>
      </c>
      <c r="H2079" s="63" t="s">
        <v>5</v>
      </c>
      <c r="I2079" s="63">
        <v>0</v>
      </c>
      <c r="J2079" s="63">
        <v>0</v>
      </c>
      <c r="L2079" s="63">
        <v>5.9</v>
      </c>
      <c r="M2079" s="63">
        <v>58</v>
      </c>
      <c r="N2079" s="63">
        <v>5.7708000000000004</v>
      </c>
      <c r="O2079" s="64">
        <v>57.786999999999999</v>
      </c>
    </row>
    <row r="2080" spans="1:15" x14ac:dyDescent="0.25">
      <c r="A2080" s="114" t="s">
        <v>545</v>
      </c>
      <c r="B2080" s="63" t="s">
        <v>51</v>
      </c>
      <c r="C2080" s="63" t="s">
        <v>3</v>
      </c>
      <c r="D2080" s="63">
        <v>0</v>
      </c>
      <c r="E2080" s="63">
        <v>0.33000099999999999</v>
      </c>
      <c r="F2080" s="63">
        <v>1.0000000000000001E-5</v>
      </c>
      <c r="G2080" s="63" t="s">
        <v>6</v>
      </c>
      <c r="H2080" s="63" t="s">
        <v>5</v>
      </c>
      <c r="I2080" s="63">
        <v>0</v>
      </c>
      <c r="J2080" s="63">
        <v>0</v>
      </c>
      <c r="L2080" s="63">
        <v>6.7737999999999996</v>
      </c>
      <c r="M2080" s="63">
        <v>61.286999999999999</v>
      </c>
      <c r="N2080" s="63">
        <v>6.7343999999999999</v>
      </c>
      <c r="O2080" s="64">
        <v>61.341999999999999</v>
      </c>
    </row>
    <row r="2081" spans="1:15" x14ac:dyDescent="0.25">
      <c r="A2081" s="114" t="s">
        <v>552</v>
      </c>
      <c r="B2081" s="63" t="s">
        <v>51</v>
      </c>
      <c r="C2081" s="63" t="s">
        <v>3</v>
      </c>
      <c r="D2081" s="63">
        <v>0.33</v>
      </c>
      <c r="E2081" s="63">
        <v>3.3000099999999999</v>
      </c>
      <c r="F2081" s="63">
        <v>1.0000000000000001E-5</v>
      </c>
      <c r="G2081" s="63" t="s">
        <v>6</v>
      </c>
      <c r="H2081" s="63" t="s">
        <v>5</v>
      </c>
      <c r="I2081" s="63">
        <v>0</v>
      </c>
      <c r="J2081" s="63">
        <v>0</v>
      </c>
      <c r="L2081" s="63">
        <v>6.8066000000000004</v>
      </c>
      <c r="M2081" s="63">
        <v>57.529000000000003</v>
      </c>
      <c r="N2081" s="63">
        <v>6.4957000000000003</v>
      </c>
      <c r="O2081" s="64">
        <v>57.593000000000004</v>
      </c>
    </row>
    <row r="2082" spans="1:15" x14ac:dyDescent="0.25">
      <c r="A2082" s="114" t="s">
        <v>557</v>
      </c>
      <c r="B2082" s="63" t="s">
        <v>51</v>
      </c>
      <c r="C2082" s="63" t="s">
        <v>3</v>
      </c>
      <c r="D2082" s="63">
        <v>3</v>
      </c>
      <c r="E2082" s="63">
        <v>33.000100000000003</v>
      </c>
      <c r="F2082" s="63">
        <v>1.0000000000000001E-5</v>
      </c>
      <c r="G2082" s="63" t="s">
        <v>6</v>
      </c>
      <c r="H2082" s="63" t="s">
        <v>4</v>
      </c>
      <c r="I2082" s="63">
        <v>0</v>
      </c>
      <c r="J2082" s="63">
        <v>0</v>
      </c>
      <c r="L2082" s="63">
        <v>5.8999999999999997E-2</v>
      </c>
      <c r="M2082" s="63">
        <v>5.8000000000000003E-2</v>
      </c>
      <c r="N2082" s="63">
        <v>5.8347999999999997E-2</v>
      </c>
      <c r="O2082" s="64">
        <v>5.7918999999999998E-2</v>
      </c>
    </row>
    <row r="2083" spans="1:15" x14ac:dyDescent="0.25">
      <c r="A2083" s="114" t="s">
        <v>546</v>
      </c>
      <c r="B2083" s="63" t="s">
        <v>51</v>
      </c>
      <c r="C2083" s="63" t="s">
        <v>3</v>
      </c>
      <c r="D2083" s="63">
        <v>0</v>
      </c>
      <c r="E2083" s="63">
        <v>0.33000099999999999</v>
      </c>
      <c r="F2083" s="63">
        <v>1E-4</v>
      </c>
      <c r="G2083" s="63" t="s">
        <v>6</v>
      </c>
      <c r="H2083" s="63" t="s">
        <v>5</v>
      </c>
      <c r="I2083" s="63">
        <v>0</v>
      </c>
      <c r="J2083" s="63">
        <v>0</v>
      </c>
      <c r="L2083" s="63">
        <v>58.11</v>
      </c>
      <c r="M2083" s="63">
        <v>17.059999999999999</v>
      </c>
      <c r="N2083" s="63">
        <v>58.091000000000001</v>
      </c>
      <c r="O2083" s="64">
        <v>17.007000000000001</v>
      </c>
    </row>
    <row r="2084" spans="1:15" x14ac:dyDescent="0.25">
      <c r="A2084" s="114" t="s">
        <v>553</v>
      </c>
      <c r="B2084" s="63" t="s">
        <v>51</v>
      </c>
      <c r="C2084" s="63" t="s">
        <v>3</v>
      </c>
      <c r="D2084" s="63">
        <v>0.33</v>
      </c>
      <c r="E2084" s="63">
        <v>3.3000099999999999</v>
      </c>
      <c r="F2084" s="63">
        <v>1E-4</v>
      </c>
      <c r="G2084" s="63" t="s">
        <v>6</v>
      </c>
      <c r="H2084" s="63" t="s">
        <v>5</v>
      </c>
      <c r="I2084" s="63">
        <v>0</v>
      </c>
      <c r="J2084" s="63">
        <v>0</v>
      </c>
      <c r="L2084" s="63">
        <v>47.82</v>
      </c>
      <c r="M2084" s="63">
        <v>47.701000000000001</v>
      </c>
      <c r="N2084" s="63">
        <v>47.341999999999999</v>
      </c>
      <c r="O2084" s="64">
        <v>47.73</v>
      </c>
    </row>
    <row r="2085" spans="1:15" x14ac:dyDescent="0.25">
      <c r="A2085" s="114" t="s">
        <v>558</v>
      </c>
      <c r="B2085" s="63" t="s">
        <v>51</v>
      </c>
      <c r="C2085" s="63" t="s">
        <v>3</v>
      </c>
      <c r="D2085" s="63">
        <v>3</v>
      </c>
      <c r="E2085" s="63">
        <v>33.000100000000003</v>
      </c>
      <c r="F2085" s="63">
        <v>1E-4</v>
      </c>
      <c r="G2085" s="63" t="s">
        <v>6</v>
      </c>
      <c r="H2085" s="63" t="s">
        <v>4</v>
      </c>
      <c r="I2085" s="63">
        <v>0</v>
      </c>
      <c r="J2085" s="63">
        <v>0</v>
      </c>
      <c r="L2085" s="63">
        <v>6.7757999999999999E-2</v>
      </c>
      <c r="M2085" s="63">
        <v>5.7660999999999997E-2</v>
      </c>
      <c r="N2085" s="63">
        <v>6.4652000000000001E-2</v>
      </c>
      <c r="O2085" s="64">
        <v>5.7724999999999999E-2</v>
      </c>
    </row>
    <row r="2086" spans="1:15" x14ac:dyDescent="0.25">
      <c r="A2086" s="114" t="s">
        <v>561</v>
      </c>
      <c r="B2086" s="63" t="s">
        <v>51</v>
      </c>
      <c r="C2086" s="63" t="s">
        <v>3</v>
      </c>
      <c r="D2086" s="63">
        <v>33</v>
      </c>
      <c r="E2086" s="63">
        <v>330.00099999999998</v>
      </c>
      <c r="F2086" s="63">
        <v>1E-4</v>
      </c>
      <c r="G2086" s="63" t="s">
        <v>6</v>
      </c>
      <c r="H2086" s="63" t="s">
        <v>4</v>
      </c>
      <c r="I2086" s="63">
        <v>0</v>
      </c>
      <c r="J2086" s="63">
        <v>0</v>
      </c>
      <c r="L2086" s="63">
        <v>0.59</v>
      </c>
      <c r="M2086" s="63">
        <v>6.4000000000000001E-2</v>
      </c>
      <c r="N2086" s="63">
        <v>0.57833999999999997</v>
      </c>
      <c r="O2086" s="64">
        <v>6.3644000000000006E-2</v>
      </c>
    </row>
    <row r="2087" spans="1:15" x14ac:dyDescent="0.25">
      <c r="A2087" s="114" t="s">
        <v>2632</v>
      </c>
      <c r="B2087" s="63" t="s">
        <v>51</v>
      </c>
      <c r="C2087" s="63" t="s">
        <v>3</v>
      </c>
      <c r="D2087" s="63">
        <v>0</v>
      </c>
      <c r="E2087" s="63">
        <v>0.33000099999999999</v>
      </c>
      <c r="F2087" s="63">
        <v>1E-3</v>
      </c>
      <c r="G2087" s="63" t="s">
        <v>6</v>
      </c>
      <c r="H2087" s="63" t="s">
        <v>5</v>
      </c>
      <c r="I2087" s="63">
        <v>0</v>
      </c>
      <c r="J2087" s="63">
        <v>0</v>
      </c>
      <c r="L2087" s="63">
        <v>580.02</v>
      </c>
      <c r="M2087" s="63">
        <v>1.8105</v>
      </c>
      <c r="N2087" s="63">
        <v>580.01</v>
      </c>
      <c r="O2087" s="64">
        <v>1.7849999999999999</v>
      </c>
    </row>
    <row r="2088" spans="1:15" x14ac:dyDescent="0.25">
      <c r="A2088" s="114" t="s">
        <v>554</v>
      </c>
      <c r="B2088" s="63" t="s">
        <v>51</v>
      </c>
      <c r="C2088" s="63" t="s">
        <v>3</v>
      </c>
      <c r="D2088" s="63">
        <v>0.33</v>
      </c>
      <c r="E2088" s="63">
        <v>3.3000099999999999</v>
      </c>
      <c r="F2088" s="63">
        <v>1E-3</v>
      </c>
      <c r="G2088" s="63" t="s">
        <v>6</v>
      </c>
      <c r="H2088" s="63" t="s">
        <v>5</v>
      </c>
      <c r="I2088" s="63">
        <v>0</v>
      </c>
      <c r="J2088" s="63">
        <v>0</v>
      </c>
      <c r="L2088" s="63">
        <v>577.16999999999996</v>
      </c>
      <c r="M2088" s="63">
        <v>10.824</v>
      </c>
      <c r="N2088" s="63">
        <v>576.99</v>
      </c>
      <c r="O2088" s="64">
        <v>10.721</v>
      </c>
    </row>
    <row r="2089" spans="1:15" x14ac:dyDescent="0.25">
      <c r="A2089" s="114" t="s">
        <v>559</v>
      </c>
      <c r="B2089" s="63" t="s">
        <v>51</v>
      </c>
      <c r="C2089" s="63" t="s">
        <v>3</v>
      </c>
      <c r="D2089" s="63">
        <v>3</v>
      </c>
      <c r="E2089" s="63">
        <v>33.000100000000003</v>
      </c>
      <c r="F2089" s="63">
        <v>1E-3</v>
      </c>
      <c r="G2089" s="63" t="s">
        <v>6</v>
      </c>
      <c r="H2089" s="63" t="s">
        <v>4</v>
      </c>
      <c r="I2089" s="63">
        <v>0</v>
      </c>
      <c r="J2089" s="63">
        <v>0</v>
      </c>
      <c r="L2089" s="63">
        <v>0.47783999999999999</v>
      </c>
      <c r="M2089" s="63">
        <v>4.7829000000000003E-2</v>
      </c>
      <c r="N2089" s="63">
        <v>0.47304000000000002</v>
      </c>
      <c r="O2089" s="64">
        <v>4.7858999999999999E-2</v>
      </c>
    </row>
    <row r="2090" spans="1:15" x14ac:dyDescent="0.25">
      <c r="A2090" s="114" t="s">
        <v>562</v>
      </c>
      <c r="B2090" s="63" t="s">
        <v>51</v>
      </c>
      <c r="C2090" s="63" t="s">
        <v>3</v>
      </c>
      <c r="D2090" s="63">
        <v>33</v>
      </c>
      <c r="E2090" s="63">
        <v>330.00099999999998</v>
      </c>
      <c r="F2090" s="63">
        <v>1E-3</v>
      </c>
      <c r="G2090" s="63" t="s">
        <v>6</v>
      </c>
      <c r="H2090" s="63" t="s">
        <v>4</v>
      </c>
      <c r="I2090" s="63">
        <v>0</v>
      </c>
      <c r="J2090" s="63">
        <v>0</v>
      </c>
      <c r="L2090" s="63">
        <v>0.67471000000000003</v>
      </c>
      <c r="M2090" s="63">
        <v>6.3403000000000001E-2</v>
      </c>
      <c r="N2090" s="63">
        <v>0.64578000000000002</v>
      </c>
      <c r="O2090" s="64">
        <v>6.3463000000000006E-2</v>
      </c>
    </row>
    <row r="2091" spans="1:15" x14ac:dyDescent="0.25">
      <c r="A2091" s="114" t="s">
        <v>2633</v>
      </c>
      <c r="B2091" s="63" t="s">
        <v>51</v>
      </c>
      <c r="C2091" s="63" t="s">
        <v>3</v>
      </c>
      <c r="D2091" s="63">
        <v>330</v>
      </c>
      <c r="E2091" s="63">
        <v>1000.01</v>
      </c>
      <c r="F2091" s="63">
        <v>1E-3</v>
      </c>
      <c r="G2091" s="63" t="s">
        <v>6</v>
      </c>
      <c r="H2091" s="63" t="s">
        <v>4</v>
      </c>
      <c r="I2091" s="63">
        <v>0</v>
      </c>
      <c r="J2091" s="63">
        <v>0</v>
      </c>
      <c r="L2091" s="63">
        <v>1.9</v>
      </c>
      <c r="M2091" s="63">
        <v>6.4000000000000001E-2</v>
      </c>
      <c r="N2091" s="63">
        <v>1.7548999999999999</v>
      </c>
      <c r="O2091" s="64">
        <v>6.3615000000000005E-2</v>
      </c>
    </row>
    <row r="2092" spans="1:15" x14ac:dyDescent="0.25">
      <c r="A2092" s="114" t="s">
        <v>569</v>
      </c>
      <c r="B2092" s="63" t="s">
        <v>51</v>
      </c>
      <c r="C2092" s="63" t="s">
        <v>3</v>
      </c>
      <c r="D2092" s="63">
        <v>1000</v>
      </c>
      <c r="E2092" s="63">
        <v>1001</v>
      </c>
      <c r="F2092" s="63">
        <v>1E-3</v>
      </c>
      <c r="G2092" s="63" t="s">
        <v>6</v>
      </c>
      <c r="H2092" s="63" t="s">
        <v>4</v>
      </c>
      <c r="I2092" s="63">
        <v>0</v>
      </c>
      <c r="J2092" s="63">
        <v>0</v>
      </c>
      <c r="L2092" s="63">
        <v>1.9</v>
      </c>
      <c r="M2092" s="63">
        <v>6.4000000000000001E-2</v>
      </c>
      <c r="N2092" s="63">
        <v>1.7548999999999999</v>
      </c>
      <c r="O2092" s="64">
        <v>6.3615000000000005E-2</v>
      </c>
    </row>
    <row r="2093" spans="1:15" x14ac:dyDescent="0.25">
      <c r="A2093" s="114" t="s">
        <v>547</v>
      </c>
      <c r="B2093" s="63" t="s">
        <v>51</v>
      </c>
      <c r="C2093" s="63" t="s">
        <v>3</v>
      </c>
      <c r="D2093" s="63">
        <v>0</v>
      </c>
      <c r="E2093" s="63">
        <v>0.33000099999999999</v>
      </c>
      <c r="F2093" s="63">
        <v>0.01</v>
      </c>
      <c r="G2093" s="63" t="s">
        <v>6</v>
      </c>
      <c r="H2093" s="63" t="s">
        <v>5</v>
      </c>
      <c r="I2093" s="63">
        <v>0</v>
      </c>
      <c r="J2093" s="63">
        <v>0</v>
      </c>
      <c r="L2093" s="63">
        <v>5800</v>
      </c>
      <c r="M2093" s="63">
        <v>0.1888</v>
      </c>
      <c r="N2093" s="63">
        <v>5800</v>
      </c>
      <c r="O2093" s="64">
        <v>0.17859</v>
      </c>
    </row>
    <row r="2094" spans="1:15" x14ac:dyDescent="0.25">
      <c r="A2094" s="114" t="s">
        <v>555</v>
      </c>
      <c r="B2094" s="63" t="s">
        <v>51</v>
      </c>
      <c r="C2094" s="63" t="s">
        <v>3</v>
      </c>
      <c r="D2094" s="63">
        <v>0.33</v>
      </c>
      <c r="E2094" s="63">
        <v>3.3000099999999999</v>
      </c>
      <c r="F2094" s="63">
        <v>0.01</v>
      </c>
      <c r="G2094" s="63" t="s">
        <v>6</v>
      </c>
      <c r="H2094" s="63" t="s">
        <v>5</v>
      </c>
      <c r="I2094" s="63">
        <v>0</v>
      </c>
      <c r="J2094" s="63">
        <v>0</v>
      </c>
      <c r="L2094" s="63">
        <v>5799.8</v>
      </c>
      <c r="M2094" s="63">
        <v>1.1473</v>
      </c>
      <c r="N2094" s="63">
        <v>5799.7</v>
      </c>
      <c r="O2094" s="64">
        <v>1.1022000000000001</v>
      </c>
    </row>
    <row r="2095" spans="1:15" x14ac:dyDescent="0.25">
      <c r="A2095" s="114" t="s">
        <v>2634</v>
      </c>
      <c r="B2095" s="63" t="s">
        <v>51</v>
      </c>
      <c r="C2095" s="63" t="s">
        <v>3</v>
      </c>
      <c r="D2095" s="63">
        <v>3</v>
      </c>
      <c r="E2095" s="63">
        <v>33.000100000000003</v>
      </c>
      <c r="F2095" s="63">
        <v>0.01</v>
      </c>
      <c r="G2095" s="63" t="s">
        <v>6</v>
      </c>
      <c r="H2095" s="63" t="s">
        <v>4</v>
      </c>
      <c r="I2095" s="63">
        <v>0</v>
      </c>
      <c r="J2095" s="63">
        <v>0</v>
      </c>
      <c r="L2095" s="63">
        <v>5.7714999999999996</v>
      </c>
      <c r="M2095" s="63">
        <v>1.0867999999999999E-2</v>
      </c>
      <c r="N2095" s="63">
        <v>5.7698</v>
      </c>
      <c r="O2095" s="64">
        <v>1.0763999999999999E-2</v>
      </c>
    </row>
    <row r="2096" spans="1:15" x14ac:dyDescent="0.25">
      <c r="A2096" s="114" t="s">
        <v>2635</v>
      </c>
      <c r="B2096" s="63" t="s">
        <v>51</v>
      </c>
      <c r="C2096" s="63" t="s">
        <v>3</v>
      </c>
      <c r="D2096" s="63">
        <v>33</v>
      </c>
      <c r="E2096" s="63">
        <v>330.00099999999998</v>
      </c>
      <c r="F2096" s="63">
        <v>0.01</v>
      </c>
      <c r="G2096" s="63" t="s">
        <v>6</v>
      </c>
      <c r="H2096" s="63" t="s">
        <v>4</v>
      </c>
      <c r="I2096" s="63">
        <v>0</v>
      </c>
      <c r="J2096" s="63">
        <v>0</v>
      </c>
      <c r="L2096" s="63">
        <v>4.6628999999999996</v>
      </c>
      <c r="M2096" s="63">
        <v>5.3692999999999998E-2</v>
      </c>
      <c r="N2096" s="63">
        <v>4.6153000000000004</v>
      </c>
      <c r="O2096" s="64">
        <v>5.3731000000000001E-2</v>
      </c>
    </row>
    <row r="2097" spans="1:15" x14ac:dyDescent="0.25">
      <c r="A2097" s="114" t="s">
        <v>565</v>
      </c>
      <c r="B2097" s="63" t="s">
        <v>51</v>
      </c>
      <c r="C2097" s="63" t="s">
        <v>3</v>
      </c>
      <c r="D2097" s="63">
        <v>330</v>
      </c>
      <c r="E2097" s="63">
        <v>1000.01</v>
      </c>
      <c r="F2097" s="63">
        <v>0.01</v>
      </c>
      <c r="G2097" s="63" t="s">
        <v>6</v>
      </c>
      <c r="H2097" s="63" t="s">
        <v>4</v>
      </c>
      <c r="I2097" s="63">
        <v>0</v>
      </c>
      <c r="J2097" s="63">
        <v>0</v>
      </c>
      <c r="L2097" s="63">
        <v>3.0276999999999998</v>
      </c>
      <c r="M2097" s="63">
        <v>6.2894000000000005E-2</v>
      </c>
      <c r="N2097" s="63">
        <v>2.7052</v>
      </c>
      <c r="O2097" s="64">
        <v>6.2919000000000003E-2</v>
      </c>
    </row>
    <row r="2098" spans="1:15" x14ac:dyDescent="0.25">
      <c r="A2098" s="114" t="s">
        <v>570</v>
      </c>
      <c r="B2098" s="63" t="s">
        <v>51</v>
      </c>
      <c r="C2098" s="63" t="s">
        <v>3</v>
      </c>
      <c r="D2098" s="63">
        <v>1000</v>
      </c>
      <c r="E2098" s="63">
        <v>1001</v>
      </c>
      <c r="F2098" s="63">
        <v>0.01</v>
      </c>
      <c r="G2098" s="63" t="s">
        <v>6</v>
      </c>
      <c r="H2098" s="63" t="s">
        <v>4</v>
      </c>
      <c r="I2098" s="63">
        <v>0</v>
      </c>
      <c r="J2098" s="63">
        <v>0</v>
      </c>
      <c r="L2098" s="63">
        <v>3.0276999999999998</v>
      </c>
      <c r="M2098" s="63">
        <v>6.2894000000000005E-2</v>
      </c>
      <c r="N2098" s="63">
        <v>2.7052</v>
      </c>
      <c r="O2098" s="64">
        <v>6.2919000000000003E-2</v>
      </c>
    </row>
    <row r="2099" spans="1:15" x14ac:dyDescent="0.25">
      <c r="A2099" s="114" t="s">
        <v>548</v>
      </c>
      <c r="B2099" s="63" t="s">
        <v>51</v>
      </c>
      <c r="C2099" s="63" t="s">
        <v>3</v>
      </c>
      <c r="D2099" s="63">
        <v>0</v>
      </c>
      <c r="E2099" s="63">
        <v>0.33000099999999999</v>
      </c>
      <c r="F2099" s="63">
        <v>0.1</v>
      </c>
      <c r="G2099" s="63" t="s">
        <v>6</v>
      </c>
      <c r="H2099" s="63" t="s">
        <v>4</v>
      </c>
      <c r="I2099" s="63">
        <v>0</v>
      </c>
      <c r="J2099" s="63">
        <v>0</v>
      </c>
      <c r="L2099" s="63">
        <v>58</v>
      </c>
      <c r="M2099" s="63">
        <v>2.1943E-5</v>
      </c>
      <c r="N2099" s="63">
        <v>58</v>
      </c>
      <c r="O2099" s="64">
        <v>1.7859E-5</v>
      </c>
    </row>
    <row r="2100" spans="1:15" x14ac:dyDescent="0.25">
      <c r="A2100" s="114" t="s">
        <v>556</v>
      </c>
      <c r="B2100" s="63" t="s">
        <v>51</v>
      </c>
      <c r="C2100" s="63" t="s">
        <v>3</v>
      </c>
      <c r="D2100" s="63">
        <v>0.33</v>
      </c>
      <c r="E2100" s="63">
        <v>3.3000099999999999</v>
      </c>
      <c r="F2100" s="63">
        <v>0.1</v>
      </c>
      <c r="G2100" s="63" t="s">
        <v>6</v>
      </c>
      <c r="H2100" s="63" t="s">
        <v>5</v>
      </c>
      <c r="I2100" s="63">
        <v>0</v>
      </c>
      <c r="J2100" s="63">
        <v>0</v>
      </c>
      <c r="L2100" s="63">
        <v>58000</v>
      </c>
      <c r="M2100" s="63">
        <v>0.12833</v>
      </c>
      <c r="N2100" s="63">
        <v>5799.8</v>
      </c>
      <c r="O2100" s="64">
        <v>0.11025</v>
      </c>
    </row>
    <row r="2101" spans="1:15" x14ac:dyDescent="0.25">
      <c r="A2101" s="114" t="s">
        <v>560</v>
      </c>
      <c r="B2101" s="63" t="s">
        <v>51</v>
      </c>
      <c r="C2101" s="63" t="s">
        <v>3</v>
      </c>
      <c r="D2101" s="63">
        <v>3</v>
      </c>
      <c r="E2101" s="63">
        <v>33.000100000000003</v>
      </c>
      <c r="F2101" s="63">
        <v>0.1</v>
      </c>
      <c r="G2101" s="63" t="s">
        <v>6</v>
      </c>
      <c r="H2101" s="63" t="s">
        <v>4</v>
      </c>
      <c r="I2101" s="63">
        <v>0</v>
      </c>
      <c r="J2101" s="63">
        <v>0</v>
      </c>
      <c r="L2101" s="63">
        <v>57.997999999999998</v>
      </c>
      <c r="M2101" s="63">
        <v>1.1519E-3</v>
      </c>
      <c r="N2101" s="63">
        <v>57.997</v>
      </c>
      <c r="O2101" s="64">
        <v>1.1068E-3</v>
      </c>
    </row>
    <row r="2102" spans="1:15" x14ac:dyDescent="0.25">
      <c r="A2102" s="114" t="s">
        <v>2636</v>
      </c>
      <c r="B2102" s="63" t="s">
        <v>51</v>
      </c>
      <c r="C2102" s="63" t="s">
        <v>3</v>
      </c>
      <c r="D2102" s="63">
        <v>33</v>
      </c>
      <c r="E2102" s="63">
        <v>330.00099999999998</v>
      </c>
      <c r="F2102" s="63">
        <v>0.1</v>
      </c>
      <c r="G2102" s="63" t="s">
        <v>6</v>
      </c>
      <c r="H2102" s="63" t="s">
        <v>4</v>
      </c>
      <c r="I2102" s="63">
        <v>0</v>
      </c>
      <c r="J2102" s="63">
        <v>0</v>
      </c>
      <c r="L2102" s="63">
        <v>57.654000000000003</v>
      </c>
      <c r="M2102" s="63">
        <v>1.2973999999999999E-2</v>
      </c>
      <c r="N2102" s="63">
        <v>57.637</v>
      </c>
      <c r="O2102" s="64">
        <v>1.2872E-2</v>
      </c>
    </row>
    <row r="2103" spans="1:15" x14ac:dyDescent="0.25">
      <c r="A2103" s="114" t="s">
        <v>566</v>
      </c>
      <c r="B2103" s="63" t="s">
        <v>51</v>
      </c>
      <c r="C2103" s="63" t="s">
        <v>3</v>
      </c>
      <c r="D2103" s="63">
        <v>330</v>
      </c>
      <c r="E2103" s="63">
        <v>1000.01</v>
      </c>
      <c r="F2103" s="63">
        <v>0.1</v>
      </c>
      <c r="G2103" s="63" t="s">
        <v>6</v>
      </c>
      <c r="H2103" s="63" t="s">
        <v>4</v>
      </c>
      <c r="I2103" s="63">
        <v>0</v>
      </c>
      <c r="J2103" s="63">
        <v>0</v>
      </c>
      <c r="L2103" s="63">
        <v>50.21</v>
      </c>
      <c r="M2103" s="63">
        <v>3.8072000000000002E-2</v>
      </c>
      <c r="N2103" s="63">
        <v>49.941000000000003</v>
      </c>
      <c r="O2103" s="64">
        <v>3.7448000000000002E-2</v>
      </c>
    </row>
    <row r="2104" spans="1:15" x14ac:dyDescent="0.25">
      <c r="A2104" s="114" t="s">
        <v>2637</v>
      </c>
      <c r="B2104" s="63" t="s">
        <v>51</v>
      </c>
      <c r="C2104" s="63" t="s">
        <v>3</v>
      </c>
      <c r="D2104" s="63">
        <v>1000</v>
      </c>
      <c r="E2104" s="63">
        <v>1001</v>
      </c>
      <c r="F2104" s="63">
        <v>0.1</v>
      </c>
      <c r="G2104" s="63" t="s">
        <v>6</v>
      </c>
      <c r="H2104" s="63" t="s">
        <v>4</v>
      </c>
      <c r="I2104" s="63">
        <v>0</v>
      </c>
      <c r="J2104" s="63">
        <v>0</v>
      </c>
      <c r="L2104" s="63">
        <v>50.21</v>
      </c>
      <c r="M2104" s="63">
        <v>3.8072000000000002E-2</v>
      </c>
      <c r="N2104" s="63">
        <v>49.941000000000003</v>
      </c>
      <c r="O2104" s="64">
        <v>3.7448000000000002E-2</v>
      </c>
    </row>
    <row r="2105" spans="1:15" x14ac:dyDescent="0.25">
      <c r="A2105" s="114" t="s">
        <v>549</v>
      </c>
      <c r="B2105" s="63" t="s">
        <v>51</v>
      </c>
      <c r="C2105" s="63" t="s">
        <v>3</v>
      </c>
      <c r="D2105" s="63">
        <v>0</v>
      </c>
      <c r="E2105" s="63">
        <v>0.33000099999999999</v>
      </c>
      <c r="F2105" s="63">
        <v>1</v>
      </c>
      <c r="G2105" s="63" t="s">
        <v>6</v>
      </c>
      <c r="H2105" s="63" t="s">
        <v>4</v>
      </c>
      <c r="I2105" s="63">
        <v>0</v>
      </c>
      <c r="J2105" s="63">
        <v>0</v>
      </c>
      <c r="L2105" s="63">
        <v>580</v>
      </c>
      <c r="M2105" s="63">
        <v>3.4191999999999998E-6</v>
      </c>
      <c r="N2105" s="63">
        <v>580</v>
      </c>
      <c r="O2105" s="64">
        <v>1.7858999999999999E-6</v>
      </c>
    </row>
    <row r="2106" spans="1:15" x14ac:dyDescent="0.25">
      <c r="A2106" s="114" t="s">
        <v>2638</v>
      </c>
      <c r="B2106" s="63" t="s">
        <v>51</v>
      </c>
      <c r="C2106" s="63" t="s">
        <v>3</v>
      </c>
      <c r="D2106" s="63">
        <v>3</v>
      </c>
      <c r="E2106" s="63">
        <v>33.000100000000003</v>
      </c>
      <c r="F2106" s="63">
        <v>1</v>
      </c>
      <c r="G2106" s="63" t="s">
        <v>6</v>
      </c>
      <c r="H2106" s="63" t="s">
        <v>4</v>
      </c>
      <c r="I2106" s="63">
        <v>0</v>
      </c>
      <c r="J2106" s="63">
        <v>0</v>
      </c>
      <c r="L2106" s="63">
        <v>580</v>
      </c>
      <c r="M2106" s="63">
        <v>1.2878999999999999E-4</v>
      </c>
      <c r="N2106" s="63">
        <v>580</v>
      </c>
      <c r="O2106" s="64">
        <v>1.1071E-4</v>
      </c>
    </row>
    <row r="2107" spans="1:15" x14ac:dyDescent="0.25">
      <c r="A2107" s="114" t="s">
        <v>563</v>
      </c>
      <c r="B2107" s="63" t="s">
        <v>51</v>
      </c>
      <c r="C2107" s="63" t="s">
        <v>3</v>
      </c>
      <c r="D2107" s="63">
        <v>33</v>
      </c>
      <c r="E2107" s="63">
        <v>330.00099999999998</v>
      </c>
      <c r="F2107" s="63">
        <v>1</v>
      </c>
      <c r="G2107" s="63" t="s">
        <v>6</v>
      </c>
      <c r="H2107" s="63" t="s">
        <v>4</v>
      </c>
      <c r="I2107" s="63">
        <v>0</v>
      </c>
      <c r="J2107" s="63">
        <v>0</v>
      </c>
      <c r="L2107" s="63">
        <v>579.97</v>
      </c>
      <c r="M2107" s="63">
        <v>1.3757000000000001E-3</v>
      </c>
      <c r="N2107" s="63">
        <v>579.96</v>
      </c>
      <c r="O2107" s="64">
        <v>1.3305000000000001E-3</v>
      </c>
    </row>
    <row r="2108" spans="1:15" x14ac:dyDescent="0.25">
      <c r="A2108" s="114" t="s">
        <v>567</v>
      </c>
      <c r="B2108" s="63" t="s">
        <v>51</v>
      </c>
      <c r="C2108" s="63" t="s">
        <v>3</v>
      </c>
      <c r="D2108" s="63">
        <v>330</v>
      </c>
      <c r="E2108" s="63">
        <v>1000.01</v>
      </c>
      <c r="F2108" s="63">
        <v>1</v>
      </c>
      <c r="G2108" s="63" t="s">
        <v>6</v>
      </c>
      <c r="H2108" s="63" t="s">
        <v>4</v>
      </c>
      <c r="I2108" s="63">
        <v>0</v>
      </c>
      <c r="J2108" s="63">
        <v>0</v>
      </c>
      <c r="L2108" s="63">
        <v>578.9</v>
      </c>
      <c r="M2108" s="63">
        <v>5.3112000000000003E-3</v>
      </c>
      <c r="N2108" s="63">
        <v>578.86</v>
      </c>
      <c r="O2108" s="64">
        <v>4.8152999999999998E-3</v>
      </c>
    </row>
    <row r="2109" spans="1:15" x14ac:dyDescent="0.25">
      <c r="A2109" s="114" t="s">
        <v>571</v>
      </c>
      <c r="B2109" s="63" t="s">
        <v>51</v>
      </c>
      <c r="C2109" s="63" t="s">
        <v>3</v>
      </c>
      <c r="D2109" s="63">
        <v>1000</v>
      </c>
      <c r="E2109" s="63">
        <v>1001</v>
      </c>
      <c r="F2109" s="63">
        <v>1</v>
      </c>
      <c r="G2109" s="63" t="s">
        <v>6</v>
      </c>
      <c r="H2109" s="63" t="s">
        <v>4</v>
      </c>
      <c r="I2109" s="63">
        <v>0</v>
      </c>
      <c r="J2109" s="63">
        <v>0</v>
      </c>
      <c r="L2109" s="63">
        <v>578.9</v>
      </c>
      <c r="M2109" s="63">
        <v>5.3112000000000003E-3</v>
      </c>
      <c r="N2109" s="63">
        <v>578.86</v>
      </c>
      <c r="O2109" s="64">
        <v>4.8152999999999998E-3</v>
      </c>
    </row>
    <row r="2110" spans="1:15" x14ac:dyDescent="0.25">
      <c r="A2110" s="114" t="s">
        <v>550</v>
      </c>
      <c r="B2110" s="63" t="s">
        <v>51</v>
      </c>
      <c r="C2110" s="63" t="s">
        <v>3</v>
      </c>
      <c r="D2110" s="63">
        <v>0</v>
      </c>
      <c r="E2110" s="63">
        <v>0.33000099999999999</v>
      </c>
      <c r="F2110" s="63">
        <v>10</v>
      </c>
      <c r="G2110" s="63" t="s">
        <v>6</v>
      </c>
      <c r="H2110" s="63" t="s">
        <v>4</v>
      </c>
      <c r="I2110" s="63">
        <v>0</v>
      </c>
      <c r="J2110" s="63">
        <v>0</v>
      </c>
      <c r="L2110" s="63">
        <v>5800</v>
      </c>
      <c r="M2110" s="63">
        <v>8.3190000000000003E-7</v>
      </c>
      <c r="N2110" s="63">
        <v>5800</v>
      </c>
      <c r="O2110" s="64">
        <v>1.7859000000000001E-7</v>
      </c>
    </row>
    <row r="2111" spans="1:15" x14ac:dyDescent="0.25">
      <c r="A2111" s="114" t="s">
        <v>564</v>
      </c>
      <c r="B2111" s="63" t="s">
        <v>51</v>
      </c>
      <c r="C2111" s="63" t="s">
        <v>3</v>
      </c>
      <c r="D2111" s="63">
        <v>33</v>
      </c>
      <c r="E2111" s="63">
        <v>330.00099999999998</v>
      </c>
      <c r="F2111" s="63">
        <v>10</v>
      </c>
      <c r="G2111" s="63" t="s">
        <v>6</v>
      </c>
      <c r="H2111" s="63" t="s">
        <v>4</v>
      </c>
      <c r="I2111" s="63">
        <v>0</v>
      </c>
      <c r="J2111" s="63">
        <v>0</v>
      </c>
      <c r="L2111" s="63">
        <v>5800</v>
      </c>
      <c r="M2111" s="63">
        <v>1.5118E-4</v>
      </c>
      <c r="N2111" s="63">
        <v>5800</v>
      </c>
      <c r="O2111" s="64">
        <v>1.3310000000000001E-4</v>
      </c>
    </row>
    <row r="2112" spans="1:15" x14ac:dyDescent="0.25">
      <c r="A2112" s="114" t="s">
        <v>568</v>
      </c>
      <c r="B2112" s="63" t="s">
        <v>51</v>
      </c>
      <c r="C2112" s="63" t="s">
        <v>3</v>
      </c>
      <c r="D2112" s="63">
        <v>330</v>
      </c>
      <c r="E2112" s="63">
        <v>1000.01</v>
      </c>
      <c r="F2112" s="63">
        <v>10</v>
      </c>
      <c r="G2112" s="63" t="s">
        <v>6</v>
      </c>
      <c r="H2112" s="63" t="s">
        <v>4</v>
      </c>
      <c r="I2112" s="63">
        <v>0</v>
      </c>
      <c r="J2112" s="63">
        <v>0</v>
      </c>
      <c r="L2112" s="63">
        <v>5799.9</v>
      </c>
      <c r="M2112" s="63">
        <v>6.8362000000000002E-4</v>
      </c>
      <c r="N2112" s="63">
        <v>5799.9</v>
      </c>
      <c r="O2112" s="64">
        <v>4.8322000000000003E-4</v>
      </c>
    </row>
    <row r="2113" spans="1:15" x14ac:dyDescent="0.25">
      <c r="A2113" s="114" t="s">
        <v>572</v>
      </c>
      <c r="B2113" s="63" t="s">
        <v>51</v>
      </c>
      <c r="C2113" s="63" t="s">
        <v>3</v>
      </c>
      <c r="D2113" s="63">
        <v>1000</v>
      </c>
      <c r="E2113" s="63">
        <v>1001</v>
      </c>
      <c r="F2113" s="63">
        <v>10</v>
      </c>
      <c r="G2113" s="63" t="s">
        <v>6</v>
      </c>
      <c r="H2113" s="63" t="s">
        <v>4</v>
      </c>
      <c r="I2113" s="63">
        <v>0</v>
      </c>
      <c r="J2113" s="63">
        <v>0</v>
      </c>
      <c r="L2113" s="63">
        <v>5799.9</v>
      </c>
      <c r="M2113" s="63">
        <v>6.8362000000000002E-4</v>
      </c>
      <c r="N2113" s="63">
        <v>5799.9</v>
      </c>
      <c r="O2113" s="64">
        <v>4.8322000000000003E-4</v>
      </c>
    </row>
    <row r="2114" spans="1:15" x14ac:dyDescent="0.25">
      <c r="A2114" s="114" t="s">
        <v>1955</v>
      </c>
      <c r="B2114" s="63" t="s">
        <v>51</v>
      </c>
      <c r="C2114" s="63" t="s">
        <v>95</v>
      </c>
      <c r="D2114" s="63">
        <v>0</v>
      </c>
      <c r="E2114" s="63">
        <v>1.090001E-4</v>
      </c>
      <c r="F2114" s="63">
        <v>1E-10</v>
      </c>
      <c r="G2114" s="63" t="s">
        <v>118</v>
      </c>
      <c r="H2114" s="63" t="s">
        <v>118</v>
      </c>
      <c r="I2114" s="63">
        <v>0</v>
      </c>
      <c r="J2114" s="63">
        <v>0</v>
      </c>
      <c r="L2114" s="63">
        <v>0</v>
      </c>
      <c r="M2114" s="63">
        <v>3.5999999999999999E-3</v>
      </c>
      <c r="N2114" s="63">
        <v>0</v>
      </c>
      <c r="O2114" s="64">
        <v>0</v>
      </c>
    </row>
    <row r="2115" spans="1:15" x14ac:dyDescent="0.25">
      <c r="A2115" s="114" t="s">
        <v>2639</v>
      </c>
      <c r="B2115" s="63" t="s">
        <v>51</v>
      </c>
      <c r="C2115" s="63" t="s">
        <v>95</v>
      </c>
      <c r="D2115" s="63">
        <v>0</v>
      </c>
      <c r="E2115" s="63">
        <v>1.090001E-4</v>
      </c>
      <c r="F2115" s="63">
        <v>1.0000000000000001E-9</v>
      </c>
      <c r="G2115" s="63" t="s">
        <v>118</v>
      </c>
      <c r="H2115" s="63" t="s">
        <v>118</v>
      </c>
      <c r="I2115" s="63">
        <v>0</v>
      </c>
      <c r="J2115" s="63">
        <v>0</v>
      </c>
      <c r="L2115" s="63">
        <v>0</v>
      </c>
      <c r="M2115" s="63">
        <v>3.5999999999999999E-3</v>
      </c>
      <c r="N2115" s="63">
        <v>0</v>
      </c>
      <c r="O2115" s="64">
        <v>0</v>
      </c>
    </row>
    <row r="2116" spans="1:15" x14ac:dyDescent="0.25">
      <c r="A2116" s="114" t="s">
        <v>2640</v>
      </c>
      <c r="B2116" s="63" t="s">
        <v>51</v>
      </c>
      <c r="C2116" s="63" t="s">
        <v>95</v>
      </c>
      <c r="D2116" s="63">
        <v>0</v>
      </c>
      <c r="E2116" s="63">
        <v>1.090001E-4</v>
      </c>
      <c r="F2116" s="63">
        <v>1E-8</v>
      </c>
      <c r="G2116" s="63" t="s">
        <v>118</v>
      </c>
      <c r="H2116" s="63" t="s">
        <v>118</v>
      </c>
      <c r="I2116" s="63">
        <v>0</v>
      </c>
      <c r="J2116" s="63">
        <v>0</v>
      </c>
      <c r="L2116" s="63">
        <v>0</v>
      </c>
      <c r="M2116" s="63">
        <v>6.8024000000000001E-3</v>
      </c>
      <c r="N2116" s="63">
        <v>0</v>
      </c>
      <c r="O2116" s="64">
        <v>0</v>
      </c>
    </row>
    <row r="2117" spans="1:15" x14ac:dyDescent="0.25">
      <c r="A2117" s="114" t="s">
        <v>512</v>
      </c>
      <c r="B2117" s="63" t="s">
        <v>51</v>
      </c>
      <c r="C2117" s="63" t="s">
        <v>95</v>
      </c>
      <c r="D2117" s="63">
        <v>1.0900000000000001E-4</v>
      </c>
      <c r="E2117" s="63">
        <v>1.0900999999999999E-6</v>
      </c>
      <c r="F2117" s="63">
        <v>1E-8</v>
      </c>
      <c r="G2117" s="63" t="s">
        <v>118</v>
      </c>
      <c r="H2117" s="63" t="s">
        <v>118</v>
      </c>
      <c r="I2117" s="63">
        <v>0</v>
      </c>
      <c r="J2117" s="63">
        <v>0</v>
      </c>
      <c r="L2117" s="63">
        <v>0</v>
      </c>
      <c r="M2117" s="63">
        <v>3.5E-4</v>
      </c>
      <c r="N2117" s="63">
        <v>0</v>
      </c>
      <c r="O2117" s="64">
        <v>0</v>
      </c>
    </row>
    <row r="2118" spans="1:15" x14ac:dyDescent="0.25">
      <c r="A2118" s="114" t="s">
        <v>2641</v>
      </c>
      <c r="B2118" s="63" t="s">
        <v>51</v>
      </c>
      <c r="C2118" s="63" t="s">
        <v>95</v>
      </c>
      <c r="D2118" s="63">
        <v>0</v>
      </c>
      <c r="E2118" s="63">
        <v>1.090001E-4</v>
      </c>
      <c r="F2118" s="63">
        <v>9.9999999999999995E-8</v>
      </c>
      <c r="G2118" s="63" t="s">
        <v>118</v>
      </c>
      <c r="H2118" s="63" t="s">
        <v>118</v>
      </c>
      <c r="I2118" s="63">
        <v>0</v>
      </c>
      <c r="J2118" s="63">
        <v>0</v>
      </c>
      <c r="L2118" s="63">
        <v>0</v>
      </c>
      <c r="M2118" s="63">
        <v>5.8110000000000002E-2</v>
      </c>
      <c r="N2118" s="63">
        <v>0</v>
      </c>
      <c r="O2118" s="64">
        <v>0</v>
      </c>
    </row>
    <row r="2119" spans="1:15" x14ac:dyDescent="0.25">
      <c r="A2119" s="114" t="s">
        <v>513</v>
      </c>
      <c r="B2119" s="63" t="s">
        <v>51</v>
      </c>
      <c r="C2119" s="63" t="s">
        <v>95</v>
      </c>
      <c r="D2119" s="63">
        <v>1.0900000000000001E-4</v>
      </c>
      <c r="E2119" s="63">
        <v>1.0900999999999999E-6</v>
      </c>
      <c r="F2119" s="63">
        <v>9.9999999999999995E-8</v>
      </c>
      <c r="G2119" s="63" t="s">
        <v>118</v>
      </c>
      <c r="H2119" s="63" t="s">
        <v>118</v>
      </c>
      <c r="I2119" s="63">
        <v>0</v>
      </c>
      <c r="J2119" s="63">
        <v>0</v>
      </c>
      <c r="L2119" s="63">
        <v>0</v>
      </c>
      <c r="M2119" s="63">
        <v>6.3400999999999996E-4</v>
      </c>
      <c r="N2119" s="63">
        <v>0</v>
      </c>
      <c r="O2119" s="64">
        <v>0</v>
      </c>
    </row>
    <row r="2120" spans="1:15" x14ac:dyDescent="0.25">
      <c r="A2120" s="114" t="s">
        <v>2642</v>
      </c>
      <c r="B2120" s="63" t="s">
        <v>51</v>
      </c>
      <c r="C2120" s="63" t="s">
        <v>95</v>
      </c>
      <c r="D2120" s="63">
        <v>1.09E-3</v>
      </c>
      <c r="E2120" s="63">
        <v>1.0900099999999999E-2</v>
      </c>
      <c r="F2120" s="63">
        <v>9.9999999999999995E-8</v>
      </c>
      <c r="G2120" s="63" t="s">
        <v>118</v>
      </c>
      <c r="H2120" s="63" t="s">
        <v>118</v>
      </c>
      <c r="I2120" s="63">
        <v>0</v>
      </c>
      <c r="J2120" s="63">
        <v>0</v>
      </c>
      <c r="L2120" s="63">
        <v>0</v>
      </c>
      <c r="M2120" s="63">
        <v>2.4000000000000001E-4</v>
      </c>
      <c r="N2120" s="63">
        <v>0</v>
      </c>
      <c r="O2120" s="64">
        <v>0</v>
      </c>
    </row>
    <row r="2121" spans="1:15" x14ac:dyDescent="0.25">
      <c r="A2121" s="114" t="s">
        <v>1956</v>
      </c>
      <c r="B2121" s="63" t="s">
        <v>51</v>
      </c>
      <c r="C2121" s="63" t="s">
        <v>95</v>
      </c>
      <c r="D2121" s="63">
        <v>0</v>
      </c>
      <c r="E2121" s="63">
        <v>1.090001E-4</v>
      </c>
      <c r="F2121" s="63">
        <v>9.9999999999999995E-7</v>
      </c>
      <c r="G2121" s="63" t="s">
        <v>118</v>
      </c>
      <c r="H2121" s="63" t="s">
        <v>118</v>
      </c>
      <c r="I2121" s="63">
        <v>0</v>
      </c>
      <c r="J2121" s="63">
        <v>0</v>
      </c>
      <c r="L2121" s="63">
        <v>0</v>
      </c>
      <c r="M2121" s="63">
        <v>0.58001000000000003</v>
      </c>
      <c r="N2121" s="63">
        <v>0</v>
      </c>
      <c r="O2121" s="64">
        <v>0</v>
      </c>
    </row>
    <row r="2122" spans="1:15" x14ac:dyDescent="0.25">
      <c r="A2122" s="114" t="s">
        <v>2643</v>
      </c>
      <c r="B2122" s="63" t="s">
        <v>51</v>
      </c>
      <c r="C2122" s="63" t="s">
        <v>95</v>
      </c>
      <c r="D2122" s="63">
        <v>1.0900000000000001E-4</v>
      </c>
      <c r="E2122" s="63">
        <v>1.0900999999999999E-6</v>
      </c>
      <c r="F2122" s="63">
        <v>9.9999999999999995E-7</v>
      </c>
      <c r="G2122" s="63" t="s">
        <v>118</v>
      </c>
      <c r="H2122" s="63" t="s">
        <v>118</v>
      </c>
      <c r="I2122" s="63">
        <v>0</v>
      </c>
      <c r="J2122" s="63">
        <v>0</v>
      </c>
      <c r="L2122" s="63">
        <v>0</v>
      </c>
      <c r="M2122" s="63">
        <v>5.3337000000000002E-3</v>
      </c>
      <c r="N2122" s="63">
        <v>0</v>
      </c>
      <c r="O2122" s="64">
        <v>0</v>
      </c>
    </row>
    <row r="2123" spans="1:15" x14ac:dyDescent="0.25">
      <c r="A2123" s="114" t="s">
        <v>514</v>
      </c>
      <c r="B2123" s="63" t="s">
        <v>51</v>
      </c>
      <c r="C2123" s="63" t="s">
        <v>95</v>
      </c>
      <c r="D2123" s="63">
        <v>1.09E-3</v>
      </c>
      <c r="E2123" s="63">
        <v>1.0900099999999999E-2</v>
      </c>
      <c r="F2123" s="63">
        <v>9.9999999999999995E-7</v>
      </c>
      <c r="G2123" s="63" t="s">
        <v>118</v>
      </c>
      <c r="H2123" s="63" t="s">
        <v>118</v>
      </c>
      <c r="I2123" s="63">
        <v>0</v>
      </c>
      <c r="J2123" s="63">
        <v>0</v>
      </c>
      <c r="L2123" s="63">
        <v>0</v>
      </c>
      <c r="M2123" s="63">
        <v>5.8093000000000001E-4</v>
      </c>
      <c r="N2123" s="63">
        <v>0</v>
      </c>
      <c r="O2123" s="64">
        <v>0</v>
      </c>
    </row>
    <row r="2124" spans="1:15" x14ac:dyDescent="0.25">
      <c r="A2124" s="114" t="s">
        <v>517</v>
      </c>
      <c r="B2124" s="63" t="s">
        <v>51</v>
      </c>
      <c r="C2124" s="63" t="s">
        <v>95</v>
      </c>
      <c r="D2124" s="63">
        <v>1.09E-2</v>
      </c>
      <c r="E2124" s="63">
        <v>0.1090001</v>
      </c>
      <c r="F2124" s="63">
        <v>9.9999999999999995E-7</v>
      </c>
      <c r="G2124" s="63" t="s">
        <v>118</v>
      </c>
      <c r="H2124" s="63" t="s">
        <v>118</v>
      </c>
      <c r="I2124" s="63">
        <v>0</v>
      </c>
      <c r="J2124" s="63">
        <v>0</v>
      </c>
      <c r="L2124" s="63">
        <v>0</v>
      </c>
      <c r="M2124" s="63">
        <v>1.9000000000000001E-4</v>
      </c>
      <c r="N2124" s="63">
        <v>0</v>
      </c>
      <c r="O2124" s="64">
        <v>0</v>
      </c>
    </row>
    <row r="2125" spans="1:15" x14ac:dyDescent="0.25">
      <c r="A2125" s="114" t="s">
        <v>1957</v>
      </c>
      <c r="B2125" s="63" t="s">
        <v>51</v>
      </c>
      <c r="C2125" s="63" t="s">
        <v>95</v>
      </c>
      <c r="D2125" s="63">
        <v>0</v>
      </c>
      <c r="E2125" s="63">
        <v>1.090001E-4</v>
      </c>
      <c r="F2125" s="63">
        <v>1.0000000000000001E-5</v>
      </c>
      <c r="G2125" s="63" t="s">
        <v>118</v>
      </c>
      <c r="H2125" s="63" t="s">
        <v>118</v>
      </c>
      <c r="I2125" s="63">
        <v>0</v>
      </c>
      <c r="J2125" s="63">
        <v>0</v>
      </c>
      <c r="L2125" s="63">
        <v>0</v>
      </c>
      <c r="M2125" s="63">
        <v>5.8</v>
      </c>
      <c r="N2125" s="63">
        <v>0</v>
      </c>
      <c r="O2125" s="64">
        <v>0</v>
      </c>
    </row>
    <row r="2126" spans="1:15" x14ac:dyDescent="0.25">
      <c r="A2126" s="114" t="s">
        <v>2644</v>
      </c>
      <c r="B2126" s="63" t="s">
        <v>51</v>
      </c>
      <c r="C2126" s="63" t="s">
        <v>95</v>
      </c>
      <c r="D2126" s="63">
        <v>1.0900000000000001E-4</v>
      </c>
      <c r="E2126" s="63">
        <v>1.0900999999999999E-6</v>
      </c>
      <c r="F2126" s="63">
        <v>1.0000000000000001E-5</v>
      </c>
      <c r="G2126" s="63" t="s">
        <v>118</v>
      </c>
      <c r="H2126" s="63" t="s">
        <v>118</v>
      </c>
      <c r="I2126" s="63">
        <v>0</v>
      </c>
      <c r="J2126" s="63">
        <v>0</v>
      </c>
      <c r="L2126" s="63">
        <v>0</v>
      </c>
      <c r="M2126" s="63">
        <v>5.3213000000000003E-2</v>
      </c>
      <c r="N2126" s="63">
        <v>0</v>
      </c>
      <c r="O2126" s="64">
        <v>0</v>
      </c>
    </row>
    <row r="2127" spans="1:15" x14ac:dyDescent="0.25">
      <c r="A2127" s="114" t="s">
        <v>2645</v>
      </c>
      <c r="B2127" s="63" t="s">
        <v>51</v>
      </c>
      <c r="C2127" s="63" t="s">
        <v>95</v>
      </c>
      <c r="D2127" s="63">
        <v>1.09E-3</v>
      </c>
      <c r="E2127" s="63">
        <v>1.0900099999999999E-2</v>
      </c>
      <c r="F2127" s="63">
        <v>1.0000000000000001E-5</v>
      </c>
      <c r="G2127" s="63" t="s">
        <v>118</v>
      </c>
      <c r="H2127" s="63" t="s">
        <v>118</v>
      </c>
      <c r="I2127" s="63">
        <v>0</v>
      </c>
      <c r="J2127" s="63">
        <v>0</v>
      </c>
      <c r="L2127" s="63">
        <v>0</v>
      </c>
      <c r="M2127" s="63">
        <v>5.3277000000000003E-3</v>
      </c>
      <c r="N2127" s="63">
        <v>0</v>
      </c>
      <c r="O2127" s="64">
        <v>0</v>
      </c>
    </row>
    <row r="2128" spans="1:15" x14ac:dyDescent="0.25">
      <c r="A2128" s="114" t="s">
        <v>518</v>
      </c>
      <c r="B2128" s="63" t="s">
        <v>51</v>
      </c>
      <c r="C2128" s="63" t="s">
        <v>95</v>
      </c>
      <c r="D2128" s="63">
        <v>1.09E-2</v>
      </c>
      <c r="E2128" s="63">
        <v>0.1090001</v>
      </c>
      <c r="F2128" s="63">
        <v>1.0000000000000001E-5</v>
      </c>
      <c r="G2128" s="63" t="s">
        <v>118</v>
      </c>
      <c r="H2128" s="63" t="s">
        <v>118</v>
      </c>
      <c r="I2128" s="63">
        <v>0</v>
      </c>
      <c r="J2128" s="63">
        <v>0</v>
      </c>
      <c r="L2128" s="63">
        <v>0</v>
      </c>
      <c r="M2128" s="63">
        <v>5.6395000000000002E-4</v>
      </c>
      <c r="N2128" s="63">
        <v>0</v>
      </c>
      <c r="O2128" s="64">
        <v>0</v>
      </c>
    </row>
    <row r="2129" spans="1:15" x14ac:dyDescent="0.25">
      <c r="A2129" s="114" t="s">
        <v>2646</v>
      </c>
      <c r="B2129" s="63" t="s">
        <v>51</v>
      </c>
      <c r="C2129" s="63" t="s">
        <v>95</v>
      </c>
      <c r="D2129" s="63">
        <v>0.109</v>
      </c>
      <c r="E2129" s="63">
        <v>1.0901000000000001</v>
      </c>
      <c r="F2129" s="63">
        <v>1.0000000000000001E-5</v>
      </c>
      <c r="G2129" s="63" t="s">
        <v>118</v>
      </c>
      <c r="H2129" s="63" t="s">
        <v>118</v>
      </c>
      <c r="I2129" s="63">
        <v>0</v>
      </c>
      <c r="J2129" s="63">
        <v>0</v>
      </c>
      <c r="L2129" s="63">
        <v>0</v>
      </c>
      <c r="M2129" s="63">
        <v>2.3000000000000001E-4</v>
      </c>
      <c r="N2129" s="63">
        <v>0</v>
      </c>
      <c r="O2129" s="64">
        <v>0</v>
      </c>
    </row>
    <row r="2130" spans="1:15" x14ac:dyDescent="0.25">
      <c r="A2130" s="114" t="s">
        <v>1958</v>
      </c>
      <c r="B2130" s="63" t="s">
        <v>51</v>
      </c>
      <c r="C2130" s="63" t="s">
        <v>95</v>
      </c>
      <c r="D2130" s="63">
        <v>0</v>
      </c>
      <c r="E2130" s="63">
        <v>1.090001E-4</v>
      </c>
      <c r="F2130" s="63">
        <v>1E-4</v>
      </c>
      <c r="G2130" s="63" t="s">
        <v>118</v>
      </c>
      <c r="H2130" s="63" t="s">
        <v>118</v>
      </c>
      <c r="I2130" s="63">
        <v>0</v>
      </c>
      <c r="J2130" s="63">
        <v>0</v>
      </c>
      <c r="L2130" s="63">
        <v>0</v>
      </c>
      <c r="M2130" s="63">
        <v>58</v>
      </c>
      <c r="N2130" s="63">
        <v>0</v>
      </c>
      <c r="O2130" s="64">
        <v>0</v>
      </c>
    </row>
    <row r="2131" spans="1:15" x14ac:dyDescent="0.25">
      <c r="A2131" s="114" t="s">
        <v>2647</v>
      </c>
      <c r="B2131" s="63" t="s">
        <v>51</v>
      </c>
      <c r="C2131" s="63" t="s">
        <v>95</v>
      </c>
      <c r="D2131" s="63">
        <v>1.0900000000000001E-4</v>
      </c>
      <c r="E2131" s="63">
        <v>1.0900999999999999E-6</v>
      </c>
      <c r="F2131" s="63">
        <v>1E-4</v>
      </c>
      <c r="G2131" s="63" t="s">
        <v>118</v>
      </c>
      <c r="H2131" s="63" t="s">
        <v>118</v>
      </c>
      <c r="I2131" s="63">
        <v>0</v>
      </c>
      <c r="J2131" s="63">
        <v>0</v>
      </c>
      <c r="L2131" s="63">
        <v>0</v>
      </c>
      <c r="M2131" s="63">
        <v>0.53210999999999997</v>
      </c>
      <c r="N2131" s="63">
        <v>0</v>
      </c>
      <c r="O2131" s="64">
        <v>0</v>
      </c>
    </row>
    <row r="2132" spans="1:15" x14ac:dyDescent="0.25">
      <c r="A2132" s="114" t="s">
        <v>515</v>
      </c>
      <c r="B2132" s="63" t="s">
        <v>51</v>
      </c>
      <c r="C2132" s="63" t="s">
        <v>95</v>
      </c>
      <c r="D2132" s="63">
        <v>1.09E-3</v>
      </c>
      <c r="E2132" s="63">
        <v>1.0900099999999999E-2</v>
      </c>
      <c r="F2132" s="63">
        <v>1E-4</v>
      </c>
      <c r="G2132" s="63" t="s">
        <v>118</v>
      </c>
      <c r="H2132" s="63" t="s">
        <v>118</v>
      </c>
      <c r="I2132" s="63">
        <v>0</v>
      </c>
      <c r="J2132" s="63">
        <v>0</v>
      </c>
      <c r="L2132" s="63">
        <v>0</v>
      </c>
      <c r="M2132" s="63">
        <v>5.3212000000000002E-2</v>
      </c>
      <c r="N2132" s="63">
        <v>0</v>
      </c>
      <c r="O2132" s="64">
        <v>0</v>
      </c>
    </row>
    <row r="2133" spans="1:15" x14ac:dyDescent="0.25">
      <c r="A2133" s="114" t="s">
        <v>519</v>
      </c>
      <c r="B2133" s="63" t="s">
        <v>51</v>
      </c>
      <c r="C2133" s="63" t="s">
        <v>95</v>
      </c>
      <c r="D2133" s="63">
        <v>1.09E-2</v>
      </c>
      <c r="E2133" s="63">
        <v>0.1090001</v>
      </c>
      <c r="F2133" s="63">
        <v>1E-4</v>
      </c>
      <c r="G2133" s="63" t="s">
        <v>118</v>
      </c>
      <c r="H2133" s="63" t="s">
        <v>118</v>
      </c>
      <c r="I2133" s="63">
        <v>0</v>
      </c>
      <c r="J2133" s="63">
        <v>0</v>
      </c>
      <c r="L2133" s="63">
        <v>0</v>
      </c>
      <c r="M2133" s="63">
        <v>5.3308000000000001E-3</v>
      </c>
      <c r="N2133" s="63">
        <v>0</v>
      </c>
      <c r="O2133" s="64">
        <v>0</v>
      </c>
    </row>
    <row r="2134" spans="1:15" x14ac:dyDescent="0.25">
      <c r="A2134" s="114" t="s">
        <v>520</v>
      </c>
      <c r="B2134" s="63" t="s">
        <v>51</v>
      </c>
      <c r="C2134" s="63" t="s">
        <v>95</v>
      </c>
      <c r="D2134" s="63">
        <v>0.109</v>
      </c>
      <c r="E2134" s="63">
        <v>1.0901000000000001</v>
      </c>
      <c r="F2134" s="63">
        <v>1E-4</v>
      </c>
      <c r="G2134" s="63" t="s">
        <v>118</v>
      </c>
      <c r="H2134" s="63" t="s">
        <v>118</v>
      </c>
      <c r="I2134" s="63">
        <v>0</v>
      </c>
      <c r="J2134" s="63">
        <v>0</v>
      </c>
      <c r="L2134" s="63">
        <v>0</v>
      </c>
      <c r="M2134" s="63">
        <v>5.7855999999999999E-4</v>
      </c>
      <c r="N2134" s="63">
        <v>0</v>
      </c>
      <c r="O2134" s="64">
        <v>0</v>
      </c>
    </row>
    <row r="2135" spans="1:15" x14ac:dyDescent="0.25">
      <c r="A2135" s="114" t="s">
        <v>523</v>
      </c>
      <c r="B2135" s="63" t="s">
        <v>51</v>
      </c>
      <c r="C2135" s="63" t="s">
        <v>95</v>
      </c>
      <c r="D2135" s="63">
        <v>1.0900000000000001</v>
      </c>
      <c r="E2135" s="63">
        <v>10.9001</v>
      </c>
      <c r="F2135" s="63">
        <v>1E-4</v>
      </c>
      <c r="G2135" s="63" t="s">
        <v>118</v>
      </c>
      <c r="H2135" s="63" t="s">
        <v>118</v>
      </c>
      <c r="I2135" s="63">
        <v>0</v>
      </c>
      <c r="J2135" s="63">
        <v>0</v>
      </c>
      <c r="L2135" s="63">
        <v>0</v>
      </c>
      <c r="M2135" s="63">
        <v>2.3000000000000001E-4</v>
      </c>
      <c r="N2135" s="63">
        <v>0</v>
      </c>
      <c r="O2135" s="64">
        <v>0</v>
      </c>
    </row>
    <row r="2136" spans="1:15" x14ac:dyDescent="0.25">
      <c r="A2136" s="114" t="s">
        <v>1959</v>
      </c>
      <c r="B2136" s="63" t="s">
        <v>51</v>
      </c>
      <c r="C2136" s="63" t="s">
        <v>95</v>
      </c>
      <c r="D2136" s="63">
        <v>0</v>
      </c>
      <c r="E2136" s="63">
        <v>1.090001E-4</v>
      </c>
      <c r="F2136" s="63">
        <v>1E-3</v>
      </c>
      <c r="G2136" s="63" t="s">
        <v>118</v>
      </c>
      <c r="H2136" s="63" t="s">
        <v>118</v>
      </c>
      <c r="I2136" s="63">
        <v>0</v>
      </c>
      <c r="J2136" s="63">
        <v>0</v>
      </c>
      <c r="L2136" s="63">
        <v>0</v>
      </c>
      <c r="M2136" s="63">
        <v>580</v>
      </c>
      <c r="N2136" s="63">
        <v>0</v>
      </c>
      <c r="O2136" s="64">
        <v>0</v>
      </c>
    </row>
    <row r="2137" spans="1:15" x14ac:dyDescent="0.25">
      <c r="A2137" s="114" t="s">
        <v>516</v>
      </c>
      <c r="B2137" s="63" t="s">
        <v>51</v>
      </c>
      <c r="C2137" s="63" t="s">
        <v>95</v>
      </c>
      <c r="D2137" s="63">
        <v>1.09E-3</v>
      </c>
      <c r="E2137" s="63">
        <v>1.0900099999999999E-2</v>
      </c>
      <c r="F2137" s="63">
        <v>1E-3</v>
      </c>
      <c r="G2137" s="63" t="s">
        <v>118</v>
      </c>
      <c r="H2137" s="63" t="s">
        <v>118</v>
      </c>
      <c r="I2137" s="63">
        <v>0</v>
      </c>
      <c r="J2137" s="63">
        <v>0</v>
      </c>
      <c r="L2137" s="63">
        <v>0</v>
      </c>
      <c r="M2137" s="63">
        <v>0.53210999999999997</v>
      </c>
      <c r="N2137" s="63">
        <v>0</v>
      </c>
      <c r="O2137" s="64">
        <v>0</v>
      </c>
    </row>
    <row r="2138" spans="1:15" x14ac:dyDescent="0.25">
      <c r="A2138" s="114" t="s">
        <v>2648</v>
      </c>
      <c r="B2138" s="63" t="s">
        <v>51</v>
      </c>
      <c r="C2138" s="63" t="s">
        <v>95</v>
      </c>
      <c r="D2138" s="63">
        <v>1.09E-2</v>
      </c>
      <c r="E2138" s="63">
        <v>0.1090001</v>
      </c>
      <c r="F2138" s="63">
        <v>1E-3</v>
      </c>
      <c r="G2138" s="63" t="s">
        <v>118</v>
      </c>
      <c r="H2138" s="63" t="s">
        <v>118</v>
      </c>
      <c r="I2138" s="63">
        <v>0</v>
      </c>
      <c r="J2138" s="63">
        <v>0</v>
      </c>
      <c r="L2138" s="63">
        <v>0</v>
      </c>
      <c r="M2138" s="63">
        <v>5.3261000000000003E-2</v>
      </c>
      <c r="N2138" s="63">
        <v>0</v>
      </c>
      <c r="O2138" s="64">
        <v>0</v>
      </c>
    </row>
    <row r="2139" spans="1:15" x14ac:dyDescent="0.25">
      <c r="A2139" s="114" t="s">
        <v>521</v>
      </c>
      <c r="B2139" s="63" t="s">
        <v>51</v>
      </c>
      <c r="C2139" s="63" t="s">
        <v>95</v>
      </c>
      <c r="D2139" s="63">
        <v>0.109</v>
      </c>
      <c r="E2139" s="63">
        <v>1.0901000000000001</v>
      </c>
      <c r="F2139" s="63">
        <v>1E-3</v>
      </c>
      <c r="G2139" s="63" t="s">
        <v>118</v>
      </c>
      <c r="H2139" s="63" t="s">
        <v>118</v>
      </c>
      <c r="I2139" s="63">
        <v>0</v>
      </c>
      <c r="J2139" s="63">
        <v>0</v>
      </c>
      <c r="L2139" s="63">
        <v>0</v>
      </c>
      <c r="M2139" s="63">
        <v>5.3324000000000002E-3</v>
      </c>
      <c r="N2139" s="63">
        <v>0</v>
      </c>
      <c r="O2139" s="64">
        <v>0</v>
      </c>
    </row>
    <row r="2140" spans="1:15" x14ac:dyDescent="0.25">
      <c r="A2140" s="114" t="s">
        <v>524</v>
      </c>
      <c r="B2140" s="63" t="s">
        <v>51</v>
      </c>
      <c r="C2140" s="63" t="s">
        <v>95</v>
      </c>
      <c r="D2140" s="63">
        <v>1.0900000000000001</v>
      </c>
      <c r="E2140" s="63">
        <v>10.9001</v>
      </c>
      <c r="F2140" s="63">
        <v>1E-3</v>
      </c>
      <c r="G2140" s="63" t="s">
        <v>118</v>
      </c>
      <c r="H2140" s="63" t="s">
        <v>118</v>
      </c>
      <c r="I2140" s="63">
        <v>0</v>
      </c>
      <c r="J2140" s="63">
        <v>0</v>
      </c>
      <c r="L2140" s="63">
        <v>0</v>
      </c>
      <c r="M2140" s="63">
        <v>5.7824999999999999E-4</v>
      </c>
      <c r="N2140" s="63">
        <v>0</v>
      </c>
      <c r="O2140" s="64">
        <v>0</v>
      </c>
    </row>
    <row r="2141" spans="1:15" x14ac:dyDescent="0.25">
      <c r="A2141" s="114" t="s">
        <v>2649</v>
      </c>
      <c r="B2141" s="63" t="s">
        <v>51</v>
      </c>
      <c r="C2141" s="63" t="s">
        <v>95</v>
      </c>
      <c r="D2141" s="63">
        <v>10.9</v>
      </c>
      <c r="E2141" s="63">
        <v>109.0001</v>
      </c>
      <c r="F2141" s="63">
        <v>1E-3</v>
      </c>
      <c r="G2141" s="63" t="s">
        <v>118</v>
      </c>
      <c r="H2141" s="63" t="s">
        <v>118</v>
      </c>
      <c r="I2141" s="63">
        <v>0</v>
      </c>
      <c r="J2141" s="63">
        <v>0</v>
      </c>
      <c r="L2141" s="63">
        <v>0</v>
      </c>
      <c r="M2141" s="63">
        <v>2.3000000000000001E-4</v>
      </c>
      <c r="N2141" s="63">
        <v>0</v>
      </c>
      <c r="O2141" s="64">
        <v>0</v>
      </c>
    </row>
    <row r="2142" spans="1:15" x14ac:dyDescent="0.25">
      <c r="A2142" s="114" t="s">
        <v>531</v>
      </c>
      <c r="B2142" s="63" t="s">
        <v>51</v>
      </c>
      <c r="C2142" s="63" t="s">
        <v>95</v>
      </c>
      <c r="D2142" s="63">
        <v>109</v>
      </c>
      <c r="E2142" s="63">
        <v>330.00009999999997</v>
      </c>
      <c r="F2142" s="63">
        <v>1E-3</v>
      </c>
      <c r="G2142" s="63" t="s">
        <v>118</v>
      </c>
      <c r="H2142" s="63" t="s">
        <v>118</v>
      </c>
      <c r="I2142" s="63">
        <v>0</v>
      </c>
      <c r="J2142" s="63">
        <v>0</v>
      </c>
      <c r="L2142" s="63">
        <v>0</v>
      </c>
      <c r="M2142" s="63">
        <v>1.4999999999999999E-4</v>
      </c>
      <c r="N2142" s="63">
        <v>0</v>
      </c>
      <c r="O2142" s="64">
        <v>0</v>
      </c>
    </row>
    <row r="2143" spans="1:15" x14ac:dyDescent="0.25">
      <c r="A2143" s="114" t="s">
        <v>1960</v>
      </c>
      <c r="B2143" s="63" t="s">
        <v>51</v>
      </c>
      <c r="C2143" s="63" t="s">
        <v>95</v>
      </c>
      <c r="D2143" s="63">
        <v>0</v>
      </c>
      <c r="E2143" s="63">
        <v>1.090001E-4</v>
      </c>
      <c r="F2143" s="63">
        <v>0.01</v>
      </c>
      <c r="G2143" s="63" t="s">
        <v>118</v>
      </c>
      <c r="H2143" s="63" t="s">
        <v>118</v>
      </c>
      <c r="I2143" s="63">
        <v>0</v>
      </c>
      <c r="J2143" s="63">
        <v>0</v>
      </c>
      <c r="L2143" s="63">
        <v>0</v>
      </c>
      <c r="M2143" s="63">
        <v>5800</v>
      </c>
      <c r="N2143" s="63">
        <v>0</v>
      </c>
      <c r="O2143" s="64">
        <v>0</v>
      </c>
    </row>
    <row r="2144" spans="1:15" x14ac:dyDescent="0.25">
      <c r="A2144" s="114" t="s">
        <v>2650</v>
      </c>
      <c r="B2144" s="63" t="s">
        <v>51</v>
      </c>
      <c r="C2144" s="63" t="s">
        <v>95</v>
      </c>
      <c r="D2144" s="63">
        <v>1.09E-2</v>
      </c>
      <c r="E2144" s="63">
        <v>0.1090001</v>
      </c>
      <c r="F2144" s="63">
        <v>0.01</v>
      </c>
      <c r="G2144" s="63" t="s">
        <v>118</v>
      </c>
      <c r="H2144" s="63" t="s">
        <v>118</v>
      </c>
      <c r="I2144" s="63">
        <v>0</v>
      </c>
      <c r="J2144" s="63">
        <v>0</v>
      </c>
      <c r="L2144" s="63">
        <v>0</v>
      </c>
      <c r="M2144" s="63">
        <v>0.53259999999999996</v>
      </c>
      <c r="N2144" s="63">
        <v>0</v>
      </c>
      <c r="O2144" s="64">
        <v>0</v>
      </c>
    </row>
    <row r="2145" spans="1:15" x14ac:dyDescent="0.25">
      <c r="A2145" s="114" t="s">
        <v>2651</v>
      </c>
      <c r="B2145" s="63" t="s">
        <v>51</v>
      </c>
      <c r="C2145" s="63" t="s">
        <v>95</v>
      </c>
      <c r="D2145" s="63">
        <v>0.109</v>
      </c>
      <c r="E2145" s="63">
        <v>1.0901000000000001</v>
      </c>
      <c r="F2145" s="63">
        <v>0.01</v>
      </c>
      <c r="G2145" s="63" t="s">
        <v>118</v>
      </c>
      <c r="H2145" s="63" t="s">
        <v>118</v>
      </c>
      <c r="I2145" s="63">
        <v>0</v>
      </c>
      <c r="J2145" s="63">
        <v>0</v>
      </c>
      <c r="L2145" s="63">
        <v>0</v>
      </c>
      <c r="M2145" s="63">
        <v>5.3261000000000003E-2</v>
      </c>
      <c r="N2145" s="63">
        <v>0</v>
      </c>
      <c r="O2145" s="64">
        <v>0</v>
      </c>
    </row>
    <row r="2146" spans="1:15" x14ac:dyDescent="0.25">
      <c r="A2146" s="114" t="s">
        <v>525</v>
      </c>
      <c r="B2146" s="63" t="s">
        <v>51</v>
      </c>
      <c r="C2146" s="63" t="s">
        <v>95</v>
      </c>
      <c r="D2146" s="63">
        <v>1.0900000000000001</v>
      </c>
      <c r="E2146" s="63">
        <v>10.9001</v>
      </c>
      <c r="F2146" s="63">
        <v>0.01</v>
      </c>
      <c r="G2146" s="63" t="s">
        <v>118</v>
      </c>
      <c r="H2146" s="63" t="s">
        <v>118</v>
      </c>
      <c r="I2146" s="63">
        <v>0</v>
      </c>
      <c r="J2146" s="63">
        <v>0</v>
      </c>
      <c r="L2146" s="63">
        <v>0</v>
      </c>
      <c r="M2146" s="63">
        <v>5.3321999999999996E-3</v>
      </c>
      <c r="N2146" s="63">
        <v>0</v>
      </c>
      <c r="O2146" s="64">
        <v>0</v>
      </c>
    </row>
    <row r="2147" spans="1:15" x14ac:dyDescent="0.25">
      <c r="A2147" s="114" t="s">
        <v>528</v>
      </c>
      <c r="B2147" s="63" t="s">
        <v>51</v>
      </c>
      <c r="C2147" s="63" t="s">
        <v>95</v>
      </c>
      <c r="D2147" s="63">
        <v>10.9</v>
      </c>
      <c r="E2147" s="63">
        <v>109.0001</v>
      </c>
      <c r="F2147" s="63">
        <v>0.01</v>
      </c>
      <c r="G2147" s="63" t="s">
        <v>118</v>
      </c>
      <c r="H2147" s="63" t="s">
        <v>118</v>
      </c>
      <c r="I2147" s="63">
        <v>0</v>
      </c>
      <c r="J2147" s="63">
        <v>0</v>
      </c>
      <c r="L2147" s="63">
        <v>0</v>
      </c>
      <c r="M2147" s="63">
        <v>5.7886999999999999E-4</v>
      </c>
      <c r="N2147" s="63">
        <v>0</v>
      </c>
      <c r="O2147" s="64">
        <v>0</v>
      </c>
    </row>
    <row r="2148" spans="1:15" x14ac:dyDescent="0.25">
      <c r="A2148" s="114" t="s">
        <v>532</v>
      </c>
      <c r="B2148" s="63" t="s">
        <v>51</v>
      </c>
      <c r="C2148" s="63" t="s">
        <v>95</v>
      </c>
      <c r="D2148" s="63">
        <v>109</v>
      </c>
      <c r="E2148" s="63">
        <v>330.00009999999997</v>
      </c>
      <c r="F2148" s="63">
        <v>0.01</v>
      </c>
      <c r="G2148" s="63" t="s">
        <v>118</v>
      </c>
      <c r="H2148" s="63" t="s">
        <v>118</v>
      </c>
      <c r="I2148" s="63">
        <v>0</v>
      </c>
      <c r="J2148" s="63">
        <v>0</v>
      </c>
      <c r="L2148" s="63">
        <v>0</v>
      </c>
      <c r="M2148" s="63">
        <v>1.5254999999999999E-4</v>
      </c>
      <c r="N2148" s="63">
        <v>0</v>
      </c>
      <c r="O2148" s="64">
        <v>0</v>
      </c>
    </row>
    <row r="2149" spans="1:15" x14ac:dyDescent="0.25">
      <c r="A2149" s="114" t="s">
        <v>2652</v>
      </c>
      <c r="B2149" s="63" t="s">
        <v>51</v>
      </c>
      <c r="C2149" s="63" t="s">
        <v>95</v>
      </c>
      <c r="D2149" s="63">
        <v>330</v>
      </c>
      <c r="E2149" s="63">
        <v>3000.0001000000002</v>
      </c>
      <c r="F2149" s="63">
        <v>0.01</v>
      </c>
      <c r="G2149" s="63" t="s">
        <v>118</v>
      </c>
      <c r="H2149" s="63" t="s">
        <v>118</v>
      </c>
      <c r="I2149" s="63">
        <v>0</v>
      </c>
      <c r="J2149" s="63">
        <v>0</v>
      </c>
      <c r="L2149" s="63">
        <v>0</v>
      </c>
      <c r="M2149" s="63">
        <v>5.9999999999999995E-4</v>
      </c>
      <c r="N2149" s="63">
        <v>0</v>
      </c>
      <c r="O2149" s="64">
        <v>0</v>
      </c>
    </row>
    <row r="2150" spans="1:15" x14ac:dyDescent="0.25">
      <c r="A2150" s="114" t="s">
        <v>522</v>
      </c>
      <c r="B2150" s="63" t="s">
        <v>51</v>
      </c>
      <c r="C2150" s="63" t="s">
        <v>95</v>
      </c>
      <c r="D2150" s="63">
        <v>0.109</v>
      </c>
      <c r="E2150" s="63">
        <v>1.0901000000000001</v>
      </c>
      <c r="F2150" s="63">
        <v>0.1</v>
      </c>
      <c r="G2150" s="63" t="s">
        <v>118</v>
      </c>
      <c r="H2150" s="63" t="s">
        <v>118</v>
      </c>
      <c r="I2150" s="63">
        <v>0</v>
      </c>
      <c r="J2150" s="63">
        <v>0</v>
      </c>
      <c r="L2150" s="63">
        <v>0</v>
      </c>
      <c r="M2150" s="63">
        <v>0.53259999999999996</v>
      </c>
      <c r="N2150" s="63">
        <v>0</v>
      </c>
      <c r="O2150" s="64">
        <v>0</v>
      </c>
    </row>
    <row r="2151" spans="1:15" x14ac:dyDescent="0.25">
      <c r="A2151" s="114" t="s">
        <v>526</v>
      </c>
      <c r="B2151" s="63" t="s">
        <v>51</v>
      </c>
      <c r="C2151" s="63" t="s">
        <v>95</v>
      </c>
      <c r="D2151" s="63">
        <v>1.0900000000000001</v>
      </c>
      <c r="E2151" s="63">
        <v>10.9001</v>
      </c>
      <c r="F2151" s="63">
        <v>0.1</v>
      </c>
      <c r="G2151" s="63" t="s">
        <v>118</v>
      </c>
      <c r="H2151" s="63" t="s">
        <v>118</v>
      </c>
      <c r="I2151" s="63">
        <v>0</v>
      </c>
      <c r="J2151" s="63">
        <v>0</v>
      </c>
      <c r="L2151" s="63">
        <v>0</v>
      </c>
      <c r="M2151" s="63">
        <v>5.3261000000000003E-2</v>
      </c>
      <c r="N2151" s="63">
        <v>0</v>
      </c>
      <c r="O2151" s="64">
        <v>0</v>
      </c>
    </row>
    <row r="2152" spans="1:15" x14ac:dyDescent="0.25">
      <c r="A2152" s="114" t="s">
        <v>529</v>
      </c>
      <c r="B2152" s="63" t="s">
        <v>51</v>
      </c>
      <c r="C2152" s="63" t="s">
        <v>95</v>
      </c>
      <c r="D2152" s="63">
        <v>10.9</v>
      </c>
      <c r="E2152" s="63">
        <v>109.0001</v>
      </c>
      <c r="F2152" s="63">
        <v>0.1</v>
      </c>
      <c r="G2152" s="63" t="s">
        <v>118</v>
      </c>
      <c r="H2152" s="63" t="s">
        <v>118</v>
      </c>
      <c r="I2152" s="63">
        <v>0</v>
      </c>
      <c r="J2152" s="63">
        <v>0</v>
      </c>
      <c r="L2152" s="63">
        <v>0</v>
      </c>
      <c r="M2152" s="63">
        <v>5.3322999999999999E-3</v>
      </c>
      <c r="N2152" s="63">
        <v>0</v>
      </c>
      <c r="O2152" s="64">
        <v>0</v>
      </c>
    </row>
    <row r="2153" spans="1:15" x14ac:dyDescent="0.25">
      <c r="A2153" s="114" t="s">
        <v>2653</v>
      </c>
      <c r="B2153" s="63" t="s">
        <v>51</v>
      </c>
      <c r="C2153" s="63" t="s">
        <v>95</v>
      </c>
      <c r="D2153" s="63">
        <v>109</v>
      </c>
      <c r="E2153" s="63">
        <v>330.00009999999997</v>
      </c>
      <c r="F2153" s="63">
        <v>0.1</v>
      </c>
      <c r="G2153" s="63" t="s">
        <v>118</v>
      </c>
      <c r="H2153" s="63" t="s">
        <v>118</v>
      </c>
      <c r="I2153" s="63">
        <v>0</v>
      </c>
      <c r="J2153" s="63">
        <v>0</v>
      </c>
      <c r="L2153" s="63">
        <v>0</v>
      </c>
      <c r="M2153" s="63">
        <v>5.5201999999999996E-4</v>
      </c>
      <c r="N2153" s="63">
        <v>0</v>
      </c>
      <c r="O2153" s="64">
        <v>0</v>
      </c>
    </row>
    <row r="2154" spans="1:15" x14ac:dyDescent="0.25">
      <c r="A2154" s="114" t="s">
        <v>2654</v>
      </c>
      <c r="B2154" s="63" t="s">
        <v>51</v>
      </c>
      <c r="C2154" s="63" t="s">
        <v>95</v>
      </c>
      <c r="D2154" s="63">
        <v>330</v>
      </c>
      <c r="E2154" s="63">
        <v>3000.0001000000002</v>
      </c>
      <c r="F2154" s="63">
        <v>0.1</v>
      </c>
      <c r="G2154" s="63" t="s">
        <v>118</v>
      </c>
      <c r="H2154" s="63" t="s">
        <v>118</v>
      </c>
      <c r="I2154" s="63">
        <v>0</v>
      </c>
      <c r="J2154" s="63">
        <v>0</v>
      </c>
      <c r="L2154" s="63">
        <v>0</v>
      </c>
      <c r="M2154" s="63">
        <v>6.2246000000000003E-4</v>
      </c>
      <c r="N2154" s="63">
        <v>0</v>
      </c>
      <c r="O2154" s="64">
        <v>0</v>
      </c>
    </row>
    <row r="2155" spans="1:15" x14ac:dyDescent="0.25">
      <c r="A2155" s="114" t="s">
        <v>527</v>
      </c>
      <c r="B2155" s="63" t="s">
        <v>51</v>
      </c>
      <c r="C2155" s="63" t="s">
        <v>95</v>
      </c>
      <c r="D2155" s="63">
        <v>1.0900000000000001</v>
      </c>
      <c r="E2155" s="63">
        <v>10.9001</v>
      </c>
      <c r="F2155" s="63">
        <v>1</v>
      </c>
      <c r="G2155" s="63" t="s">
        <v>118</v>
      </c>
      <c r="H2155" s="63" t="s">
        <v>118</v>
      </c>
      <c r="I2155" s="63">
        <v>0</v>
      </c>
      <c r="J2155" s="63">
        <v>0</v>
      </c>
      <c r="L2155" s="63">
        <v>0</v>
      </c>
      <c r="M2155" s="63">
        <v>0.53259999999999996</v>
      </c>
      <c r="N2155" s="63">
        <v>0</v>
      </c>
      <c r="O2155" s="64">
        <v>0</v>
      </c>
    </row>
    <row r="2156" spans="1:15" x14ac:dyDescent="0.25">
      <c r="A2156" s="114" t="s">
        <v>2655</v>
      </c>
      <c r="B2156" s="63" t="s">
        <v>51</v>
      </c>
      <c r="C2156" s="63" t="s">
        <v>95</v>
      </c>
      <c r="D2156" s="63">
        <v>10.9</v>
      </c>
      <c r="E2156" s="63">
        <v>109.0001</v>
      </c>
      <c r="F2156" s="63">
        <v>1</v>
      </c>
      <c r="G2156" s="63" t="s">
        <v>118</v>
      </c>
      <c r="H2156" s="63" t="s">
        <v>118</v>
      </c>
      <c r="I2156" s="63">
        <v>0</v>
      </c>
      <c r="J2156" s="63">
        <v>0</v>
      </c>
      <c r="L2156" s="63">
        <v>0</v>
      </c>
      <c r="M2156" s="63">
        <v>5.3261000000000003E-2</v>
      </c>
      <c r="N2156" s="63">
        <v>0</v>
      </c>
      <c r="O2156" s="64">
        <v>0</v>
      </c>
    </row>
    <row r="2157" spans="1:15" x14ac:dyDescent="0.25">
      <c r="A2157" s="114" t="s">
        <v>2656</v>
      </c>
      <c r="B2157" s="63" t="s">
        <v>51</v>
      </c>
      <c r="C2157" s="63" t="s">
        <v>95</v>
      </c>
      <c r="D2157" s="63">
        <v>109</v>
      </c>
      <c r="E2157" s="63">
        <v>330.00009999999997</v>
      </c>
      <c r="F2157" s="63">
        <v>1</v>
      </c>
      <c r="G2157" s="63" t="s">
        <v>118</v>
      </c>
      <c r="H2157" s="63" t="s">
        <v>118</v>
      </c>
      <c r="I2157" s="63">
        <v>0</v>
      </c>
      <c r="J2157" s="63">
        <v>0</v>
      </c>
      <c r="L2157" s="63">
        <v>0</v>
      </c>
      <c r="M2157" s="63">
        <v>5.3282E-3</v>
      </c>
      <c r="N2157" s="63">
        <v>0</v>
      </c>
      <c r="O2157" s="64">
        <v>0</v>
      </c>
    </row>
    <row r="2158" spans="1:15" x14ac:dyDescent="0.25">
      <c r="A2158" s="114" t="s">
        <v>534</v>
      </c>
      <c r="B2158" s="63" t="s">
        <v>51</v>
      </c>
      <c r="C2158" s="63" t="s">
        <v>95</v>
      </c>
      <c r="D2158" s="63">
        <v>330</v>
      </c>
      <c r="E2158" s="63">
        <v>3000.0001000000002</v>
      </c>
      <c r="F2158" s="63">
        <v>1</v>
      </c>
      <c r="G2158" s="63" t="s">
        <v>118</v>
      </c>
      <c r="H2158" s="63" t="s">
        <v>118</v>
      </c>
      <c r="I2158" s="63">
        <v>0</v>
      </c>
      <c r="J2158" s="63">
        <v>0</v>
      </c>
      <c r="L2158" s="63">
        <v>0</v>
      </c>
      <c r="M2158" s="63">
        <v>1.8565000000000001E-3</v>
      </c>
      <c r="N2158" s="63">
        <v>0</v>
      </c>
      <c r="O2158" s="64">
        <v>0</v>
      </c>
    </row>
    <row r="2159" spans="1:15" x14ac:dyDescent="0.25">
      <c r="A2159" s="114" t="s">
        <v>530</v>
      </c>
      <c r="B2159" s="63" t="s">
        <v>51</v>
      </c>
      <c r="C2159" s="63" t="s">
        <v>95</v>
      </c>
      <c r="D2159" s="63">
        <v>10.9</v>
      </c>
      <c r="E2159" s="63">
        <v>109.0001</v>
      </c>
      <c r="F2159" s="63">
        <v>10</v>
      </c>
      <c r="G2159" s="63" t="s">
        <v>118</v>
      </c>
      <c r="H2159" s="63" t="s">
        <v>118</v>
      </c>
      <c r="I2159" s="63">
        <v>0</v>
      </c>
      <c r="J2159" s="63">
        <v>0</v>
      </c>
      <c r="L2159" s="63">
        <v>0</v>
      </c>
      <c r="M2159" s="63">
        <v>0.53259999999999996</v>
      </c>
      <c r="N2159" s="63">
        <v>0</v>
      </c>
      <c r="O2159" s="64">
        <v>0</v>
      </c>
    </row>
    <row r="2160" spans="1:15" x14ac:dyDescent="0.25">
      <c r="A2160" s="114" t="s">
        <v>533</v>
      </c>
      <c r="B2160" s="63" t="s">
        <v>51</v>
      </c>
      <c r="C2160" s="63" t="s">
        <v>95</v>
      </c>
      <c r="D2160" s="63">
        <v>109</v>
      </c>
      <c r="E2160" s="63">
        <v>330.00009999999997</v>
      </c>
      <c r="F2160" s="63">
        <v>10</v>
      </c>
      <c r="G2160" s="63" t="s">
        <v>118</v>
      </c>
      <c r="H2160" s="63" t="s">
        <v>118</v>
      </c>
      <c r="I2160" s="63">
        <v>0</v>
      </c>
      <c r="J2160" s="63">
        <v>0</v>
      </c>
      <c r="L2160" s="63">
        <v>0</v>
      </c>
      <c r="M2160" s="63">
        <v>5.3260000000000002E-2</v>
      </c>
      <c r="N2160" s="63">
        <v>0</v>
      </c>
      <c r="O2160" s="64">
        <v>0</v>
      </c>
    </row>
    <row r="2161" spans="1:15" x14ac:dyDescent="0.25">
      <c r="A2161" s="114" t="s">
        <v>535</v>
      </c>
      <c r="B2161" s="63" t="s">
        <v>51</v>
      </c>
      <c r="C2161" s="63" t="s">
        <v>95</v>
      </c>
      <c r="D2161" s="63">
        <v>330</v>
      </c>
      <c r="E2161" s="63">
        <v>3000.0001000000002</v>
      </c>
      <c r="F2161" s="63">
        <v>10</v>
      </c>
      <c r="G2161" s="63" t="s">
        <v>118</v>
      </c>
      <c r="H2161" s="63" t="s">
        <v>118</v>
      </c>
      <c r="I2161" s="63">
        <v>0</v>
      </c>
      <c r="J2161" s="63">
        <v>0</v>
      </c>
      <c r="L2161" s="63">
        <v>0</v>
      </c>
      <c r="M2161" s="63">
        <v>1.7586000000000001E-2</v>
      </c>
      <c r="N2161" s="63">
        <v>0</v>
      </c>
      <c r="O2161" s="64">
        <v>0</v>
      </c>
    </row>
    <row r="2162" spans="1:15" x14ac:dyDescent="0.25">
      <c r="A2162" s="114" t="s">
        <v>537</v>
      </c>
      <c r="B2162" s="63" t="s">
        <v>51</v>
      </c>
      <c r="C2162" s="63" t="s">
        <v>95</v>
      </c>
      <c r="D2162" s="63">
        <v>3000</v>
      </c>
      <c r="E2162" s="63">
        <v>11000.1</v>
      </c>
      <c r="F2162" s="63">
        <v>10</v>
      </c>
      <c r="G2162" s="63" t="s">
        <v>118</v>
      </c>
      <c r="H2162" s="63" t="s">
        <v>118</v>
      </c>
      <c r="I2162" s="63">
        <v>0</v>
      </c>
      <c r="J2162" s="63">
        <v>0</v>
      </c>
      <c r="L2162" s="63">
        <v>0</v>
      </c>
      <c r="M2162" s="63">
        <v>9.1E-4</v>
      </c>
      <c r="N2162" s="63">
        <v>0</v>
      </c>
      <c r="O2162" s="64">
        <v>0</v>
      </c>
    </row>
    <row r="2163" spans="1:15" x14ac:dyDescent="0.25">
      <c r="A2163" s="114" t="s">
        <v>541</v>
      </c>
      <c r="B2163" s="63" t="s">
        <v>51</v>
      </c>
      <c r="C2163" s="63" t="s">
        <v>95</v>
      </c>
      <c r="D2163" s="63">
        <v>11000</v>
      </c>
      <c r="E2163" s="63">
        <v>24500</v>
      </c>
      <c r="F2163" s="63">
        <v>10</v>
      </c>
      <c r="G2163" s="63" t="s">
        <v>118</v>
      </c>
      <c r="H2163" s="63" t="s">
        <v>118</v>
      </c>
      <c r="I2163" s="63">
        <v>0</v>
      </c>
      <c r="J2163" s="63">
        <v>0</v>
      </c>
      <c r="L2163" s="63">
        <v>0</v>
      </c>
      <c r="M2163" s="63">
        <v>1.4E-3</v>
      </c>
      <c r="N2163" s="63">
        <v>0</v>
      </c>
      <c r="O2163" s="64">
        <v>0</v>
      </c>
    </row>
    <row r="2164" spans="1:15" x14ac:dyDescent="0.25">
      <c r="A2164" s="114" t="s">
        <v>1961</v>
      </c>
      <c r="B2164" s="63" t="s">
        <v>51</v>
      </c>
      <c r="C2164" s="63" t="s">
        <v>95</v>
      </c>
      <c r="D2164" s="63">
        <v>24500</v>
      </c>
      <c r="E2164" s="63">
        <v>24501</v>
      </c>
      <c r="F2164" s="63">
        <v>10</v>
      </c>
      <c r="G2164" s="63" t="s">
        <v>97</v>
      </c>
      <c r="H2164" s="63" t="s">
        <v>97</v>
      </c>
      <c r="I2164" s="63">
        <v>0</v>
      </c>
      <c r="J2164" s="63">
        <v>0</v>
      </c>
      <c r="L2164" s="63">
        <v>0</v>
      </c>
      <c r="M2164" s="63">
        <v>1.4E-3</v>
      </c>
      <c r="N2164" s="63">
        <v>0</v>
      </c>
      <c r="O2164" s="64">
        <v>0</v>
      </c>
    </row>
    <row r="2165" spans="1:15" x14ac:dyDescent="0.25">
      <c r="A2165" s="114" t="s">
        <v>536</v>
      </c>
      <c r="B2165" s="63" t="s">
        <v>51</v>
      </c>
      <c r="C2165" s="63" t="s">
        <v>95</v>
      </c>
      <c r="D2165" s="63">
        <v>330</v>
      </c>
      <c r="E2165" s="63">
        <v>3000.0001000000002</v>
      </c>
      <c r="F2165" s="63">
        <v>100</v>
      </c>
      <c r="G2165" s="63" t="s">
        <v>118</v>
      </c>
      <c r="H2165" s="63" t="s">
        <v>118</v>
      </c>
      <c r="I2165" s="63">
        <v>0</v>
      </c>
      <c r="J2165" s="63">
        <v>0</v>
      </c>
      <c r="L2165" s="63">
        <v>0</v>
      </c>
      <c r="M2165" s="63">
        <v>0.17576</v>
      </c>
      <c r="N2165" s="63">
        <v>0</v>
      </c>
      <c r="O2165" s="64">
        <v>0</v>
      </c>
    </row>
    <row r="2166" spans="1:15" x14ac:dyDescent="0.25">
      <c r="A2166" s="114" t="s">
        <v>538</v>
      </c>
      <c r="B2166" s="63" t="s">
        <v>51</v>
      </c>
      <c r="C2166" s="63" t="s">
        <v>95</v>
      </c>
      <c r="D2166" s="63">
        <v>3000</v>
      </c>
      <c r="E2166" s="63">
        <v>11000.1</v>
      </c>
      <c r="F2166" s="63">
        <v>100</v>
      </c>
      <c r="G2166" s="63" t="s">
        <v>118</v>
      </c>
      <c r="H2166" s="63" t="s">
        <v>118</v>
      </c>
      <c r="I2166" s="63">
        <v>0</v>
      </c>
      <c r="J2166" s="63">
        <v>0</v>
      </c>
      <c r="L2166" s="63">
        <v>0</v>
      </c>
      <c r="M2166" s="63">
        <v>9.1E-4</v>
      </c>
      <c r="N2166" s="63">
        <v>0</v>
      </c>
      <c r="O2166" s="64">
        <v>0</v>
      </c>
    </row>
    <row r="2167" spans="1:15" x14ac:dyDescent="0.25">
      <c r="A2167" s="114" t="s">
        <v>2657</v>
      </c>
      <c r="B2167" s="63" t="s">
        <v>51</v>
      </c>
      <c r="C2167" s="63" t="s">
        <v>95</v>
      </c>
      <c r="D2167" s="63">
        <v>11000</v>
      </c>
      <c r="E2167" s="63">
        <v>24500</v>
      </c>
      <c r="F2167" s="63">
        <v>100</v>
      </c>
      <c r="G2167" s="63" t="s">
        <v>118</v>
      </c>
      <c r="H2167" s="63" t="s">
        <v>118</v>
      </c>
      <c r="I2167" s="63">
        <v>0</v>
      </c>
      <c r="J2167" s="63">
        <v>0</v>
      </c>
      <c r="L2167" s="63">
        <v>0</v>
      </c>
      <c r="M2167" s="63">
        <v>1.4E-3</v>
      </c>
      <c r="N2167" s="63">
        <v>0</v>
      </c>
      <c r="O2167" s="64">
        <v>0</v>
      </c>
    </row>
    <row r="2168" spans="1:15" x14ac:dyDescent="0.25">
      <c r="A2168" s="114" t="s">
        <v>2658</v>
      </c>
      <c r="B2168" s="63" t="s">
        <v>51</v>
      </c>
      <c r="C2168" s="63" t="s">
        <v>95</v>
      </c>
      <c r="D2168" s="63">
        <v>24500</v>
      </c>
      <c r="E2168" s="63">
        <v>24501</v>
      </c>
      <c r="F2168" s="63">
        <v>100</v>
      </c>
      <c r="G2168" s="63" t="s">
        <v>97</v>
      </c>
      <c r="H2168" s="63" t="s">
        <v>97</v>
      </c>
      <c r="I2168" s="63">
        <v>0</v>
      </c>
      <c r="J2168" s="63">
        <v>0</v>
      </c>
      <c r="L2168" s="63">
        <v>0</v>
      </c>
      <c r="M2168" s="63">
        <v>1.4E-3</v>
      </c>
      <c r="N2168" s="63">
        <v>0</v>
      </c>
      <c r="O2168" s="64">
        <v>0</v>
      </c>
    </row>
    <row r="2169" spans="1:15" x14ac:dyDescent="0.25">
      <c r="A2169" s="114" t="s">
        <v>539</v>
      </c>
      <c r="B2169" s="63" t="s">
        <v>51</v>
      </c>
      <c r="C2169" s="63" t="s">
        <v>95</v>
      </c>
      <c r="D2169" s="63">
        <v>3000</v>
      </c>
      <c r="E2169" s="63">
        <v>11000.1</v>
      </c>
      <c r="F2169" s="63">
        <v>1000</v>
      </c>
      <c r="G2169" s="63" t="s">
        <v>118</v>
      </c>
      <c r="H2169" s="63" t="s">
        <v>118</v>
      </c>
      <c r="I2169" s="63">
        <v>0</v>
      </c>
      <c r="J2169" s="63">
        <v>0</v>
      </c>
      <c r="L2169" s="63">
        <v>0</v>
      </c>
      <c r="M2169" s="63">
        <v>9.2997999999999996E-4</v>
      </c>
      <c r="N2169" s="63">
        <v>0</v>
      </c>
      <c r="O2169" s="64">
        <v>0</v>
      </c>
    </row>
    <row r="2170" spans="1:15" x14ac:dyDescent="0.25">
      <c r="A2170" s="114" t="s">
        <v>542</v>
      </c>
      <c r="B2170" s="63" t="s">
        <v>51</v>
      </c>
      <c r="C2170" s="63" t="s">
        <v>95</v>
      </c>
      <c r="D2170" s="63">
        <v>11000</v>
      </c>
      <c r="E2170" s="63">
        <v>24500</v>
      </c>
      <c r="F2170" s="63">
        <v>1000</v>
      </c>
      <c r="G2170" s="63" t="s">
        <v>118</v>
      </c>
      <c r="H2170" s="63" t="s">
        <v>118</v>
      </c>
      <c r="I2170" s="63">
        <v>0</v>
      </c>
      <c r="J2170" s="63">
        <v>0</v>
      </c>
      <c r="L2170" s="63">
        <v>0</v>
      </c>
      <c r="M2170" s="63">
        <v>1.4429E-3</v>
      </c>
      <c r="N2170" s="63">
        <v>0</v>
      </c>
      <c r="O2170" s="64">
        <v>0</v>
      </c>
    </row>
    <row r="2171" spans="1:15" x14ac:dyDescent="0.25">
      <c r="A2171" s="114" t="s">
        <v>1962</v>
      </c>
      <c r="B2171" s="63" t="s">
        <v>51</v>
      </c>
      <c r="C2171" s="63" t="s">
        <v>95</v>
      </c>
      <c r="D2171" s="63">
        <v>24500</v>
      </c>
      <c r="E2171" s="63">
        <v>24501</v>
      </c>
      <c r="F2171" s="63">
        <v>1000</v>
      </c>
      <c r="G2171" s="63" t="s">
        <v>97</v>
      </c>
      <c r="H2171" s="63" t="s">
        <v>97</v>
      </c>
      <c r="I2171" s="63">
        <v>0</v>
      </c>
      <c r="J2171" s="63">
        <v>0</v>
      </c>
      <c r="L2171" s="63">
        <v>0</v>
      </c>
      <c r="M2171" s="63">
        <v>1.4429E-3</v>
      </c>
      <c r="N2171" s="63">
        <v>0</v>
      </c>
      <c r="O2171" s="64">
        <v>0</v>
      </c>
    </row>
    <row r="2172" spans="1:15" x14ac:dyDescent="0.25">
      <c r="A2172" s="114" t="s">
        <v>540</v>
      </c>
      <c r="B2172" s="63" t="s">
        <v>51</v>
      </c>
      <c r="C2172" s="63" t="s">
        <v>95</v>
      </c>
      <c r="D2172" s="63">
        <v>3000</v>
      </c>
      <c r="E2172" s="63">
        <v>11000.1</v>
      </c>
      <c r="F2172" s="63">
        <v>10000</v>
      </c>
      <c r="G2172" s="63" t="s">
        <v>118</v>
      </c>
      <c r="H2172" s="63" t="s">
        <v>118</v>
      </c>
      <c r="I2172" s="63">
        <v>0</v>
      </c>
      <c r="J2172" s="63">
        <v>0</v>
      </c>
      <c r="L2172" s="63">
        <v>0</v>
      </c>
      <c r="M2172" s="63">
        <v>2.1367000000000001E-3</v>
      </c>
      <c r="N2172" s="63">
        <v>0</v>
      </c>
      <c r="O2172" s="64">
        <v>0</v>
      </c>
    </row>
    <row r="2173" spans="1:15" x14ac:dyDescent="0.25">
      <c r="A2173" s="114" t="s">
        <v>543</v>
      </c>
      <c r="B2173" s="63" t="s">
        <v>51</v>
      </c>
      <c r="C2173" s="63" t="s">
        <v>95</v>
      </c>
      <c r="D2173" s="63">
        <v>11000</v>
      </c>
      <c r="E2173" s="63">
        <v>24500</v>
      </c>
      <c r="F2173" s="63">
        <v>10000</v>
      </c>
      <c r="G2173" s="63" t="s">
        <v>118</v>
      </c>
      <c r="H2173" s="63" t="s">
        <v>118</v>
      </c>
      <c r="I2173" s="63">
        <v>0</v>
      </c>
      <c r="J2173" s="63">
        <v>0</v>
      </c>
      <c r="L2173" s="63">
        <v>0</v>
      </c>
      <c r="M2173" s="63">
        <v>5.4410999999999999E-3</v>
      </c>
      <c r="N2173" s="63">
        <v>0</v>
      </c>
      <c r="O2173" s="64">
        <v>0</v>
      </c>
    </row>
    <row r="2174" spans="1:15" x14ac:dyDescent="0.25">
      <c r="A2174" s="114" t="s">
        <v>1963</v>
      </c>
      <c r="B2174" s="63" t="s">
        <v>51</v>
      </c>
      <c r="C2174" s="63" t="s">
        <v>95</v>
      </c>
      <c r="D2174" s="63">
        <v>24500</v>
      </c>
      <c r="E2174" s="63">
        <v>24501</v>
      </c>
      <c r="F2174" s="63">
        <v>10000</v>
      </c>
      <c r="G2174" s="63" t="s">
        <v>97</v>
      </c>
      <c r="H2174" s="63" t="s">
        <v>97</v>
      </c>
      <c r="I2174" s="63">
        <v>0</v>
      </c>
      <c r="J2174" s="63">
        <v>0</v>
      </c>
      <c r="L2174" s="63">
        <v>0</v>
      </c>
      <c r="M2174" s="63">
        <v>5.4410999999999999E-3</v>
      </c>
      <c r="N2174" s="63">
        <v>0</v>
      </c>
      <c r="O2174" s="64">
        <v>0</v>
      </c>
    </row>
    <row r="2175" spans="1:15" x14ac:dyDescent="0.25">
      <c r="A2175" s="114" t="s">
        <v>2659</v>
      </c>
      <c r="B2175" s="63" t="s">
        <v>51</v>
      </c>
      <c r="C2175" s="63" t="s">
        <v>95</v>
      </c>
      <c r="D2175" s="63">
        <v>3000</v>
      </c>
      <c r="E2175" s="63">
        <v>11000.1</v>
      </c>
      <c r="F2175" s="63">
        <v>100000</v>
      </c>
      <c r="G2175" s="63" t="s">
        <v>118</v>
      </c>
      <c r="H2175" s="63" t="s">
        <v>118</v>
      </c>
      <c r="I2175" s="63">
        <v>0</v>
      </c>
      <c r="J2175" s="63">
        <v>0</v>
      </c>
      <c r="L2175" s="63">
        <v>0</v>
      </c>
      <c r="M2175" s="63">
        <v>1.9355000000000001E-2</v>
      </c>
      <c r="N2175" s="63">
        <v>0</v>
      </c>
      <c r="O2175" s="64">
        <v>0</v>
      </c>
    </row>
    <row r="2176" spans="1:15" x14ac:dyDescent="0.25">
      <c r="A2176" s="114" t="s">
        <v>2660</v>
      </c>
      <c r="B2176" s="63" t="s">
        <v>51</v>
      </c>
      <c r="C2176" s="63" t="s">
        <v>95</v>
      </c>
      <c r="D2176" s="63">
        <v>11000</v>
      </c>
      <c r="E2176" s="63">
        <v>24500</v>
      </c>
      <c r="F2176" s="63">
        <v>100000</v>
      </c>
      <c r="G2176" s="63" t="s">
        <v>118</v>
      </c>
      <c r="H2176" s="63" t="s">
        <v>118</v>
      </c>
      <c r="I2176" s="63">
        <v>0</v>
      </c>
      <c r="J2176" s="63">
        <v>0</v>
      </c>
      <c r="L2176" s="63">
        <v>0</v>
      </c>
      <c r="M2176" s="63">
        <v>5.2745E-2</v>
      </c>
      <c r="N2176" s="63">
        <v>0</v>
      </c>
      <c r="O2176" s="64">
        <v>0</v>
      </c>
    </row>
    <row r="2177" spans="1:15" x14ac:dyDescent="0.25">
      <c r="A2177" s="114" t="s">
        <v>1964</v>
      </c>
      <c r="B2177" s="63" t="s">
        <v>51</v>
      </c>
      <c r="C2177" s="63" t="s">
        <v>95</v>
      </c>
      <c r="D2177" s="63">
        <v>24500</v>
      </c>
      <c r="E2177" s="63">
        <v>24501</v>
      </c>
      <c r="F2177" s="63">
        <v>100000</v>
      </c>
      <c r="G2177" s="63" t="s">
        <v>97</v>
      </c>
      <c r="H2177" s="63" t="s">
        <v>97</v>
      </c>
      <c r="I2177" s="63">
        <v>0</v>
      </c>
      <c r="J2177" s="63">
        <v>0</v>
      </c>
      <c r="L2177" s="63">
        <v>0</v>
      </c>
      <c r="M2177" s="63">
        <v>5.2745E-2</v>
      </c>
      <c r="N2177" s="63">
        <v>0</v>
      </c>
      <c r="O2177" s="64">
        <v>0</v>
      </c>
    </row>
    <row r="2178" spans="1:15" x14ac:dyDescent="0.25">
      <c r="A2178" s="114" t="s">
        <v>2661</v>
      </c>
      <c r="B2178" s="63" t="s">
        <v>51</v>
      </c>
      <c r="C2178" s="63" t="s">
        <v>77</v>
      </c>
      <c r="D2178" s="63">
        <v>-418</v>
      </c>
      <c r="E2178" s="63">
        <v>-147.9</v>
      </c>
      <c r="F2178" s="63">
        <v>0.1</v>
      </c>
      <c r="G2178" s="63" t="s">
        <v>26</v>
      </c>
      <c r="H2178" s="63" t="s">
        <v>26</v>
      </c>
      <c r="I2178" s="63">
        <v>0</v>
      </c>
      <c r="J2178" s="63">
        <v>0</v>
      </c>
      <c r="L2178" s="63">
        <v>1.0462465556980001</v>
      </c>
      <c r="M2178" s="63">
        <v>0</v>
      </c>
      <c r="N2178" s="63">
        <v>1.04325972572</v>
      </c>
      <c r="O2178" s="64">
        <v>0</v>
      </c>
    </row>
    <row r="2179" spans="1:15" x14ac:dyDescent="0.25">
      <c r="A2179" s="114" t="s">
        <v>504</v>
      </c>
      <c r="B2179" s="63" t="s">
        <v>51</v>
      </c>
      <c r="C2179" s="63" t="s">
        <v>77</v>
      </c>
      <c r="D2179" s="63">
        <v>-148</v>
      </c>
      <c r="E2179" s="63">
        <v>-12.9</v>
      </c>
      <c r="F2179" s="63">
        <v>0.1</v>
      </c>
      <c r="G2179" s="63" t="s">
        <v>26</v>
      </c>
      <c r="H2179" s="63" t="s">
        <v>26</v>
      </c>
      <c r="I2179" s="63">
        <v>0</v>
      </c>
      <c r="J2179" s="63">
        <v>0</v>
      </c>
      <c r="L2179" s="63">
        <v>0.34659772782699999</v>
      </c>
      <c r="M2179" s="63">
        <v>0</v>
      </c>
      <c r="N2179" s="63">
        <v>0.34484265565200001</v>
      </c>
      <c r="O2179" s="64">
        <v>0</v>
      </c>
    </row>
    <row r="2180" spans="1:15" x14ac:dyDescent="0.25">
      <c r="A2180" s="114" t="s">
        <v>506</v>
      </c>
      <c r="B2180" s="63" t="s">
        <v>51</v>
      </c>
      <c r="C2180" s="63" t="s">
        <v>77</v>
      </c>
      <c r="D2180" s="63">
        <v>-13</v>
      </c>
      <c r="E2180" s="63">
        <v>662.1</v>
      </c>
      <c r="F2180" s="63">
        <v>0.1</v>
      </c>
      <c r="G2180" s="63" t="s">
        <v>26</v>
      </c>
      <c r="H2180" s="63" t="s">
        <v>26</v>
      </c>
      <c r="I2180" s="63">
        <v>0</v>
      </c>
      <c r="J2180" s="63">
        <v>0</v>
      </c>
      <c r="L2180" s="63">
        <v>0.30436869761800001</v>
      </c>
      <c r="M2180" s="63">
        <v>0</v>
      </c>
      <c r="N2180" s="63">
        <v>0.30236860999800003</v>
      </c>
      <c r="O2180" s="64">
        <v>0</v>
      </c>
    </row>
    <row r="2181" spans="1:15" x14ac:dyDescent="0.25">
      <c r="A2181" s="114" t="s">
        <v>507</v>
      </c>
      <c r="B2181" s="63" t="s">
        <v>51</v>
      </c>
      <c r="C2181" s="63" t="s">
        <v>77</v>
      </c>
      <c r="D2181" s="63">
        <v>662</v>
      </c>
      <c r="E2181" s="63">
        <v>1202.0999999999999</v>
      </c>
      <c r="F2181" s="63">
        <v>0.1</v>
      </c>
      <c r="G2181" s="63" t="s">
        <v>26</v>
      </c>
      <c r="H2181" s="63" t="s">
        <v>26</v>
      </c>
      <c r="I2181" s="63">
        <v>0</v>
      </c>
      <c r="J2181" s="63">
        <v>0</v>
      </c>
      <c r="L2181" s="63">
        <v>0.343521972043</v>
      </c>
      <c r="M2181" s="63">
        <v>0</v>
      </c>
      <c r="N2181" s="63">
        <v>0.34251116891599998</v>
      </c>
      <c r="O2181" s="64">
        <v>0</v>
      </c>
    </row>
    <row r="2182" spans="1:15" x14ac:dyDescent="0.25">
      <c r="A2182" s="114" t="s">
        <v>509</v>
      </c>
      <c r="B2182" s="63" t="s">
        <v>51</v>
      </c>
      <c r="C2182" s="63" t="s">
        <v>77</v>
      </c>
      <c r="D2182" s="63">
        <v>1202</v>
      </c>
      <c r="E2182" s="63">
        <v>1832</v>
      </c>
      <c r="F2182" s="63">
        <v>0.1</v>
      </c>
      <c r="G2182" s="63" t="s">
        <v>26</v>
      </c>
      <c r="H2182" s="63" t="s">
        <v>26</v>
      </c>
      <c r="I2182" s="63">
        <v>0</v>
      </c>
      <c r="J2182" s="63">
        <v>0</v>
      </c>
      <c r="L2182" s="63">
        <v>0.44489108766800001</v>
      </c>
      <c r="M2182" s="63">
        <v>0</v>
      </c>
      <c r="N2182" s="63">
        <v>0.44411106205700002</v>
      </c>
      <c r="O2182" s="64">
        <v>0</v>
      </c>
    </row>
    <row r="2183" spans="1:15" x14ac:dyDescent="0.25">
      <c r="A2183" s="114" t="s">
        <v>2662</v>
      </c>
      <c r="B2183" s="63" t="s">
        <v>51</v>
      </c>
      <c r="C2183" s="63" t="s">
        <v>77</v>
      </c>
      <c r="D2183" s="63">
        <v>1832</v>
      </c>
      <c r="E2183" s="63">
        <v>1832.1</v>
      </c>
      <c r="F2183" s="63">
        <v>0.1</v>
      </c>
      <c r="G2183" s="63" t="s">
        <v>26</v>
      </c>
      <c r="H2183" s="63" t="s">
        <v>26</v>
      </c>
      <c r="I2183" s="63">
        <v>0</v>
      </c>
      <c r="J2183" s="63">
        <v>0</v>
      </c>
      <c r="L2183" s="63">
        <v>0.44489108766800001</v>
      </c>
      <c r="M2183" s="63">
        <v>0</v>
      </c>
      <c r="N2183" s="63">
        <v>0.44411106205700002</v>
      </c>
      <c r="O2183" s="64">
        <v>0</v>
      </c>
    </row>
    <row r="2184" spans="1:15" x14ac:dyDescent="0.25">
      <c r="A2184" s="114" t="s">
        <v>503</v>
      </c>
      <c r="B2184" s="63" t="s">
        <v>51</v>
      </c>
      <c r="C2184" s="63" t="s">
        <v>77</v>
      </c>
      <c r="D2184" s="63">
        <v>-418</v>
      </c>
      <c r="E2184" s="63">
        <v>-147.9</v>
      </c>
      <c r="F2184" s="63">
        <v>1</v>
      </c>
      <c r="G2184" s="63" t="s">
        <v>26</v>
      </c>
      <c r="H2184" s="63" t="s">
        <v>26</v>
      </c>
      <c r="I2184" s="63">
        <v>0</v>
      </c>
      <c r="J2184" s="63">
        <v>0</v>
      </c>
      <c r="L2184" s="63">
        <v>1.2013970431580001</v>
      </c>
      <c r="M2184" s="63">
        <v>0</v>
      </c>
      <c r="N2184" s="63">
        <v>1.19096215528</v>
      </c>
      <c r="O2184" s="64">
        <v>0</v>
      </c>
    </row>
    <row r="2185" spans="1:15" x14ac:dyDescent="0.25">
      <c r="A2185" s="114" t="s">
        <v>505</v>
      </c>
      <c r="B2185" s="63" t="s">
        <v>51</v>
      </c>
      <c r="C2185" s="63" t="s">
        <v>77</v>
      </c>
      <c r="D2185" s="63">
        <v>-148</v>
      </c>
      <c r="E2185" s="63">
        <v>-12.9</v>
      </c>
      <c r="F2185" s="63">
        <v>1</v>
      </c>
      <c r="G2185" s="63" t="s">
        <v>26</v>
      </c>
      <c r="H2185" s="63" t="s">
        <v>26</v>
      </c>
      <c r="I2185" s="63">
        <v>0</v>
      </c>
      <c r="J2185" s="63">
        <v>0</v>
      </c>
      <c r="L2185" s="63">
        <v>1.2013970431580001</v>
      </c>
      <c r="M2185" s="63">
        <v>0</v>
      </c>
      <c r="N2185" s="63">
        <v>1.19096215528</v>
      </c>
      <c r="O2185" s="64">
        <v>0</v>
      </c>
    </row>
    <row r="2186" spans="1:15" x14ac:dyDescent="0.25">
      <c r="A2186" s="114" t="s">
        <v>2663</v>
      </c>
      <c r="B2186" s="63" t="s">
        <v>51</v>
      </c>
      <c r="C2186" s="63" t="s">
        <v>77</v>
      </c>
      <c r="D2186" s="63">
        <v>-13</v>
      </c>
      <c r="E2186" s="63">
        <v>662.1</v>
      </c>
      <c r="F2186" s="63">
        <v>1</v>
      </c>
      <c r="G2186" s="63" t="s">
        <v>26</v>
      </c>
      <c r="H2186" s="63" t="s">
        <v>26</v>
      </c>
      <c r="I2186" s="63">
        <v>0</v>
      </c>
      <c r="J2186" s="63">
        <v>0</v>
      </c>
      <c r="L2186" s="63">
        <v>0.65290189724299996</v>
      </c>
      <c r="M2186" s="63">
        <v>0</v>
      </c>
      <c r="N2186" s="63">
        <v>0.64917391838500005</v>
      </c>
      <c r="O2186" s="64">
        <v>0</v>
      </c>
    </row>
    <row r="2187" spans="1:15" x14ac:dyDescent="0.25">
      <c r="A2187" s="114" t="s">
        <v>508</v>
      </c>
      <c r="B2187" s="63" t="s">
        <v>51</v>
      </c>
      <c r="C2187" s="63" t="s">
        <v>77</v>
      </c>
      <c r="D2187" s="63">
        <v>662</v>
      </c>
      <c r="E2187" s="63">
        <v>1202.0999999999999</v>
      </c>
      <c r="F2187" s="63">
        <v>1</v>
      </c>
      <c r="G2187" s="63" t="s">
        <v>26</v>
      </c>
      <c r="H2187" s="63" t="s">
        <v>26</v>
      </c>
      <c r="I2187" s="63">
        <v>0</v>
      </c>
      <c r="J2187" s="63">
        <v>0</v>
      </c>
      <c r="L2187" s="63">
        <v>0.67088574184399996</v>
      </c>
      <c r="M2187" s="63">
        <v>0</v>
      </c>
      <c r="N2187" s="63">
        <v>0.66881529650000004</v>
      </c>
      <c r="O2187" s="64">
        <v>0</v>
      </c>
    </row>
    <row r="2188" spans="1:15" x14ac:dyDescent="0.25">
      <c r="A2188" s="114" t="s">
        <v>510</v>
      </c>
      <c r="B2188" s="63" t="s">
        <v>51</v>
      </c>
      <c r="C2188" s="63" t="s">
        <v>77</v>
      </c>
      <c r="D2188" s="63">
        <v>1202</v>
      </c>
      <c r="E2188" s="63">
        <v>1832</v>
      </c>
      <c r="F2188" s="63">
        <v>1</v>
      </c>
      <c r="G2188" s="63" t="s">
        <v>26</v>
      </c>
      <c r="H2188" s="63" t="s">
        <v>26</v>
      </c>
      <c r="I2188" s="63">
        <v>0</v>
      </c>
      <c r="J2188" s="63">
        <v>0</v>
      </c>
      <c r="L2188" s="63">
        <v>0.72801676712800001</v>
      </c>
      <c r="M2188" s="63">
        <v>0</v>
      </c>
      <c r="N2188" s="63">
        <v>0.72610924483999995</v>
      </c>
      <c r="O2188" s="64">
        <v>0</v>
      </c>
    </row>
    <row r="2189" spans="1:15" x14ac:dyDescent="0.25">
      <c r="A2189" s="114" t="s">
        <v>511</v>
      </c>
      <c r="B2189" s="63" t="s">
        <v>51</v>
      </c>
      <c r="C2189" s="63" t="s">
        <v>77</v>
      </c>
      <c r="D2189" s="63">
        <v>1832</v>
      </c>
      <c r="E2189" s="63">
        <v>1832.1</v>
      </c>
      <c r="F2189" s="63">
        <v>1</v>
      </c>
      <c r="G2189" s="63" t="s">
        <v>26</v>
      </c>
      <c r="H2189" s="63" t="s">
        <v>26</v>
      </c>
      <c r="I2189" s="63">
        <v>0</v>
      </c>
      <c r="J2189" s="63">
        <v>0</v>
      </c>
      <c r="L2189" s="63">
        <v>0.72801676712800001</v>
      </c>
      <c r="M2189" s="63">
        <v>0</v>
      </c>
      <c r="N2189" s="63">
        <v>0.72610924483999995</v>
      </c>
      <c r="O2189" s="64">
        <v>0</v>
      </c>
    </row>
    <row r="2190" spans="1:15" x14ac:dyDescent="0.25">
      <c r="A2190" s="114" t="s">
        <v>492</v>
      </c>
      <c r="B2190" s="63" t="s">
        <v>51</v>
      </c>
      <c r="C2190" s="63" t="s">
        <v>78</v>
      </c>
      <c r="D2190" s="63">
        <v>-346</v>
      </c>
      <c r="E2190" s="63">
        <v>-147.9</v>
      </c>
      <c r="F2190" s="63">
        <v>0.1</v>
      </c>
      <c r="G2190" s="63" t="s">
        <v>26</v>
      </c>
      <c r="H2190" s="63" t="s">
        <v>26</v>
      </c>
      <c r="I2190" s="63">
        <v>0</v>
      </c>
      <c r="J2190" s="63">
        <v>0</v>
      </c>
      <c r="L2190" s="63">
        <v>0.57726726887599999</v>
      </c>
      <c r="M2190" s="63">
        <v>0</v>
      </c>
      <c r="N2190" s="63">
        <v>0.56757588796900005</v>
      </c>
      <c r="O2190" s="64">
        <v>0</v>
      </c>
    </row>
    <row r="2191" spans="1:15" x14ac:dyDescent="0.25">
      <c r="A2191" s="114" t="s">
        <v>493</v>
      </c>
      <c r="B2191" s="63" t="s">
        <v>51</v>
      </c>
      <c r="C2191" s="63" t="s">
        <v>78</v>
      </c>
      <c r="D2191" s="63">
        <v>-148</v>
      </c>
      <c r="E2191" s="63">
        <v>-21.9</v>
      </c>
      <c r="F2191" s="63">
        <v>0.1</v>
      </c>
      <c r="G2191" s="63" t="s">
        <v>26</v>
      </c>
      <c r="H2191" s="63" t="s">
        <v>26</v>
      </c>
      <c r="I2191" s="63">
        <v>0</v>
      </c>
      <c r="J2191" s="63">
        <v>0</v>
      </c>
      <c r="L2191" s="63">
        <v>0.35407548367000002</v>
      </c>
      <c r="M2191" s="63">
        <v>0</v>
      </c>
      <c r="N2191" s="63">
        <v>0.34262929971700001</v>
      </c>
      <c r="O2191" s="64">
        <v>0</v>
      </c>
    </row>
    <row r="2192" spans="1:15" x14ac:dyDescent="0.25">
      <c r="A2192" s="114" t="s">
        <v>495</v>
      </c>
      <c r="B2192" s="63" t="s">
        <v>51</v>
      </c>
      <c r="C2192" s="63" t="s">
        <v>78</v>
      </c>
      <c r="D2192" s="63">
        <v>-22</v>
      </c>
      <c r="E2192" s="63">
        <v>302.10000000000002</v>
      </c>
      <c r="F2192" s="63">
        <v>0.1</v>
      </c>
      <c r="G2192" s="63" t="s">
        <v>26</v>
      </c>
      <c r="H2192" s="63" t="s">
        <v>26</v>
      </c>
      <c r="I2192" s="63">
        <v>0</v>
      </c>
      <c r="J2192" s="63">
        <v>0</v>
      </c>
      <c r="L2192" s="63">
        <v>0.315311841378</v>
      </c>
      <c r="M2192" s="63">
        <v>0</v>
      </c>
      <c r="N2192" s="63">
        <v>0.302401961306</v>
      </c>
      <c r="O2192" s="64">
        <v>0</v>
      </c>
    </row>
    <row r="2193" spans="1:15" x14ac:dyDescent="0.25">
      <c r="A2193" s="114" t="s">
        <v>497</v>
      </c>
      <c r="B2193" s="63" t="s">
        <v>51</v>
      </c>
      <c r="C2193" s="63" t="s">
        <v>78</v>
      </c>
      <c r="D2193" s="63">
        <v>302</v>
      </c>
      <c r="E2193" s="63">
        <v>1400.1</v>
      </c>
      <c r="F2193" s="63">
        <v>0.1</v>
      </c>
      <c r="G2193" s="63" t="s">
        <v>26</v>
      </c>
      <c r="H2193" s="63" t="s">
        <v>26</v>
      </c>
      <c r="I2193" s="63">
        <v>0</v>
      </c>
      <c r="J2193" s="63">
        <v>0</v>
      </c>
      <c r="L2193" s="63">
        <v>0.36583836369</v>
      </c>
      <c r="M2193" s="63">
        <v>0</v>
      </c>
      <c r="N2193" s="63">
        <v>0.36274510872299998</v>
      </c>
      <c r="O2193" s="64">
        <v>0</v>
      </c>
    </row>
    <row r="2194" spans="1:15" x14ac:dyDescent="0.25">
      <c r="A2194" s="114" t="s">
        <v>499</v>
      </c>
      <c r="B2194" s="63" t="s">
        <v>51</v>
      </c>
      <c r="C2194" s="63" t="s">
        <v>78</v>
      </c>
      <c r="D2194" s="63">
        <v>1400</v>
      </c>
      <c r="E2194" s="63">
        <v>2192</v>
      </c>
      <c r="F2194" s="63">
        <v>0.1</v>
      </c>
      <c r="G2194" s="63" t="s">
        <v>26</v>
      </c>
      <c r="H2194" s="63" t="s">
        <v>26</v>
      </c>
      <c r="I2194" s="63">
        <v>0</v>
      </c>
      <c r="J2194" s="63">
        <v>0</v>
      </c>
      <c r="L2194" s="63">
        <v>0.48736202801900003</v>
      </c>
      <c r="M2194" s="63">
        <v>0</v>
      </c>
      <c r="N2194" s="63">
        <v>0.48504438138200001</v>
      </c>
      <c r="O2194" s="64">
        <v>0</v>
      </c>
    </row>
    <row r="2195" spans="1:15" x14ac:dyDescent="0.25">
      <c r="A2195" s="114" t="s">
        <v>501</v>
      </c>
      <c r="B2195" s="63" t="s">
        <v>51</v>
      </c>
      <c r="C2195" s="63" t="s">
        <v>78</v>
      </c>
      <c r="D2195" s="63">
        <v>2192</v>
      </c>
      <c r="E2195" s="63">
        <v>2192.1</v>
      </c>
      <c r="F2195" s="63">
        <v>0.1</v>
      </c>
      <c r="G2195" s="63" t="s">
        <v>26</v>
      </c>
      <c r="H2195" s="63" t="s">
        <v>26</v>
      </c>
      <c r="I2195" s="63">
        <v>0</v>
      </c>
      <c r="J2195" s="63">
        <v>0</v>
      </c>
      <c r="L2195" s="63">
        <v>0.48736202801900003</v>
      </c>
      <c r="M2195" s="63">
        <v>0</v>
      </c>
      <c r="N2195" s="63">
        <v>0.48504438138200001</v>
      </c>
      <c r="O2195" s="64">
        <v>0</v>
      </c>
    </row>
    <row r="2196" spans="1:15" x14ac:dyDescent="0.25">
      <c r="A2196" s="114" t="s">
        <v>2664</v>
      </c>
      <c r="B2196" s="63" t="s">
        <v>51</v>
      </c>
      <c r="C2196" s="63" t="s">
        <v>78</v>
      </c>
      <c r="D2196" s="63">
        <v>-346</v>
      </c>
      <c r="E2196" s="63">
        <v>-147.9</v>
      </c>
      <c r="F2196" s="63">
        <v>1</v>
      </c>
      <c r="G2196" s="63" t="s">
        <v>26</v>
      </c>
      <c r="H2196" s="63" t="s">
        <v>26</v>
      </c>
      <c r="I2196" s="63">
        <v>0</v>
      </c>
      <c r="J2196" s="63">
        <v>0</v>
      </c>
      <c r="L2196" s="63">
        <v>0.83457943483499997</v>
      </c>
      <c r="M2196" s="63">
        <v>0</v>
      </c>
      <c r="N2196" s="63">
        <v>0.807553334836</v>
      </c>
      <c r="O2196" s="64">
        <v>0</v>
      </c>
    </row>
    <row r="2197" spans="1:15" x14ac:dyDescent="0.25">
      <c r="A2197" s="114" t="s">
        <v>494</v>
      </c>
      <c r="B2197" s="63" t="s">
        <v>51</v>
      </c>
      <c r="C2197" s="63" t="s">
        <v>78</v>
      </c>
      <c r="D2197" s="63">
        <v>-148</v>
      </c>
      <c r="E2197" s="63">
        <v>-21.9</v>
      </c>
      <c r="F2197" s="63">
        <v>1</v>
      </c>
      <c r="G2197" s="63" t="s">
        <v>26</v>
      </c>
      <c r="H2197" s="63" t="s">
        <v>26</v>
      </c>
      <c r="I2197" s="63">
        <v>0</v>
      </c>
      <c r="J2197" s="63">
        <v>0</v>
      </c>
      <c r="L2197" s="63">
        <v>0.69231010498800005</v>
      </c>
      <c r="M2197" s="63">
        <v>0</v>
      </c>
      <c r="N2197" s="63">
        <v>0.66887580089599996</v>
      </c>
      <c r="O2197" s="64">
        <v>0</v>
      </c>
    </row>
    <row r="2198" spans="1:15" x14ac:dyDescent="0.25">
      <c r="A2198" s="114" t="s">
        <v>496</v>
      </c>
      <c r="B2198" s="63" t="s">
        <v>51</v>
      </c>
      <c r="C2198" s="63" t="s">
        <v>78</v>
      </c>
      <c r="D2198" s="63">
        <v>-22</v>
      </c>
      <c r="E2198" s="63">
        <v>302.10000000000002</v>
      </c>
      <c r="F2198" s="63">
        <v>1</v>
      </c>
      <c r="G2198" s="63" t="s">
        <v>26</v>
      </c>
      <c r="H2198" s="63" t="s">
        <v>26</v>
      </c>
      <c r="I2198" s="63">
        <v>0</v>
      </c>
      <c r="J2198" s="63">
        <v>0</v>
      </c>
      <c r="L2198" s="63">
        <v>0.67330928305399995</v>
      </c>
      <c r="M2198" s="63">
        <v>0</v>
      </c>
      <c r="N2198" s="63">
        <v>0.64918945324300004</v>
      </c>
      <c r="O2198" s="64">
        <v>0</v>
      </c>
    </row>
    <row r="2199" spans="1:15" x14ac:dyDescent="0.25">
      <c r="A2199" s="114" t="s">
        <v>498</v>
      </c>
      <c r="B2199" s="63" t="s">
        <v>51</v>
      </c>
      <c r="C2199" s="63" t="s">
        <v>78</v>
      </c>
      <c r="D2199" s="63">
        <v>302</v>
      </c>
      <c r="E2199" s="63">
        <v>1400.1</v>
      </c>
      <c r="F2199" s="63">
        <v>1</v>
      </c>
      <c r="G2199" s="63" t="s">
        <v>26</v>
      </c>
      <c r="H2199" s="63" t="s">
        <v>26</v>
      </c>
      <c r="I2199" s="63">
        <v>0</v>
      </c>
      <c r="J2199" s="63">
        <v>0</v>
      </c>
      <c r="L2199" s="63">
        <v>0.68600203474900001</v>
      </c>
      <c r="M2199" s="63">
        <v>0</v>
      </c>
      <c r="N2199" s="63">
        <v>0.67939974529199998</v>
      </c>
      <c r="O2199" s="64">
        <v>0</v>
      </c>
    </row>
    <row r="2200" spans="1:15" x14ac:dyDescent="0.25">
      <c r="A2200" s="114" t="s">
        <v>500</v>
      </c>
      <c r="B2200" s="63" t="s">
        <v>51</v>
      </c>
      <c r="C2200" s="63" t="s">
        <v>78</v>
      </c>
      <c r="D2200" s="63">
        <v>1400</v>
      </c>
      <c r="E2200" s="63">
        <v>2192</v>
      </c>
      <c r="F2200" s="63">
        <v>1</v>
      </c>
      <c r="G2200" s="63" t="s">
        <v>26</v>
      </c>
      <c r="H2200" s="63" t="s">
        <v>26</v>
      </c>
      <c r="I2200" s="63">
        <v>0</v>
      </c>
      <c r="J2200" s="63">
        <v>0</v>
      </c>
      <c r="L2200" s="63">
        <v>0.75781450876099998</v>
      </c>
      <c r="M2200" s="63">
        <v>0</v>
      </c>
      <c r="N2200" s="63">
        <v>0.75184310325399994</v>
      </c>
      <c r="O2200" s="64">
        <v>0</v>
      </c>
    </row>
    <row r="2201" spans="1:15" x14ac:dyDescent="0.25">
      <c r="A2201" s="114" t="s">
        <v>502</v>
      </c>
      <c r="B2201" s="63" t="s">
        <v>51</v>
      </c>
      <c r="C2201" s="63" t="s">
        <v>78</v>
      </c>
      <c r="D2201" s="63">
        <v>2192</v>
      </c>
      <c r="E2201" s="63">
        <v>2192.1</v>
      </c>
      <c r="F2201" s="63">
        <v>1</v>
      </c>
      <c r="G2201" s="63" t="s">
        <v>26</v>
      </c>
      <c r="H2201" s="63" t="s">
        <v>26</v>
      </c>
      <c r="I2201" s="63">
        <v>0</v>
      </c>
      <c r="J2201" s="63">
        <v>0</v>
      </c>
      <c r="L2201" s="63">
        <v>0.75781450876099998</v>
      </c>
      <c r="M2201" s="63">
        <v>0</v>
      </c>
      <c r="N2201" s="63">
        <v>0.75184310325399994</v>
      </c>
      <c r="O2201" s="64">
        <v>0</v>
      </c>
    </row>
    <row r="2202" spans="1:15" x14ac:dyDescent="0.25">
      <c r="A2202" s="114" t="s">
        <v>484</v>
      </c>
      <c r="B2202" s="63" t="s">
        <v>51</v>
      </c>
      <c r="C2202" s="63" t="s">
        <v>79</v>
      </c>
      <c r="D2202" s="63">
        <v>-328</v>
      </c>
      <c r="E2202" s="63">
        <v>-147.9</v>
      </c>
      <c r="F2202" s="63">
        <v>0.1</v>
      </c>
      <c r="G2202" s="63" t="s">
        <v>26</v>
      </c>
      <c r="H2202" s="63" t="s">
        <v>26</v>
      </c>
      <c r="I2202" s="63">
        <v>0</v>
      </c>
      <c r="J2202" s="63">
        <v>0</v>
      </c>
      <c r="L2202" s="63">
        <v>0.70185549017500004</v>
      </c>
      <c r="M2202" s="63">
        <v>0</v>
      </c>
      <c r="N2202" s="63">
        <v>0.69127811671200001</v>
      </c>
      <c r="O2202" s="64">
        <v>0</v>
      </c>
    </row>
    <row r="2203" spans="1:15" x14ac:dyDescent="0.25">
      <c r="A2203" s="114" t="s">
        <v>485</v>
      </c>
      <c r="B2203" s="63" t="s">
        <v>51</v>
      </c>
      <c r="C2203" s="63" t="s">
        <v>79</v>
      </c>
      <c r="D2203" s="63">
        <v>-148</v>
      </c>
      <c r="E2203" s="63">
        <v>-12.9</v>
      </c>
      <c r="F2203" s="63">
        <v>0.1</v>
      </c>
      <c r="G2203" s="63" t="s">
        <v>26</v>
      </c>
      <c r="H2203" s="63" t="s">
        <v>26</v>
      </c>
      <c r="I2203" s="63">
        <v>0</v>
      </c>
      <c r="J2203" s="63">
        <v>0</v>
      </c>
      <c r="L2203" s="63">
        <v>0.40197575922899997</v>
      </c>
      <c r="M2203" s="63">
        <v>0</v>
      </c>
      <c r="N2203" s="63">
        <v>0.38320858101400002</v>
      </c>
      <c r="O2203" s="64">
        <v>0</v>
      </c>
    </row>
    <row r="2204" spans="1:15" x14ac:dyDescent="0.25">
      <c r="A2204" s="114" t="s">
        <v>2665</v>
      </c>
      <c r="B2204" s="63" t="s">
        <v>51</v>
      </c>
      <c r="C2204" s="63" t="s">
        <v>79</v>
      </c>
      <c r="D2204" s="63">
        <v>-13</v>
      </c>
      <c r="E2204" s="63">
        <v>248.1</v>
      </c>
      <c r="F2204" s="63">
        <v>0.1</v>
      </c>
      <c r="G2204" s="63" t="s">
        <v>26</v>
      </c>
      <c r="H2204" s="63" t="s">
        <v>26</v>
      </c>
      <c r="I2204" s="63">
        <v>0</v>
      </c>
      <c r="J2204" s="63">
        <v>0</v>
      </c>
      <c r="L2204" s="63">
        <v>0.35702450959699999</v>
      </c>
      <c r="M2204" s="63">
        <v>0</v>
      </c>
      <c r="N2204" s="63">
        <v>0.34265369691399999</v>
      </c>
      <c r="O2204" s="64">
        <v>0</v>
      </c>
    </row>
    <row r="2205" spans="1:15" x14ac:dyDescent="0.25">
      <c r="A2205" s="114" t="s">
        <v>2666</v>
      </c>
      <c r="B2205" s="63" t="s">
        <v>51</v>
      </c>
      <c r="C2205" s="63" t="s">
        <v>79</v>
      </c>
      <c r="D2205" s="63">
        <v>248</v>
      </c>
      <c r="E2205" s="63">
        <v>1832.1</v>
      </c>
      <c r="F2205" s="63">
        <v>0.1</v>
      </c>
      <c r="G2205" s="63" t="s">
        <v>26</v>
      </c>
      <c r="H2205" s="63" t="s">
        <v>26</v>
      </c>
      <c r="I2205" s="63">
        <v>0</v>
      </c>
      <c r="J2205" s="63">
        <v>0</v>
      </c>
      <c r="L2205" s="63">
        <v>0.55154780378599999</v>
      </c>
      <c r="M2205" s="63">
        <v>0</v>
      </c>
      <c r="N2205" s="63">
        <v>0.54665417351099999</v>
      </c>
      <c r="O2205" s="64">
        <v>0</v>
      </c>
    </row>
    <row r="2206" spans="1:15" x14ac:dyDescent="0.25">
      <c r="A2206" s="114" t="s">
        <v>488</v>
      </c>
      <c r="B2206" s="63" t="s">
        <v>51</v>
      </c>
      <c r="C2206" s="63" t="s">
        <v>79</v>
      </c>
      <c r="D2206" s="63">
        <v>1832</v>
      </c>
      <c r="E2206" s="63">
        <v>2500</v>
      </c>
      <c r="F2206" s="63">
        <v>0.1</v>
      </c>
      <c r="G2206" s="63" t="s">
        <v>26</v>
      </c>
      <c r="H2206" s="63" t="s">
        <v>26</v>
      </c>
      <c r="I2206" s="63">
        <v>0</v>
      </c>
      <c r="J2206" s="63">
        <v>0</v>
      </c>
      <c r="L2206" s="63">
        <v>0.83992544118000001</v>
      </c>
      <c r="M2206" s="63">
        <v>0</v>
      </c>
      <c r="N2206" s="63">
        <v>0.83547604332100001</v>
      </c>
      <c r="O2206" s="64">
        <v>0</v>
      </c>
    </row>
    <row r="2207" spans="1:15" x14ac:dyDescent="0.25">
      <c r="A2207" s="114" t="s">
        <v>490</v>
      </c>
      <c r="B2207" s="63" t="s">
        <v>51</v>
      </c>
      <c r="C2207" s="63" t="s">
        <v>79</v>
      </c>
      <c r="D2207" s="63">
        <v>2500</v>
      </c>
      <c r="E2207" s="63">
        <v>2500.1</v>
      </c>
      <c r="F2207" s="63">
        <v>0.1</v>
      </c>
      <c r="G2207" s="63" t="s">
        <v>26</v>
      </c>
      <c r="H2207" s="63" t="s">
        <v>26</v>
      </c>
      <c r="I2207" s="63">
        <v>0</v>
      </c>
      <c r="J2207" s="63">
        <v>0</v>
      </c>
      <c r="L2207" s="63">
        <v>0.83992544118000001</v>
      </c>
      <c r="M2207" s="63">
        <v>0</v>
      </c>
      <c r="N2207" s="63">
        <v>0.83547604332100001</v>
      </c>
      <c r="O2207" s="64">
        <v>0</v>
      </c>
    </row>
    <row r="2208" spans="1:15" x14ac:dyDescent="0.25">
      <c r="A2208" s="114" t="s">
        <v>2667</v>
      </c>
      <c r="B2208" s="63" t="s">
        <v>51</v>
      </c>
      <c r="C2208" s="63" t="s">
        <v>79</v>
      </c>
      <c r="D2208" s="63">
        <v>-328</v>
      </c>
      <c r="E2208" s="63">
        <v>-147.9</v>
      </c>
      <c r="F2208" s="63">
        <v>1</v>
      </c>
      <c r="G2208" s="63" t="s">
        <v>26</v>
      </c>
      <c r="H2208" s="63" t="s">
        <v>26</v>
      </c>
      <c r="I2208" s="63">
        <v>0</v>
      </c>
      <c r="J2208" s="63">
        <v>0</v>
      </c>
      <c r="L2208" s="63">
        <v>0.93102535541300002</v>
      </c>
      <c r="M2208" s="63">
        <v>0</v>
      </c>
      <c r="N2208" s="63">
        <v>0.89881334805699997</v>
      </c>
      <c r="O2208" s="64">
        <v>0</v>
      </c>
    </row>
    <row r="2209" spans="1:15" x14ac:dyDescent="0.25">
      <c r="A2209" s="114" t="s">
        <v>486</v>
      </c>
      <c r="B2209" s="63" t="s">
        <v>51</v>
      </c>
      <c r="C2209" s="63" t="s">
        <v>79</v>
      </c>
      <c r="D2209" s="63">
        <v>-148</v>
      </c>
      <c r="E2209" s="63">
        <v>-12.9</v>
      </c>
      <c r="F2209" s="63">
        <v>1</v>
      </c>
      <c r="G2209" s="63" t="s">
        <v>26</v>
      </c>
      <c r="H2209" s="63" t="s">
        <v>26</v>
      </c>
      <c r="I2209" s="63">
        <v>0</v>
      </c>
      <c r="J2209" s="63">
        <v>0</v>
      </c>
      <c r="L2209" s="63">
        <v>0.73197786465199999</v>
      </c>
      <c r="M2209" s="63">
        <v>0</v>
      </c>
      <c r="N2209" s="63">
        <v>0.69054240750499996</v>
      </c>
      <c r="O2209" s="64">
        <v>0</v>
      </c>
    </row>
    <row r="2210" spans="1:15" x14ac:dyDescent="0.25">
      <c r="A2210" s="114" t="s">
        <v>487</v>
      </c>
      <c r="B2210" s="63" t="s">
        <v>51</v>
      </c>
      <c r="C2210" s="63" t="s">
        <v>79</v>
      </c>
      <c r="D2210" s="63">
        <v>-13</v>
      </c>
      <c r="E2210" s="63">
        <v>248.1</v>
      </c>
      <c r="F2210" s="63">
        <v>1</v>
      </c>
      <c r="G2210" s="63" t="s">
        <v>26</v>
      </c>
      <c r="H2210" s="63" t="s">
        <v>26</v>
      </c>
      <c r="I2210" s="63">
        <v>0</v>
      </c>
      <c r="J2210" s="63">
        <v>0</v>
      </c>
      <c r="L2210" s="63">
        <v>0.69830604593300005</v>
      </c>
      <c r="M2210" s="63">
        <v>0</v>
      </c>
      <c r="N2210" s="63">
        <v>0.66888829860300003</v>
      </c>
      <c r="O2210" s="64">
        <v>0</v>
      </c>
    </row>
    <row r="2211" spans="1:15" x14ac:dyDescent="0.25">
      <c r="A2211" s="114" t="s">
        <v>2668</v>
      </c>
      <c r="B2211" s="63" t="s">
        <v>51</v>
      </c>
      <c r="C2211" s="63" t="s">
        <v>79</v>
      </c>
      <c r="D2211" s="63">
        <v>248</v>
      </c>
      <c r="E2211" s="63">
        <v>1832.1</v>
      </c>
      <c r="F2211" s="63">
        <v>1</v>
      </c>
      <c r="G2211" s="63" t="s">
        <v>26</v>
      </c>
      <c r="H2211" s="63" t="s">
        <v>26</v>
      </c>
      <c r="I2211" s="63">
        <v>0</v>
      </c>
      <c r="J2211" s="63">
        <v>0</v>
      </c>
      <c r="L2211" s="63">
        <v>0.80642889531200002</v>
      </c>
      <c r="M2211" s="63">
        <v>0</v>
      </c>
      <c r="N2211" s="63">
        <v>0.79298851531199999</v>
      </c>
      <c r="O2211" s="64">
        <v>0</v>
      </c>
    </row>
    <row r="2212" spans="1:15" x14ac:dyDescent="0.25">
      <c r="A2212" s="114" t="s">
        <v>489</v>
      </c>
      <c r="B2212" s="63" t="s">
        <v>51</v>
      </c>
      <c r="C2212" s="63" t="s">
        <v>79</v>
      </c>
      <c r="D2212" s="63">
        <v>1832</v>
      </c>
      <c r="E2212" s="63">
        <v>2500</v>
      </c>
      <c r="F2212" s="63">
        <v>1</v>
      </c>
      <c r="G2212" s="63" t="s">
        <v>26</v>
      </c>
      <c r="H2212" s="63" t="s">
        <v>26</v>
      </c>
      <c r="I2212" s="63">
        <v>0</v>
      </c>
      <c r="J2212" s="63">
        <v>0</v>
      </c>
      <c r="L2212" s="63">
        <v>1.028512678617</v>
      </c>
      <c r="M2212" s="63">
        <v>0</v>
      </c>
      <c r="N2212" s="63">
        <v>1.0139133192559999</v>
      </c>
      <c r="O2212" s="64">
        <v>0</v>
      </c>
    </row>
    <row r="2213" spans="1:15" x14ac:dyDescent="0.25">
      <c r="A2213" s="114" t="s">
        <v>491</v>
      </c>
      <c r="B2213" s="63" t="s">
        <v>51</v>
      </c>
      <c r="C2213" s="63" t="s">
        <v>79</v>
      </c>
      <c r="D2213" s="63">
        <v>2500</v>
      </c>
      <c r="E2213" s="63">
        <v>2500.1</v>
      </c>
      <c r="F2213" s="63">
        <v>1</v>
      </c>
      <c r="G2213" s="63" t="s">
        <v>26</v>
      </c>
      <c r="H2213" s="63" t="s">
        <v>26</v>
      </c>
      <c r="I2213" s="63">
        <v>0</v>
      </c>
      <c r="J2213" s="63">
        <v>0</v>
      </c>
      <c r="L2213" s="63">
        <v>1.028512678617</v>
      </c>
      <c r="M2213" s="63">
        <v>0</v>
      </c>
      <c r="N2213" s="63">
        <v>1.0139133192559999</v>
      </c>
      <c r="O2213" s="64">
        <v>0</v>
      </c>
    </row>
    <row r="2214" spans="1:15" x14ac:dyDescent="0.25">
      <c r="A2214" s="114" t="s">
        <v>2669</v>
      </c>
      <c r="B2214" s="63" t="s">
        <v>51</v>
      </c>
      <c r="C2214" s="63" t="s">
        <v>80</v>
      </c>
      <c r="D2214" s="63">
        <v>-328</v>
      </c>
      <c r="E2214" s="63">
        <v>-147.9</v>
      </c>
      <c r="F2214" s="63">
        <v>0.1</v>
      </c>
      <c r="G2214" s="63" t="s">
        <v>26</v>
      </c>
      <c r="H2214" s="63" t="s">
        <v>26</v>
      </c>
      <c r="I2214" s="63">
        <v>0</v>
      </c>
      <c r="J2214" s="63">
        <v>0</v>
      </c>
      <c r="L2214" s="63">
        <v>0.84492191361000002</v>
      </c>
      <c r="M2214" s="63">
        <v>0</v>
      </c>
      <c r="N2214" s="63">
        <v>0.835534068119</v>
      </c>
      <c r="O2214" s="64">
        <v>0</v>
      </c>
    </row>
    <row r="2215" spans="1:15" x14ac:dyDescent="0.25">
      <c r="A2215" s="114" t="s">
        <v>476</v>
      </c>
      <c r="B2215" s="63" t="s">
        <v>51</v>
      </c>
      <c r="C2215" s="63" t="s">
        <v>80</v>
      </c>
      <c r="D2215" s="63">
        <v>-148</v>
      </c>
      <c r="E2215" s="63">
        <v>-12.9</v>
      </c>
      <c r="F2215" s="63">
        <v>0.1</v>
      </c>
      <c r="G2215" s="63" t="s">
        <v>26</v>
      </c>
      <c r="H2215" s="63" t="s">
        <v>26</v>
      </c>
      <c r="I2215" s="63">
        <v>0</v>
      </c>
      <c r="J2215" s="63">
        <v>0</v>
      </c>
      <c r="L2215" s="63">
        <v>0.47673872277899998</v>
      </c>
      <c r="M2215" s="63">
        <v>0</v>
      </c>
      <c r="N2215" s="63">
        <v>0.46495666323399998</v>
      </c>
      <c r="O2215" s="64">
        <v>0</v>
      </c>
    </row>
    <row r="2216" spans="1:15" x14ac:dyDescent="0.25">
      <c r="A2216" s="114" t="s">
        <v>477</v>
      </c>
      <c r="B2216" s="63" t="s">
        <v>51</v>
      </c>
      <c r="C2216" s="63" t="s">
        <v>80</v>
      </c>
      <c r="D2216" s="63">
        <v>-13</v>
      </c>
      <c r="E2216" s="63">
        <v>248.1</v>
      </c>
      <c r="F2216" s="63">
        <v>0.1</v>
      </c>
      <c r="G2216" s="63" t="s">
        <v>26</v>
      </c>
      <c r="H2216" s="63" t="s">
        <v>26</v>
      </c>
      <c r="I2216" s="63">
        <v>0</v>
      </c>
      <c r="J2216" s="63">
        <v>0</v>
      </c>
      <c r="L2216" s="63">
        <v>0.41715274220199999</v>
      </c>
      <c r="M2216" s="63">
        <v>0</v>
      </c>
      <c r="N2216" s="63">
        <v>0.40363510652099999</v>
      </c>
      <c r="O2216" s="64">
        <v>0</v>
      </c>
    </row>
    <row r="2217" spans="1:15" x14ac:dyDescent="0.25">
      <c r="A2217" s="114" t="s">
        <v>478</v>
      </c>
      <c r="B2217" s="63" t="s">
        <v>51</v>
      </c>
      <c r="C2217" s="63" t="s">
        <v>80</v>
      </c>
      <c r="D2217" s="63">
        <v>248</v>
      </c>
      <c r="E2217" s="63">
        <v>770.1</v>
      </c>
      <c r="F2217" s="63">
        <v>0.1</v>
      </c>
      <c r="G2217" s="63" t="s">
        <v>26</v>
      </c>
      <c r="H2217" s="63" t="s">
        <v>26</v>
      </c>
      <c r="I2217" s="63">
        <v>0</v>
      </c>
      <c r="J2217" s="63">
        <v>0</v>
      </c>
      <c r="L2217" s="63">
        <v>0.39150277361899999</v>
      </c>
      <c r="M2217" s="63">
        <v>0</v>
      </c>
      <c r="N2217" s="63">
        <v>0.38322325169600002</v>
      </c>
      <c r="O2217" s="64">
        <v>0</v>
      </c>
    </row>
    <row r="2218" spans="1:15" x14ac:dyDescent="0.25">
      <c r="A2218" s="114" t="s">
        <v>480</v>
      </c>
      <c r="B2218" s="63" t="s">
        <v>51</v>
      </c>
      <c r="C2218" s="63" t="s">
        <v>80</v>
      </c>
      <c r="D2218" s="63">
        <v>770</v>
      </c>
      <c r="E2218" s="63">
        <v>2372</v>
      </c>
      <c r="F2218" s="63">
        <v>0.1</v>
      </c>
      <c r="G2218" s="63" t="s">
        <v>26</v>
      </c>
      <c r="H2218" s="63" t="s">
        <v>26</v>
      </c>
      <c r="I2218" s="63">
        <v>0</v>
      </c>
      <c r="J2218" s="63">
        <v>0</v>
      </c>
      <c r="L2218" s="63">
        <v>0.57284718907200005</v>
      </c>
      <c r="M2218" s="63">
        <v>0</v>
      </c>
      <c r="N2218" s="63">
        <v>0.56722089252499996</v>
      </c>
      <c r="O2218" s="64">
        <v>0</v>
      </c>
    </row>
    <row r="2219" spans="1:15" x14ac:dyDescent="0.25">
      <c r="A2219" s="114" t="s">
        <v>482</v>
      </c>
      <c r="B2219" s="63" t="s">
        <v>51</v>
      </c>
      <c r="C2219" s="63" t="s">
        <v>80</v>
      </c>
      <c r="D2219" s="63">
        <v>2372</v>
      </c>
      <c r="E2219" s="63">
        <v>2372.1</v>
      </c>
      <c r="F2219" s="63">
        <v>0.1</v>
      </c>
      <c r="G2219" s="63" t="s">
        <v>26</v>
      </c>
      <c r="H2219" s="63" t="s">
        <v>26</v>
      </c>
      <c r="I2219" s="63">
        <v>0</v>
      </c>
      <c r="J2219" s="63">
        <v>0</v>
      </c>
      <c r="L2219" s="63">
        <v>0.57284718907200005</v>
      </c>
      <c r="M2219" s="63">
        <v>0</v>
      </c>
      <c r="N2219" s="63">
        <v>0.56722089252499996</v>
      </c>
      <c r="O2219" s="64">
        <v>0</v>
      </c>
    </row>
    <row r="2220" spans="1:15" x14ac:dyDescent="0.25">
      <c r="A2220" s="114" t="s">
        <v>475</v>
      </c>
      <c r="B2220" s="63" t="s">
        <v>51</v>
      </c>
      <c r="C2220" s="63" t="s">
        <v>80</v>
      </c>
      <c r="D2220" s="63">
        <v>-328</v>
      </c>
      <c r="E2220" s="63">
        <v>-147.9</v>
      </c>
      <c r="F2220" s="63">
        <v>1</v>
      </c>
      <c r="G2220" s="63" t="s">
        <v>26</v>
      </c>
      <c r="H2220" s="63" t="s">
        <v>26</v>
      </c>
      <c r="I2220" s="63">
        <v>0</v>
      </c>
      <c r="J2220" s="63">
        <v>0</v>
      </c>
      <c r="L2220" s="63">
        <v>1.0446150599290001</v>
      </c>
      <c r="M2220" s="63">
        <v>0</v>
      </c>
      <c r="N2220" s="63">
        <v>1.013961132878</v>
      </c>
      <c r="O2220" s="64">
        <v>0</v>
      </c>
    </row>
    <row r="2221" spans="1:15" x14ac:dyDescent="0.25">
      <c r="A2221" s="114" t="s">
        <v>2670</v>
      </c>
      <c r="B2221" s="63" t="s">
        <v>51</v>
      </c>
      <c r="C2221" s="63" t="s">
        <v>80</v>
      </c>
      <c r="D2221" s="63">
        <v>-148</v>
      </c>
      <c r="E2221" s="63">
        <v>-12.9</v>
      </c>
      <c r="F2221" s="63">
        <v>1</v>
      </c>
      <c r="G2221" s="63" t="s">
        <v>26</v>
      </c>
      <c r="H2221" s="63" t="s">
        <v>26</v>
      </c>
      <c r="I2221" s="63">
        <v>0</v>
      </c>
      <c r="J2221" s="63">
        <v>0</v>
      </c>
      <c r="L2221" s="63">
        <v>0.76848236357800004</v>
      </c>
      <c r="M2221" s="63">
        <v>0</v>
      </c>
      <c r="N2221" s="63">
        <v>0.73904309663699996</v>
      </c>
      <c r="O2221" s="64">
        <v>0</v>
      </c>
    </row>
    <row r="2222" spans="1:15" x14ac:dyDescent="0.25">
      <c r="A2222" s="114" t="s">
        <v>2671</v>
      </c>
      <c r="B2222" s="63" t="s">
        <v>51</v>
      </c>
      <c r="C2222" s="63" t="s">
        <v>80</v>
      </c>
      <c r="D2222" s="63">
        <v>-13</v>
      </c>
      <c r="E2222" s="63">
        <v>248.1</v>
      </c>
      <c r="F2222" s="63">
        <v>1</v>
      </c>
      <c r="G2222" s="63" t="s">
        <v>26</v>
      </c>
      <c r="H2222" s="63" t="s">
        <v>26</v>
      </c>
      <c r="I2222" s="63">
        <v>0</v>
      </c>
      <c r="J2222" s="63">
        <v>0</v>
      </c>
      <c r="L2222" s="63">
        <v>0.73300869275900005</v>
      </c>
      <c r="M2222" s="63">
        <v>0</v>
      </c>
      <c r="N2222" s="63">
        <v>0.70208354147899998</v>
      </c>
      <c r="O2222" s="64">
        <v>0</v>
      </c>
    </row>
    <row r="2223" spans="1:15" x14ac:dyDescent="0.25">
      <c r="A2223" s="114" t="s">
        <v>479</v>
      </c>
      <c r="B2223" s="63" t="s">
        <v>51</v>
      </c>
      <c r="C2223" s="63" t="s">
        <v>80</v>
      </c>
      <c r="D2223" s="63">
        <v>248</v>
      </c>
      <c r="E2223" s="63">
        <v>770.1</v>
      </c>
      <c r="F2223" s="63">
        <v>1</v>
      </c>
      <c r="G2223" s="63" t="s">
        <v>26</v>
      </c>
      <c r="H2223" s="63" t="s">
        <v>26</v>
      </c>
      <c r="I2223" s="63">
        <v>0</v>
      </c>
      <c r="J2223" s="63">
        <v>0</v>
      </c>
      <c r="L2223" s="63">
        <v>0.70888469096499995</v>
      </c>
      <c r="M2223" s="63">
        <v>0</v>
      </c>
      <c r="N2223" s="63">
        <v>0.69055054893900003</v>
      </c>
      <c r="O2223" s="64">
        <v>0</v>
      </c>
    </row>
    <row r="2224" spans="1:15" x14ac:dyDescent="0.25">
      <c r="A2224" s="114" t="s">
        <v>481</v>
      </c>
      <c r="B2224" s="63" t="s">
        <v>51</v>
      </c>
      <c r="C2224" s="63" t="s">
        <v>80</v>
      </c>
      <c r="D2224" s="63">
        <v>770</v>
      </c>
      <c r="E2224" s="63">
        <v>2372</v>
      </c>
      <c r="F2224" s="63">
        <v>1</v>
      </c>
      <c r="G2224" s="63" t="s">
        <v>26</v>
      </c>
      <c r="H2224" s="63" t="s">
        <v>26</v>
      </c>
      <c r="I2224" s="63">
        <v>0</v>
      </c>
      <c r="J2224" s="63">
        <v>0</v>
      </c>
      <c r="L2224" s="63">
        <v>0.82304130234200001</v>
      </c>
      <c r="M2224" s="63">
        <v>0</v>
      </c>
      <c r="N2224" s="63">
        <v>0.80730387148600002</v>
      </c>
      <c r="O2224" s="64">
        <v>0</v>
      </c>
    </row>
    <row r="2225" spans="1:15" x14ac:dyDescent="0.25">
      <c r="A2225" s="114" t="s">
        <v>483</v>
      </c>
      <c r="B2225" s="63" t="s">
        <v>51</v>
      </c>
      <c r="C2225" s="63" t="s">
        <v>80</v>
      </c>
      <c r="D2225" s="63">
        <v>2372</v>
      </c>
      <c r="E2225" s="63">
        <v>2372.1</v>
      </c>
      <c r="F2225" s="63">
        <v>1</v>
      </c>
      <c r="G2225" s="63" t="s">
        <v>26</v>
      </c>
      <c r="H2225" s="63" t="s">
        <v>26</v>
      </c>
      <c r="I2225" s="63">
        <v>0</v>
      </c>
      <c r="J2225" s="63">
        <v>0</v>
      </c>
      <c r="L2225" s="63">
        <v>0.82304130234200001</v>
      </c>
      <c r="M2225" s="63">
        <v>0</v>
      </c>
      <c r="N2225" s="63">
        <v>0.80730387148600002</v>
      </c>
      <c r="O2225" s="64">
        <v>0</v>
      </c>
    </row>
    <row r="2226" spans="1:15" x14ac:dyDescent="0.25">
      <c r="A2226" s="114" t="s">
        <v>2672</v>
      </c>
      <c r="B2226" s="63" t="s">
        <v>51</v>
      </c>
      <c r="C2226" s="63" t="s">
        <v>84</v>
      </c>
      <c r="D2226" s="63">
        <v>-328</v>
      </c>
      <c r="E2226" s="63">
        <v>32.1</v>
      </c>
      <c r="F2226" s="63">
        <v>0.1</v>
      </c>
      <c r="G2226" s="63" t="s">
        <v>26</v>
      </c>
      <c r="H2226" s="63" t="s">
        <v>26</v>
      </c>
      <c r="I2226" s="63">
        <v>0</v>
      </c>
      <c r="J2226" s="63">
        <v>0</v>
      </c>
      <c r="L2226" s="63">
        <v>0.21928459419400001</v>
      </c>
      <c r="M2226" s="63">
        <v>0</v>
      </c>
      <c r="N2226" s="63">
        <v>0.190436296044</v>
      </c>
      <c r="O2226" s="64">
        <v>0</v>
      </c>
    </row>
    <row r="2227" spans="1:15" x14ac:dyDescent="0.25">
      <c r="A2227" s="114" t="s">
        <v>2673</v>
      </c>
      <c r="B2227" s="63" t="s">
        <v>51</v>
      </c>
      <c r="C2227" s="63" t="s">
        <v>84</v>
      </c>
      <c r="D2227" s="63">
        <v>32</v>
      </c>
      <c r="E2227" s="63">
        <v>212.1</v>
      </c>
      <c r="F2227" s="63">
        <v>0.1</v>
      </c>
      <c r="G2227" s="63" t="s">
        <v>26</v>
      </c>
      <c r="H2227" s="63" t="s">
        <v>26</v>
      </c>
      <c r="I2227" s="63">
        <v>0</v>
      </c>
      <c r="J2227" s="63">
        <v>0</v>
      </c>
      <c r="L2227" s="63">
        <v>0.28536871185200002</v>
      </c>
      <c r="M2227" s="63">
        <v>0</v>
      </c>
      <c r="N2227" s="63">
        <v>0.26384759105299999</v>
      </c>
      <c r="O2227" s="64">
        <v>0</v>
      </c>
    </row>
    <row r="2228" spans="1:15" x14ac:dyDescent="0.25">
      <c r="A2228" s="114" t="s">
        <v>467</v>
      </c>
      <c r="B2228" s="63" t="s">
        <v>51</v>
      </c>
      <c r="C2228" s="63" t="s">
        <v>84</v>
      </c>
      <c r="D2228" s="63">
        <v>212</v>
      </c>
      <c r="E2228" s="63">
        <v>572.1</v>
      </c>
      <c r="F2228" s="63">
        <v>0.1</v>
      </c>
      <c r="G2228" s="63" t="s">
        <v>26</v>
      </c>
      <c r="H2228" s="63" t="s">
        <v>26</v>
      </c>
      <c r="I2228" s="63">
        <v>0</v>
      </c>
      <c r="J2228" s="63">
        <v>0</v>
      </c>
      <c r="L2228" s="63">
        <v>0.28536871185200002</v>
      </c>
      <c r="M2228" s="63">
        <v>0</v>
      </c>
      <c r="N2228" s="63">
        <v>0.26384759105299999</v>
      </c>
      <c r="O2228" s="64">
        <v>0</v>
      </c>
    </row>
    <row r="2229" spans="1:15" x14ac:dyDescent="0.25">
      <c r="A2229" s="114" t="s">
        <v>469</v>
      </c>
      <c r="B2229" s="63" t="s">
        <v>51</v>
      </c>
      <c r="C2229" s="63" t="s">
        <v>84</v>
      </c>
      <c r="D2229" s="63">
        <v>572</v>
      </c>
      <c r="E2229" s="63">
        <v>752.1</v>
      </c>
      <c r="F2229" s="63">
        <v>0.1</v>
      </c>
      <c r="G2229" s="63" t="s">
        <v>26</v>
      </c>
      <c r="H2229" s="63" t="s">
        <v>26</v>
      </c>
      <c r="I2229" s="63">
        <v>0</v>
      </c>
      <c r="J2229" s="63">
        <v>0</v>
      </c>
      <c r="L2229" s="63">
        <v>0.39011774918800002</v>
      </c>
      <c r="M2229" s="63">
        <v>0</v>
      </c>
      <c r="N2229" s="63">
        <v>0.37466265870999998</v>
      </c>
      <c r="O2229" s="64">
        <v>0</v>
      </c>
    </row>
    <row r="2230" spans="1:15" x14ac:dyDescent="0.25">
      <c r="A2230" s="114" t="s">
        <v>471</v>
      </c>
      <c r="B2230" s="63" t="s">
        <v>51</v>
      </c>
      <c r="C2230" s="63" t="s">
        <v>84</v>
      </c>
      <c r="D2230" s="63">
        <v>752</v>
      </c>
      <c r="E2230" s="63">
        <v>1166.0999999999999</v>
      </c>
      <c r="F2230" s="63">
        <v>0.1</v>
      </c>
      <c r="G2230" s="63" t="s">
        <v>26</v>
      </c>
      <c r="H2230" s="63" t="s">
        <v>26</v>
      </c>
      <c r="I2230" s="63">
        <v>0</v>
      </c>
      <c r="J2230" s="63">
        <v>0</v>
      </c>
      <c r="L2230" s="63">
        <v>0.45987010658900002</v>
      </c>
      <c r="M2230" s="63">
        <v>0</v>
      </c>
      <c r="N2230" s="63">
        <v>0.44683415775200003</v>
      </c>
      <c r="O2230" s="64">
        <v>0</v>
      </c>
    </row>
    <row r="2231" spans="1:15" x14ac:dyDescent="0.25">
      <c r="A2231" s="114" t="s">
        <v>472</v>
      </c>
      <c r="B2231" s="63" t="s">
        <v>51</v>
      </c>
      <c r="C2231" s="63" t="s">
        <v>84</v>
      </c>
      <c r="D2231" s="63">
        <v>1166</v>
      </c>
      <c r="E2231" s="63">
        <v>1472</v>
      </c>
      <c r="F2231" s="63">
        <v>0.1</v>
      </c>
      <c r="G2231" s="63" t="s">
        <v>26</v>
      </c>
      <c r="H2231" s="63" t="s">
        <v>26</v>
      </c>
      <c r="I2231" s="63">
        <v>0</v>
      </c>
      <c r="J2231" s="63">
        <v>0</v>
      </c>
      <c r="L2231" s="63">
        <v>0.77811255339800001</v>
      </c>
      <c r="M2231" s="63">
        <v>0</v>
      </c>
      <c r="N2231" s="63">
        <v>0.77047997725799999</v>
      </c>
      <c r="O2231" s="64">
        <v>0</v>
      </c>
    </row>
    <row r="2232" spans="1:15" x14ac:dyDescent="0.25">
      <c r="A2232" s="114" t="s">
        <v>473</v>
      </c>
      <c r="B2232" s="63" t="s">
        <v>51</v>
      </c>
      <c r="C2232" s="63" t="s">
        <v>84</v>
      </c>
      <c r="D2232" s="63">
        <v>1472</v>
      </c>
      <c r="E2232" s="63">
        <v>1472.1</v>
      </c>
      <c r="F2232" s="63">
        <v>0.1</v>
      </c>
      <c r="G2232" s="63" t="s">
        <v>26</v>
      </c>
      <c r="H2232" s="63" t="s">
        <v>26</v>
      </c>
      <c r="I2232" s="63">
        <v>0</v>
      </c>
      <c r="J2232" s="63">
        <v>0</v>
      </c>
      <c r="L2232" s="63">
        <v>0.77811255339800001</v>
      </c>
      <c r="M2232" s="63">
        <v>0</v>
      </c>
      <c r="N2232" s="63">
        <v>0.77047997725799999</v>
      </c>
      <c r="O2232" s="64">
        <v>0</v>
      </c>
    </row>
    <row r="2233" spans="1:15" x14ac:dyDescent="0.25">
      <c r="A2233" s="114" t="s">
        <v>465</v>
      </c>
      <c r="B2233" s="63" t="s">
        <v>51</v>
      </c>
      <c r="C2233" s="63" t="s">
        <v>84</v>
      </c>
      <c r="D2233" s="63">
        <v>-328</v>
      </c>
      <c r="E2233" s="63">
        <v>32.1</v>
      </c>
      <c r="F2233" s="63">
        <v>1</v>
      </c>
      <c r="G2233" s="63" t="s">
        <v>26</v>
      </c>
      <c r="H2233" s="63" t="s">
        <v>26</v>
      </c>
      <c r="I2233" s="63">
        <v>0</v>
      </c>
      <c r="J2233" s="63">
        <v>0</v>
      </c>
      <c r="L2233" s="63">
        <v>0.60123441610700001</v>
      </c>
      <c r="M2233" s="63">
        <v>0</v>
      </c>
      <c r="N2233" s="63">
        <v>0.588974140915</v>
      </c>
      <c r="O2233" s="64">
        <v>0</v>
      </c>
    </row>
    <row r="2234" spans="1:15" x14ac:dyDescent="0.25">
      <c r="A2234" s="114" t="s">
        <v>466</v>
      </c>
      <c r="B2234" s="63" t="s">
        <v>51</v>
      </c>
      <c r="C2234" s="63" t="s">
        <v>84</v>
      </c>
      <c r="D2234" s="63">
        <v>32</v>
      </c>
      <c r="E2234" s="63">
        <v>212.1</v>
      </c>
      <c r="F2234" s="63">
        <v>1</v>
      </c>
      <c r="G2234" s="63" t="s">
        <v>26</v>
      </c>
      <c r="H2234" s="63" t="s">
        <v>26</v>
      </c>
      <c r="I2234" s="63">
        <v>0</v>
      </c>
      <c r="J2234" s="63">
        <v>0</v>
      </c>
      <c r="L2234" s="63">
        <v>0.61100604871399999</v>
      </c>
      <c r="M2234" s="63">
        <v>0</v>
      </c>
      <c r="N2234" s="63">
        <v>0.59894582987099998</v>
      </c>
      <c r="O2234" s="64">
        <v>0</v>
      </c>
    </row>
    <row r="2235" spans="1:15" x14ac:dyDescent="0.25">
      <c r="A2235" s="114" t="s">
        <v>468</v>
      </c>
      <c r="B2235" s="63" t="s">
        <v>51</v>
      </c>
      <c r="C2235" s="63" t="s">
        <v>84</v>
      </c>
      <c r="D2235" s="63">
        <v>212</v>
      </c>
      <c r="E2235" s="63">
        <v>572.1</v>
      </c>
      <c r="F2235" s="63">
        <v>1</v>
      </c>
      <c r="G2235" s="63" t="s">
        <v>26</v>
      </c>
      <c r="H2235" s="63" t="s">
        <v>26</v>
      </c>
      <c r="I2235" s="63">
        <v>0</v>
      </c>
      <c r="J2235" s="63">
        <v>0</v>
      </c>
      <c r="L2235" s="63">
        <v>0.61100604871399999</v>
      </c>
      <c r="M2235" s="63">
        <v>0</v>
      </c>
      <c r="N2235" s="63">
        <v>0.59894582987099998</v>
      </c>
      <c r="O2235" s="64">
        <v>0</v>
      </c>
    </row>
    <row r="2236" spans="1:15" x14ac:dyDescent="0.25">
      <c r="A2236" s="114" t="s">
        <v>470</v>
      </c>
      <c r="B2236" s="63" t="s">
        <v>51</v>
      </c>
      <c r="C2236" s="63" t="s">
        <v>84</v>
      </c>
      <c r="D2236" s="63">
        <v>572</v>
      </c>
      <c r="E2236" s="63">
        <v>752.1</v>
      </c>
      <c r="F2236" s="63">
        <v>1</v>
      </c>
      <c r="G2236" s="63" t="s">
        <v>26</v>
      </c>
      <c r="H2236" s="63" t="s">
        <v>26</v>
      </c>
      <c r="I2236" s="63">
        <v>0</v>
      </c>
      <c r="J2236" s="63">
        <v>0</v>
      </c>
      <c r="L2236" s="63">
        <v>0.631180598634</v>
      </c>
      <c r="M2236" s="63">
        <v>0</v>
      </c>
      <c r="N2236" s="63">
        <v>0.61951324735400004</v>
      </c>
      <c r="O2236" s="64">
        <v>0</v>
      </c>
    </row>
    <row r="2237" spans="1:15" x14ac:dyDescent="0.25">
      <c r="A2237" s="114" t="s">
        <v>2674</v>
      </c>
      <c r="B2237" s="63" t="s">
        <v>51</v>
      </c>
      <c r="C2237" s="63" t="s">
        <v>84</v>
      </c>
      <c r="D2237" s="63">
        <v>752</v>
      </c>
      <c r="E2237" s="63">
        <v>1166.0999999999999</v>
      </c>
      <c r="F2237" s="63">
        <v>1</v>
      </c>
      <c r="G2237" s="63" t="s">
        <v>26</v>
      </c>
      <c r="H2237" s="63" t="s">
        <v>26</v>
      </c>
      <c r="I2237" s="63">
        <v>0</v>
      </c>
      <c r="J2237" s="63">
        <v>0</v>
      </c>
      <c r="L2237" s="63">
        <v>0.64672529314600002</v>
      </c>
      <c r="M2237" s="63">
        <v>0</v>
      </c>
      <c r="N2237" s="63">
        <v>0.63534346644200002</v>
      </c>
      <c r="O2237" s="64">
        <v>0</v>
      </c>
    </row>
    <row r="2238" spans="1:15" x14ac:dyDescent="0.25">
      <c r="A2238" s="114" t="s">
        <v>2675</v>
      </c>
      <c r="B2238" s="63" t="s">
        <v>51</v>
      </c>
      <c r="C2238" s="63" t="s">
        <v>84</v>
      </c>
      <c r="D2238" s="63">
        <v>1166</v>
      </c>
      <c r="E2238" s="63">
        <v>1472</v>
      </c>
      <c r="F2238" s="63">
        <v>1</v>
      </c>
      <c r="G2238" s="63" t="s">
        <v>26</v>
      </c>
      <c r="H2238" s="63" t="s">
        <v>26</v>
      </c>
      <c r="I2238" s="63">
        <v>0</v>
      </c>
      <c r="J2238" s="63">
        <v>0</v>
      </c>
      <c r="L2238" s="63">
        <v>0.73899948282500005</v>
      </c>
      <c r="M2238" s="63">
        <v>0</v>
      </c>
      <c r="N2238" s="63">
        <v>0.72905963485199998</v>
      </c>
      <c r="O2238" s="64">
        <v>0</v>
      </c>
    </row>
    <row r="2239" spans="1:15" x14ac:dyDescent="0.25">
      <c r="A2239" s="114" t="s">
        <v>474</v>
      </c>
      <c r="B2239" s="63" t="s">
        <v>51</v>
      </c>
      <c r="C2239" s="63" t="s">
        <v>84</v>
      </c>
      <c r="D2239" s="63">
        <v>1472</v>
      </c>
      <c r="E2239" s="63">
        <v>1472.1</v>
      </c>
      <c r="F2239" s="63">
        <v>1</v>
      </c>
      <c r="G2239" s="63" t="s">
        <v>26</v>
      </c>
      <c r="H2239" s="63" t="s">
        <v>26</v>
      </c>
      <c r="I2239" s="63">
        <v>0</v>
      </c>
      <c r="J2239" s="63">
        <v>0</v>
      </c>
      <c r="L2239" s="63">
        <v>0.73899948282500005</v>
      </c>
      <c r="M2239" s="63">
        <v>0</v>
      </c>
      <c r="N2239" s="63">
        <v>0.72905963485199998</v>
      </c>
      <c r="O2239" s="64">
        <v>0</v>
      </c>
    </row>
    <row r="2240" spans="1:15" x14ac:dyDescent="0.25">
      <c r="A2240" s="114" t="s">
        <v>2676</v>
      </c>
      <c r="B2240" s="63" t="s">
        <v>51</v>
      </c>
      <c r="C2240" s="63" t="s">
        <v>85</v>
      </c>
      <c r="D2240" s="63">
        <v>-328</v>
      </c>
      <c r="E2240" s="63">
        <v>32.1</v>
      </c>
      <c r="F2240" s="63">
        <v>0.1</v>
      </c>
      <c r="G2240" s="63" t="s">
        <v>26</v>
      </c>
      <c r="H2240" s="63" t="s">
        <v>26</v>
      </c>
      <c r="I2240" s="63">
        <v>0</v>
      </c>
      <c r="J2240" s="63">
        <v>0</v>
      </c>
      <c r="L2240" s="63">
        <v>0.16401347121000001</v>
      </c>
      <c r="M2240" s="63">
        <v>0</v>
      </c>
      <c r="N2240" s="63">
        <v>0.122803372667</v>
      </c>
      <c r="O2240" s="64">
        <v>0</v>
      </c>
    </row>
    <row r="2241" spans="1:15" x14ac:dyDescent="0.25">
      <c r="A2241" s="114" t="s">
        <v>2677</v>
      </c>
      <c r="B2241" s="63" t="s">
        <v>51</v>
      </c>
      <c r="C2241" s="63" t="s">
        <v>85</v>
      </c>
      <c r="D2241" s="63">
        <v>32</v>
      </c>
      <c r="E2241" s="63">
        <v>212.1</v>
      </c>
      <c r="F2241" s="63">
        <v>0.1</v>
      </c>
      <c r="G2241" s="63" t="s">
        <v>26</v>
      </c>
      <c r="H2241" s="63" t="s">
        <v>26</v>
      </c>
      <c r="I2241" s="63">
        <v>0</v>
      </c>
      <c r="J2241" s="63">
        <v>0</v>
      </c>
      <c r="L2241" s="63">
        <v>0.192014758181</v>
      </c>
      <c r="M2241" s="63">
        <v>0</v>
      </c>
      <c r="N2241" s="63">
        <v>0.15827165557799999</v>
      </c>
      <c r="O2241" s="64">
        <v>0</v>
      </c>
    </row>
    <row r="2242" spans="1:15" x14ac:dyDescent="0.25">
      <c r="A2242" s="114" t="s">
        <v>455</v>
      </c>
      <c r="B2242" s="63" t="s">
        <v>51</v>
      </c>
      <c r="C2242" s="63" t="s">
        <v>85</v>
      </c>
      <c r="D2242" s="63">
        <v>212</v>
      </c>
      <c r="E2242" s="63">
        <v>500.1</v>
      </c>
      <c r="F2242" s="63">
        <v>0.1</v>
      </c>
      <c r="G2242" s="63" t="s">
        <v>26</v>
      </c>
      <c r="H2242" s="63" t="s">
        <v>26</v>
      </c>
      <c r="I2242" s="63">
        <v>0</v>
      </c>
      <c r="J2242" s="63">
        <v>0</v>
      </c>
      <c r="L2242" s="63">
        <v>0.192014758181</v>
      </c>
      <c r="M2242" s="63">
        <v>0</v>
      </c>
      <c r="N2242" s="63">
        <v>0.15827165557799999</v>
      </c>
      <c r="O2242" s="64">
        <v>0</v>
      </c>
    </row>
    <row r="2243" spans="1:15" x14ac:dyDescent="0.25">
      <c r="A2243" s="114" t="s">
        <v>2678</v>
      </c>
      <c r="B2243" s="63" t="s">
        <v>51</v>
      </c>
      <c r="C2243" s="63" t="s">
        <v>85</v>
      </c>
      <c r="D2243" s="63">
        <v>500</v>
      </c>
      <c r="E2243" s="63">
        <v>572.1</v>
      </c>
      <c r="F2243" s="63">
        <v>0.1</v>
      </c>
      <c r="G2243" s="63" t="s">
        <v>26</v>
      </c>
      <c r="H2243" s="63" t="s">
        <v>26</v>
      </c>
      <c r="I2243" s="63">
        <v>0</v>
      </c>
      <c r="J2243" s="63">
        <v>0</v>
      </c>
      <c r="L2243" s="63">
        <v>0.26189677850499998</v>
      </c>
      <c r="M2243" s="63">
        <v>0</v>
      </c>
      <c r="N2243" s="63">
        <v>0.23826492018600001</v>
      </c>
      <c r="O2243" s="64">
        <v>0</v>
      </c>
    </row>
    <row r="2244" spans="1:15" x14ac:dyDescent="0.25">
      <c r="A2244" s="114" t="s">
        <v>458</v>
      </c>
      <c r="B2244" s="63" t="s">
        <v>51</v>
      </c>
      <c r="C2244" s="63" t="s">
        <v>85</v>
      </c>
      <c r="D2244" s="63">
        <v>572</v>
      </c>
      <c r="E2244" s="63">
        <v>752.1</v>
      </c>
      <c r="F2244" s="63">
        <v>0.1</v>
      </c>
      <c r="G2244" s="63" t="s">
        <v>26</v>
      </c>
      <c r="H2244" s="63" t="s">
        <v>26</v>
      </c>
      <c r="I2244" s="63">
        <v>0</v>
      </c>
      <c r="J2244" s="63">
        <v>0</v>
      </c>
      <c r="L2244" s="63">
        <v>0.293420957383</v>
      </c>
      <c r="M2244" s="63">
        <v>0</v>
      </c>
      <c r="N2244" s="63">
        <v>0.27253643395299998</v>
      </c>
      <c r="O2244" s="64">
        <v>0</v>
      </c>
    </row>
    <row r="2245" spans="1:15" x14ac:dyDescent="0.25">
      <c r="A2245" s="114" t="s">
        <v>459</v>
      </c>
      <c r="B2245" s="63" t="s">
        <v>51</v>
      </c>
      <c r="C2245" s="63" t="s">
        <v>85</v>
      </c>
      <c r="D2245" s="63">
        <v>752</v>
      </c>
      <c r="E2245" s="63">
        <v>1112.0999999999999</v>
      </c>
      <c r="F2245" s="63">
        <v>0.1</v>
      </c>
      <c r="G2245" s="63" t="s">
        <v>26</v>
      </c>
      <c r="H2245" s="63" t="s">
        <v>26</v>
      </c>
      <c r="I2245" s="63">
        <v>0</v>
      </c>
      <c r="J2245" s="63">
        <v>0</v>
      </c>
      <c r="L2245" s="63">
        <v>0.297254966206</v>
      </c>
      <c r="M2245" s="63">
        <v>0</v>
      </c>
      <c r="N2245" s="63">
        <v>0.27666001614699998</v>
      </c>
      <c r="O2245" s="64">
        <v>0</v>
      </c>
    </row>
    <row r="2246" spans="1:15" x14ac:dyDescent="0.25">
      <c r="A2246" s="114" t="s">
        <v>461</v>
      </c>
      <c r="B2246" s="63" t="s">
        <v>51</v>
      </c>
      <c r="C2246" s="63" t="s">
        <v>85</v>
      </c>
      <c r="D2246" s="63">
        <v>1112</v>
      </c>
      <c r="E2246" s="63">
        <v>1166</v>
      </c>
      <c r="F2246" s="63">
        <v>0.1</v>
      </c>
      <c r="G2246" s="63" t="s">
        <v>26</v>
      </c>
      <c r="H2246" s="63" t="s">
        <v>26</v>
      </c>
      <c r="I2246" s="63">
        <v>0</v>
      </c>
      <c r="J2246" s="63">
        <v>0</v>
      </c>
      <c r="L2246" s="63">
        <v>0.84698905950299996</v>
      </c>
      <c r="M2246" s="63">
        <v>0</v>
      </c>
      <c r="N2246" s="63">
        <v>0.83998256917500003</v>
      </c>
      <c r="O2246" s="64">
        <v>0</v>
      </c>
    </row>
    <row r="2247" spans="1:15" x14ac:dyDescent="0.25">
      <c r="A2247" s="114" t="s">
        <v>463</v>
      </c>
      <c r="B2247" s="63" t="s">
        <v>51</v>
      </c>
      <c r="C2247" s="63" t="s">
        <v>85</v>
      </c>
      <c r="D2247" s="63">
        <v>1166</v>
      </c>
      <c r="E2247" s="63">
        <v>1166.0999999999999</v>
      </c>
      <c r="F2247" s="63">
        <v>0.1</v>
      </c>
      <c r="G2247" s="63" t="s">
        <v>26</v>
      </c>
      <c r="H2247" s="63" t="s">
        <v>26</v>
      </c>
      <c r="I2247" s="63">
        <v>0</v>
      </c>
      <c r="J2247" s="63">
        <v>0</v>
      </c>
      <c r="L2247" s="63">
        <v>0.84698905950299996</v>
      </c>
      <c r="M2247" s="63">
        <v>0</v>
      </c>
      <c r="N2247" s="63">
        <v>0.83998256917500003</v>
      </c>
      <c r="O2247" s="64">
        <v>0</v>
      </c>
    </row>
    <row r="2248" spans="1:15" x14ac:dyDescent="0.25">
      <c r="A2248" s="114" t="s">
        <v>2679</v>
      </c>
      <c r="B2248" s="63" t="s">
        <v>51</v>
      </c>
      <c r="C2248" s="63" t="s">
        <v>85</v>
      </c>
      <c r="D2248" s="63">
        <v>-328</v>
      </c>
      <c r="E2248" s="63">
        <v>32.1</v>
      </c>
      <c r="F2248" s="63">
        <v>1</v>
      </c>
      <c r="G2248" s="63" t="s">
        <v>26</v>
      </c>
      <c r="H2248" s="63" t="s">
        <v>26</v>
      </c>
      <c r="I2248" s="63">
        <v>0</v>
      </c>
      <c r="J2248" s="63">
        <v>0</v>
      </c>
      <c r="L2248" s="63">
        <v>0.59551113222100005</v>
      </c>
      <c r="M2248" s="63">
        <v>0</v>
      </c>
      <c r="N2248" s="63">
        <v>0.58313053783400004</v>
      </c>
      <c r="O2248" s="64">
        <v>0</v>
      </c>
    </row>
    <row r="2249" spans="1:15" x14ac:dyDescent="0.25">
      <c r="A2249" s="114" t="s">
        <v>456</v>
      </c>
      <c r="B2249" s="63" t="s">
        <v>51</v>
      </c>
      <c r="C2249" s="63" t="s">
        <v>85</v>
      </c>
      <c r="D2249" s="63">
        <v>212</v>
      </c>
      <c r="E2249" s="63">
        <v>500.1</v>
      </c>
      <c r="F2249" s="63">
        <v>1</v>
      </c>
      <c r="G2249" s="63" t="s">
        <v>26</v>
      </c>
      <c r="H2249" s="63" t="s">
        <v>26</v>
      </c>
      <c r="I2249" s="63">
        <v>0</v>
      </c>
      <c r="J2249" s="63">
        <v>0</v>
      </c>
      <c r="L2249" s="63">
        <v>0.598607348117</v>
      </c>
      <c r="M2249" s="63">
        <v>0</v>
      </c>
      <c r="N2249" s="63">
        <v>0.58629213944500003</v>
      </c>
      <c r="O2249" s="64">
        <v>0</v>
      </c>
    </row>
    <row r="2250" spans="1:15" x14ac:dyDescent="0.25">
      <c r="A2250" s="114" t="s">
        <v>457</v>
      </c>
      <c r="B2250" s="63" t="s">
        <v>51</v>
      </c>
      <c r="C2250" s="63" t="s">
        <v>85</v>
      </c>
      <c r="D2250" s="63">
        <v>500</v>
      </c>
      <c r="E2250" s="63">
        <v>572.1</v>
      </c>
      <c r="F2250" s="63">
        <v>1</v>
      </c>
      <c r="G2250" s="63" t="s">
        <v>26</v>
      </c>
      <c r="H2250" s="63" t="s">
        <v>26</v>
      </c>
      <c r="I2250" s="63">
        <v>0</v>
      </c>
      <c r="J2250" s="63">
        <v>0</v>
      </c>
      <c r="L2250" s="63">
        <v>0.61002541951300004</v>
      </c>
      <c r="M2250" s="63">
        <v>0</v>
      </c>
      <c r="N2250" s="63">
        <v>0.59794542226400005</v>
      </c>
      <c r="O2250" s="64">
        <v>0</v>
      </c>
    </row>
    <row r="2251" spans="1:15" x14ac:dyDescent="0.25">
      <c r="A2251" s="114" t="s">
        <v>2680</v>
      </c>
      <c r="B2251" s="63" t="s">
        <v>51</v>
      </c>
      <c r="C2251" s="63" t="s">
        <v>85</v>
      </c>
      <c r="D2251" s="63">
        <v>572</v>
      </c>
      <c r="E2251" s="63">
        <v>752.1</v>
      </c>
      <c r="F2251" s="63">
        <v>1</v>
      </c>
      <c r="G2251" s="63" t="s">
        <v>26</v>
      </c>
      <c r="H2251" s="63" t="s">
        <v>26</v>
      </c>
      <c r="I2251" s="63">
        <v>0</v>
      </c>
      <c r="J2251" s="63">
        <v>0</v>
      </c>
      <c r="L2251" s="63">
        <v>0.614808057927</v>
      </c>
      <c r="M2251" s="63">
        <v>0</v>
      </c>
      <c r="N2251" s="63">
        <v>0.60282390766100002</v>
      </c>
      <c r="O2251" s="64">
        <v>0</v>
      </c>
    </row>
    <row r="2252" spans="1:15" x14ac:dyDescent="0.25">
      <c r="A2252" s="114" t="s">
        <v>460</v>
      </c>
      <c r="B2252" s="63" t="s">
        <v>51</v>
      </c>
      <c r="C2252" s="63" t="s">
        <v>85</v>
      </c>
      <c r="D2252" s="63">
        <v>752</v>
      </c>
      <c r="E2252" s="63">
        <v>1112.0999999999999</v>
      </c>
      <c r="F2252" s="63">
        <v>1</v>
      </c>
      <c r="G2252" s="63" t="s">
        <v>26</v>
      </c>
      <c r="H2252" s="63" t="s">
        <v>26</v>
      </c>
      <c r="I2252" s="63">
        <v>0</v>
      </c>
      <c r="J2252" s="63">
        <v>0</v>
      </c>
      <c r="L2252" s="63">
        <v>0.61664706663900004</v>
      </c>
      <c r="M2252" s="63">
        <v>0</v>
      </c>
      <c r="N2252" s="63">
        <v>0.60469936360999998</v>
      </c>
      <c r="O2252" s="64">
        <v>0</v>
      </c>
    </row>
    <row r="2253" spans="1:15" x14ac:dyDescent="0.25">
      <c r="A2253" s="114" t="s">
        <v>462</v>
      </c>
      <c r="B2253" s="63" t="s">
        <v>51</v>
      </c>
      <c r="C2253" s="63" t="s">
        <v>85</v>
      </c>
      <c r="D2253" s="63">
        <v>1112</v>
      </c>
      <c r="E2253" s="63">
        <v>1166</v>
      </c>
      <c r="F2253" s="63">
        <v>1</v>
      </c>
      <c r="G2253" s="63" t="s">
        <v>26</v>
      </c>
      <c r="H2253" s="63" t="s">
        <v>26</v>
      </c>
      <c r="I2253" s="63">
        <v>0</v>
      </c>
      <c r="J2253" s="63">
        <v>0</v>
      </c>
      <c r="L2253" s="63">
        <v>1.0262492663959999</v>
      </c>
      <c r="M2253" s="63">
        <v>0</v>
      </c>
      <c r="N2253" s="63">
        <v>1.0191149455940001</v>
      </c>
      <c r="O2253" s="64">
        <v>0</v>
      </c>
    </row>
    <row r="2254" spans="1:15" x14ac:dyDescent="0.25">
      <c r="A2254" s="114" t="s">
        <v>464</v>
      </c>
      <c r="B2254" s="63" t="s">
        <v>51</v>
      </c>
      <c r="C2254" s="63" t="s">
        <v>85</v>
      </c>
      <c r="D2254" s="63">
        <v>1166</v>
      </c>
      <c r="E2254" s="63">
        <v>1166.0999999999999</v>
      </c>
      <c r="F2254" s="63">
        <v>1</v>
      </c>
      <c r="G2254" s="63" t="s">
        <v>26</v>
      </c>
      <c r="H2254" s="63" t="s">
        <v>26</v>
      </c>
      <c r="I2254" s="63">
        <v>0</v>
      </c>
      <c r="J2254" s="63">
        <v>0</v>
      </c>
      <c r="L2254" s="63">
        <v>1.0262492663959999</v>
      </c>
      <c r="M2254" s="63">
        <v>0</v>
      </c>
      <c r="N2254" s="63">
        <v>1.0191149455940001</v>
      </c>
      <c r="O2254" s="64">
        <v>0</v>
      </c>
    </row>
    <row r="2255" spans="1:15" x14ac:dyDescent="0.25">
      <c r="A2255" s="114" t="s">
        <v>449</v>
      </c>
      <c r="B2255" s="63" t="s">
        <v>51</v>
      </c>
      <c r="C2255" s="63" t="s">
        <v>81</v>
      </c>
      <c r="D2255" s="63">
        <v>32</v>
      </c>
      <c r="E2255" s="63">
        <v>482.1</v>
      </c>
      <c r="F2255" s="63">
        <v>0.1</v>
      </c>
      <c r="G2255" s="63" t="s">
        <v>26</v>
      </c>
      <c r="H2255" s="63" t="s">
        <v>26</v>
      </c>
      <c r="I2255" s="63">
        <v>0</v>
      </c>
      <c r="J2255" s="63">
        <v>0</v>
      </c>
      <c r="L2255" s="63">
        <v>1.196556842686</v>
      </c>
      <c r="M2255" s="63">
        <v>0</v>
      </c>
      <c r="N2255" s="63">
        <v>1.190019234205</v>
      </c>
      <c r="O2255" s="64">
        <v>0</v>
      </c>
    </row>
    <row r="2256" spans="1:15" x14ac:dyDescent="0.25">
      <c r="A2256" s="114" t="s">
        <v>450</v>
      </c>
      <c r="B2256" s="63" t="s">
        <v>51</v>
      </c>
      <c r="C2256" s="63" t="s">
        <v>81</v>
      </c>
      <c r="D2256" s="63">
        <v>482</v>
      </c>
      <c r="E2256" s="63">
        <v>752.1</v>
      </c>
      <c r="F2256" s="63">
        <v>0.1</v>
      </c>
      <c r="G2256" s="63" t="s">
        <v>26</v>
      </c>
      <c r="H2256" s="63" t="s">
        <v>26</v>
      </c>
      <c r="I2256" s="63">
        <v>0</v>
      </c>
      <c r="J2256" s="63">
        <v>0</v>
      </c>
      <c r="L2256" s="63">
        <v>0.74216754789499995</v>
      </c>
      <c r="M2256" s="63">
        <v>0</v>
      </c>
      <c r="N2256" s="63">
        <v>0.73323749542899996</v>
      </c>
      <c r="O2256" s="64">
        <v>0</v>
      </c>
    </row>
    <row r="2257" spans="1:15" x14ac:dyDescent="0.25">
      <c r="A2257" s="114" t="s">
        <v>451</v>
      </c>
      <c r="B2257" s="63" t="s">
        <v>51</v>
      </c>
      <c r="C2257" s="63" t="s">
        <v>81</v>
      </c>
      <c r="D2257" s="63">
        <v>752</v>
      </c>
      <c r="E2257" s="63">
        <v>1832.1</v>
      </c>
      <c r="F2257" s="63">
        <v>0.1</v>
      </c>
      <c r="G2257" s="63" t="s">
        <v>26</v>
      </c>
      <c r="H2257" s="63" t="s">
        <v>26</v>
      </c>
      <c r="I2257" s="63">
        <v>0</v>
      </c>
      <c r="J2257" s="63">
        <v>0</v>
      </c>
      <c r="L2257" s="63">
        <v>0.70146403122400003</v>
      </c>
      <c r="M2257" s="63">
        <v>0</v>
      </c>
      <c r="N2257" s="63">
        <v>0.69200891804700004</v>
      </c>
      <c r="O2257" s="64">
        <v>0</v>
      </c>
    </row>
    <row r="2258" spans="1:15" x14ac:dyDescent="0.25">
      <c r="A2258" s="114" t="s">
        <v>452</v>
      </c>
      <c r="B2258" s="63" t="s">
        <v>51</v>
      </c>
      <c r="C2258" s="63" t="s">
        <v>81</v>
      </c>
      <c r="D2258" s="63">
        <v>1832</v>
      </c>
      <c r="E2258" s="63">
        <v>3213</v>
      </c>
      <c r="F2258" s="63">
        <v>0.1</v>
      </c>
      <c r="G2258" s="63" t="s">
        <v>26</v>
      </c>
      <c r="H2258" s="63" t="s">
        <v>26</v>
      </c>
      <c r="I2258" s="63">
        <v>0</v>
      </c>
      <c r="J2258" s="63">
        <v>0</v>
      </c>
      <c r="L2258" s="63">
        <v>0.96694892013800005</v>
      </c>
      <c r="M2258" s="63">
        <v>0</v>
      </c>
      <c r="N2258" s="63">
        <v>0.96011185270800004</v>
      </c>
      <c r="O2258" s="64">
        <v>0</v>
      </c>
    </row>
    <row r="2259" spans="1:15" x14ac:dyDescent="0.25">
      <c r="A2259" s="114" t="s">
        <v>454</v>
      </c>
      <c r="B2259" s="63" t="s">
        <v>51</v>
      </c>
      <c r="C2259" s="63" t="s">
        <v>81</v>
      </c>
      <c r="D2259" s="63">
        <v>3213</v>
      </c>
      <c r="E2259" s="63">
        <v>3213.1</v>
      </c>
      <c r="F2259" s="63">
        <v>0.1</v>
      </c>
      <c r="G2259" s="63" t="s">
        <v>26</v>
      </c>
      <c r="H2259" s="63" t="s">
        <v>26</v>
      </c>
      <c r="I2259" s="63">
        <v>0</v>
      </c>
      <c r="J2259" s="63">
        <v>0</v>
      </c>
      <c r="L2259" s="63">
        <v>0.96694892013800005</v>
      </c>
      <c r="M2259" s="63">
        <v>0</v>
      </c>
      <c r="N2259" s="63">
        <v>0.96011185270800004</v>
      </c>
      <c r="O2259" s="64">
        <v>0</v>
      </c>
    </row>
    <row r="2260" spans="1:15" x14ac:dyDescent="0.25">
      <c r="A2260" s="114" t="s">
        <v>2681</v>
      </c>
      <c r="B2260" s="63" t="s">
        <v>51</v>
      </c>
      <c r="C2260" s="63" t="s">
        <v>81</v>
      </c>
      <c r="D2260" s="63">
        <v>32</v>
      </c>
      <c r="E2260" s="63">
        <v>482.1</v>
      </c>
      <c r="F2260" s="63">
        <v>1</v>
      </c>
      <c r="G2260" s="63" t="s">
        <v>26</v>
      </c>
      <c r="H2260" s="63" t="s">
        <v>26</v>
      </c>
      <c r="I2260" s="63">
        <v>0</v>
      </c>
      <c r="J2260" s="63">
        <v>0</v>
      </c>
      <c r="L2260" s="63">
        <v>1.344825556635</v>
      </c>
      <c r="M2260" s="63">
        <v>0</v>
      </c>
      <c r="N2260" s="63">
        <v>1.321418093481</v>
      </c>
      <c r="O2260" s="64">
        <v>0</v>
      </c>
    </row>
    <row r="2261" spans="1:15" x14ac:dyDescent="0.25">
      <c r="A2261" s="114" t="s">
        <v>2682</v>
      </c>
      <c r="B2261" s="63" t="s">
        <v>51</v>
      </c>
      <c r="C2261" s="63" t="s">
        <v>81</v>
      </c>
      <c r="D2261" s="63">
        <v>482</v>
      </c>
      <c r="E2261" s="63">
        <v>752.1</v>
      </c>
      <c r="F2261" s="63">
        <v>1</v>
      </c>
      <c r="G2261" s="63" t="s">
        <v>26</v>
      </c>
      <c r="H2261" s="63" t="s">
        <v>26</v>
      </c>
      <c r="I2261" s="63">
        <v>0</v>
      </c>
      <c r="J2261" s="63">
        <v>0</v>
      </c>
      <c r="L2261" s="63">
        <v>0.95934300564599995</v>
      </c>
      <c r="M2261" s="63">
        <v>0</v>
      </c>
      <c r="N2261" s="63">
        <v>0.93147046367700004</v>
      </c>
      <c r="O2261" s="64">
        <v>0</v>
      </c>
    </row>
    <row r="2262" spans="1:15" x14ac:dyDescent="0.25">
      <c r="A2262" s="114" t="s">
        <v>2683</v>
      </c>
      <c r="B2262" s="63" t="s">
        <v>51</v>
      </c>
      <c r="C2262" s="63" t="s">
        <v>81</v>
      </c>
      <c r="D2262" s="63">
        <v>752</v>
      </c>
      <c r="E2262" s="63">
        <v>1832.1</v>
      </c>
      <c r="F2262" s="63">
        <v>1</v>
      </c>
      <c r="G2262" s="63" t="s">
        <v>26</v>
      </c>
      <c r="H2262" s="63" t="s">
        <v>26</v>
      </c>
      <c r="I2262" s="63">
        <v>0</v>
      </c>
      <c r="J2262" s="63">
        <v>0</v>
      </c>
      <c r="L2262" s="63">
        <v>0.92821232508200002</v>
      </c>
      <c r="M2262" s="63">
        <v>0</v>
      </c>
      <c r="N2262" s="63">
        <v>0.899375529274</v>
      </c>
      <c r="O2262" s="64">
        <v>0</v>
      </c>
    </row>
    <row r="2263" spans="1:15" x14ac:dyDescent="0.25">
      <c r="A2263" s="114" t="s">
        <v>453</v>
      </c>
      <c r="B2263" s="63" t="s">
        <v>51</v>
      </c>
      <c r="C2263" s="63" t="s">
        <v>81</v>
      </c>
      <c r="D2263" s="63">
        <v>1832</v>
      </c>
      <c r="E2263" s="63">
        <v>3213</v>
      </c>
      <c r="F2263" s="63">
        <v>1</v>
      </c>
      <c r="G2263" s="63" t="s">
        <v>26</v>
      </c>
      <c r="H2263" s="63" t="s">
        <v>26</v>
      </c>
      <c r="I2263" s="63">
        <v>0</v>
      </c>
      <c r="J2263" s="63">
        <v>0</v>
      </c>
      <c r="L2263" s="63">
        <v>1.142154344863</v>
      </c>
      <c r="M2263" s="63">
        <v>0</v>
      </c>
      <c r="N2263" s="63">
        <v>1.1188452840809999</v>
      </c>
      <c r="O2263" s="64">
        <v>0</v>
      </c>
    </row>
    <row r="2264" spans="1:15" x14ac:dyDescent="0.25">
      <c r="A2264" s="114" t="s">
        <v>2684</v>
      </c>
      <c r="B2264" s="63" t="s">
        <v>51</v>
      </c>
      <c r="C2264" s="63" t="s">
        <v>81</v>
      </c>
      <c r="D2264" s="63">
        <v>3213</v>
      </c>
      <c r="E2264" s="63">
        <v>3213.1</v>
      </c>
      <c r="F2264" s="63">
        <v>1</v>
      </c>
      <c r="G2264" s="63" t="s">
        <v>26</v>
      </c>
      <c r="H2264" s="63" t="s">
        <v>26</v>
      </c>
      <c r="I2264" s="63">
        <v>0</v>
      </c>
      <c r="J2264" s="63">
        <v>0</v>
      </c>
      <c r="L2264" s="63">
        <v>1.142154344863</v>
      </c>
      <c r="M2264" s="63">
        <v>0</v>
      </c>
      <c r="N2264" s="63">
        <v>1.1188452840809999</v>
      </c>
      <c r="O2264" s="64">
        <v>0</v>
      </c>
    </row>
    <row r="2265" spans="1:15" x14ac:dyDescent="0.25">
      <c r="A2265" s="114" t="s">
        <v>442</v>
      </c>
      <c r="B2265" s="63" t="s">
        <v>51</v>
      </c>
      <c r="C2265" s="63" t="s">
        <v>82</v>
      </c>
      <c r="D2265" s="63">
        <v>32</v>
      </c>
      <c r="E2265" s="63">
        <v>482.1</v>
      </c>
      <c r="F2265" s="63">
        <v>0.1</v>
      </c>
      <c r="G2265" s="63" t="s">
        <v>26</v>
      </c>
      <c r="H2265" s="63" t="s">
        <v>26</v>
      </c>
      <c r="I2265" s="63">
        <v>0</v>
      </c>
      <c r="J2265" s="63">
        <v>0</v>
      </c>
      <c r="L2265" s="63">
        <v>0.99102046172400005</v>
      </c>
      <c r="M2265" s="63">
        <v>0</v>
      </c>
      <c r="N2265" s="63">
        <v>0.98329333251999995</v>
      </c>
      <c r="O2265" s="64">
        <v>0</v>
      </c>
    </row>
    <row r="2266" spans="1:15" x14ac:dyDescent="0.25">
      <c r="A2266" s="114" t="s">
        <v>444</v>
      </c>
      <c r="B2266" s="63" t="s">
        <v>51</v>
      </c>
      <c r="C2266" s="63" t="s">
        <v>82</v>
      </c>
      <c r="D2266" s="63">
        <v>482</v>
      </c>
      <c r="E2266" s="63">
        <v>1832.1</v>
      </c>
      <c r="F2266" s="63">
        <v>0.1</v>
      </c>
      <c r="G2266" s="63" t="s">
        <v>26</v>
      </c>
      <c r="H2266" s="63" t="s">
        <v>26</v>
      </c>
      <c r="I2266" s="63">
        <v>0</v>
      </c>
      <c r="J2266" s="63">
        <v>0</v>
      </c>
      <c r="L2266" s="63">
        <v>0.76311401263300005</v>
      </c>
      <c r="M2266" s="63">
        <v>0</v>
      </c>
      <c r="N2266" s="63">
        <v>0.75443193982800005</v>
      </c>
      <c r="O2266" s="64">
        <v>0</v>
      </c>
    </row>
    <row r="2267" spans="1:15" x14ac:dyDescent="0.25">
      <c r="A2267" s="114" t="s">
        <v>2685</v>
      </c>
      <c r="B2267" s="63" t="s">
        <v>51</v>
      </c>
      <c r="C2267" s="63" t="s">
        <v>82</v>
      </c>
      <c r="D2267" s="63">
        <v>1832</v>
      </c>
      <c r="E2267" s="63">
        <v>2552.1</v>
      </c>
      <c r="F2267" s="63">
        <v>0.1</v>
      </c>
      <c r="G2267" s="63" t="s">
        <v>26</v>
      </c>
      <c r="H2267" s="63" t="s">
        <v>26</v>
      </c>
      <c r="I2267" s="63">
        <v>0</v>
      </c>
      <c r="J2267" s="63">
        <v>0</v>
      </c>
      <c r="L2267" s="63">
        <v>0.78273955821899999</v>
      </c>
      <c r="M2267" s="63">
        <v>0</v>
      </c>
      <c r="N2267" s="63">
        <v>0.77427758042999995</v>
      </c>
      <c r="O2267" s="64">
        <v>0</v>
      </c>
    </row>
    <row r="2268" spans="1:15" x14ac:dyDescent="0.25">
      <c r="A2268" s="114" t="s">
        <v>2686</v>
      </c>
      <c r="B2268" s="63" t="s">
        <v>51</v>
      </c>
      <c r="C2268" s="63" t="s">
        <v>82</v>
      </c>
      <c r="D2268" s="63">
        <v>2552</v>
      </c>
      <c r="E2268" s="63">
        <v>3213</v>
      </c>
      <c r="F2268" s="63">
        <v>0.1</v>
      </c>
      <c r="G2268" s="63" t="s">
        <v>26</v>
      </c>
      <c r="H2268" s="63" t="s">
        <v>26</v>
      </c>
      <c r="I2268" s="63">
        <v>0</v>
      </c>
      <c r="J2268" s="63">
        <v>0</v>
      </c>
      <c r="L2268" s="63">
        <v>0.96727748872499997</v>
      </c>
      <c r="M2268" s="63">
        <v>0</v>
      </c>
      <c r="N2268" s="63">
        <v>0.96044276026700004</v>
      </c>
      <c r="O2268" s="64">
        <v>0</v>
      </c>
    </row>
    <row r="2269" spans="1:15" x14ac:dyDescent="0.25">
      <c r="A2269" s="114" t="s">
        <v>447</v>
      </c>
      <c r="B2269" s="63" t="s">
        <v>51</v>
      </c>
      <c r="C2269" s="63" t="s">
        <v>82</v>
      </c>
      <c r="D2269" s="63">
        <v>3213</v>
      </c>
      <c r="E2269" s="63">
        <v>3213.1</v>
      </c>
      <c r="F2269" s="63">
        <v>0.1</v>
      </c>
      <c r="G2269" s="63" t="s">
        <v>26</v>
      </c>
      <c r="H2269" s="63" t="s">
        <v>26</v>
      </c>
      <c r="I2269" s="63">
        <v>0</v>
      </c>
      <c r="J2269" s="63">
        <v>0</v>
      </c>
      <c r="L2269" s="63">
        <v>0.96727748872499997</v>
      </c>
      <c r="M2269" s="63">
        <v>0</v>
      </c>
      <c r="N2269" s="63">
        <v>0.96044276026700004</v>
      </c>
      <c r="O2269" s="64">
        <v>0</v>
      </c>
    </row>
    <row r="2270" spans="1:15" x14ac:dyDescent="0.25">
      <c r="A2270" s="114" t="s">
        <v>443</v>
      </c>
      <c r="B2270" s="63" t="s">
        <v>51</v>
      </c>
      <c r="C2270" s="63" t="s">
        <v>82</v>
      </c>
      <c r="D2270" s="63">
        <v>32</v>
      </c>
      <c r="E2270" s="63">
        <v>482.1</v>
      </c>
      <c r="F2270" s="63">
        <v>1</v>
      </c>
      <c r="G2270" s="63" t="s">
        <v>26</v>
      </c>
      <c r="H2270" s="63" t="s">
        <v>26</v>
      </c>
      <c r="I2270" s="63">
        <v>0</v>
      </c>
      <c r="J2270" s="63">
        <v>0</v>
      </c>
      <c r="L2270" s="63">
        <v>1.1652848960190001</v>
      </c>
      <c r="M2270" s="63">
        <v>0</v>
      </c>
      <c r="N2270" s="63">
        <v>1.138800148304</v>
      </c>
      <c r="O2270" s="64">
        <v>0</v>
      </c>
    </row>
    <row r="2271" spans="1:15" x14ac:dyDescent="0.25">
      <c r="A2271" s="114" t="s">
        <v>2687</v>
      </c>
      <c r="B2271" s="63" t="s">
        <v>51</v>
      </c>
      <c r="C2271" s="63" t="s">
        <v>82</v>
      </c>
      <c r="D2271" s="63">
        <v>482</v>
      </c>
      <c r="E2271" s="63">
        <v>1832.1</v>
      </c>
      <c r="F2271" s="63">
        <v>1</v>
      </c>
      <c r="G2271" s="63" t="s">
        <v>26</v>
      </c>
      <c r="H2271" s="63" t="s">
        <v>26</v>
      </c>
      <c r="I2271" s="63">
        <v>0</v>
      </c>
      <c r="J2271" s="63">
        <v>0</v>
      </c>
      <c r="L2271" s="63">
        <v>0.97705967630000001</v>
      </c>
      <c r="M2271" s="63">
        <v>0</v>
      </c>
      <c r="N2271" s="63">
        <v>0.94824445784400002</v>
      </c>
      <c r="O2271" s="64">
        <v>0</v>
      </c>
    </row>
    <row r="2272" spans="1:15" x14ac:dyDescent="0.25">
      <c r="A2272" s="114" t="s">
        <v>445</v>
      </c>
      <c r="B2272" s="63" t="s">
        <v>51</v>
      </c>
      <c r="C2272" s="63" t="s">
        <v>82</v>
      </c>
      <c r="D2272" s="63">
        <v>1832</v>
      </c>
      <c r="E2272" s="63">
        <v>2552.1</v>
      </c>
      <c r="F2272" s="63">
        <v>1</v>
      </c>
      <c r="G2272" s="63" t="s">
        <v>26</v>
      </c>
      <c r="H2272" s="63" t="s">
        <v>26</v>
      </c>
      <c r="I2272" s="63">
        <v>0</v>
      </c>
      <c r="J2272" s="63">
        <v>0</v>
      </c>
      <c r="L2272" s="63">
        <v>0.99106384725399999</v>
      </c>
      <c r="M2272" s="63">
        <v>0</v>
      </c>
      <c r="N2272" s="63">
        <v>0.96410879653500003</v>
      </c>
      <c r="O2272" s="64">
        <v>0</v>
      </c>
    </row>
    <row r="2273" spans="1:15" x14ac:dyDescent="0.25">
      <c r="A2273" s="114" t="s">
        <v>446</v>
      </c>
      <c r="B2273" s="63" t="s">
        <v>51</v>
      </c>
      <c r="C2273" s="63" t="s">
        <v>82</v>
      </c>
      <c r="D2273" s="63">
        <v>2552</v>
      </c>
      <c r="E2273" s="63">
        <v>3213</v>
      </c>
      <c r="F2273" s="63">
        <v>1</v>
      </c>
      <c r="G2273" s="63" t="s">
        <v>26</v>
      </c>
      <c r="H2273" s="63" t="s">
        <v>26</v>
      </c>
      <c r="I2273" s="63">
        <v>0</v>
      </c>
      <c r="J2273" s="63">
        <v>0</v>
      </c>
      <c r="L2273" s="63">
        <v>1.142432524715</v>
      </c>
      <c r="M2273" s="63">
        <v>0</v>
      </c>
      <c r="N2273" s="63">
        <v>1.1191292578380001</v>
      </c>
      <c r="O2273" s="64">
        <v>0</v>
      </c>
    </row>
    <row r="2274" spans="1:15" x14ac:dyDescent="0.25">
      <c r="A2274" s="114" t="s">
        <v>448</v>
      </c>
      <c r="B2274" s="63" t="s">
        <v>51</v>
      </c>
      <c r="C2274" s="63" t="s">
        <v>82</v>
      </c>
      <c r="D2274" s="63">
        <v>3213</v>
      </c>
      <c r="E2274" s="63">
        <v>3213.1</v>
      </c>
      <c r="F2274" s="63">
        <v>1</v>
      </c>
      <c r="G2274" s="63" t="s">
        <v>26</v>
      </c>
      <c r="H2274" s="63" t="s">
        <v>26</v>
      </c>
      <c r="I2274" s="63">
        <v>0</v>
      </c>
      <c r="J2274" s="63">
        <v>0</v>
      </c>
      <c r="L2274" s="63">
        <v>1.142432524715</v>
      </c>
      <c r="M2274" s="63">
        <v>0</v>
      </c>
      <c r="N2274" s="63">
        <v>1.1191292578380001</v>
      </c>
      <c r="O2274" s="64">
        <v>0</v>
      </c>
    </row>
    <row r="2275" spans="1:15" x14ac:dyDescent="0.25">
      <c r="A2275" s="114" t="s">
        <v>435</v>
      </c>
      <c r="B2275" s="63" t="s">
        <v>51</v>
      </c>
      <c r="C2275" s="63" t="s">
        <v>83</v>
      </c>
      <c r="D2275" s="63">
        <v>-418</v>
      </c>
      <c r="E2275" s="63">
        <v>-237.9</v>
      </c>
      <c r="F2275" s="63">
        <v>0.1</v>
      </c>
      <c r="G2275" s="63" t="s">
        <v>26</v>
      </c>
      <c r="H2275" s="63" t="s">
        <v>26</v>
      </c>
      <c r="I2275" s="63">
        <v>0</v>
      </c>
      <c r="J2275" s="63">
        <v>0</v>
      </c>
      <c r="L2275" s="63">
        <v>0.55536480170400004</v>
      </c>
      <c r="M2275" s="63">
        <v>0</v>
      </c>
      <c r="N2275" s="63">
        <v>0.550575079267</v>
      </c>
      <c r="O2275" s="64">
        <v>0</v>
      </c>
    </row>
    <row r="2276" spans="1:15" x14ac:dyDescent="0.25">
      <c r="A2276" s="114" t="s">
        <v>2688</v>
      </c>
      <c r="B2276" s="63" t="s">
        <v>51</v>
      </c>
      <c r="C2276" s="63" t="s">
        <v>83</v>
      </c>
      <c r="D2276" s="63">
        <v>-238</v>
      </c>
      <c r="E2276" s="63">
        <v>32.1</v>
      </c>
      <c r="F2276" s="63">
        <v>0.1</v>
      </c>
      <c r="G2276" s="63" t="s">
        <v>26</v>
      </c>
      <c r="H2276" s="63" t="s">
        <v>26</v>
      </c>
      <c r="I2276" s="63">
        <v>0</v>
      </c>
      <c r="J2276" s="63">
        <v>0</v>
      </c>
      <c r="L2276" s="63">
        <v>0.29307530930999998</v>
      </c>
      <c r="M2276" s="63">
        <v>0</v>
      </c>
      <c r="N2276" s="63">
        <v>0.28549186088799999</v>
      </c>
      <c r="O2276" s="64">
        <v>0</v>
      </c>
    </row>
    <row r="2277" spans="1:15" x14ac:dyDescent="0.25">
      <c r="A2277" s="114" t="s">
        <v>2689</v>
      </c>
      <c r="B2277" s="63" t="s">
        <v>51</v>
      </c>
      <c r="C2277" s="63" t="s">
        <v>83</v>
      </c>
      <c r="D2277" s="63">
        <v>32</v>
      </c>
      <c r="E2277" s="63">
        <v>248.1</v>
      </c>
      <c r="F2277" s="63">
        <v>0.1</v>
      </c>
      <c r="G2277" s="63" t="s">
        <v>26</v>
      </c>
      <c r="H2277" s="63" t="s">
        <v>26</v>
      </c>
      <c r="I2277" s="63">
        <v>0</v>
      </c>
      <c r="J2277" s="63">
        <v>0</v>
      </c>
      <c r="L2277" s="63">
        <v>0.20014928119600001</v>
      </c>
      <c r="M2277" s="63">
        <v>0</v>
      </c>
      <c r="N2277" s="63">
        <v>0.19650714703899999</v>
      </c>
      <c r="O2277" s="64">
        <v>0</v>
      </c>
    </row>
    <row r="2278" spans="1:15" x14ac:dyDescent="0.25">
      <c r="A2278" s="114" t="s">
        <v>438</v>
      </c>
      <c r="B2278" s="63" t="s">
        <v>51</v>
      </c>
      <c r="C2278" s="63" t="s">
        <v>83</v>
      </c>
      <c r="D2278" s="63">
        <v>248</v>
      </c>
      <c r="E2278" s="63">
        <v>752</v>
      </c>
      <c r="F2278" s="63">
        <v>0.1</v>
      </c>
      <c r="G2278" s="63" t="s">
        <v>26</v>
      </c>
      <c r="H2278" s="63" t="s">
        <v>26</v>
      </c>
      <c r="I2278" s="63">
        <v>0</v>
      </c>
      <c r="J2278" s="63">
        <v>0</v>
      </c>
      <c r="L2278" s="63">
        <v>0.178953679645</v>
      </c>
      <c r="M2278" s="63">
        <v>0</v>
      </c>
      <c r="N2278" s="63">
        <v>0.174870648001</v>
      </c>
      <c r="O2278" s="64">
        <v>0</v>
      </c>
    </row>
    <row r="2279" spans="1:15" x14ac:dyDescent="0.25">
      <c r="A2279" s="114" t="s">
        <v>440</v>
      </c>
      <c r="B2279" s="63" t="s">
        <v>51</v>
      </c>
      <c r="C2279" s="63" t="s">
        <v>83</v>
      </c>
      <c r="D2279" s="63">
        <v>752</v>
      </c>
      <c r="E2279" s="63">
        <v>752.1</v>
      </c>
      <c r="F2279" s="63">
        <v>0.1</v>
      </c>
      <c r="G2279" s="63" t="s">
        <v>26</v>
      </c>
      <c r="H2279" s="63" t="s">
        <v>26</v>
      </c>
      <c r="I2279" s="63">
        <v>0</v>
      </c>
      <c r="J2279" s="63">
        <v>0</v>
      </c>
      <c r="L2279" s="63">
        <v>0.178953679645</v>
      </c>
      <c r="M2279" s="63">
        <v>0</v>
      </c>
      <c r="N2279" s="63">
        <v>0.174870648001</v>
      </c>
      <c r="O2279" s="64">
        <v>0</v>
      </c>
    </row>
    <row r="2280" spans="1:15" x14ac:dyDescent="0.25">
      <c r="A2280" s="114" t="s">
        <v>436</v>
      </c>
      <c r="B2280" s="63" t="s">
        <v>51</v>
      </c>
      <c r="C2280" s="63" t="s">
        <v>83</v>
      </c>
      <c r="D2280" s="63">
        <v>-418</v>
      </c>
      <c r="E2280" s="63">
        <v>-237.9</v>
      </c>
      <c r="F2280" s="63">
        <v>1</v>
      </c>
      <c r="G2280" s="63" t="s">
        <v>26</v>
      </c>
      <c r="H2280" s="63" t="s">
        <v>26</v>
      </c>
      <c r="I2280" s="63">
        <v>0</v>
      </c>
      <c r="J2280" s="63">
        <v>0</v>
      </c>
      <c r="L2280" s="63">
        <v>0.80890141436200003</v>
      </c>
      <c r="M2280" s="63">
        <v>0</v>
      </c>
      <c r="N2280" s="63">
        <v>0.795696498616</v>
      </c>
      <c r="O2280" s="64">
        <v>0</v>
      </c>
    </row>
    <row r="2281" spans="1:15" x14ac:dyDescent="0.25">
      <c r="A2281" s="114" t="s">
        <v>437</v>
      </c>
      <c r="B2281" s="63" t="s">
        <v>51</v>
      </c>
      <c r="C2281" s="63" t="s">
        <v>83</v>
      </c>
      <c r="D2281" s="63">
        <v>-238</v>
      </c>
      <c r="E2281" s="63">
        <v>32.1</v>
      </c>
      <c r="F2281" s="63">
        <v>1</v>
      </c>
      <c r="G2281" s="63" t="s">
        <v>26</v>
      </c>
      <c r="H2281" s="63" t="s">
        <v>26</v>
      </c>
      <c r="I2281" s="63">
        <v>0</v>
      </c>
      <c r="J2281" s="63">
        <v>0</v>
      </c>
      <c r="L2281" s="63">
        <v>0.65502346508200004</v>
      </c>
      <c r="M2281" s="63">
        <v>0</v>
      </c>
      <c r="N2281" s="63">
        <v>0.64148702452499995</v>
      </c>
      <c r="O2281" s="64">
        <v>0</v>
      </c>
    </row>
    <row r="2282" spans="1:15" x14ac:dyDescent="0.25">
      <c r="A2282" s="114" t="s">
        <v>2690</v>
      </c>
      <c r="B2282" s="63" t="s">
        <v>51</v>
      </c>
      <c r="C2282" s="63" t="s">
        <v>83</v>
      </c>
      <c r="D2282" s="63">
        <v>32</v>
      </c>
      <c r="E2282" s="63">
        <v>248.1</v>
      </c>
      <c r="F2282" s="63">
        <v>1</v>
      </c>
      <c r="G2282" s="63" t="s">
        <v>26</v>
      </c>
      <c r="H2282" s="63" t="s">
        <v>26</v>
      </c>
      <c r="I2282" s="63">
        <v>0</v>
      </c>
      <c r="J2282" s="63">
        <v>0</v>
      </c>
      <c r="L2282" s="63">
        <v>0.611877244667</v>
      </c>
      <c r="M2282" s="63">
        <v>0</v>
      </c>
      <c r="N2282" s="63">
        <v>0.60713677111300002</v>
      </c>
      <c r="O2282" s="64">
        <v>0</v>
      </c>
    </row>
    <row r="2283" spans="1:15" x14ac:dyDescent="0.25">
      <c r="A2283" s="114" t="s">
        <v>439</v>
      </c>
      <c r="B2283" s="63" t="s">
        <v>51</v>
      </c>
      <c r="C2283" s="63" t="s">
        <v>83</v>
      </c>
      <c r="D2283" s="63">
        <v>248</v>
      </c>
      <c r="E2283" s="63">
        <v>752</v>
      </c>
      <c r="F2283" s="63">
        <v>1</v>
      </c>
      <c r="G2283" s="63" t="s">
        <v>26</v>
      </c>
      <c r="H2283" s="63" t="s">
        <v>26</v>
      </c>
      <c r="I2283" s="63">
        <v>0</v>
      </c>
      <c r="J2283" s="63">
        <v>0</v>
      </c>
      <c r="L2283" s="63">
        <v>0.60527551349499997</v>
      </c>
      <c r="M2283" s="63">
        <v>0</v>
      </c>
      <c r="N2283" s="63">
        <v>0.60048292526299996</v>
      </c>
      <c r="O2283" s="64">
        <v>0</v>
      </c>
    </row>
    <row r="2284" spans="1:15" x14ac:dyDescent="0.25">
      <c r="A2284" s="114" t="s">
        <v>441</v>
      </c>
      <c r="B2284" s="63" t="s">
        <v>51</v>
      </c>
      <c r="C2284" s="63" t="s">
        <v>83</v>
      </c>
      <c r="D2284" s="63">
        <v>752</v>
      </c>
      <c r="E2284" s="63">
        <v>752.1</v>
      </c>
      <c r="F2284" s="63">
        <v>1</v>
      </c>
      <c r="G2284" s="63" t="s">
        <v>26</v>
      </c>
      <c r="H2284" s="63" t="s">
        <v>26</v>
      </c>
      <c r="I2284" s="63">
        <v>0</v>
      </c>
      <c r="J2284" s="63">
        <v>0</v>
      </c>
      <c r="L2284" s="63">
        <v>0.60527551349499997</v>
      </c>
      <c r="M2284" s="63">
        <v>0</v>
      </c>
      <c r="N2284" s="63">
        <v>0.60048292526299996</v>
      </c>
      <c r="O2284" s="64">
        <v>0</v>
      </c>
    </row>
    <row r="2285" spans="1:15" x14ac:dyDescent="0.25">
      <c r="A2285" s="114" t="s">
        <v>412</v>
      </c>
      <c r="B2285" s="63" t="s">
        <v>51</v>
      </c>
      <c r="C2285" s="63" t="s">
        <v>17</v>
      </c>
      <c r="D2285" s="63">
        <v>0</v>
      </c>
      <c r="E2285" s="63">
        <v>120.001</v>
      </c>
      <c r="F2285" s="63">
        <v>1E-3</v>
      </c>
      <c r="G2285" s="63" t="s">
        <v>9</v>
      </c>
      <c r="H2285" s="63" t="s">
        <v>9</v>
      </c>
      <c r="I2285" s="63">
        <v>0</v>
      </c>
      <c r="J2285" s="63">
        <v>0</v>
      </c>
      <c r="L2285" s="63">
        <v>6.0000000000000001E-3</v>
      </c>
      <c r="M2285" s="63">
        <v>1.2999999999999999E-5</v>
      </c>
      <c r="N2285" s="63">
        <v>1.2888999999999999E-3</v>
      </c>
      <c r="O2285" s="64">
        <v>2.8048999999999999E-5</v>
      </c>
    </row>
    <row r="2286" spans="1:15" x14ac:dyDescent="0.25">
      <c r="A2286" s="114" t="s">
        <v>413</v>
      </c>
      <c r="B2286" s="63" t="s">
        <v>51</v>
      </c>
      <c r="C2286" s="63" t="s">
        <v>17</v>
      </c>
      <c r="D2286" s="63">
        <v>0</v>
      </c>
      <c r="E2286" s="63">
        <v>120.001</v>
      </c>
      <c r="F2286" s="63">
        <v>0.01</v>
      </c>
      <c r="G2286" s="63" t="s">
        <v>9</v>
      </c>
      <c r="H2286" s="63" t="s">
        <v>9</v>
      </c>
      <c r="I2286" s="63">
        <v>0</v>
      </c>
      <c r="J2286" s="63">
        <v>0</v>
      </c>
      <c r="L2286" s="63">
        <v>6.0575999999999998E-3</v>
      </c>
      <c r="M2286" s="63">
        <v>1.5807E-5</v>
      </c>
      <c r="N2286" s="63">
        <v>5.8809999999999999E-3</v>
      </c>
      <c r="O2286" s="64">
        <v>1.2605999999999999E-5</v>
      </c>
    </row>
    <row r="2287" spans="1:15" x14ac:dyDescent="0.25">
      <c r="A2287" s="114" t="s">
        <v>2691</v>
      </c>
      <c r="B2287" s="63" t="s">
        <v>51</v>
      </c>
      <c r="C2287" s="63" t="s">
        <v>17</v>
      </c>
      <c r="D2287" s="63">
        <v>120</v>
      </c>
      <c r="E2287" s="63">
        <v>1200.01</v>
      </c>
      <c r="F2287" s="63">
        <v>0.01</v>
      </c>
      <c r="G2287" s="63" t="s">
        <v>9</v>
      </c>
      <c r="H2287" s="63" t="s">
        <v>9</v>
      </c>
      <c r="I2287" s="63">
        <v>0</v>
      </c>
      <c r="J2287" s="63">
        <v>0</v>
      </c>
      <c r="L2287" s="63">
        <v>5.8000000000000003E-2</v>
      </c>
      <c r="M2287" s="63">
        <v>9.5000000000000005E-6</v>
      </c>
      <c r="N2287" s="63">
        <v>4.1865000000000001E-3</v>
      </c>
      <c r="O2287" s="64">
        <v>2.6727E-5</v>
      </c>
    </row>
    <row r="2288" spans="1:15" x14ac:dyDescent="0.25">
      <c r="A2288" s="114" t="s">
        <v>2692</v>
      </c>
      <c r="B2288" s="63" t="s">
        <v>51</v>
      </c>
      <c r="C2288" s="63" t="s">
        <v>17</v>
      </c>
      <c r="D2288" s="63">
        <v>0</v>
      </c>
      <c r="E2288" s="63">
        <v>120.001</v>
      </c>
      <c r="F2288" s="63">
        <v>0.1</v>
      </c>
      <c r="G2288" s="63" t="s">
        <v>9</v>
      </c>
      <c r="H2288" s="63" t="s">
        <v>9</v>
      </c>
      <c r="I2288" s="63">
        <v>0</v>
      </c>
      <c r="J2288" s="63">
        <v>0</v>
      </c>
      <c r="L2288" s="63">
        <v>5.7819000000000002E-2</v>
      </c>
      <c r="M2288" s="63">
        <v>3.3129000000000001E-6</v>
      </c>
      <c r="N2288" s="63">
        <v>5.7745999999999999E-2</v>
      </c>
      <c r="O2288" s="64">
        <v>1.4481E-6</v>
      </c>
    </row>
    <row r="2289" spans="1:15" x14ac:dyDescent="0.25">
      <c r="A2289" s="114" t="s">
        <v>2693</v>
      </c>
      <c r="B2289" s="63" t="s">
        <v>51</v>
      </c>
      <c r="C2289" s="63" t="s">
        <v>17</v>
      </c>
      <c r="D2289" s="63">
        <v>120</v>
      </c>
      <c r="E2289" s="63">
        <v>1200.01</v>
      </c>
      <c r="F2289" s="63">
        <v>0.1</v>
      </c>
      <c r="G2289" s="63" t="s">
        <v>9</v>
      </c>
      <c r="H2289" s="63" t="s">
        <v>9</v>
      </c>
      <c r="I2289" s="63">
        <v>0</v>
      </c>
      <c r="J2289" s="63">
        <v>0</v>
      </c>
      <c r="L2289" s="63">
        <v>5.8519000000000002E-2</v>
      </c>
      <c r="M2289" s="63">
        <v>1.0244000000000001E-5</v>
      </c>
      <c r="N2289" s="63">
        <v>5.6807999999999997E-2</v>
      </c>
      <c r="O2289" s="64">
        <v>9.2701999999999998E-6</v>
      </c>
    </row>
    <row r="2290" spans="1:15" x14ac:dyDescent="0.25">
      <c r="A2290" s="114" t="s">
        <v>2694</v>
      </c>
      <c r="B2290" s="63" t="s">
        <v>51</v>
      </c>
      <c r="C2290" s="63" t="s">
        <v>17</v>
      </c>
      <c r="D2290" s="63">
        <v>1200</v>
      </c>
      <c r="E2290" s="63">
        <v>12001</v>
      </c>
      <c r="F2290" s="63">
        <v>0.1</v>
      </c>
      <c r="G2290" s="63" t="s">
        <v>9</v>
      </c>
      <c r="H2290" s="63" t="s">
        <v>9</v>
      </c>
      <c r="I2290" s="63">
        <v>0</v>
      </c>
      <c r="J2290" s="63">
        <v>0</v>
      </c>
      <c r="L2290" s="63">
        <v>0.58496999999999999</v>
      </c>
      <c r="M2290" s="63">
        <v>9.8285999999999994E-6</v>
      </c>
      <c r="N2290" s="63">
        <v>0.56786000000000003</v>
      </c>
      <c r="O2290" s="64">
        <v>8.8367999999999998E-6</v>
      </c>
    </row>
    <row r="2291" spans="1:15" x14ac:dyDescent="0.25">
      <c r="A2291" s="114" t="s">
        <v>414</v>
      </c>
      <c r="B2291" s="63" t="s">
        <v>51</v>
      </c>
      <c r="C2291" s="63" t="s">
        <v>17</v>
      </c>
      <c r="D2291" s="63">
        <v>0</v>
      </c>
      <c r="E2291" s="63">
        <v>120.001</v>
      </c>
      <c r="F2291" s="63">
        <v>1</v>
      </c>
      <c r="G2291" s="63" t="s">
        <v>9</v>
      </c>
      <c r="H2291" s="63" t="s">
        <v>9</v>
      </c>
      <c r="I2291" s="63">
        <v>0</v>
      </c>
      <c r="J2291" s="63">
        <v>0</v>
      </c>
      <c r="L2291" s="63">
        <v>0.57738999999999996</v>
      </c>
      <c r="M2291" s="63">
        <v>8.9635999999999996E-7</v>
      </c>
      <c r="N2291" s="63">
        <v>0.57735999999999998</v>
      </c>
      <c r="O2291" s="64">
        <v>1.4506E-7</v>
      </c>
    </row>
    <row r="2292" spans="1:15" x14ac:dyDescent="0.25">
      <c r="A2292" s="114" t="s">
        <v>417</v>
      </c>
      <c r="B2292" s="63" t="s">
        <v>51</v>
      </c>
      <c r="C2292" s="63" t="s">
        <v>17</v>
      </c>
      <c r="D2292" s="63">
        <v>120</v>
      </c>
      <c r="E2292" s="63">
        <v>1200.01</v>
      </c>
      <c r="F2292" s="63">
        <v>1</v>
      </c>
      <c r="G2292" s="63" t="s">
        <v>9</v>
      </c>
      <c r="H2292" s="63" t="s">
        <v>9</v>
      </c>
      <c r="I2292" s="63">
        <v>0</v>
      </c>
      <c r="J2292" s="63">
        <v>0</v>
      </c>
      <c r="L2292" s="63">
        <v>0.57794999999999996</v>
      </c>
      <c r="M2292" s="63">
        <v>1.5972999999999999E-6</v>
      </c>
      <c r="N2292" s="63">
        <v>0.57725000000000004</v>
      </c>
      <c r="O2292" s="64">
        <v>1.0094E-6</v>
      </c>
    </row>
    <row r="2293" spans="1:15" x14ac:dyDescent="0.25">
      <c r="A2293" s="114" t="s">
        <v>2695</v>
      </c>
      <c r="B2293" s="63" t="s">
        <v>51</v>
      </c>
      <c r="C2293" s="63" t="s">
        <v>17</v>
      </c>
      <c r="D2293" s="63">
        <v>1200</v>
      </c>
      <c r="E2293" s="63">
        <v>12001</v>
      </c>
      <c r="F2293" s="63">
        <v>1</v>
      </c>
      <c r="G2293" s="63" t="s">
        <v>9</v>
      </c>
      <c r="H2293" s="63" t="s">
        <v>9</v>
      </c>
      <c r="I2293" s="63">
        <v>0</v>
      </c>
      <c r="J2293" s="63">
        <v>0</v>
      </c>
      <c r="L2293" s="63">
        <v>5.7794999999999996</v>
      </c>
      <c r="M2293" s="63">
        <v>1.5456000000000001E-6</v>
      </c>
      <c r="N2293" s="63">
        <v>5.7725</v>
      </c>
      <c r="O2293" s="64">
        <v>9.5753999999999998E-7</v>
      </c>
    </row>
    <row r="2294" spans="1:15" x14ac:dyDescent="0.25">
      <c r="A2294" s="114" t="s">
        <v>420</v>
      </c>
      <c r="B2294" s="63" t="s">
        <v>51</v>
      </c>
      <c r="C2294" s="63" t="s">
        <v>17</v>
      </c>
      <c r="D2294" s="63">
        <v>12000</v>
      </c>
      <c r="E2294" s="63">
        <v>120010</v>
      </c>
      <c r="F2294" s="63">
        <v>1</v>
      </c>
      <c r="G2294" s="63" t="s">
        <v>9</v>
      </c>
      <c r="H2294" s="63" t="s">
        <v>9</v>
      </c>
      <c r="I2294" s="63">
        <v>0</v>
      </c>
      <c r="J2294" s="63">
        <v>0</v>
      </c>
      <c r="L2294" s="63">
        <v>19</v>
      </c>
      <c r="M2294" s="63">
        <v>2.8E-5</v>
      </c>
      <c r="N2294" s="63">
        <v>17.329999999999998</v>
      </c>
      <c r="O2294" s="64">
        <v>2.8853999999999999E-5</v>
      </c>
    </row>
    <row r="2295" spans="1:15" x14ac:dyDescent="0.25">
      <c r="A2295" s="114" t="s">
        <v>415</v>
      </c>
      <c r="B2295" s="63" t="s">
        <v>51</v>
      </c>
      <c r="C2295" s="63" t="s">
        <v>17</v>
      </c>
      <c r="D2295" s="63">
        <v>0</v>
      </c>
      <c r="E2295" s="63">
        <v>120.001</v>
      </c>
      <c r="F2295" s="63">
        <v>10</v>
      </c>
      <c r="G2295" s="63" t="s">
        <v>9</v>
      </c>
      <c r="H2295" s="63" t="s">
        <v>9</v>
      </c>
      <c r="I2295" s="63">
        <v>0</v>
      </c>
      <c r="J2295" s="63">
        <v>0</v>
      </c>
      <c r="L2295" s="63">
        <v>5.7736000000000001</v>
      </c>
      <c r="M2295" s="63">
        <v>3.1507999999999999E-7</v>
      </c>
      <c r="N2295" s="63">
        <v>5.7736000000000001</v>
      </c>
      <c r="O2295" s="64">
        <v>1.4505999999999999E-8</v>
      </c>
    </row>
    <row r="2296" spans="1:15" x14ac:dyDescent="0.25">
      <c r="A2296" s="114" t="s">
        <v>418</v>
      </c>
      <c r="B2296" s="63" t="s">
        <v>51</v>
      </c>
      <c r="C2296" s="63" t="s">
        <v>17</v>
      </c>
      <c r="D2296" s="63">
        <v>120</v>
      </c>
      <c r="E2296" s="63">
        <v>1200.01</v>
      </c>
      <c r="F2296" s="63">
        <v>10</v>
      </c>
      <c r="G2296" s="63" t="s">
        <v>9</v>
      </c>
      <c r="H2296" s="63" t="s">
        <v>9</v>
      </c>
      <c r="I2296" s="63">
        <v>0</v>
      </c>
      <c r="J2296" s="63">
        <v>0</v>
      </c>
      <c r="L2296" s="63">
        <v>5.7739000000000003</v>
      </c>
      <c r="M2296" s="63">
        <v>3.3757000000000002E-7</v>
      </c>
      <c r="N2296" s="63">
        <v>5.7735000000000003</v>
      </c>
      <c r="O2296" s="64">
        <v>1.0104E-7</v>
      </c>
    </row>
    <row r="2297" spans="1:15" x14ac:dyDescent="0.25">
      <c r="A2297" s="114" t="s">
        <v>419</v>
      </c>
      <c r="B2297" s="63" t="s">
        <v>51</v>
      </c>
      <c r="C2297" s="63" t="s">
        <v>17</v>
      </c>
      <c r="D2297" s="63">
        <v>1200</v>
      </c>
      <c r="E2297" s="63">
        <v>12001</v>
      </c>
      <c r="F2297" s="63">
        <v>10</v>
      </c>
      <c r="G2297" s="63" t="s">
        <v>9</v>
      </c>
      <c r="H2297" s="63" t="s">
        <v>9</v>
      </c>
      <c r="I2297" s="63">
        <v>0</v>
      </c>
      <c r="J2297" s="63">
        <v>0</v>
      </c>
      <c r="L2297" s="63">
        <v>57.738999999999997</v>
      </c>
      <c r="M2297" s="63">
        <v>3.3237E-7</v>
      </c>
      <c r="N2297" s="63">
        <v>57.734999999999999</v>
      </c>
      <c r="O2297" s="64">
        <v>9.5840000000000003E-8</v>
      </c>
    </row>
    <row r="2298" spans="1:15" x14ac:dyDescent="0.25">
      <c r="A2298" s="114" t="s">
        <v>421</v>
      </c>
      <c r="B2298" s="63" t="s">
        <v>51</v>
      </c>
      <c r="C2298" s="63" t="s">
        <v>17</v>
      </c>
      <c r="D2298" s="63">
        <v>12000</v>
      </c>
      <c r="E2298" s="63">
        <v>120010</v>
      </c>
      <c r="F2298" s="63">
        <v>10</v>
      </c>
      <c r="G2298" s="63" t="s">
        <v>9</v>
      </c>
      <c r="H2298" s="63" t="s">
        <v>9</v>
      </c>
      <c r="I2298" s="63">
        <v>0</v>
      </c>
      <c r="J2298" s="63">
        <v>0</v>
      </c>
      <c r="L2298" s="63">
        <v>19</v>
      </c>
      <c r="M2298" s="63">
        <v>2.8E-5</v>
      </c>
      <c r="N2298" s="63">
        <v>18.254999999999999</v>
      </c>
      <c r="O2298" s="64">
        <v>2.7640999999999998E-5</v>
      </c>
    </row>
    <row r="2299" spans="1:15" x14ac:dyDescent="0.25">
      <c r="A2299" s="114" t="s">
        <v>2696</v>
      </c>
      <c r="B2299" s="63" t="s">
        <v>51</v>
      </c>
      <c r="C2299" s="63" t="s">
        <v>17</v>
      </c>
      <c r="D2299" s="63">
        <v>120000</v>
      </c>
      <c r="E2299" s="63">
        <v>1200010</v>
      </c>
      <c r="F2299" s="63">
        <v>10</v>
      </c>
      <c r="G2299" s="63" t="s">
        <v>9</v>
      </c>
      <c r="H2299" s="63" t="s">
        <v>9</v>
      </c>
      <c r="I2299" s="63">
        <v>0</v>
      </c>
      <c r="J2299" s="63">
        <v>0</v>
      </c>
      <c r="L2299" s="63">
        <v>60</v>
      </c>
      <c r="M2299" s="63">
        <v>1.5999999999999999E-5</v>
      </c>
      <c r="N2299" s="63">
        <v>18.158999999999999</v>
      </c>
      <c r="O2299" s="64">
        <v>2.8435000000000001E-5</v>
      </c>
    </row>
    <row r="2300" spans="1:15" x14ac:dyDescent="0.25">
      <c r="A2300" s="114" t="s">
        <v>416</v>
      </c>
      <c r="B2300" s="63" t="s">
        <v>51</v>
      </c>
      <c r="C2300" s="63" t="s">
        <v>17</v>
      </c>
      <c r="D2300" s="63">
        <v>0</v>
      </c>
      <c r="E2300" s="63">
        <v>120.001</v>
      </c>
      <c r="F2300" s="63">
        <v>100</v>
      </c>
      <c r="G2300" s="63" t="s">
        <v>9</v>
      </c>
      <c r="H2300" s="63" t="s">
        <v>9</v>
      </c>
      <c r="I2300" s="63">
        <v>0</v>
      </c>
      <c r="J2300" s="63">
        <v>0</v>
      </c>
      <c r="L2300" s="63">
        <v>57.735999999999997</v>
      </c>
      <c r="M2300" s="63">
        <v>1.2167999999999999E-7</v>
      </c>
      <c r="N2300" s="63">
        <v>57.735999999999997</v>
      </c>
      <c r="O2300" s="64">
        <v>1.4510000000000001E-9</v>
      </c>
    </row>
    <row r="2301" spans="1:15" x14ac:dyDescent="0.25">
      <c r="A2301" s="114" t="s">
        <v>422</v>
      </c>
      <c r="B2301" s="63" t="s">
        <v>51</v>
      </c>
      <c r="C2301" s="63" t="s">
        <v>17</v>
      </c>
      <c r="D2301" s="63">
        <v>12000</v>
      </c>
      <c r="E2301" s="63">
        <v>120010</v>
      </c>
      <c r="F2301" s="63">
        <v>100</v>
      </c>
      <c r="G2301" s="63" t="s">
        <v>9</v>
      </c>
      <c r="H2301" s="63" t="s">
        <v>9</v>
      </c>
      <c r="I2301" s="63">
        <v>0</v>
      </c>
      <c r="J2301" s="63">
        <v>0</v>
      </c>
      <c r="L2301" s="63">
        <v>60.591999999999999</v>
      </c>
      <c r="M2301" s="63">
        <v>1.1287000000000001E-5</v>
      </c>
      <c r="N2301" s="63">
        <v>60.268999999999998</v>
      </c>
      <c r="O2301" s="64">
        <v>9.1177999999999993E-6</v>
      </c>
    </row>
    <row r="2302" spans="1:15" x14ac:dyDescent="0.25">
      <c r="A2302" s="114" t="s">
        <v>424</v>
      </c>
      <c r="B2302" s="63" t="s">
        <v>51</v>
      </c>
      <c r="C2302" s="63" t="s">
        <v>17</v>
      </c>
      <c r="D2302" s="63">
        <v>120000</v>
      </c>
      <c r="E2302" s="63">
        <v>1200010</v>
      </c>
      <c r="F2302" s="63">
        <v>100</v>
      </c>
      <c r="G2302" s="63" t="s">
        <v>9</v>
      </c>
      <c r="H2302" s="63" t="s">
        <v>9</v>
      </c>
      <c r="I2302" s="63">
        <v>0</v>
      </c>
      <c r="J2302" s="63">
        <v>0</v>
      </c>
      <c r="L2302" s="63">
        <v>60.875999999999998</v>
      </c>
      <c r="M2302" s="63">
        <v>1.8461000000000002E-5</v>
      </c>
      <c r="N2302" s="63">
        <v>59.55</v>
      </c>
      <c r="O2302" s="64">
        <v>1.5104E-5</v>
      </c>
    </row>
    <row r="2303" spans="1:15" x14ac:dyDescent="0.25">
      <c r="A2303" s="114" t="s">
        <v>427</v>
      </c>
      <c r="B2303" s="63" t="s">
        <v>51</v>
      </c>
      <c r="C2303" s="63" t="s">
        <v>17</v>
      </c>
      <c r="D2303" s="63">
        <v>1200000</v>
      </c>
      <c r="E2303" s="63">
        <v>2000000</v>
      </c>
      <c r="F2303" s="63">
        <v>100</v>
      </c>
      <c r="G2303" s="63" t="s">
        <v>9</v>
      </c>
      <c r="H2303" s="63" t="s">
        <v>10</v>
      </c>
      <c r="I2303" s="63">
        <v>0</v>
      </c>
      <c r="J2303" s="63">
        <v>0</v>
      </c>
      <c r="L2303" s="63">
        <v>0.43</v>
      </c>
      <c r="M2303" s="63">
        <v>1.2999999999999999E-4</v>
      </c>
      <c r="N2303" s="63">
        <v>-0.35824</v>
      </c>
      <c r="O2303" s="64">
        <v>3.6326000000000002E-4</v>
      </c>
    </row>
    <row r="2304" spans="1:15" x14ac:dyDescent="0.25">
      <c r="A2304" s="114" t="s">
        <v>431</v>
      </c>
      <c r="B2304" s="63" t="s">
        <v>51</v>
      </c>
      <c r="C2304" s="63" t="s">
        <v>17</v>
      </c>
      <c r="D2304" s="63">
        <v>2000000</v>
      </c>
      <c r="E2304" s="63">
        <v>2001000</v>
      </c>
      <c r="F2304" s="63">
        <v>100</v>
      </c>
      <c r="G2304" s="63" t="s">
        <v>9</v>
      </c>
      <c r="H2304" s="63" t="s">
        <v>10</v>
      </c>
      <c r="I2304" s="63">
        <v>0</v>
      </c>
      <c r="J2304" s="63">
        <v>0</v>
      </c>
      <c r="L2304" s="63">
        <v>0.43</v>
      </c>
      <c r="M2304" s="63">
        <v>1.2999999999999999E-4</v>
      </c>
      <c r="N2304" s="63">
        <v>-0.35824</v>
      </c>
      <c r="O2304" s="64">
        <v>3.6326000000000002E-4</v>
      </c>
    </row>
    <row r="2305" spans="1:15" x14ac:dyDescent="0.25">
      <c r="A2305" s="114" t="s">
        <v>2697</v>
      </c>
      <c r="B2305" s="63" t="s">
        <v>51</v>
      </c>
      <c r="C2305" s="63" t="s">
        <v>17</v>
      </c>
      <c r="D2305" s="63">
        <v>0</v>
      </c>
      <c r="E2305" s="63">
        <v>120.001</v>
      </c>
      <c r="F2305" s="63">
        <v>1000</v>
      </c>
      <c r="G2305" s="63" t="s">
        <v>9</v>
      </c>
      <c r="H2305" s="63" t="s">
        <v>9</v>
      </c>
      <c r="I2305" s="63">
        <v>0</v>
      </c>
      <c r="J2305" s="63">
        <v>0</v>
      </c>
      <c r="L2305" s="63">
        <v>577.36</v>
      </c>
      <c r="M2305" s="63">
        <v>4.8236000000000003E-8</v>
      </c>
      <c r="N2305" s="63">
        <v>577.36</v>
      </c>
      <c r="O2305" s="64">
        <v>1.4499999999999999E-10</v>
      </c>
    </row>
    <row r="2306" spans="1:15" x14ac:dyDescent="0.25">
      <c r="A2306" s="114" t="s">
        <v>423</v>
      </c>
      <c r="B2306" s="63" t="s">
        <v>51</v>
      </c>
      <c r="C2306" s="63" t="s">
        <v>17</v>
      </c>
      <c r="D2306" s="63">
        <v>12000</v>
      </c>
      <c r="E2306" s="63">
        <v>120010</v>
      </c>
      <c r="F2306" s="63">
        <v>1000</v>
      </c>
      <c r="G2306" s="63" t="s">
        <v>9</v>
      </c>
      <c r="H2306" s="63" t="s">
        <v>9</v>
      </c>
      <c r="I2306" s="63">
        <v>0</v>
      </c>
      <c r="J2306" s="63">
        <v>0</v>
      </c>
      <c r="L2306" s="63">
        <v>577.75</v>
      </c>
      <c r="M2306" s="63">
        <v>1.9059E-6</v>
      </c>
      <c r="N2306" s="63">
        <v>577.61</v>
      </c>
      <c r="O2306" s="64">
        <v>9.6075000000000008E-7</v>
      </c>
    </row>
    <row r="2307" spans="1:15" x14ac:dyDescent="0.25">
      <c r="A2307" s="114" t="s">
        <v>425</v>
      </c>
      <c r="B2307" s="63" t="s">
        <v>51</v>
      </c>
      <c r="C2307" s="63" t="s">
        <v>17</v>
      </c>
      <c r="D2307" s="63">
        <v>120000</v>
      </c>
      <c r="E2307" s="63">
        <v>1200010</v>
      </c>
      <c r="F2307" s="63">
        <v>1000</v>
      </c>
      <c r="G2307" s="63" t="s">
        <v>9</v>
      </c>
      <c r="H2307" s="63" t="s">
        <v>9</v>
      </c>
      <c r="I2307" s="63">
        <v>0</v>
      </c>
      <c r="J2307" s="63">
        <v>0</v>
      </c>
      <c r="L2307" s="63">
        <v>578.01</v>
      </c>
      <c r="M2307" s="63">
        <v>3.8670999999999998E-6</v>
      </c>
      <c r="N2307" s="63">
        <v>577.51</v>
      </c>
      <c r="O2307" s="64">
        <v>1.8143999999999999E-6</v>
      </c>
    </row>
    <row r="2308" spans="1:15" x14ac:dyDescent="0.25">
      <c r="A2308" s="114" t="s">
        <v>428</v>
      </c>
      <c r="B2308" s="63" t="s">
        <v>51</v>
      </c>
      <c r="C2308" s="63" t="s">
        <v>17</v>
      </c>
      <c r="D2308" s="63">
        <v>1200000</v>
      </c>
      <c r="E2308" s="63">
        <v>2000000</v>
      </c>
      <c r="F2308" s="63">
        <v>1000</v>
      </c>
      <c r="G2308" s="63" t="s">
        <v>9</v>
      </c>
      <c r="H2308" s="63" t="s">
        <v>10</v>
      </c>
      <c r="I2308" s="63">
        <v>0</v>
      </c>
      <c r="J2308" s="63">
        <v>0</v>
      </c>
      <c r="L2308" s="63">
        <v>0.43</v>
      </c>
      <c r="M2308" s="63">
        <v>1.4137000000000001E-4</v>
      </c>
      <c r="N2308" s="63">
        <v>0.42565999999999998</v>
      </c>
      <c r="O2308" s="64">
        <v>1.2836E-4</v>
      </c>
    </row>
    <row r="2309" spans="1:15" x14ac:dyDescent="0.25">
      <c r="A2309" s="114" t="s">
        <v>432</v>
      </c>
      <c r="B2309" s="63" t="s">
        <v>51</v>
      </c>
      <c r="C2309" s="63" t="s">
        <v>17</v>
      </c>
      <c r="D2309" s="63">
        <v>2000000</v>
      </c>
      <c r="E2309" s="63">
        <v>2001000</v>
      </c>
      <c r="F2309" s="63">
        <v>1000</v>
      </c>
      <c r="G2309" s="63" t="s">
        <v>9</v>
      </c>
      <c r="H2309" s="63" t="s">
        <v>10</v>
      </c>
      <c r="I2309" s="63">
        <v>0</v>
      </c>
      <c r="J2309" s="63">
        <v>0</v>
      </c>
      <c r="L2309" s="63">
        <v>0.43</v>
      </c>
      <c r="M2309" s="63">
        <v>1.4137000000000001E-4</v>
      </c>
      <c r="N2309" s="63">
        <v>0.42565999999999998</v>
      </c>
      <c r="O2309" s="64">
        <v>1.2836E-4</v>
      </c>
    </row>
    <row r="2310" spans="1:15" x14ac:dyDescent="0.25">
      <c r="A2310" s="114" t="s">
        <v>426</v>
      </c>
      <c r="B2310" s="63" t="s">
        <v>51</v>
      </c>
      <c r="C2310" s="63" t="s">
        <v>17</v>
      </c>
      <c r="D2310" s="63">
        <v>120000</v>
      </c>
      <c r="E2310" s="63">
        <v>1200010</v>
      </c>
      <c r="F2310" s="63">
        <v>10000</v>
      </c>
      <c r="G2310" s="63" t="s">
        <v>9</v>
      </c>
      <c r="H2310" s="63" t="s">
        <v>9</v>
      </c>
      <c r="I2310" s="63">
        <v>0</v>
      </c>
      <c r="J2310" s="63">
        <v>0</v>
      </c>
      <c r="L2310" s="63">
        <v>5773.8</v>
      </c>
      <c r="M2310" s="63">
        <v>1.0097E-6</v>
      </c>
      <c r="N2310" s="63">
        <v>5773.6</v>
      </c>
      <c r="O2310" s="64">
        <v>1.8185999999999999E-7</v>
      </c>
    </row>
    <row r="2311" spans="1:15" x14ac:dyDescent="0.25">
      <c r="A2311" s="114" t="s">
        <v>429</v>
      </c>
      <c r="B2311" s="63" t="s">
        <v>51</v>
      </c>
      <c r="C2311" s="63" t="s">
        <v>17</v>
      </c>
      <c r="D2311" s="63">
        <v>1200000</v>
      </c>
      <c r="E2311" s="63">
        <v>2000000</v>
      </c>
      <c r="F2311" s="63">
        <v>10000</v>
      </c>
      <c r="G2311" s="63" t="s">
        <v>9</v>
      </c>
      <c r="H2311" s="63" t="s">
        <v>10</v>
      </c>
      <c r="I2311" s="63">
        <v>0</v>
      </c>
      <c r="J2311" s="63">
        <v>0</v>
      </c>
      <c r="L2311" s="63">
        <v>5.7549000000000001</v>
      </c>
      <c r="M2311" s="63">
        <v>2.1951E-5</v>
      </c>
      <c r="N2311" s="63">
        <v>5.7569999999999997</v>
      </c>
      <c r="O2311" s="64">
        <v>1.4015E-5</v>
      </c>
    </row>
    <row r="2312" spans="1:15" x14ac:dyDescent="0.25">
      <c r="A2312" s="114" t="s">
        <v>433</v>
      </c>
      <c r="B2312" s="63" t="s">
        <v>51</v>
      </c>
      <c r="C2312" s="63" t="s">
        <v>17</v>
      </c>
      <c r="D2312" s="63">
        <v>2000000</v>
      </c>
      <c r="E2312" s="63">
        <v>2001000</v>
      </c>
      <c r="F2312" s="63">
        <v>10000</v>
      </c>
      <c r="G2312" s="63" t="s">
        <v>9</v>
      </c>
      <c r="H2312" s="63" t="s">
        <v>10</v>
      </c>
      <c r="I2312" s="63">
        <v>0</v>
      </c>
      <c r="J2312" s="63">
        <v>0</v>
      </c>
      <c r="L2312" s="63">
        <v>5.7549000000000001</v>
      </c>
      <c r="M2312" s="63">
        <v>2.1951E-5</v>
      </c>
      <c r="N2312" s="63">
        <v>5.7569999999999997</v>
      </c>
      <c r="O2312" s="64">
        <v>1.4015E-5</v>
      </c>
    </row>
    <row r="2313" spans="1:15" x14ac:dyDescent="0.25">
      <c r="A2313" s="114" t="s">
        <v>430</v>
      </c>
      <c r="B2313" s="63" t="s">
        <v>51</v>
      </c>
      <c r="C2313" s="63" t="s">
        <v>17</v>
      </c>
      <c r="D2313" s="63">
        <v>1200000</v>
      </c>
      <c r="E2313" s="63">
        <v>2000000</v>
      </c>
      <c r="F2313" s="63">
        <v>100000</v>
      </c>
      <c r="G2313" s="63" t="s">
        <v>9</v>
      </c>
      <c r="H2313" s="63" t="s">
        <v>10</v>
      </c>
      <c r="I2313" s="63">
        <v>0</v>
      </c>
      <c r="J2313" s="63">
        <v>0</v>
      </c>
      <c r="L2313" s="63">
        <v>57.732999999999997</v>
      </c>
      <c r="M2313" s="63">
        <v>4.5960999999999999E-6</v>
      </c>
      <c r="N2313" s="63">
        <v>57.734000000000002</v>
      </c>
      <c r="O2313" s="64">
        <v>1.4028999999999999E-6</v>
      </c>
    </row>
    <row r="2314" spans="1:15" x14ac:dyDescent="0.25">
      <c r="A2314" s="114" t="s">
        <v>434</v>
      </c>
      <c r="B2314" s="63" t="s">
        <v>51</v>
      </c>
      <c r="C2314" s="63" t="s">
        <v>17</v>
      </c>
      <c r="D2314" s="63">
        <v>2000000</v>
      </c>
      <c r="E2314" s="63">
        <v>2001000</v>
      </c>
      <c r="F2314" s="63">
        <v>100000</v>
      </c>
      <c r="G2314" s="63" t="s">
        <v>9</v>
      </c>
      <c r="H2314" s="63" t="s">
        <v>10</v>
      </c>
      <c r="I2314" s="63">
        <v>0</v>
      </c>
      <c r="J2314" s="63">
        <v>0</v>
      </c>
      <c r="L2314" s="63">
        <v>57.732999999999997</v>
      </c>
      <c r="M2314" s="63">
        <v>4.5960999999999999E-6</v>
      </c>
      <c r="N2314" s="63">
        <v>57.734000000000002</v>
      </c>
      <c r="O2314" s="64">
        <v>1.4028999999999999E-6</v>
      </c>
    </row>
    <row r="2315" spans="1:15" x14ac:dyDescent="0.25">
      <c r="A2315" s="114" t="s">
        <v>2698</v>
      </c>
      <c r="B2315" s="63" t="s">
        <v>51</v>
      </c>
      <c r="C2315" s="63" t="s">
        <v>7</v>
      </c>
      <c r="D2315" s="63">
        <v>0</v>
      </c>
      <c r="E2315" s="63">
        <v>11.000999999999999</v>
      </c>
      <c r="F2315" s="63">
        <v>1E-3</v>
      </c>
      <c r="G2315" s="63" t="s">
        <v>46</v>
      </c>
      <c r="H2315" s="63" t="s">
        <v>45</v>
      </c>
      <c r="I2315" s="63">
        <v>0</v>
      </c>
      <c r="J2315" s="63">
        <v>0</v>
      </c>
      <c r="L2315" s="63">
        <v>12</v>
      </c>
      <c r="M2315" s="63">
        <v>0.14000000000000001</v>
      </c>
      <c r="N2315" s="63">
        <v>11.576000000000001</v>
      </c>
      <c r="O2315" s="64">
        <v>0.13830000000000001</v>
      </c>
    </row>
    <row r="2316" spans="1:15" x14ac:dyDescent="0.25">
      <c r="A2316" s="114" t="s">
        <v>2115</v>
      </c>
      <c r="B2316" s="63" t="s">
        <v>51</v>
      </c>
      <c r="C2316" s="63" t="s">
        <v>7</v>
      </c>
      <c r="D2316" s="63">
        <v>11</v>
      </c>
      <c r="E2316" s="63">
        <v>33.000999999999998</v>
      </c>
      <c r="F2316" s="63">
        <v>1E-3</v>
      </c>
      <c r="G2316" s="63" t="s">
        <v>46</v>
      </c>
      <c r="H2316" s="63" t="s">
        <v>45</v>
      </c>
      <c r="I2316" s="63">
        <v>0</v>
      </c>
      <c r="J2316" s="63">
        <v>0</v>
      </c>
      <c r="L2316" s="63">
        <v>18</v>
      </c>
      <c r="M2316" s="63">
        <v>0.14000000000000001</v>
      </c>
      <c r="N2316" s="63">
        <v>17.338999999999999</v>
      </c>
      <c r="O2316" s="64">
        <v>0.13885</v>
      </c>
    </row>
    <row r="2317" spans="1:15" x14ac:dyDescent="0.25">
      <c r="A2317" s="114" t="s">
        <v>2116</v>
      </c>
      <c r="B2317" s="63" t="s">
        <v>51</v>
      </c>
      <c r="C2317" s="63" t="s">
        <v>7</v>
      </c>
      <c r="D2317" s="63">
        <v>33</v>
      </c>
      <c r="E2317" s="63">
        <v>110.01</v>
      </c>
      <c r="F2317" s="63">
        <v>1E-3</v>
      </c>
      <c r="G2317" s="63" t="s">
        <v>46</v>
      </c>
      <c r="H2317" s="63" t="s">
        <v>45</v>
      </c>
      <c r="I2317" s="63">
        <v>0</v>
      </c>
      <c r="J2317" s="63">
        <v>0</v>
      </c>
      <c r="L2317" s="63">
        <v>18</v>
      </c>
      <c r="M2317" s="63">
        <v>0.1</v>
      </c>
      <c r="N2317" s="63">
        <v>17.341999999999999</v>
      </c>
      <c r="O2317" s="64">
        <v>0.10406</v>
      </c>
    </row>
    <row r="2318" spans="1:15" x14ac:dyDescent="0.25">
      <c r="A2318" s="114" t="s">
        <v>2699</v>
      </c>
      <c r="B2318" s="63" t="s">
        <v>51</v>
      </c>
      <c r="C2318" s="63" t="s">
        <v>7</v>
      </c>
      <c r="D2318" s="63">
        <v>110</v>
      </c>
      <c r="E2318" s="63">
        <v>330.01</v>
      </c>
      <c r="F2318" s="63">
        <v>1E-3</v>
      </c>
      <c r="G2318" s="63" t="s">
        <v>46</v>
      </c>
      <c r="H2318" s="63" t="s">
        <v>45</v>
      </c>
      <c r="I2318" s="63">
        <v>0</v>
      </c>
      <c r="J2318" s="63">
        <v>0</v>
      </c>
      <c r="L2318" s="63">
        <v>25</v>
      </c>
      <c r="M2318" s="63">
        <v>0.3</v>
      </c>
      <c r="N2318" s="63">
        <v>24.812000000000001</v>
      </c>
      <c r="O2318" s="64">
        <v>0.29687000000000002</v>
      </c>
    </row>
    <row r="2319" spans="1:15" x14ac:dyDescent="0.25">
      <c r="A2319" s="114" t="s">
        <v>2700</v>
      </c>
      <c r="B2319" s="63" t="s">
        <v>51</v>
      </c>
      <c r="C2319" s="63" t="s">
        <v>7</v>
      </c>
      <c r="D2319" s="63">
        <v>0</v>
      </c>
      <c r="E2319" s="63">
        <v>11.000999999999999</v>
      </c>
      <c r="F2319" s="63">
        <v>0.01</v>
      </c>
      <c r="G2319" s="63" t="s">
        <v>46</v>
      </c>
      <c r="H2319" s="63" t="s">
        <v>45</v>
      </c>
      <c r="I2319" s="63">
        <v>0</v>
      </c>
      <c r="J2319" s="63">
        <v>0</v>
      </c>
      <c r="L2319" s="63">
        <v>12.939</v>
      </c>
      <c r="M2319" s="63">
        <v>0.12581000000000001</v>
      </c>
      <c r="N2319" s="63">
        <v>12.935</v>
      </c>
      <c r="O2319" s="64">
        <v>0.12525</v>
      </c>
    </row>
    <row r="2320" spans="1:15" x14ac:dyDescent="0.25">
      <c r="A2320" s="114" t="s">
        <v>2117</v>
      </c>
      <c r="B2320" s="63" t="s">
        <v>51</v>
      </c>
      <c r="C2320" s="63" t="s">
        <v>7</v>
      </c>
      <c r="D2320" s="63">
        <v>11</v>
      </c>
      <c r="E2320" s="63">
        <v>33.000999999999998</v>
      </c>
      <c r="F2320" s="63">
        <v>0.01</v>
      </c>
      <c r="G2320" s="63" t="s">
        <v>46</v>
      </c>
      <c r="H2320" s="63" t="s">
        <v>45</v>
      </c>
      <c r="I2320" s="63">
        <v>0</v>
      </c>
      <c r="J2320" s="63">
        <v>0</v>
      </c>
      <c r="L2320" s="63">
        <v>18.263000000000002</v>
      </c>
      <c r="M2320" s="63">
        <v>0.13372000000000001</v>
      </c>
      <c r="N2320" s="63">
        <v>18.257999999999999</v>
      </c>
      <c r="O2320" s="64">
        <v>0.13356999999999999</v>
      </c>
    </row>
    <row r="2321" spans="1:15" x14ac:dyDescent="0.25">
      <c r="A2321" s="114" t="s">
        <v>2118</v>
      </c>
      <c r="B2321" s="63" t="s">
        <v>51</v>
      </c>
      <c r="C2321" s="63" t="s">
        <v>7</v>
      </c>
      <c r="D2321" s="63">
        <v>33</v>
      </c>
      <c r="E2321" s="63">
        <v>110.01</v>
      </c>
      <c r="F2321" s="63">
        <v>0.01</v>
      </c>
      <c r="G2321" s="63" t="s">
        <v>46</v>
      </c>
      <c r="H2321" s="63" t="s">
        <v>45</v>
      </c>
      <c r="I2321" s="63">
        <v>0</v>
      </c>
      <c r="J2321" s="63">
        <v>0</v>
      </c>
      <c r="L2321" s="63">
        <v>18.224</v>
      </c>
      <c r="M2321" s="63">
        <v>0.10151</v>
      </c>
      <c r="N2321" s="63">
        <v>18.221</v>
      </c>
      <c r="O2321" s="64">
        <v>0.10128</v>
      </c>
    </row>
    <row r="2322" spans="1:15" x14ac:dyDescent="0.25">
      <c r="A2322" s="114" t="s">
        <v>2119</v>
      </c>
      <c r="B2322" s="63" t="s">
        <v>51</v>
      </c>
      <c r="C2322" s="63" t="s">
        <v>7</v>
      </c>
      <c r="D2322" s="63">
        <v>110</v>
      </c>
      <c r="E2322" s="63">
        <v>330.01</v>
      </c>
      <c r="F2322" s="63">
        <v>0.01</v>
      </c>
      <c r="G2322" s="63" t="s">
        <v>46</v>
      </c>
      <c r="H2322" s="63" t="s">
        <v>45</v>
      </c>
      <c r="I2322" s="63">
        <v>0</v>
      </c>
      <c r="J2322" s="63">
        <v>0</v>
      </c>
      <c r="L2322" s="63">
        <v>25.358000000000001</v>
      </c>
      <c r="M2322" s="63">
        <v>0.29479</v>
      </c>
      <c r="N2322" s="63">
        <v>25.35</v>
      </c>
      <c r="O2322" s="64">
        <v>0.29441000000000001</v>
      </c>
    </row>
    <row r="2323" spans="1:15" x14ac:dyDescent="0.25">
      <c r="A2323" s="114" t="s">
        <v>2120</v>
      </c>
      <c r="B2323" s="63" t="s">
        <v>51</v>
      </c>
      <c r="C2323" s="63" t="s">
        <v>7</v>
      </c>
      <c r="D2323" s="63">
        <v>330</v>
      </c>
      <c r="E2323" s="63">
        <v>1100.01</v>
      </c>
      <c r="F2323" s="63">
        <v>0.01</v>
      </c>
      <c r="G2323" s="63" t="s">
        <v>46</v>
      </c>
      <c r="H2323" s="63" t="s">
        <v>45</v>
      </c>
      <c r="I2323" s="63">
        <v>0</v>
      </c>
      <c r="J2323" s="63">
        <v>0</v>
      </c>
      <c r="L2323" s="63">
        <v>28</v>
      </c>
      <c r="M2323" s="63">
        <v>0.1</v>
      </c>
      <c r="N2323" s="63">
        <v>23.818000000000001</v>
      </c>
      <c r="O2323" s="64">
        <v>0.10366</v>
      </c>
    </row>
    <row r="2324" spans="1:15" x14ac:dyDescent="0.25">
      <c r="A2324" s="114" t="s">
        <v>2121</v>
      </c>
      <c r="B2324" s="63" t="s">
        <v>51</v>
      </c>
      <c r="C2324" s="63" t="s">
        <v>7</v>
      </c>
      <c r="D2324" s="63">
        <v>1100</v>
      </c>
      <c r="E2324" s="63">
        <v>3300.1</v>
      </c>
      <c r="F2324" s="63">
        <v>0.01</v>
      </c>
      <c r="G2324" s="63" t="s">
        <v>46</v>
      </c>
      <c r="H2324" s="63" t="s">
        <v>46</v>
      </c>
      <c r="I2324" s="63">
        <v>0</v>
      </c>
      <c r="J2324" s="63">
        <v>0</v>
      </c>
      <c r="L2324" s="63">
        <v>0.25</v>
      </c>
      <c r="M2324" s="63">
        <v>1E-4</v>
      </c>
      <c r="N2324" s="63">
        <v>0.23096</v>
      </c>
      <c r="O2324" s="64">
        <v>1.0411E-4</v>
      </c>
    </row>
    <row r="2325" spans="1:15" x14ac:dyDescent="0.25">
      <c r="A2325" s="114" t="s">
        <v>2701</v>
      </c>
      <c r="B2325" s="63" t="s">
        <v>51</v>
      </c>
      <c r="C2325" s="63" t="s">
        <v>7</v>
      </c>
      <c r="D2325" s="63">
        <v>0</v>
      </c>
      <c r="E2325" s="63">
        <v>11.000999999999999</v>
      </c>
      <c r="F2325" s="63">
        <v>0.1</v>
      </c>
      <c r="G2325" s="63" t="s">
        <v>46</v>
      </c>
      <c r="H2325" s="63" t="s">
        <v>45</v>
      </c>
      <c r="I2325" s="63">
        <v>0</v>
      </c>
      <c r="J2325" s="63">
        <v>0</v>
      </c>
      <c r="L2325" s="63">
        <v>59.143999999999998</v>
      </c>
      <c r="M2325" s="63">
        <v>2.9356E-2</v>
      </c>
      <c r="N2325" s="63">
        <v>59.140999999999998</v>
      </c>
      <c r="O2325" s="64">
        <v>2.8788000000000001E-2</v>
      </c>
    </row>
    <row r="2326" spans="1:15" x14ac:dyDescent="0.25">
      <c r="A2326" s="114" t="s">
        <v>2122</v>
      </c>
      <c r="B2326" s="63" t="s">
        <v>51</v>
      </c>
      <c r="C2326" s="63" t="s">
        <v>7</v>
      </c>
      <c r="D2326" s="63">
        <v>11</v>
      </c>
      <c r="E2326" s="63">
        <v>33.000999999999998</v>
      </c>
      <c r="F2326" s="63">
        <v>0.1</v>
      </c>
      <c r="G2326" s="63" t="s">
        <v>46</v>
      </c>
      <c r="H2326" s="63" t="s">
        <v>45</v>
      </c>
      <c r="I2326" s="63">
        <v>0</v>
      </c>
      <c r="J2326" s="63">
        <v>0</v>
      </c>
      <c r="L2326" s="63">
        <v>60.487000000000002</v>
      </c>
      <c r="M2326" s="63">
        <v>4.6303999999999998E-2</v>
      </c>
      <c r="N2326" s="63">
        <v>60.481000000000002</v>
      </c>
      <c r="O2326" s="64">
        <v>4.6039999999999998E-2</v>
      </c>
    </row>
    <row r="2327" spans="1:15" x14ac:dyDescent="0.25">
      <c r="A2327" s="114" t="s">
        <v>2702</v>
      </c>
      <c r="B2327" s="63" t="s">
        <v>51</v>
      </c>
      <c r="C2327" s="63" t="s">
        <v>7</v>
      </c>
      <c r="D2327" s="63">
        <v>33</v>
      </c>
      <c r="E2327" s="63">
        <v>110.01</v>
      </c>
      <c r="F2327" s="63">
        <v>0.1</v>
      </c>
      <c r="G2327" s="63" t="s">
        <v>46</v>
      </c>
      <c r="H2327" s="63" t="s">
        <v>45</v>
      </c>
      <c r="I2327" s="63">
        <v>0</v>
      </c>
      <c r="J2327" s="63">
        <v>0</v>
      </c>
      <c r="L2327" s="63">
        <v>60.259</v>
      </c>
      <c r="M2327" s="63">
        <v>4.1284000000000001E-2</v>
      </c>
      <c r="N2327" s="63">
        <v>60.259</v>
      </c>
      <c r="O2327" s="64">
        <v>4.0820000000000002E-2</v>
      </c>
    </row>
    <row r="2328" spans="1:15" x14ac:dyDescent="0.25">
      <c r="A2328" s="114" t="s">
        <v>2703</v>
      </c>
      <c r="B2328" s="63" t="s">
        <v>51</v>
      </c>
      <c r="C2328" s="63" t="s">
        <v>7</v>
      </c>
      <c r="D2328" s="63">
        <v>110</v>
      </c>
      <c r="E2328" s="63">
        <v>330.01</v>
      </c>
      <c r="F2328" s="63">
        <v>0.1</v>
      </c>
      <c r="G2328" s="63" t="s">
        <v>46</v>
      </c>
      <c r="H2328" s="63" t="s">
        <v>45</v>
      </c>
      <c r="I2328" s="63">
        <v>0</v>
      </c>
      <c r="J2328" s="63">
        <v>0</v>
      </c>
      <c r="L2328" s="63">
        <v>61.466000000000001</v>
      </c>
      <c r="M2328" s="63">
        <v>0.18435000000000001</v>
      </c>
      <c r="N2328" s="63">
        <v>61.46</v>
      </c>
      <c r="O2328" s="64">
        <v>0.18304999999999999</v>
      </c>
    </row>
    <row r="2329" spans="1:15" x14ac:dyDescent="0.25">
      <c r="A2329" s="114" t="s">
        <v>2123</v>
      </c>
      <c r="B2329" s="63" t="s">
        <v>51</v>
      </c>
      <c r="C2329" s="63" t="s">
        <v>7</v>
      </c>
      <c r="D2329" s="63">
        <v>330</v>
      </c>
      <c r="E2329" s="63">
        <v>1100.01</v>
      </c>
      <c r="F2329" s="63">
        <v>0.1</v>
      </c>
      <c r="G2329" s="63" t="s">
        <v>46</v>
      </c>
      <c r="H2329" s="63" t="s">
        <v>45</v>
      </c>
      <c r="I2329" s="63">
        <v>0</v>
      </c>
      <c r="J2329" s="63">
        <v>0</v>
      </c>
      <c r="L2329" s="63">
        <v>52.968000000000004</v>
      </c>
      <c r="M2329" s="63">
        <v>8.7891999999999998E-2</v>
      </c>
      <c r="N2329" s="63">
        <v>52.866999999999997</v>
      </c>
      <c r="O2329" s="64">
        <v>8.7789000000000006E-2</v>
      </c>
    </row>
    <row r="2330" spans="1:15" x14ac:dyDescent="0.25">
      <c r="A2330" s="114" t="s">
        <v>2124</v>
      </c>
      <c r="B2330" s="63" t="s">
        <v>51</v>
      </c>
      <c r="C2330" s="63" t="s">
        <v>7</v>
      </c>
      <c r="D2330" s="63">
        <v>1100</v>
      </c>
      <c r="E2330" s="63">
        <v>3300.1</v>
      </c>
      <c r="F2330" s="63">
        <v>0.1</v>
      </c>
      <c r="G2330" s="63" t="s">
        <v>46</v>
      </c>
      <c r="H2330" s="63" t="s">
        <v>46</v>
      </c>
      <c r="I2330" s="63">
        <v>0</v>
      </c>
      <c r="J2330" s="63">
        <v>0</v>
      </c>
      <c r="L2330" s="63">
        <v>0.25</v>
      </c>
      <c r="M2330" s="63">
        <v>1.0329E-4</v>
      </c>
      <c r="N2330" s="63">
        <v>0.23666000000000001</v>
      </c>
      <c r="O2330" s="64">
        <v>1.0325E-4</v>
      </c>
    </row>
    <row r="2331" spans="1:15" x14ac:dyDescent="0.25">
      <c r="A2331" s="114" t="s">
        <v>2704</v>
      </c>
      <c r="B2331" s="63" t="s">
        <v>51</v>
      </c>
      <c r="C2331" s="63" t="s">
        <v>7</v>
      </c>
      <c r="D2331" s="63">
        <v>3300</v>
      </c>
      <c r="E2331" s="63">
        <v>11001</v>
      </c>
      <c r="F2331" s="63">
        <v>0.1</v>
      </c>
      <c r="G2331" s="63" t="s">
        <v>46</v>
      </c>
      <c r="H2331" s="63" t="s">
        <v>46</v>
      </c>
      <c r="I2331" s="63">
        <v>0</v>
      </c>
      <c r="J2331" s="63">
        <v>0</v>
      </c>
      <c r="L2331" s="63">
        <v>0.17</v>
      </c>
      <c r="M2331" s="63">
        <v>1E-4</v>
      </c>
      <c r="N2331" s="63">
        <v>0.12474</v>
      </c>
      <c r="O2331" s="64">
        <v>1.0353000000000001E-4</v>
      </c>
    </row>
    <row r="2332" spans="1:15" x14ac:dyDescent="0.25">
      <c r="A2332" s="114" t="s">
        <v>2125</v>
      </c>
      <c r="B2332" s="63" t="s">
        <v>51</v>
      </c>
      <c r="C2332" s="63" t="s">
        <v>7</v>
      </c>
      <c r="D2332" s="63">
        <v>11000</v>
      </c>
      <c r="E2332" s="63">
        <v>33001</v>
      </c>
      <c r="F2332" s="63">
        <v>0.1</v>
      </c>
      <c r="G2332" s="63" t="s">
        <v>46</v>
      </c>
      <c r="H2332" s="63" t="s">
        <v>46</v>
      </c>
      <c r="I2332" s="63">
        <v>0</v>
      </c>
      <c r="J2332" s="63">
        <v>0</v>
      </c>
      <c r="L2332" s="63">
        <v>1.3</v>
      </c>
      <c r="M2332" s="63">
        <v>1E-4</v>
      </c>
      <c r="N2332" s="63">
        <v>1.1560999999999999</v>
      </c>
      <c r="O2332" s="64">
        <v>1.0412E-4</v>
      </c>
    </row>
    <row r="2333" spans="1:15" x14ac:dyDescent="0.25">
      <c r="A2333" s="114" t="s">
        <v>2126</v>
      </c>
      <c r="B2333" s="63" t="s">
        <v>51</v>
      </c>
      <c r="C2333" s="63" t="s">
        <v>7</v>
      </c>
      <c r="D2333" s="63">
        <v>0</v>
      </c>
      <c r="E2333" s="63">
        <v>11.000999999999999</v>
      </c>
      <c r="F2333" s="63">
        <v>1</v>
      </c>
      <c r="G2333" s="63" t="s">
        <v>46</v>
      </c>
      <c r="H2333" s="63" t="s">
        <v>45</v>
      </c>
      <c r="I2333" s="63">
        <v>0</v>
      </c>
      <c r="J2333" s="63">
        <v>0</v>
      </c>
      <c r="L2333" s="63">
        <v>580.12</v>
      </c>
      <c r="M2333" s="63">
        <v>3.176E-3</v>
      </c>
      <c r="N2333" s="63">
        <v>580.12</v>
      </c>
      <c r="O2333" s="64">
        <v>2.9426999999999999E-3</v>
      </c>
    </row>
    <row r="2334" spans="1:15" x14ac:dyDescent="0.25">
      <c r="A2334" s="114" t="s">
        <v>2705</v>
      </c>
      <c r="B2334" s="63" t="s">
        <v>51</v>
      </c>
      <c r="C2334" s="63" t="s">
        <v>7</v>
      </c>
      <c r="D2334" s="63">
        <v>11</v>
      </c>
      <c r="E2334" s="63">
        <v>33.000999999999998</v>
      </c>
      <c r="F2334" s="63">
        <v>1</v>
      </c>
      <c r="G2334" s="63" t="s">
        <v>46</v>
      </c>
      <c r="H2334" s="63" t="s">
        <v>45</v>
      </c>
      <c r="I2334" s="63">
        <v>0</v>
      </c>
      <c r="J2334" s="63">
        <v>0</v>
      </c>
      <c r="L2334" s="63">
        <v>580.26</v>
      </c>
      <c r="M2334" s="63">
        <v>4.9937999999999996E-3</v>
      </c>
      <c r="N2334" s="63">
        <v>580.25</v>
      </c>
      <c r="O2334" s="64">
        <v>4.8783000000000003E-3</v>
      </c>
    </row>
    <row r="2335" spans="1:15" x14ac:dyDescent="0.25">
      <c r="A2335" s="114" t="s">
        <v>2127</v>
      </c>
      <c r="B2335" s="63" t="s">
        <v>51</v>
      </c>
      <c r="C2335" s="63" t="s">
        <v>7</v>
      </c>
      <c r="D2335" s="63">
        <v>33</v>
      </c>
      <c r="E2335" s="63">
        <v>110.01</v>
      </c>
      <c r="F2335" s="63">
        <v>1</v>
      </c>
      <c r="G2335" s="63" t="s">
        <v>46</v>
      </c>
      <c r="H2335" s="63" t="s">
        <v>45</v>
      </c>
      <c r="I2335" s="63">
        <v>0</v>
      </c>
      <c r="J2335" s="63">
        <v>0</v>
      </c>
      <c r="L2335" s="63">
        <v>580.23</v>
      </c>
      <c r="M2335" s="63">
        <v>4.6533E-3</v>
      </c>
      <c r="N2335" s="63">
        <v>580.23</v>
      </c>
      <c r="O2335" s="64">
        <v>4.4422000000000003E-3</v>
      </c>
    </row>
    <row r="2336" spans="1:15" x14ac:dyDescent="0.25">
      <c r="A2336" s="114" t="s">
        <v>2706</v>
      </c>
      <c r="B2336" s="63" t="s">
        <v>51</v>
      </c>
      <c r="C2336" s="63" t="s">
        <v>7</v>
      </c>
      <c r="D2336" s="63">
        <v>110</v>
      </c>
      <c r="E2336" s="63">
        <v>330.01</v>
      </c>
      <c r="F2336" s="63">
        <v>1</v>
      </c>
      <c r="G2336" s="63" t="s">
        <v>46</v>
      </c>
      <c r="H2336" s="63" t="s">
        <v>45</v>
      </c>
      <c r="I2336" s="63">
        <v>0</v>
      </c>
      <c r="J2336" s="63">
        <v>0</v>
      </c>
      <c r="L2336" s="63">
        <v>580.25</v>
      </c>
      <c r="M2336" s="63">
        <v>2.4237000000000002E-2</v>
      </c>
      <c r="N2336" s="63">
        <v>580.25</v>
      </c>
      <c r="O2336" s="64">
        <v>2.3449000000000001E-2</v>
      </c>
    </row>
    <row r="2337" spans="1:15" x14ac:dyDescent="0.25">
      <c r="A2337" s="114" t="s">
        <v>2707</v>
      </c>
      <c r="B2337" s="63" t="s">
        <v>51</v>
      </c>
      <c r="C2337" s="63" t="s">
        <v>7</v>
      </c>
      <c r="D2337" s="63">
        <v>330</v>
      </c>
      <c r="E2337" s="63">
        <v>1100.01</v>
      </c>
      <c r="F2337" s="63">
        <v>1</v>
      </c>
      <c r="G2337" s="63" t="s">
        <v>46</v>
      </c>
      <c r="H2337" s="63" t="s">
        <v>45</v>
      </c>
      <c r="I2337" s="63">
        <v>0</v>
      </c>
      <c r="J2337" s="63">
        <v>0</v>
      </c>
      <c r="L2337" s="63">
        <v>577.20000000000005</v>
      </c>
      <c r="M2337" s="63">
        <v>1.7401E-2</v>
      </c>
      <c r="N2337" s="63">
        <v>577.17999999999995</v>
      </c>
      <c r="O2337" s="64">
        <v>1.7221E-2</v>
      </c>
    </row>
    <row r="2338" spans="1:15" x14ac:dyDescent="0.25">
      <c r="A2338" s="114" t="s">
        <v>2128</v>
      </c>
      <c r="B2338" s="63" t="s">
        <v>51</v>
      </c>
      <c r="C2338" s="63" t="s">
        <v>7</v>
      </c>
      <c r="D2338" s="63">
        <v>1100</v>
      </c>
      <c r="E2338" s="63">
        <v>3300.1</v>
      </c>
      <c r="F2338" s="63">
        <v>1</v>
      </c>
      <c r="G2338" s="63" t="s">
        <v>46</v>
      </c>
      <c r="H2338" s="63" t="s">
        <v>46</v>
      </c>
      <c r="I2338" s="63">
        <v>0</v>
      </c>
      <c r="J2338" s="63">
        <v>0</v>
      </c>
      <c r="L2338" s="63">
        <v>0.60487000000000002</v>
      </c>
      <c r="M2338" s="63">
        <v>6.4429000000000003E-5</v>
      </c>
      <c r="N2338" s="63">
        <v>0.60441</v>
      </c>
      <c r="O2338" s="64">
        <v>6.4220999999999994E-5</v>
      </c>
    </row>
    <row r="2339" spans="1:15" x14ac:dyDescent="0.25">
      <c r="A2339" s="114" t="s">
        <v>2129</v>
      </c>
      <c r="B2339" s="63" t="s">
        <v>51</v>
      </c>
      <c r="C2339" s="63" t="s">
        <v>7</v>
      </c>
      <c r="D2339" s="63">
        <v>3300</v>
      </c>
      <c r="E2339" s="63">
        <v>11001</v>
      </c>
      <c r="F2339" s="63">
        <v>1</v>
      </c>
      <c r="G2339" s="63" t="s">
        <v>46</v>
      </c>
      <c r="H2339" s="63" t="s">
        <v>46</v>
      </c>
      <c r="I2339" s="63">
        <v>0</v>
      </c>
      <c r="J2339" s="63">
        <v>0</v>
      </c>
      <c r="L2339" s="63">
        <v>0.46536</v>
      </c>
      <c r="M2339" s="63">
        <v>8.4151000000000001E-5</v>
      </c>
      <c r="N2339" s="63">
        <v>0.46464</v>
      </c>
      <c r="O2339" s="64">
        <v>8.4043999999999997E-5</v>
      </c>
    </row>
    <row r="2340" spans="1:15" x14ac:dyDescent="0.25">
      <c r="A2340" s="114" t="s">
        <v>2130</v>
      </c>
      <c r="B2340" s="63" t="s">
        <v>51</v>
      </c>
      <c r="C2340" s="63" t="s">
        <v>7</v>
      </c>
      <c r="D2340" s="63">
        <v>11000</v>
      </c>
      <c r="E2340" s="63">
        <v>33001</v>
      </c>
      <c r="F2340" s="63">
        <v>1</v>
      </c>
      <c r="G2340" s="63" t="s">
        <v>46</v>
      </c>
      <c r="H2340" s="63" t="s">
        <v>46</v>
      </c>
      <c r="I2340" s="63">
        <v>0</v>
      </c>
      <c r="J2340" s="63">
        <v>0</v>
      </c>
      <c r="L2340" s="63">
        <v>1.3</v>
      </c>
      <c r="M2340" s="63">
        <v>1.0253E-4</v>
      </c>
      <c r="N2340" s="63">
        <v>1.2442</v>
      </c>
      <c r="O2340" s="64">
        <v>1.0252E-4</v>
      </c>
    </row>
    <row r="2341" spans="1:15" x14ac:dyDescent="0.25">
      <c r="A2341" s="114" t="s">
        <v>2708</v>
      </c>
      <c r="B2341" s="63" t="s">
        <v>51</v>
      </c>
      <c r="C2341" s="63" t="s">
        <v>7</v>
      </c>
      <c r="D2341" s="63">
        <v>33000</v>
      </c>
      <c r="E2341" s="63">
        <v>110010</v>
      </c>
      <c r="F2341" s="63">
        <v>1</v>
      </c>
      <c r="G2341" s="63" t="s">
        <v>46</v>
      </c>
      <c r="H2341" s="63" t="s">
        <v>46</v>
      </c>
      <c r="I2341" s="63">
        <v>0</v>
      </c>
      <c r="J2341" s="63">
        <v>0</v>
      </c>
      <c r="L2341" s="63">
        <v>1.3</v>
      </c>
      <c r="M2341" s="63">
        <v>1.2999999999999999E-4</v>
      </c>
      <c r="N2341" s="63">
        <v>1.2346999999999999</v>
      </c>
      <c r="O2341" s="64">
        <v>1.2664999999999999E-4</v>
      </c>
    </row>
    <row r="2342" spans="1:15" x14ac:dyDescent="0.25">
      <c r="A2342" s="114" t="s">
        <v>2131</v>
      </c>
      <c r="B2342" s="63" t="s">
        <v>51</v>
      </c>
      <c r="C2342" s="63" t="s">
        <v>7</v>
      </c>
      <c r="D2342" s="63">
        <v>110000</v>
      </c>
      <c r="E2342" s="63">
        <v>330010</v>
      </c>
      <c r="F2342" s="63">
        <v>1</v>
      </c>
      <c r="G2342" s="63" t="s">
        <v>46</v>
      </c>
      <c r="H2342" s="63" t="s">
        <v>46</v>
      </c>
      <c r="I2342" s="63">
        <v>0</v>
      </c>
      <c r="J2342" s="63">
        <v>0</v>
      </c>
      <c r="L2342" s="63">
        <v>12</v>
      </c>
      <c r="M2342" s="63">
        <v>1.3999999999999999E-4</v>
      </c>
      <c r="N2342" s="63">
        <v>11.565</v>
      </c>
      <c r="O2342" s="64">
        <v>1.393E-4</v>
      </c>
    </row>
    <row r="2343" spans="1:15" x14ac:dyDescent="0.25">
      <c r="A2343" s="114" t="s">
        <v>2132</v>
      </c>
      <c r="B2343" s="63" t="s">
        <v>51</v>
      </c>
      <c r="C2343" s="63" t="s">
        <v>7</v>
      </c>
      <c r="D2343" s="63">
        <v>0</v>
      </c>
      <c r="E2343" s="63">
        <v>11.000999999999999</v>
      </c>
      <c r="F2343" s="63">
        <v>10</v>
      </c>
      <c r="G2343" s="63" t="s">
        <v>46</v>
      </c>
      <c r="H2343" s="63" t="s">
        <v>45</v>
      </c>
      <c r="I2343" s="63">
        <v>0</v>
      </c>
      <c r="J2343" s="63">
        <v>0</v>
      </c>
      <c r="L2343" s="63">
        <v>5800</v>
      </c>
      <c r="M2343" s="63">
        <v>3.8767000000000001E-4</v>
      </c>
      <c r="N2343" s="63">
        <v>5800</v>
      </c>
      <c r="O2343" s="64">
        <v>2.9433999999999998E-4</v>
      </c>
    </row>
    <row r="2344" spans="1:15" x14ac:dyDescent="0.25">
      <c r="A2344" s="114" t="s">
        <v>2709</v>
      </c>
      <c r="B2344" s="63" t="s">
        <v>51</v>
      </c>
      <c r="C2344" s="63" t="s">
        <v>7</v>
      </c>
      <c r="D2344" s="63">
        <v>330</v>
      </c>
      <c r="E2344" s="63">
        <v>1100.01</v>
      </c>
      <c r="F2344" s="63">
        <v>10</v>
      </c>
      <c r="G2344" s="63" t="s">
        <v>46</v>
      </c>
      <c r="H2344" s="63" t="s">
        <v>45</v>
      </c>
      <c r="I2344" s="63">
        <v>0</v>
      </c>
      <c r="J2344" s="63">
        <v>0</v>
      </c>
      <c r="L2344" s="63">
        <v>5799.7</v>
      </c>
      <c r="M2344" s="63">
        <v>1.8247999999999999E-3</v>
      </c>
      <c r="N2344" s="63">
        <v>5799.7</v>
      </c>
      <c r="O2344" s="64">
        <v>1.75E-3</v>
      </c>
    </row>
    <row r="2345" spans="1:15" x14ac:dyDescent="0.25">
      <c r="A2345" s="114" t="s">
        <v>2710</v>
      </c>
      <c r="B2345" s="63" t="s">
        <v>51</v>
      </c>
      <c r="C2345" s="63" t="s">
        <v>7</v>
      </c>
      <c r="D2345" s="63">
        <v>1100</v>
      </c>
      <c r="E2345" s="63">
        <v>3300.1</v>
      </c>
      <c r="F2345" s="63">
        <v>10</v>
      </c>
      <c r="G2345" s="63" t="s">
        <v>46</v>
      </c>
      <c r="H2345" s="63" t="s">
        <v>46</v>
      </c>
      <c r="I2345" s="63">
        <v>0</v>
      </c>
      <c r="J2345" s="63">
        <v>0</v>
      </c>
      <c r="L2345" s="63">
        <v>5.8014000000000001</v>
      </c>
      <c r="M2345" s="63">
        <v>8.3760999999999993E-6</v>
      </c>
      <c r="N2345" s="63">
        <v>5.8011999999999997</v>
      </c>
      <c r="O2345" s="64">
        <v>8.2293999999999995E-6</v>
      </c>
    </row>
    <row r="2346" spans="1:15" x14ac:dyDescent="0.25">
      <c r="A2346" s="114" t="s">
        <v>2133</v>
      </c>
      <c r="B2346" s="63" t="s">
        <v>51</v>
      </c>
      <c r="C2346" s="63" t="s">
        <v>7</v>
      </c>
      <c r="D2346" s="63">
        <v>3300</v>
      </c>
      <c r="E2346" s="63">
        <v>11001</v>
      </c>
      <c r="F2346" s="63">
        <v>10</v>
      </c>
      <c r="G2346" s="63" t="s">
        <v>46</v>
      </c>
      <c r="H2346" s="63" t="s">
        <v>46</v>
      </c>
      <c r="I2346" s="63">
        <v>0</v>
      </c>
      <c r="J2346" s="63">
        <v>0</v>
      </c>
      <c r="L2346" s="63">
        <v>5.7682000000000002</v>
      </c>
      <c r="M2346" s="63">
        <v>1.5398000000000001E-5</v>
      </c>
      <c r="N2346" s="63">
        <v>5.7682000000000002</v>
      </c>
      <c r="O2346" s="64">
        <v>1.5238E-5</v>
      </c>
    </row>
    <row r="2347" spans="1:15" x14ac:dyDescent="0.25">
      <c r="A2347" s="114" t="s">
        <v>2134</v>
      </c>
      <c r="B2347" s="63" t="s">
        <v>51</v>
      </c>
      <c r="C2347" s="63" t="s">
        <v>7</v>
      </c>
      <c r="D2347" s="63">
        <v>11000</v>
      </c>
      <c r="E2347" s="63">
        <v>33001</v>
      </c>
      <c r="F2347" s="63">
        <v>10</v>
      </c>
      <c r="G2347" s="63" t="s">
        <v>46</v>
      </c>
      <c r="H2347" s="63" t="s">
        <v>46</v>
      </c>
      <c r="I2347" s="63">
        <v>0</v>
      </c>
      <c r="J2347" s="63">
        <v>0</v>
      </c>
      <c r="L2347" s="63">
        <v>5.6614000000000004</v>
      </c>
      <c r="M2347" s="63">
        <v>5.2695000000000003E-5</v>
      </c>
      <c r="N2347" s="63">
        <v>5.6604999999999999</v>
      </c>
      <c r="O2347" s="64">
        <v>5.2621000000000003E-5</v>
      </c>
    </row>
    <row r="2348" spans="1:15" x14ac:dyDescent="0.25">
      <c r="A2348" s="114" t="s">
        <v>2135</v>
      </c>
      <c r="B2348" s="63" t="s">
        <v>51</v>
      </c>
      <c r="C2348" s="63" t="s">
        <v>7</v>
      </c>
      <c r="D2348" s="63">
        <v>33000</v>
      </c>
      <c r="E2348" s="63">
        <v>110010</v>
      </c>
      <c r="F2348" s="63">
        <v>10</v>
      </c>
      <c r="G2348" s="63" t="s">
        <v>46</v>
      </c>
      <c r="H2348" s="63" t="s">
        <v>46</v>
      </c>
      <c r="I2348" s="63">
        <v>0</v>
      </c>
      <c r="J2348" s="63">
        <v>0</v>
      </c>
      <c r="L2348" s="63">
        <v>4.3529999999999998</v>
      </c>
      <c r="M2348" s="63">
        <v>1.0805E-4</v>
      </c>
      <c r="N2348" s="63">
        <v>4.3501000000000003</v>
      </c>
      <c r="O2348" s="64">
        <v>1.0797E-4</v>
      </c>
    </row>
    <row r="2349" spans="1:15" x14ac:dyDescent="0.25">
      <c r="A2349" s="114" t="s">
        <v>2136</v>
      </c>
      <c r="B2349" s="63" t="s">
        <v>51</v>
      </c>
      <c r="C2349" s="63" t="s">
        <v>7</v>
      </c>
      <c r="D2349" s="63">
        <v>110000</v>
      </c>
      <c r="E2349" s="63">
        <v>330010</v>
      </c>
      <c r="F2349" s="63">
        <v>10</v>
      </c>
      <c r="G2349" s="63" t="s">
        <v>46</v>
      </c>
      <c r="H2349" s="63" t="s">
        <v>46</v>
      </c>
      <c r="I2349" s="63">
        <v>0</v>
      </c>
      <c r="J2349" s="63">
        <v>0</v>
      </c>
      <c r="L2349" s="63">
        <v>12.289</v>
      </c>
      <c r="M2349" s="63">
        <v>1.3783999999999999E-4</v>
      </c>
      <c r="N2349" s="63">
        <v>12.284000000000001</v>
      </c>
      <c r="O2349" s="64">
        <v>1.3782000000000001E-4</v>
      </c>
    </row>
    <row r="2350" spans="1:15" x14ac:dyDescent="0.25">
      <c r="A2350" s="114" t="s">
        <v>2137</v>
      </c>
      <c r="B2350" s="63" t="s">
        <v>51</v>
      </c>
      <c r="C2350" s="63" t="s">
        <v>7</v>
      </c>
      <c r="D2350" s="63">
        <v>330000</v>
      </c>
      <c r="E2350" s="63">
        <v>1100010</v>
      </c>
      <c r="F2350" s="63">
        <v>10</v>
      </c>
      <c r="G2350" s="63" t="s">
        <v>46</v>
      </c>
      <c r="H2350" s="63" t="s">
        <v>46</v>
      </c>
      <c r="I2350" s="63">
        <v>0</v>
      </c>
      <c r="J2350" s="63">
        <v>0</v>
      </c>
      <c r="L2350" s="63">
        <v>16</v>
      </c>
      <c r="M2350" s="63">
        <v>1.7000000000000001E-4</v>
      </c>
      <c r="N2350" s="63">
        <v>12.340999999999999</v>
      </c>
      <c r="O2350" s="64">
        <v>1.7274E-4</v>
      </c>
    </row>
    <row r="2351" spans="1:15" x14ac:dyDescent="0.25">
      <c r="A2351" s="114" t="s">
        <v>2138</v>
      </c>
      <c r="B2351" s="63" t="s">
        <v>51</v>
      </c>
      <c r="C2351" s="63" t="s">
        <v>7</v>
      </c>
      <c r="D2351" s="63">
        <v>1100000</v>
      </c>
      <c r="E2351" s="63">
        <v>3301000</v>
      </c>
      <c r="F2351" s="63">
        <v>10</v>
      </c>
      <c r="G2351" s="63" t="s">
        <v>46</v>
      </c>
      <c r="H2351" s="63" t="s">
        <v>47</v>
      </c>
      <c r="I2351" s="63">
        <v>0</v>
      </c>
      <c r="J2351" s="63">
        <v>0</v>
      </c>
      <c r="L2351" s="63">
        <v>0.19</v>
      </c>
      <c r="M2351" s="63">
        <v>1.6999999999999999E-7</v>
      </c>
      <c r="N2351" s="63">
        <v>0.17338999999999999</v>
      </c>
      <c r="O2351" s="64">
        <v>1.7317999999999999E-7</v>
      </c>
    </row>
    <row r="2352" spans="1:15" x14ac:dyDescent="0.25">
      <c r="A2352" s="114" t="s">
        <v>2711</v>
      </c>
      <c r="B2352" s="63" t="s">
        <v>51</v>
      </c>
      <c r="C2352" s="63" t="s">
        <v>7</v>
      </c>
      <c r="D2352" s="63">
        <v>0</v>
      </c>
      <c r="E2352" s="63">
        <v>11.000999999999999</v>
      </c>
      <c r="F2352" s="63">
        <v>100</v>
      </c>
      <c r="G2352" s="63" t="s">
        <v>46</v>
      </c>
      <c r="H2352" s="63" t="s">
        <v>45</v>
      </c>
      <c r="I2352" s="63">
        <v>0</v>
      </c>
      <c r="J2352" s="63">
        <v>0</v>
      </c>
      <c r="L2352" s="63">
        <v>58000</v>
      </c>
      <c r="M2352" s="63">
        <v>6.6765000000000002E-5</v>
      </c>
      <c r="N2352" s="63">
        <v>58000</v>
      </c>
      <c r="O2352" s="64">
        <v>2.9434E-5</v>
      </c>
    </row>
    <row r="2353" spans="1:15" x14ac:dyDescent="0.25">
      <c r="A2353" s="114" t="s">
        <v>2139</v>
      </c>
      <c r="B2353" s="63" t="s">
        <v>51</v>
      </c>
      <c r="C2353" s="63" t="s">
        <v>7</v>
      </c>
      <c r="D2353" s="63">
        <v>3300</v>
      </c>
      <c r="E2353" s="63">
        <v>11001</v>
      </c>
      <c r="F2353" s="63">
        <v>100</v>
      </c>
      <c r="G2353" s="63" t="s">
        <v>46</v>
      </c>
      <c r="H2353" s="63" t="s">
        <v>46</v>
      </c>
      <c r="I2353" s="63">
        <v>0</v>
      </c>
      <c r="J2353" s="63">
        <v>0</v>
      </c>
      <c r="L2353" s="63">
        <v>57.997</v>
      </c>
      <c r="M2353" s="63">
        <v>1.6098E-6</v>
      </c>
      <c r="N2353" s="63">
        <v>57.997</v>
      </c>
      <c r="O2353" s="64">
        <v>1.5437999999999999E-6</v>
      </c>
    </row>
    <row r="2354" spans="1:15" x14ac:dyDescent="0.25">
      <c r="A2354" s="114" t="s">
        <v>2712</v>
      </c>
      <c r="B2354" s="63" t="s">
        <v>51</v>
      </c>
      <c r="C2354" s="63" t="s">
        <v>7</v>
      </c>
      <c r="D2354" s="63">
        <v>11000</v>
      </c>
      <c r="E2354" s="63">
        <v>33001</v>
      </c>
      <c r="F2354" s="63">
        <v>100</v>
      </c>
      <c r="G2354" s="63" t="s">
        <v>46</v>
      </c>
      <c r="H2354" s="63" t="s">
        <v>46</v>
      </c>
      <c r="I2354" s="63">
        <v>0</v>
      </c>
      <c r="J2354" s="63">
        <v>0</v>
      </c>
      <c r="L2354" s="63">
        <v>57.978000000000002</v>
      </c>
      <c r="M2354" s="63">
        <v>6.2175000000000002E-6</v>
      </c>
      <c r="N2354" s="63">
        <v>57.978000000000002</v>
      </c>
      <c r="O2354" s="64">
        <v>6.1738000000000001E-6</v>
      </c>
    </row>
    <row r="2355" spans="1:15" x14ac:dyDescent="0.25">
      <c r="A2355" s="114" t="s">
        <v>2140</v>
      </c>
      <c r="B2355" s="63" t="s">
        <v>51</v>
      </c>
      <c r="C2355" s="63" t="s">
        <v>7</v>
      </c>
      <c r="D2355" s="63">
        <v>33000</v>
      </c>
      <c r="E2355" s="63">
        <v>110010</v>
      </c>
      <c r="F2355" s="63">
        <v>100</v>
      </c>
      <c r="G2355" s="63" t="s">
        <v>46</v>
      </c>
      <c r="H2355" s="63" t="s">
        <v>46</v>
      </c>
      <c r="I2355" s="63">
        <v>0</v>
      </c>
      <c r="J2355" s="63">
        <v>0</v>
      </c>
      <c r="L2355" s="63">
        <v>57.521000000000001</v>
      </c>
      <c r="M2355" s="63">
        <v>2.2172999999999999E-5</v>
      </c>
      <c r="N2355" s="63">
        <v>57.521999999999998</v>
      </c>
      <c r="O2355" s="64">
        <v>2.2050999999999999E-5</v>
      </c>
    </row>
    <row r="2356" spans="1:15" x14ac:dyDescent="0.25">
      <c r="A2356" s="114" t="s">
        <v>2141</v>
      </c>
      <c r="B2356" s="63" t="s">
        <v>51</v>
      </c>
      <c r="C2356" s="63" t="s">
        <v>7</v>
      </c>
      <c r="D2356" s="63">
        <v>110000</v>
      </c>
      <c r="E2356" s="63">
        <v>330010</v>
      </c>
      <c r="F2356" s="63">
        <v>100</v>
      </c>
      <c r="G2356" s="63" t="s">
        <v>46</v>
      </c>
      <c r="H2356" s="63" t="s">
        <v>46</v>
      </c>
      <c r="I2356" s="63">
        <v>0</v>
      </c>
      <c r="J2356" s="63">
        <v>0</v>
      </c>
      <c r="L2356" s="63">
        <v>55.026000000000003</v>
      </c>
      <c r="M2356" s="63">
        <v>8.0747999999999993E-5</v>
      </c>
      <c r="N2356" s="63">
        <v>55.024000000000001</v>
      </c>
      <c r="O2356" s="64">
        <v>8.0667000000000005E-5</v>
      </c>
    </row>
    <row r="2357" spans="1:15" x14ac:dyDescent="0.25">
      <c r="A2357" s="114" t="s">
        <v>2142</v>
      </c>
      <c r="B2357" s="63" t="s">
        <v>51</v>
      </c>
      <c r="C2357" s="63" t="s">
        <v>7</v>
      </c>
      <c r="D2357" s="63">
        <v>330000</v>
      </c>
      <c r="E2357" s="63">
        <v>1100010</v>
      </c>
      <c r="F2357" s="63">
        <v>100</v>
      </c>
      <c r="G2357" s="63" t="s">
        <v>46</v>
      </c>
      <c r="H2357" s="63" t="s">
        <v>46</v>
      </c>
      <c r="I2357" s="63">
        <v>0</v>
      </c>
      <c r="J2357" s="63">
        <v>0</v>
      </c>
      <c r="L2357" s="63">
        <v>38.744</v>
      </c>
      <c r="M2357" s="63">
        <v>1.5613000000000001E-4</v>
      </c>
      <c r="N2357" s="63">
        <v>38.701999999999998</v>
      </c>
      <c r="O2357" s="64">
        <v>1.5610999999999999E-4</v>
      </c>
    </row>
    <row r="2358" spans="1:15" x14ac:dyDescent="0.25">
      <c r="A2358" s="114" t="s">
        <v>2143</v>
      </c>
      <c r="B2358" s="63" t="s">
        <v>51</v>
      </c>
      <c r="C2358" s="63" t="s">
        <v>7</v>
      </c>
      <c r="D2358" s="63">
        <v>1100000</v>
      </c>
      <c r="E2358" s="63">
        <v>3301000</v>
      </c>
      <c r="F2358" s="63">
        <v>100</v>
      </c>
      <c r="G2358" s="63" t="s">
        <v>46</v>
      </c>
      <c r="H2358" s="63" t="s">
        <v>47</v>
      </c>
      <c r="I2358" s="63">
        <v>0</v>
      </c>
      <c r="J2358" s="63">
        <v>0</v>
      </c>
      <c r="L2358" s="63">
        <v>0.19</v>
      </c>
      <c r="M2358" s="63">
        <v>1.7214999999999999E-7</v>
      </c>
      <c r="N2358" s="63">
        <v>0.17910000000000001</v>
      </c>
      <c r="O2358" s="64">
        <v>1.7212999999999999E-7</v>
      </c>
    </row>
    <row r="2359" spans="1:15" x14ac:dyDescent="0.25">
      <c r="A2359" s="114" t="s">
        <v>2713</v>
      </c>
      <c r="B2359" s="63" t="s">
        <v>51</v>
      </c>
      <c r="C2359" s="63" t="s">
        <v>7</v>
      </c>
      <c r="D2359" s="63">
        <v>3300000</v>
      </c>
      <c r="E2359" s="63">
        <v>11001000</v>
      </c>
      <c r="F2359" s="63">
        <v>100</v>
      </c>
      <c r="G2359" s="63" t="s">
        <v>46</v>
      </c>
      <c r="H2359" s="63" t="s">
        <v>47</v>
      </c>
      <c r="I2359" s="63">
        <v>0</v>
      </c>
      <c r="J2359" s="63">
        <v>0</v>
      </c>
      <c r="L2359" s="63">
        <v>0.33</v>
      </c>
      <c r="M2359" s="63">
        <v>6.8999999999999996E-7</v>
      </c>
      <c r="N2359" s="63">
        <v>0.29032999999999998</v>
      </c>
      <c r="O2359" s="64">
        <v>6.9271999999999997E-7</v>
      </c>
    </row>
    <row r="2360" spans="1:15" x14ac:dyDescent="0.25">
      <c r="A2360" s="114" t="s">
        <v>2714</v>
      </c>
      <c r="B2360" s="63" t="s">
        <v>51</v>
      </c>
      <c r="C2360" s="63" t="s">
        <v>7</v>
      </c>
      <c r="D2360" s="63">
        <v>11000000</v>
      </c>
      <c r="E2360" s="63">
        <v>33001000</v>
      </c>
      <c r="F2360" s="63">
        <v>100</v>
      </c>
      <c r="G2360" s="63" t="s">
        <v>46</v>
      </c>
      <c r="H2360" s="63" t="s">
        <v>47</v>
      </c>
      <c r="I2360" s="63">
        <v>0</v>
      </c>
      <c r="J2360" s="63">
        <v>0</v>
      </c>
      <c r="L2360" s="63">
        <v>2.9</v>
      </c>
      <c r="M2360" s="63">
        <v>1.1999999999999999E-6</v>
      </c>
      <c r="N2360" s="63">
        <v>2.8873000000000002</v>
      </c>
      <c r="O2360" s="64">
        <v>1.1547999999999999E-6</v>
      </c>
    </row>
    <row r="2361" spans="1:15" x14ac:dyDescent="0.25">
      <c r="A2361" s="114" t="s">
        <v>2144</v>
      </c>
      <c r="B2361" s="63" t="s">
        <v>51</v>
      </c>
      <c r="C2361" s="63" t="s">
        <v>7</v>
      </c>
      <c r="D2361" s="63">
        <v>0</v>
      </c>
      <c r="E2361" s="63">
        <v>11.000999999999999</v>
      </c>
      <c r="F2361" s="63">
        <v>1000</v>
      </c>
      <c r="G2361" s="63" t="s">
        <v>46</v>
      </c>
      <c r="H2361" s="63" t="s">
        <v>45</v>
      </c>
      <c r="I2361" s="63">
        <v>0</v>
      </c>
      <c r="J2361" s="63">
        <v>0</v>
      </c>
      <c r="L2361" s="63">
        <v>580000</v>
      </c>
      <c r="M2361" s="63">
        <v>1.7876E-5</v>
      </c>
      <c r="N2361" s="63">
        <v>580000</v>
      </c>
      <c r="O2361" s="64">
        <v>2.9434000000000001E-6</v>
      </c>
    </row>
    <row r="2362" spans="1:15" x14ac:dyDescent="0.25">
      <c r="A2362" s="114" t="s">
        <v>2145</v>
      </c>
      <c r="B2362" s="63" t="s">
        <v>51</v>
      </c>
      <c r="C2362" s="63" t="s">
        <v>7</v>
      </c>
      <c r="D2362" s="63">
        <v>33000</v>
      </c>
      <c r="E2362" s="63">
        <v>110010</v>
      </c>
      <c r="F2362" s="63">
        <v>1000</v>
      </c>
      <c r="G2362" s="63" t="s">
        <v>46</v>
      </c>
      <c r="H2362" s="63" t="s">
        <v>46</v>
      </c>
      <c r="I2362" s="63">
        <v>0</v>
      </c>
      <c r="J2362" s="63">
        <v>0</v>
      </c>
      <c r="L2362" s="63">
        <v>579.95000000000005</v>
      </c>
      <c r="M2362" s="63">
        <v>2.2971E-6</v>
      </c>
      <c r="N2362" s="63">
        <v>579.95000000000005</v>
      </c>
      <c r="O2362" s="64">
        <v>2.2465E-6</v>
      </c>
    </row>
    <row r="2363" spans="1:15" x14ac:dyDescent="0.25">
      <c r="A2363" s="114" t="s">
        <v>2715</v>
      </c>
      <c r="B2363" s="63" t="s">
        <v>51</v>
      </c>
      <c r="C2363" s="63" t="s">
        <v>7</v>
      </c>
      <c r="D2363" s="63">
        <v>110000</v>
      </c>
      <c r="E2363" s="63">
        <v>330010</v>
      </c>
      <c r="F2363" s="63">
        <v>1000</v>
      </c>
      <c r="G2363" s="63" t="s">
        <v>46</v>
      </c>
      <c r="H2363" s="63" t="s">
        <v>46</v>
      </c>
      <c r="I2363" s="63">
        <v>0</v>
      </c>
      <c r="J2363" s="63">
        <v>0</v>
      </c>
      <c r="L2363" s="63">
        <v>579.51</v>
      </c>
      <c r="M2363" s="63">
        <v>1.0142E-5</v>
      </c>
      <c r="N2363" s="63">
        <v>579.51</v>
      </c>
      <c r="O2363" s="64">
        <v>1.0091E-5</v>
      </c>
    </row>
    <row r="2364" spans="1:15" x14ac:dyDescent="0.25">
      <c r="A2364" s="114" t="s">
        <v>2146</v>
      </c>
      <c r="B2364" s="63" t="s">
        <v>51</v>
      </c>
      <c r="C2364" s="63" t="s">
        <v>7</v>
      </c>
      <c r="D2364" s="63">
        <v>330000</v>
      </c>
      <c r="E2364" s="63">
        <v>1100010</v>
      </c>
      <c r="F2364" s="63">
        <v>1000</v>
      </c>
      <c r="G2364" s="63" t="s">
        <v>46</v>
      </c>
      <c r="H2364" s="63" t="s">
        <v>46</v>
      </c>
      <c r="I2364" s="63">
        <v>0</v>
      </c>
      <c r="J2364" s="63">
        <v>0</v>
      </c>
      <c r="L2364" s="63">
        <v>571.17999999999995</v>
      </c>
      <c r="M2364" s="63">
        <v>3.9240999999999999E-5</v>
      </c>
      <c r="N2364" s="63">
        <v>571.17999999999995</v>
      </c>
      <c r="O2364" s="64">
        <v>3.9165000000000002E-5</v>
      </c>
    </row>
    <row r="2365" spans="1:15" x14ac:dyDescent="0.25">
      <c r="A2365" s="114" t="s">
        <v>2716</v>
      </c>
      <c r="B2365" s="63" t="s">
        <v>51</v>
      </c>
      <c r="C2365" s="63" t="s">
        <v>7</v>
      </c>
      <c r="D2365" s="63">
        <v>1100000</v>
      </c>
      <c r="E2365" s="63">
        <v>3301000</v>
      </c>
      <c r="F2365" s="63">
        <v>1000</v>
      </c>
      <c r="G2365" s="63" t="s">
        <v>46</v>
      </c>
      <c r="H2365" s="63" t="s">
        <v>47</v>
      </c>
      <c r="I2365" s="63">
        <v>0</v>
      </c>
      <c r="J2365" s="63">
        <v>0</v>
      </c>
      <c r="L2365" s="63">
        <v>0.55515999999999999</v>
      </c>
      <c r="M2365" s="63">
        <v>1.1804E-7</v>
      </c>
      <c r="N2365" s="63">
        <v>0.55501</v>
      </c>
      <c r="O2365" s="64">
        <v>1.1789000000000001E-7</v>
      </c>
    </row>
    <row r="2366" spans="1:15" x14ac:dyDescent="0.25">
      <c r="A2366" s="114" t="s">
        <v>2147</v>
      </c>
      <c r="B2366" s="63" t="s">
        <v>51</v>
      </c>
      <c r="C2366" s="63" t="s">
        <v>7</v>
      </c>
      <c r="D2366" s="63">
        <v>3300000</v>
      </c>
      <c r="E2366" s="63">
        <v>11001000</v>
      </c>
      <c r="F2366" s="63">
        <v>1000</v>
      </c>
      <c r="G2366" s="63" t="s">
        <v>46</v>
      </c>
      <c r="H2366" s="63" t="s">
        <v>47</v>
      </c>
      <c r="I2366" s="63">
        <v>0</v>
      </c>
      <c r="J2366" s="63">
        <v>0</v>
      </c>
      <c r="L2366" s="63">
        <v>0.37289</v>
      </c>
      <c r="M2366" s="63">
        <v>6.8714999999999996E-7</v>
      </c>
      <c r="N2366" s="63">
        <v>0.37252000000000002</v>
      </c>
      <c r="O2366" s="64">
        <v>6.8716000000000002E-7</v>
      </c>
    </row>
    <row r="2367" spans="1:15" x14ac:dyDescent="0.25">
      <c r="A2367" s="114" t="s">
        <v>2717</v>
      </c>
      <c r="B2367" s="63" t="s">
        <v>51</v>
      </c>
      <c r="C2367" s="63" t="s">
        <v>7</v>
      </c>
      <c r="D2367" s="63">
        <v>11000000</v>
      </c>
      <c r="E2367" s="63">
        <v>33001000</v>
      </c>
      <c r="F2367" s="63">
        <v>1000</v>
      </c>
      <c r="G2367" s="63" t="s">
        <v>46</v>
      </c>
      <c r="H2367" s="63" t="s">
        <v>47</v>
      </c>
      <c r="I2367" s="63">
        <v>0</v>
      </c>
      <c r="J2367" s="63">
        <v>0</v>
      </c>
      <c r="L2367" s="63">
        <v>2.9003999999999999</v>
      </c>
      <c r="M2367" s="63">
        <v>1.1544999999999999E-6</v>
      </c>
      <c r="N2367" s="63">
        <v>2.9</v>
      </c>
      <c r="O2367" s="64">
        <v>1.1544999999999999E-6</v>
      </c>
    </row>
    <row r="2368" spans="1:15" x14ac:dyDescent="0.25">
      <c r="A2368" s="114" t="s">
        <v>2148</v>
      </c>
      <c r="B2368" s="63" t="s">
        <v>51</v>
      </c>
      <c r="C2368" s="63" t="s">
        <v>7</v>
      </c>
      <c r="D2368" s="63">
        <v>33000000</v>
      </c>
      <c r="E2368" s="63">
        <v>110010000</v>
      </c>
      <c r="F2368" s="63">
        <v>1000</v>
      </c>
      <c r="G2368" s="63" t="s">
        <v>46</v>
      </c>
      <c r="H2368" s="63" t="s">
        <v>47</v>
      </c>
      <c r="I2368" s="63">
        <v>0</v>
      </c>
      <c r="J2368" s="63">
        <v>0</v>
      </c>
      <c r="L2368" s="63">
        <v>3.5</v>
      </c>
      <c r="M2368" s="63">
        <v>5.8000000000000004E-6</v>
      </c>
      <c r="N2368" s="63">
        <v>3.4662999999999999</v>
      </c>
      <c r="O2368" s="64">
        <v>5.7734999999999999E-6</v>
      </c>
    </row>
    <row r="2369" spans="1:15" x14ac:dyDescent="0.25">
      <c r="A2369" s="114" t="s">
        <v>2718</v>
      </c>
      <c r="B2369" s="63" t="s">
        <v>51</v>
      </c>
      <c r="C2369" s="63" t="s">
        <v>7</v>
      </c>
      <c r="D2369" s="63">
        <v>110000000</v>
      </c>
      <c r="E2369" s="63">
        <v>330010000</v>
      </c>
      <c r="F2369" s="63">
        <v>1000</v>
      </c>
      <c r="G2369" s="63" t="s">
        <v>46</v>
      </c>
      <c r="H2369" s="63" t="s">
        <v>47</v>
      </c>
      <c r="I2369" s="63">
        <v>0</v>
      </c>
      <c r="J2369" s="63">
        <v>0</v>
      </c>
      <c r="L2369" s="63">
        <v>120</v>
      </c>
      <c r="M2369" s="63">
        <v>5.8000000000000004E-6</v>
      </c>
      <c r="N2369" s="63">
        <v>115.47</v>
      </c>
      <c r="O2369" s="64">
        <v>5.7734999999999999E-6</v>
      </c>
    </row>
    <row r="2370" spans="1:15" x14ac:dyDescent="0.25">
      <c r="A2370" s="114" t="s">
        <v>2149</v>
      </c>
      <c r="B2370" s="63" t="s">
        <v>51</v>
      </c>
      <c r="C2370" s="63" t="s">
        <v>7</v>
      </c>
      <c r="D2370" s="63">
        <v>0</v>
      </c>
      <c r="E2370" s="63">
        <v>11.000999999999999</v>
      </c>
      <c r="F2370" s="63">
        <v>10000</v>
      </c>
      <c r="G2370" s="63" t="s">
        <v>46</v>
      </c>
      <c r="H2370" s="63" t="s">
        <v>45</v>
      </c>
      <c r="I2370" s="63">
        <v>0</v>
      </c>
      <c r="J2370" s="63">
        <v>0</v>
      </c>
      <c r="L2370" s="63">
        <v>5800000</v>
      </c>
      <c r="M2370" s="63">
        <v>6.2674000000000003E-6</v>
      </c>
      <c r="N2370" s="63">
        <v>5800000</v>
      </c>
      <c r="O2370" s="64">
        <v>2.9434999999999999E-7</v>
      </c>
    </row>
    <row r="2371" spans="1:15" x14ac:dyDescent="0.25">
      <c r="A2371" s="114" t="s">
        <v>2719</v>
      </c>
      <c r="B2371" s="63" t="s">
        <v>51</v>
      </c>
      <c r="C2371" s="63" t="s">
        <v>7</v>
      </c>
      <c r="D2371" s="63">
        <v>330000</v>
      </c>
      <c r="E2371" s="63">
        <v>1100010</v>
      </c>
      <c r="F2371" s="63">
        <v>10000</v>
      </c>
      <c r="G2371" s="63" t="s">
        <v>46</v>
      </c>
      <c r="H2371" s="63" t="s">
        <v>46</v>
      </c>
      <c r="I2371" s="63">
        <v>0</v>
      </c>
      <c r="J2371" s="63">
        <v>0</v>
      </c>
      <c r="L2371" s="63">
        <v>5799.1</v>
      </c>
      <c r="M2371" s="63">
        <v>4.0775999999999997E-6</v>
      </c>
      <c r="N2371" s="63">
        <v>5799.1</v>
      </c>
      <c r="O2371" s="64">
        <v>4.0446000000000002E-6</v>
      </c>
    </row>
    <row r="2372" spans="1:15" x14ac:dyDescent="0.25">
      <c r="A2372" s="114" t="s">
        <v>2150</v>
      </c>
      <c r="B2372" s="63" t="s">
        <v>51</v>
      </c>
      <c r="C2372" s="63" t="s">
        <v>7</v>
      </c>
      <c r="D2372" s="63">
        <v>1100000</v>
      </c>
      <c r="E2372" s="63">
        <v>3301000</v>
      </c>
      <c r="F2372" s="63">
        <v>10000</v>
      </c>
      <c r="G2372" s="63" t="s">
        <v>46</v>
      </c>
      <c r="H2372" s="63" t="s">
        <v>47</v>
      </c>
      <c r="I2372" s="63">
        <v>0</v>
      </c>
      <c r="J2372" s="63">
        <v>0</v>
      </c>
      <c r="L2372" s="63">
        <v>5.7933000000000003</v>
      </c>
      <c r="M2372" s="63">
        <v>1.6590000000000002E-8</v>
      </c>
      <c r="N2372" s="63">
        <v>5.7933000000000003</v>
      </c>
      <c r="O2372" s="64">
        <v>1.6469E-8</v>
      </c>
    </row>
    <row r="2373" spans="1:15" x14ac:dyDescent="0.25">
      <c r="A2373" s="114" t="s">
        <v>2720</v>
      </c>
      <c r="B2373" s="63" t="s">
        <v>51</v>
      </c>
      <c r="C2373" s="63" t="s">
        <v>7</v>
      </c>
      <c r="D2373" s="63">
        <v>3300000</v>
      </c>
      <c r="E2373" s="63">
        <v>11001000</v>
      </c>
      <c r="F2373" s="63">
        <v>10000</v>
      </c>
      <c r="G2373" s="63" t="s">
        <v>46</v>
      </c>
      <c r="H2373" s="63" t="s">
        <v>47</v>
      </c>
      <c r="I2373" s="63">
        <v>0</v>
      </c>
      <c r="J2373" s="63">
        <v>0</v>
      </c>
      <c r="L2373" s="63">
        <v>4.8625999999999996</v>
      </c>
      <c r="M2373" s="63">
        <v>4.4971999999999998E-7</v>
      </c>
      <c r="N2373" s="63">
        <v>4.8623000000000003</v>
      </c>
      <c r="O2373" s="64">
        <v>4.4966000000000002E-7</v>
      </c>
    </row>
    <row r="2374" spans="1:15" x14ac:dyDescent="0.25">
      <c r="A2374" s="114" t="s">
        <v>2151</v>
      </c>
      <c r="B2374" s="63" t="s">
        <v>51</v>
      </c>
      <c r="C2374" s="63" t="s">
        <v>7</v>
      </c>
      <c r="D2374" s="63">
        <v>11000000</v>
      </c>
      <c r="E2374" s="63">
        <v>33001000</v>
      </c>
      <c r="F2374" s="63">
        <v>10000</v>
      </c>
      <c r="G2374" s="63" t="s">
        <v>46</v>
      </c>
      <c r="H2374" s="63" t="s">
        <v>47</v>
      </c>
      <c r="I2374" s="63">
        <v>0</v>
      </c>
      <c r="J2374" s="63">
        <v>0</v>
      </c>
      <c r="L2374" s="63">
        <v>4.2484000000000002</v>
      </c>
      <c r="M2374" s="63">
        <v>1.1259000000000001E-6</v>
      </c>
      <c r="N2374" s="63">
        <v>4.2477999999999998</v>
      </c>
      <c r="O2374" s="64">
        <v>1.1259000000000001E-6</v>
      </c>
    </row>
    <row r="2375" spans="1:15" x14ac:dyDescent="0.25">
      <c r="A2375" s="114" t="s">
        <v>2152</v>
      </c>
      <c r="B2375" s="63" t="s">
        <v>51</v>
      </c>
      <c r="C2375" s="63" t="s">
        <v>7</v>
      </c>
      <c r="D2375" s="63">
        <v>33000000</v>
      </c>
      <c r="E2375" s="63">
        <v>110010000</v>
      </c>
      <c r="F2375" s="63">
        <v>10000</v>
      </c>
      <c r="G2375" s="63" t="s">
        <v>46</v>
      </c>
      <c r="H2375" s="63" t="s">
        <v>47</v>
      </c>
      <c r="I2375" s="63">
        <v>0</v>
      </c>
      <c r="J2375" s="63">
        <v>0</v>
      </c>
      <c r="L2375" s="63">
        <v>3.5802999999999998</v>
      </c>
      <c r="M2375" s="63">
        <v>5.7726999999999998E-6</v>
      </c>
      <c r="N2375" s="63">
        <v>3.5792000000000002</v>
      </c>
      <c r="O2375" s="64">
        <v>5.7726999999999998E-6</v>
      </c>
    </row>
    <row r="2376" spans="1:15" x14ac:dyDescent="0.25">
      <c r="A2376" s="114" t="s">
        <v>2721</v>
      </c>
      <c r="B2376" s="63" t="s">
        <v>51</v>
      </c>
      <c r="C2376" s="63" t="s">
        <v>7</v>
      </c>
      <c r="D2376" s="63">
        <v>110000000</v>
      </c>
      <c r="E2376" s="63">
        <v>330010000</v>
      </c>
      <c r="F2376" s="63">
        <v>10000</v>
      </c>
      <c r="G2376" s="63" t="s">
        <v>46</v>
      </c>
      <c r="H2376" s="63" t="s">
        <v>47</v>
      </c>
      <c r="I2376" s="63">
        <v>0</v>
      </c>
      <c r="J2376" s="63">
        <v>0</v>
      </c>
      <c r="L2376" s="63">
        <v>120</v>
      </c>
      <c r="M2376" s="63">
        <v>5.7733999999999996E-6</v>
      </c>
      <c r="N2376" s="63">
        <v>115.52</v>
      </c>
      <c r="O2376" s="64">
        <v>5.7733999999999996E-6</v>
      </c>
    </row>
    <row r="2377" spans="1:15" x14ac:dyDescent="0.25">
      <c r="A2377" s="114" t="s">
        <v>2153</v>
      </c>
      <c r="B2377" s="63" t="s">
        <v>51</v>
      </c>
      <c r="C2377" s="63" t="s">
        <v>7</v>
      </c>
      <c r="D2377" s="63">
        <v>330000000</v>
      </c>
      <c r="E2377" s="63">
        <v>1100010000</v>
      </c>
      <c r="F2377" s="63">
        <v>10000</v>
      </c>
      <c r="G2377" s="63" t="s">
        <v>46</v>
      </c>
      <c r="H2377" s="63" t="s">
        <v>47</v>
      </c>
      <c r="I2377" s="63">
        <v>0</v>
      </c>
      <c r="J2377" s="63">
        <v>0</v>
      </c>
      <c r="L2377" s="63">
        <v>930</v>
      </c>
      <c r="M2377" s="63">
        <v>1.7E-5</v>
      </c>
      <c r="N2377" s="63">
        <v>577.19000000000005</v>
      </c>
      <c r="O2377" s="64">
        <v>1.7320999999999999E-5</v>
      </c>
    </row>
    <row r="2378" spans="1:15" x14ac:dyDescent="0.25">
      <c r="A2378" s="114" t="s">
        <v>2722</v>
      </c>
      <c r="B2378" s="63" t="s">
        <v>51</v>
      </c>
      <c r="C2378" s="63" t="s">
        <v>7</v>
      </c>
      <c r="D2378" s="63">
        <v>1100000000</v>
      </c>
      <c r="E2378" s="63">
        <v>1101000000</v>
      </c>
      <c r="F2378" s="63">
        <v>10000</v>
      </c>
      <c r="G2378" s="63" t="s">
        <v>46</v>
      </c>
      <c r="H2378" s="63" t="s">
        <v>47</v>
      </c>
      <c r="I2378" s="63">
        <v>0</v>
      </c>
      <c r="J2378" s="63">
        <v>0</v>
      </c>
      <c r="L2378" s="63">
        <v>930</v>
      </c>
      <c r="M2378" s="63">
        <v>1.7E-5</v>
      </c>
      <c r="N2378" s="63">
        <v>577.19000000000005</v>
      </c>
      <c r="O2378" s="64">
        <v>1.7320999999999999E-5</v>
      </c>
    </row>
    <row r="2379" spans="1:15" x14ac:dyDescent="0.25">
      <c r="A2379" s="114" t="s">
        <v>2154</v>
      </c>
      <c r="B2379" s="63" t="s">
        <v>51</v>
      </c>
      <c r="C2379" s="63" t="s">
        <v>7</v>
      </c>
      <c r="D2379" s="63">
        <v>0</v>
      </c>
      <c r="E2379" s="63">
        <v>11.000999999999999</v>
      </c>
      <c r="F2379" s="63">
        <v>100000</v>
      </c>
      <c r="G2379" s="63" t="s">
        <v>46</v>
      </c>
      <c r="H2379" s="63" t="s">
        <v>45</v>
      </c>
      <c r="I2379" s="63">
        <v>0</v>
      </c>
      <c r="J2379" s="63">
        <v>0</v>
      </c>
      <c r="L2379" s="63">
        <v>58000000</v>
      </c>
      <c r="M2379" s="63">
        <v>2.4177000000000002E-6</v>
      </c>
      <c r="N2379" s="63">
        <v>58000000</v>
      </c>
      <c r="O2379" s="64">
        <v>2.9391999999999999E-8</v>
      </c>
    </row>
    <row r="2380" spans="1:15" x14ac:dyDescent="0.25">
      <c r="A2380" s="114" t="s">
        <v>2723</v>
      </c>
      <c r="B2380" s="63" t="s">
        <v>51</v>
      </c>
      <c r="C2380" s="63" t="s">
        <v>7</v>
      </c>
      <c r="D2380" s="63">
        <v>3300000</v>
      </c>
      <c r="E2380" s="63">
        <v>11001000</v>
      </c>
      <c r="F2380" s="63">
        <v>100000</v>
      </c>
      <c r="G2380" s="63" t="s">
        <v>46</v>
      </c>
      <c r="H2380" s="63" t="s">
        <v>47</v>
      </c>
      <c r="I2380" s="63">
        <v>0</v>
      </c>
      <c r="J2380" s="63">
        <v>0</v>
      </c>
      <c r="L2380" s="63">
        <v>57.851999999999997</v>
      </c>
      <c r="M2380" s="63">
        <v>6.2356000000000006E-8</v>
      </c>
      <c r="N2380" s="63">
        <v>57.851999999999997</v>
      </c>
      <c r="O2380" s="64">
        <v>6.2304E-8</v>
      </c>
    </row>
    <row r="2381" spans="1:15" x14ac:dyDescent="0.25">
      <c r="A2381" s="114" t="s">
        <v>2155</v>
      </c>
      <c r="B2381" s="63" t="s">
        <v>51</v>
      </c>
      <c r="C2381" s="63" t="s">
        <v>7</v>
      </c>
      <c r="D2381" s="63">
        <v>11000000</v>
      </c>
      <c r="E2381" s="63">
        <v>33001000</v>
      </c>
      <c r="F2381" s="63">
        <v>100000</v>
      </c>
      <c r="G2381" s="63" t="s">
        <v>46</v>
      </c>
      <c r="H2381" s="63" t="s">
        <v>47</v>
      </c>
      <c r="I2381" s="63">
        <v>0</v>
      </c>
      <c r="J2381" s="63">
        <v>0</v>
      </c>
      <c r="L2381" s="63">
        <v>54.575000000000003</v>
      </c>
      <c r="M2381" s="63">
        <v>4.9851999999999999E-7</v>
      </c>
      <c r="N2381" s="63">
        <v>54.575000000000003</v>
      </c>
      <c r="O2381" s="64">
        <v>4.9846000000000003E-7</v>
      </c>
    </row>
    <row r="2382" spans="1:15" x14ac:dyDescent="0.25">
      <c r="A2382" s="114" t="s">
        <v>2156</v>
      </c>
      <c r="B2382" s="63" t="s">
        <v>51</v>
      </c>
      <c r="C2382" s="63" t="s">
        <v>7</v>
      </c>
      <c r="D2382" s="63">
        <v>33000000</v>
      </c>
      <c r="E2382" s="63">
        <v>110010000</v>
      </c>
      <c r="F2382" s="63">
        <v>100000</v>
      </c>
      <c r="G2382" s="63" t="s">
        <v>46</v>
      </c>
      <c r="H2382" s="63" t="s">
        <v>47</v>
      </c>
      <c r="I2382" s="63">
        <v>0</v>
      </c>
      <c r="J2382" s="63">
        <v>0</v>
      </c>
      <c r="L2382" s="63">
        <v>14.462999999999999</v>
      </c>
      <c r="M2382" s="63">
        <v>5.6975000000000001E-6</v>
      </c>
      <c r="N2382" s="63">
        <v>14.465</v>
      </c>
      <c r="O2382" s="64">
        <v>5.6973999999999999E-6</v>
      </c>
    </row>
    <row r="2383" spans="1:15" x14ac:dyDescent="0.25">
      <c r="A2383" s="114" t="s">
        <v>2157</v>
      </c>
      <c r="B2383" s="63" t="s">
        <v>51</v>
      </c>
      <c r="C2383" s="63" t="s">
        <v>7</v>
      </c>
      <c r="D2383" s="63">
        <v>110000000</v>
      </c>
      <c r="E2383" s="63">
        <v>330010000</v>
      </c>
      <c r="F2383" s="63">
        <v>100000</v>
      </c>
      <c r="G2383" s="63" t="s">
        <v>46</v>
      </c>
      <c r="H2383" s="63" t="s">
        <v>47</v>
      </c>
      <c r="I2383" s="63">
        <v>0</v>
      </c>
      <c r="J2383" s="63">
        <v>0</v>
      </c>
      <c r="L2383" s="63">
        <v>120</v>
      </c>
      <c r="M2383" s="63">
        <v>5.7671000000000002E-6</v>
      </c>
      <c r="N2383" s="63">
        <v>118.42</v>
      </c>
      <c r="O2383" s="64">
        <v>5.7671000000000002E-6</v>
      </c>
    </row>
    <row r="2384" spans="1:15" x14ac:dyDescent="0.25">
      <c r="A2384" s="114" t="s">
        <v>2724</v>
      </c>
      <c r="B2384" s="63" t="s">
        <v>51</v>
      </c>
      <c r="C2384" s="63" t="s">
        <v>7</v>
      </c>
      <c r="D2384" s="63">
        <v>330000000</v>
      </c>
      <c r="E2384" s="63">
        <v>1100010000</v>
      </c>
      <c r="F2384" s="63">
        <v>100000</v>
      </c>
      <c r="G2384" s="63" t="s">
        <v>46</v>
      </c>
      <c r="H2384" s="63" t="s">
        <v>47</v>
      </c>
      <c r="I2384" s="63">
        <v>0</v>
      </c>
      <c r="J2384" s="63">
        <v>0</v>
      </c>
      <c r="L2384" s="63">
        <v>930</v>
      </c>
      <c r="M2384" s="63">
        <v>1.732E-5</v>
      </c>
      <c r="N2384" s="63">
        <v>578</v>
      </c>
      <c r="O2384" s="64">
        <v>1.732E-5</v>
      </c>
    </row>
    <row r="2385" spans="1:15" x14ac:dyDescent="0.25">
      <c r="A2385" s="114" t="s">
        <v>2725</v>
      </c>
      <c r="B2385" s="63" t="s">
        <v>51</v>
      </c>
      <c r="C2385" s="63" t="s">
        <v>7</v>
      </c>
      <c r="D2385" s="63">
        <v>1100000000</v>
      </c>
      <c r="E2385" s="63">
        <v>1101000000</v>
      </c>
      <c r="F2385" s="63">
        <v>100000</v>
      </c>
      <c r="G2385" s="63" t="s">
        <v>46</v>
      </c>
      <c r="H2385" s="63" t="s">
        <v>47</v>
      </c>
      <c r="I2385" s="63">
        <v>0</v>
      </c>
      <c r="J2385" s="63">
        <v>0</v>
      </c>
      <c r="L2385" s="63">
        <v>930</v>
      </c>
      <c r="M2385" s="63">
        <v>1.732E-5</v>
      </c>
      <c r="N2385" s="63">
        <v>578</v>
      </c>
      <c r="O2385" s="64">
        <v>1.732E-5</v>
      </c>
    </row>
    <row r="2386" spans="1:15" x14ac:dyDescent="0.25">
      <c r="A2386" s="114" t="s">
        <v>2158</v>
      </c>
      <c r="B2386" s="63" t="s">
        <v>51</v>
      </c>
      <c r="C2386" s="63" t="s">
        <v>7</v>
      </c>
      <c r="D2386" s="63">
        <v>0</v>
      </c>
      <c r="E2386" s="63">
        <v>11.000999999999999</v>
      </c>
      <c r="F2386" s="63">
        <v>1000000</v>
      </c>
      <c r="G2386" s="63" t="s">
        <v>46</v>
      </c>
      <c r="H2386" s="63" t="s">
        <v>45</v>
      </c>
      <c r="I2386" s="63">
        <v>0</v>
      </c>
      <c r="J2386" s="63">
        <v>0</v>
      </c>
      <c r="L2386" s="63">
        <v>580000000</v>
      </c>
      <c r="M2386" s="63">
        <v>9.5148999999999995E-7</v>
      </c>
      <c r="N2386" s="63">
        <v>580000000</v>
      </c>
      <c r="O2386" s="64">
        <v>0</v>
      </c>
    </row>
    <row r="2387" spans="1:15" x14ac:dyDescent="0.25">
      <c r="A2387" s="114" t="s">
        <v>2726</v>
      </c>
      <c r="B2387" s="63" t="s">
        <v>51</v>
      </c>
      <c r="C2387" s="63" t="s">
        <v>7</v>
      </c>
      <c r="D2387" s="63">
        <v>33000000</v>
      </c>
      <c r="E2387" s="63">
        <v>110010000</v>
      </c>
      <c r="F2387" s="63">
        <v>1000000</v>
      </c>
      <c r="G2387" s="63" t="s">
        <v>46</v>
      </c>
      <c r="H2387" s="63" t="s">
        <v>47</v>
      </c>
      <c r="I2387" s="63">
        <v>0</v>
      </c>
      <c r="J2387" s="63">
        <v>0</v>
      </c>
      <c r="L2387" s="63">
        <v>503.99</v>
      </c>
      <c r="M2387" s="63">
        <v>3.2606000000000002E-6</v>
      </c>
      <c r="N2387" s="63">
        <v>503.99</v>
      </c>
      <c r="O2387" s="64">
        <v>3.2605E-6</v>
      </c>
    </row>
    <row r="2388" spans="1:15" x14ac:dyDescent="0.25">
      <c r="A2388" s="114" t="s">
        <v>2159</v>
      </c>
      <c r="B2388" s="63" t="s">
        <v>51</v>
      </c>
      <c r="C2388" s="63" t="s">
        <v>7</v>
      </c>
      <c r="D2388" s="63">
        <v>110000000</v>
      </c>
      <c r="E2388" s="63">
        <v>330010000</v>
      </c>
      <c r="F2388" s="63">
        <v>1000000</v>
      </c>
      <c r="G2388" s="63" t="s">
        <v>46</v>
      </c>
      <c r="H2388" s="63" t="s">
        <v>47</v>
      </c>
      <c r="I2388" s="63">
        <v>0</v>
      </c>
      <c r="J2388" s="63">
        <v>0</v>
      </c>
      <c r="L2388" s="63">
        <v>371.66</v>
      </c>
      <c r="M2388" s="63">
        <v>5.2445000000000004E-6</v>
      </c>
      <c r="N2388" s="63">
        <v>371.67</v>
      </c>
      <c r="O2388" s="64">
        <v>5.2444000000000001E-6</v>
      </c>
    </row>
    <row r="2389" spans="1:15" x14ac:dyDescent="0.25">
      <c r="A2389" s="114" t="s">
        <v>2160</v>
      </c>
      <c r="B2389" s="63" t="s">
        <v>51</v>
      </c>
      <c r="C2389" s="63" t="s">
        <v>7</v>
      </c>
      <c r="D2389" s="63">
        <v>330000000</v>
      </c>
      <c r="E2389" s="63">
        <v>1100010000</v>
      </c>
      <c r="F2389" s="63">
        <v>1000000</v>
      </c>
      <c r="G2389" s="63" t="s">
        <v>46</v>
      </c>
      <c r="H2389" s="63" t="s">
        <v>47</v>
      </c>
      <c r="I2389" s="63">
        <v>0</v>
      </c>
      <c r="J2389" s="63">
        <v>0</v>
      </c>
      <c r="L2389" s="63">
        <v>930</v>
      </c>
      <c r="M2389" s="63">
        <v>1.7297000000000001E-5</v>
      </c>
      <c r="N2389" s="63">
        <v>611.79</v>
      </c>
      <c r="O2389" s="64">
        <v>1.7297000000000001E-5</v>
      </c>
    </row>
    <row r="2390" spans="1:15" x14ac:dyDescent="0.25">
      <c r="A2390" s="114" t="s">
        <v>2161</v>
      </c>
      <c r="B2390" s="63" t="s">
        <v>51</v>
      </c>
      <c r="C2390" s="63" t="s">
        <v>7</v>
      </c>
      <c r="D2390" s="63">
        <v>1100000000</v>
      </c>
      <c r="E2390" s="63">
        <v>1101000000</v>
      </c>
      <c r="F2390" s="63">
        <v>1000000</v>
      </c>
      <c r="G2390" s="63" t="s">
        <v>46</v>
      </c>
      <c r="H2390" s="63" t="s">
        <v>47</v>
      </c>
      <c r="I2390" s="63">
        <v>0</v>
      </c>
      <c r="J2390" s="63">
        <v>0</v>
      </c>
      <c r="L2390" s="63">
        <v>930</v>
      </c>
      <c r="M2390" s="63">
        <v>1.7297000000000001E-5</v>
      </c>
      <c r="N2390" s="63">
        <v>611.79</v>
      </c>
      <c r="O2390" s="64">
        <v>1.7297000000000001E-5</v>
      </c>
    </row>
    <row r="2391" spans="1:15" x14ac:dyDescent="0.25">
      <c r="A2391" s="114" t="s">
        <v>2727</v>
      </c>
      <c r="B2391" s="63" t="s">
        <v>51</v>
      </c>
      <c r="C2391" s="63" t="s">
        <v>7</v>
      </c>
      <c r="D2391" s="63">
        <v>0</v>
      </c>
      <c r="E2391" s="63">
        <v>11.000999999999999</v>
      </c>
      <c r="F2391" s="63">
        <v>10000000</v>
      </c>
      <c r="G2391" s="63" t="s">
        <v>46</v>
      </c>
      <c r="H2391" s="63" t="s">
        <v>45</v>
      </c>
      <c r="I2391" s="63">
        <v>0</v>
      </c>
      <c r="J2391" s="63">
        <v>0</v>
      </c>
      <c r="L2391" s="63">
        <v>5800000000</v>
      </c>
      <c r="M2391" s="63">
        <v>0</v>
      </c>
      <c r="N2391" s="63">
        <v>5800000000</v>
      </c>
      <c r="O2391" s="64">
        <v>0</v>
      </c>
    </row>
    <row r="2392" spans="1:15" x14ac:dyDescent="0.25">
      <c r="A2392" s="114" t="s">
        <v>2162</v>
      </c>
      <c r="B2392" s="63" t="s">
        <v>51</v>
      </c>
      <c r="C2392" s="63" t="s">
        <v>7</v>
      </c>
      <c r="D2392" s="63">
        <v>330000000</v>
      </c>
      <c r="E2392" s="63">
        <v>1100010000</v>
      </c>
      <c r="F2392" s="63">
        <v>10000000</v>
      </c>
      <c r="G2392" s="63" t="s">
        <v>46</v>
      </c>
      <c r="H2392" s="63" t="s">
        <v>47</v>
      </c>
      <c r="I2392" s="63">
        <v>0</v>
      </c>
      <c r="J2392" s="63">
        <v>0</v>
      </c>
      <c r="L2392" s="63">
        <v>3454.2</v>
      </c>
      <c r="M2392" s="63">
        <v>1.5468000000000002E-5</v>
      </c>
      <c r="N2392" s="63">
        <v>3454.1</v>
      </c>
      <c r="O2392" s="64">
        <v>1.5468000000000002E-5</v>
      </c>
    </row>
    <row r="2393" spans="1:15" x14ac:dyDescent="0.25">
      <c r="A2393" s="114" t="s">
        <v>2163</v>
      </c>
      <c r="B2393" s="63" t="s">
        <v>51</v>
      </c>
      <c r="C2393" s="63" t="s">
        <v>7</v>
      </c>
      <c r="D2393" s="63">
        <v>1100000000</v>
      </c>
      <c r="E2393" s="63">
        <v>1101000000</v>
      </c>
      <c r="F2393" s="63">
        <v>10000000</v>
      </c>
      <c r="G2393" s="63" t="s">
        <v>46</v>
      </c>
      <c r="H2393" s="63" t="s">
        <v>47</v>
      </c>
      <c r="I2393" s="63">
        <v>0</v>
      </c>
      <c r="J2393" s="63">
        <v>0</v>
      </c>
      <c r="L2393" s="63">
        <v>3454.2</v>
      </c>
      <c r="M2393" s="63">
        <v>1.5468000000000002E-5</v>
      </c>
      <c r="N2393" s="63">
        <v>3454.1</v>
      </c>
      <c r="O2393" s="64">
        <v>1.5468000000000002E-5</v>
      </c>
    </row>
    <row r="2394" spans="1:15" x14ac:dyDescent="0.25">
      <c r="A2394" s="114" t="s">
        <v>2728</v>
      </c>
      <c r="B2394" s="63" t="s">
        <v>65</v>
      </c>
      <c r="C2394" s="63" t="s">
        <v>44</v>
      </c>
      <c r="D2394" s="63">
        <v>1.0000000000000001E-5</v>
      </c>
      <c r="E2394" s="63">
        <v>1.0399999999999999E-4</v>
      </c>
      <c r="F2394" s="63">
        <v>1.0000000000000001E-9</v>
      </c>
      <c r="G2394" s="63" t="s">
        <v>13</v>
      </c>
      <c r="H2394" s="63" t="s">
        <v>11</v>
      </c>
      <c r="I2394" s="63">
        <v>1.0000000000000001E-5</v>
      </c>
      <c r="J2394" s="63">
        <v>2E-3</v>
      </c>
      <c r="K2394" s="63" t="s">
        <v>2035</v>
      </c>
      <c r="L2394" s="63">
        <v>0.47</v>
      </c>
      <c r="M2394" s="63">
        <v>1200</v>
      </c>
      <c r="N2394" s="63">
        <v>0.46304000000000001</v>
      </c>
      <c r="O2394" s="64">
        <v>1233.9000000000001</v>
      </c>
    </row>
    <row r="2395" spans="1:15" x14ac:dyDescent="0.25">
      <c r="A2395" s="114" t="s">
        <v>1999</v>
      </c>
      <c r="B2395" s="63" t="s">
        <v>65</v>
      </c>
      <c r="C2395" s="63" t="s">
        <v>44</v>
      </c>
      <c r="D2395" s="63">
        <v>1.0000000000000001E-5</v>
      </c>
      <c r="E2395" s="63">
        <v>1.0399999999999999E-4</v>
      </c>
      <c r="F2395" s="63">
        <v>1E-8</v>
      </c>
      <c r="G2395" s="63" t="s">
        <v>13</v>
      </c>
      <c r="H2395" s="63" t="s">
        <v>11</v>
      </c>
      <c r="I2395" s="63">
        <v>1.0000000000000001E-5</v>
      </c>
      <c r="J2395" s="63">
        <v>2E-3</v>
      </c>
      <c r="K2395" s="63" t="s">
        <v>2035</v>
      </c>
      <c r="L2395" s="63">
        <v>0.47</v>
      </c>
      <c r="M2395" s="63">
        <v>1234</v>
      </c>
      <c r="N2395" s="63">
        <v>0.46307999999999999</v>
      </c>
      <c r="O2395" s="64">
        <v>1233.9000000000001</v>
      </c>
    </row>
    <row r="2396" spans="1:15" x14ac:dyDescent="0.25">
      <c r="A2396" s="114" t="s">
        <v>2001</v>
      </c>
      <c r="B2396" s="63" t="s">
        <v>65</v>
      </c>
      <c r="C2396" s="63" t="s">
        <v>44</v>
      </c>
      <c r="D2396" s="63">
        <v>1E-4</v>
      </c>
      <c r="E2396" s="63">
        <v>1.0399999999999999E-3</v>
      </c>
      <c r="F2396" s="63">
        <v>1E-8</v>
      </c>
      <c r="G2396" s="63" t="s">
        <v>13</v>
      </c>
      <c r="H2396" s="63" t="s">
        <v>11</v>
      </c>
      <c r="I2396" s="63">
        <v>1.0000000000000001E-5</v>
      </c>
      <c r="J2396" s="63">
        <v>2E-3</v>
      </c>
      <c r="K2396" s="63" t="s">
        <v>2035</v>
      </c>
      <c r="L2396" s="63">
        <v>0.97</v>
      </c>
      <c r="M2396" s="63">
        <v>1200</v>
      </c>
      <c r="N2396" s="63">
        <v>0.96530000000000005</v>
      </c>
      <c r="O2396" s="64">
        <v>1192.0999999999999</v>
      </c>
    </row>
    <row r="2397" spans="1:15" x14ac:dyDescent="0.25">
      <c r="A2397" s="114" t="s">
        <v>2000</v>
      </c>
      <c r="B2397" s="63" t="s">
        <v>65</v>
      </c>
      <c r="C2397" s="63" t="s">
        <v>44</v>
      </c>
      <c r="D2397" s="63">
        <v>1.0000000000000001E-5</v>
      </c>
      <c r="E2397" s="63">
        <v>1.0399999999999999E-4</v>
      </c>
      <c r="F2397" s="63">
        <v>9.9999999999999995E-8</v>
      </c>
      <c r="G2397" s="63" t="s">
        <v>13</v>
      </c>
      <c r="H2397" s="63" t="s">
        <v>11</v>
      </c>
      <c r="I2397" s="63">
        <v>1.0000000000000001E-5</v>
      </c>
      <c r="J2397" s="63">
        <v>2E-3</v>
      </c>
      <c r="K2397" s="63" t="s">
        <v>2035</v>
      </c>
      <c r="L2397" s="63">
        <v>0.47</v>
      </c>
      <c r="M2397" s="63">
        <v>1227.5</v>
      </c>
      <c r="N2397" s="63">
        <v>0.46660000000000001</v>
      </c>
      <c r="O2397" s="64">
        <v>1227</v>
      </c>
    </row>
    <row r="2398" spans="1:15" x14ac:dyDescent="0.25">
      <c r="A2398" s="114" t="s">
        <v>2002</v>
      </c>
      <c r="B2398" s="63" t="s">
        <v>65</v>
      </c>
      <c r="C2398" s="63" t="s">
        <v>44</v>
      </c>
      <c r="D2398" s="63">
        <v>1E-4</v>
      </c>
      <c r="E2398" s="63">
        <v>1.0399999999999999E-3</v>
      </c>
      <c r="F2398" s="63">
        <v>9.9999999999999995E-8</v>
      </c>
      <c r="G2398" s="63" t="s">
        <v>13</v>
      </c>
      <c r="H2398" s="63" t="s">
        <v>11</v>
      </c>
      <c r="I2398" s="63">
        <v>1.0000000000000001E-5</v>
      </c>
      <c r="J2398" s="63">
        <v>2E-3</v>
      </c>
      <c r="K2398" s="63" t="s">
        <v>2035</v>
      </c>
      <c r="L2398" s="63">
        <v>0.97</v>
      </c>
      <c r="M2398" s="63">
        <v>1191.5</v>
      </c>
      <c r="N2398" s="63">
        <v>0.96691000000000005</v>
      </c>
      <c r="O2398" s="64">
        <v>1191.3</v>
      </c>
    </row>
    <row r="2399" spans="1:15" x14ac:dyDescent="0.25">
      <c r="A2399" s="114" t="s">
        <v>2005</v>
      </c>
      <c r="B2399" s="63" t="s">
        <v>65</v>
      </c>
      <c r="C2399" s="63" t="s">
        <v>44</v>
      </c>
      <c r="D2399" s="63">
        <v>1E-3</v>
      </c>
      <c r="E2399" s="63">
        <v>1.04E-2</v>
      </c>
      <c r="F2399" s="63">
        <v>9.9999999999999995E-8</v>
      </c>
      <c r="G2399" s="63" t="s">
        <v>13</v>
      </c>
      <c r="H2399" s="63" t="s">
        <v>11</v>
      </c>
      <c r="I2399" s="63">
        <v>1.0000000000000001E-5</v>
      </c>
      <c r="J2399" s="63">
        <v>2E-3</v>
      </c>
      <c r="K2399" s="63" t="s">
        <v>2035</v>
      </c>
      <c r="L2399" s="63">
        <v>9.6999999999999993</v>
      </c>
      <c r="M2399" s="63">
        <v>1200</v>
      </c>
      <c r="N2399" s="63">
        <v>9.6530000000000005</v>
      </c>
      <c r="O2399" s="64">
        <v>1192.0999999999999</v>
      </c>
    </row>
    <row r="2400" spans="1:15" x14ac:dyDescent="0.25">
      <c r="A2400" s="114" t="s">
        <v>2729</v>
      </c>
      <c r="B2400" s="63" t="s">
        <v>65</v>
      </c>
      <c r="C2400" s="63" t="s">
        <v>44</v>
      </c>
      <c r="D2400" s="63">
        <v>1.0000000000000001E-5</v>
      </c>
      <c r="E2400" s="63">
        <v>1.0399999999999999E-4</v>
      </c>
      <c r="F2400" s="63">
        <v>9.9999999999999995E-7</v>
      </c>
      <c r="G2400" s="63" t="s">
        <v>13</v>
      </c>
      <c r="H2400" s="63" t="s">
        <v>11</v>
      </c>
      <c r="I2400" s="63">
        <v>1.0000000000000001E-5</v>
      </c>
      <c r="J2400" s="63">
        <v>2E-3</v>
      </c>
      <c r="K2400" s="63" t="s">
        <v>2035</v>
      </c>
      <c r="L2400" s="63">
        <v>0.73980999999999997</v>
      </c>
      <c r="M2400" s="63">
        <v>857.29</v>
      </c>
      <c r="N2400" s="63">
        <v>0.73978999999999995</v>
      </c>
      <c r="O2400" s="64">
        <v>855.77</v>
      </c>
    </row>
    <row r="2401" spans="1:15" x14ac:dyDescent="0.25">
      <c r="A2401" s="114" t="s">
        <v>2003</v>
      </c>
      <c r="B2401" s="63" t="s">
        <v>65</v>
      </c>
      <c r="C2401" s="63" t="s">
        <v>44</v>
      </c>
      <c r="D2401" s="63">
        <v>1E-4</v>
      </c>
      <c r="E2401" s="63">
        <v>1.0399999999999999E-3</v>
      </c>
      <c r="F2401" s="63">
        <v>9.9999999999999995E-7</v>
      </c>
      <c r="G2401" s="63" t="s">
        <v>13</v>
      </c>
      <c r="H2401" s="63" t="s">
        <v>11</v>
      </c>
      <c r="I2401" s="63">
        <v>1.0000000000000001E-5</v>
      </c>
      <c r="J2401" s="63">
        <v>2E-3</v>
      </c>
      <c r="K2401" s="63" t="s">
        <v>2035</v>
      </c>
      <c r="L2401" s="63">
        <v>1.1172</v>
      </c>
      <c r="M2401" s="63">
        <v>1119.7</v>
      </c>
      <c r="N2401" s="63">
        <v>1.1168</v>
      </c>
      <c r="O2401" s="64">
        <v>1118.5999999999999</v>
      </c>
    </row>
    <row r="2402" spans="1:15" x14ac:dyDescent="0.25">
      <c r="A2402" s="114" t="s">
        <v>2006</v>
      </c>
      <c r="B2402" s="63" t="s">
        <v>65</v>
      </c>
      <c r="C2402" s="63" t="s">
        <v>44</v>
      </c>
      <c r="D2402" s="63">
        <v>1E-3</v>
      </c>
      <c r="E2402" s="63">
        <v>1.04E-2</v>
      </c>
      <c r="F2402" s="63">
        <v>9.9999999999999995E-7</v>
      </c>
      <c r="G2402" s="63" t="s">
        <v>13</v>
      </c>
      <c r="H2402" s="63" t="s">
        <v>11</v>
      </c>
      <c r="I2402" s="63">
        <v>1.0000000000000001E-5</v>
      </c>
      <c r="J2402" s="63">
        <v>2E-3</v>
      </c>
      <c r="K2402" s="63" t="s">
        <v>2035</v>
      </c>
      <c r="L2402" s="63">
        <v>9.6999999999999993</v>
      </c>
      <c r="M2402" s="63">
        <v>1191.5</v>
      </c>
      <c r="N2402" s="63">
        <v>9.6691000000000003</v>
      </c>
      <c r="O2402" s="64">
        <v>1191.3</v>
      </c>
    </row>
    <row r="2403" spans="1:15" x14ac:dyDescent="0.25">
      <c r="A2403" s="114" t="s">
        <v>2730</v>
      </c>
      <c r="B2403" s="63" t="s">
        <v>65</v>
      </c>
      <c r="C2403" s="63" t="s">
        <v>44</v>
      </c>
      <c r="D2403" s="63">
        <v>0.01</v>
      </c>
      <c r="E2403" s="63">
        <v>0.104</v>
      </c>
      <c r="F2403" s="63">
        <v>9.9999999999999995E-7</v>
      </c>
      <c r="G2403" s="63" t="s">
        <v>13</v>
      </c>
      <c r="H2403" s="63" t="s">
        <v>11</v>
      </c>
      <c r="I2403" s="63">
        <v>1.0000000000000001E-5</v>
      </c>
      <c r="J2403" s="63">
        <v>2E-3</v>
      </c>
      <c r="K2403" s="63" t="s">
        <v>2035</v>
      </c>
      <c r="L2403" s="63">
        <v>97</v>
      </c>
      <c r="M2403" s="63">
        <v>1200</v>
      </c>
      <c r="N2403" s="63">
        <v>96.53</v>
      </c>
      <c r="O2403" s="64">
        <v>1192.0999999999999</v>
      </c>
    </row>
    <row r="2404" spans="1:15" x14ac:dyDescent="0.25">
      <c r="A2404" s="114" t="s">
        <v>2731</v>
      </c>
      <c r="B2404" s="63" t="s">
        <v>65</v>
      </c>
      <c r="C2404" s="63" t="s">
        <v>44</v>
      </c>
      <c r="D2404" s="63">
        <v>1.0000000000000001E-5</v>
      </c>
      <c r="E2404" s="63">
        <v>1.0399999999999999E-4</v>
      </c>
      <c r="F2404" s="63">
        <v>1.0000000000000001E-5</v>
      </c>
      <c r="G2404" s="63" t="s">
        <v>13</v>
      </c>
      <c r="H2404" s="63" t="s">
        <v>11</v>
      </c>
      <c r="I2404" s="63">
        <v>1.0000000000000001E-5</v>
      </c>
      <c r="J2404" s="63">
        <v>2E-3</v>
      </c>
      <c r="K2404" s="63" t="s">
        <v>2035</v>
      </c>
      <c r="L2404" s="63">
        <v>5.8087999999999997</v>
      </c>
      <c r="M2404" s="63">
        <v>394.38</v>
      </c>
      <c r="N2404" s="63">
        <v>5.8087999999999997</v>
      </c>
      <c r="O2404" s="64">
        <v>393.5</v>
      </c>
    </row>
    <row r="2405" spans="1:15" x14ac:dyDescent="0.25">
      <c r="A2405" s="114" t="s">
        <v>2004</v>
      </c>
      <c r="B2405" s="63" t="s">
        <v>65</v>
      </c>
      <c r="C2405" s="63" t="s">
        <v>44</v>
      </c>
      <c r="D2405" s="63">
        <v>1E-4</v>
      </c>
      <c r="E2405" s="63">
        <v>1.0399999999999999E-3</v>
      </c>
      <c r="F2405" s="63">
        <v>1.0000000000000001E-5</v>
      </c>
      <c r="G2405" s="63" t="s">
        <v>13</v>
      </c>
      <c r="H2405" s="63" t="s">
        <v>11</v>
      </c>
      <c r="I2405" s="63">
        <v>1.0000000000000001E-5</v>
      </c>
      <c r="J2405" s="63">
        <v>2E-3</v>
      </c>
      <c r="K2405" s="63" t="s">
        <v>2035</v>
      </c>
      <c r="L2405" s="63">
        <v>5.8400999999999996</v>
      </c>
      <c r="M2405" s="63">
        <v>353.65</v>
      </c>
      <c r="N2405" s="63">
        <v>5.8398000000000003</v>
      </c>
      <c r="O2405" s="64">
        <v>351.6</v>
      </c>
    </row>
    <row r="2406" spans="1:15" x14ac:dyDescent="0.25">
      <c r="A2406" s="114" t="s">
        <v>2732</v>
      </c>
      <c r="B2406" s="63" t="s">
        <v>65</v>
      </c>
      <c r="C2406" s="63" t="s">
        <v>44</v>
      </c>
      <c r="D2406" s="63">
        <v>1E-3</v>
      </c>
      <c r="E2406" s="63">
        <v>1.04E-2</v>
      </c>
      <c r="F2406" s="63">
        <v>1.0000000000000001E-5</v>
      </c>
      <c r="G2406" s="63" t="s">
        <v>13</v>
      </c>
      <c r="H2406" s="63" t="s">
        <v>11</v>
      </c>
      <c r="I2406" s="63">
        <v>1.0000000000000001E-5</v>
      </c>
      <c r="J2406" s="63">
        <v>2E-3</v>
      </c>
      <c r="K2406" s="63" t="s">
        <v>2035</v>
      </c>
      <c r="L2406" s="63">
        <v>11.172000000000001</v>
      </c>
      <c r="M2406" s="63">
        <v>1119.7</v>
      </c>
      <c r="N2406" s="63">
        <v>11.167999999999999</v>
      </c>
      <c r="O2406" s="64">
        <v>1118.5999999999999</v>
      </c>
    </row>
    <row r="2407" spans="1:15" x14ac:dyDescent="0.25">
      <c r="A2407" s="114" t="s">
        <v>2009</v>
      </c>
      <c r="B2407" s="63" t="s">
        <v>65</v>
      </c>
      <c r="C2407" s="63" t="s">
        <v>44</v>
      </c>
      <c r="D2407" s="63">
        <v>0.01</v>
      </c>
      <c r="E2407" s="63">
        <v>0.104</v>
      </c>
      <c r="F2407" s="63">
        <v>1.0000000000000001E-5</v>
      </c>
      <c r="G2407" s="63" t="s">
        <v>13</v>
      </c>
      <c r="H2407" s="63" t="s">
        <v>11</v>
      </c>
      <c r="I2407" s="63">
        <v>1.0000000000000001E-5</v>
      </c>
      <c r="J2407" s="63">
        <v>2E-3</v>
      </c>
      <c r="K2407" s="63" t="s">
        <v>2035</v>
      </c>
      <c r="L2407" s="63">
        <v>97</v>
      </c>
      <c r="M2407" s="63">
        <v>1191.5</v>
      </c>
      <c r="N2407" s="63">
        <v>96.691000000000003</v>
      </c>
      <c r="O2407" s="64">
        <v>1191.3</v>
      </c>
    </row>
    <row r="2408" spans="1:15" x14ac:dyDescent="0.25">
      <c r="A2408" s="114" t="s">
        <v>2012</v>
      </c>
      <c r="B2408" s="63" t="s">
        <v>65</v>
      </c>
      <c r="C2408" s="63" t="s">
        <v>44</v>
      </c>
      <c r="D2408" s="63">
        <v>0.1</v>
      </c>
      <c r="E2408" s="63">
        <v>1.04</v>
      </c>
      <c r="F2408" s="63">
        <v>1.0000000000000001E-5</v>
      </c>
      <c r="G2408" s="63" t="s">
        <v>13</v>
      </c>
      <c r="H2408" s="63" t="s">
        <v>12</v>
      </c>
      <c r="I2408" s="63">
        <v>1.0000000000000001E-5</v>
      </c>
      <c r="J2408" s="63">
        <v>2E-3</v>
      </c>
      <c r="K2408" s="63" t="s">
        <v>2035</v>
      </c>
      <c r="L2408" s="63">
        <v>1</v>
      </c>
      <c r="M2408" s="63">
        <v>1.5</v>
      </c>
      <c r="N2408" s="63">
        <v>0.99589000000000005</v>
      </c>
      <c r="O2408" s="64">
        <v>1.4890000000000001</v>
      </c>
    </row>
    <row r="2409" spans="1:15" x14ac:dyDescent="0.25">
      <c r="A2409" s="114" t="s">
        <v>2733</v>
      </c>
      <c r="B2409" s="63" t="s">
        <v>65</v>
      </c>
      <c r="C2409" s="63" t="s">
        <v>44</v>
      </c>
      <c r="D2409" s="63">
        <v>1E-4</v>
      </c>
      <c r="E2409" s="63">
        <v>1.0399999999999999E-3</v>
      </c>
      <c r="F2409" s="63">
        <v>1E-4</v>
      </c>
      <c r="G2409" s="63" t="s">
        <v>13</v>
      </c>
      <c r="H2409" s="63" t="s">
        <v>11</v>
      </c>
      <c r="I2409" s="63">
        <v>1.0000000000000001E-5</v>
      </c>
      <c r="J2409" s="63">
        <v>2E-3</v>
      </c>
      <c r="K2409" s="63" t="s">
        <v>2035</v>
      </c>
      <c r="L2409" s="63">
        <v>57.911999999999999</v>
      </c>
      <c r="M2409" s="63">
        <v>316.08</v>
      </c>
      <c r="N2409" s="63">
        <v>57.911999999999999</v>
      </c>
      <c r="O2409" s="64">
        <v>315.2</v>
      </c>
    </row>
    <row r="2410" spans="1:15" x14ac:dyDescent="0.25">
      <c r="A2410" s="114" t="s">
        <v>2007</v>
      </c>
      <c r="B2410" s="63" t="s">
        <v>65</v>
      </c>
      <c r="C2410" s="63" t="s">
        <v>44</v>
      </c>
      <c r="D2410" s="63">
        <v>1E-3</v>
      </c>
      <c r="E2410" s="63">
        <v>1.04E-2</v>
      </c>
      <c r="F2410" s="63">
        <v>1E-4</v>
      </c>
      <c r="G2410" s="63" t="s">
        <v>13</v>
      </c>
      <c r="H2410" s="63" t="s">
        <v>11</v>
      </c>
      <c r="I2410" s="63">
        <v>1.0000000000000001E-5</v>
      </c>
      <c r="J2410" s="63">
        <v>2E-3</v>
      </c>
      <c r="K2410" s="63" t="s">
        <v>2035</v>
      </c>
      <c r="L2410" s="63">
        <v>58.401000000000003</v>
      </c>
      <c r="M2410" s="63">
        <v>353.65</v>
      </c>
      <c r="N2410" s="63">
        <v>58.398000000000003</v>
      </c>
      <c r="O2410" s="64">
        <v>351.6</v>
      </c>
    </row>
    <row r="2411" spans="1:15" x14ac:dyDescent="0.25">
      <c r="A2411" s="114" t="s">
        <v>2010</v>
      </c>
      <c r="B2411" s="63" t="s">
        <v>65</v>
      </c>
      <c r="C2411" s="63" t="s">
        <v>44</v>
      </c>
      <c r="D2411" s="63">
        <v>0.01</v>
      </c>
      <c r="E2411" s="63">
        <v>0.104</v>
      </c>
      <c r="F2411" s="63">
        <v>1E-4</v>
      </c>
      <c r="G2411" s="63" t="s">
        <v>13</v>
      </c>
      <c r="H2411" s="63" t="s">
        <v>11</v>
      </c>
      <c r="I2411" s="63">
        <v>1.0000000000000001E-5</v>
      </c>
      <c r="J2411" s="63">
        <v>2E-3</v>
      </c>
      <c r="K2411" s="63" t="s">
        <v>2035</v>
      </c>
      <c r="L2411" s="63">
        <v>111.72</v>
      </c>
      <c r="M2411" s="63">
        <v>1119.7</v>
      </c>
      <c r="N2411" s="63">
        <v>111.68</v>
      </c>
      <c r="O2411" s="64">
        <v>1118.5999999999999</v>
      </c>
    </row>
    <row r="2412" spans="1:15" x14ac:dyDescent="0.25">
      <c r="A2412" s="114" t="s">
        <v>2734</v>
      </c>
      <c r="B2412" s="63" t="s">
        <v>65</v>
      </c>
      <c r="C2412" s="63" t="s">
        <v>44</v>
      </c>
      <c r="D2412" s="63">
        <v>0.1</v>
      </c>
      <c r="E2412" s="63">
        <v>1.04</v>
      </c>
      <c r="F2412" s="63">
        <v>1E-4</v>
      </c>
      <c r="G2412" s="63" t="s">
        <v>13</v>
      </c>
      <c r="H2412" s="63" t="s">
        <v>12</v>
      </c>
      <c r="I2412" s="63">
        <v>1.0000000000000001E-5</v>
      </c>
      <c r="J2412" s="63">
        <v>2E-3</v>
      </c>
      <c r="K2412" s="63" t="s">
        <v>2035</v>
      </c>
      <c r="L2412" s="63">
        <v>1</v>
      </c>
      <c r="M2412" s="63">
        <v>1.4883999999999999</v>
      </c>
      <c r="N2412" s="63">
        <v>0.99738000000000004</v>
      </c>
      <c r="O2412" s="64">
        <v>1.4882</v>
      </c>
    </row>
    <row r="2413" spans="1:15" x14ac:dyDescent="0.25">
      <c r="A2413" s="114" t="s">
        <v>2016</v>
      </c>
      <c r="B2413" s="63" t="s">
        <v>65</v>
      </c>
      <c r="C2413" s="63" t="s">
        <v>44</v>
      </c>
      <c r="D2413" s="63">
        <v>1</v>
      </c>
      <c r="E2413" s="63">
        <v>10.4</v>
      </c>
      <c r="F2413" s="63">
        <v>1E-4</v>
      </c>
      <c r="G2413" s="63" t="s">
        <v>13</v>
      </c>
      <c r="H2413" s="63" t="s">
        <v>12</v>
      </c>
      <c r="I2413" s="63">
        <v>1.0000000000000001E-5</v>
      </c>
      <c r="J2413" s="63">
        <v>2E-3</v>
      </c>
      <c r="K2413" s="63" t="s">
        <v>2035</v>
      </c>
      <c r="L2413" s="63">
        <v>18</v>
      </c>
      <c r="M2413" s="63">
        <v>1.4</v>
      </c>
      <c r="N2413" s="63">
        <v>17.128</v>
      </c>
      <c r="O2413" s="64">
        <v>1.4000999999999999</v>
      </c>
    </row>
    <row r="2414" spans="1:15" x14ac:dyDescent="0.25">
      <c r="A2414" s="114" t="s">
        <v>2008</v>
      </c>
      <c r="B2414" s="63" t="s">
        <v>65</v>
      </c>
      <c r="C2414" s="63" t="s">
        <v>44</v>
      </c>
      <c r="D2414" s="63">
        <v>1E-3</v>
      </c>
      <c r="E2414" s="63">
        <v>1.04E-2</v>
      </c>
      <c r="F2414" s="63">
        <v>1E-3</v>
      </c>
      <c r="G2414" s="63" t="s">
        <v>13</v>
      </c>
      <c r="H2414" s="63" t="s">
        <v>11</v>
      </c>
      <c r="I2414" s="63">
        <v>1.0000000000000001E-5</v>
      </c>
      <c r="J2414" s="63">
        <v>2E-3</v>
      </c>
      <c r="K2414" s="63" t="s">
        <v>2035</v>
      </c>
      <c r="L2414" s="63">
        <v>579.12</v>
      </c>
      <c r="M2414" s="63">
        <v>316.08</v>
      </c>
      <c r="N2414" s="63">
        <v>579.12</v>
      </c>
      <c r="O2414" s="64">
        <v>315.2</v>
      </c>
    </row>
    <row r="2415" spans="1:15" x14ac:dyDescent="0.25">
      <c r="A2415" s="114" t="s">
        <v>2735</v>
      </c>
      <c r="B2415" s="63" t="s">
        <v>65</v>
      </c>
      <c r="C2415" s="63" t="s">
        <v>44</v>
      </c>
      <c r="D2415" s="63">
        <v>0.01</v>
      </c>
      <c r="E2415" s="63">
        <v>0.104</v>
      </c>
      <c r="F2415" s="63">
        <v>1E-3</v>
      </c>
      <c r="G2415" s="63" t="s">
        <v>13</v>
      </c>
      <c r="H2415" s="63" t="s">
        <v>11</v>
      </c>
      <c r="I2415" s="63">
        <v>1.0000000000000001E-5</v>
      </c>
      <c r="J2415" s="63">
        <v>2E-3</v>
      </c>
      <c r="K2415" s="63" t="s">
        <v>2035</v>
      </c>
      <c r="L2415" s="63">
        <v>583.96</v>
      </c>
      <c r="M2415" s="63">
        <v>353.65</v>
      </c>
      <c r="N2415" s="63">
        <v>583.98</v>
      </c>
      <c r="O2415" s="64">
        <v>351.6</v>
      </c>
    </row>
    <row r="2416" spans="1:15" x14ac:dyDescent="0.25">
      <c r="A2416" s="114" t="s">
        <v>2013</v>
      </c>
      <c r="B2416" s="63" t="s">
        <v>65</v>
      </c>
      <c r="C2416" s="63" t="s">
        <v>44</v>
      </c>
      <c r="D2416" s="63">
        <v>0.1</v>
      </c>
      <c r="E2416" s="63">
        <v>1.04</v>
      </c>
      <c r="F2416" s="63">
        <v>1E-3</v>
      </c>
      <c r="G2416" s="63" t="s">
        <v>13</v>
      </c>
      <c r="H2416" s="63" t="s">
        <v>12</v>
      </c>
      <c r="I2416" s="63">
        <v>1.0000000000000001E-5</v>
      </c>
      <c r="J2416" s="63">
        <v>2E-3</v>
      </c>
      <c r="K2416" s="63" t="s">
        <v>2035</v>
      </c>
      <c r="L2416" s="63">
        <v>1.1829000000000001</v>
      </c>
      <c r="M2416" s="63">
        <v>1.4133</v>
      </c>
      <c r="N2416" s="63">
        <v>1.1409</v>
      </c>
      <c r="O2416" s="64">
        <v>1.4124000000000001</v>
      </c>
    </row>
    <row r="2417" spans="1:15" x14ac:dyDescent="0.25">
      <c r="A2417" s="114" t="s">
        <v>2736</v>
      </c>
      <c r="B2417" s="63" t="s">
        <v>65</v>
      </c>
      <c r="C2417" s="63" t="s">
        <v>44</v>
      </c>
      <c r="D2417" s="63">
        <v>1</v>
      </c>
      <c r="E2417" s="63">
        <v>10.4</v>
      </c>
      <c r="F2417" s="63">
        <v>1E-3</v>
      </c>
      <c r="G2417" s="63" t="s">
        <v>13</v>
      </c>
      <c r="H2417" s="63" t="s">
        <v>12</v>
      </c>
      <c r="I2417" s="63">
        <v>1.0000000000000001E-5</v>
      </c>
      <c r="J2417" s="63">
        <v>2E-3</v>
      </c>
      <c r="K2417" s="63" t="s">
        <v>2035</v>
      </c>
      <c r="L2417" s="63">
        <v>18</v>
      </c>
      <c r="M2417" s="63">
        <v>1.3998999999999999</v>
      </c>
      <c r="N2417" s="63">
        <v>17.138000000000002</v>
      </c>
      <c r="O2417" s="64">
        <v>1.3996999999999999</v>
      </c>
    </row>
    <row r="2418" spans="1:15" x14ac:dyDescent="0.25">
      <c r="A2418" s="114" t="s">
        <v>2011</v>
      </c>
      <c r="B2418" s="63" t="s">
        <v>65</v>
      </c>
      <c r="C2418" s="63" t="s">
        <v>44</v>
      </c>
      <c r="D2418" s="63">
        <v>0.01</v>
      </c>
      <c r="E2418" s="63">
        <v>0.104</v>
      </c>
      <c r="F2418" s="63">
        <v>0.01</v>
      </c>
      <c r="G2418" s="63" t="s">
        <v>13</v>
      </c>
      <c r="H2418" s="63" t="s">
        <v>11</v>
      </c>
      <c r="I2418" s="63">
        <v>1.0000000000000001E-5</v>
      </c>
      <c r="J2418" s="63">
        <v>2E-3</v>
      </c>
      <c r="K2418" s="63" t="s">
        <v>2035</v>
      </c>
      <c r="L2418" s="63">
        <v>5791.2</v>
      </c>
      <c r="M2418" s="63">
        <v>316.08</v>
      </c>
      <c r="N2418" s="63">
        <v>5791.2</v>
      </c>
      <c r="O2418" s="64">
        <v>315.2</v>
      </c>
    </row>
    <row r="2419" spans="1:15" x14ac:dyDescent="0.25">
      <c r="A2419" s="114" t="s">
        <v>2014</v>
      </c>
      <c r="B2419" s="63" t="s">
        <v>65</v>
      </c>
      <c r="C2419" s="63" t="s">
        <v>44</v>
      </c>
      <c r="D2419" s="63">
        <v>0.1</v>
      </c>
      <c r="E2419" s="63">
        <v>1.04</v>
      </c>
      <c r="F2419" s="63">
        <v>0.01</v>
      </c>
      <c r="G2419" s="63" t="s">
        <v>13</v>
      </c>
      <c r="H2419" s="63" t="s">
        <v>12</v>
      </c>
      <c r="I2419" s="63">
        <v>1.0000000000000001E-5</v>
      </c>
      <c r="J2419" s="63">
        <v>2E-3</v>
      </c>
      <c r="K2419" s="63" t="s">
        <v>2035</v>
      </c>
      <c r="L2419" s="63">
        <v>5.9116</v>
      </c>
      <c r="M2419" s="63">
        <v>0.47821000000000002</v>
      </c>
      <c r="N2419" s="63">
        <v>5.8383000000000003</v>
      </c>
      <c r="O2419" s="64">
        <v>0.47621000000000002</v>
      </c>
    </row>
    <row r="2420" spans="1:15" x14ac:dyDescent="0.25">
      <c r="A2420" s="114" t="s">
        <v>2737</v>
      </c>
      <c r="B2420" s="63" t="s">
        <v>65</v>
      </c>
      <c r="C2420" s="63" t="s">
        <v>44</v>
      </c>
      <c r="D2420" s="63">
        <v>1</v>
      </c>
      <c r="E2420" s="63">
        <v>10.4</v>
      </c>
      <c r="F2420" s="63">
        <v>0.01</v>
      </c>
      <c r="G2420" s="63" t="s">
        <v>13</v>
      </c>
      <c r="H2420" s="63" t="s">
        <v>12</v>
      </c>
      <c r="I2420" s="63">
        <v>1.0000000000000001E-5</v>
      </c>
      <c r="J2420" s="63">
        <v>2E-3</v>
      </c>
      <c r="K2420" s="63" t="s">
        <v>2035</v>
      </c>
      <c r="L2420" s="63">
        <v>18.047000000000001</v>
      </c>
      <c r="M2420" s="63">
        <v>1.3634999999999999</v>
      </c>
      <c r="N2420" s="63">
        <v>18.045000000000002</v>
      </c>
      <c r="O2420" s="64">
        <v>1.3626</v>
      </c>
    </row>
    <row r="2421" spans="1:15" x14ac:dyDescent="0.25">
      <c r="A2421" s="114" t="s">
        <v>2015</v>
      </c>
      <c r="B2421" s="63" t="s">
        <v>65</v>
      </c>
      <c r="C2421" s="63" t="s">
        <v>44</v>
      </c>
      <c r="D2421" s="63">
        <v>0.1</v>
      </c>
      <c r="E2421" s="63">
        <v>1.04</v>
      </c>
      <c r="F2421" s="63">
        <v>0.1</v>
      </c>
      <c r="G2421" s="63" t="s">
        <v>13</v>
      </c>
      <c r="H2421" s="63" t="s">
        <v>12</v>
      </c>
      <c r="I2421" s="63">
        <v>1.0000000000000001E-5</v>
      </c>
      <c r="J2421" s="63">
        <v>2E-3</v>
      </c>
      <c r="K2421" s="63" t="s">
        <v>2035</v>
      </c>
      <c r="L2421" s="63">
        <v>57.947000000000003</v>
      </c>
      <c r="M2421" s="63">
        <v>0.32961000000000001</v>
      </c>
      <c r="N2421" s="63">
        <v>57.91</v>
      </c>
      <c r="O2421" s="64">
        <v>0.32873000000000002</v>
      </c>
    </row>
    <row r="2422" spans="1:15" x14ac:dyDescent="0.25">
      <c r="A2422" s="114" t="s">
        <v>2017</v>
      </c>
      <c r="B2422" s="63" t="s">
        <v>65</v>
      </c>
      <c r="C2422" s="63" t="s">
        <v>44</v>
      </c>
      <c r="D2422" s="63">
        <v>1</v>
      </c>
      <c r="E2422" s="63">
        <v>10.4</v>
      </c>
      <c r="F2422" s="63">
        <v>0.1</v>
      </c>
      <c r="G2422" s="63" t="s">
        <v>13</v>
      </c>
      <c r="H2422" s="63" t="s">
        <v>12</v>
      </c>
      <c r="I2422" s="63">
        <v>1.0000000000000001E-5</v>
      </c>
      <c r="J2422" s="63">
        <v>2E-3</v>
      </c>
      <c r="K2422" s="63" t="s">
        <v>2035</v>
      </c>
      <c r="L2422" s="63">
        <v>60.057000000000002</v>
      </c>
      <c r="M2422" s="63">
        <v>0.58243</v>
      </c>
      <c r="N2422" s="63">
        <v>60.055</v>
      </c>
      <c r="O2422" s="64">
        <v>0.58052000000000004</v>
      </c>
    </row>
    <row r="2423" spans="1:15" x14ac:dyDescent="0.25">
      <c r="A2423" s="114" t="s">
        <v>2738</v>
      </c>
      <c r="B2423" s="63" t="s">
        <v>65</v>
      </c>
      <c r="C2423" s="63" t="s">
        <v>44</v>
      </c>
      <c r="D2423" s="63">
        <v>1</v>
      </c>
      <c r="E2423" s="63">
        <v>10.4</v>
      </c>
      <c r="F2423" s="63">
        <v>1</v>
      </c>
      <c r="G2423" s="63" t="s">
        <v>13</v>
      </c>
      <c r="H2423" s="63" t="s">
        <v>12</v>
      </c>
      <c r="I2423" s="63">
        <v>1.0000000000000001E-5</v>
      </c>
      <c r="J2423" s="63">
        <v>2E-3</v>
      </c>
      <c r="K2423" s="63" t="s">
        <v>2035</v>
      </c>
      <c r="L2423" s="63">
        <v>579.27</v>
      </c>
      <c r="M2423" s="63">
        <v>0.34275</v>
      </c>
      <c r="N2423" s="63">
        <v>579.27</v>
      </c>
      <c r="O2423" s="64">
        <v>0.34186</v>
      </c>
    </row>
    <row r="2424" spans="1:15" x14ac:dyDescent="0.25">
      <c r="A2424" s="114" t="s">
        <v>1967</v>
      </c>
      <c r="B2424" s="63" t="s">
        <v>65</v>
      </c>
      <c r="C2424" s="63" t="s">
        <v>8</v>
      </c>
      <c r="D2424" s="63">
        <v>0</v>
      </c>
      <c r="E2424" s="63">
        <v>0.1</v>
      </c>
      <c r="F2424" s="63">
        <v>9.9999999999999995E-7</v>
      </c>
      <c r="G2424" s="63" t="s">
        <v>6</v>
      </c>
      <c r="H2424" s="63" t="s">
        <v>5</v>
      </c>
      <c r="I2424" s="63">
        <v>1.0000000000000001E-5</v>
      </c>
      <c r="J2424" s="63">
        <v>2E-3</v>
      </c>
      <c r="K2424" s="63" t="s">
        <v>2035</v>
      </c>
      <c r="L2424" s="63">
        <v>35</v>
      </c>
      <c r="M2424" s="63">
        <v>940</v>
      </c>
      <c r="N2424" s="63">
        <v>34.74</v>
      </c>
      <c r="O2424" s="64">
        <v>937.4</v>
      </c>
    </row>
    <row r="2425" spans="1:15" x14ac:dyDescent="0.25">
      <c r="A2425" s="114" t="s">
        <v>1971</v>
      </c>
      <c r="B2425" s="63" t="s">
        <v>65</v>
      </c>
      <c r="C2425" s="63" t="s">
        <v>8</v>
      </c>
      <c r="D2425" s="63">
        <v>0</v>
      </c>
      <c r="E2425" s="63">
        <v>0.1</v>
      </c>
      <c r="F2425" s="63">
        <v>9.9999999999999995E-7</v>
      </c>
      <c r="G2425" s="63" t="s">
        <v>6</v>
      </c>
      <c r="H2425" s="63" t="s">
        <v>5</v>
      </c>
      <c r="I2425" s="63">
        <v>2E-3</v>
      </c>
      <c r="J2425" s="63">
        <v>0.02</v>
      </c>
      <c r="K2425" s="63" t="s">
        <v>2035</v>
      </c>
      <c r="L2425" s="63">
        <v>36</v>
      </c>
      <c r="M2425" s="63">
        <v>930</v>
      </c>
      <c r="N2425" s="63">
        <v>35.470999999999997</v>
      </c>
      <c r="O2425" s="64">
        <v>926.49</v>
      </c>
    </row>
    <row r="2426" spans="1:15" x14ac:dyDescent="0.25">
      <c r="A2426" s="114" t="s">
        <v>1968</v>
      </c>
      <c r="B2426" s="63" t="s">
        <v>65</v>
      </c>
      <c r="C2426" s="63" t="s">
        <v>8</v>
      </c>
      <c r="D2426" s="63">
        <v>0</v>
      </c>
      <c r="E2426" s="63">
        <v>0.1</v>
      </c>
      <c r="F2426" s="63">
        <v>1.0000000000000001E-5</v>
      </c>
      <c r="G2426" s="63" t="s">
        <v>6</v>
      </c>
      <c r="H2426" s="63" t="s">
        <v>5</v>
      </c>
      <c r="I2426" s="63">
        <v>1.0000000000000001E-5</v>
      </c>
      <c r="J2426" s="63">
        <v>2E-3</v>
      </c>
      <c r="K2426" s="63" t="s">
        <v>2035</v>
      </c>
      <c r="L2426" s="63">
        <v>35.161999999999999</v>
      </c>
      <c r="M2426" s="63">
        <v>934.08</v>
      </c>
      <c r="N2426" s="63">
        <v>35.156999999999996</v>
      </c>
      <c r="O2426" s="64">
        <v>934.05</v>
      </c>
    </row>
    <row r="2427" spans="1:15" x14ac:dyDescent="0.25">
      <c r="A2427" s="114" t="s">
        <v>1972</v>
      </c>
      <c r="B2427" s="63" t="s">
        <v>65</v>
      </c>
      <c r="C2427" s="63" t="s">
        <v>8</v>
      </c>
      <c r="D2427" s="63">
        <v>0</v>
      </c>
      <c r="E2427" s="63">
        <v>0.1</v>
      </c>
      <c r="F2427" s="63">
        <v>1.0000000000000001E-5</v>
      </c>
      <c r="G2427" s="63" t="s">
        <v>6</v>
      </c>
      <c r="H2427" s="63" t="s">
        <v>5</v>
      </c>
      <c r="I2427" s="63">
        <v>2E-3</v>
      </c>
      <c r="J2427" s="63">
        <v>0.02</v>
      </c>
      <c r="K2427" s="63" t="s">
        <v>2035</v>
      </c>
      <c r="L2427" s="63">
        <v>36</v>
      </c>
      <c r="M2427" s="63">
        <v>923.18</v>
      </c>
      <c r="N2427" s="63">
        <v>35.865000000000002</v>
      </c>
      <c r="O2427" s="64">
        <v>923.15</v>
      </c>
    </row>
    <row r="2428" spans="1:15" x14ac:dyDescent="0.25">
      <c r="A2428" s="114" t="s">
        <v>1976</v>
      </c>
      <c r="B2428" s="63" t="s">
        <v>65</v>
      </c>
      <c r="C2428" s="63" t="s">
        <v>8</v>
      </c>
      <c r="D2428" s="63">
        <v>0.1</v>
      </c>
      <c r="E2428" s="63">
        <v>1</v>
      </c>
      <c r="F2428" s="63">
        <v>1.0000000000000001E-5</v>
      </c>
      <c r="G2428" s="63" t="s">
        <v>6</v>
      </c>
      <c r="H2428" s="63" t="s">
        <v>5</v>
      </c>
      <c r="I2428" s="63">
        <v>1.0000000000000001E-5</v>
      </c>
      <c r="J2428" s="63">
        <v>2E-3</v>
      </c>
      <c r="K2428" s="63" t="s">
        <v>2035</v>
      </c>
      <c r="L2428" s="63">
        <v>350</v>
      </c>
      <c r="M2428" s="63">
        <v>940</v>
      </c>
      <c r="N2428" s="63">
        <v>347.15</v>
      </c>
      <c r="O2428" s="64">
        <v>937.18</v>
      </c>
    </row>
    <row r="2429" spans="1:15" x14ac:dyDescent="0.25">
      <c r="A2429" s="114" t="s">
        <v>1980</v>
      </c>
      <c r="B2429" s="63" t="s">
        <v>65</v>
      </c>
      <c r="C2429" s="63" t="s">
        <v>8</v>
      </c>
      <c r="D2429" s="63">
        <v>0.1</v>
      </c>
      <c r="E2429" s="63">
        <v>1</v>
      </c>
      <c r="F2429" s="63">
        <v>1.0000000000000001E-5</v>
      </c>
      <c r="G2429" s="63" t="s">
        <v>6</v>
      </c>
      <c r="H2429" s="63" t="s">
        <v>5</v>
      </c>
      <c r="I2429" s="63">
        <v>2E-3</v>
      </c>
      <c r="J2429" s="63">
        <v>0.02</v>
      </c>
      <c r="K2429" s="63" t="s">
        <v>2035</v>
      </c>
      <c r="L2429" s="63">
        <v>850</v>
      </c>
      <c r="M2429" s="63">
        <v>1700</v>
      </c>
      <c r="N2429" s="63">
        <v>808.55</v>
      </c>
      <c r="O2429" s="64">
        <v>1738.9</v>
      </c>
    </row>
    <row r="2430" spans="1:15" x14ac:dyDescent="0.25">
      <c r="A2430" s="114" t="s">
        <v>2739</v>
      </c>
      <c r="B2430" s="63" t="s">
        <v>65</v>
      </c>
      <c r="C2430" s="63" t="s">
        <v>8</v>
      </c>
      <c r="D2430" s="63">
        <v>0</v>
      </c>
      <c r="E2430" s="63">
        <v>0.1</v>
      </c>
      <c r="F2430" s="63">
        <v>1E-4</v>
      </c>
      <c r="G2430" s="63" t="s">
        <v>6</v>
      </c>
      <c r="H2430" s="63" t="s">
        <v>5</v>
      </c>
      <c r="I2430" s="63">
        <v>1.0000000000000001E-5</v>
      </c>
      <c r="J2430" s="63">
        <v>2E-3</v>
      </c>
      <c r="K2430" s="63" t="s">
        <v>2035</v>
      </c>
      <c r="L2430" s="63">
        <v>67.116</v>
      </c>
      <c r="M2430" s="63">
        <v>737.26</v>
      </c>
      <c r="N2430" s="63">
        <v>67.105000000000004</v>
      </c>
      <c r="O2430" s="64">
        <v>737.07</v>
      </c>
    </row>
    <row r="2431" spans="1:15" x14ac:dyDescent="0.25">
      <c r="A2431" s="114" t="s">
        <v>1973</v>
      </c>
      <c r="B2431" s="63" t="s">
        <v>65</v>
      </c>
      <c r="C2431" s="63" t="s">
        <v>8</v>
      </c>
      <c r="D2431" s="63">
        <v>0</v>
      </c>
      <c r="E2431" s="63">
        <v>0.1</v>
      </c>
      <c r="F2431" s="63">
        <v>1E-4</v>
      </c>
      <c r="G2431" s="63" t="s">
        <v>6</v>
      </c>
      <c r="H2431" s="63" t="s">
        <v>5</v>
      </c>
      <c r="I2431" s="63">
        <v>2E-3</v>
      </c>
      <c r="J2431" s="63">
        <v>0.02</v>
      </c>
      <c r="K2431" s="63" t="s">
        <v>2035</v>
      </c>
      <c r="L2431" s="63">
        <v>67.126000000000005</v>
      </c>
      <c r="M2431" s="63">
        <v>727.32</v>
      </c>
      <c r="N2431" s="63">
        <v>67.116</v>
      </c>
      <c r="O2431" s="64">
        <v>727.12</v>
      </c>
    </row>
    <row r="2432" spans="1:15" x14ac:dyDescent="0.25">
      <c r="A2432" s="114" t="s">
        <v>1977</v>
      </c>
      <c r="B2432" s="63" t="s">
        <v>65</v>
      </c>
      <c r="C2432" s="63" t="s">
        <v>8</v>
      </c>
      <c r="D2432" s="63">
        <v>0.1</v>
      </c>
      <c r="E2432" s="63">
        <v>1</v>
      </c>
      <c r="F2432" s="63">
        <v>1E-4</v>
      </c>
      <c r="G2432" s="63" t="s">
        <v>6</v>
      </c>
      <c r="H2432" s="63" t="s">
        <v>5</v>
      </c>
      <c r="I2432" s="63">
        <v>1.0000000000000001E-5</v>
      </c>
      <c r="J2432" s="63">
        <v>2E-3</v>
      </c>
      <c r="K2432" s="63" t="s">
        <v>2035</v>
      </c>
      <c r="L2432" s="63">
        <v>351.19</v>
      </c>
      <c r="M2432" s="63">
        <v>934.51</v>
      </c>
      <c r="N2432" s="63">
        <v>351.16</v>
      </c>
      <c r="O2432" s="64">
        <v>934.46</v>
      </c>
    </row>
    <row r="2433" spans="1:15" x14ac:dyDescent="0.25">
      <c r="A2433" s="114" t="s">
        <v>1981</v>
      </c>
      <c r="B2433" s="63" t="s">
        <v>65</v>
      </c>
      <c r="C2433" s="63" t="s">
        <v>8</v>
      </c>
      <c r="D2433" s="63">
        <v>0.1</v>
      </c>
      <c r="E2433" s="63">
        <v>1</v>
      </c>
      <c r="F2433" s="63">
        <v>1E-4</v>
      </c>
      <c r="G2433" s="63" t="s">
        <v>6</v>
      </c>
      <c r="H2433" s="63" t="s">
        <v>5</v>
      </c>
      <c r="I2433" s="63">
        <v>2E-3</v>
      </c>
      <c r="J2433" s="63">
        <v>0.02</v>
      </c>
      <c r="K2433" s="63" t="s">
        <v>2035</v>
      </c>
      <c r="L2433" s="63">
        <v>850</v>
      </c>
      <c r="M2433" s="63">
        <v>1737.8</v>
      </c>
      <c r="N2433" s="63">
        <v>810.33</v>
      </c>
      <c r="O2433" s="64">
        <v>1737.8</v>
      </c>
    </row>
    <row r="2434" spans="1:15" x14ac:dyDescent="0.25">
      <c r="A2434" s="114" t="s">
        <v>1985</v>
      </c>
      <c r="B2434" s="63" t="s">
        <v>65</v>
      </c>
      <c r="C2434" s="63" t="s">
        <v>8</v>
      </c>
      <c r="D2434" s="63">
        <v>1</v>
      </c>
      <c r="E2434" s="63">
        <v>10</v>
      </c>
      <c r="F2434" s="63">
        <v>1E-4</v>
      </c>
      <c r="G2434" s="63" t="s">
        <v>6</v>
      </c>
      <c r="H2434" s="63" t="s">
        <v>4</v>
      </c>
      <c r="I2434" s="63">
        <v>1.0000000000000001E-5</v>
      </c>
      <c r="J2434" s="63">
        <v>2E-3</v>
      </c>
      <c r="K2434" s="63" t="s">
        <v>2035</v>
      </c>
      <c r="L2434" s="63">
        <v>3.5</v>
      </c>
      <c r="M2434" s="63">
        <v>0.94</v>
      </c>
      <c r="N2434" s="63">
        <v>3.4754999999999998</v>
      </c>
      <c r="O2434" s="64">
        <v>0.93718000000000001</v>
      </c>
    </row>
    <row r="2435" spans="1:15" x14ac:dyDescent="0.25">
      <c r="A2435" s="114" t="s">
        <v>1989</v>
      </c>
      <c r="B2435" s="63" t="s">
        <v>65</v>
      </c>
      <c r="C2435" s="63" t="s">
        <v>8</v>
      </c>
      <c r="D2435" s="63">
        <v>1</v>
      </c>
      <c r="E2435" s="63">
        <v>10</v>
      </c>
      <c r="F2435" s="63">
        <v>1E-4</v>
      </c>
      <c r="G2435" s="63" t="s">
        <v>6</v>
      </c>
      <c r="H2435" s="63" t="s">
        <v>4</v>
      </c>
      <c r="I2435" s="63">
        <v>2E-3</v>
      </c>
      <c r="J2435" s="63">
        <v>0.02</v>
      </c>
      <c r="K2435" s="63" t="s">
        <v>2035</v>
      </c>
      <c r="L2435" s="63">
        <v>8.1999999999999993</v>
      </c>
      <c r="M2435" s="63">
        <v>1.8</v>
      </c>
      <c r="N2435" s="63">
        <v>8.1347000000000005</v>
      </c>
      <c r="O2435" s="64">
        <v>1.7537</v>
      </c>
    </row>
    <row r="2436" spans="1:15" x14ac:dyDescent="0.25">
      <c r="A2436" s="114" t="s">
        <v>1969</v>
      </c>
      <c r="B2436" s="63" t="s">
        <v>65</v>
      </c>
      <c r="C2436" s="63" t="s">
        <v>8</v>
      </c>
      <c r="D2436" s="63">
        <v>0</v>
      </c>
      <c r="E2436" s="63">
        <v>0.1</v>
      </c>
      <c r="F2436" s="63">
        <v>1E-3</v>
      </c>
      <c r="G2436" s="63" t="s">
        <v>6</v>
      </c>
      <c r="H2436" s="63" t="s">
        <v>5</v>
      </c>
      <c r="I2436" s="63">
        <v>1.0000000000000001E-5</v>
      </c>
      <c r="J2436" s="63">
        <v>2E-3</v>
      </c>
      <c r="K2436" s="63" t="s">
        <v>2035</v>
      </c>
      <c r="L2436" s="63">
        <v>578.33000000000004</v>
      </c>
      <c r="M2436" s="63">
        <v>131.69</v>
      </c>
      <c r="N2436" s="63">
        <v>578.32000000000005</v>
      </c>
      <c r="O2436" s="64">
        <v>131.46</v>
      </c>
    </row>
    <row r="2437" spans="1:15" x14ac:dyDescent="0.25">
      <c r="A2437" s="114" t="s">
        <v>1974</v>
      </c>
      <c r="B2437" s="63" t="s">
        <v>65</v>
      </c>
      <c r="C2437" s="63" t="s">
        <v>8</v>
      </c>
      <c r="D2437" s="63">
        <v>0</v>
      </c>
      <c r="E2437" s="63">
        <v>0.1</v>
      </c>
      <c r="F2437" s="63">
        <v>1E-3</v>
      </c>
      <c r="G2437" s="63" t="s">
        <v>6</v>
      </c>
      <c r="H2437" s="63" t="s">
        <v>5</v>
      </c>
      <c r="I2437" s="63">
        <v>2E-3</v>
      </c>
      <c r="J2437" s="63">
        <v>0.02</v>
      </c>
      <c r="K2437" s="63" t="s">
        <v>2035</v>
      </c>
      <c r="L2437" s="63">
        <v>578.33000000000004</v>
      </c>
      <c r="M2437" s="63">
        <v>129.33000000000001</v>
      </c>
      <c r="N2437" s="63">
        <v>578.32000000000005</v>
      </c>
      <c r="O2437" s="64">
        <v>129.1</v>
      </c>
    </row>
    <row r="2438" spans="1:15" x14ac:dyDescent="0.25">
      <c r="A2438" s="114" t="s">
        <v>2740</v>
      </c>
      <c r="B2438" s="63" t="s">
        <v>65</v>
      </c>
      <c r="C2438" s="63" t="s">
        <v>8</v>
      </c>
      <c r="D2438" s="63">
        <v>0.1</v>
      </c>
      <c r="E2438" s="63">
        <v>1</v>
      </c>
      <c r="F2438" s="63">
        <v>1E-3</v>
      </c>
      <c r="G2438" s="63" t="s">
        <v>6</v>
      </c>
      <c r="H2438" s="63" t="s">
        <v>5</v>
      </c>
      <c r="I2438" s="63">
        <v>1.0000000000000001E-5</v>
      </c>
      <c r="J2438" s="63">
        <v>2E-3</v>
      </c>
      <c r="K2438" s="63" t="s">
        <v>2035</v>
      </c>
      <c r="L2438" s="63">
        <v>650.74</v>
      </c>
      <c r="M2438" s="63">
        <v>757.68</v>
      </c>
      <c r="N2438" s="63">
        <v>650.66</v>
      </c>
      <c r="O2438" s="64">
        <v>757.46</v>
      </c>
    </row>
    <row r="2439" spans="1:15" x14ac:dyDescent="0.25">
      <c r="A2439" s="114" t="s">
        <v>1982</v>
      </c>
      <c r="B2439" s="63" t="s">
        <v>65</v>
      </c>
      <c r="C2439" s="63" t="s">
        <v>8</v>
      </c>
      <c r="D2439" s="63">
        <v>0.1</v>
      </c>
      <c r="E2439" s="63">
        <v>1</v>
      </c>
      <c r="F2439" s="63">
        <v>1E-3</v>
      </c>
      <c r="G2439" s="63" t="s">
        <v>6</v>
      </c>
      <c r="H2439" s="63" t="s">
        <v>5</v>
      </c>
      <c r="I2439" s="63">
        <v>2E-3</v>
      </c>
      <c r="J2439" s="63">
        <v>0.02</v>
      </c>
      <c r="K2439" s="63" t="s">
        <v>2035</v>
      </c>
      <c r="L2439" s="63">
        <v>976.25</v>
      </c>
      <c r="M2439" s="63">
        <v>1636.3</v>
      </c>
      <c r="N2439" s="63">
        <v>975.89</v>
      </c>
      <c r="O2439" s="64">
        <v>1636.2</v>
      </c>
    </row>
    <row r="2440" spans="1:15" x14ac:dyDescent="0.25">
      <c r="A2440" s="114" t="s">
        <v>1986</v>
      </c>
      <c r="B2440" s="63" t="s">
        <v>65</v>
      </c>
      <c r="C2440" s="63" t="s">
        <v>8</v>
      </c>
      <c r="D2440" s="63">
        <v>1</v>
      </c>
      <c r="E2440" s="63">
        <v>10</v>
      </c>
      <c r="F2440" s="63">
        <v>1E-3</v>
      </c>
      <c r="G2440" s="63" t="s">
        <v>6</v>
      </c>
      <c r="H2440" s="63" t="s">
        <v>4</v>
      </c>
      <c r="I2440" s="63">
        <v>1.0000000000000001E-5</v>
      </c>
      <c r="J2440" s="63">
        <v>2E-3</v>
      </c>
      <c r="K2440" s="63" t="s">
        <v>2035</v>
      </c>
      <c r="L2440" s="63">
        <v>3.5127000000000002</v>
      </c>
      <c r="M2440" s="63">
        <v>0.93464999999999998</v>
      </c>
      <c r="N2440" s="63">
        <v>3.5116000000000001</v>
      </c>
      <c r="O2440" s="64">
        <v>0.93445999999999996</v>
      </c>
    </row>
    <row r="2441" spans="1:15" x14ac:dyDescent="0.25">
      <c r="A2441" s="114" t="s">
        <v>1990</v>
      </c>
      <c r="B2441" s="63" t="s">
        <v>65</v>
      </c>
      <c r="C2441" s="63" t="s">
        <v>8</v>
      </c>
      <c r="D2441" s="63">
        <v>1</v>
      </c>
      <c r="E2441" s="63">
        <v>10</v>
      </c>
      <c r="F2441" s="63">
        <v>1E-3</v>
      </c>
      <c r="G2441" s="63" t="s">
        <v>6</v>
      </c>
      <c r="H2441" s="63" t="s">
        <v>4</v>
      </c>
      <c r="I2441" s="63">
        <v>2E-3</v>
      </c>
      <c r="J2441" s="63">
        <v>0.02</v>
      </c>
      <c r="K2441" s="63" t="s">
        <v>2035</v>
      </c>
      <c r="L2441" s="63">
        <v>8.1999999999999993</v>
      </c>
      <c r="M2441" s="63">
        <v>1.7524999999999999</v>
      </c>
      <c r="N2441" s="63">
        <v>8.1524999999999999</v>
      </c>
      <c r="O2441" s="64">
        <v>1.7525999999999999</v>
      </c>
    </row>
    <row r="2442" spans="1:15" x14ac:dyDescent="0.25">
      <c r="A2442" s="114" t="s">
        <v>1993</v>
      </c>
      <c r="B2442" s="63" t="s">
        <v>65</v>
      </c>
      <c r="C2442" s="63" t="s">
        <v>8</v>
      </c>
      <c r="D2442" s="63">
        <v>10</v>
      </c>
      <c r="E2442" s="63">
        <v>100</v>
      </c>
      <c r="F2442" s="63">
        <v>1E-3</v>
      </c>
      <c r="G2442" s="63" t="s">
        <v>6</v>
      </c>
      <c r="H2442" s="63" t="s">
        <v>4</v>
      </c>
      <c r="I2442" s="63">
        <v>4.0000000000000003E-5</v>
      </c>
      <c r="J2442" s="63">
        <v>1E-3</v>
      </c>
      <c r="K2442" s="63" t="s">
        <v>2035</v>
      </c>
      <c r="L2442" s="63">
        <v>35</v>
      </c>
      <c r="M2442" s="63">
        <v>0.95</v>
      </c>
      <c r="N2442" s="63">
        <v>34.942999999999998</v>
      </c>
      <c r="O2442" s="64">
        <v>0.94799</v>
      </c>
    </row>
    <row r="2443" spans="1:15" x14ac:dyDescent="0.25">
      <c r="A2443" s="114" t="s">
        <v>1970</v>
      </c>
      <c r="B2443" s="63" t="s">
        <v>65</v>
      </c>
      <c r="C2443" s="63" t="s">
        <v>8</v>
      </c>
      <c r="D2443" s="63">
        <v>0</v>
      </c>
      <c r="E2443" s="63">
        <v>0.1</v>
      </c>
      <c r="F2443" s="63">
        <v>0.01</v>
      </c>
      <c r="G2443" s="63" t="s">
        <v>6</v>
      </c>
      <c r="H2443" s="63" t="s">
        <v>5</v>
      </c>
      <c r="I2443" s="63">
        <v>1.0000000000000001E-5</v>
      </c>
      <c r="J2443" s="63">
        <v>2E-3</v>
      </c>
      <c r="K2443" s="63" t="s">
        <v>2035</v>
      </c>
      <c r="L2443" s="63">
        <v>5773.7</v>
      </c>
      <c r="M2443" s="63">
        <v>13.414999999999999</v>
      </c>
      <c r="N2443" s="63">
        <v>5773.6</v>
      </c>
      <c r="O2443" s="64">
        <v>13.317</v>
      </c>
    </row>
    <row r="2444" spans="1:15" x14ac:dyDescent="0.25">
      <c r="A2444" s="114" t="s">
        <v>1975</v>
      </c>
      <c r="B2444" s="63" t="s">
        <v>65</v>
      </c>
      <c r="C2444" s="63" t="s">
        <v>8</v>
      </c>
      <c r="D2444" s="63">
        <v>0</v>
      </c>
      <c r="E2444" s="63">
        <v>0.1</v>
      </c>
      <c r="F2444" s="63">
        <v>0.01</v>
      </c>
      <c r="G2444" s="63" t="s">
        <v>6</v>
      </c>
      <c r="H2444" s="63" t="s">
        <v>5</v>
      </c>
      <c r="I2444" s="63">
        <v>2E-3</v>
      </c>
      <c r="J2444" s="63">
        <v>0.02</v>
      </c>
      <c r="K2444" s="63" t="s">
        <v>2035</v>
      </c>
      <c r="L2444" s="63">
        <v>5773.7</v>
      </c>
      <c r="M2444" s="63">
        <v>13.173</v>
      </c>
      <c r="N2444" s="63">
        <v>5773.6</v>
      </c>
      <c r="O2444" s="64">
        <v>13.074999999999999</v>
      </c>
    </row>
    <row r="2445" spans="1:15" x14ac:dyDescent="0.25">
      <c r="A2445" s="114" t="s">
        <v>1978</v>
      </c>
      <c r="B2445" s="63" t="s">
        <v>65</v>
      </c>
      <c r="C2445" s="63" t="s">
        <v>8</v>
      </c>
      <c r="D2445" s="63">
        <v>0.1</v>
      </c>
      <c r="E2445" s="63">
        <v>1</v>
      </c>
      <c r="F2445" s="63">
        <v>0.01</v>
      </c>
      <c r="G2445" s="63" t="s">
        <v>6</v>
      </c>
      <c r="H2445" s="63" t="s">
        <v>5</v>
      </c>
      <c r="I2445" s="63">
        <v>1.0000000000000001E-5</v>
      </c>
      <c r="J2445" s="63">
        <v>2E-3</v>
      </c>
      <c r="K2445" s="63" t="s">
        <v>2035</v>
      </c>
      <c r="L2445" s="63">
        <v>5776.6</v>
      </c>
      <c r="M2445" s="63">
        <v>138.38999999999999</v>
      </c>
      <c r="N2445" s="63">
        <v>5776.5</v>
      </c>
      <c r="O2445" s="64">
        <v>138.13</v>
      </c>
    </row>
    <row r="2446" spans="1:15" x14ac:dyDescent="0.25">
      <c r="A2446" s="114" t="s">
        <v>1983</v>
      </c>
      <c r="B2446" s="63" t="s">
        <v>65</v>
      </c>
      <c r="C2446" s="63" t="s">
        <v>8</v>
      </c>
      <c r="D2446" s="63">
        <v>0.1</v>
      </c>
      <c r="E2446" s="63">
        <v>1</v>
      </c>
      <c r="F2446" s="63">
        <v>0.01</v>
      </c>
      <c r="G2446" s="63" t="s">
        <v>6</v>
      </c>
      <c r="H2446" s="63" t="s">
        <v>5</v>
      </c>
      <c r="I2446" s="63">
        <v>2E-3</v>
      </c>
      <c r="J2446" s="63">
        <v>0.02</v>
      </c>
      <c r="K2446" s="63" t="s">
        <v>2035</v>
      </c>
      <c r="L2446" s="63">
        <v>5806.3</v>
      </c>
      <c r="M2446" s="63">
        <v>505.05</v>
      </c>
      <c r="N2446" s="63">
        <v>5806.1</v>
      </c>
      <c r="O2446" s="64">
        <v>504.49</v>
      </c>
    </row>
    <row r="2447" spans="1:15" x14ac:dyDescent="0.25">
      <c r="A2447" s="114" t="s">
        <v>1987</v>
      </c>
      <c r="B2447" s="63" t="s">
        <v>65</v>
      </c>
      <c r="C2447" s="63" t="s">
        <v>8</v>
      </c>
      <c r="D2447" s="63">
        <v>1</v>
      </c>
      <c r="E2447" s="63">
        <v>10</v>
      </c>
      <c r="F2447" s="63">
        <v>0.01</v>
      </c>
      <c r="G2447" s="63" t="s">
        <v>6</v>
      </c>
      <c r="H2447" s="63" t="s">
        <v>4</v>
      </c>
      <c r="I2447" s="63">
        <v>1.0000000000000001E-5</v>
      </c>
      <c r="J2447" s="63">
        <v>2E-3</v>
      </c>
      <c r="K2447" s="63" t="s">
        <v>2035</v>
      </c>
      <c r="L2447" s="63">
        <v>6.5091000000000001</v>
      </c>
      <c r="M2447" s="63">
        <v>0.75829999999999997</v>
      </c>
      <c r="N2447" s="63">
        <v>6.5065999999999997</v>
      </c>
      <c r="O2447" s="64">
        <v>0.75746000000000002</v>
      </c>
    </row>
    <row r="2448" spans="1:15" x14ac:dyDescent="0.25">
      <c r="A2448" s="114" t="s">
        <v>1991</v>
      </c>
      <c r="B2448" s="63" t="s">
        <v>65</v>
      </c>
      <c r="C2448" s="63" t="s">
        <v>8</v>
      </c>
      <c r="D2448" s="63">
        <v>1</v>
      </c>
      <c r="E2448" s="63">
        <v>10</v>
      </c>
      <c r="F2448" s="63">
        <v>0.01</v>
      </c>
      <c r="G2448" s="63" t="s">
        <v>6</v>
      </c>
      <c r="H2448" s="63" t="s">
        <v>4</v>
      </c>
      <c r="I2448" s="63">
        <v>2E-3</v>
      </c>
      <c r="J2448" s="63">
        <v>0.02</v>
      </c>
      <c r="K2448" s="63" t="s">
        <v>2035</v>
      </c>
      <c r="L2448" s="63">
        <v>9.8125999999999998</v>
      </c>
      <c r="M2448" s="63">
        <v>1.6513</v>
      </c>
      <c r="N2448" s="63">
        <v>9.7989999999999995</v>
      </c>
      <c r="O2448" s="64">
        <v>1.6514</v>
      </c>
    </row>
    <row r="2449" spans="1:15" x14ac:dyDescent="0.25">
      <c r="A2449" s="114" t="s">
        <v>1994</v>
      </c>
      <c r="B2449" s="63" t="s">
        <v>65</v>
      </c>
      <c r="C2449" s="63" t="s">
        <v>8</v>
      </c>
      <c r="D2449" s="63">
        <v>10</v>
      </c>
      <c r="E2449" s="63">
        <v>100</v>
      </c>
      <c r="F2449" s="63">
        <v>0.01</v>
      </c>
      <c r="G2449" s="63" t="s">
        <v>6</v>
      </c>
      <c r="H2449" s="63" t="s">
        <v>4</v>
      </c>
      <c r="I2449" s="63">
        <v>4.0000000000000003E-5</v>
      </c>
      <c r="J2449" s="63">
        <v>1E-3</v>
      </c>
      <c r="K2449" s="63" t="s">
        <v>2035</v>
      </c>
      <c r="L2449" s="63">
        <v>35.348999999999997</v>
      </c>
      <c r="M2449" s="63">
        <v>0.94557000000000002</v>
      </c>
      <c r="N2449" s="63">
        <v>35.281999999999996</v>
      </c>
      <c r="O2449" s="64">
        <v>0.94527000000000005</v>
      </c>
    </row>
    <row r="2450" spans="1:15" x14ac:dyDescent="0.25">
      <c r="A2450" s="114" t="s">
        <v>2741</v>
      </c>
      <c r="B2450" s="63" t="s">
        <v>65</v>
      </c>
      <c r="C2450" s="63" t="s">
        <v>8</v>
      </c>
      <c r="D2450" s="63">
        <v>100</v>
      </c>
      <c r="E2450" s="63">
        <v>1020</v>
      </c>
      <c r="F2450" s="63">
        <v>0.01</v>
      </c>
      <c r="G2450" s="63" t="s">
        <v>6</v>
      </c>
      <c r="H2450" s="63" t="s">
        <v>4</v>
      </c>
      <c r="I2450" s="63">
        <v>4.0000000000000003E-5</v>
      </c>
      <c r="J2450" s="63">
        <v>1E-3</v>
      </c>
      <c r="K2450" s="63" t="s">
        <v>2035</v>
      </c>
      <c r="L2450" s="63">
        <v>360</v>
      </c>
      <c r="M2450" s="63">
        <v>1.1000000000000001</v>
      </c>
      <c r="N2450" s="63">
        <v>337.15</v>
      </c>
      <c r="O2450" s="64">
        <v>1.1167</v>
      </c>
    </row>
    <row r="2451" spans="1:15" x14ac:dyDescent="0.25">
      <c r="A2451" s="114" t="s">
        <v>1979</v>
      </c>
      <c r="B2451" s="63" t="s">
        <v>65</v>
      </c>
      <c r="C2451" s="63" t="s">
        <v>8</v>
      </c>
      <c r="D2451" s="63">
        <v>0.1</v>
      </c>
      <c r="E2451" s="63">
        <v>1</v>
      </c>
      <c r="F2451" s="63">
        <v>0.1</v>
      </c>
      <c r="G2451" s="63" t="s">
        <v>6</v>
      </c>
      <c r="H2451" s="63" t="s">
        <v>5</v>
      </c>
      <c r="I2451" s="63">
        <v>1.0000000000000001E-5</v>
      </c>
      <c r="J2451" s="63">
        <v>2E-3</v>
      </c>
      <c r="K2451" s="63" t="s">
        <v>2035</v>
      </c>
      <c r="L2451" s="63">
        <v>57736</v>
      </c>
      <c r="M2451" s="63">
        <v>14.108000000000001</v>
      </c>
      <c r="N2451" s="63">
        <v>57736</v>
      </c>
      <c r="O2451" s="64">
        <v>14</v>
      </c>
    </row>
    <row r="2452" spans="1:15" x14ac:dyDescent="0.25">
      <c r="A2452" s="114" t="s">
        <v>1984</v>
      </c>
      <c r="B2452" s="63" t="s">
        <v>65</v>
      </c>
      <c r="C2452" s="63" t="s">
        <v>8</v>
      </c>
      <c r="D2452" s="63">
        <v>0.1</v>
      </c>
      <c r="E2452" s="63">
        <v>1</v>
      </c>
      <c r="F2452" s="63">
        <v>0.1</v>
      </c>
      <c r="G2452" s="63" t="s">
        <v>6</v>
      </c>
      <c r="H2452" s="63" t="s">
        <v>5</v>
      </c>
      <c r="I2452" s="63">
        <v>2E-3</v>
      </c>
      <c r="J2452" s="63">
        <v>0.02</v>
      </c>
      <c r="K2452" s="63" t="s">
        <v>2035</v>
      </c>
      <c r="L2452" s="63">
        <v>57739</v>
      </c>
      <c r="M2452" s="63">
        <v>53.381</v>
      </c>
      <c r="N2452" s="63">
        <v>57739</v>
      </c>
      <c r="O2452" s="64">
        <v>53.128</v>
      </c>
    </row>
    <row r="2453" spans="1:15" x14ac:dyDescent="0.25">
      <c r="A2453" s="114" t="s">
        <v>2742</v>
      </c>
      <c r="B2453" s="63" t="s">
        <v>65</v>
      </c>
      <c r="C2453" s="63" t="s">
        <v>8</v>
      </c>
      <c r="D2453" s="63">
        <v>1</v>
      </c>
      <c r="E2453" s="63">
        <v>10</v>
      </c>
      <c r="F2453" s="63">
        <v>0.1</v>
      </c>
      <c r="G2453" s="63" t="s">
        <v>6</v>
      </c>
      <c r="H2453" s="63" t="s">
        <v>4</v>
      </c>
      <c r="I2453" s="63">
        <v>1.0000000000000001E-5</v>
      </c>
      <c r="J2453" s="63">
        <v>2E-3</v>
      </c>
      <c r="K2453" s="63" t="s">
        <v>2035</v>
      </c>
      <c r="L2453" s="63">
        <v>57.765999999999998</v>
      </c>
      <c r="M2453" s="63">
        <v>0.1391</v>
      </c>
      <c r="N2453" s="63">
        <v>57.765000000000001</v>
      </c>
      <c r="O2453" s="64">
        <v>0.13813</v>
      </c>
    </row>
    <row r="2454" spans="1:15" x14ac:dyDescent="0.25">
      <c r="A2454" s="114" t="s">
        <v>2743</v>
      </c>
      <c r="B2454" s="63" t="s">
        <v>65</v>
      </c>
      <c r="C2454" s="63" t="s">
        <v>8</v>
      </c>
      <c r="D2454" s="63">
        <v>1</v>
      </c>
      <c r="E2454" s="63">
        <v>10</v>
      </c>
      <c r="F2454" s="63">
        <v>0.1</v>
      </c>
      <c r="G2454" s="63" t="s">
        <v>6</v>
      </c>
      <c r="H2454" s="63" t="s">
        <v>4</v>
      </c>
      <c r="I2454" s="63">
        <v>2E-3</v>
      </c>
      <c r="J2454" s="63">
        <v>0.02</v>
      </c>
      <c r="K2454" s="63" t="s">
        <v>2035</v>
      </c>
      <c r="L2454" s="63">
        <v>58.073</v>
      </c>
      <c r="M2454" s="63">
        <v>0.51336999999999999</v>
      </c>
      <c r="N2454" s="63">
        <v>58.064</v>
      </c>
      <c r="O2454" s="64">
        <v>0.51215999999999995</v>
      </c>
    </row>
    <row r="2455" spans="1:15" x14ac:dyDescent="0.25">
      <c r="A2455" s="114" t="s">
        <v>1995</v>
      </c>
      <c r="B2455" s="63" t="s">
        <v>65</v>
      </c>
      <c r="C2455" s="63" t="s">
        <v>8</v>
      </c>
      <c r="D2455" s="63">
        <v>10</v>
      </c>
      <c r="E2455" s="63">
        <v>100</v>
      </c>
      <c r="F2455" s="63">
        <v>0.1</v>
      </c>
      <c r="G2455" s="63" t="s">
        <v>6</v>
      </c>
      <c r="H2455" s="63" t="s">
        <v>4</v>
      </c>
      <c r="I2455" s="63">
        <v>4.0000000000000003E-5</v>
      </c>
      <c r="J2455" s="63">
        <v>1E-3</v>
      </c>
      <c r="K2455" s="63" t="s">
        <v>2035</v>
      </c>
      <c r="L2455" s="63">
        <v>65.075999999999993</v>
      </c>
      <c r="M2455" s="63">
        <v>0.76909000000000005</v>
      </c>
      <c r="N2455" s="63">
        <v>64.997</v>
      </c>
      <c r="O2455" s="64">
        <v>0.76749999999999996</v>
      </c>
    </row>
    <row r="2456" spans="1:15" x14ac:dyDescent="0.25">
      <c r="A2456" s="114" t="s">
        <v>1998</v>
      </c>
      <c r="B2456" s="63" t="s">
        <v>65</v>
      </c>
      <c r="C2456" s="63" t="s">
        <v>8</v>
      </c>
      <c r="D2456" s="63">
        <v>100</v>
      </c>
      <c r="E2456" s="63">
        <v>1020</v>
      </c>
      <c r="F2456" s="63">
        <v>0.1</v>
      </c>
      <c r="G2456" s="63" t="s">
        <v>6</v>
      </c>
      <c r="H2456" s="63" t="s">
        <v>4</v>
      </c>
      <c r="I2456" s="63">
        <v>4.0000000000000003E-5</v>
      </c>
      <c r="J2456" s="63">
        <v>1E-3</v>
      </c>
      <c r="K2456" s="63" t="s">
        <v>2035</v>
      </c>
      <c r="L2456" s="63">
        <v>360</v>
      </c>
      <c r="M2456" s="63">
        <v>1.1141000000000001</v>
      </c>
      <c r="N2456" s="63">
        <v>341.11</v>
      </c>
      <c r="O2456" s="64">
        <v>1.1138999999999999</v>
      </c>
    </row>
    <row r="2457" spans="1:15" x14ac:dyDescent="0.25">
      <c r="A2457" s="114" t="s">
        <v>1988</v>
      </c>
      <c r="B2457" s="63" t="s">
        <v>65</v>
      </c>
      <c r="C2457" s="63" t="s">
        <v>8</v>
      </c>
      <c r="D2457" s="63">
        <v>1</v>
      </c>
      <c r="E2457" s="63">
        <v>10</v>
      </c>
      <c r="F2457" s="63">
        <v>1</v>
      </c>
      <c r="G2457" s="63" t="s">
        <v>6</v>
      </c>
      <c r="H2457" s="63" t="s">
        <v>4</v>
      </c>
      <c r="I2457" s="63">
        <v>1.0000000000000001E-5</v>
      </c>
      <c r="J2457" s="63">
        <v>2E-3</v>
      </c>
      <c r="K2457" s="63" t="s">
        <v>2035</v>
      </c>
      <c r="L2457" s="63">
        <v>577.36</v>
      </c>
      <c r="M2457" s="63">
        <v>1.4397E-2</v>
      </c>
      <c r="N2457" s="63">
        <v>577.36</v>
      </c>
      <c r="O2457" s="64">
        <v>1.4E-2</v>
      </c>
    </row>
    <row r="2458" spans="1:15" x14ac:dyDescent="0.25">
      <c r="A2458" s="114" t="s">
        <v>1992</v>
      </c>
      <c r="B2458" s="63" t="s">
        <v>65</v>
      </c>
      <c r="C2458" s="63" t="s">
        <v>8</v>
      </c>
      <c r="D2458" s="63">
        <v>1</v>
      </c>
      <c r="E2458" s="63">
        <v>10</v>
      </c>
      <c r="F2458" s="63">
        <v>1</v>
      </c>
      <c r="G2458" s="63" t="s">
        <v>6</v>
      </c>
      <c r="H2458" s="63" t="s">
        <v>4</v>
      </c>
      <c r="I2458" s="63">
        <v>2E-3</v>
      </c>
      <c r="J2458" s="63">
        <v>0.02</v>
      </c>
      <c r="K2458" s="63" t="s">
        <v>2035</v>
      </c>
      <c r="L2458" s="63">
        <v>577.39</v>
      </c>
      <c r="M2458" s="63">
        <v>5.4542E-2</v>
      </c>
      <c r="N2458" s="63">
        <v>577.39</v>
      </c>
      <c r="O2458" s="64">
        <v>5.3976000000000003E-2</v>
      </c>
    </row>
    <row r="2459" spans="1:15" x14ac:dyDescent="0.25">
      <c r="A2459" s="114" t="s">
        <v>1996</v>
      </c>
      <c r="B2459" s="63" t="s">
        <v>65</v>
      </c>
      <c r="C2459" s="63" t="s">
        <v>8</v>
      </c>
      <c r="D2459" s="63">
        <v>10</v>
      </c>
      <c r="E2459" s="63">
        <v>100</v>
      </c>
      <c r="F2459" s="63">
        <v>1</v>
      </c>
      <c r="G2459" s="63" t="s">
        <v>6</v>
      </c>
      <c r="H2459" s="63" t="s">
        <v>4</v>
      </c>
      <c r="I2459" s="63">
        <v>4.0000000000000003E-5</v>
      </c>
      <c r="J2459" s="63">
        <v>1E-3</v>
      </c>
      <c r="K2459" s="63" t="s">
        <v>2035</v>
      </c>
      <c r="L2459" s="63">
        <v>577.66</v>
      </c>
      <c r="M2459" s="63">
        <v>0.14257</v>
      </c>
      <c r="N2459" s="63">
        <v>577.63</v>
      </c>
      <c r="O2459" s="64">
        <v>0.14057</v>
      </c>
    </row>
    <row r="2460" spans="1:15" x14ac:dyDescent="0.25">
      <c r="A2460" s="114" t="s">
        <v>2744</v>
      </c>
      <c r="B2460" s="63" t="s">
        <v>65</v>
      </c>
      <c r="C2460" s="63" t="s">
        <v>8</v>
      </c>
      <c r="D2460" s="63">
        <v>100</v>
      </c>
      <c r="E2460" s="63">
        <v>1020</v>
      </c>
      <c r="F2460" s="63">
        <v>1</v>
      </c>
      <c r="G2460" s="63" t="s">
        <v>6</v>
      </c>
      <c r="H2460" s="63" t="s">
        <v>4</v>
      </c>
      <c r="I2460" s="63">
        <v>4.0000000000000003E-5</v>
      </c>
      <c r="J2460" s="63">
        <v>1E-3</v>
      </c>
      <c r="K2460" s="63" t="s">
        <v>2035</v>
      </c>
      <c r="L2460" s="63">
        <v>639.27</v>
      </c>
      <c r="M2460" s="63">
        <v>0.92932000000000003</v>
      </c>
      <c r="N2460" s="63">
        <v>638.46</v>
      </c>
      <c r="O2460" s="64">
        <v>0.92803000000000002</v>
      </c>
    </row>
    <row r="2461" spans="1:15" x14ac:dyDescent="0.25">
      <c r="A2461" s="114" t="s">
        <v>1997</v>
      </c>
      <c r="B2461" s="63" t="s">
        <v>65</v>
      </c>
      <c r="C2461" s="63" t="s">
        <v>8</v>
      </c>
      <c r="D2461" s="63">
        <v>10</v>
      </c>
      <c r="E2461" s="63">
        <v>100</v>
      </c>
      <c r="F2461" s="63">
        <v>10</v>
      </c>
      <c r="G2461" s="63" t="s">
        <v>6</v>
      </c>
      <c r="H2461" s="63" t="s">
        <v>4</v>
      </c>
      <c r="I2461" s="63">
        <v>4.0000000000000003E-5</v>
      </c>
      <c r="J2461" s="63">
        <v>1E-3</v>
      </c>
      <c r="K2461" s="63" t="s">
        <v>2035</v>
      </c>
      <c r="L2461" s="63">
        <v>5773.6</v>
      </c>
      <c r="M2461" s="63">
        <v>1.5076000000000001E-2</v>
      </c>
      <c r="N2461" s="63">
        <v>5773.6</v>
      </c>
      <c r="O2461" s="64">
        <v>1.4250000000000001E-2</v>
      </c>
    </row>
    <row r="2462" spans="1:15" x14ac:dyDescent="0.25">
      <c r="A2462" s="114" t="s">
        <v>2745</v>
      </c>
      <c r="B2462" s="63" t="s">
        <v>65</v>
      </c>
      <c r="C2462" s="63" t="s">
        <v>8</v>
      </c>
      <c r="D2462" s="63">
        <v>100</v>
      </c>
      <c r="E2462" s="63">
        <v>1020</v>
      </c>
      <c r="F2462" s="63">
        <v>10</v>
      </c>
      <c r="G2462" s="63" t="s">
        <v>6</v>
      </c>
      <c r="H2462" s="63" t="s">
        <v>4</v>
      </c>
      <c r="I2462" s="63">
        <v>4.0000000000000003E-5</v>
      </c>
      <c r="J2462" s="63">
        <v>1E-3</v>
      </c>
      <c r="K2462" s="63" t="s">
        <v>2035</v>
      </c>
      <c r="L2462" s="63">
        <v>5773</v>
      </c>
      <c r="M2462" s="63">
        <v>0.18489</v>
      </c>
      <c r="N2462" s="63">
        <v>5772.7</v>
      </c>
      <c r="O2462" s="64">
        <v>0.18293999999999999</v>
      </c>
    </row>
    <row r="2463" spans="1:15" x14ac:dyDescent="0.25">
      <c r="A2463" s="114" t="s">
        <v>2746</v>
      </c>
      <c r="B2463" s="63" t="s">
        <v>65</v>
      </c>
      <c r="C2463" s="63" t="s">
        <v>8</v>
      </c>
      <c r="D2463" s="63">
        <v>100</v>
      </c>
      <c r="E2463" s="63">
        <v>1020</v>
      </c>
      <c r="F2463" s="63">
        <v>100</v>
      </c>
      <c r="G2463" s="63" t="s">
        <v>6</v>
      </c>
      <c r="H2463" s="63" t="s">
        <v>4</v>
      </c>
      <c r="I2463" s="63">
        <v>4.0000000000000003E-5</v>
      </c>
      <c r="J2463" s="63">
        <v>1E-3</v>
      </c>
      <c r="K2463" s="63" t="s">
        <v>2035</v>
      </c>
      <c r="L2463" s="63">
        <v>57736</v>
      </c>
      <c r="M2463" s="63">
        <v>1.9421000000000001E-2</v>
      </c>
      <c r="N2463" s="63">
        <v>57735</v>
      </c>
      <c r="O2463" s="64">
        <v>1.8613000000000001E-2</v>
      </c>
    </row>
    <row r="2464" spans="1:15" x14ac:dyDescent="0.25">
      <c r="A2464" s="114" t="s">
        <v>925</v>
      </c>
      <c r="B2464" s="63" t="s">
        <v>65</v>
      </c>
      <c r="C2464" s="63" t="s">
        <v>14</v>
      </c>
      <c r="D2464" s="63">
        <v>1.0000000000000001E-9</v>
      </c>
      <c r="E2464" s="63">
        <v>1E-8</v>
      </c>
      <c r="F2464" s="63">
        <v>9.9999999999999998E-13</v>
      </c>
      <c r="G2464" s="63" t="s">
        <v>106</v>
      </c>
      <c r="H2464" s="63" t="s">
        <v>15</v>
      </c>
      <c r="I2464" s="63">
        <v>0</v>
      </c>
      <c r="J2464" s="63">
        <v>0</v>
      </c>
      <c r="L2464" s="63">
        <v>3.5999999999999997E-2</v>
      </c>
      <c r="M2464" s="63">
        <v>6600000</v>
      </c>
      <c r="N2464" s="63">
        <v>3.5476000000000001E-2</v>
      </c>
      <c r="O2464" s="64">
        <v>6559300</v>
      </c>
    </row>
    <row r="2465" spans="1:15" x14ac:dyDescent="0.25">
      <c r="A2465" s="114" t="s">
        <v>2747</v>
      </c>
      <c r="B2465" s="63" t="s">
        <v>65</v>
      </c>
      <c r="C2465" s="63" t="s">
        <v>14</v>
      </c>
      <c r="D2465" s="63">
        <v>1.0000000000000001E-9</v>
      </c>
      <c r="E2465" s="63">
        <v>1E-8</v>
      </c>
      <c r="F2465" s="63">
        <v>9.9999999999999994E-12</v>
      </c>
      <c r="G2465" s="63" t="s">
        <v>106</v>
      </c>
      <c r="H2465" s="63" t="s">
        <v>15</v>
      </c>
      <c r="I2465" s="63">
        <v>0</v>
      </c>
      <c r="J2465" s="63">
        <v>0</v>
      </c>
      <c r="L2465" s="63">
        <v>3.5999999999999997E-2</v>
      </c>
      <c r="M2465" s="63">
        <v>6536700</v>
      </c>
      <c r="N2465" s="63">
        <v>3.5893000000000001E-2</v>
      </c>
      <c r="O2465" s="64">
        <v>6534200</v>
      </c>
    </row>
    <row r="2466" spans="1:15" x14ac:dyDescent="0.25">
      <c r="A2466" s="114" t="s">
        <v>927</v>
      </c>
      <c r="B2466" s="63" t="s">
        <v>65</v>
      </c>
      <c r="C2466" s="63" t="s">
        <v>14</v>
      </c>
      <c r="D2466" s="63">
        <v>1E-8</v>
      </c>
      <c r="E2466" s="63">
        <v>9.9999999999999995E-8</v>
      </c>
      <c r="F2466" s="63">
        <v>9.9999999999999994E-12</v>
      </c>
      <c r="G2466" s="63" t="s">
        <v>106</v>
      </c>
      <c r="H2466" s="63" t="s">
        <v>15</v>
      </c>
      <c r="I2466" s="63">
        <v>0</v>
      </c>
      <c r="J2466" s="63">
        <v>0</v>
      </c>
      <c r="L2466" s="63">
        <v>0.5</v>
      </c>
      <c r="M2466" s="63">
        <v>5800000</v>
      </c>
      <c r="N2466" s="63">
        <v>0.48988999999999999</v>
      </c>
      <c r="O2466" s="64">
        <v>5801600</v>
      </c>
    </row>
    <row r="2467" spans="1:15" x14ac:dyDescent="0.25">
      <c r="A2467" s="114" t="s">
        <v>2748</v>
      </c>
      <c r="B2467" s="63" t="s">
        <v>65</v>
      </c>
      <c r="C2467" s="63" t="s">
        <v>14</v>
      </c>
      <c r="D2467" s="63">
        <v>1.0000000000000001E-9</v>
      </c>
      <c r="E2467" s="63">
        <v>1E-8</v>
      </c>
      <c r="F2467" s="63">
        <v>1E-10</v>
      </c>
      <c r="G2467" s="63" t="s">
        <v>106</v>
      </c>
      <c r="H2467" s="63" t="s">
        <v>15</v>
      </c>
      <c r="I2467" s="63">
        <v>0</v>
      </c>
      <c r="J2467" s="63">
        <v>0</v>
      </c>
      <c r="L2467" s="63">
        <v>6.6424999999999998E-2</v>
      </c>
      <c r="M2467" s="63">
        <v>5023200</v>
      </c>
      <c r="N2467" s="63">
        <v>6.6402000000000003E-2</v>
      </c>
      <c r="O2467" s="64">
        <v>5012600</v>
      </c>
    </row>
    <row r="2468" spans="1:15" x14ac:dyDescent="0.25">
      <c r="A2468" s="114" t="s">
        <v>2749</v>
      </c>
      <c r="B2468" s="63" t="s">
        <v>65</v>
      </c>
      <c r="C2468" s="63" t="s">
        <v>14</v>
      </c>
      <c r="D2468" s="63">
        <v>1E-8</v>
      </c>
      <c r="E2468" s="63">
        <v>9.9999999999999995E-8</v>
      </c>
      <c r="F2468" s="63">
        <v>1E-10</v>
      </c>
      <c r="G2468" s="63" t="s">
        <v>106</v>
      </c>
      <c r="H2468" s="63" t="s">
        <v>15</v>
      </c>
      <c r="I2468" s="63">
        <v>0</v>
      </c>
      <c r="J2468" s="63">
        <v>0</v>
      </c>
      <c r="L2468" s="63">
        <v>0.5</v>
      </c>
      <c r="M2468" s="63">
        <v>5788200</v>
      </c>
      <c r="N2468" s="63">
        <v>0.49306</v>
      </c>
      <c r="O2468" s="64">
        <v>5785500</v>
      </c>
    </row>
    <row r="2469" spans="1:15" x14ac:dyDescent="0.25">
      <c r="A2469" s="114" t="s">
        <v>931</v>
      </c>
      <c r="B2469" s="63" t="s">
        <v>65</v>
      </c>
      <c r="C2469" s="63" t="s">
        <v>14</v>
      </c>
      <c r="D2469" s="63">
        <v>9.9999999999999995E-8</v>
      </c>
      <c r="E2469" s="63">
        <v>9.9999999999999995E-7</v>
      </c>
      <c r="F2469" s="63">
        <v>1E-10</v>
      </c>
      <c r="G2469" s="63" t="s">
        <v>106</v>
      </c>
      <c r="H2469" s="63" t="s">
        <v>15</v>
      </c>
      <c r="I2469" s="63">
        <v>0</v>
      </c>
      <c r="J2469" s="63">
        <v>0</v>
      </c>
      <c r="L2469" s="63">
        <v>6.2</v>
      </c>
      <c r="M2469" s="63">
        <v>5200000</v>
      </c>
      <c r="N2469" s="63">
        <v>6.1439000000000004</v>
      </c>
      <c r="O2469" s="64">
        <v>5209500</v>
      </c>
    </row>
    <row r="2470" spans="1:15" x14ac:dyDescent="0.25">
      <c r="A2470" s="114" t="s">
        <v>2750</v>
      </c>
      <c r="B2470" s="63" t="s">
        <v>65</v>
      </c>
      <c r="C2470" s="63" t="s">
        <v>14</v>
      </c>
      <c r="D2470" s="63">
        <v>1.0000000000000001E-9</v>
      </c>
      <c r="E2470" s="63">
        <v>1E-8</v>
      </c>
      <c r="F2470" s="63">
        <v>1.0000000000000001E-9</v>
      </c>
      <c r="G2470" s="63" t="s">
        <v>106</v>
      </c>
      <c r="H2470" s="63" t="s">
        <v>15</v>
      </c>
      <c r="I2470" s="63">
        <v>0</v>
      </c>
      <c r="J2470" s="63">
        <v>0</v>
      </c>
      <c r="L2470" s="63">
        <v>0.57862999999999998</v>
      </c>
      <c r="M2470" s="63">
        <v>1104800</v>
      </c>
      <c r="N2470" s="63">
        <v>0.57862999999999998</v>
      </c>
      <c r="O2470" s="64">
        <v>1095300</v>
      </c>
    </row>
    <row r="2471" spans="1:15" x14ac:dyDescent="0.25">
      <c r="A2471" s="114" t="s">
        <v>928</v>
      </c>
      <c r="B2471" s="63" t="s">
        <v>65</v>
      </c>
      <c r="C2471" s="63" t="s">
        <v>14</v>
      </c>
      <c r="D2471" s="63">
        <v>1E-8</v>
      </c>
      <c r="E2471" s="63">
        <v>9.9999999999999995E-8</v>
      </c>
      <c r="F2471" s="63">
        <v>1.0000000000000001E-9</v>
      </c>
      <c r="G2471" s="63" t="s">
        <v>106</v>
      </c>
      <c r="H2471" s="63" t="s">
        <v>15</v>
      </c>
      <c r="I2471" s="63">
        <v>0</v>
      </c>
      <c r="J2471" s="63">
        <v>0</v>
      </c>
      <c r="L2471" s="63">
        <v>0.74933000000000005</v>
      </c>
      <c r="M2471" s="63">
        <v>4690300</v>
      </c>
      <c r="N2471" s="63">
        <v>0.74914000000000003</v>
      </c>
      <c r="O2471" s="64">
        <v>4679800</v>
      </c>
    </row>
    <row r="2472" spans="1:15" x14ac:dyDescent="0.25">
      <c r="A2472" s="114" t="s">
        <v>932</v>
      </c>
      <c r="B2472" s="63" t="s">
        <v>65</v>
      </c>
      <c r="C2472" s="63" t="s">
        <v>14</v>
      </c>
      <c r="D2472" s="63">
        <v>9.9999999999999995E-8</v>
      </c>
      <c r="E2472" s="63">
        <v>9.9999999999999995E-7</v>
      </c>
      <c r="F2472" s="63">
        <v>1.0000000000000001E-9</v>
      </c>
      <c r="G2472" s="63" t="s">
        <v>106</v>
      </c>
      <c r="H2472" s="63" t="s">
        <v>15</v>
      </c>
      <c r="I2472" s="63">
        <v>0</v>
      </c>
      <c r="J2472" s="63">
        <v>0</v>
      </c>
      <c r="L2472" s="63">
        <v>6.2</v>
      </c>
      <c r="M2472" s="63">
        <v>5201100</v>
      </c>
      <c r="N2472" s="63">
        <v>6.1698000000000004</v>
      </c>
      <c r="O2472" s="64">
        <v>5198400</v>
      </c>
    </row>
    <row r="2473" spans="1:15" x14ac:dyDescent="0.25">
      <c r="A2473" s="114" t="s">
        <v>926</v>
      </c>
      <c r="B2473" s="63" t="s">
        <v>65</v>
      </c>
      <c r="C2473" s="63" t="s">
        <v>14</v>
      </c>
      <c r="D2473" s="63">
        <v>1.0000000000000001E-9</v>
      </c>
      <c r="E2473" s="63">
        <v>1E-8</v>
      </c>
      <c r="F2473" s="63">
        <v>1E-8</v>
      </c>
      <c r="G2473" s="63" t="s">
        <v>106</v>
      </c>
      <c r="H2473" s="63" t="s">
        <v>15</v>
      </c>
      <c r="I2473" s="63">
        <v>0</v>
      </c>
      <c r="J2473" s="63">
        <v>0</v>
      </c>
      <c r="L2473" s="63">
        <v>5.7903000000000002</v>
      </c>
      <c r="M2473" s="63">
        <v>3024400</v>
      </c>
      <c r="N2473" s="63">
        <v>5.7903000000000002</v>
      </c>
      <c r="O2473" s="64">
        <v>3020500</v>
      </c>
    </row>
    <row r="2474" spans="1:15" x14ac:dyDescent="0.25">
      <c r="A2474" s="114" t="s">
        <v>929</v>
      </c>
      <c r="B2474" s="63" t="s">
        <v>65</v>
      </c>
      <c r="C2474" s="63" t="s">
        <v>14</v>
      </c>
      <c r="D2474" s="63">
        <v>1E-8</v>
      </c>
      <c r="E2474" s="63">
        <v>9.9999999999999995E-8</v>
      </c>
      <c r="F2474" s="63">
        <v>1E-8</v>
      </c>
      <c r="G2474" s="63" t="s">
        <v>106</v>
      </c>
      <c r="H2474" s="63" t="s">
        <v>15</v>
      </c>
      <c r="I2474" s="63">
        <v>0</v>
      </c>
      <c r="J2474" s="63">
        <v>0</v>
      </c>
      <c r="L2474" s="63">
        <v>5.7969999999999997</v>
      </c>
      <c r="M2474" s="63">
        <v>1102800</v>
      </c>
      <c r="N2474" s="63">
        <v>5.7969999999999997</v>
      </c>
      <c r="O2474" s="64">
        <v>1093300</v>
      </c>
    </row>
    <row r="2475" spans="1:15" x14ac:dyDescent="0.25">
      <c r="A2475" s="114" t="s">
        <v>933</v>
      </c>
      <c r="B2475" s="63" t="s">
        <v>65</v>
      </c>
      <c r="C2475" s="63" t="s">
        <v>14</v>
      </c>
      <c r="D2475" s="63">
        <v>9.9999999999999995E-8</v>
      </c>
      <c r="E2475" s="63">
        <v>9.9999999999999995E-7</v>
      </c>
      <c r="F2475" s="63">
        <v>1E-8</v>
      </c>
      <c r="G2475" s="63" t="s">
        <v>106</v>
      </c>
      <c r="H2475" s="63" t="s">
        <v>15</v>
      </c>
      <c r="I2475" s="63">
        <v>0</v>
      </c>
      <c r="J2475" s="63">
        <v>0</v>
      </c>
      <c r="L2475" s="63">
        <v>8.3825000000000003</v>
      </c>
      <c r="M2475" s="63">
        <v>4378300</v>
      </c>
      <c r="N2475" s="63">
        <v>8.3808000000000007</v>
      </c>
      <c r="O2475" s="64">
        <v>4368200</v>
      </c>
    </row>
    <row r="2476" spans="1:15" x14ac:dyDescent="0.25">
      <c r="A2476" s="114" t="s">
        <v>930</v>
      </c>
      <c r="B2476" s="63" t="s">
        <v>65</v>
      </c>
      <c r="C2476" s="63" t="s">
        <v>14</v>
      </c>
      <c r="D2476" s="63">
        <v>1E-8</v>
      </c>
      <c r="E2476" s="63">
        <v>9.9999999999999995E-8</v>
      </c>
      <c r="F2476" s="63">
        <v>9.9999999999999995E-8</v>
      </c>
      <c r="G2476" s="63" t="s">
        <v>106</v>
      </c>
      <c r="H2476" s="63" t="s">
        <v>15</v>
      </c>
      <c r="I2476" s="63">
        <v>0</v>
      </c>
      <c r="J2476" s="63">
        <v>0</v>
      </c>
      <c r="L2476" s="63">
        <v>57.904000000000003</v>
      </c>
      <c r="M2476" s="63">
        <v>3024300</v>
      </c>
      <c r="N2476" s="63">
        <v>57.904000000000003</v>
      </c>
      <c r="O2476" s="64">
        <v>3020400</v>
      </c>
    </row>
    <row r="2477" spans="1:15" x14ac:dyDescent="0.25">
      <c r="A2477" s="114" t="s">
        <v>934</v>
      </c>
      <c r="B2477" s="63" t="s">
        <v>65</v>
      </c>
      <c r="C2477" s="63" t="s">
        <v>14</v>
      </c>
      <c r="D2477" s="63">
        <v>9.9999999999999995E-8</v>
      </c>
      <c r="E2477" s="63">
        <v>9.9999999999999995E-7</v>
      </c>
      <c r="F2477" s="63">
        <v>9.9999999999999995E-8</v>
      </c>
      <c r="G2477" s="63" t="s">
        <v>106</v>
      </c>
      <c r="H2477" s="63" t="s">
        <v>15</v>
      </c>
      <c r="I2477" s="63">
        <v>0</v>
      </c>
      <c r="J2477" s="63">
        <v>0</v>
      </c>
      <c r="L2477" s="63">
        <v>58.094000000000001</v>
      </c>
      <c r="M2477" s="63">
        <v>1100500</v>
      </c>
      <c r="N2477" s="63">
        <v>58.094000000000001</v>
      </c>
      <c r="O2477" s="64">
        <v>1091000</v>
      </c>
    </row>
    <row r="2478" spans="1:15" x14ac:dyDescent="0.25">
      <c r="A2478" s="114" t="s">
        <v>935</v>
      </c>
      <c r="B2478" s="63" t="s">
        <v>65</v>
      </c>
      <c r="C2478" s="63" t="s">
        <v>14</v>
      </c>
      <c r="D2478" s="63">
        <v>9.9999999999999995E-8</v>
      </c>
      <c r="E2478" s="63">
        <v>9.9999999999999995E-7</v>
      </c>
      <c r="F2478" s="63">
        <v>9.9999999999999995E-7</v>
      </c>
      <c r="G2478" s="63" t="s">
        <v>106</v>
      </c>
      <c r="H2478" s="63" t="s">
        <v>15</v>
      </c>
      <c r="I2478" s="63">
        <v>0</v>
      </c>
      <c r="J2478" s="63">
        <v>0</v>
      </c>
      <c r="L2478" s="63">
        <v>579.04999999999995</v>
      </c>
      <c r="M2478" s="63">
        <v>3024200</v>
      </c>
      <c r="N2478" s="63">
        <v>579.04999999999995</v>
      </c>
      <c r="O2478" s="64">
        <v>3020300</v>
      </c>
    </row>
    <row r="2479" spans="1:15" x14ac:dyDescent="0.25">
      <c r="A2479" s="114" t="s">
        <v>2751</v>
      </c>
      <c r="B2479" s="63" t="s">
        <v>65</v>
      </c>
      <c r="C2479" s="63" t="s">
        <v>43</v>
      </c>
      <c r="D2479" s="63">
        <v>0</v>
      </c>
      <c r="E2479" s="63">
        <v>1E-4</v>
      </c>
      <c r="F2479" s="63">
        <v>1.0000000000000001E-9</v>
      </c>
      <c r="G2479" s="63" t="s">
        <v>13</v>
      </c>
      <c r="H2479" s="63" t="s">
        <v>67</v>
      </c>
      <c r="I2479" s="63">
        <v>0</v>
      </c>
      <c r="J2479" s="63">
        <v>0</v>
      </c>
      <c r="L2479" s="63">
        <v>35</v>
      </c>
      <c r="M2479" s="63">
        <v>350000</v>
      </c>
      <c r="N2479" s="63">
        <v>34.933</v>
      </c>
      <c r="O2479" s="64">
        <v>349170</v>
      </c>
    </row>
    <row r="2480" spans="1:15" x14ac:dyDescent="0.25">
      <c r="A2480" s="114" t="s">
        <v>914</v>
      </c>
      <c r="B2480" s="63" t="s">
        <v>65</v>
      </c>
      <c r="C2480" s="63" t="s">
        <v>43</v>
      </c>
      <c r="D2480" s="63">
        <v>0</v>
      </c>
      <c r="E2480" s="63">
        <v>1E-4</v>
      </c>
      <c r="F2480" s="63">
        <v>1E-8</v>
      </c>
      <c r="G2480" s="63" t="s">
        <v>13</v>
      </c>
      <c r="H2480" s="63" t="s">
        <v>67</v>
      </c>
      <c r="I2480" s="63">
        <v>0</v>
      </c>
      <c r="J2480" s="63">
        <v>0</v>
      </c>
      <c r="L2480" s="63">
        <v>35.368000000000002</v>
      </c>
      <c r="M2480" s="63">
        <v>346810</v>
      </c>
      <c r="N2480" s="63">
        <v>35.366</v>
      </c>
      <c r="O2480" s="64">
        <v>346810</v>
      </c>
    </row>
    <row r="2481" spans="1:15" x14ac:dyDescent="0.25">
      <c r="A2481" s="114" t="s">
        <v>2752</v>
      </c>
      <c r="B2481" s="63" t="s">
        <v>65</v>
      </c>
      <c r="C2481" s="63" t="s">
        <v>43</v>
      </c>
      <c r="D2481" s="63">
        <v>1E-4</v>
      </c>
      <c r="E2481" s="63">
        <v>1E-3</v>
      </c>
      <c r="F2481" s="63">
        <v>1E-8</v>
      </c>
      <c r="G2481" s="63" t="s">
        <v>13</v>
      </c>
      <c r="H2481" s="63" t="s">
        <v>67</v>
      </c>
      <c r="I2481" s="63">
        <v>0</v>
      </c>
      <c r="J2481" s="63">
        <v>0</v>
      </c>
      <c r="L2481" s="63">
        <v>120</v>
      </c>
      <c r="M2481" s="63">
        <v>350000</v>
      </c>
      <c r="N2481" s="63">
        <v>115.86</v>
      </c>
      <c r="O2481" s="64">
        <v>347000</v>
      </c>
    </row>
    <row r="2482" spans="1:15" x14ac:dyDescent="0.25">
      <c r="A2482" s="114" t="s">
        <v>2753</v>
      </c>
      <c r="B2482" s="63" t="s">
        <v>65</v>
      </c>
      <c r="C2482" s="63" t="s">
        <v>43</v>
      </c>
      <c r="D2482" s="63">
        <v>0</v>
      </c>
      <c r="E2482" s="63">
        <v>1E-4</v>
      </c>
      <c r="F2482" s="63">
        <v>9.9999999999999995E-8</v>
      </c>
      <c r="G2482" s="63" t="s">
        <v>13</v>
      </c>
      <c r="H2482" s="63" t="s">
        <v>67</v>
      </c>
      <c r="I2482" s="63">
        <v>0</v>
      </c>
      <c r="J2482" s="63">
        <v>0</v>
      </c>
      <c r="L2482" s="63">
        <v>67.34</v>
      </c>
      <c r="M2482" s="63">
        <v>230750</v>
      </c>
      <c r="N2482" s="63">
        <v>67.335999999999999</v>
      </c>
      <c r="O2482" s="64">
        <v>230720</v>
      </c>
    </row>
    <row r="2483" spans="1:15" x14ac:dyDescent="0.25">
      <c r="A2483" s="114" t="s">
        <v>2754</v>
      </c>
      <c r="B2483" s="63" t="s">
        <v>65</v>
      </c>
      <c r="C2483" s="63" t="s">
        <v>43</v>
      </c>
      <c r="D2483" s="63">
        <v>1E-4</v>
      </c>
      <c r="E2483" s="63">
        <v>1E-3</v>
      </c>
      <c r="F2483" s="63">
        <v>9.9999999999999995E-8</v>
      </c>
      <c r="G2483" s="63" t="s">
        <v>13</v>
      </c>
      <c r="H2483" s="63" t="s">
        <v>67</v>
      </c>
      <c r="I2483" s="63">
        <v>0</v>
      </c>
      <c r="J2483" s="63">
        <v>0</v>
      </c>
      <c r="L2483" s="63">
        <v>127.29</v>
      </c>
      <c r="M2483" s="63">
        <v>339170</v>
      </c>
      <c r="N2483" s="63">
        <v>127.24</v>
      </c>
      <c r="O2483" s="64">
        <v>339180</v>
      </c>
    </row>
    <row r="2484" spans="1:15" x14ac:dyDescent="0.25">
      <c r="A2484" s="114" t="s">
        <v>2755</v>
      </c>
      <c r="B2484" s="63" t="s">
        <v>65</v>
      </c>
      <c r="C2484" s="63" t="s">
        <v>43</v>
      </c>
      <c r="D2484" s="63">
        <v>1E-3</v>
      </c>
      <c r="E2484" s="63">
        <v>0.01</v>
      </c>
      <c r="F2484" s="63">
        <v>9.9999999999999995E-8</v>
      </c>
      <c r="G2484" s="63" t="s">
        <v>13</v>
      </c>
      <c r="H2484" s="63" t="s">
        <v>11</v>
      </c>
      <c r="I2484" s="63">
        <v>0</v>
      </c>
      <c r="J2484" s="63">
        <v>0</v>
      </c>
      <c r="L2484" s="63">
        <v>1.2</v>
      </c>
      <c r="M2484" s="63">
        <v>350</v>
      </c>
      <c r="N2484" s="63">
        <v>1.1597</v>
      </c>
      <c r="O2484" s="64">
        <v>346.89</v>
      </c>
    </row>
    <row r="2485" spans="1:15" x14ac:dyDescent="0.25">
      <c r="A2485" s="114" t="s">
        <v>2756</v>
      </c>
      <c r="B2485" s="63" t="s">
        <v>65</v>
      </c>
      <c r="C2485" s="63" t="s">
        <v>43</v>
      </c>
      <c r="D2485" s="63">
        <v>0</v>
      </c>
      <c r="E2485" s="63">
        <v>1E-4</v>
      </c>
      <c r="F2485" s="63">
        <v>9.9999999999999995E-7</v>
      </c>
      <c r="G2485" s="63" t="s">
        <v>13</v>
      </c>
      <c r="H2485" s="63" t="s">
        <v>67</v>
      </c>
      <c r="I2485" s="63">
        <v>0</v>
      </c>
      <c r="J2485" s="63">
        <v>0</v>
      </c>
      <c r="L2485" s="63">
        <v>578.4</v>
      </c>
      <c r="M2485" s="63">
        <v>31405</v>
      </c>
      <c r="N2485" s="63">
        <v>578.39</v>
      </c>
      <c r="O2485" s="64">
        <v>31376</v>
      </c>
    </row>
    <row r="2486" spans="1:15" x14ac:dyDescent="0.25">
      <c r="A2486" s="114" t="s">
        <v>915</v>
      </c>
      <c r="B2486" s="63" t="s">
        <v>65</v>
      </c>
      <c r="C2486" s="63" t="s">
        <v>43</v>
      </c>
      <c r="D2486" s="63">
        <v>1E-4</v>
      </c>
      <c r="E2486" s="63">
        <v>1E-3</v>
      </c>
      <c r="F2486" s="63">
        <v>9.9999999999999995E-7</v>
      </c>
      <c r="G2486" s="63" t="s">
        <v>13</v>
      </c>
      <c r="H2486" s="63" t="s">
        <v>67</v>
      </c>
      <c r="I2486" s="63">
        <v>0</v>
      </c>
      <c r="J2486" s="63">
        <v>0</v>
      </c>
      <c r="L2486" s="63">
        <v>580.76</v>
      </c>
      <c r="M2486" s="63">
        <v>159300</v>
      </c>
      <c r="N2486" s="63">
        <v>580.72</v>
      </c>
      <c r="O2486" s="64">
        <v>159250</v>
      </c>
    </row>
    <row r="2487" spans="1:15" x14ac:dyDescent="0.25">
      <c r="A2487" s="114" t="s">
        <v>916</v>
      </c>
      <c r="B2487" s="63" t="s">
        <v>65</v>
      </c>
      <c r="C2487" s="63" t="s">
        <v>43</v>
      </c>
      <c r="D2487" s="63">
        <v>1E-3</v>
      </c>
      <c r="E2487" s="63">
        <v>0.01</v>
      </c>
      <c r="F2487" s="63">
        <v>9.9999999999999995E-7</v>
      </c>
      <c r="G2487" s="63" t="s">
        <v>13</v>
      </c>
      <c r="H2487" s="63" t="s">
        <v>11</v>
      </c>
      <c r="I2487" s="63">
        <v>0</v>
      </c>
      <c r="J2487" s="63">
        <v>0</v>
      </c>
      <c r="L2487" s="63">
        <v>1.2739</v>
      </c>
      <c r="M2487" s="63">
        <v>339.07</v>
      </c>
      <c r="N2487" s="63">
        <v>1.2734000000000001</v>
      </c>
      <c r="O2487" s="64">
        <v>339.08</v>
      </c>
    </row>
    <row r="2488" spans="1:15" x14ac:dyDescent="0.25">
      <c r="A2488" s="114" t="s">
        <v>918</v>
      </c>
      <c r="B2488" s="63" t="s">
        <v>65</v>
      </c>
      <c r="C2488" s="63" t="s">
        <v>43</v>
      </c>
      <c r="D2488" s="63">
        <v>0.01</v>
      </c>
      <c r="E2488" s="63">
        <v>0.1</v>
      </c>
      <c r="F2488" s="63">
        <v>9.9999999999999995E-7</v>
      </c>
      <c r="G2488" s="63" t="s">
        <v>13</v>
      </c>
      <c r="H2488" s="63" t="s">
        <v>11</v>
      </c>
      <c r="I2488" s="63">
        <v>0</v>
      </c>
      <c r="J2488" s="63">
        <v>0</v>
      </c>
      <c r="L2488" s="63">
        <v>12</v>
      </c>
      <c r="M2488" s="63">
        <v>350</v>
      </c>
      <c r="N2488" s="63">
        <v>11.589</v>
      </c>
      <c r="O2488" s="64">
        <v>348.45</v>
      </c>
    </row>
    <row r="2489" spans="1:15" x14ac:dyDescent="0.25">
      <c r="A2489" s="114" t="s">
        <v>2757</v>
      </c>
      <c r="B2489" s="63" t="s">
        <v>65</v>
      </c>
      <c r="C2489" s="63" t="s">
        <v>43</v>
      </c>
      <c r="D2489" s="63">
        <v>0</v>
      </c>
      <c r="E2489" s="63">
        <v>1E-4</v>
      </c>
      <c r="F2489" s="63">
        <v>1.0000000000000001E-5</v>
      </c>
      <c r="G2489" s="63" t="s">
        <v>13</v>
      </c>
      <c r="H2489" s="63" t="s">
        <v>67</v>
      </c>
      <c r="I2489" s="63">
        <v>0</v>
      </c>
      <c r="J2489" s="63">
        <v>0</v>
      </c>
      <c r="L2489" s="63">
        <v>5773.7</v>
      </c>
      <c r="M2489" s="63">
        <v>3163.2</v>
      </c>
      <c r="N2489" s="63">
        <v>5773.7</v>
      </c>
      <c r="O2489" s="64">
        <v>3151.6</v>
      </c>
    </row>
    <row r="2490" spans="1:15" x14ac:dyDescent="0.25">
      <c r="A2490" s="114" t="s">
        <v>2758</v>
      </c>
      <c r="B2490" s="63" t="s">
        <v>65</v>
      </c>
      <c r="C2490" s="63" t="s">
        <v>43</v>
      </c>
      <c r="D2490" s="63">
        <v>1E-4</v>
      </c>
      <c r="E2490" s="63">
        <v>1E-3</v>
      </c>
      <c r="F2490" s="63">
        <v>1.0000000000000001E-5</v>
      </c>
      <c r="G2490" s="63" t="s">
        <v>13</v>
      </c>
      <c r="H2490" s="63" t="s">
        <v>67</v>
      </c>
      <c r="I2490" s="63">
        <v>0</v>
      </c>
      <c r="J2490" s="63">
        <v>0</v>
      </c>
      <c r="L2490" s="63">
        <v>5773.7</v>
      </c>
      <c r="M2490" s="63">
        <v>18430</v>
      </c>
      <c r="N2490" s="63">
        <v>5773.7</v>
      </c>
      <c r="O2490" s="64">
        <v>18401</v>
      </c>
    </row>
    <row r="2491" spans="1:15" x14ac:dyDescent="0.25">
      <c r="A2491" s="114" t="s">
        <v>917</v>
      </c>
      <c r="B2491" s="63" t="s">
        <v>65</v>
      </c>
      <c r="C2491" s="63" t="s">
        <v>43</v>
      </c>
      <c r="D2491" s="63">
        <v>1E-3</v>
      </c>
      <c r="E2491" s="63">
        <v>0.01</v>
      </c>
      <c r="F2491" s="63">
        <v>1.0000000000000001E-5</v>
      </c>
      <c r="G2491" s="63" t="s">
        <v>13</v>
      </c>
      <c r="H2491" s="63" t="s">
        <v>11</v>
      </c>
      <c r="I2491" s="63">
        <v>0</v>
      </c>
      <c r="J2491" s="63">
        <v>0</v>
      </c>
      <c r="L2491" s="63">
        <v>5.8079000000000001</v>
      </c>
      <c r="M2491" s="63">
        <v>159.28</v>
      </c>
      <c r="N2491" s="63">
        <v>5.8074000000000003</v>
      </c>
      <c r="O2491" s="64">
        <v>159.22999999999999</v>
      </c>
    </row>
    <row r="2492" spans="1:15" x14ac:dyDescent="0.25">
      <c r="A2492" s="114" t="s">
        <v>2759</v>
      </c>
      <c r="B2492" s="63" t="s">
        <v>65</v>
      </c>
      <c r="C2492" s="63" t="s">
        <v>43</v>
      </c>
      <c r="D2492" s="63">
        <v>0.01</v>
      </c>
      <c r="E2492" s="63">
        <v>0.1</v>
      </c>
      <c r="F2492" s="63">
        <v>1.0000000000000001E-5</v>
      </c>
      <c r="G2492" s="63" t="s">
        <v>13</v>
      </c>
      <c r="H2492" s="63" t="s">
        <v>11</v>
      </c>
      <c r="I2492" s="63">
        <v>0</v>
      </c>
      <c r="J2492" s="63">
        <v>0</v>
      </c>
      <c r="L2492" s="63">
        <v>12.73</v>
      </c>
      <c r="M2492" s="63">
        <v>340.62</v>
      </c>
      <c r="N2492" s="63">
        <v>12.725</v>
      </c>
      <c r="O2492" s="64">
        <v>340.63</v>
      </c>
    </row>
    <row r="2493" spans="1:15" x14ac:dyDescent="0.25">
      <c r="A2493" s="114" t="s">
        <v>920</v>
      </c>
      <c r="B2493" s="63" t="s">
        <v>65</v>
      </c>
      <c r="C2493" s="63" t="s">
        <v>43</v>
      </c>
      <c r="D2493" s="63">
        <v>0.1</v>
      </c>
      <c r="E2493" s="63">
        <v>1</v>
      </c>
      <c r="F2493" s="63">
        <v>1.0000000000000001E-5</v>
      </c>
      <c r="G2493" s="63" t="s">
        <v>13</v>
      </c>
      <c r="H2493" s="63" t="s">
        <v>11</v>
      </c>
      <c r="I2493" s="63">
        <v>0</v>
      </c>
      <c r="J2493" s="63">
        <v>0</v>
      </c>
      <c r="L2493" s="63">
        <v>180</v>
      </c>
      <c r="M2493" s="63">
        <v>370</v>
      </c>
      <c r="N2493" s="63">
        <v>172.98</v>
      </c>
      <c r="O2493" s="64">
        <v>365.23</v>
      </c>
    </row>
    <row r="2494" spans="1:15" x14ac:dyDescent="0.25">
      <c r="A2494" s="114" t="s">
        <v>2760</v>
      </c>
      <c r="B2494" s="63" t="s">
        <v>65</v>
      </c>
      <c r="C2494" s="63" t="s">
        <v>43</v>
      </c>
      <c r="D2494" s="63">
        <v>1E-4</v>
      </c>
      <c r="E2494" s="63">
        <v>1E-3</v>
      </c>
      <c r="F2494" s="63">
        <v>1E-4</v>
      </c>
      <c r="G2494" s="63" t="s">
        <v>13</v>
      </c>
      <c r="H2494" s="63" t="s">
        <v>67</v>
      </c>
      <c r="I2494" s="63">
        <v>0</v>
      </c>
      <c r="J2494" s="63">
        <v>0</v>
      </c>
      <c r="L2494" s="63">
        <v>57736</v>
      </c>
      <c r="M2494" s="63">
        <v>1854.7</v>
      </c>
      <c r="N2494" s="63">
        <v>57736</v>
      </c>
      <c r="O2494" s="64">
        <v>1843.4</v>
      </c>
    </row>
    <row r="2495" spans="1:15" x14ac:dyDescent="0.25">
      <c r="A2495" s="114" t="s">
        <v>2761</v>
      </c>
      <c r="B2495" s="63" t="s">
        <v>65</v>
      </c>
      <c r="C2495" s="63" t="s">
        <v>43</v>
      </c>
      <c r="D2495" s="63">
        <v>1E-3</v>
      </c>
      <c r="E2495" s="63">
        <v>0.01</v>
      </c>
      <c r="F2495" s="63">
        <v>1E-4</v>
      </c>
      <c r="G2495" s="63" t="s">
        <v>13</v>
      </c>
      <c r="H2495" s="63" t="s">
        <v>11</v>
      </c>
      <c r="I2495" s="63">
        <v>0</v>
      </c>
      <c r="J2495" s="63">
        <v>0</v>
      </c>
      <c r="L2495" s="63">
        <v>57.737000000000002</v>
      </c>
      <c r="M2495" s="63">
        <v>18.431000000000001</v>
      </c>
      <c r="N2495" s="63">
        <v>57.737000000000002</v>
      </c>
      <c r="O2495" s="64">
        <v>18.399000000000001</v>
      </c>
    </row>
    <row r="2496" spans="1:15" x14ac:dyDescent="0.25">
      <c r="A2496" s="114" t="s">
        <v>2762</v>
      </c>
      <c r="B2496" s="63" t="s">
        <v>65</v>
      </c>
      <c r="C2496" s="63" t="s">
        <v>43</v>
      </c>
      <c r="D2496" s="63">
        <v>0.01</v>
      </c>
      <c r="E2496" s="63">
        <v>0.1</v>
      </c>
      <c r="F2496" s="63">
        <v>1E-4</v>
      </c>
      <c r="G2496" s="63" t="s">
        <v>13</v>
      </c>
      <c r="H2496" s="63" t="s">
        <v>11</v>
      </c>
      <c r="I2496" s="63">
        <v>0</v>
      </c>
      <c r="J2496" s="63">
        <v>0</v>
      </c>
      <c r="L2496" s="63">
        <v>58.070999999999998</v>
      </c>
      <c r="M2496" s="63">
        <v>160.28</v>
      </c>
      <c r="N2496" s="63">
        <v>58.066000000000003</v>
      </c>
      <c r="O2496" s="64">
        <v>160.22999999999999</v>
      </c>
    </row>
    <row r="2497" spans="1:15" x14ac:dyDescent="0.25">
      <c r="A2497" s="114" t="s">
        <v>921</v>
      </c>
      <c r="B2497" s="63" t="s">
        <v>65</v>
      </c>
      <c r="C2497" s="63" t="s">
        <v>43</v>
      </c>
      <c r="D2497" s="63">
        <v>0.1</v>
      </c>
      <c r="E2497" s="63">
        <v>1</v>
      </c>
      <c r="F2497" s="63">
        <v>1E-4</v>
      </c>
      <c r="G2497" s="63" t="s">
        <v>13</v>
      </c>
      <c r="H2497" s="63" t="s">
        <v>11</v>
      </c>
      <c r="I2497" s="63">
        <v>0</v>
      </c>
      <c r="J2497" s="63">
        <v>0</v>
      </c>
      <c r="L2497" s="63">
        <v>181.28</v>
      </c>
      <c r="M2497" s="63">
        <v>360.03</v>
      </c>
      <c r="N2497" s="63">
        <v>181.24</v>
      </c>
      <c r="O2497" s="64">
        <v>360.03</v>
      </c>
    </row>
    <row r="2498" spans="1:15" x14ac:dyDescent="0.25">
      <c r="A2498" s="114" t="s">
        <v>2763</v>
      </c>
      <c r="B2498" s="63" t="s">
        <v>65</v>
      </c>
      <c r="C2498" s="63" t="s">
        <v>43</v>
      </c>
      <c r="D2498" s="63">
        <v>1</v>
      </c>
      <c r="E2498" s="63">
        <v>10.199999999999999</v>
      </c>
      <c r="F2498" s="63">
        <v>1E-4</v>
      </c>
      <c r="G2498" s="63" t="s">
        <v>13</v>
      </c>
      <c r="H2498" s="63" t="s">
        <v>11</v>
      </c>
      <c r="I2498" s="63">
        <v>0</v>
      </c>
      <c r="J2498" s="63">
        <v>0</v>
      </c>
      <c r="L2498" s="63">
        <v>2.4</v>
      </c>
      <c r="M2498" s="63">
        <v>0.59</v>
      </c>
      <c r="N2498" s="63">
        <v>2.3094999999999999</v>
      </c>
      <c r="O2498" s="64">
        <v>0.57974999999999999</v>
      </c>
    </row>
    <row r="2499" spans="1:15" x14ac:dyDescent="0.25">
      <c r="A2499" s="114" t="s">
        <v>2764</v>
      </c>
      <c r="B2499" s="63" t="s">
        <v>65</v>
      </c>
      <c r="C2499" s="63" t="s">
        <v>43</v>
      </c>
      <c r="D2499" s="63">
        <v>1E-3</v>
      </c>
      <c r="E2499" s="63">
        <v>0.01</v>
      </c>
      <c r="F2499" s="63">
        <v>1E-3</v>
      </c>
      <c r="G2499" s="63" t="s">
        <v>13</v>
      </c>
      <c r="H2499" s="63" t="s">
        <v>11</v>
      </c>
      <c r="I2499" s="63">
        <v>0</v>
      </c>
      <c r="J2499" s="63">
        <v>0</v>
      </c>
      <c r="L2499" s="63">
        <v>577.36</v>
      </c>
      <c r="M2499" s="63">
        <v>1.8560000000000001</v>
      </c>
      <c r="N2499" s="63">
        <v>577.36</v>
      </c>
      <c r="O2499" s="64">
        <v>1.8431</v>
      </c>
    </row>
    <row r="2500" spans="1:15" x14ac:dyDescent="0.25">
      <c r="A2500" s="114" t="s">
        <v>2765</v>
      </c>
      <c r="B2500" s="63" t="s">
        <v>65</v>
      </c>
      <c r="C2500" s="63" t="s">
        <v>43</v>
      </c>
      <c r="D2500" s="63">
        <v>0.01</v>
      </c>
      <c r="E2500" s="63">
        <v>0.1</v>
      </c>
      <c r="F2500" s="63">
        <v>1E-3</v>
      </c>
      <c r="G2500" s="63" t="s">
        <v>13</v>
      </c>
      <c r="H2500" s="63" t="s">
        <v>11</v>
      </c>
      <c r="I2500" s="63">
        <v>0</v>
      </c>
      <c r="J2500" s="63">
        <v>0</v>
      </c>
      <c r="L2500" s="63">
        <v>577.37</v>
      </c>
      <c r="M2500" s="63">
        <v>18.559999999999999</v>
      </c>
      <c r="N2500" s="63">
        <v>577.37</v>
      </c>
      <c r="O2500" s="64">
        <v>18.527999999999999</v>
      </c>
    </row>
    <row r="2501" spans="1:15" x14ac:dyDescent="0.25">
      <c r="A2501" s="114" t="s">
        <v>2766</v>
      </c>
      <c r="B2501" s="63" t="s">
        <v>65</v>
      </c>
      <c r="C2501" s="63" t="s">
        <v>43</v>
      </c>
      <c r="D2501" s="63">
        <v>0.1</v>
      </c>
      <c r="E2501" s="63">
        <v>1</v>
      </c>
      <c r="F2501" s="63">
        <v>1E-3</v>
      </c>
      <c r="G2501" s="63" t="s">
        <v>13</v>
      </c>
      <c r="H2501" s="63" t="s">
        <v>11</v>
      </c>
      <c r="I2501" s="63">
        <v>0</v>
      </c>
      <c r="J2501" s="63">
        <v>0</v>
      </c>
      <c r="L2501" s="63">
        <v>594.75</v>
      </c>
      <c r="M2501" s="63">
        <v>194.63</v>
      </c>
      <c r="N2501" s="63">
        <v>594.71</v>
      </c>
      <c r="O2501" s="64">
        <v>194.58</v>
      </c>
    </row>
    <row r="2502" spans="1:15" x14ac:dyDescent="0.25">
      <c r="A2502" s="114" t="s">
        <v>922</v>
      </c>
      <c r="B2502" s="63" t="s">
        <v>65</v>
      </c>
      <c r="C2502" s="63" t="s">
        <v>43</v>
      </c>
      <c r="D2502" s="63">
        <v>1</v>
      </c>
      <c r="E2502" s="63">
        <v>10.199999999999999</v>
      </c>
      <c r="F2502" s="63">
        <v>1E-3</v>
      </c>
      <c r="G2502" s="63" t="s">
        <v>13</v>
      </c>
      <c r="H2502" s="63" t="s">
        <v>11</v>
      </c>
      <c r="I2502" s="63">
        <v>0</v>
      </c>
      <c r="J2502" s="63">
        <v>0</v>
      </c>
      <c r="L2502" s="63">
        <v>2.4</v>
      </c>
      <c r="M2502" s="63">
        <v>0.63080999999999998</v>
      </c>
      <c r="N2502" s="63">
        <v>2.3700999999999999</v>
      </c>
      <c r="O2502" s="64">
        <v>0.57577999999999996</v>
      </c>
    </row>
    <row r="2503" spans="1:15" x14ac:dyDescent="0.25">
      <c r="A2503" s="114" t="s">
        <v>919</v>
      </c>
      <c r="B2503" s="63" t="s">
        <v>65</v>
      </c>
      <c r="C2503" s="63" t="s">
        <v>43</v>
      </c>
      <c r="D2503" s="63">
        <v>0.01</v>
      </c>
      <c r="E2503" s="63">
        <v>0.1</v>
      </c>
      <c r="F2503" s="63">
        <v>0.01</v>
      </c>
      <c r="G2503" s="63" t="s">
        <v>13</v>
      </c>
      <c r="H2503" s="63" t="s">
        <v>11</v>
      </c>
      <c r="I2503" s="63">
        <v>0</v>
      </c>
      <c r="J2503" s="63">
        <v>0</v>
      </c>
      <c r="L2503" s="63">
        <v>5773.6</v>
      </c>
      <c r="M2503" s="63">
        <v>1.8689</v>
      </c>
      <c r="N2503" s="63">
        <v>5773.6</v>
      </c>
      <c r="O2503" s="64">
        <v>1.8560000000000001</v>
      </c>
    </row>
    <row r="2504" spans="1:15" x14ac:dyDescent="0.25">
      <c r="A2504" s="114" t="s">
        <v>2767</v>
      </c>
      <c r="B2504" s="63" t="s">
        <v>65</v>
      </c>
      <c r="C2504" s="63" t="s">
        <v>43</v>
      </c>
      <c r="D2504" s="63">
        <v>0.1</v>
      </c>
      <c r="E2504" s="63">
        <v>1</v>
      </c>
      <c r="F2504" s="63">
        <v>0.01</v>
      </c>
      <c r="G2504" s="63" t="s">
        <v>13</v>
      </c>
      <c r="H2504" s="63" t="s">
        <v>11</v>
      </c>
      <c r="I2504" s="63">
        <v>0</v>
      </c>
      <c r="J2504" s="63">
        <v>0</v>
      </c>
      <c r="L2504" s="63">
        <v>5775</v>
      </c>
      <c r="M2504" s="63">
        <v>23.623000000000001</v>
      </c>
      <c r="N2504" s="63">
        <v>5775</v>
      </c>
      <c r="O2504" s="64">
        <v>23.591000000000001</v>
      </c>
    </row>
    <row r="2505" spans="1:15" x14ac:dyDescent="0.25">
      <c r="A2505" s="114" t="s">
        <v>2768</v>
      </c>
      <c r="B2505" s="63" t="s">
        <v>65</v>
      </c>
      <c r="C2505" s="63" t="s">
        <v>43</v>
      </c>
      <c r="D2505" s="63">
        <v>1</v>
      </c>
      <c r="E2505" s="63">
        <v>10.199999999999999</v>
      </c>
      <c r="F2505" s="63">
        <v>0.01</v>
      </c>
      <c r="G2505" s="63" t="s">
        <v>13</v>
      </c>
      <c r="H2505" s="63" t="s">
        <v>11</v>
      </c>
      <c r="I2505" s="63">
        <v>0</v>
      </c>
      <c r="J2505" s="63">
        <v>0</v>
      </c>
      <c r="L2505" s="63">
        <v>5.8935000000000004</v>
      </c>
      <c r="M2505" s="63">
        <v>0.56293000000000004</v>
      </c>
      <c r="N2505" s="63">
        <v>6.0655000000000001</v>
      </c>
      <c r="O2505" s="64">
        <v>0.39036999999999999</v>
      </c>
    </row>
    <row r="2506" spans="1:15" x14ac:dyDescent="0.25">
      <c r="A2506" s="114" t="s">
        <v>2769</v>
      </c>
      <c r="B2506" s="63" t="s">
        <v>65</v>
      </c>
      <c r="C2506" s="63" t="s">
        <v>43</v>
      </c>
      <c r="D2506" s="63">
        <v>0.1</v>
      </c>
      <c r="E2506" s="63">
        <v>1</v>
      </c>
      <c r="F2506" s="63">
        <v>0.1</v>
      </c>
      <c r="G2506" s="63" t="s">
        <v>13</v>
      </c>
      <c r="H2506" s="63" t="s">
        <v>11</v>
      </c>
      <c r="I2506" s="63">
        <v>0</v>
      </c>
      <c r="J2506" s="63">
        <v>0</v>
      </c>
      <c r="L2506" s="63">
        <v>57736</v>
      </c>
      <c r="M2506" s="63">
        <v>2.3778000000000001</v>
      </c>
      <c r="N2506" s="63">
        <v>57736</v>
      </c>
      <c r="O2506" s="64">
        <v>2.3649</v>
      </c>
    </row>
    <row r="2507" spans="1:15" x14ac:dyDescent="0.25">
      <c r="A2507" s="114" t="s">
        <v>923</v>
      </c>
      <c r="B2507" s="63" t="s">
        <v>65</v>
      </c>
      <c r="C2507" s="63" t="s">
        <v>43</v>
      </c>
      <c r="D2507" s="63">
        <v>1</v>
      </c>
      <c r="E2507" s="63">
        <v>10.199999999999999</v>
      </c>
      <c r="F2507" s="63">
        <v>0.1</v>
      </c>
      <c r="G2507" s="63" t="s">
        <v>13</v>
      </c>
      <c r="H2507" s="63" t="s">
        <v>11</v>
      </c>
      <c r="I2507" s="63">
        <v>0</v>
      </c>
      <c r="J2507" s="63">
        <v>0</v>
      </c>
      <c r="L2507" s="63">
        <v>57.625</v>
      </c>
      <c r="M2507" s="63">
        <v>0.18253</v>
      </c>
      <c r="N2507" s="63">
        <v>57.752000000000002</v>
      </c>
      <c r="O2507" s="64">
        <v>5.5476999999999999E-2</v>
      </c>
    </row>
    <row r="2508" spans="1:15" x14ac:dyDescent="0.25">
      <c r="A2508" s="114" t="s">
        <v>924</v>
      </c>
      <c r="B2508" s="63" t="s">
        <v>65</v>
      </c>
      <c r="C2508" s="63" t="s">
        <v>43</v>
      </c>
      <c r="D2508" s="63">
        <v>1</v>
      </c>
      <c r="E2508" s="63">
        <v>10.199999999999999</v>
      </c>
      <c r="F2508" s="63">
        <v>1</v>
      </c>
      <c r="G2508" s="63" t="s">
        <v>13</v>
      </c>
      <c r="H2508" s="63" t="s">
        <v>11</v>
      </c>
      <c r="I2508" s="63">
        <v>0</v>
      </c>
      <c r="J2508" s="63">
        <v>0</v>
      </c>
      <c r="L2508" s="63">
        <v>577.30999999999995</v>
      </c>
      <c r="M2508" s="63">
        <v>5.7402000000000002E-2</v>
      </c>
      <c r="N2508" s="63">
        <v>577.36</v>
      </c>
      <c r="O2508" s="64">
        <v>5.5789000000000004E-3</v>
      </c>
    </row>
    <row r="2509" spans="1:15" x14ac:dyDescent="0.25">
      <c r="A2509" s="114" t="s">
        <v>910</v>
      </c>
      <c r="B2509" s="63" t="s">
        <v>65</v>
      </c>
      <c r="C2509" s="63" t="s">
        <v>55</v>
      </c>
      <c r="D2509" s="63">
        <v>10</v>
      </c>
      <c r="E2509" s="63">
        <v>102</v>
      </c>
      <c r="F2509" s="63">
        <v>1E-4</v>
      </c>
      <c r="G2509" s="63" t="s">
        <v>13</v>
      </c>
      <c r="H2509" s="63" t="s">
        <v>12</v>
      </c>
      <c r="I2509" s="63">
        <v>0</v>
      </c>
      <c r="J2509" s="63">
        <v>0</v>
      </c>
      <c r="L2509" s="63">
        <v>16</v>
      </c>
      <c r="M2509" s="63">
        <v>2</v>
      </c>
      <c r="N2509" s="63">
        <v>15.052</v>
      </c>
      <c r="O2509" s="64">
        <v>2.0087999999999999</v>
      </c>
    </row>
    <row r="2510" spans="1:15" x14ac:dyDescent="0.25">
      <c r="A2510" s="114" t="s">
        <v>2770</v>
      </c>
      <c r="B2510" s="63" t="s">
        <v>65</v>
      </c>
      <c r="C2510" s="63" t="s">
        <v>55</v>
      </c>
      <c r="D2510" s="63">
        <v>10</v>
      </c>
      <c r="E2510" s="63">
        <v>102</v>
      </c>
      <c r="F2510" s="63">
        <v>1E-3</v>
      </c>
      <c r="G2510" s="63" t="s">
        <v>13</v>
      </c>
      <c r="H2510" s="63" t="s">
        <v>12</v>
      </c>
      <c r="I2510" s="63">
        <v>0</v>
      </c>
      <c r="J2510" s="63">
        <v>0</v>
      </c>
      <c r="L2510" s="63">
        <v>16</v>
      </c>
      <c r="M2510" s="63">
        <v>2.0045000000000002</v>
      </c>
      <c r="N2510" s="63">
        <v>15.566000000000001</v>
      </c>
      <c r="O2510" s="64">
        <v>2.0045000000000002</v>
      </c>
    </row>
    <row r="2511" spans="1:15" x14ac:dyDescent="0.25">
      <c r="A2511" s="114" t="s">
        <v>911</v>
      </c>
      <c r="B2511" s="63" t="s">
        <v>65</v>
      </c>
      <c r="C2511" s="63" t="s">
        <v>55</v>
      </c>
      <c r="D2511" s="63">
        <v>10</v>
      </c>
      <c r="E2511" s="63">
        <v>102</v>
      </c>
      <c r="F2511" s="63">
        <v>0.01</v>
      </c>
      <c r="G2511" s="63" t="s">
        <v>13</v>
      </c>
      <c r="H2511" s="63" t="s">
        <v>12</v>
      </c>
      <c r="I2511" s="63">
        <v>0</v>
      </c>
      <c r="J2511" s="63">
        <v>0</v>
      </c>
      <c r="L2511" s="63">
        <v>50.243000000000002</v>
      </c>
      <c r="M2511" s="63">
        <v>1.7371000000000001</v>
      </c>
      <c r="N2511" s="63">
        <v>50.216000000000001</v>
      </c>
      <c r="O2511" s="64">
        <v>1.7371000000000001</v>
      </c>
    </row>
    <row r="2512" spans="1:15" x14ac:dyDescent="0.25">
      <c r="A2512" s="114" t="s">
        <v>912</v>
      </c>
      <c r="B2512" s="63" t="s">
        <v>65</v>
      </c>
      <c r="C2512" s="63" t="s">
        <v>55</v>
      </c>
      <c r="D2512" s="63">
        <v>10</v>
      </c>
      <c r="E2512" s="63">
        <v>102</v>
      </c>
      <c r="F2512" s="63">
        <v>0.1</v>
      </c>
      <c r="G2512" s="63" t="s">
        <v>13</v>
      </c>
      <c r="H2512" s="63" t="s">
        <v>12</v>
      </c>
      <c r="I2512" s="63">
        <v>0</v>
      </c>
      <c r="J2512" s="63">
        <v>0</v>
      </c>
      <c r="L2512" s="63">
        <v>574.15</v>
      </c>
      <c r="M2512" s="63">
        <v>0.42863000000000001</v>
      </c>
      <c r="N2512" s="63">
        <v>574.14</v>
      </c>
      <c r="O2512" s="64">
        <v>0.42836000000000002</v>
      </c>
    </row>
    <row r="2513" spans="1:15" x14ac:dyDescent="0.25">
      <c r="A2513" s="114" t="s">
        <v>913</v>
      </c>
      <c r="B2513" s="63" t="s">
        <v>65</v>
      </c>
      <c r="C2513" s="63" t="s">
        <v>55</v>
      </c>
      <c r="D2513" s="63">
        <v>10</v>
      </c>
      <c r="E2513" s="63">
        <v>102</v>
      </c>
      <c r="F2513" s="63">
        <v>1</v>
      </c>
      <c r="G2513" s="63" t="s">
        <v>13</v>
      </c>
      <c r="H2513" s="63" t="s">
        <v>12</v>
      </c>
      <c r="I2513" s="63">
        <v>0</v>
      </c>
      <c r="J2513" s="63">
        <v>0</v>
      </c>
      <c r="L2513" s="63">
        <v>5773.2</v>
      </c>
      <c r="M2513" s="63">
        <v>4.4478999999999998E-2</v>
      </c>
      <c r="N2513" s="63">
        <v>5773.2</v>
      </c>
      <c r="O2513" s="64">
        <v>4.4360999999999998E-2</v>
      </c>
    </row>
    <row r="2514" spans="1:15" x14ac:dyDescent="0.25">
      <c r="A2514" s="114" t="s">
        <v>2771</v>
      </c>
      <c r="B2514" s="63" t="s">
        <v>65</v>
      </c>
      <c r="C2514" s="63" t="s">
        <v>55</v>
      </c>
      <c r="D2514" s="63">
        <v>10</v>
      </c>
      <c r="E2514" s="63">
        <v>102</v>
      </c>
      <c r="F2514" s="63">
        <v>10</v>
      </c>
      <c r="G2514" s="63" t="s">
        <v>13</v>
      </c>
      <c r="H2514" s="63" t="s">
        <v>12</v>
      </c>
      <c r="I2514" s="63">
        <v>0</v>
      </c>
      <c r="J2514" s="63">
        <v>0</v>
      </c>
      <c r="L2514" s="63">
        <v>57735</v>
      </c>
      <c r="M2514" s="63">
        <v>4.4850999999999997E-3</v>
      </c>
      <c r="N2514" s="63">
        <v>57735</v>
      </c>
      <c r="O2514" s="64">
        <v>4.4377000000000002E-3</v>
      </c>
    </row>
    <row r="2515" spans="1:15" x14ac:dyDescent="0.25">
      <c r="A2515" s="114" t="s">
        <v>905</v>
      </c>
      <c r="B2515" s="63" t="s">
        <v>65</v>
      </c>
      <c r="C2515" s="63" t="s">
        <v>56</v>
      </c>
      <c r="D2515" s="63">
        <v>20</v>
      </c>
      <c r="E2515" s="63">
        <v>204</v>
      </c>
      <c r="F2515" s="63">
        <v>1E-3</v>
      </c>
      <c r="G2515" s="63" t="s">
        <v>13</v>
      </c>
      <c r="H2515" s="63" t="s">
        <v>12</v>
      </c>
      <c r="I2515" s="63">
        <v>0</v>
      </c>
      <c r="J2515" s="63">
        <v>0</v>
      </c>
      <c r="L2515" s="63">
        <v>32</v>
      </c>
      <c r="M2515" s="63">
        <v>2</v>
      </c>
      <c r="N2515" s="63">
        <v>30.087</v>
      </c>
      <c r="O2515" s="64">
        <v>2.0089000000000001</v>
      </c>
    </row>
    <row r="2516" spans="1:15" x14ac:dyDescent="0.25">
      <c r="A2516" s="114" t="s">
        <v>906</v>
      </c>
      <c r="B2516" s="63" t="s">
        <v>65</v>
      </c>
      <c r="C2516" s="63" t="s">
        <v>56</v>
      </c>
      <c r="D2516" s="63">
        <v>20</v>
      </c>
      <c r="E2516" s="63">
        <v>204</v>
      </c>
      <c r="F2516" s="63">
        <v>0.01</v>
      </c>
      <c r="G2516" s="63" t="s">
        <v>13</v>
      </c>
      <c r="H2516" s="63" t="s">
        <v>12</v>
      </c>
      <c r="I2516" s="63">
        <v>0</v>
      </c>
      <c r="J2516" s="63">
        <v>0</v>
      </c>
      <c r="L2516" s="63">
        <v>32</v>
      </c>
      <c r="M2516" s="63">
        <v>2.0076999999999998</v>
      </c>
      <c r="N2516" s="63">
        <v>30.344000000000001</v>
      </c>
      <c r="O2516" s="64">
        <v>2.0078</v>
      </c>
    </row>
    <row r="2517" spans="1:15" x14ac:dyDescent="0.25">
      <c r="A2517" s="114" t="s">
        <v>907</v>
      </c>
      <c r="B2517" s="63" t="s">
        <v>65</v>
      </c>
      <c r="C2517" s="63" t="s">
        <v>56</v>
      </c>
      <c r="D2517" s="63">
        <v>20</v>
      </c>
      <c r="E2517" s="63">
        <v>204</v>
      </c>
      <c r="F2517" s="63">
        <v>0.1</v>
      </c>
      <c r="G2517" s="63" t="s">
        <v>13</v>
      </c>
      <c r="H2517" s="63" t="s">
        <v>12</v>
      </c>
      <c r="I2517" s="63">
        <v>0</v>
      </c>
      <c r="J2517" s="63">
        <v>0</v>
      </c>
      <c r="L2517" s="63">
        <v>52.695</v>
      </c>
      <c r="M2517" s="63">
        <v>1.9168000000000001</v>
      </c>
      <c r="N2517" s="63">
        <v>52.600999999999999</v>
      </c>
      <c r="O2517" s="64">
        <v>1.917</v>
      </c>
    </row>
    <row r="2518" spans="1:15" x14ac:dyDescent="0.25">
      <c r="A2518" s="114" t="s">
        <v>908</v>
      </c>
      <c r="B2518" s="63" t="s">
        <v>65</v>
      </c>
      <c r="C2518" s="63" t="s">
        <v>56</v>
      </c>
      <c r="D2518" s="63">
        <v>20</v>
      </c>
      <c r="E2518" s="63">
        <v>204</v>
      </c>
      <c r="F2518" s="63">
        <v>1</v>
      </c>
      <c r="G2518" s="63" t="s">
        <v>13</v>
      </c>
      <c r="H2518" s="63" t="s">
        <v>12</v>
      </c>
      <c r="I2518" s="63">
        <v>0</v>
      </c>
      <c r="J2518" s="63">
        <v>0</v>
      </c>
      <c r="L2518" s="63">
        <v>565.98</v>
      </c>
      <c r="M2518" s="63">
        <v>0.78427000000000002</v>
      </c>
      <c r="N2518" s="63">
        <v>565.94000000000005</v>
      </c>
      <c r="O2518" s="64">
        <v>0.78385000000000005</v>
      </c>
    </row>
    <row r="2519" spans="1:15" x14ac:dyDescent="0.25">
      <c r="A2519" s="114" t="s">
        <v>909</v>
      </c>
      <c r="B2519" s="63" t="s">
        <v>65</v>
      </c>
      <c r="C2519" s="63" t="s">
        <v>56</v>
      </c>
      <c r="D2519" s="63">
        <v>20</v>
      </c>
      <c r="E2519" s="63">
        <v>204</v>
      </c>
      <c r="F2519" s="63">
        <v>10</v>
      </c>
      <c r="G2519" s="63" t="s">
        <v>13</v>
      </c>
      <c r="H2519" s="63" t="s">
        <v>12</v>
      </c>
      <c r="I2519" s="63">
        <v>0</v>
      </c>
      <c r="J2519" s="63">
        <v>0</v>
      </c>
      <c r="L2519" s="63">
        <v>5772.2</v>
      </c>
      <c r="M2519" s="63">
        <v>8.8858000000000006E-2</v>
      </c>
      <c r="N2519" s="63">
        <v>5772.2</v>
      </c>
      <c r="O2519" s="64">
        <v>8.8622999999999993E-2</v>
      </c>
    </row>
    <row r="2520" spans="1:15" x14ac:dyDescent="0.25">
      <c r="A2520" s="114" t="s">
        <v>897</v>
      </c>
      <c r="B2520" s="63" t="s">
        <v>65</v>
      </c>
      <c r="C2520" s="63" t="s">
        <v>57</v>
      </c>
      <c r="D2520" s="63">
        <v>5</v>
      </c>
      <c r="E2520" s="63">
        <v>51</v>
      </c>
      <c r="F2520" s="63">
        <v>1E-3</v>
      </c>
      <c r="G2520" s="63" t="s">
        <v>13</v>
      </c>
      <c r="H2520" s="63" t="s">
        <v>12</v>
      </c>
      <c r="I2520" s="63">
        <v>0</v>
      </c>
      <c r="J2520" s="63">
        <v>0</v>
      </c>
      <c r="L2520" s="63">
        <v>4.7</v>
      </c>
      <c r="M2520" s="63">
        <v>2</v>
      </c>
      <c r="N2520" s="63">
        <v>4.5993000000000004</v>
      </c>
      <c r="O2520" s="64">
        <v>1.98</v>
      </c>
    </row>
    <row r="2521" spans="1:15" x14ac:dyDescent="0.25">
      <c r="A2521" s="114" t="s">
        <v>901</v>
      </c>
      <c r="B2521" s="63" t="s">
        <v>65</v>
      </c>
      <c r="C2521" s="63" t="s">
        <v>57</v>
      </c>
      <c r="D2521" s="63">
        <v>50</v>
      </c>
      <c r="E2521" s="63">
        <v>510</v>
      </c>
      <c r="F2521" s="63">
        <v>1E-3</v>
      </c>
      <c r="G2521" s="63" t="s">
        <v>13</v>
      </c>
      <c r="H2521" s="63" t="s">
        <v>12</v>
      </c>
      <c r="I2521" s="63">
        <v>0</v>
      </c>
      <c r="J2521" s="63">
        <v>0</v>
      </c>
      <c r="L2521" s="63">
        <v>80</v>
      </c>
      <c r="M2521" s="63">
        <v>2</v>
      </c>
      <c r="N2521" s="63">
        <v>75.207999999999998</v>
      </c>
      <c r="O2521" s="64">
        <v>2.0089000000000001</v>
      </c>
    </row>
    <row r="2522" spans="1:15" x14ac:dyDescent="0.25">
      <c r="A2522" s="114" t="s">
        <v>2772</v>
      </c>
      <c r="B2522" s="63" t="s">
        <v>65</v>
      </c>
      <c r="C2522" s="63" t="s">
        <v>57</v>
      </c>
      <c r="D2522" s="63">
        <v>5</v>
      </c>
      <c r="E2522" s="63">
        <v>51</v>
      </c>
      <c r="F2522" s="63">
        <v>0.01</v>
      </c>
      <c r="G2522" s="63" t="s">
        <v>13</v>
      </c>
      <c r="H2522" s="63" t="s">
        <v>12</v>
      </c>
      <c r="I2522" s="63">
        <v>0</v>
      </c>
      <c r="J2522" s="63">
        <v>0</v>
      </c>
      <c r="L2522" s="63">
        <v>5.9279000000000002</v>
      </c>
      <c r="M2522" s="63">
        <v>1.9581</v>
      </c>
      <c r="N2522" s="63">
        <v>5.8000999999999996</v>
      </c>
      <c r="O2522" s="64">
        <v>1.9595</v>
      </c>
    </row>
    <row r="2523" spans="1:15" x14ac:dyDescent="0.25">
      <c r="A2523" s="114" t="s">
        <v>902</v>
      </c>
      <c r="B2523" s="63" t="s">
        <v>65</v>
      </c>
      <c r="C2523" s="63" t="s">
        <v>57</v>
      </c>
      <c r="D2523" s="63">
        <v>50</v>
      </c>
      <c r="E2523" s="63">
        <v>510</v>
      </c>
      <c r="F2523" s="63">
        <v>0.01</v>
      </c>
      <c r="G2523" s="63" t="s">
        <v>13</v>
      </c>
      <c r="H2523" s="63" t="s">
        <v>12</v>
      </c>
      <c r="I2523" s="63">
        <v>0</v>
      </c>
      <c r="J2523" s="63">
        <v>0</v>
      </c>
      <c r="L2523" s="63">
        <v>80</v>
      </c>
      <c r="M2523" s="63">
        <v>2.0085999999999999</v>
      </c>
      <c r="N2523" s="63">
        <v>75.317999999999998</v>
      </c>
      <c r="O2523" s="64">
        <v>2.0087000000000002</v>
      </c>
    </row>
    <row r="2524" spans="1:15" x14ac:dyDescent="0.25">
      <c r="A2524" s="114" t="s">
        <v>898</v>
      </c>
      <c r="B2524" s="63" t="s">
        <v>65</v>
      </c>
      <c r="C2524" s="63" t="s">
        <v>57</v>
      </c>
      <c r="D2524" s="63">
        <v>5</v>
      </c>
      <c r="E2524" s="63">
        <v>51</v>
      </c>
      <c r="F2524" s="63">
        <v>0.1</v>
      </c>
      <c r="G2524" s="63" t="s">
        <v>13</v>
      </c>
      <c r="H2524" s="63" t="s">
        <v>12</v>
      </c>
      <c r="I2524" s="63">
        <v>0</v>
      </c>
      <c r="J2524" s="63">
        <v>0</v>
      </c>
      <c r="L2524" s="63">
        <v>53.039000000000001</v>
      </c>
      <c r="M2524" s="63">
        <v>1.3232999999999999</v>
      </c>
      <c r="N2524" s="63">
        <v>52.915999999999997</v>
      </c>
      <c r="O2524" s="64">
        <v>1.3219000000000001</v>
      </c>
    </row>
    <row r="2525" spans="1:15" x14ac:dyDescent="0.25">
      <c r="A2525" s="114" t="s">
        <v>2773</v>
      </c>
      <c r="B2525" s="63" t="s">
        <v>65</v>
      </c>
      <c r="C2525" s="63" t="s">
        <v>57</v>
      </c>
      <c r="D2525" s="63">
        <v>50</v>
      </c>
      <c r="E2525" s="63">
        <v>510</v>
      </c>
      <c r="F2525" s="63">
        <v>0.1</v>
      </c>
      <c r="G2525" s="63" t="s">
        <v>13</v>
      </c>
      <c r="H2525" s="63" t="s">
        <v>12</v>
      </c>
      <c r="I2525" s="63">
        <v>0</v>
      </c>
      <c r="J2525" s="63">
        <v>0</v>
      </c>
      <c r="L2525" s="63">
        <v>85.569000000000003</v>
      </c>
      <c r="M2525" s="63">
        <v>1.9918</v>
      </c>
      <c r="N2525" s="63">
        <v>85.292000000000002</v>
      </c>
      <c r="O2525" s="64">
        <v>1.9921</v>
      </c>
    </row>
    <row r="2526" spans="1:15" x14ac:dyDescent="0.25">
      <c r="A2526" s="114" t="s">
        <v>899</v>
      </c>
      <c r="B2526" s="63" t="s">
        <v>65</v>
      </c>
      <c r="C2526" s="63" t="s">
        <v>57</v>
      </c>
      <c r="D2526" s="63">
        <v>5</v>
      </c>
      <c r="E2526" s="63">
        <v>51</v>
      </c>
      <c r="F2526" s="63">
        <v>1</v>
      </c>
      <c r="G2526" s="63" t="s">
        <v>13</v>
      </c>
      <c r="H2526" s="63" t="s">
        <v>12</v>
      </c>
      <c r="I2526" s="63">
        <v>0</v>
      </c>
      <c r="J2526" s="63">
        <v>0</v>
      </c>
      <c r="L2526" s="63">
        <v>576.55999999999995</v>
      </c>
      <c r="M2526" s="63">
        <v>0.20649000000000001</v>
      </c>
      <c r="N2526" s="63">
        <v>576.52</v>
      </c>
      <c r="O2526" s="64">
        <v>0.20416999999999999</v>
      </c>
    </row>
    <row r="2527" spans="1:15" x14ac:dyDescent="0.25">
      <c r="A2527" s="114" t="s">
        <v>903</v>
      </c>
      <c r="B2527" s="63" t="s">
        <v>65</v>
      </c>
      <c r="C2527" s="63" t="s">
        <v>57</v>
      </c>
      <c r="D2527" s="63">
        <v>50</v>
      </c>
      <c r="E2527" s="63">
        <v>510</v>
      </c>
      <c r="F2527" s="63">
        <v>1</v>
      </c>
      <c r="G2527" s="63" t="s">
        <v>13</v>
      </c>
      <c r="H2527" s="63" t="s">
        <v>12</v>
      </c>
      <c r="I2527" s="63">
        <v>0</v>
      </c>
      <c r="J2527" s="63">
        <v>0</v>
      </c>
      <c r="L2527" s="63">
        <v>534.37</v>
      </c>
      <c r="M2527" s="63">
        <v>1.3886000000000001</v>
      </c>
      <c r="N2527" s="63">
        <v>534.07000000000005</v>
      </c>
      <c r="O2527" s="64">
        <v>1.3883000000000001</v>
      </c>
    </row>
    <row r="2528" spans="1:15" x14ac:dyDescent="0.25">
      <c r="A2528" s="114" t="s">
        <v>900</v>
      </c>
      <c r="B2528" s="63" t="s">
        <v>65</v>
      </c>
      <c r="C2528" s="63" t="s">
        <v>57</v>
      </c>
      <c r="D2528" s="63">
        <v>5</v>
      </c>
      <c r="E2528" s="63">
        <v>51</v>
      </c>
      <c r="F2528" s="63">
        <v>10</v>
      </c>
      <c r="G2528" s="63" t="s">
        <v>13</v>
      </c>
      <c r="H2528" s="63" t="s">
        <v>12</v>
      </c>
      <c r="I2528" s="63">
        <v>0</v>
      </c>
      <c r="J2528" s="63">
        <v>0</v>
      </c>
      <c r="L2528" s="63">
        <v>5773.5</v>
      </c>
      <c r="M2528" s="63">
        <v>2.1536E-2</v>
      </c>
      <c r="N2528" s="63">
        <v>5773.5</v>
      </c>
      <c r="O2528" s="64">
        <v>2.0587999999999999E-2</v>
      </c>
    </row>
    <row r="2529" spans="1:15" x14ac:dyDescent="0.25">
      <c r="A2529" s="114" t="s">
        <v>904</v>
      </c>
      <c r="B2529" s="63" t="s">
        <v>65</v>
      </c>
      <c r="C2529" s="63" t="s">
        <v>57</v>
      </c>
      <c r="D2529" s="63">
        <v>50</v>
      </c>
      <c r="E2529" s="63">
        <v>510</v>
      </c>
      <c r="F2529" s="63">
        <v>10</v>
      </c>
      <c r="G2529" s="63" t="s">
        <v>13</v>
      </c>
      <c r="H2529" s="63" t="s">
        <v>12</v>
      </c>
      <c r="I2529" s="63">
        <v>0</v>
      </c>
      <c r="J2529" s="63">
        <v>0</v>
      </c>
      <c r="L2529" s="63">
        <v>5765.3</v>
      </c>
      <c r="M2529" s="63">
        <v>0.22044</v>
      </c>
      <c r="N2529" s="63">
        <v>5765.2</v>
      </c>
      <c r="O2529" s="64">
        <v>0.21986</v>
      </c>
    </row>
    <row r="2530" spans="1:15" x14ac:dyDescent="0.25">
      <c r="A2530" s="114" t="s">
        <v>2774</v>
      </c>
      <c r="B2530" s="63" t="s">
        <v>65</v>
      </c>
      <c r="C2530" s="63" t="s">
        <v>3</v>
      </c>
      <c r="D2530" s="63">
        <v>0</v>
      </c>
      <c r="E2530" s="63">
        <v>0.1</v>
      </c>
      <c r="F2530" s="63">
        <v>9.9999999999999995E-7</v>
      </c>
      <c r="G2530" s="63" t="s">
        <v>6</v>
      </c>
      <c r="H2530" s="63" t="s">
        <v>5</v>
      </c>
      <c r="I2530" s="63">
        <v>0</v>
      </c>
      <c r="J2530" s="63">
        <v>0</v>
      </c>
      <c r="L2530" s="63">
        <v>12</v>
      </c>
      <c r="M2530" s="63">
        <v>92</v>
      </c>
      <c r="N2530" s="63">
        <v>11.624000000000001</v>
      </c>
      <c r="O2530" s="64">
        <v>92.067999999999998</v>
      </c>
    </row>
    <row r="2531" spans="1:15" x14ac:dyDescent="0.25">
      <c r="A2531" s="114" t="s">
        <v>879</v>
      </c>
      <c r="B2531" s="63" t="s">
        <v>65</v>
      </c>
      <c r="C2531" s="63" t="s">
        <v>3</v>
      </c>
      <c r="D2531" s="63">
        <v>0</v>
      </c>
      <c r="E2531" s="63">
        <v>0.1</v>
      </c>
      <c r="F2531" s="63">
        <v>1.0000000000000001E-5</v>
      </c>
      <c r="G2531" s="63" t="s">
        <v>6</v>
      </c>
      <c r="H2531" s="63" t="s">
        <v>5</v>
      </c>
      <c r="I2531" s="63">
        <v>0</v>
      </c>
      <c r="J2531" s="63">
        <v>0</v>
      </c>
      <c r="L2531" s="63">
        <v>12.962999999999999</v>
      </c>
      <c r="M2531" s="63">
        <v>86.429000000000002</v>
      </c>
      <c r="N2531" s="63">
        <v>12.956</v>
      </c>
      <c r="O2531" s="64">
        <v>86.457999999999998</v>
      </c>
    </row>
    <row r="2532" spans="1:15" x14ac:dyDescent="0.25">
      <c r="A2532" s="114" t="s">
        <v>882</v>
      </c>
      <c r="B2532" s="63" t="s">
        <v>65</v>
      </c>
      <c r="C2532" s="63" t="s">
        <v>3</v>
      </c>
      <c r="D2532" s="63">
        <v>0.1</v>
      </c>
      <c r="E2532" s="63">
        <v>1</v>
      </c>
      <c r="F2532" s="63">
        <v>1.0000000000000001E-5</v>
      </c>
      <c r="G2532" s="63" t="s">
        <v>6</v>
      </c>
      <c r="H2532" s="63" t="s">
        <v>5</v>
      </c>
      <c r="I2532" s="63">
        <v>0</v>
      </c>
      <c r="J2532" s="63">
        <v>0</v>
      </c>
      <c r="L2532" s="63">
        <v>36</v>
      </c>
      <c r="M2532" s="63">
        <v>92</v>
      </c>
      <c r="N2532" s="63">
        <v>35.884999999999998</v>
      </c>
      <c r="O2532" s="64">
        <v>91.647999999999996</v>
      </c>
    </row>
    <row r="2533" spans="1:15" x14ac:dyDescent="0.25">
      <c r="A2533" s="114" t="s">
        <v>880</v>
      </c>
      <c r="B2533" s="63" t="s">
        <v>65</v>
      </c>
      <c r="C2533" s="63" t="s">
        <v>3</v>
      </c>
      <c r="D2533" s="63">
        <v>0</v>
      </c>
      <c r="E2533" s="63">
        <v>0.1</v>
      </c>
      <c r="F2533" s="63">
        <v>1E-4</v>
      </c>
      <c r="G2533" s="63" t="s">
        <v>6</v>
      </c>
      <c r="H2533" s="63" t="s">
        <v>5</v>
      </c>
      <c r="I2533" s="63">
        <v>0</v>
      </c>
      <c r="J2533" s="63">
        <v>0</v>
      </c>
      <c r="L2533" s="63">
        <v>58.889000000000003</v>
      </c>
      <c r="M2533" s="63">
        <v>24.899000000000001</v>
      </c>
      <c r="N2533" s="63">
        <v>58.883000000000003</v>
      </c>
      <c r="O2533" s="64">
        <v>24.902000000000001</v>
      </c>
    </row>
    <row r="2534" spans="1:15" x14ac:dyDescent="0.25">
      <c r="A2534" s="114" t="s">
        <v>2775</v>
      </c>
      <c r="B2534" s="63" t="s">
        <v>65</v>
      </c>
      <c r="C2534" s="63" t="s">
        <v>3</v>
      </c>
      <c r="D2534" s="63">
        <v>0.1</v>
      </c>
      <c r="E2534" s="63">
        <v>1</v>
      </c>
      <c r="F2534" s="63">
        <v>1E-4</v>
      </c>
      <c r="G2534" s="63" t="s">
        <v>6</v>
      </c>
      <c r="H2534" s="63" t="s">
        <v>5</v>
      </c>
      <c r="I2534" s="63">
        <v>0</v>
      </c>
      <c r="J2534" s="63">
        <v>0</v>
      </c>
      <c r="L2534" s="63">
        <v>65.685000000000002</v>
      </c>
      <c r="M2534" s="63">
        <v>74.286000000000001</v>
      </c>
      <c r="N2534" s="63">
        <v>65.573999999999998</v>
      </c>
      <c r="O2534" s="64">
        <v>74.301000000000002</v>
      </c>
    </row>
    <row r="2535" spans="1:15" x14ac:dyDescent="0.25">
      <c r="A2535" s="114" t="s">
        <v>885</v>
      </c>
      <c r="B2535" s="63" t="s">
        <v>65</v>
      </c>
      <c r="C2535" s="63" t="s">
        <v>3</v>
      </c>
      <c r="D2535" s="63">
        <v>1</v>
      </c>
      <c r="E2535" s="63">
        <v>10</v>
      </c>
      <c r="F2535" s="63">
        <v>1E-4</v>
      </c>
      <c r="G2535" s="63" t="s">
        <v>6</v>
      </c>
      <c r="H2535" s="63" t="s">
        <v>5</v>
      </c>
      <c r="I2535" s="63">
        <v>0</v>
      </c>
      <c r="J2535" s="63">
        <v>0</v>
      </c>
      <c r="L2535" s="63">
        <v>360</v>
      </c>
      <c r="M2535" s="63">
        <v>92</v>
      </c>
      <c r="N2535" s="63">
        <v>354.54</v>
      </c>
      <c r="O2535" s="64">
        <v>91.828999999999994</v>
      </c>
    </row>
    <row r="2536" spans="1:15" x14ac:dyDescent="0.25">
      <c r="A2536" s="114" t="s">
        <v>881</v>
      </c>
      <c r="B2536" s="63" t="s">
        <v>65</v>
      </c>
      <c r="C2536" s="63" t="s">
        <v>3</v>
      </c>
      <c r="D2536" s="63">
        <v>0</v>
      </c>
      <c r="E2536" s="63">
        <v>0.1</v>
      </c>
      <c r="F2536" s="63">
        <v>1E-3</v>
      </c>
      <c r="G2536" s="63" t="s">
        <v>6</v>
      </c>
      <c r="H2536" s="63" t="s">
        <v>5</v>
      </c>
      <c r="I2536" s="63">
        <v>0</v>
      </c>
      <c r="J2536" s="63">
        <v>0</v>
      </c>
      <c r="L2536" s="63">
        <v>577.47</v>
      </c>
      <c r="M2536" s="63">
        <v>2.5928</v>
      </c>
      <c r="N2536" s="63">
        <v>577.47</v>
      </c>
      <c r="O2536" s="64">
        <v>2.5928</v>
      </c>
    </row>
    <row r="2537" spans="1:15" x14ac:dyDescent="0.25">
      <c r="A2537" s="114" t="s">
        <v>2776</v>
      </c>
      <c r="B2537" s="63" t="s">
        <v>65</v>
      </c>
      <c r="C2537" s="63" t="s">
        <v>3</v>
      </c>
      <c r="D2537" s="63">
        <v>0.1</v>
      </c>
      <c r="E2537" s="63">
        <v>1</v>
      </c>
      <c r="F2537" s="63">
        <v>1E-3</v>
      </c>
      <c r="G2537" s="63" t="s">
        <v>6</v>
      </c>
      <c r="H2537" s="63" t="s">
        <v>5</v>
      </c>
      <c r="I2537" s="63">
        <v>0</v>
      </c>
      <c r="J2537" s="63">
        <v>0</v>
      </c>
      <c r="L2537" s="63">
        <v>577.78</v>
      </c>
      <c r="M2537" s="63">
        <v>13.555</v>
      </c>
      <c r="N2537" s="63">
        <v>577.73</v>
      </c>
      <c r="O2537" s="64">
        <v>13.515000000000001</v>
      </c>
    </row>
    <row r="2538" spans="1:15" x14ac:dyDescent="0.25">
      <c r="A2538" s="114" t="s">
        <v>886</v>
      </c>
      <c r="B2538" s="63" t="s">
        <v>65</v>
      </c>
      <c r="C2538" s="63" t="s">
        <v>3</v>
      </c>
      <c r="D2538" s="63">
        <v>1</v>
      </c>
      <c r="E2538" s="63">
        <v>10</v>
      </c>
      <c r="F2538" s="63">
        <v>1E-3</v>
      </c>
      <c r="G2538" s="63" t="s">
        <v>6</v>
      </c>
      <c r="H2538" s="63" t="s">
        <v>5</v>
      </c>
      <c r="I2538" s="63">
        <v>0</v>
      </c>
      <c r="J2538" s="63">
        <v>0</v>
      </c>
      <c r="L2538" s="63">
        <v>653.72</v>
      </c>
      <c r="M2538" s="63">
        <v>74.370999999999995</v>
      </c>
      <c r="N2538" s="63">
        <v>653.16999999999996</v>
      </c>
      <c r="O2538" s="64">
        <v>74.328999999999994</v>
      </c>
    </row>
    <row r="2539" spans="1:15" x14ac:dyDescent="0.25">
      <c r="A2539" s="114" t="s">
        <v>890</v>
      </c>
      <c r="B2539" s="63" t="s">
        <v>65</v>
      </c>
      <c r="C2539" s="63" t="s">
        <v>3</v>
      </c>
      <c r="D2539" s="63">
        <v>10</v>
      </c>
      <c r="E2539" s="63">
        <v>100</v>
      </c>
      <c r="F2539" s="63">
        <v>1E-3</v>
      </c>
      <c r="G2539" s="63" t="s">
        <v>6</v>
      </c>
      <c r="H2539" s="63" t="s">
        <v>4</v>
      </c>
      <c r="I2539" s="63">
        <v>0</v>
      </c>
      <c r="J2539" s="63">
        <v>0</v>
      </c>
      <c r="L2539" s="63">
        <v>6.8</v>
      </c>
      <c r="M2539" s="63">
        <v>8.2000000000000003E-2</v>
      </c>
      <c r="N2539" s="63">
        <v>6.7337999999999996</v>
      </c>
      <c r="O2539" s="64">
        <v>8.2464999999999997E-2</v>
      </c>
    </row>
    <row r="2540" spans="1:15" x14ac:dyDescent="0.25">
      <c r="A2540" s="114" t="s">
        <v>2777</v>
      </c>
      <c r="B2540" s="63" t="s">
        <v>65</v>
      </c>
      <c r="C2540" s="63" t="s">
        <v>3</v>
      </c>
      <c r="D2540" s="63">
        <v>0</v>
      </c>
      <c r="E2540" s="63">
        <v>0.1</v>
      </c>
      <c r="F2540" s="63">
        <v>0.01</v>
      </c>
      <c r="G2540" s="63" t="s">
        <v>6</v>
      </c>
      <c r="H2540" s="63" t="s">
        <v>5</v>
      </c>
      <c r="I2540" s="63">
        <v>0</v>
      </c>
      <c r="J2540" s="63">
        <v>0</v>
      </c>
      <c r="L2540" s="63">
        <v>5773.6</v>
      </c>
      <c r="M2540" s="63">
        <v>0.25939000000000001</v>
      </c>
      <c r="N2540" s="63">
        <v>5773.6</v>
      </c>
      <c r="O2540" s="64">
        <v>0.25939000000000001</v>
      </c>
    </row>
    <row r="2541" spans="1:15" x14ac:dyDescent="0.25">
      <c r="A2541" s="114" t="s">
        <v>883</v>
      </c>
      <c r="B2541" s="63" t="s">
        <v>65</v>
      </c>
      <c r="C2541" s="63" t="s">
        <v>3</v>
      </c>
      <c r="D2541" s="63">
        <v>0.1</v>
      </c>
      <c r="E2541" s="63">
        <v>1</v>
      </c>
      <c r="F2541" s="63">
        <v>0.01</v>
      </c>
      <c r="G2541" s="63" t="s">
        <v>6</v>
      </c>
      <c r="H2541" s="63" t="s">
        <v>5</v>
      </c>
      <c r="I2541" s="63">
        <v>0</v>
      </c>
      <c r="J2541" s="63">
        <v>0</v>
      </c>
      <c r="L2541" s="63">
        <v>5773.6</v>
      </c>
      <c r="M2541" s="63">
        <v>1.3866000000000001</v>
      </c>
      <c r="N2541" s="63">
        <v>5773.6</v>
      </c>
      <c r="O2541" s="64">
        <v>1.3695999999999999</v>
      </c>
    </row>
    <row r="2542" spans="1:15" x14ac:dyDescent="0.25">
      <c r="A2542" s="114" t="s">
        <v>887</v>
      </c>
      <c r="B2542" s="63" t="s">
        <v>65</v>
      </c>
      <c r="C2542" s="63" t="s">
        <v>3</v>
      </c>
      <c r="D2542" s="63">
        <v>1</v>
      </c>
      <c r="E2542" s="63">
        <v>10</v>
      </c>
      <c r="F2542" s="63">
        <v>0.01</v>
      </c>
      <c r="G2542" s="63" t="s">
        <v>6</v>
      </c>
      <c r="H2542" s="63" t="s">
        <v>5</v>
      </c>
      <c r="I2542" s="63">
        <v>0</v>
      </c>
      <c r="J2542" s="63">
        <v>0</v>
      </c>
      <c r="L2542" s="63">
        <v>5777.2</v>
      </c>
      <c r="M2542" s="63">
        <v>13.558999999999999</v>
      </c>
      <c r="N2542" s="63">
        <v>5777</v>
      </c>
      <c r="O2542" s="64">
        <v>13.491</v>
      </c>
    </row>
    <row r="2543" spans="1:15" x14ac:dyDescent="0.25">
      <c r="A2543" s="114" t="s">
        <v>891</v>
      </c>
      <c r="B2543" s="63" t="s">
        <v>65</v>
      </c>
      <c r="C2543" s="63" t="s">
        <v>3</v>
      </c>
      <c r="D2543" s="63">
        <v>10</v>
      </c>
      <c r="E2543" s="63">
        <v>100</v>
      </c>
      <c r="F2543" s="63">
        <v>0.01</v>
      </c>
      <c r="G2543" s="63" t="s">
        <v>6</v>
      </c>
      <c r="H2543" s="63" t="s">
        <v>4</v>
      </c>
      <c r="I2543" s="63">
        <v>0</v>
      </c>
      <c r="J2543" s="63">
        <v>0</v>
      </c>
      <c r="L2543" s="63">
        <v>8.7739999999999991</v>
      </c>
      <c r="M2543" s="63">
        <v>7.2816000000000006E-2</v>
      </c>
      <c r="N2543" s="63">
        <v>8.766</v>
      </c>
      <c r="O2543" s="64">
        <v>7.2780999999999998E-2</v>
      </c>
    </row>
    <row r="2544" spans="1:15" x14ac:dyDescent="0.25">
      <c r="A2544" s="114" t="s">
        <v>893</v>
      </c>
      <c r="B2544" s="63" t="s">
        <v>65</v>
      </c>
      <c r="C2544" s="63" t="s">
        <v>3</v>
      </c>
      <c r="D2544" s="63">
        <v>100</v>
      </c>
      <c r="E2544" s="63">
        <v>1020</v>
      </c>
      <c r="F2544" s="63">
        <v>0.01</v>
      </c>
      <c r="G2544" s="63" t="s">
        <v>6</v>
      </c>
      <c r="H2544" s="63" t="s">
        <v>4</v>
      </c>
      <c r="I2544" s="63">
        <v>0</v>
      </c>
      <c r="J2544" s="63">
        <v>0</v>
      </c>
      <c r="L2544" s="63">
        <v>36</v>
      </c>
      <c r="M2544" s="63">
        <v>9.1999999999999998E-2</v>
      </c>
      <c r="N2544" s="63">
        <v>35.843000000000004</v>
      </c>
      <c r="O2544" s="64">
        <v>9.1772000000000006E-2</v>
      </c>
    </row>
    <row r="2545" spans="1:15" x14ac:dyDescent="0.25">
      <c r="A2545" s="114" t="s">
        <v>884</v>
      </c>
      <c r="B2545" s="63" t="s">
        <v>65</v>
      </c>
      <c r="C2545" s="63" t="s">
        <v>3</v>
      </c>
      <c r="D2545" s="63">
        <v>0.1</v>
      </c>
      <c r="E2545" s="63">
        <v>1</v>
      </c>
      <c r="F2545" s="63">
        <v>0.1</v>
      </c>
      <c r="G2545" s="63" t="s">
        <v>6</v>
      </c>
      <c r="H2545" s="63" t="s">
        <v>5</v>
      </c>
      <c r="I2545" s="63">
        <v>0</v>
      </c>
      <c r="J2545" s="63">
        <v>0</v>
      </c>
      <c r="L2545" s="63">
        <v>57736</v>
      </c>
      <c r="M2545" s="63">
        <v>0.14379</v>
      </c>
      <c r="N2545" s="63">
        <v>57736</v>
      </c>
      <c r="O2545" s="64">
        <v>0.13697999999999999</v>
      </c>
    </row>
    <row r="2546" spans="1:15" x14ac:dyDescent="0.25">
      <c r="A2546" s="114" t="s">
        <v>888</v>
      </c>
      <c r="B2546" s="63" t="s">
        <v>65</v>
      </c>
      <c r="C2546" s="63" t="s">
        <v>3</v>
      </c>
      <c r="D2546" s="63">
        <v>1</v>
      </c>
      <c r="E2546" s="63">
        <v>10</v>
      </c>
      <c r="F2546" s="63">
        <v>0.1</v>
      </c>
      <c r="G2546" s="63" t="s">
        <v>6</v>
      </c>
      <c r="H2546" s="63" t="s">
        <v>5</v>
      </c>
      <c r="I2546" s="63">
        <v>0</v>
      </c>
      <c r="J2546" s="63">
        <v>0</v>
      </c>
      <c r="L2546" s="63">
        <v>57736</v>
      </c>
      <c r="M2546" s="63">
        <v>1.3954</v>
      </c>
      <c r="N2546" s="63">
        <v>57736</v>
      </c>
      <c r="O2546" s="64">
        <v>13.496</v>
      </c>
    </row>
    <row r="2547" spans="1:15" x14ac:dyDescent="0.25">
      <c r="A2547" s="114" t="s">
        <v>892</v>
      </c>
      <c r="B2547" s="63" t="s">
        <v>65</v>
      </c>
      <c r="C2547" s="63" t="s">
        <v>3</v>
      </c>
      <c r="D2547" s="63">
        <v>10</v>
      </c>
      <c r="E2547" s="63">
        <v>100</v>
      </c>
      <c r="F2547" s="63">
        <v>0.1</v>
      </c>
      <c r="G2547" s="63" t="s">
        <v>6</v>
      </c>
      <c r="H2547" s="63" t="s">
        <v>4</v>
      </c>
      <c r="I2547" s="63">
        <v>0</v>
      </c>
      <c r="J2547" s="63">
        <v>0</v>
      </c>
      <c r="L2547" s="63">
        <v>58.072000000000003</v>
      </c>
      <c r="M2547" s="63">
        <v>1.5845000000000001E-2</v>
      </c>
      <c r="N2547" s="63">
        <v>58.067999999999998</v>
      </c>
      <c r="O2547" s="64">
        <v>1.5768999999999998E-2</v>
      </c>
    </row>
    <row r="2548" spans="1:15" x14ac:dyDescent="0.25">
      <c r="A2548" s="114" t="s">
        <v>2778</v>
      </c>
      <c r="B2548" s="63" t="s">
        <v>65</v>
      </c>
      <c r="C2548" s="63" t="s">
        <v>3</v>
      </c>
      <c r="D2548" s="63">
        <v>100</v>
      </c>
      <c r="E2548" s="63">
        <v>1020</v>
      </c>
      <c r="F2548" s="63">
        <v>0.1</v>
      </c>
      <c r="G2548" s="63" t="s">
        <v>6</v>
      </c>
      <c r="H2548" s="63" t="s">
        <v>4</v>
      </c>
      <c r="I2548" s="63">
        <v>0</v>
      </c>
      <c r="J2548" s="63">
        <v>0</v>
      </c>
      <c r="L2548" s="63">
        <v>65.632000000000005</v>
      </c>
      <c r="M2548" s="63">
        <v>7.4630000000000002E-2</v>
      </c>
      <c r="N2548" s="63">
        <v>65.525000000000006</v>
      </c>
      <c r="O2548" s="64">
        <v>7.4607999999999994E-2</v>
      </c>
    </row>
    <row r="2549" spans="1:15" x14ac:dyDescent="0.25">
      <c r="A2549" s="114" t="s">
        <v>889</v>
      </c>
      <c r="B2549" s="63" t="s">
        <v>65</v>
      </c>
      <c r="C2549" s="63" t="s">
        <v>3</v>
      </c>
      <c r="D2549" s="63">
        <v>1</v>
      </c>
      <c r="E2549" s="63">
        <v>10</v>
      </c>
      <c r="F2549" s="63">
        <v>1</v>
      </c>
      <c r="G2549" s="63" t="s">
        <v>6</v>
      </c>
      <c r="H2549" s="63" t="s">
        <v>5</v>
      </c>
      <c r="I2549" s="63">
        <v>0</v>
      </c>
      <c r="J2549" s="63">
        <v>0</v>
      </c>
      <c r="L2549" s="63">
        <v>577360</v>
      </c>
      <c r="M2549" s="63">
        <v>0.14807999999999999</v>
      </c>
      <c r="N2549" s="63">
        <v>577360</v>
      </c>
      <c r="O2549" s="64">
        <v>13.497</v>
      </c>
    </row>
    <row r="2550" spans="1:15" x14ac:dyDescent="0.25">
      <c r="A2550" s="114" t="s">
        <v>2779</v>
      </c>
      <c r="B2550" s="63" t="s">
        <v>65</v>
      </c>
      <c r="C2550" s="63" t="s">
        <v>3</v>
      </c>
      <c r="D2550" s="63">
        <v>10</v>
      </c>
      <c r="E2550" s="63">
        <v>100</v>
      </c>
      <c r="F2550" s="63">
        <v>1</v>
      </c>
      <c r="G2550" s="63" t="s">
        <v>6</v>
      </c>
      <c r="H2550" s="63" t="s">
        <v>4</v>
      </c>
      <c r="I2550" s="63">
        <v>0</v>
      </c>
      <c r="J2550" s="63">
        <v>0</v>
      </c>
      <c r="L2550" s="63">
        <v>577.39</v>
      </c>
      <c r="M2550" s="63">
        <v>1.6414999999999999E-3</v>
      </c>
      <c r="N2550" s="63">
        <v>577.39</v>
      </c>
      <c r="O2550" s="64">
        <v>1.6092999999999999E-3</v>
      </c>
    </row>
    <row r="2551" spans="1:15" x14ac:dyDescent="0.25">
      <c r="A2551" s="114" t="s">
        <v>894</v>
      </c>
      <c r="B2551" s="63" t="s">
        <v>65</v>
      </c>
      <c r="C2551" s="63" t="s">
        <v>3</v>
      </c>
      <c r="D2551" s="63">
        <v>100</v>
      </c>
      <c r="E2551" s="63">
        <v>1020</v>
      </c>
      <c r="F2551" s="63">
        <v>1</v>
      </c>
      <c r="G2551" s="63" t="s">
        <v>6</v>
      </c>
      <c r="H2551" s="63" t="s">
        <v>4</v>
      </c>
      <c r="I2551" s="63">
        <v>0</v>
      </c>
      <c r="J2551" s="63">
        <v>0</v>
      </c>
      <c r="L2551" s="63">
        <v>577.76</v>
      </c>
      <c r="M2551" s="63">
        <v>1.3752E-2</v>
      </c>
      <c r="N2551" s="63">
        <v>577.71</v>
      </c>
      <c r="O2551" s="64">
        <v>1.3677E-2</v>
      </c>
    </row>
    <row r="2552" spans="1:15" x14ac:dyDescent="0.25">
      <c r="A2552" s="114" t="s">
        <v>2780</v>
      </c>
      <c r="B2552" s="63" t="s">
        <v>65</v>
      </c>
      <c r="C2552" s="63" t="s">
        <v>3</v>
      </c>
      <c r="D2552" s="63">
        <v>10</v>
      </c>
      <c r="E2552" s="63">
        <v>100</v>
      </c>
      <c r="F2552" s="63">
        <v>10</v>
      </c>
      <c r="G2552" s="63" t="s">
        <v>6</v>
      </c>
      <c r="H2552" s="63" t="s">
        <v>4</v>
      </c>
      <c r="I2552" s="63">
        <v>0</v>
      </c>
      <c r="J2552" s="63">
        <v>0</v>
      </c>
      <c r="L2552" s="63">
        <v>5773.6</v>
      </c>
      <c r="M2552" s="63">
        <v>1.7383000000000001E-4</v>
      </c>
      <c r="N2552" s="63">
        <v>5773.6</v>
      </c>
      <c r="O2552" s="64">
        <v>1.6097E-4</v>
      </c>
    </row>
    <row r="2553" spans="1:15" x14ac:dyDescent="0.25">
      <c r="A2553" s="114" t="s">
        <v>895</v>
      </c>
      <c r="B2553" s="63" t="s">
        <v>65</v>
      </c>
      <c r="C2553" s="63" t="s">
        <v>3</v>
      </c>
      <c r="D2553" s="63">
        <v>100</v>
      </c>
      <c r="E2553" s="63">
        <v>1020</v>
      </c>
      <c r="F2553" s="63">
        <v>10</v>
      </c>
      <c r="G2553" s="63" t="s">
        <v>6</v>
      </c>
      <c r="H2553" s="63" t="s">
        <v>4</v>
      </c>
      <c r="I2553" s="63">
        <v>0</v>
      </c>
      <c r="J2553" s="63">
        <v>0</v>
      </c>
      <c r="L2553" s="63">
        <v>5773.6</v>
      </c>
      <c r="M2553" s="63">
        <v>1.4178999999999999E-3</v>
      </c>
      <c r="N2553" s="63">
        <v>5773.6</v>
      </c>
      <c r="O2553" s="64">
        <v>1.3864000000000001E-3</v>
      </c>
    </row>
    <row r="2554" spans="1:15" x14ac:dyDescent="0.25">
      <c r="A2554" s="114" t="s">
        <v>896</v>
      </c>
      <c r="B2554" s="63" t="s">
        <v>65</v>
      </c>
      <c r="C2554" s="63" t="s">
        <v>3</v>
      </c>
      <c r="D2554" s="63">
        <v>100</v>
      </c>
      <c r="E2554" s="63">
        <v>1020</v>
      </c>
      <c r="F2554" s="63">
        <v>100</v>
      </c>
      <c r="G2554" s="63" t="s">
        <v>6</v>
      </c>
      <c r="H2554" s="63" t="s">
        <v>4</v>
      </c>
      <c r="I2554" s="63">
        <v>0</v>
      </c>
      <c r="J2554" s="63">
        <v>0</v>
      </c>
      <c r="L2554" s="63">
        <v>57736</v>
      </c>
      <c r="M2554" s="63">
        <v>1.5124999999999999E-4</v>
      </c>
      <c r="N2554" s="63">
        <v>57736</v>
      </c>
      <c r="O2554" s="64">
        <v>1.3866E-4</v>
      </c>
    </row>
    <row r="2555" spans="1:15" x14ac:dyDescent="0.25">
      <c r="A2555" s="114" t="s">
        <v>2781</v>
      </c>
      <c r="B2555" s="63" t="s">
        <v>65</v>
      </c>
      <c r="C2555" s="63" t="s">
        <v>17</v>
      </c>
      <c r="D2555" s="63">
        <v>1</v>
      </c>
      <c r="E2555" s="63">
        <v>100000</v>
      </c>
      <c r="F2555" s="63">
        <v>1</v>
      </c>
      <c r="G2555" s="63" t="s">
        <v>9</v>
      </c>
      <c r="H2555" s="63" t="s">
        <v>9</v>
      </c>
      <c r="I2555" s="63">
        <v>0</v>
      </c>
      <c r="J2555" s="63">
        <v>0</v>
      </c>
      <c r="L2555" s="63">
        <v>0.87</v>
      </c>
      <c r="M2555" s="63">
        <v>1.5999999999999999E-5</v>
      </c>
      <c r="N2555" s="63">
        <v>0.81637999999999999</v>
      </c>
      <c r="O2555" s="64">
        <v>1.6364000000000001E-5</v>
      </c>
    </row>
    <row r="2556" spans="1:15" x14ac:dyDescent="0.25">
      <c r="A2556" s="114" t="s">
        <v>876</v>
      </c>
      <c r="B2556" s="63" t="s">
        <v>65</v>
      </c>
      <c r="C2556" s="63" t="s">
        <v>17</v>
      </c>
      <c r="D2556" s="63">
        <v>1</v>
      </c>
      <c r="E2556" s="63">
        <v>100000</v>
      </c>
      <c r="F2556" s="63">
        <v>10</v>
      </c>
      <c r="G2556" s="63" t="s">
        <v>9</v>
      </c>
      <c r="H2556" s="63" t="s">
        <v>9</v>
      </c>
      <c r="I2556" s="63">
        <v>0</v>
      </c>
      <c r="J2556" s="63">
        <v>0</v>
      </c>
      <c r="L2556" s="63">
        <v>5.8379000000000003</v>
      </c>
      <c r="M2556" s="63">
        <v>4.8237000000000001E-6</v>
      </c>
      <c r="N2556" s="63">
        <v>5.8243</v>
      </c>
      <c r="O2556" s="64">
        <v>4.6825999999999999E-6</v>
      </c>
    </row>
    <row r="2557" spans="1:15" x14ac:dyDescent="0.25">
      <c r="A2557" s="114" t="s">
        <v>2782</v>
      </c>
      <c r="B2557" s="63" t="s">
        <v>65</v>
      </c>
      <c r="C2557" s="63" t="s">
        <v>17</v>
      </c>
      <c r="D2557" s="63">
        <v>1</v>
      </c>
      <c r="E2557" s="63">
        <v>100000</v>
      </c>
      <c r="F2557" s="63">
        <v>100</v>
      </c>
      <c r="G2557" s="63" t="s">
        <v>9</v>
      </c>
      <c r="H2557" s="63" t="s">
        <v>9</v>
      </c>
      <c r="I2557" s="63">
        <v>0</v>
      </c>
      <c r="J2557" s="63">
        <v>0</v>
      </c>
      <c r="L2557" s="63">
        <v>58.005000000000003</v>
      </c>
      <c r="M2557" s="63">
        <v>3.1698999999999999E-6</v>
      </c>
      <c r="N2557" s="63">
        <v>58</v>
      </c>
      <c r="O2557" s="64">
        <v>3.1064999999999998E-6</v>
      </c>
    </row>
    <row r="2558" spans="1:15" x14ac:dyDescent="0.25">
      <c r="A2558" s="114" t="s">
        <v>877</v>
      </c>
      <c r="B2558" s="63" t="s">
        <v>65</v>
      </c>
      <c r="C2558" s="63" t="s">
        <v>17</v>
      </c>
      <c r="D2558" s="63">
        <v>1</v>
      </c>
      <c r="E2558" s="63">
        <v>100000</v>
      </c>
      <c r="F2558" s="63">
        <v>1000</v>
      </c>
      <c r="G2558" s="63" t="s">
        <v>9</v>
      </c>
      <c r="H2558" s="63" t="s">
        <v>9</v>
      </c>
      <c r="I2558" s="63">
        <v>0</v>
      </c>
      <c r="J2558" s="63">
        <v>0</v>
      </c>
      <c r="L2558" s="63">
        <v>579.98</v>
      </c>
      <c r="M2558" s="63">
        <v>2.6531000000000001E-5</v>
      </c>
      <c r="N2558" s="63">
        <v>579.97</v>
      </c>
      <c r="O2558" s="64">
        <v>2.6505000000000001E-5</v>
      </c>
    </row>
    <row r="2559" spans="1:15" x14ac:dyDescent="0.25">
      <c r="A2559" s="114" t="s">
        <v>878</v>
      </c>
      <c r="B2559" s="63" t="s">
        <v>65</v>
      </c>
      <c r="C2559" s="63" t="s">
        <v>17</v>
      </c>
      <c r="D2559" s="63">
        <v>1</v>
      </c>
      <c r="E2559" s="63">
        <v>100000</v>
      </c>
      <c r="F2559" s="63">
        <v>10000</v>
      </c>
      <c r="G2559" s="63" t="s">
        <v>9</v>
      </c>
      <c r="H2559" s="63" t="s">
        <v>9</v>
      </c>
      <c r="I2559" s="63">
        <v>0</v>
      </c>
      <c r="J2559" s="63">
        <v>0</v>
      </c>
      <c r="L2559" s="63">
        <v>5799.7</v>
      </c>
      <c r="M2559" s="63">
        <v>2.6460999999999998E-4</v>
      </c>
      <c r="N2559" s="63">
        <v>5799.7</v>
      </c>
      <c r="O2559" s="64">
        <v>2.6459999999999998E-4</v>
      </c>
    </row>
    <row r="2560" spans="1:15" x14ac:dyDescent="0.25">
      <c r="A2560" s="114" t="s">
        <v>868</v>
      </c>
      <c r="B2560" s="63" t="s">
        <v>65</v>
      </c>
      <c r="C2560" s="63" t="s">
        <v>69</v>
      </c>
      <c r="D2560" s="63">
        <v>1</v>
      </c>
      <c r="E2560" s="63">
        <v>100</v>
      </c>
      <c r="F2560" s="63">
        <v>1</v>
      </c>
      <c r="G2560" s="63" t="s">
        <v>6</v>
      </c>
      <c r="H2560" s="63" t="s">
        <v>6</v>
      </c>
      <c r="I2560" s="63">
        <v>0</v>
      </c>
      <c r="J2560" s="63">
        <v>0</v>
      </c>
      <c r="L2560" s="63">
        <v>1.5</v>
      </c>
      <c r="M2560" s="63">
        <v>1.0999999999999999E-2</v>
      </c>
      <c r="N2560" s="63">
        <v>1.4054</v>
      </c>
      <c r="O2560" s="64">
        <v>1.0453E-2</v>
      </c>
    </row>
    <row r="2561" spans="1:15" x14ac:dyDescent="0.25">
      <c r="A2561" s="114" t="s">
        <v>871</v>
      </c>
      <c r="B2561" s="63" t="s">
        <v>65</v>
      </c>
      <c r="C2561" s="63" t="s">
        <v>69</v>
      </c>
      <c r="D2561" s="63">
        <v>100</v>
      </c>
      <c r="E2561" s="63">
        <v>250</v>
      </c>
      <c r="F2561" s="63">
        <v>1</v>
      </c>
      <c r="G2561" s="63" t="s">
        <v>6</v>
      </c>
      <c r="H2561" s="63" t="s">
        <v>6</v>
      </c>
      <c r="I2561" s="63">
        <v>0</v>
      </c>
      <c r="J2561" s="63">
        <v>0</v>
      </c>
      <c r="L2561" s="63">
        <v>1.4</v>
      </c>
      <c r="M2561" s="63">
        <v>1.0999999999999999E-2</v>
      </c>
      <c r="N2561" s="63">
        <v>1.3332999999999999</v>
      </c>
      <c r="O2561" s="64">
        <v>1.1162E-2</v>
      </c>
    </row>
    <row r="2562" spans="1:15" x14ac:dyDescent="0.25">
      <c r="A2562" s="114" t="s">
        <v>2783</v>
      </c>
      <c r="B2562" s="63" t="s">
        <v>65</v>
      </c>
      <c r="C2562" s="63" t="s">
        <v>69</v>
      </c>
      <c r="D2562" s="63">
        <v>250</v>
      </c>
      <c r="E2562" s="63">
        <v>500</v>
      </c>
      <c r="F2562" s="63">
        <v>1</v>
      </c>
      <c r="G2562" s="63" t="s">
        <v>6</v>
      </c>
      <c r="H2562" s="63" t="s">
        <v>6</v>
      </c>
      <c r="I2562" s="63">
        <v>0</v>
      </c>
      <c r="J2562" s="63">
        <v>0</v>
      </c>
      <c r="L2562" s="63">
        <v>1.5</v>
      </c>
      <c r="M2562" s="63">
        <v>1.0999999999999999E-2</v>
      </c>
      <c r="N2562" s="63">
        <v>1.2696000000000001</v>
      </c>
      <c r="O2562" s="64">
        <v>1.1414000000000001E-2</v>
      </c>
    </row>
    <row r="2563" spans="1:15" x14ac:dyDescent="0.25">
      <c r="A2563" s="114" t="s">
        <v>2784</v>
      </c>
      <c r="B2563" s="63" t="s">
        <v>65</v>
      </c>
      <c r="C2563" s="63" t="s">
        <v>69</v>
      </c>
      <c r="D2563" s="63">
        <v>500</v>
      </c>
      <c r="E2563" s="63">
        <v>1000</v>
      </c>
      <c r="F2563" s="63">
        <v>1</v>
      </c>
      <c r="G2563" s="63" t="s">
        <v>6</v>
      </c>
      <c r="H2563" s="63" t="s">
        <v>6</v>
      </c>
      <c r="I2563" s="63">
        <v>0</v>
      </c>
      <c r="J2563" s="63">
        <v>0</v>
      </c>
      <c r="L2563" s="63">
        <v>1.8</v>
      </c>
      <c r="M2563" s="63">
        <v>1.0999999999999999E-2</v>
      </c>
      <c r="N2563" s="63">
        <v>1.2242</v>
      </c>
      <c r="O2563" s="64">
        <v>1.1504E-2</v>
      </c>
    </row>
    <row r="2564" spans="1:15" x14ac:dyDescent="0.25">
      <c r="A2564" s="114" t="s">
        <v>869</v>
      </c>
      <c r="B2564" s="63" t="s">
        <v>65</v>
      </c>
      <c r="C2564" s="63" t="s">
        <v>69</v>
      </c>
      <c r="D2564" s="63">
        <v>1</v>
      </c>
      <c r="E2564" s="63">
        <v>100</v>
      </c>
      <c r="F2564" s="63">
        <v>10</v>
      </c>
      <c r="G2564" s="63" t="s">
        <v>6</v>
      </c>
      <c r="H2564" s="63" t="s">
        <v>6</v>
      </c>
      <c r="I2564" s="63">
        <v>0</v>
      </c>
      <c r="J2564" s="63">
        <v>0</v>
      </c>
      <c r="L2564" s="63">
        <v>5.9149000000000003</v>
      </c>
      <c r="M2564" s="63">
        <v>3.8256000000000002E-3</v>
      </c>
      <c r="N2564" s="63">
        <v>5.9069000000000003</v>
      </c>
      <c r="O2564" s="64">
        <v>3.6668E-3</v>
      </c>
    </row>
    <row r="2565" spans="1:15" x14ac:dyDescent="0.25">
      <c r="A2565" s="114" t="s">
        <v>2785</v>
      </c>
      <c r="B2565" s="63" t="s">
        <v>65</v>
      </c>
      <c r="C2565" s="63" t="s">
        <v>69</v>
      </c>
      <c r="D2565" s="63">
        <v>100</v>
      </c>
      <c r="E2565" s="63">
        <v>250</v>
      </c>
      <c r="F2565" s="63">
        <v>10</v>
      </c>
      <c r="G2565" s="63" t="s">
        <v>6</v>
      </c>
      <c r="H2565" s="63" t="s">
        <v>6</v>
      </c>
      <c r="I2565" s="63">
        <v>0</v>
      </c>
      <c r="J2565" s="63">
        <v>0</v>
      </c>
      <c r="L2565" s="63">
        <v>5.6898999999999997</v>
      </c>
      <c r="M2565" s="63">
        <v>5.7678E-3</v>
      </c>
      <c r="N2565" s="63">
        <v>5.6798000000000002</v>
      </c>
      <c r="O2565" s="64">
        <v>5.6527000000000001E-3</v>
      </c>
    </row>
    <row r="2566" spans="1:15" x14ac:dyDescent="0.25">
      <c r="A2566" s="114" t="s">
        <v>2786</v>
      </c>
      <c r="B2566" s="63" t="s">
        <v>65</v>
      </c>
      <c r="C2566" s="63" t="s">
        <v>69</v>
      </c>
      <c r="D2566" s="63">
        <v>250</v>
      </c>
      <c r="E2566" s="63">
        <v>500</v>
      </c>
      <c r="F2566" s="63">
        <v>10</v>
      </c>
      <c r="G2566" s="63" t="s">
        <v>6</v>
      </c>
      <c r="H2566" s="63" t="s">
        <v>6</v>
      </c>
      <c r="I2566" s="63">
        <v>0</v>
      </c>
      <c r="J2566" s="63">
        <v>0</v>
      </c>
      <c r="L2566" s="63">
        <v>5.1032000000000002</v>
      </c>
      <c r="M2566" s="63">
        <v>8.0275999999999993E-3</v>
      </c>
      <c r="N2566" s="63">
        <v>5.0880999999999998</v>
      </c>
      <c r="O2566" s="64">
        <v>7.9319999999999998E-3</v>
      </c>
    </row>
    <row r="2567" spans="1:15" x14ac:dyDescent="0.25">
      <c r="A2567" s="114" t="s">
        <v>874</v>
      </c>
      <c r="B2567" s="63" t="s">
        <v>65</v>
      </c>
      <c r="C2567" s="63" t="s">
        <v>69</v>
      </c>
      <c r="D2567" s="63">
        <v>500</v>
      </c>
      <c r="E2567" s="63">
        <v>1000</v>
      </c>
      <c r="F2567" s="63">
        <v>10</v>
      </c>
      <c r="G2567" s="63" t="s">
        <v>6</v>
      </c>
      <c r="H2567" s="63" t="s">
        <v>6</v>
      </c>
      <c r="I2567" s="63">
        <v>0</v>
      </c>
      <c r="J2567" s="63">
        <v>0</v>
      </c>
      <c r="L2567" s="63">
        <v>4.1692999999999998</v>
      </c>
      <c r="M2567" s="63">
        <v>9.8749000000000007E-3</v>
      </c>
      <c r="N2567" s="63">
        <v>4.0987</v>
      </c>
      <c r="O2567" s="64">
        <v>9.8767000000000004E-3</v>
      </c>
    </row>
    <row r="2568" spans="1:15" x14ac:dyDescent="0.25">
      <c r="A2568" s="114" t="s">
        <v>870</v>
      </c>
      <c r="B2568" s="63" t="s">
        <v>65</v>
      </c>
      <c r="C2568" s="63" t="s">
        <v>69</v>
      </c>
      <c r="D2568" s="63">
        <v>1</v>
      </c>
      <c r="E2568" s="63">
        <v>100</v>
      </c>
      <c r="F2568" s="63">
        <v>100</v>
      </c>
      <c r="G2568" s="63" t="s">
        <v>6</v>
      </c>
      <c r="H2568" s="63" t="s">
        <v>6</v>
      </c>
      <c r="I2568" s="63">
        <v>0</v>
      </c>
      <c r="J2568" s="63">
        <v>0</v>
      </c>
      <c r="L2568" s="63">
        <v>57.917999999999999</v>
      </c>
      <c r="M2568" s="63">
        <v>3.3655999999999998E-3</v>
      </c>
      <c r="N2568" s="63">
        <v>57.914999999999999</v>
      </c>
      <c r="O2568" s="64">
        <v>3.2951999999999999E-3</v>
      </c>
    </row>
    <row r="2569" spans="1:15" x14ac:dyDescent="0.25">
      <c r="A2569" s="114" t="s">
        <v>872</v>
      </c>
      <c r="B2569" s="63" t="s">
        <v>65</v>
      </c>
      <c r="C2569" s="63" t="s">
        <v>69</v>
      </c>
      <c r="D2569" s="63">
        <v>100</v>
      </c>
      <c r="E2569" s="63">
        <v>250</v>
      </c>
      <c r="F2569" s="63">
        <v>100</v>
      </c>
      <c r="G2569" s="63" t="s">
        <v>6</v>
      </c>
      <c r="H2569" s="63" t="s">
        <v>6</v>
      </c>
      <c r="I2569" s="63">
        <v>0</v>
      </c>
      <c r="J2569" s="63">
        <v>0</v>
      </c>
      <c r="L2569" s="63">
        <v>57.719000000000001</v>
      </c>
      <c r="M2569" s="63">
        <v>2.4580000000000001E-3</v>
      </c>
      <c r="N2569" s="63">
        <v>57.716000000000001</v>
      </c>
      <c r="O2569" s="64">
        <v>2.3936000000000001E-3</v>
      </c>
    </row>
    <row r="2570" spans="1:15" x14ac:dyDescent="0.25">
      <c r="A2570" s="114" t="s">
        <v>873</v>
      </c>
      <c r="B2570" s="63" t="s">
        <v>65</v>
      </c>
      <c r="C2570" s="63" t="s">
        <v>69</v>
      </c>
      <c r="D2570" s="63">
        <v>250</v>
      </c>
      <c r="E2570" s="63">
        <v>500</v>
      </c>
      <c r="F2570" s="63">
        <v>100</v>
      </c>
      <c r="G2570" s="63" t="s">
        <v>6</v>
      </c>
      <c r="H2570" s="63" t="s">
        <v>6</v>
      </c>
      <c r="I2570" s="63">
        <v>0</v>
      </c>
      <c r="J2570" s="63">
        <v>0</v>
      </c>
      <c r="L2570" s="63">
        <v>57.497</v>
      </c>
      <c r="M2570" s="63">
        <v>2.2225000000000001E-3</v>
      </c>
      <c r="N2570" s="63">
        <v>57.502000000000002</v>
      </c>
      <c r="O2570" s="64">
        <v>2.1424999999999999E-3</v>
      </c>
    </row>
    <row r="2571" spans="1:15" x14ac:dyDescent="0.25">
      <c r="A2571" s="114" t="s">
        <v>875</v>
      </c>
      <c r="B2571" s="63" t="s">
        <v>65</v>
      </c>
      <c r="C2571" s="63" t="s">
        <v>69</v>
      </c>
      <c r="D2571" s="63">
        <v>500</v>
      </c>
      <c r="E2571" s="63">
        <v>1000</v>
      </c>
      <c r="F2571" s="63">
        <v>100</v>
      </c>
      <c r="G2571" s="63" t="s">
        <v>6</v>
      </c>
      <c r="H2571" s="63" t="s">
        <v>6</v>
      </c>
      <c r="I2571" s="63">
        <v>0</v>
      </c>
      <c r="J2571" s="63">
        <v>0</v>
      </c>
      <c r="L2571" s="63">
        <v>57.066000000000003</v>
      </c>
      <c r="M2571" s="63">
        <v>2.4926000000000002E-3</v>
      </c>
      <c r="N2571" s="63">
        <v>57.040999999999997</v>
      </c>
      <c r="O2571" s="64">
        <v>2.4497E-3</v>
      </c>
    </row>
    <row r="2572" spans="1:15" x14ac:dyDescent="0.25">
      <c r="A2572" s="114" t="s">
        <v>2018</v>
      </c>
      <c r="B2572" s="63" t="s">
        <v>65</v>
      </c>
      <c r="C2572" s="63" t="s">
        <v>70</v>
      </c>
      <c r="D2572" s="63">
        <v>250000</v>
      </c>
      <c r="E2572" s="63">
        <v>100000000</v>
      </c>
      <c r="F2572" s="63">
        <v>10000</v>
      </c>
      <c r="G2572" s="63" t="s">
        <v>46</v>
      </c>
      <c r="H2572" s="63" t="s">
        <v>47</v>
      </c>
      <c r="I2572" s="63">
        <v>0</v>
      </c>
      <c r="J2572" s="63">
        <v>0</v>
      </c>
      <c r="L2572" s="63">
        <v>18</v>
      </c>
      <c r="M2572" s="63">
        <v>9.2E-6</v>
      </c>
      <c r="N2572" s="63">
        <v>13.773</v>
      </c>
      <c r="O2572" s="64">
        <v>9.2419000000000004E-6</v>
      </c>
    </row>
    <row r="2573" spans="1:15" x14ac:dyDescent="0.25">
      <c r="A2573" s="114" t="s">
        <v>2021</v>
      </c>
      <c r="B2573" s="63" t="s">
        <v>65</v>
      </c>
      <c r="C2573" s="63" t="s">
        <v>70</v>
      </c>
      <c r="D2573" s="63">
        <v>100000000</v>
      </c>
      <c r="E2573" s="63">
        <v>250000000</v>
      </c>
      <c r="F2573" s="63">
        <v>10000</v>
      </c>
      <c r="G2573" s="63" t="s">
        <v>46</v>
      </c>
      <c r="H2573" s="63" t="s">
        <v>47</v>
      </c>
      <c r="I2573" s="63">
        <v>0</v>
      </c>
      <c r="J2573" s="63">
        <v>0</v>
      </c>
      <c r="L2573" s="63">
        <v>14</v>
      </c>
      <c r="M2573" s="63">
        <v>1.1E-5</v>
      </c>
      <c r="N2573" s="63">
        <v>13.510999999999999</v>
      </c>
      <c r="O2573" s="64">
        <v>1.0788000000000001E-5</v>
      </c>
    </row>
    <row r="2574" spans="1:15" x14ac:dyDescent="0.25">
      <c r="A2574" s="114" t="s">
        <v>2024</v>
      </c>
      <c r="B2574" s="63" t="s">
        <v>65</v>
      </c>
      <c r="C2574" s="63" t="s">
        <v>70</v>
      </c>
      <c r="D2574" s="63">
        <v>250000000</v>
      </c>
      <c r="E2574" s="63">
        <v>500000000</v>
      </c>
      <c r="F2574" s="63">
        <v>10000</v>
      </c>
      <c r="G2574" s="63" t="s">
        <v>46</v>
      </c>
      <c r="H2574" s="63" t="s">
        <v>47</v>
      </c>
      <c r="I2574" s="63">
        <v>0</v>
      </c>
      <c r="J2574" s="63">
        <v>0</v>
      </c>
      <c r="L2574" s="63">
        <v>18</v>
      </c>
      <c r="M2574" s="63">
        <v>1.1E-5</v>
      </c>
      <c r="N2574" s="63">
        <v>12.763999999999999</v>
      </c>
      <c r="O2574" s="64">
        <v>1.1009000000000001E-5</v>
      </c>
    </row>
    <row r="2575" spans="1:15" x14ac:dyDescent="0.25">
      <c r="A2575" s="114" t="s">
        <v>2027</v>
      </c>
      <c r="B2575" s="63" t="s">
        <v>65</v>
      </c>
      <c r="C2575" s="63" t="s">
        <v>70</v>
      </c>
      <c r="D2575" s="63">
        <v>500000000</v>
      </c>
      <c r="E2575" s="63">
        <v>1000000000</v>
      </c>
      <c r="F2575" s="63">
        <v>10000</v>
      </c>
      <c r="G2575" s="63" t="s">
        <v>46</v>
      </c>
      <c r="H2575" s="63" t="s">
        <v>47</v>
      </c>
      <c r="I2575" s="63">
        <v>0</v>
      </c>
      <c r="J2575" s="63">
        <v>0</v>
      </c>
      <c r="L2575" s="63">
        <v>25</v>
      </c>
      <c r="M2575" s="63">
        <v>1.1E-5</v>
      </c>
      <c r="N2575" s="63">
        <v>-76.510000000000005</v>
      </c>
      <c r="O2575" s="64">
        <v>1.1211E-5</v>
      </c>
    </row>
    <row r="2576" spans="1:15" x14ac:dyDescent="0.25">
      <c r="A2576" s="114" t="s">
        <v>2019</v>
      </c>
      <c r="B2576" s="63" t="s">
        <v>65</v>
      </c>
      <c r="C2576" s="63" t="s">
        <v>70</v>
      </c>
      <c r="D2576" s="63">
        <v>250000</v>
      </c>
      <c r="E2576" s="63">
        <v>100000000</v>
      </c>
      <c r="F2576" s="63">
        <v>100000</v>
      </c>
      <c r="G2576" s="63" t="s">
        <v>46</v>
      </c>
      <c r="H2576" s="63" t="s">
        <v>47</v>
      </c>
      <c r="I2576" s="63">
        <v>0</v>
      </c>
      <c r="J2576" s="63">
        <v>0</v>
      </c>
      <c r="L2576" s="63">
        <v>57.523000000000003</v>
      </c>
      <c r="M2576" s="63">
        <v>8.8223000000000002E-6</v>
      </c>
      <c r="N2576" s="63">
        <v>57.453000000000003</v>
      </c>
      <c r="O2576" s="64">
        <v>8.8227999999999996E-6</v>
      </c>
    </row>
    <row r="2577" spans="1:15" x14ac:dyDescent="0.25">
      <c r="A2577" s="114" t="s">
        <v>2787</v>
      </c>
      <c r="B2577" s="63" t="s">
        <v>65</v>
      </c>
      <c r="C2577" s="63" t="s">
        <v>70</v>
      </c>
      <c r="D2577" s="63">
        <v>100000000</v>
      </c>
      <c r="E2577" s="63">
        <v>250000000</v>
      </c>
      <c r="F2577" s="63">
        <v>100000</v>
      </c>
      <c r="G2577" s="63" t="s">
        <v>46</v>
      </c>
      <c r="H2577" s="63" t="s">
        <v>47</v>
      </c>
      <c r="I2577" s="63">
        <v>0</v>
      </c>
      <c r="J2577" s="63">
        <v>0</v>
      </c>
      <c r="L2577" s="63">
        <v>57.137999999999998</v>
      </c>
      <c r="M2577" s="63">
        <v>1.0616E-5</v>
      </c>
      <c r="N2577" s="63">
        <v>57.125</v>
      </c>
      <c r="O2577" s="64">
        <v>1.0616E-5</v>
      </c>
    </row>
    <row r="2578" spans="1:15" x14ac:dyDescent="0.25">
      <c r="A2578" s="114" t="s">
        <v>2025</v>
      </c>
      <c r="B2578" s="63" t="s">
        <v>65</v>
      </c>
      <c r="C2578" s="63" t="s">
        <v>70</v>
      </c>
      <c r="D2578" s="63">
        <v>250000000</v>
      </c>
      <c r="E2578" s="63">
        <v>500000000</v>
      </c>
      <c r="F2578" s="63">
        <v>100000</v>
      </c>
      <c r="G2578" s="63" t="s">
        <v>46</v>
      </c>
      <c r="H2578" s="63" t="s">
        <v>47</v>
      </c>
      <c r="I2578" s="63">
        <v>0</v>
      </c>
      <c r="J2578" s="63">
        <v>0</v>
      </c>
      <c r="L2578" s="63">
        <v>55.079000000000001</v>
      </c>
      <c r="M2578" s="63">
        <v>1.0925E-5</v>
      </c>
      <c r="N2578" s="63">
        <v>54.77</v>
      </c>
      <c r="O2578" s="64">
        <v>1.0926E-5</v>
      </c>
    </row>
    <row r="2579" spans="1:15" x14ac:dyDescent="0.25">
      <c r="A2579" s="114" t="s">
        <v>2788</v>
      </c>
      <c r="B2579" s="63" t="s">
        <v>65</v>
      </c>
      <c r="C2579" s="63" t="s">
        <v>70</v>
      </c>
      <c r="D2579" s="63">
        <v>500000000</v>
      </c>
      <c r="E2579" s="63">
        <v>1000000000</v>
      </c>
      <c r="F2579" s="63">
        <v>100000</v>
      </c>
      <c r="G2579" s="63" t="s">
        <v>46</v>
      </c>
      <c r="H2579" s="63" t="s">
        <v>47</v>
      </c>
      <c r="I2579" s="63">
        <v>0</v>
      </c>
      <c r="J2579" s="63">
        <v>0</v>
      </c>
      <c r="L2579" s="63">
        <v>25</v>
      </c>
      <c r="M2579" s="63">
        <v>1.1209000000000001E-5</v>
      </c>
      <c r="N2579" s="63">
        <v>-75.391000000000005</v>
      </c>
      <c r="O2579" s="64">
        <v>1.1209000000000001E-5</v>
      </c>
    </row>
    <row r="2580" spans="1:15" x14ac:dyDescent="0.25">
      <c r="A2580" s="114" t="s">
        <v>2789</v>
      </c>
      <c r="B2580" s="63" t="s">
        <v>65</v>
      </c>
      <c r="C2580" s="63" t="s">
        <v>70</v>
      </c>
      <c r="D2580" s="63">
        <v>250000</v>
      </c>
      <c r="E2580" s="63">
        <v>100000000</v>
      </c>
      <c r="F2580" s="63">
        <v>1000000</v>
      </c>
      <c r="G2580" s="63" t="s">
        <v>46</v>
      </c>
      <c r="H2580" s="63" t="s">
        <v>47</v>
      </c>
      <c r="I2580" s="63">
        <v>0</v>
      </c>
      <c r="J2580" s="63">
        <v>0</v>
      </c>
      <c r="L2580" s="63">
        <v>576.26</v>
      </c>
      <c r="M2580" s="63">
        <v>5.2658999999999998E-6</v>
      </c>
      <c r="N2580" s="63">
        <v>576.24</v>
      </c>
      <c r="O2580" s="64">
        <v>5.2654999999999998E-6</v>
      </c>
    </row>
    <row r="2581" spans="1:15" x14ac:dyDescent="0.25">
      <c r="A2581" s="114" t="s">
        <v>2790</v>
      </c>
      <c r="B2581" s="63" t="s">
        <v>65</v>
      </c>
      <c r="C2581" s="63" t="s">
        <v>70</v>
      </c>
      <c r="D2581" s="63">
        <v>100000000</v>
      </c>
      <c r="E2581" s="63">
        <v>250000000</v>
      </c>
      <c r="F2581" s="63">
        <v>1000000</v>
      </c>
      <c r="G2581" s="63" t="s">
        <v>46</v>
      </c>
      <c r="H2581" s="63" t="s">
        <v>47</v>
      </c>
      <c r="I2581" s="63">
        <v>0</v>
      </c>
      <c r="J2581" s="63">
        <v>0</v>
      </c>
      <c r="L2581" s="63">
        <v>575.4</v>
      </c>
      <c r="M2581" s="63">
        <v>8.7861000000000005E-6</v>
      </c>
      <c r="N2581" s="63">
        <v>575.35</v>
      </c>
      <c r="O2581" s="64">
        <v>8.7861000000000005E-6</v>
      </c>
    </row>
    <row r="2582" spans="1:15" x14ac:dyDescent="0.25">
      <c r="A2582" s="114" t="s">
        <v>2791</v>
      </c>
      <c r="B2582" s="63" t="s">
        <v>65</v>
      </c>
      <c r="C2582" s="63" t="s">
        <v>70</v>
      </c>
      <c r="D2582" s="63">
        <v>250000000</v>
      </c>
      <c r="E2582" s="63">
        <v>500000000</v>
      </c>
      <c r="F2582" s="63">
        <v>1000000</v>
      </c>
      <c r="G2582" s="63" t="s">
        <v>46</v>
      </c>
      <c r="H2582" s="63" t="s">
        <v>47</v>
      </c>
      <c r="I2582" s="63">
        <v>0</v>
      </c>
      <c r="J2582" s="63">
        <v>0</v>
      </c>
      <c r="L2582" s="63">
        <v>572.66999999999996</v>
      </c>
      <c r="M2582" s="63">
        <v>9.9500999999999998E-6</v>
      </c>
      <c r="N2582" s="63">
        <v>572.64</v>
      </c>
      <c r="O2582" s="64">
        <v>9.9500999999999998E-6</v>
      </c>
    </row>
    <row r="2583" spans="1:15" x14ac:dyDescent="0.25">
      <c r="A2583" s="114" t="s">
        <v>2792</v>
      </c>
      <c r="B2583" s="63" t="s">
        <v>65</v>
      </c>
      <c r="C2583" s="63" t="s">
        <v>70</v>
      </c>
      <c r="D2583" s="63">
        <v>500000000</v>
      </c>
      <c r="E2583" s="63">
        <v>1000000000</v>
      </c>
      <c r="F2583" s="63">
        <v>1000000</v>
      </c>
      <c r="G2583" s="63" t="s">
        <v>46</v>
      </c>
      <c r="H2583" s="63" t="s">
        <v>47</v>
      </c>
      <c r="I2583" s="63">
        <v>0</v>
      </c>
      <c r="J2583" s="63">
        <v>0</v>
      </c>
      <c r="L2583" s="63">
        <v>25</v>
      </c>
      <c r="M2583" s="63">
        <v>1.1045E-5</v>
      </c>
      <c r="N2583" s="63">
        <v>24.396000000000001</v>
      </c>
      <c r="O2583" s="64">
        <v>1.1045E-5</v>
      </c>
    </row>
    <row r="2584" spans="1:15" x14ac:dyDescent="0.25">
      <c r="A2584" s="114" t="s">
        <v>2020</v>
      </c>
      <c r="B2584" s="63" t="s">
        <v>65</v>
      </c>
      <c r="C2584" s="63" t="s">
        <v>70</v>
      </c>
      <c r="D2584" s="63">
        <v>250000</v>
      </c>
      <c r="E2584" s="63">
        <v>100000000</v>
      </c>
      <c r="F2584" s="63">
        <v>10000000</v>
      </c>
      <c r="G2584" s="63" t="s">
        <v>46</v>
      </c>
      <c r="H2584" s="63" t="s">
        <v>47</v>
      </c>
      <c r="I2584" s="63">
        <v>0</v>
      </c>
      <c r="J2584" s="63">
        <v>0</v>
      </c>
      <c r="L2584" s="63">
        <v>5775</v>
      </c>
      <c r="M2584" s="63">
        <v>1.0208E-6</v>
      </c>
      <c r="N2584" s="63">
        <v>5775</v>
      </c>
      <c r="O2584" s="64">
        <v>1.0204E-6</v>
      </c>
    </row>
    <row r="2585" spans="1:15" x14ac:dyDescent="0.25">
      <c r="A2585" s="114" t="s">
        <v>2022</v>
      </c>
      <c r="B2585" s="63" t="s">
        <v>65</v>
      </c>
      <c r="C2585" s="63" t="s">
        <v>70</v>
      </c>
      <c r="D2585" s="63">
        <v>100000000</v>
      </c>
      <c r="E2585" s="63">
        <v>250000000</v>
      </c>
      <c r="F2585" s="63">
        <v>10000000</v>
      </c>
      <c r="G2585" s="63" t="s">
        <v>46</v>
      </c>
      <c r="H2585" s="63" t="s">
        <v>47</v>
      </c>
      <c r="I2585" s="63">
        <v>0</v>
      </c>
      <c r="J2585" s="63">
        <v>0</v>
      </c>
      <c r="L2585" s="63">
        <v>5773</v>
      </c>
      <c r="M2585" s="63">
        <v>2.5170000000000002E-6</v>
      </c>
      <c r="N2585" s="63">
        <v>5772.9</v>
      </c>
      <c r="O2585" s="64">
        <v>2.5167E-6</v>
      </c>
    </row>
    <row r="2586" spans="1:15" x14ac:dyDescent="0.25">
      <c r="A2586" s="114" t="s">
        <v>2026</v>
      </c>
      <c r="B2586" s="63" t="s">
        <v>65</v>
      </c>
      <c r="C2586" s="63" t="s">
        <v>70</v>
      </c>
      <c r="D2586" s="63">
        <v>250000000</v>
      </c>
      <c r="E2586" s="63">
        <v>500000000</v>
      </c>
      <c r="F2586" s="63">
        <v>10000000</v>
      </c>
      <c r="G2586" s="63" t="s">
        <v>46</v>
      </c>
      <c r="H2586" s="63" t="s">
        <v>47</v>
      </c>
      <c r="I2586" s="63">
        <v>0</v>
      </c>
      <c r="J2586" s="63">
        <v>0</v>
      </c>
      <c r="L2586" s="63">
        <v>5771.4</v>
      </c>
      <c r="M2586" s="63">
        <v>4.4676000000000002E-6</v>
      </c>
      <c r="N2586" s="63">
        <v>5771.3</v>
      </c>
      <c r="O2586" s="64">
        <v>4.4673999999999998E-6</v>
      </c>
    </row>
    <row r="2587" spans="1:15" x14ac:dyDescent="0.25">
      <c r="A2587" s="114" t="s">
        <v>2028</v>
      </c>
      <c r="B2587" s="63" t="s">
        <v>65</v>
      </c>
      <c r="C2587" s="63" t="s">
        <v>70</v>
      </c>
      <c r="D2587" s="63">
        <v>500000000</v>
      </c>
      <c r="E2587" s="63">
        <v>1000000000</v>
      </c>
      <c r="F2587" s="63">
        <v>10000000</v>
      </c>
      <c r="G2587" s="63" t="s">
        <v>46</v>
      </c>
      <c r="H2587" s="63" t="s">
        <v>47</v>
      </c>
      <c r="I2587" s="63">
        <v>0</v>
      </c>
      <c r="J2587" s="63">
        <v>0</v>
      </c>
      <c r="L2587" s="63">
        <v>5114.5</v>
      </c>
      <c r="M2587" s="63">
        <v>7.3429999999999998E-6</v>
      </c>
      <c r="N2587" s="63">
        <v>5114.5</v>
      </c>
      <c r="O2587" s="64">
        <v>7.3428999999999996E-6</v>
      </c>
    </row>
    <row r="2588" spans="1:15" x14ac:dyDescent="0.25">
      <c r="A2588" s="114" t="s">
        <v>2023</v>
      </c>
      <c r="B2588" s="63" t="s">
        <v>65</v>
      </c>
      <c r="C2588" s="63" t="s">
        <v>70</v>
      </c>
      <c r="D2588" s="63">
        <v>100000000</v>
      </c>
      <c r="E2588" s="63">
        <v>250000000</v>
      </c>
      <c r="F2588" s="63">
        <v>100000000</v>
      </c>
      <c r="G2588" s="63" t="s">
        <v>46</v>
      </c>
      <c r="H2588" s="63" t="s">
        <v>47</v>
      </c>
      <c r="I2588" s="63">
        <v>0</v>
      </c>
      <c r="J2588" s="63">
        <v>0</v>
      </c>
      <c r="L2588" s="63">
        <v>57896</v>
      </c>
      <c r="M2588" s="63">
        <v>1.3129E-6</v>
      </c>
      <c r="N2588" s="63">
        <v>57896</v>
      </c>
      <c r="O2588" s="64">
        <v>1.3127999999999999E-6</v>
      </c>
    </row>
    <row r="2589" spans="1:15" x14ac:dyDescent="0.25">
      <c r="A2589" s="114" t="s">
        <v>2029</v>
      </c>
      <c r="B2589" s="63" t="s">
        <v>65</v>
      </c>
      <c r="C2589" s="63" t="s">
        <v>70</v>
      </c>
      <c r="D2589" s="63">
        <v>500000000</v>
      </c>
      <c r="E2589" s="63">
        <v>1000000000</v>
      </c>
      <c r="F2589" s="63">
        <v>100000000</v>
      </c>
      <c r="G2589" s="63" t="s">
        <v>46</v>
      </c>
      <c r="H2589" s="63" t="s">
        <v>47</v>
      </c>
      <c r="I2589" s="63">
        <v>0</v>
      </c>
      <c r="J2589" s="63">
        <v>0</v>
      </c>
      <c r="L2589" s="63">
        <v>57638</v>
      </c>
      <c r="M2589" s="63">
        <v>1.4394999999999999E-6</v>
      </c>
      <c r="N2589" s="63">
        <v>57638</v>
      </c>
      <c r="O2589" s="64">
        <v>1.4394999999999999E-6</v>
      </c>
    </row>
    <row r="2590" spans="1:15" x14ac:dyDescent="0.25">
      <c r="A2590" s="114" t="s">
        <v>859</v>
      </c>
      <c r="B2590" s="63" t="s">
        <v>65</v>
      </c>
      <c r="C2590" s="63" t="s">
        <v>71</v>
      </c>
      <c r="D2590" s="63">
        <v>-210</v>
      </c>
      <c r="E2590" s="63">
        <v>-100</v>
      </c>
      <c r="F2590" s="63">
        <v>0.1</v>
      </c>
      <c r="G2590" s="63" t="s">
        <v>23</v>
      </c>
      <c r="H2590" s="63" t="s">
        <v>23</v>
      </c>
      <c r="I2590" s="63">
        <v>0</v>
      </c>
      <c r="J2590" s="63">
        <v>0</v>
      </c>
      <c r="L2590" s="63">
        <v>1.3460795586909999</v>
      </c>
      <c r="M2590" s="63">
        <v>0</v>
      </c>
      <c r="N2590" s="63">
        <v>1.3448069606140001</v>
      </c>
      <c r="O2590" s="64">
        <v>0</v>
      </c>
    </row>
    <row r="2591" spans="1:15" x14ac:dyDescent="0.25">
      <c r="A2591" s="114" t="s">
        <v>862</v>
      </c>
      <c r="B2591" s="63" t="s">
        <v>65</v>
      </c>
      <c r="C2591" s="63" t="s">
        <v>71</v>
      </c>
      <c r="D2591" s="63">
        <v>-100</v>
      </c>
      <c r="E2591" s="63">
        <v>150</v>
      </c>
      <c r="F2591" s="63">
        <v>0.1</v>
      </c>
      <c r="G2591" s="63" t="s">
        <v>23</v>
      </c>
      <c r="H2591" s="63" t="s">
        <v>23</v>
      </c>
      <c r="I2591" s="63">
        <v>0</v>
      </c>
      <c r="J2591" s="63">
        <v>0</v>
      </c>
      <c r="L2591" s="63">
        <v>1.066462549593</v>
      </c>
      <c r="M2591" s="63">
        <v>0</v>
      </c>
      <c r="N2591" s="63">
        <v>1.065307969537</v>
      </c>
      <c r="O2591" s="64">
        <v>0</v>
      </c>
    </row>
    <row r="2592" spans="1:15" x14ac:dyDescent="0.25">
      <c r="A2592" s="114" t="s">
        <v>2793</v>
      </c>
      <c r="B2592" s="63" t="s">
        <v>65</v>
      </c>
      <c r="C2592" s="63" t="s">
        <v>71</v>
      </c>
      <c r="D2592" s="63">
        <v>150</v>
      </c>
      <c r="E2592" s="63">
        <v>760</v>
      </c>
      <c r="F2592" s="63">
        <v>0.1</v>
      </c>
      <c r="G2592" s="63" t="s">
        <v>23</v>
      </c>
      <c r="H2592" s="63" t="s">
        <v>23</v>
      </c>
      <c r="I2592" s="63">
        <v>0</v>
      </c>
      <c r="J2592" s="63">
        <v>0</v>
      </c>
      <c r="L2592" s="63">
        <v>1.1341934752839999</v>
      </c>
      <c r="M2592" s="63">
        <v>0</v>
      </c>
      <c r="N2592" s="63">
        <v>1.133886790941</v>
      </c>
      <c r="O2592" s="64">
        <v>0</v>
      </c>
    </row>
    <row r="2593" spans="1:15" x14ac:dyDescent="0.25">
      <c r="A2593" s="114" t="s">
        <v>866</v>
      </c>
      <c r="B2593" s="63" t="s">
        <v>65</v>
      </c>
      <c r="C2593" s="63" t="s">
        <v>71</v>
      </c>
      <c r="D2593" s="63">
        <v>760</v>
      </c>
      <c r="E2593" s="63">
        <v>1200</v>
      </c>
      <c r="F2593" s="63">
        <v>0.1</v>
      </c>
      <c r="G2593" s="63" t="s">
        <v>23</v>
      </c>
      <c r="H2593" s="63" t="s">
        <v>23</v>
      </c>
      <c r="I2593" s="63">
        <v>0</v>
      </c>
      <c r="J2593" s="63">
        <v>0</v>
      </c>
      <c r="L2593" s="63">
        <v>1.249497729165</v>
      </c>
      <c r="M2593" s="63">
        <v>0</v>
      </c>
      <c r="N2593" s="63">
        <v>1.2492193524290001</v>
      </c>
      <c r="O2593" s="64">
        <v>0</v>
      </c>
    </row>
    <row r="2594" spans="1:15" x14ac:dyDescent="0.25">
      <c r="A2594" s="114" t="s">
        <v>857</v>
      </c>
      <c r="B2594" s="63" t="s">
        <v>65</v>
      </c>
      <c r="C2594" s="63" t="s">
        <v>71</v>
      </c>
      <c r="D2594" s="63">
        <v>-346</v>
      </c>
      <c r="E2594" s="63">
        <v>-148</v>
      </c>
      <c r="F2594" s="63">
        <v>0.1</v>
      </c>
      <c r="G2594" s="63" t="s">
        <v>26</v>
      </c>
      <c r="H2594" s="63" t="s">
        <v>26</v>
      </c>
      <c r="I2594" s="63">
        <v>0</v>
      </c>
      <c r="J2594" s="63">
        <v>0</v>
      </c>
      <c r="L2594" s="63">
        <v>2.41677204368</v>
      </c>
      <c r="M2594" s="63">
        <v>0</v>
      </c>
      <c r="N2594" s="63">
        <v>2.414475512404</v>
      </c>
      <c r="O2594" s="64">
        <v>0</v>
      </c>
    </row>
    <row r="2595" spans="1:15" x14ac:dyDescent="0.25">
      <c r="A2595" s="114" t="s">
        <v>860</v>
      </c>
      <c r="B2595" s="63" t="s">
        <v>65</v>
      </c>
      <c r="C2595" s="63" t="s">
        <v>71</v>
      </c>
      <c r="D2595" s="63">
        <v>-148</v>
      </c>
      <c r="E2595" s="63">
        <v>302</v>
      </c>
      <c r="F2595" s="63">
        <v>0.1</v>
      </c>
      <c r="G2595" s="63" t="s">
        <v>26</v>
      </c>
      <c r="H2595" s="63" t="s">
        <v>26</v>
      </c>
      <c r="I2595" s="63">
        <v>0</v>
      </c>
      <c r="J2595" s="63">
        <v>0</v>
      </c>
      <c r="L2595" s="63">
        <v>1.916532785984</v>
      </c>
      <c r="M2595" s="63">
        <v>0</v>
      </c>
      <c r="N2595" s="63">
        <v>1.914451176876</v>
      </c>
      <c r="O2595" s="64">
        <v>0</v>
      </c>
    </row>
    <row r="2596" spans="1:15" x14ac:dyDescent="0.25">
      <c r="A2596" s="114" t="s">
        <v>864</v>
      </c>
      <c r="B2596" s="63" t="s">
        <v>65</v>
      </c>
      <c r="C2596" s="63" t="s">
        <v>71</v>
      </c>
      <c r="D2596" s="63">
        <v>302</v>
      </c>
      <c r="E2596" s="63">
        <v>1400</v>
      </c>
      <c r="F2596" s="63">
        <v>0.1</v>
      </c>
      <c r="G2596" s="63" t="s">
        <v>26</v>
      </c>
      <c r="H2596" s="63" t="s">
        <v>26</v>
      </c>
      <c r="I2596" s="63">
        <v>0</v>
      </c>
      <c r="J2596" s="63">
        <v>0</v>
      </c>
      <c r="L2596" s="63">
        <v>2.039283008265</v>
      </c>
      <c r="M2596" s="63">
        <v>0</v>
      </c>
      <c r="N2596" s="63">
        <v>2.0387303630829998</v>
      </c>
      <c r="O2596" s="64">
        <v>0</v>
      </c>
    </row>
    <row r="2597" spans="1:15" x14ac:dyDescent="0.25">
      <c r="A2597" s="114" t="s">
        <v>867</v>
      </c>
      <c r="B2597" s="63" t="s">
        <v>65</v>
      </c>
      <c r="C2597" s="63" t="s">
        <v>71</v>
      </c>
      <c r="D2597" s="63">
        <v>1400</v>
      </c>
      <c r="E2597" s="63">
        <v>2192</v>
      </c>
      <c r="F2597" s="63">
        <v>0.1</v>
      </c>
      <c r="G2597" s="63" t="s">
        <v>26</v>
      </c>
      <c r="H2597" s="63" t="s">
        <v>26</v>
      </c>
      <c r="I2597" s="63">
        <v>0</v>
      </c>
      <c r="J2597" s="63">
        <v>0</v>
      </c>
      <c r="L2597" s="63">
        <v>2.2469486547190001</v>
      </c>
      <c r="M2597" s="63">
        <v>0</v>
      </c>
      <c r="N2597" s="63">
        <v>2.246447097641</v>
      </c>
      <c r="O2597" s="64">
        <v>0</v>
      </c>
    </row>
    <row r="2598" spans="1:15" x14ac:dyDescent="0.25">
      <c r="A2598" s="114" t="s">
        <v>2794</v>
      </c>
      <c r="B2598" s="63" t="s">
        <v>65</v>
      </c>
      <c r="C2598" s="63" t="s">
        <v>71</v>
      </c>
      <c r="D2598" s="63">
        <v>-210</v>
      </c>
      <c r="E2598" s="63">
        <v>-100</v>
      </c>
      <c r="F2598" s="63">
        <v>1</v>
      </c>
      <c r="G2598" s="63" t="s">
        <v>23</v>
      </c>
      <c r="H2598" s="63" t="s">
        <v>23</v>
      </c>
      <c r="I2598" s="63">
        <v>0</v>
      </c>
      <c r="J2598" s="63">
        <v>0</v>
      </c>
      <c r="L2598" s="63">
        <v>1.467039000625</v>
      </c>
      <c r="M2598" s="63">
        <v>0</v>
      </c>
      <c r="N2598" s="63">
        <v>1.462363074382</v>
      </c>
      <c r="O2598" s="64">
        <v>0</v>
      </c>
    </row>
    <row r="2599" spans="1:15" x14ac:dyDescent="0.25">
      <c r="A2599" s="114" t="s">
        <v>863</v>
      </c>
      <c r="B2599" s="63" t="s">
        <v>65</v>
      </c>
      <c r="C2599" s="63" t="s">
        <v>71</v>
      </c>
      <c r="D2599" s="63">
        <v>-100</v>
      </c>
      <c r="E2599" s="63">
        <v>150</v>
      </c>
      <c r="F2599" s="63">
        <v>1</v>
      </c>
      <c r="G2599" s="63" t="s">
        <v>23</v>
      </c>
      <c r="H2599" s="63" t="s">
        <v>23</v>
      </c>
      <c r="I2599" s="63">
        <v>0</v>
      </c>
      <c r="J2599" s="63">
        <v>0</v>
      </c>
      <c r="L2599" s="63">
        <v>1.214383081594</v>
      </c>
      <c r="M2599" s="63">
        <v>0</v>
      </c>
      <c r="N2599" s="63">
        <v>1.210322713147</v>
      </c>
      <c r="O2599" s="64">
        <v>0</v>
      </c>
    </row>
    <row r="2600" spans="1:15" x14ac:dyDescent="0.25">
      <c r="A2600" s="114" t="s">
        <v>2795</v>
      </c>
      <c r="B2600" s="63" t="s">
        <v>65</v>
      </c>
      <c r="C2600" s="63" t="s">
        <v>71</v>
      </c>
      <c r="D2600" s="63">
        <v>150</v>
      </c>
      <c r="E2600" s="63">
        <v>760</v>
      </c>
      <c r="F2600" s="63">
        <v>1</v>
      </c>
      <c r="G2600" s="63" t="s">
        <v>23</v>
      </c>
      <c r="H2600" s="63" t="s">
        <v>23</v>
      </c>
      <c r="I2600" s="63">
        <v>0</v>
      </c>
      <c r="J2600" s="63">
        <v>0</v>
      </c>
      <c r="L2600" s="63">
        <v>1.27219557989</v>
      </c>
      <c r="M2600" s="63">
        <v>0</v>
      </c>
      <c r="N2600" s="63">
        <v>1.271101591011</v>
      </c>
      <c r="O2600" s="64">
        <v>0</v>
      </c>
    </row>
    <row r="2601" spans="1:15" x14ac:dyDescent="0.25">
      <c r="A2601" s="114" t="s">
        <v>2796</v>
      </c>
      <c r="B2601" s="63" t="s">
        <v>65</v>
      </c>
      <c r="C2601" s="63" t="s">
        <v>71</v>
      </c>
      <c r="D2601" s="63">
        <v>760</v>
      </c>
      <c r="E2601" s="63">
        <v>1200</v>
      </c>
      <c r="F2601" s="63">
        <v>1</v>
      </c>
      <c r="G2601" s="63" t="s">
        <v>23</v>
      </c>
      <c r="H2601" s="63" t="s">
        <v>23</v>
      </c>
      <c r="I2601" s="63">
        <v>0</v>
      </c>
      <c r="J2601" s="63">
        <v>0</v>
      </c>
      <c r="L2601" s="63">
        <v>1.37598376782</v>
      </c>
      <c r="M2601" s="63">
        <v>0</v>
      </c>
      <c r="N2601" s="63">
        <v>1.3749723598979999</v>
      </c>
      <c r="O2601" s="64">
        <v>0</v>
      </c>
    </row>
    <row r="2602" spans="1:15" x14ac:dyDescent="0.25">
      <c r="A2602" s="114" t="s">
        <v>858</v>
      </c>
      <c r="B2602" s="63" t="s">
        <v>65</v>
      </c>
      <c r="C2602" s="63" t="s">
        <v>71</v>
      </c>
      <c r="D2602" s="63">
        <v>-346</v>
      </c>
      <c r="E2602" s="63">
        <v>-148</v>
      </c>
      <c r="F2602" s="63">
        <v>1</v>
      </c>
      <c r="G2602" s="63" t="s">
        <v>26</v>
      </c>
      <c r="H2602" s="63" t="s">
        <v>26</v>
      </c>
      <c r="I2602" s="63">
        <v>0</v>
      </c>
      <c r="J2602" s="63">
        <v>0</v>
      </c>
      <c r="L2602" s="63">
        <v>2.490797551879</v>
      </c>
      <c r="M2602" s="63">
        <v>0</v>
      </c>
      <c r="N2602" s="63">
        <v>2.4818726800539999</v>
      </c>
      <c r="O2602" s="64">
        <v>0</v>
      </c>
    </row>
    <row r="2603" spans="1:15" x14ac:dyDescent="0.25">
      <c r="A2603" s="114" t="s">
        <v>861</v>
      </c>
      <c r="B2603" s="63" t="s">
        <v>65</v>
      </c>
      <c r="C2603" s="63" t="s">
        <v>71</v>
      </c>
      <c r="D2603" s="63">
        <v>-148</v>
      </c>
      <c r="E2603" s="63">
        <v>302</v>
      </c>
      <c r="F2603" s="63">
        <v>1</v>
      </c>
      <c r="G2603" s="63" t="s">
        <v>26</v>
      </c>
      <c r="H2603" s="63" t="s">
        <v>26</v>
      </c>
      <c r="I2603" s="63">
        <v>0</v>
      </c>
      <c r="J2603" s="63">
        <v>0</v>
      </c>
      <c r="L2603" s="63">
        <v>2.006744067659</v>
      </c>
      <c r="M2603" s="63">
        <v>0</v>
      </c>
      <c r="N2603" s="63">
        <v>1.998780455338</v>
      </c>
      <c r="O2603" s="64">
        <v>0</v>
      </c>
    </row>
    <row r="2604" spans="1:15" x14ac:dyDescent="0.25">
      <c r="A2604" s="114" t="s">
        <v>865</v>
      </c>
      <c r="B2604" s="63" t="s">
        <v>65</v>
      </c>
      <c r="C2604" s="63" t="s">
        <v>71</v>
      </c>
      <c r="D2604" s="63">
        <v>302</v>
      </c>
      <c r="E2604" s="63">
        <v>1400</v>
      </c>
      <c r="F2604" s="63">
        <v>1</v>
      </c>
      <c r="G2604" s="63" t="s">
        <v>26</v>
      </c>
      <c r="H2604" s="63" t="s">
        <v>26</v>
      </c>
      <c r="I2604" s="63">
        <v>0</v>
      </c>
      <c r="J2604" s="63">
        <v>0</v>
      </c>
      <c r="L2604" s="63">
        <v>2.1202443894830001</v>
      </c>
      <c r="M2604" s="63">
        <v>0</v>
      </c>
      <c r="N2604" s="63">
        <v>2.1181174408789998</v>
      </c>
      <c r="O2604" s="64">
        <v>0</v>
      </c>
    </row>
    <row r="2605" spans="1:15" x14ac:dyDescent="0.25">
      <c r="A2605" s="114" t="s">
        <v>2797</v>
      </c>
      <c r="B2605" s="63" t="s">
        <v>65</v>
      </c>
      <c r="C2605" s="63" t="s">
        <v>71</v>
      </c>
      <c r="D2605" s="63">
        <v>1400</v>
      </c>
      <c r="E2605" s="63">
        <v>2192</v>
      </c>
      <c r="F2605" s="63">
        <v>1</v>
      </c>
      <c r="G2605" s="63" t="s">
        <v>26</v>
      </c>
      <c r="H2605" s="63" t="s">
        <v>26</v>
      </c>
      <c r="I2605" s="63">
        <v>0</v>
      </c>
      <c r="J2605" s="63">
        <v>0</v>
      </c>
      <c r="L2605" s="63">
        <v>2.3206764833290001</v>
      </c>
      <c r="M2605" s="63">
        <v>0</v>
      </c>
      <c r="N2605" s="63">
        <v>2.318733396167</v>
      </c>
      <c r="O2605" s="64">
        <v>0</v>
      </c>
    </row>
    <row r="2606" spans="1:15" x14ac:dyDescent="0.25">
      <c r="A2606" s="114" t="s">
        <v>2798</v>
      </c>
      <c r="B2606" s="63" t="s">
        <v>65</v>
      </c>
      <c r="C2606" s="63" t="s">
        <v>72</v>
      </c>
      <c r="D2606" s="63">
        <v>-200</v>
      </c>
      <c r="E2606" s="63">
        <v>-100</v>
      </c>
      <c r="F2606" s="63">
        <v>0.1</v>
      </c>
      <c r="G2606" s="63" t="s">
        <v>23</v>
      </c>
      <c r="H2606" s="63" t="s">
        <v>23</v>
      </c>
      <c r="I2606" s="63">
        <v>0</v>
      </c>
      <c r="J2606" s="63">
        <v>0</v>
      </c>
      <c r="L2606" s="63">
        <v>1.439755064449</v>
      </c>
      <c r="M2606" s="63">
        <v>0</v>
      </c>
      <c r="N2606" s="63">
        <v>1.4381747431259999</v>
      </c>
      <c r="O2606" s="64">
        <v>0</v>
      </c>
    </row>
    <row r="2607" spans="1:15" x14ac:dyDescent="0.25">
      <c r="A2607" s="114" t="s">
        <v>851</v>
      </c>
      <c r="B2607" s="63" t="s">
        <v>65</v>
      </c>
      <c r="C2607" s="63" t="s">
        <v>72</v>
      </c>
      <c r="D2607" s="63">
        <v>-100</v>
      </c>
      <c r="E2607" s="63">
        <v>120</v>
      </c>
      <c r="F2607" s="63">
        <v>0.1</v>
      </c>
      <c r="G2607" s="63" t="s">
        <v>23</v>
      </c>
      <c r="H2607" s="63" t="s">
        <v>23</v>
      </c>
      <c r="I2607" s="63">
        <v>0</v>
      </c>
      <c r="J2607" s="63">
        <v>0</v>
      </c>
      <c r="L2607" s="63">
        <v>1.160049146705</v>
      </c>
      <c r="M2607" s="63">
        <v>0</v>
      </c>
      <c r="N2607" s="63">
        <v>1.158087202645</v>
      </c>
      <c r="O2607" s="64">
        <v>0</v>
      </c>
    </row>
    <row r="2608" spans="1:15" x14ac:dyDescent="0.25">
      <c r="A2608" s="114" t="s">
        <v>853</v>
      </c>
      <c r="B2608" s="63" t="s">
        <v>65</v>
      </c>
      <c r="C2608" s="63" t="s">
        <v>72</v>
      </c>
      <c r="D2608" s="63">
        <v>120</v>
      </c>
      <c r="E2608" s="63">
        <v>1370</v>
      </c>
      <c r="F2608" s="63">
        <v>0.1</v>
      </c>
      <c r="G2608" s="63" t="s">
        <v>23</v>
      </c>
      <c r="H2608" s="63" t="s">
        <v>23</v>
      </c>
      <c r="I2608" s="63">
        <v>0</v>
      </c>
      <c r="J2608" s="63">
        <v>0</v>
      </c>
      <c r="L2608" s="63">
        <v>1.4120823717469999</v>
      </c>
      <c r="M2608" s="63">
        <v>0</v>
      </c>
      <c r="N2608" s="63">
        <v>1.411267460271</v>
      </c>
      <c r="O2608" s="64">
        <v>0</v>
      </c>
    </row>
    <row r="2609" spans="1:15" x14ac:dyDescent="0.25">
      <c r="A2609" s="114" t="s">
        <v>846</v>
      </c>
      <c r="B2609" s="63" t="s">
        <v>65</v>
      </c>
      <c r="C2609" s="63" t="s">
        <v>72</v>
      </c>
      <c r="D2609" s="63">
        <v>-328</v>
      </c>
      <c r="E2609" s="63">
        <v>-148</v>
      </c>
      <c r="F2609" s="63">
        <v>0.1</v>
      </c>
      <c r="G2609" s="63" t="s">
        <v>26</v>
      </c>
      <c r="H2609" s="63" t="s">
        <v>26</v>
      </c>
      <c r="I2609" s="63">
        <v>0</v>
      </c>
      <c r="J2609" s="63">
        <v>0</v>
      </c>
      <c r="L2609" s="63">
        <v>2.5841262594719998</v>
      </c>
      <c r="M2609" s="63">
        <v>0</v>
      </c>
      <c r="N2609" s="63">
        <v>2.5812734900529999</v>
      </c>
      <c r="O2609" s="64">
        <v>0</v>
      </c>
    </row>
    <row r="2610" spans="1:15" x14ac:dyDescent="0.25">
      <c r="A2610" s="114" t="s">
        <v>849</v>
      </c>
      <c r="B2610" s="63" t="s">
        <v>65</v>
      </c>
      <c r="C2610" s="63" t="s">
        <v>72</v>
      </c>
      <c r="D2610" s="63">
        <v>-148</v>
      </c>
      <c r="E2610" s="63">
        <v>248</v>
      </c>
      <c r="F2610" s="63">
        <v>0.1</v>
      </c>
      <c r="G2610" s="63" t="s">
        <v>26</v>
      </c>
      <c r="H2610" s="63" t="s">
        <v>26</v>
      </c>
      <c r="I2610" s="63">
        <v>0</v>
      </c>
      <c r="J2610" s="63">
        <v>0</v>
      </c>
      <c r="L2610" s="63">
        <v>2.0844413884919999</v>
      </c>
      <c r="M2610" s="63">
        <v>0</v>
      </c>
      <c r="N2610" s="63">
        <v>2.0809036997449999</v>
      </c>
      <c r="O2610" s="64">
        <v>0</v>
      </c>
    </row>
    <row r="2611" spans="1:15" x14ac:dyDescent="0.25">
      <c r="A2611" s="114" t="s">
        <v>855</v>
      </c>
      <c r="B2611" s="63" t="s">
        <v>65</v>
      </c>
      <c r="C2611" s="63" t="s">
        <v>72</v>
      </c>
      <c r="D2611" s="63">
        <v>248</v>
      </c>
      <c r="E2611" s="63">
        <v>2500</v>
      </c>
      <c r="F2611" s="63">
        <v>0.1</v>
      </c>
      <c r="G2611" s="63" t="s">
        <v>26</v>
      </c>
      <c r="H2611" s="63" t="s">
        <v>26</v>
      </c>
      <c r="I2611" s="63">
        <v>0</v>
      </c>
      <c r="J2611" s="63">
        <v>0</v>
      </c>
      <c r="L2611" s="63">
        <v>2.5390574256759999</v>
      </c>
      <c r="M2611" s="63">
        <v>0</v>
      </c>
      <c r="N2611" s="63">
        <v>2.537589029591</v>
      </c>
      <c r="O2611" s="64">
        <v>0</v>
      </c>
    </row>
    <row r="2612" spans="1:15" x14ac:dyDescent="0.25">
      <c r="A2612" s="114" t="s">
        <v>848</v>
      </c>
      <c r="B2612" s="63" t="s">
        <v>65</v>
      </c>
      <c r="C2612" s="63" t="s">
        <v>72</v>
      </c>
      <c r="D2612" s="63">
        <v>-200</v>
      </c>
      <c r="E2612" s="63">
        <v>-100</v>
      </c>
      <c r="F2612" s="63">
        <v>1</v>
      </c>
      <c r="G2612" s="63" t="s">
        <v>23</v>
      </c>
      <c r="H2612" s="63" t="s">
        <v>23</v>
      </c>
      <c r="I2612" s="63">
        <v>0</v>
      </c>
      <c r="J2612" s="63">
        <v>0</v>
      </c>
      <c r="L2612" s="63">
        <v>1.5545220510269999</v>
      </c>
      <c r="M2612" s="63">
        <v>0</v>
      </c>
      <c r="N2612" s="63">
        <v>1.5486596113310001</v>
      </c>
      <c r="O2612" s="64">
        <v>0</v>
      </c>
    </row>
    <row r="2613" spans="1:15" x14ac:dyDescent="0.25">
      <c r="A2613" s="114" t="s">
        <v>852</v>
      </c>
      <c r="B2613" s="63" t="s">
        <v>65</v>
      </c>
      <c r="C2613" s="63" t="s">
        <v>72</v>
      </c>
      <c r="D2613" s="63">
        <v>-100</v>
      </c>
      <c r="E2613" s="63">
        <v>120</v>
      </c>
      <c r="F2613" s="63">
        <v>1</v>
      </c>
      <c r="G2613" s="63" t="s">
        <v>23</v>
      </c>
      <c r="H2613" s="63" t="s">
        <v>23</v>
      </c>
      <c r="I2613" s="63">
        <v>0</v>
      </c>
      <c r="J2613" s="63">
        <v>0</v>
      </c>
      <c r="L2613" s="63">
        <v>1.2997531243639999</v>
      </c>
      <c r="M2613" s="63">
        <v>0</v>
      </c>
      <c r="N2613" s="63">
        <v>1.2927358465400001</v>
      </c>
      <c r="O2613" s="64">
        <v>0</v>
      </c>
    </row>
    <row r="2614" spans="1:15" x14ac:dyDescent="0.25">
      <c r="A2614" s="114" t="s">
        <v>854</v>
      </c>
      <c r="B2614" s="63" t="s">
        <v>65</v>
      </c>
      <c r="C2614" s="63" t="s">
        <v>72</v>
      </c>
      <c r="D2614" s="63">
        <v>120</v>
      </c>
      <c r="E2614" s="63">
        <v>1370</v>
      </c>
      <c r="F2614" s="63">
        <v>1</v>
      </c>
      <c r="G2614" s="63" t="s">
        <v>23</v>
      </c>
      <c r="H2614" s="63" t="s">
        <v>23</v>
      </c>
      <c r="I2614" s="63">
        <v>0</v>
      </c>
      <c r="J2614" s="63">
        <v>0</v>
      </c>
      <c r="L2614" s="63">
        <v>1.5267216397009999</v>
      </c>
      <c r="M2614" s="63">
        <v>0</v>
      </c>
      <c r="N2614" s="63">
        <v>1.5237046447460001</v>
      </c>
      <c r="O2614" s="64">
        <v>0</v>
      </c>
    </row>
    <row r="2615" spans="1:15" x14ac:dyDescent="0.25">
      <c r="A2615" s="114" t="s">
        <v>847</v>
      </c>
      <c r="B2615" s="63" t="s">
        <v>65</v>
      </c>
      <c r="C2615" s="63" t="s">
        <v>72</v>
      </c>
      <c r="D2615" s="63">
        <v>-328</v>
      </c>
      <c r="E2615" s="63">
        <v>-148</v>
      </c>
      <c r="F2615" s="63">
        <v>1</v>
      </c>
      <c r="G2615" s="63" t="s">
        <v>26</v>
      </c>
      <c r="H2615" s="63" t="s">
        <v>26</v>
      </c>
      <c r="I2615" s="63">
        <v>0</v>
      </c>
      <c r="J2615" s="63">
        <v>0</v>
      </c>
      <c r="L2615" s="63">
        <v>2.655544314868</v>
      </c>
      <c r="M2615" s="63">
        <v>0</v>
      </c>
      <c r="N2615" s="63">
        <v>2.644422967388</v>
      </c>
      <c r="O2615" s="64">
        <v>0</v>
      </c>
    </row>
    <row r="2616" spans="1:15" x14ac:dyDescent="0.25">
      <c r="A2616" s="114" t="s">
        <v>850</v>
      </c>
      <c r="B2616" s="63" t="s">
        <v>65</v>
      </c>
      <c r="C2616" s="63" t="s">
        <v>72</v>
      </c>
      <c r="D2616" s="63">
        <v>-148</v>
      </c>
      <c r="E2616" s="63">
        <v>248</v>
      </c>
      <c r="F2616" s="63">
        <v>1</v>
      </c>
      <c r="G2616" s="63" t="s">
        <v>26</v>
      </c>
      <c r="H2616" s="63" t="s">
        <v>26</v>
      </c>
      <c r="I2616" s="63">
        <v>0</v>
      </c>
      <c r="J2616" s="63">
        <v>0</v>
      </c>
      <c r="L2616" s="63">
        <v>2.1723496462099998</v>
      </c>
      <c r="M2616" s="63">
        <v>0</v>
      </c>
      <c r="N2616" s="63">
        <v>2.1587404215450001</v>
      </c>
      <c r="O2616" s="64">
        <v>0</v>
      </c>
    </row>
    <row r="2617" spans="1:15" x14ac:dyDescent="0.25">
      <c r="A2617" s="114" t="s">
        <v>856</v>
      </c>
      <c r="B2617" s="63" t="s">
        <v>65</v>
      </c>
      <c r="C2617" s="63" t="s">
        <v>72</v>
      </c>
      <c r="D2617" s="63">
        <v>248</v>
      </c>
      <c r="E2617" s="63">
        <v>2500</v>
      </c>
      <c r="F2617" s="63">
        <v>1</v>
      </c>
      <c r="G2617" s="63" t="s">
        <v>26</v>
      </c>
      <c r="H2617" s="63" t="s">
        <v>26</v>
      </c>
      <c r="I2617" s="63">
        <v>0</v>
      </c>
      <c r="J2617" s="63">
        <v>0</v>
      </c>
      <c r="L2617" s="63">
        <v>2.6075229997479998</v>
      </c>
      <c r="M2617" s="63">
        <v>0</v>
      </c>
      <c r="N2617" s="63">
        <v>2.601799008975</v>
      </c>
      <c r="O2617" s="64">
        <v>0</v>
      </c>
    </row>
    <row r="2618" spans="1:15" x14ac:dyDescent="0.25">
      <c r="A2618" s="114" t="s">
        <v>838</v>
      </c>
      <c r="B2618" s="63" t="s">
        <v>65</v>
      </c>
      <c r="C2618" s="63" t="s">
        <v>73</v>
      </c>
      <c r="D2618" s="63">
        <v>-200</v>
      </c>
      <c r="E2618" s="63">
        <v>-100</v>
      </c>
      <c r="F2618" s="63">
        <v>0.1</v>
      </c>
      <c r="G2618" s="63" t="s">
        <v>23</v>
      </c>
      <c r="H2618" s="63" t="s">
        <v>23</v>
      </c>
      <c r="I2618" s="63">
        <v>0</v>
      </c>
      <c r="J2618" s="63">
        <v>0</v>
      </c>
      <c r="L2618" s="63">
        <v>1.7820036995349999</v>
      </c>
      <c r="M2618" s="63">
        <v>0</v>
      </c>
      <c r="N2618" s="63">
        <v>1.7806369905799999</v>
      </c>
      <c r="O2618" s="64">
        <v>0</v>
      </c>
    </row>
    <row r="2619" spans="1:15" x14ac:dyDescent="0.25">
      <c r="A2619" s="114" t="s">
        <v>841</v>
      </c>
      <c r="B2619" s="63" t="s">
        <v>65</v>
      </c>
      <c r="C2619" s="63" t="s">
        <v>73</v>
      </c>
      <c r="D2619" s="63">
        <v>-100</v>
      </c>
      <c r="E2619" s="63">
        <v>410</v>
      </c>
      <c r="F2619" s="63">
        <v>0.1</v>
      </c>
      <c r="G2619" s="63" t="s">
        <v>23</v>
      </c>
      <c r="H2619" s="63" t="s">
        <v>23</v>
      </c>
      <c r="I2619" s="63">
        <v>0</v>
      </c>
      <c r="J2619" s="63">
        <v>0</v>
      </c>
      <c r="L2619" s="63">
        <v>1.2762020275020001</v>
      </c>
      <c r="M2619" s="63">
        <v>0</v>
      </c>
      <c r="N2619" s="63">
        <v>1.2748596777650001</v>
      </c>
      <c r="O2619" s="64">
        <v>0</v>
      </c>
    </row>
    <row r="2620" spans="1:15" x14ac:dyDescent="0.25">
      <c r="A2620" s="114" t="s">
        <v>843</v>
      </c>
      <c r="B2620" s="63" t="s">
        <v>65</v>
      </c>
      <c r="C2620" s="63" t="s">
        <v>73</v>
      </c>
      <c r="D2620" s="63">
        <v>410</v>
      </c>
      <c r="E2620" s="63">
        <v>1300</v>
      </c>
      <c r="F2620" s="63">
        <v>0.1</v>
      </c>
      <c r="G2620" s="63" t="s">
        <v>23</v>
      </c>
      <c r="H2620" s="63" t="s">
        <v>23</v>
      </c>
      <c r="I2620" s="63">
        <v>0</v>
      </c>
      <c r="J2620" s="63">
        <v>0</v>
      </c>
      <c r="L2620" s="63">
        <v>1.3657911635390001</v>
      </c>
      <c r="M2620" s="63">
        <v>0</v>
      </c>
      <c r="N2620" s="63">
        <v>1.3650662113309999</v>
      </c>
      <c r="O2620" s="64">
        <v>0</v>
      </c>
    </row>
    <row r="2621" spans="1:15" x14ac:dyDescent="0.25">
      <c r="A2621" s="114" t="s">
        <v>836</v>
      </c>
      <c r="B2621" s="63" t="s">
        <v>65</v>
      </c>
      <c r="C2621" s="63" t="s">
        <v>73</v>
      </c>
      <c r="D2621" s="63">
        <v>-328</v>
      </c>
      <c r="E2621" s="63">
        <v>-148</v>
      </c>
      <c r="F2621" s="63">
        <v>0.1</v>
      </c>
      <c r="G2621" s="63" t="s">
        <v>26</v>
      </c>
      <c r="H2621" s="63" t="s">
        <v>26</v>
      </c>
      <c r="I2621" s="63">
        <v>0</v>
      </c>
      <c r="J2621" s="63">
        <v>0</v>
      </c>
      <c r="L2621" s="63">
        <v>3.204988329466</v>
      </c>
      <c r="M2621" s="63">
        <v>0</v>
      </c>
      <c r="N2621" s="63">
        <v>3.202526242032</v>
      </c>
      <c r="O2621" s="64">
        <v>0</v>
      </c>
    </row>
    <row r="2622" spans="1:15" x14ac:dyDescent="0.25">
      <c r="A2622" s="114" t="s">
        <v>839</v>
      </c>
      <c r="B2622" s="63" t="s">
        <v>65</v>
      </c>
      <c r="C2622" s="63" t="s">
        <v>73</v>
      </c>
      <c r="D2622" s="63">
        <v>-148</v>
      </c>
      <c r="E2622" s="63">
        <v>770</v>
      </c>
      <c r="F2622" s="63">
        <v>0.1</v>
      </c>
      <c r="G2622" s="63" t="s">
        <v>26</v>
      </c>
      <c r="H2622" s="63" t="s">
        <v>26</v>
      </c>
      <c r="I2622" s="63">
        <v>0</v>
      </c>
      <c r="J2622" s="63">
        <v>0</v>
      </c>
      <c r="L2622" s="63">
        <v>2.2918456640409999</v>
      </c>
      <c r="M2622" s="63">
        <v>0</v>
      </c>
      <c r="N2622" s="63">
        <v>2.2894238219849998</v>
      </c>
      <c r="O2622" s="64">
        <v>0</v>
      </c>
    </row>
    <row r="2623" spans="1:15" x14ac:dyDescent="0.25">
      <c r="A2623" s="114" t="s">
        <v>2799</v>
      </c>
      <c r="B2623" s="63" t="s">
        <v>65</v>
      </c>
      <c r="C2623" s="63" t="s">
        <v>73</v>
      </c>
      <c r="D2623" s="63">
        <v>770</v>
      </c>
      <c r="E2623" s="63">
        <v>2372</v>
      </c>
      <c r="F2623" s="63">
        <v>0.1</v>
      </c>
      <c r="G2623" s="63" t="s">
        <v>26</v>
      </c>
      <c r="H2623" s="63" t="s">
        <v>26</v>
      </c>
      <c r="I2623" s="63">
        <v>0</v>
      </c>
      <c r="J2623" s="63">
        <v>0</v>
      </c>
      <c r="L2623" s="63">
        <v>2.455765127432</v>
      </c>
      <c r="M2623" s="63">
        <v>0</v>
      </c>
      <c r="N2623" s="63">
        <v>2.454458799817</v>
      </c>
      <c r="O2623" s="64">
        <v>0</v>
      </c>
    </row>
    <row r="2624" spans="1:15" x14ac:dyDescent="0.25">
      <c r="A2624" s="114" t="s">
        <v>2800</v>
      </c>
      <c r="B2624" s="63" t="s">
        <v>65</v>
      </c>
      <c r="C2624" s="63" t="s">
        <v>73</v>
      </c>
      <c r="D2624" s="63">
        <v>-200</v>
      </c>
      <c r="E2624" s="63">
        <v>-100</v>
      </c>
      <c r="F2624" s="63">
        <v>1</v>
      </c>
      <c r="G2624" s="63" t="s">
        <v>23</v>
      </c>
      <c r="H2624" s="63" t="s">
        <v>23</v>
      </c>
      <c r="I2624" s="63">
        <v>0</v>
      </c>
      <c r="J2624" s="63">
        <v>0</v>
      </c>
      <c r="L2624" s="63">
        <v>1.8762048033100001</v>
      </c>
      <c r="M2624" s="63">
        <v>0</v>
      </c>
      <c r="N2624" s="63">
        <v>1.8710072400240001</v>
      </c>
      <c r="O2624" s="64">
        <v>0</v>
      </c>
    </row>
    <row r="2625" spans="1:15" x14ac:dyDescent="0.25">
      <c r="A2625" s="114" t="s">
        <v>842</v>
      </c>
      <c r="B2625" s="63" t="s">
        <v>65</v>
      </c>
      <c r="C2625" s="63" t="s">
        <v>73</v>
      </c>
      <c r="D2625" s="63">
        <v>-100</v>
      </c>
      <c r="E2625" s="63">
        <v>410</v>
      </c>
      <c r="F2625" s="63">
        <v>1</v>
      </c>
      <c r="G2625" s="63" t="s">
        <v>23</v>
      </c>
      <c r="H2625" s="63" t="s">
        <v>23</v>
      </c>
      <c r="I2625" s="63">
        <v>0</v>
      </c>
      <c r="J2625" s="63">
        <v>0</v>
      </c>
      <c r="L2625" s="63">
        <v>1.4031980851000001</v>
      </c>
      <c r="M2625" s="63">
        <v>0</v>
      </c>
      <c r="N2625" s="63">
        <v>1.398308691952</v>
      </c>
      <c r="O2625" s="64">
        <v>0</v>
      </c>
    </row>
    <row r="2626" spans="1:15" x14ac:dyDescent="0.25">
      <c r="A2626" s="114" t="s">
        <v>844</v>
      </c>
      <c r="B2626" s="63" t="s">
        <v>65</v>
      </c>
      <c r="C2626" s="63" t="s">
        <v>73</v>
      </c>
      <c r="D2626" s="63">
        <v>410</v>
      </c>
      <c r="E2626" s="63">
        <v>1300</v>
      </c>
      <c r="F2626" s="63">
        <v>1</v>
      </c>
      <c r="G2626" s="63" t="s">
        <v>23</v>
      </c>
      <c r="H2626" s="63" t="s">
        <v>23</v>
      </c>
      <c r="I2626" s="63">
        <v>0</v>
      </c>
      <c r="J2626" s="63">
        <v>0</v>
      </c>
      <c r="L2626" s="63">
        <v>1.4836861951410001</v>
      </c>
      <c r="M2626" s="63">
        <v>0</v>
      </c>
      <c r="N2626" s="63">
        <v>1.481015111779</v>
      </c>
      <c r="O2626" s="64">
        <v>0</v>
      </c>
    </row>
    <row r="2627" spans="1:15" x14ac:dyDescent="0.25">
      <c r="A2627" s="114" t="s">
        <v>837</v>
      </c>
      <c r="B2627" s="63" t="s">
        <v>65</v>
      </c>
      <c r="C2627" s="63" t="s">
        <v>73</v>
      </c>
      <c r="D2627" s="63">
        <v>-328</v>
      </c>
      <c r="E2627" s="63">
        <v>-148</v>
      </c>
      <c r="F2627" s="63">
        <v>1</v>
      </c>
      <c r="G2627" s="63" t="s">
        <v>26</v>
      </c>
      <c r="H2627" s="63" t="s">
        <v>26</v>
      </c>
      <c r="I2627" s="63">
        <v>0</v>
      </c>
      <c r="J2627" s="63">
        <v>0</v>
      </c>
      <c r="L2627" s="63">
        <v>3.2633231184409999</v>
      </c>
      <c r="M2627" s="63">
        <v>0</v>
      </c>
      <c r="N2627" s="63">
        <v>3.2536401661690002</v>
      </c>
      <c r="O2627" s="64">
        <v>0</v>
      </c>
    </row>
    <row r="2628" spans="1:15" x14ac:dyDescent="0.25">
      <c r="A2628" s="114" t="s">
        <v>840</v>
      </c>
      <c r="B2628" s="63" t="s">
        <v>65</v>
      </c>
      <c r="C2628" s="63" t="s">
        <v>73</v>
      </c>
      <c r="D2628" s="63">
        <v>-148</v>
      </c>
      <c r="E2628" s="63">
        <v>770</v>
      </c>
      <c r="F2628" s="63">
        <v>1</v>
      </c>
      <c r="G2628" s="63" t="s">
        <v>26</v>
      </c>
      <c r="H2628" s="63" t="s">
        <v>26</v>
      </c>
      <c r="I2628" s="63">
        <v>0</v>
      </c>
      <c r="J2628" s="63">
        <v>0</v>
      </c>
      <c r="L2628" s="63">
        <v>2.3697767576539999</v>
      </c>
      <c r="M2628" s="63">
        <v>0</v>
      </c>
      <c r="N2628" s="63">
        <v>2.3603943392310001</v>
      </c>
      <c r="O2628" s="64">
        <v>0</v>
      </c>
    </row>
    <row r="2629" spans="1:15" x14ac:dyDescent="0.25">
      <c r="A2629" s="114" t="s">
        <v>845</v>
      </c>
      <c r="B2629" s="63" t="s">
        <v>65</v>
      </c>
      <c r="C2629" s="63" t="s">
        <v>73</v>
      </c>
      <c r="D2629" s="63">
        <v>770</v>
      </c>
      <c r="E2629" s="63">
        <v>2372</v>
      </c>
      <c r="F2629" s="63">
        <v>1</v>
      </c>
      <c r="G2629" s="63" t="s">
        <v>26</v>
      </c>
      <c r="H2629" s="63" t="s">
        <v>26</v>
      </c>
      <c r="I2629" s="63">
        <v>0</v>
      </c>
      <c r="J2629" s="63">
        <v>0</v>
      </c>
      <c r="L2629" s="63">
        <v>2.5258712248339998</v>
      </c>
      <c r="M2629" s="63">
        <v>0</v>
      </c>
      <c r="N2629" s="63">
        <v>2.5207871786410001</v>
      </c>
      <c r="O2629" s="64">
        <v>0</v>
      </c>
    </row>
    <row r="2630" spans="1:15" x14ac:dyDescent="0.25">
      <c r="A2630" s="114" t="s">
        <v>831</v>
      </c>
      <c r="B2630" s="63" t="s">
        <v>65</v>
      </c>
      <c r="C2630" s="63" t="s">
        <v>74</v>
      </c>
      <c r="D2630" s="63">
        <v>0</v>
      </c>
      <c r="E2630" s="63">
        <v>250</v>
      </c>
      <c r="F2630" s="63">
        <v>0.1</v>
      </c>
      <c r="G2630" s="63" t="s">
        <v>23</v>
      </c>
      <c r="H2630" s="63" t="s">
        <v>23</v>
      </c>
      <c r="I2630" s="63">
        <v>0</v>
      </c>
      <c r="J2630" s="63">
        <v>0</v>
      </c>
      <c r="L2630" s="63">
        <v>2.6783637652209999</v>
      </c>
      <c r="M2630" s="63">
        <v>0</v>
      </c>
      <c r="N2630" s="63">
        <v>2.6774646351400002</v>
      </c>
      <c r="O2630" s="64">
        <v>0</v>
      </c>
    </row>
    <row r="2631" spans="1:15" x14ac:dyDescent="0.25">
      <c r="A2631" s="114" t="s">
        <v>833</v>
      </c>
      <c r="B2631" s="63" t="s">
        <v>65</v>
      </c>
      <c r="C2631" s="63" t="s">
        <v>74</v>
      </c>
      <c r="D2631" s="63">
        <v>250</v>
      </c>
      <c r="E2631" s="63">
        <v>1760</v>
      </c>
      <c r="F2631" s="63">
        <v>0.1</v>
      </c>
      <c r="G2631" s="63" t="s">
        <v>23</v>
      </c>
      <c r="H2631" s="63" t="s">
        <v>23</v>
      </c>
      <c r="I2631" s="63">
        <v>0</v>
      </c>
      <c r="J2631" s="63">
        <v>0</v>
      </c>
      <c r="L2631" s="63">
        <v>1.9965044722600001</v>
      </c>
      <c r="M2631" s="63">
        <v>0</v>
      </c>
      <c r="N2631" s="63">
        <v>1.9954858086580001</v>
      </c>
      <c r="O2631" s="64">
        <v>0</v>
      </c>
    </row>
    <row r="2632" spans="1:15" x14ac:dyDescent="0.25">
      <c r="A2632" s="114" t="s">
        <v>2801</v>
      </c>
      <c r="B2632" s="63" t="s">
        <v>65</v>
      </c>
      <c r="C2632" s="63" t="s">
        <v>74</v>
      </c>
      <c r="D2632" s="63">
        <v>32</v>
      </c>
      <c r="E2632" s="63">
        <v>482</v>
      </c>
      <c r="F2632" s="63">
        <v>0.1</v>
      </c>
      <c r="G2632" s="63" t="s">
        <v>26</v>
      </c>
      <c r="H2632" s="63" t="s">
        <v>26</v>
      </c>
      <c r="I2632" s="63">
        <v>0</v>
      </c>
      <c r="J2632" s="63">
        <v>0</v>
      </c>
      <c r="L2632" s="63">
        <v>4.7943939774609996</v>
      </c>
      <c r="M2632" s="63">
        <v>0</v>
      </c>
      <c r="N2632" s="63">
        <v>4.7927665404350002</v>
      </c>
      <c r="O2632" s="64">
        <v>0</v>
      </c>
    </row>
    <row r="2633" spans="1:15" x14ac:dyDescent="0.25">
      <c r="A2633" s="114" t="s">
        <v>2802</v>
      </c>
      <c r="B2633" s="63" t="s">
        <v>65</v>
      </c>
      <c r="C2633" s="63" t="s">
        <v>74</v>
      </c>
      <c r="D2633" s="63">
        <v>482</v>
      </c>
      <c r="E2633" s="63">
        <v>3200</v>
      </c>
      <c r="F2633" s="63">
        <v>0.1</v>
      </c>
      <c r="G2633" s="63" t="s">
        <v>26</v>
      </c>
      <c r="H2633" s="63" t="s">
        <v>26</v>
      </c>
      <c r="I2633" s="63">
        <v>0</v>
      </c>
      <c r="J2633" s="63">
        <v>0</v>
      </c>
      <c r="L2633" s="63">
        <v>3.5823485726099999</v>
      </c>
      <c r="M2633" s="63">
        <v>0</v>
      </c>
      <c r="N2633" s="63">
        <v>3.580509160893</v>
      </c>
      <c r="O2633" s="64">
        <v>0</v>
      </c>
    </row>
    <row r="2634" spans="1:15" x14ac:dyDescent="0.25">
      <c r="A2634" s="114" t="s">
        <v>2803</v>
      </c>
      <c r="B2634" s="63" t="s">
        <v>65</v>
      </c>
      <c r="C2634" s="63" t="s">
        <v>74</v>
      </c>
      <c r="D2634" s="63">
        <v>0</v>
      </c>
      <c r="E2634" s="63">
        <v>250</v>
      </c>
      <c r="F2634" s="63">
        <v>1</v>
      </c>
      <c r="G2634" s="63" t="s">
        <v>23</v>
      </c>
      <c r="H2634" s="63" t="s">
        <v>23</v>
      </c>
      <c r="I2634" s="63">
        <v>0</v>
      </c>
      <c r="J2634" s="63">
        <v>0</v>
      </c>
      <c r="L2634" s="63">
        <v>2.7419115992509999</v>
      </c>
      <c r="M2634" s="63">
        <v>0</v>
      </c>
      <c r="N2634" s="63">
        <v>2.7383967704529999</v>
      </c>
      <c r="O2634" s="64">
        <v>0</v>
      </c>
    </row>
    <row r="2635" spans="1:15" x14ac:dyDescent="0.25">
      <c r="A2635" s="114" t="s">
        <v>834</v>
      </c>
      <c r="B2635" s="63" t="s">
        <v>65</v>
      </c>
      <c r="C2635" s="63" t="s">
        <v>74</v>
      </c>
      <c r="D2635" s="63">
        <v>250</v>
      </c>
      <c r="E2635" s="63">
        <v>1760</v>
      </c>
      <c r="F2635" s="63">
        <v>1</v>
      </c>
      <c r="G2635" s="63" t="s">
        <v>23</v>
      </c>
      <c r="H2635" s="63" t="s">
        <v>23</v>
      </c>
      <c r="I2635" s="63">
        <v>0</v>
      </c>
      <c r="J2635" s="63">
        <v>0</v>
      </c>
      <c r="L2635" s="63">
        <v>2.0804397596070001</v>
      </c>
      <c r="M2635" s="63">
        <v>0</v>
      </c>
      <c r="N2635" s="63">
        <v>2.0765268147940001</v>
      </c>
      <c r="O2635" s="64">
        <v>0</v>
      </c>
    </row>
    <row r="2636" spans="1:15" x14ac:dyDescent="0.25">
      <c r="A2636" s="114" t="s">
        <v>832</v>
      </c>
      <c r="B2636" s="63" t="s">
        <v>65</v>
      </c>
      <c r="C2636" s="63" t="s">
        <v>74</v>
      </c>
      <c r="D2636" s="63">
        <v>32</v>
      </c>
      <c r="E2636" s="63">
        <v>482</v>
      </c>
      <c r="F2636" s="63">
        <v>1</v>
      </c>
      <c r="G2636" s="63" t="s">
        <v>26</v>
      </c>
      <c r="H2636" s="63" t="s">
        <v>26</v>
      </c>
      <c r="I2636" s="63">
        <v>0</v>
      </c>
      <c r="J2636" s="63">
        <v>0</v>
      </c>
      <c r="L2636" s="63">
        <v>4.8335309155020001</v>
      </c>
      <c r="M2636" s="63">
        <v>0</v>
      </c>
      <c r="N2636" s="63">
        <v>4.8270706552849996</v>
      </c>
      <c r="O2636" s="64">
        <v>0</v>
      </c>
    </row>
    <row r="2637" spans="1:15" x14ac:dyDescent="0.25">
      <c r="A2637" s="114" t="s">
        <v>835</v>
      </c>
      <c r="B2637" s="63" t="s">
        <v>65</v>
      </c>
      <c r="C2637" s="63" t="s">
        <v>74</v>
      </c>
      <c r="D2637" s="63">
        <v>482</v>
      </c>
      <c r="E2637" s="63">
        <v>3200</v>
      </c>
      <c r="F2637" s="63">
        <v>1</v>
      </c>
      <c r="G2637" s="63" t="s">
        <v>26</v>
      </c>
      <c r="H2637" s="63" t="s">
        <v>26</v>
      </c>
      <c r="I2637" s="63">
        <v>0</v>
      </c>
      <c r="J2637" s="63">
        <v>0</v>
      </c>
      <c r="L2637" s="63">
        <v>3.6335585352400002</v>
      </c>
      <c r="M2637" s="63">
        <v>0</v>
      </c>
      <c r="N2637" s="63">
        <v>3.6262991949419998</v>
      </c>
      <c r="O2637" s="64">
        <v>0</v>
      </c>
    </row>
    <row r="2638" spans="1:15" x14ac:dyDescent="0.25">
      <c r="A2638" s="114" t="s">
        <v>825</v>
      </c>
      <c r="B2638" s="63" t="s">
        <v>65</v>
      </c>
      <c r="C2638" s="63" t="s">
        <v>75</v>
      </c>
      <c r="D2638" s="63">
        <v>0</v>
      </c>
      <c r="E2638" s="63">
        <v>250</v>
      </c>
      <c r="F2638" s="63">
        <v>0.1</v>
      </c>
      <c r="G2638" s="63" t="s">
        <v>23</v>
      </c>
      <c r="H2638" s="63" t="s">
        <v>23</v>
      </c>
      <c r="I2638" s="63">
        <v>0</v>
      </c>
      <c r="J2638" s="63">
        <v>0</v>
      </c>
      <c r="L2638" s="63">
        <v>2.678343787832</v>
      </c>
      <c r="M2638" s="63">
        <v>0</v>
      </c>
      <c r="N2638" s="63">
        <v>2.6774646351400002</v>
      </c>
      <c r="O2638" s="64">
        <v>0</v>
      </c>
    </row>
    <row r="2639" spans="1:15" x14ac:dyDescent="0.25">
      <c r="A2639" s="114" t="s">
        <v>829</v>
      </c>
      <c r="B2639" s="63" t="s">
        <v>65</v>
      </c>
      <c r="C2639" s="63" t="s">
        <v>75</v>
      </c>
      <c r="D2639" s="63">
        <v>250</v>
      </c>
      <c r="E2639" s="63">
        <v>1760</v>
      </c>
      <c r="F2639" s="63">
        <v>0.1</v>
      </c>
      <c r="G2639" s="63" t="s">
        <v>23</v>
      </c>
      <c r="H2639" s="63" t="s">
        <v>23</v>
      </c>
      <c r="I2639" s="63">
        <v>0</v>
      </c>
      <c r="J2639" s="63">
        <v>0</v>
      </c>
      <c r="L2639" s="63">
        <v>2.0005886565119999</v>
      </c>
      <c r="M2639" s="63">
        <v>0</v>
      </c>
      <c r="N2639" s="63">
        <v>1.9995720735610001</v>
      </c>
      <c r="O2639" s="64">
        <v>0</v>
      </c>
    </row>
    <row r="2640" spans="1:15" x14ac:dyDescent="0.25">
      <c r="A2640" s="114" t="s">
        <v>827</v>
      </c>
      <c r="B2640" s="63" t="s">
        <v>65</v>
      </c>
      <c r="C2640" s="63" t="s">
        <v>75</v>
      </c>
      <c r="D2640" s="63">
        <v>32</v>
      </c>
      <c r="E2640" s="63">
        <v>482</v>
      </c>
      <c r="F2640" s="63">
        <v>0.1</v>
      </c>
      <c r="G2640" s="63" t="s">
        <v>26</v>
      </c>
      <c r="H2640" s="63" t="s">
        <v>26</v>
      </c>
      <c r="I2640" s="63">
        <v>0</v>
      </c>
      <c r="J2640" s="63">
        <v>0</v>
      </c>
      <c r="L2640" s="63">
        <v>4.7943578181950004</v>
      </c>
      <c r="M2640" s="63">
        <v>0</v>
      </c>
      <c r="N2640" s="63">
        <v>4.7927665404350002</v>
      </c>
      <c r="O2640" s="64">
        <v>0</v>
      </c>
    </row>
    <row r="2641" spans="1:15" x14ac:dyDescent="0.25">
      <c r="A2641" s="114" t="s">
        <v>830</v>
      </c>
      <c r="B2641" s="63" t="s">
        <v>65</v>
      </c>
      <c r="C2641" s="63" t="s">
        <v>75</v>
      </c>
      <c r="D2641" s="63">
        <v>482</v>
      </c>
      <c r="E2641" s="63">
        <v>3200</v>
      </c>
      <c r="F2641" s="63">
        <v>0.1</v>
      </c>
      <c r="G2641" s="63" t="s">
        <v>26</v>
      </c>
      <c r="H2641" s="63" t="s">
        <v>26</v>
      </c>
      <c r="I2641" s="63">
        <v>0</v>
      </c>
      <c r="J2641" s="63">
        <v>0</v>
      </c>
      <c r="L2641" s="63">
        <v>3.584626362746</v>
      </c>
      <c r="M2641" s="63">
        <v>0</v>
      </c>
      <c r="N2641" s="63">
        <v>3.5827881204519998</v>
      </c>
      <c r="O2641" s="64">
        <v>0</v>
      </c>
    </row>
    <row r="2642" spans="1:15" x14ac:dyDescent="0.25">
      <c r="A2642" s="114" t="s">
        <v>826</v>
      </c>
      <c r="B2642" s="63" t="s">
        <v>65</v>
      </c>
      <c r="C2642" s="63" t="s">
        <v>75</v>
      </c>
      <c r="D2642" s="63">
        <v>0</v>
      </c>
      <c r="E2642" s="63">
        <v>250</v>
      </c>
      <c r="F2642" s="63">
        <v>1</v>
      </c>
      <c r="G2642" s="63" t="s">
        <v>23</v>
      </c>
      <c r="H2642" s="63" t="s">
        <v>23</v>
      </c>
      <c r="I2642" s="63">
        <v>0</v>
      </c>
      <c r="J2642" s="63">
        <v>0</v>
      </c>
      <c r="L2642" s="63">
        <v>2.7418335408960002</v>
      </c>
      <c r="M2642" s="63">
        <v>0</v>
      </c>
      <c r="N2642" s="63">
        <v>2.7383967704529999</v>
      </c>
      <c r="O2642" s="64">
        <v>0</v>
      </c>
    </row>
    <row r="2643" spans="1:15" x14ac:dyDescent="0.25">
      <c r="A2643" s="114" t="s">
        <v>2804</v>
      </c>
      <c r="B2643" s="63" t="s">
        <v>65</v>
      </c>
      <c r="C2643" s="63" t="s">
        <v>75</v>
      </c>
      <c r="D2643" s="63">
        <v>250</v>
      </c>
      <c r="E2643" s="63">
        <v>1760</v>
      </c>
      <c r="F2643" s="63">
        <v>1</v>
      </c>
      <c r="G2643" s="63" t="s">
        <v>23</v>
      </c>
      <c r="H2643" s="63" t="s">
        <v>23</v>
      </c>
      <c r="I2643" s="63">
        <v>0</v>
      </c>
      <c r="J2643" s="63">
        <v>0</v>
      </c>
      <c r="L2643" s="63">
        <v>2.0843594839090001</v>
      </c>
      <c r="M2643" s="63">
        <v>0</v>
      </c>
      <c r="N2643" s="63">
        <v>2.0804539113780001</v>
      </c>
      <c r="O2643" s="64">
        <v>0</v>
      </c>
    </row>
    <row r="2644" spans="1:15" x14ac:dyDescent="0.25">
      <c r="A2644" s="114" t="s">
        <v>828</v>
      </c>
      <c r="B2644" s="63" t="s">
        <v>65</v>
      </c>
      <c r="C2644" s="63" t="s">
        <v>75</v>
      </c>
      <c r="D2644" s="63">
        <v>32</v>
      </c>
      <c r="E2644" s="63">
        <v>482</v>
      </c>
      <c r="F2644" s="63">
        <v>1</v>
      </c>
      <c r="G2644" s="63" t="s">
        <v>26</v>
      </c>
      <c r="H2644" s="63" t="s">
        <v>26</v>
      </c>
      <c r="I2644" s="63">
        <v>0</v>
      </c>
      <c r="J2644" s="63">
        <v>0</v>
      </c>
      <c r="L2644" s="63">
        <v>4.8333874479730001</v>
      </c>
      <c r="M2644" s="63">
        <v>0</v>
      </c>
      <c r="N2644" s="63">
        <v>4.8270706552849996</v>
      </c>
      <c r="O2644" s="64">
        <v>0</v>
      </c>
    </row>
    <row r="2645" spans="1:15" x14ac:dyDescent="0.25">
      <c r="A2645" s="114" t="s">
        <v>2805</v>
      </c>
      <c r="B2645" s="63" t="s">
        <v>65</v>
      </c>
      <c r="C2645" s="63" t="s">
        <v>75</v>
      </c>
      <c r="D2645" s="63">
        <v>482</v>
      </c>
      <c r="E2645" s="63">
        <v>3200</v>
      </c>
      <c r="F2645" s="63">
        <v>1</v>
      </c>
      <c r="G2645" s="63" t="s">
        <v>26</v>
      </c>
      <c r="H2645" s="63" t="s">
        <v>26</v>
      </c>
      <c r="I2645" s="63">
        <v>0</v>
      </c>
      <c r="J2645" s="63">
        <v>0</v>
      </c>
      <c r="L2645" s="63">
        <v>3.635804243056</v>
      </c>
      <c r="M2645" s="63">
        <v>0</v>
      </c>
      <c r="N2645" s="63">
        <v>3.6285493955639998</v>
      </c>
      <c r="O2645" s="64">
        <v>0</v>
      </c>
    </row>
    <row r="2646" spans="1:15" x14ac:dyDescent="0.25">
      <c r="A2646" s="114" t="s">
        <v>2806</v>
      </c>
      <c r="B2646" s="63" t="s">
        <v>65</v>
      </c>
      <c r="C2646" s="63" t="s">
        <v>76</v>
      </c>
      <c r="D2646" s="63">
        <v>-250</v>
      </c>
      <c r="E2646" s="63">
        <v>-150</v>
      </c>
      <c r="F2646" s="63">
        <v>0.1</v>
      </c>
      <c r="G2646" s="63" t="s">
        <v>23</v>
      </c>
      <c r="H2646" s="63" t="s">
        <v>23</v>
      </c>
      <c r="I2646" s="63">
        <v>0</v>
      </c>
      <c r="J2646" s="63">
        <v>0</v>
      </c>
      <c r="L2646" s="63">
        <v>2.2146411807419999</v>
      </c>
      <c r="M2646" s="63">
        <v>0</v>
      </c>
      <c r="N2646" s="63">
        <v>2.2134449201140001</v>
      </c>
      <c r="O2646" s="64">
        <v>0</v>
      </c>
    </row>
    <row r="2647" spans="1:15" x14ac:dyDescent="0.25">
      <c r="A2647" s="114" t="s">
        <v>823</v>
      </c>
      <c r="B2647" s="63" t="s">
        <v>65</v>
      </c>
      <c r="C2647" s="63" t="s">
        <v>76</v>
      </c>
      <c r="D2647" s="63">
        <v>-150</v>
      </c>
      <c r="E2647" s="63">
        <v>400</v>
      </c>
      <c r="F2647" s="63">
        <v>0.1</v>
      </c>
      <c r="G2647" s="63" t="s">
        <v>23</v>
      </c>
      <c r="H2647" s="63" t="s">
        <v>23</v>
      </c>
      <c r="I2647" s="63">
        <v>0</v>
      </c>
      <c r="J2647" s="63">
        <v>0</v>
      </c>
      <c r="L2647" s="63">
        <v>1.0694359707859999</v>
      </c>
      <c r="M2647" s="63">
        <v>0</v>
      </c>
      <c r="N2647" s="63">
        <v>1.067382668642</v>
      </c>
      <c r="O2647" s="64">
        <v>0</v>
      </c>
    </row>
    <row r="2648" spans="1:15" x14ac:dyDescent="0.25">
      <c r="A2648" s="114" t="s">
        <v>819</v>
      </c>
      <c r="B2648" s="63" t="s">
        <v>65</v>
      </c>
      <c r="C2648" s="63" t="s">
        <v>76</v>
      </c>
      <c r="D2648" s="63">
        <v>-418</v>
      </c>
      <c r="E2648" s="63">
        <v>-238</v>
      </c>
      <c r="F2648" s="63">
        <v>0.1</v>
      </c>
      <c r="G2648" s="63" t="s">
        <v>26</v>
      </c>
      <c r="H2648" s="63" t="s">
        <v>26</v>
      </c>
      <c r="I2648" s="63">
        <v>0</v>
      </c>
      <c r="J2648" s="63">
        <v>0</v>
      </c>
      <c r="L2648" s="63">
        <v>3.9624103022099999</v>
      </c>
      <c r="M2648" s="63">
        <v>0</v>
      </c>
      <c r="N2648" s="63">
        <v>3.960244014333</v>
      </c>
      <c r="O2648" s="64">
        <v>0</v>
      </c>
    </row>
    <row r="2649" spans="1:15" x14ac:dyDescent="0.25">
      <c r="A2649" s="114" t="s">
        <v>822</v>
      </c>
      <c r="B2649" s="63" t="s">
        <v>65</v>
      </c>
      <c r="C2649" s="63" t="s">
        <v>76</v>
      </c>
      <c r="D2649" s="63">
        <v>-238</v>
      </c>
      <c r="E2649" s="63">
        <v>752</v>
      </c>
      <c r="F2649" s="63">
        <v>0.1</v>
      </c>
      <c r="G2649" s="63" t="s">
        <v>26</v>
      </c>
      <c r="H2649" s="63" t="s">
        <v>26</v>
      </c>
      <c r="I2649" s="63">
        <v>0</v>
      </c>
      <c r="J2649" s="63">
        <v>0</v>
      </c>
      <c r="L2649" s="63">
        <v>1.919313317599</v>
      </c>
      <c r="M2649" s="63">
        <v>0</v>
      </c>
      <c r="N2649" s="63">
        <v>1.9156064313950001</v>
      </c>
      <c r="O2649" s="64">
        <v>0</v>
      </c>
    </row>
    <row r="2650" spans="1:15" x14ac:dyDescent="0.25">
      <c r="A2650" s="114" t="s">
        <v>821</v>
      </c>
      <c r="B2650" s="63" t="s">
        <v>65</v>
      </c>
      <c r="C2650" s="63" t="s">
        <v>76</v>
      </c>
      <c r="D2650" s="63">
        <v>-250</v>
      </c>
      <c r="E2650" s="63">
        <v>-150</v>
      </c>
      <c r="F2650" s="63">
        <v>1</v>
      </c>
      <c r="G2650" s="63" t="s">
        <v>23</v>
      </c>
      <c r="H2650" s="63" t="s">
        <v>23</v>
      </c>
      <c r="I2650" s="63">
        <v>0</v>
      </c>
      <c r="J2650" s="63">
        <v>0</v>
      </c>
      <c r="L2650" s="63">
        <v>2.291402844247</v>
      </c>
      <c r="M2650" s="63">
        <v>0</v>
      </c>
      <c r="N2650" s="63">
        <v>2.2867746750340001</v>
      </c>
      <c r="O2650" s="64">
        <v>0</v>
      </c>
    </row>
    <row r="2651" spans="1:15" x14ac:dyDescent="0.25">
      <c r="A2651" s="112" t="s">
        <v>824</v>
      </c>
      <c r="B2651" s="113" t="s">
        <v>65</v>
      </c>
      <c r="C2651" s="113" t="s">
        <v>76</v>
      </c>
      <c r="D2651" s="113">
        <v>-150</v>
      </c>
      <c r="E2651" s="113">
        <v>400</v>
      </c>
      <c r="F2651" s="113">
        <v>1</v>
      </c>
      <c r="G2651" s="113" t="s">
        <v>23</v>
      </c>
      <c r="H2651" s="113" t="s">
        <v>23</v>
      </c>
      <c r="I2651" s="113">
        <v>0</v>
      </c>
      <c r="J2651" s="113">
        <v>0</v>
      </c>
      <c r="K2651" s="113"/>
      <c r="L2651" s="113">
        <v>1.2193670073</v>
      </c>
      <c r="M2651" s="113">
        <v>0</v>
      </c>
      <c r="N2651" s="113">
        <v>1.21214923228</v>
      </c>
      <c r="O2651" s="64">
        <v>0</v>
      </c>
    </row>
    <row r="2652" spans="1:15" x14ac:dyDescent="0.25">
      <c r="A2652" s="114" t="s">
        <v>820</v>
      </c>
      <c r="B2652" s="63" t="s">
        <v>65</v>
      </c>
      <c r="C2652" s="63" t="s">
        <v>76</v>
      </c>
      <c r="D2652" s="63">
        <v>-418</v>
      </c>
      <c r="E2652" s="63">
        <v>-238</v>
      </c>
      <c r="F2652" s="63">
        <v>1</v>
      </c>
      <c r="G2652" s="63" t="s">
        <v>26</v>
      </c>
      <c r="H2652" s="63" t="s">
        <v>26</v>
      </c>
      <c r="I2652" s="63">
        <v>0</v>
      </c>
      <c r="J2652" s="63">
        <v>0</v>
      </c>
      <c r="L2652" s="63">
        <v>4.0102597986989998</v>
      </c>
      <c r="M2652" s="63">
        <v>0</v>
      </c>
      <c r="N2652" s="63">
        <v>4.0016912241030003</v>
      </c>
      <c r="O2652" s="64">
        <v>0</v>
      </c>
    </row>
    <row r="2653" spans="1:15" x14ac:dyDescent="0.25">
      <c r="A2653" s="112" t="s">
        <v>2807</v>
      </c>
      <c r="B2653" s="113" t="s">
        <v>65</v>
      </c>
      <c r="C2653" s="113" t="s">
        <v>76</v>
      </c>
      <c r="D2653" s="113">
        <v>-238</v>
      </c>
      <c r="E2653" s="113">
        <v>752</v>
      </c>
      <c r="F2653" s="63">
        <v>1</v>
      </c>
      <c r="G2653" s="113" t="s">
        <v>26</v>
      </c>
      <c r="H2653" s="113" t="s">
        <v>26</v>
      </c>
      <c r="I2653" s="113">
        <v>0</v>
      </c>
      <c r="J2653" s="113">
        <v>0</v>
      </c>
      <c r="K2653" s="113"/>
      <c r="L2653" s="113">
        <v>2.014053237738</v>
      </c>
      <c r="M2653" s="113">
        <v>0</v>
      </c>
      <c r="N2653" s="113">
        <v>1.999886996808</v>
      </c>
      <c r="O2653" s="64">
        <v>0</v>
      </c>
    </row>
  </sheetData>
  <sheetProtection insertRows="0" deleteRows="0" sort="0" autoFilter="0" pivotTables="0"/>
  <protectedRanges>
    <protectedRange sqref="Q2653:Q5311 A2:N1048574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2025-01-16T22:47:04Z</dcterms:modified>
</cp:coreProperties>
</file>